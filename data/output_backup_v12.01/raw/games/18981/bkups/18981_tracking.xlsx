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81/"/>
    </mc:Choice>
  </mc:AlternateContent>
  <xr:revisionPtr revIDLastSave="0" documentId="13_ncr:1_{55F9315F-996F-F14B-8264-B4C4B4E9EF68}" xr6:coauthVersionLast="47" xr6:coauthVersionMax="47" xr10:uidLastSave="{00000000-0000-0000-0000-000000000000}"/>
  <bookViews>
    <workbookView xWindow="39240" yWindow="960" windowWidth="33720" windowHeight="17360" activeTab="3" xr2:uid="{EF01C613-D165-2D4B-B5E8-CA54AD994DA8}"/>
  </bookViews>
  <sheets>
    <sheet name="Rules" sheetId="5" r:id="rId1"/>
    <sheet name="Lists" sheetId="4" r:id="rId2"/>
    <sheet name="events" sheetId="1" r:id="rId3"/>
    <sheet name="shifts" sheetId="8" r:id="rId4"/>
  </sheets>
  <definedNames>
    <definedName name="_xlnm._FilterDatabase" localSheetId="2" hidden="1">events!$A$1:$AO$1713</definedName>
    <definedName name="DEfensive">Lists!$CQ:$CQ</definedName>
    <definedName name="EventType">Lists!$A$2:$A$16</definedName>
    <definedName name="Faceoff">Lists!$U$2:$U$1048576</definedName>
    <definedName name="Goal">Lists!$X$2:$X$1048576</definedName>
    <definedName name="Goal_PenaltyShot">Lists!$BO$2:$BO$1048576</definedName>
    <definedName name="Goal_Scored">Lists!$BM$2:$BM$1048576</definedName>
    <definedName name="Goal_Shootout">Lists!$BN$2:$BN$1048576</definedName>
    <definedName name="LoosePuck">Lists!$AD$2:$AD$1048576</definedName>
    <definedName name="Offensive">Lists!$CO:$CO</definedName>
    <definedName name="Pass">Lists!$W$2:$W$1048576</definedName>
    <definedName name="Pass_Completed">Lists!$AF$2:$AF$1048576</definedName>
    <definedName name="Pass_Deflected">Lists!$AH$2:$AH$1048576</definedName>
    <definedName name="Pass_Intercepted">Lists!$AI$2:$AI$1048576</definedName>
    <definedName name="Pass_Missed">Lists!$AG$2:$AG$1048576</definedName>
    <definedName name="Penalty">Lists!$AA$2:$AA$1048576</definedName>
    <definedName name="Penalty_Major">Lists!$AO$2:$AO$1048576</definedName>
    <definedName name="Penalty_Minor">Lists!$AP$2:$AP$1048576</definedName>
    <definedName name="Penalty_Offsetting">Lists!$AQ$2:$AQ$1048576</definedName>
    <definedName name="PenaltyShot_Missed">Lists!$AY$2:$AY$1048576</definedName>
    <definedName name="PenaltyShot_OnNet">Lists!$AX$2:$AX$1048576</definedName>
    <definedName name="PenaltyShot_Saved">Lists!$AZ$2:$AZ$1048576</definedName>
    <definedName name="PenaltyShot_Shootout">Lists!$AB$2:$AB$1048576</definedName>
    <definedName name="Play">Lists!$T:$T</definedName>
    <definedName name="Play_Defensive">Lists!$BS:$BS</definedName>
    <definedName name="Play_Offensive">Lists!$BR:$BR</definedName>
    <definedName name="Possession">Lists!$BT:$BT</definedName>
    <definedName name="Rebound">Lists!$BQ$2:$BQ$1048576</definedName>
    <definedName name="Save">Lists!$AE$2:$AE$1048576</definedName>
    <definedName name="Save_Freeze">Lists!$BB$2:$BB$1048576</definedName>
    <definedName name="Save_Played">Lists!$BP:$BP</definedName>
    <definedName name="Save_Rebound">Lists!$BA$2:$BA$1048576</definedName>
    <definedName name="Shootout_Missed">Lists!$AV$2:$AV$1048576</definedName>
    <definedName name="Shootout_OnNet">Lists!$AU$2:$AU$1048576</definedName>
    <definedName name="Shootout_Saved">Lists!$AW$2:$AW$1048576</definedName>
    <definedName name="Shot">Lists!$V$2:$V$1048576</definedName>
    <definedName name="Shot_Blocked">Lists!$BE$2:$BE$1048576</definedName>
    <definedName name="Shot_BlockedSameTeam">Lists!$BF$2:$BF$1048576</definedName>
    <definedName name="Shot_Deflected">Lists!$BG$2:$BG$1048576</definedName>
    <definedName name="Shot_DeflectedGoal">Lists!$BL$2:$BL$1048576</definedName>
    <definedName name="Shot_DeflectedOnNetSaved">Lists!$BH$2:$BH$1048576</definedName>
    <definedName name="Shot_Missed">Lists!$BD$2:$BD$1048576</definedName>
    <definedName name="Shot_OnNetGoal">Lists!$BJ$2:$BJ$1048576</definedName>
    <definedName name="Shot_OnNetSaved">Lists!$BC$2:$BC$1048576</definedName>
    <definedName name="Shot_TippedGoal">Lists!$BK$2:$BK$1048576</definedName>
    <definedName name="Shot_TippedOnNetSaved">Lists!$BI$2:$BI$1048576</definedName>
    <definedName name="Stoppage">Lists!$AC$2:$AC$1048576</definedName>
    <definedName name="Stoppage_Other">Lists!$AT$2:$AT$1048576</definedName>
    <definedName name="Stoppage_Period">Lists!$AS$2:$AS$1048576</definedName>
    <definedName name="Stoppage_Play">Lists!$AR$2:$AR$1048576</definedName>
    <definedName name="Turnover">Lists!$Y$2:$Y$1048576</definedName>
    <definedName name="Turnover_Giveaway">Lists!$AJ$2:$AJ$1048576</definedName>
    <definedName name="Turnover_Takeaway">Lists!$AK$2:$AK$1048576</definedName>
    <definedName name="Zone_Entry">Lists!$AL$2:$AL$1048576</definedName>
    <definedName name="Zone_Entry_Exit">Lists!$Z$2:$Z$1048576</definedName>
    <definedName name="Zone_Exit">Lists!$AM$2:$AM$1048576</definedName>
    <definedName name="Zone_Keepin">Lists!$AN$2:$AN$1048576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70" i="1" l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Y6" i="1" l="1"/>
  <c r="Z6" i="1"/>
  <c r="Y8" i="1"/>
  <c r="Z8" i="1"/>
  <c r="Y12" i="1"/>
  <c r="Z12" i="1"/>
  <c r="Y14" i="1"/>
  <c r="Z14" i="1"/>
  <c r="Y15" i="1"/>
  <c r="Z15" i="1"/>
  <c r="Y17" i="1"/>
  <c r="Z17" i="1"/>
  <c r="Y19" i="1"/>
  <c r="Z19" i="1"/>
  <c r="Y21" i="1"/>
  <c r="Z21" i="1"/>
  <c r="Y22" i="1"/>
  <c r="Z22" i="1"/>
  <c r="Y24" i="1"/>
  <c r="Z24" i="1"/>
  <c r="Y25" i="1"/>
  <c r="Z25" i="1"/>
  <c r="Y26" i="1"/>
  <c r="Z26" i="1"/>
  <c r="Y27" i="1"/>
  <c r="Z27" i="1"/>
  <c r="Y31" i="1"/>
  <c r="Z31" i="1"/>
  <c r="Y34" i="1"/>
  <c r="Z34" i="1"/>
  <c r="Y37" i="1"/>
  <c r="Z37" i="1"/>
  <c r="Y38" i="1"/>
  <c r="Z38" i="1"/>
  <c r="Y40" i="1"/>
  <c r="Z40" i="1"/>
  <c r="Y43" i="1"/>
  <c r="Z43" i="1"/>
  <c r="Y46" i="1"/>
  <c r="Z46" i="1"/>
  <c r="Y48" i="1"/>
  <c r="Z48" i="1"/>
  <c r="Y49" i="1"/>
  <c r="Z49" i="1"/>
  <c r="Y50" i="1"/>
  <c r="Z50" i="1"/>
  <c r="Y53" i="1"/>
  <c r="Z53" i="1"/>
  <c r="Y56" i="1"/>
  <c r="Z56" i="1"/>
  <c r="Y59" i="1"/>
  <c r="Z59" i="1"/>
  <c r="Y60" i="1"/>
  <c r="Z60" i="1"/>
  <c r="Y62" i="1"/>
  <c r="Z62" i="1"/>
  <c r="Y65" i="1"/>
  <c r="Z65" i="1"/>
  <c r="Y68" i="1"/>
  <c r="Z68" i="1"/>
  <c r="Y70" i="1"/>
  <c r="Z70" i="1"/>
  <c r="Y72" i="1"/>
  <c r="Z72" i="1"/>
  <c r="Y74" i="1"/>
  <c r="Z74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7" i="1"/>
  <c r="Z87" i="1"/>
  <c r="Y89" i="1"/>
  <c r="Z89" i="1"/>
  <c r="Y91" i="1"/>
  <c r="Z91" i="1"/>
  <c r="Y92" i="1"/>
  <c r="Z92" i="1"/>
  <c r="Y93" i="1"/>
  <c r="Z93" i="1"/>
  <c r="Y94" i="1"/>
  <c r="Z94" i="1"/>
  <c r="Y95" i="1"/>
  <c r="Z95" i="1"/>
  <c r="Y96" i="1"/>
  <c r="Z96" i="1"/>
  <c r="Y98" i="1"/>
  <c r="Z98" i="1"/>
  <c r="Y100" i="1"/>
  <c r="Z100" i="1"/>
  <c r="Y103" i="1"/>
  <c r="Z103" i="1"/>
  <c r="Y104" i="1"/>
  <c r="Z104" i="1"/>
  <c r="Y105" i="1"/>
  <c r="Z105" i="1"/>
  <c r="Y108" i="1"/>
  <c r="Z108" i="1"/>
  <c r="Y110" i="1"/>
  <c r="Z110" i="1"/>
  <c r="Y112" i="1"/>
  <c r="Z112" i="1"/>
  <c r="Y114" i="1"/>
  <c r="Z114" i="1"/>
  <c r="Y115" i="1"/>
  <c r="Z115" i="1"/>
  <c r="Y116" i="1"/>
  <c r="Z116" i="1"/>
  <c r="Y117" i="1"/>
  <c r="Z117" i="1"/>
  <c r="Y118" i="1"/>
  <c r="Z118" i="1"/>
  <c r="Y120" i="1"/>
  <c r="Z120" i="1"/>
  <c r="Y122" i="1"/>
  <c r="Z122" i="1"/>
  <c r="Y123" i="1"/>
  <c r="Z123" i="1"/>
  <c r="Y124" i="1"/>
  <c r="Z124" i="1"/>
  <c r="Y126" i="1"/>
  <c r="Z126" i="1"/>
  <c r="Y127" i="1"/>
  <c r="Z127" i="1"/>
  <c r="Y129" i="1"/>
  <c r="Z129" i="1"/>
  <c r="Y131" i="1"/>
  <c r="Z131" i="1"/>
  <c r="Y134" i="1"/>
  <c r="Z134" i="1"/>
  <c r="Y139" i="1"/>
  <c r="Z139" i="1"/>
  <c r="Y141" i="1"/>
  <c r="Z141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4" i="1"/>
  <c r="Z154" i="1"/>
  <c r="Y155" i="1"/>
  <c r="Z155" i="1"/>
  <c r="Y156" i="1"/>
  <c r="Z156" i="1"/>
  <c r="Y158" i="1"/>
  <c r="Z158" i="1"/>
  <c r="Y159" i="1"/>
  <c r="Z159" i="1"/>
  <c r="Y161" i="1"/>
  <c r="Z161" i="1"/>
  <c r="Y162" i="1"/>
  <c r="Z162" i="1"/>
  <c r="Y167" i="1"/>
  <c r="Z167" i="1"/>
  <c r="Y170" i="1"/>
  <c r="Z170" i="1"/>
  <c r="Y173" i="1"/>
  <c r="Z173" i="1"/>
  <c r="Y174" i="1"/>
  <c r="Z174" i="1"/>
  <c r="Y175" i="1"/>
  <c r="Z175" i="1"/>
  <c r="Y178" i="1"/>
  <c r="Z178" i="1"/>
  <c r="Y180" i="1"/>
  <c r="Z180" i="1"/>
  <c r="Y181" i="1"/>
  <c r="Z181" i="1"/>
  <c r="Y182" i="1"/>
  <c r="Z182" i="1"/>
  <c r="Y184" i="1"/>
  <c r="Z184" i="1"/>
  <c r="Y185" i="1"/>
  <c r="Z185" i="1"/>
  <c r="Y186" i="1"/>
  <c r="Z186" i="1"/>
  <c r="Y187" i="1"/>
  <c r="Z187" i="1"/>
  <c r="Y189" i="1"/>
  <c r="Z189" i="1"/>
  <c r="Y191" i="1"/>
  <c r="Z191" i="1"/>
  <c r="Y192" i="1"/>
  <c r="Z192" i="1"/>
  <c r="Y194" i="1"/>
  <c r="Z194" i="1"/>
  <c r="Y195" i="1"/>
  <c r="Z195" i="1"/>
  <c r="Y196" i="1"/>
  <c r="Z196" i="1"/>
  <c r="Y197" i="1"/>
  <c r="Z197" i="1"/>
  <c r="Y198" i="1"/>
  <c r="Z198" i="1"/>
  <c r="Y200" i="1"/>
  <c r="Z200" i="1"/>
  <c r="Y201" i="1"/>
  <c r="Z201" i="1"/>
  <c r="Y203" i="1"/>
  <c r="Z203" i="1"/>
  <c r="Y204" i="1"/>
  <c r="Z204" i="1"/>
  <c r="Y205" i="1"/>
  <c r="Z205" i="1"/>
  <c r="Y207" i="1"/>
  <c r="Z207" i="1"/>
  <c r="Y209" i="1"/>
  <c r="Z209" i="1"/>
  <c r="Y211" i="1"/>
  <c r="Z211" i="1"/>
  <c r="Y213" i="1"/>
  <c r="Z213" i="1"/>
  <c r="Y214" i="1"/>
  <c r="Z214" i="1"/>
  <c r="Y215" i="1"/>
  <c r="Z215" i="1"/>
  <c r="Y216" i="1"/>
  <c r="Z216" i="1"/>
  <c r="Y217" i="1"/>
  <c r="Z217" i="1"/>
  <c r="Y218" i="1"/>
  <c r="Z218" i="1"/>
  <c r="Y220" i="1"/>
  <c r="Z220" i="1"/>
  <c r="Y221" i="1"/>
  <c r="Z221" i="1"/>
  <c r="Y223" i="1"/>
  <c r="Z223" i="1"/>
  <c r="Y224" i="1"/>
  <c r="Z224" i="1"/>
  <c r="Y225" i="1"/>
  <c r="Z225" i="1"/>
  <c r="Y226" i="1"/>
  <c r="Z226" i="1"/>
  <c r="Y227" i="1"/>
  <c r="Z227" i="1"/>
  <c r="Y228" i="1"/>
  <c r="Z228" i="1"/>
  <c r="Y230" i="1"/>
  <c r="Z230" i="1"/>
  <c r="Y231" i="1"/>
  <c r="Z231" i="1"/>
  <c r="Y232" i="1"/>
  <c r="Z232" i="1"/>
  <c r="Y233" i="1"/>
  <c r="Z233" i="1"/>
  <c r="Y234" i="1"/>
  <c r="Z234" i="1"/>
  <c r="Y235" i="1"/>
  <c r="Z235" i="1"/>
  <c r="Y236" i="1"/>
  <c r="Z236" i="1"/>
  <c r="Y240" i="1"/>
  <c r="Z240" i="1"/>
  <c r="Y241" i="1"/>
  <c r="Z241" i="1"/>
  <c r="Y242" i="1"/>
  <c r="Z242" i="1"/>
  <c r="Y243" i="1"/>
  <c r="Z243" i="1"/>
  <c r="Y246" i="1"/>
  <c r="Z246" i="1"/>
  <c r="Y247" i="1"/>
  <c r="Z247" i="1"/>
  <c r="Y249" i="1"/>
  <c r="Z249" i="1"/>
  <c r="Y251" i="1"/>
  <c r="Z251" i="1"/>
  <c r="Y252" i="1"/>
  <c r="Z252" i="1"/>
  <c r="Y253" i="1"/>
  <c r="Z253" i="1"/>
  <c r="Y256" i="1"/>
  <c r="Z256" i="1"/>
  <c r="Y257" i="1"/>
  <c r="Z257" i="1"/>
  <c r="Y258" i="1"/>
  <c r="Z258" i="1"/>
  <c r="Y259" i="1"/>
  <c r="Z259" i="1"/>
  <c r="Y261" i="1"/>
  <c r="Z261" i="1"/>
  <c r="Y263" i="1"/>
  <c r="Z263" i="1"/>
  <c r="Y264" i="1"/>
  <c r="Z264" i="1"/>
  <c r="Y266" i="1"/>
  <c r="Z266" i="1"/>
  <c r="Y269" i="1"/>
  <c r="Z269" i="1"/>
  <c r="Y272" i="1"/>
  <c r="Z272" i="1"/>
  <c r="Y273" i="1"/>
  <c r="Z273" i="1"/>
  <c r="Y274" i="1"/>
  <c r="Z274" i="1"/>
  <c r="Y277" i="1"/>
  <c r="Z277" i="1"/>
  <c r="Y280" i="1"/>
  <c r="Z280" i="1"/>
  <c r="Y281" i="1"/>
  <c r="Z281" i="1"/>
  <c r="Y282" i="1"/>
  <c r="Z282" i="1"/>
  <c r="Y285" i="1"/>
  <c r="Z285" i="1"/>
  <c r="Y287" i="1"/>
  <c r="Z287" i="1"/>
  <c r="Y288" i="1"/>
  <c r="Z288" i="1"/>
  <c r="Y289" i="1"/>
  <c r="Z289" i="1"/>
  <c r="Y290" i="1"/>
  <c r="Z290" i="1"/>
  <c r="Y292" i="1"/>
  <c r="Z292" i="1"/>
  <c r="Y293" i="1"/>
  <c r="Z293" i="1"/>
  <c r="Y295" i="1"/>
  <c r="Z295" i="1"/>
  <c r="Y296" i="1"/>
  <c r="Z296" i="1"/>
  <c r="Y297" i="1"/>
  <c r="Z297" i="1"/>
  <c r="Y298" i="1"/>
  <c r="Z298" i="1"/>
  <c r="Y299" i="1"/>
  <c r="Z299" i="1"/>
  <c r="Y300" i="1"/>
  <c r="Z300" i="1"/>
  <c r="Y301" i="1"/>
  <c r="Z301" i="1"/>
  <c r="Y302" i="1"/>
  <c r="Z302" i="1"/>
  <c r="Y306" i="1"/>
  <c r="Z306" i="1"/>
  <c r="Y308" i="1"/>
  <c r="Z308" i="1"/>
  <c r="Y309" i="1"/>
  <c r="Z309" i="1"/>
  <c r="Y311" i="1"/>
  <c r="Z311" i="1"/>
  <c r="Y313" i="1"/>
  <c r="Z313" i="1"/>
  <c r="Y314" i="1"/>
  <c r="Z314" i="1"/>
  <c r="Y316" i="1"/>
  <c r="Z316" i="1"/>
  <c r="Y317" i="1"/>
  <c r="Z317" i="1"/>
  <c r="Y320" i="1"/>
  <c r="Z320" i="1"/>
  <c r="Y321" i="1"/>
  <c r="Z321" i="1"/>
  <c r="Y323" i="1"/>
  <c r="Z323" i="1"/>
  <c r="Y324" i="1"/>
  <c r="Z324" i="1"/>
  <c r="Y325" i="1"/>
  <c r="Z325" i="1"/>
  <c r="Y326" i="1"/>
  <c r="Z326" i="1"/>
  <c r="Y327" i="1"/>
  <c r="Z327" i="1"/>
  <c r="Y329" i="1"/>
  <c r="Z329" i="1"/>
  <c r="Y330" i="1"/>
  <c r="Z330" i="1"/>
  <c r="Y331" i="1"/>
  <c r="Z331" i="1"/>
  <c r="Y335" i="1"/>
  <c r="Z335" i="1"/>
  <c r="Y338" i="1"/>
  <c r="Z338" i="1"/>
  <c r="Y339" i="1"/>
  <c r="Z339" i="1"/>
  <c r="Y340" i="1"/>
  <c r="Z340" i="1"/>
  <c r="Y341" i="1"/>
  <c r="Z341" i="1"/>
  <c r="Y342" i="1"/>
  <c r="Z342" i="1"/>
  <c r="Y343" i="1"/>
  <c r="Z343" i="1"/>
  <c r="Y344" i="1"/>
  <c r="Z344" i="1"/>
  <c r="Y345" i="1"/>
  <c r="Z345" i="1"/>
  <c r="Y347" i="1"/>
  <c r="Z347" i="1"/>
  <c r="Y351" i="1"/>
  <c r="Z351" i="1"/>
  <c r="Y353" i="1"/>
  <c r="Z353" i="1"/>
  <c r="Y355" i="1"/>
  <c r="Z355" i="1"/>
  <c r="Y358" i="1"/>
  <c r="Z358" i="1"/>
  <c r="Y359" i="1"/>
  <c r="Z359" i="1"/>
  <c r="Y360" i="1"/>
  <c r="Z360" i="1"/>
  <c r="Y364" i="1"/>
  <c r="Z364" i="1"/>
  <c r="Y367" i="1"/>
  <c r="Z367" i="1"/>
  <c r="Y370" i="1"/>
  <c r="Z370" i="1"/>
  <c r="Y373" i="1"/>
  <c r="Z373" i="1"/>
  <c r="Y375" i="1"/>
  <c r="Z375" i="1"/>
  <c r="Y377" i="1"/>
  <c r="Z377" i="1"/>
  <c r="Y378" i="1"/>
  <c r="Z378" i="1"/>
  <c r="Y380" i="1"/>
  <c r="Z380" i="1"/>
  <c r="Y382" i="1"/>
  <c r="Z382" i="1"/>
  <c r="Y384" i="1"/>
  <c r="Z384" i="1"/>
  <c r="Y386" i="1"/>
  <c r="Z386" i="1"/>
  <c r="Y388" i="1"/>
  <c r="Z388" i="1"/>
  <c r="Y389" i="1"/>
  <c r="Z389" i="1"/>
  <c r="Y390" i="1"/>
  <c r="Z390" i="1"/>
  <c r="Y393" i="1"/>
  <c r="Z393" i="1"/>
  <c r="Y394" i="1"/>
  <c r="Z394" i="1"/>
  <c r="Y395" i="1"/>
  <c r="Z395" i="1"/>
  <c r="Y398" i="1"/>
  <c r="Z398" i="1"/>
  <c r="Y399" i="1"/>
  <c r="Z399" i="1"/>
  <c r="Y401" i="1"/>
  <c r="Z401" i="1"/>
  <c r="Y403" i="1"/>
  <c r="Z403" i="1"/>
  <c r="Y405" i="1"/>
  <c r="Z405" i="1"/>
  <c r="Y407" i="1"/>
  <c r="Z407" i="1"/>
  <c r="Y410" i="1"/>
  <c r="Z410" i="1"/>
  <c r="Y412" i="1"/>
  <c r="Z412" i="1"/>
  <c r="Y415" i="1"/>
  <c r="Z415" i="1"/>
  <c r="Y416" i="1"/>
  <c r="Z416" i="1"/>
  <c r="Y417" i="1"/>
  <c r="Z417" i="1"/>
  <c r="Y419" i="1"/>
  <c r="Z419" i="1"/>
  <c r="Y423" i="1"/>
  <c r="Z423" i="1"/>
  <c r="Y426" i="1"/>
  <c r="Z426" i="1"/>
  <c r="Y429" i="1"/>
  <c r="Z429" i="1"/>
  <c r="Y432" i="1"/>
  <c r="Z432" i="1"/>
  <c r="Y433" i="1"/>
  <c r="Z433" i="1"/>
  <c r="Y434" i="1"/>
  <c r="Z434" i="1"/>
  <c r="Y435" i="1"/>
  <c r="Z435" i="1"/>
  <c r="Y440" i="1"/>
  <c r="Z440" i="1"/>
  <c r="Y443" i="1"/>
  <c r="Z443" i="1"/>
  <c r="Y446" i="1"/>
  <c r="Z446" i="1"/>
  <c r="Y447" i="1"/>
  <c r="Z447" i="1"/>
  <c r="Y448" i="1"/>
  <c r="Z448" i="1"/>
  <c r="Y451" i="1"/>
  <c r="Z451" i="1"/>
  <c r="Y452" i="1"/>
  <c r="Z452" i="1"/>
  <c r="Y454" i="1"/>
  <c r="Z454" i="1"/>
  <c r="Y458" i="1"/>
  <c r="Z458" i="1"/>
  <c r="Y459" i="1"/>
  <c r="Z459" i="1"/>
  <c r="Y460" i="1"/>
  <c r="Z460" i="1"/>
  <c r="Y461" i="1"/>
  <c r="Z461" i="1"/>
  <c r="Y462" i="1"/>
  <c r="Z462" i="1"/>
  <c r="Y464" i="1"/>
  <c r="Z464" i="1"/>
  <c r="Y469" i="1"/>
  <c r="Z469" i="1"/>
  <c r="Y470" i="1"/>
  <c r="Z470" i="1"/>
  <c r="Y473" i="1"/>
  <c r="Z473" i="1"/>
  <c r="Y474" i="1"/>
  <c r="Z474" i="1"/>
  <c r="Y475" i="1"/>
  <c r="Z475" i="1"/>
  <c r="Y477" i="1"/>
  <c r="Z477" i="1"/>
  <c r="Y480" i="1"/>
  <c r="Z480" i="1"/>
  <c r="Y482" i="1"/>
  <c r="Z482" i="1"/>
  <c r="Y486" i="1"/>
  <c r="Z486" i="1"/>
  <c r="Y488" i="1"/>
  <c r="Z488" i="1"/>
  <c r="Y489" i="1"/>
  <c r="Z489" i="1"/>
  <c r="Y495" i="1"/>
  <c r="Z495" i="1"/>
  <c r="Y497" i="1"/>
  <c r="Z497" i="1"/>
  <c r="Y499" i="1"/>
  <c r="Z499" i="1"/>
  <c r="Y501" i="1"/>
  <c r="Z501" i="1"/>
  <c r="Y503" i="1"/>
  <c r="Z503" i="1"/>
  <c r="Y505" i="1"/>
  <c r="Z505" i="1"/>
  <c r="Y507" i="1"/>
  <c r="Z507" i="1"/>
  <c r="Y509" i="1"/>
  <c r="Z509" i="1"/>
  <c r="Y511" i="1"/>
  <c r="Z511" i="1"/>
  <c r="Y512" i="1"/>
  <c r="Z512" i="1"/>
  <c r="Y513" i="1"/>
  <c r="Z513" i="1"/>
  <c r="Y514" i="1"/>
  <c r="Z514" i="1"/>
  <c r="Y516" i="1"/>
  <c r="Z516" i="1"/>
  <c r="Y518" i="1"/>
  <c r="Z518" i="1"/>
  <c r="Y519" i="1"/>
  <c r="Z519" i="1"/>
  <c r="Y522" i="1"/>
  <c r="Z522" i="1"/>
  <c r="Y524" i="1"/>
  <c r="Z524" i="1"/>
  <c r="Y525" i="1"/>
  <c r="Z525" i="1"/>
  <c r="Y526" i="1"/>
  <c r="Z526" i="1"/>
  <c r="Y527" i="1"/>
  <c r="Z527" i="1"/>
  <c r="Y530" i="1"/>
  <c r="Z530" i="1"/>
  <c r="Y532" i="1"/>
  <c r="Z532" i="1"/>
  <c r="Y535" i="1"/>
  <c r="Z535" i="1"/>
  <c r="Y538" i="1"/>
  <c r="Z538" i="1"/>
  <c r="Y540" i="1"/>
  <c r="Z540" i="1"/>
  <c r="Y546" i="1"/>
  <c r="Z546" i="1"/>
  <c r="Y549" i="1"/>
  <c r="Z549" i="1"/>
  <c r="Y552" i="1"/>
  <c r="Z552" i="1"/>
  <c r="Y553" i="1"/>
  <c r="Z553" i="1"/>
  <c r="Y554" i="1"/>
  <c r="Z554" i="1"/>
  <c r="Y556" i="1"/>
  <c r="Z556" i="1"/>
  <c r="Y558" i="1"/>
  <c r="Z558" i="1"/>
  <c r="Y561" i="1"/>
  <c r="Z561" i="1"/>
  <c r="Y564" i="1"/>
  <c r="Z564" i="1"/>
  <c r="Y567" i="1"/>
  <c r="Z567" i="1"/>
  <c r="Y570" i="1"/>
  <c r="Z570" i="1"/>
  <c r="Y572" i="1"/>
  <c r="Z572" i="1"/>
  <c r="Y574" i="1"/>
  <c r="Z574" i="1"/>
  <c r="Y576" i="1"/>
  <c r="Z576" i="1"/>
  <c r="Y578" i="1"/>
  <c r="Z578" i="1"/>
  <c r="Y580" i="1"/>
  <c r="Z580" i="1"/>
  <c r="Y583" i="1"/>
  <c r="Z583" i="1"/>
  <c r="Y586" i="1"/>
  <c r="Z586" i="1"/>
  <c r="Y587" i="1"/>
  <c r="Z587" i="1"/>
  <c r="Y588" i="1"/>
  <c r="Z588" i="1"/>
  <c r="Y590" i="1"/>
  <c r="Z590" i="1"/>
  <c r="Y592" i="1"/>
  <c r="Z592" i="1"/>
  <c r="Y595" i="1"/>
  <c r="Z595" i="1"/>
  <c r="Y596" i="1"/>
  <c r="Z596" i="1"/>
  <c r="Y602" i="1"/>
  <c r="Z602" i="1"/>
  <c r="Y603" i="1"/>
  <c r="Z603" i="1"/>
  <c r="Y604" i="1"/>
  <c r="Z604" i="1"/>
  <c r="Y606" i="1"/>
  <c r="Z606" i="1"/>
  <c r="Y607" i="1"/>
  <c r="Z607" i="1"/>
  <c r="Y611" i="1"/>
  <c r="Z611" i="1"/>
  <c r="Y613" i="1"/>
  <c r="Z613" i="1"/>
  <c r="Y615" i="1"/>
  <c r="Z615" i="1"/>
  <c r="Y616" i="1"/>
  <c r="Z616" i="1"/>
  <c r="Y617" i="1"/>
  <c r="Z617" i="1"/>
  <c r="Y619" i="1"/>
  <c r="Z619" i="1"/>
  <c r="Y622" i="1"/>
  <c r="Z622" i="1"/>
  <c r="Y624" i="1"/>
  <c r="Z624" i="1"/>
  <c r="Y626" i="1"/>
  <c r="Z626" i="1"/>
  <c r="Y627" i="1"/>
  <c r="Z627" i="1"/>
  <c r="Y628" i="1"/>
  <c r="Z628" i="1"/>
  <c r="Y630" i="1"/>
  <c r="Z630" i="1"/>
  <c r="Y631" i="1"/>
  <c r="Z631" i="1"/>
  <c r="Y633" i="1"/>
  <c r="Z633" i="1"/>
  <c r="Y634" i="1"/>
  <c r="Z634" i="1"/>
  <c r="Y635" i="1"/>
  <c r="Z635" i="1"/>
  <c r="Y636" i="1"/>
  <c r="Z636" i="1"/>
  <c r="Y637" i="1"/>
  <c r="Z637" i="1"/>
  <c r="Y638" i="1"/>
  <c r="Z638" i="1"/>
  <c r="Y640" i="1"/>
  <c r="Z640" i="1"/>
  <c r="Y641" i="1"/>
  <c r="Z641" i="1"/>
  <c r="Y642" i="1"/>
  <c r="Z642" i="1"/>
  <c r="Y644" i="1"/>
  <c r="Z644" i="1"/>
  <c r="Y646" i="1"/>
  <c r="Z646" i="1"/>
  <c r="Y647" i="1"/>
  <c r="Z647" i="1"/>
  <c r="Y649" i="1"/>
  <c r="Z649" i="1"/>
  <c r="Y650" i="1"/>
  <c r="Z650" i="1"/>
  <c r="Y651" i="1"/>
  <c r="Z651" i="1"/>
  <c r="Y652" i="1"/>
  <c r="Z652" i="1"/>
  <c r="Y653" i="1"/>
  <c r="Z653" i="1"/>
  <c r="Y655" i="1"/>
  <c r="Z655" i="1"/>
  <c r="Y656" i="1"/>
  <c r="Z656" i="1"/>
  <c r="Y657" i="1"/>
  <c r="Z657" i="1"/>
  <c r="Y658" i="1"/>
  <c r="Z658" i="1"/>
  <c r="Y662" i="1"/>
  <c r="Z662" i="1"/>
  <c r="Y664" i="1"/>
  <c r="Z664" i="1"/>
  <c r="Y665" i="1"/>
  <c r="Z665" i="1"/>
  <c r="Y666" i="1"/>
  <c r="Z666" i="1"/>
  <c r="Y668" i="1"/>
  <c r="Z668" i="1"/>
  <c r="Y670" i="1"/>
  <c r="Z670" i="1"/>
  <c r="Y671" i="1"/>
  <c r="Z671" i="1"/>
  <c r="Y672" i="1"/>
  <c r="Z672" i="1"/>
  <c r="Y673" i="1"/>
  <c r="Z673" i="1"/>
  <c r="Y675" i="1"/>
  <c r="Z675" i="1"/>
  <c r="Y677" i="1"/>
  <c r="Z677" i="1"/>
  <c r="Y678" i="1"/>
  <c r="Z678" i="1"/>
  <c r="Y680" i="1"/>
  <c r="Z680" i="1"/>
  <c r="Y682" i="1"/>
  <c r="Z682" i="1"/>
  <c r="Y683" i="1"/>
  <c r="Z683" i="1"/>
  <c r="Y685" i="1"/>
  <c r="Z685" i="1"/>
  <c r="Y687" i="1"/>
  <c r="Z687" i="1"/>
  <c r="Y690" i="1"/>
  <c r="Z690" i="1"/>
  <c r="Y692" i="1"/>
  <c r="Z692" i="1"/>
  <c r="Y693" i="1"/>
  <c r="Z693" i="1"/>
  <c r="Y694" i="1"/>
  <c r="Z694" i="1"/>
  <c r="Y699" i="1"/>
  <c r="Z699" i="1"/>
  <c r="Y701" i="1"/>
  <c r="Z701" i="1"/>
  <c r="Y703" i="1"/>
  <c r="Z703" i="1"/>
  <c r="Y704" i="1"/>
  <c r="Z704" i="1"/>
  <c r="Y705" i="1"/>
  <c r="Z705" i="1"/>
  <c r="Y706" i="1"/>
  <c r="Z706" i="1"/>
  <c r="Y707" i="1"/>
  <c r="Z707" i="1"/>
  <c r="Y709" i="1"/>
  <c r="Z709" i="1"/>
  <c r="Y711" i="1"/>
  <c r="Z711" i="1"/>
  <c r="Y714" i="1"/>
  <c r="Z714" i="1"/>
  <c r="Y716" i="1"/>
  <c r="Z716" i="1"/>
  <c r="Y718" i="1"/>
  <c r="Z718" i="1"/>
  <c r="Y721" i="1"/>
  <c r="Z721" i="1"/>
  <c r="Y724" i="1"/>
  <c r="Z724" i="1"/>
  <c r="Y726" i="1"/>
  <c r="Z726" i="1"/>
  <c r="Y729" i="1"/>
  <c r="Z729" i="1"/>
  <c r="Y731" i="1"/>
  <c r="Z731" i="1"/>
  <c r="Y732" i="1"/>
  <c r="Z732" i="1"/>
  <c r="Y734" i="1"/>
  <c r="Z734" i="1"/>
  <c r="Y735" i="1"/>
  <c r="Z735" i="1"/>
  <c r="Y737" i="1"/>
  <c r="Z737" i="1"/>
  <c r="Y738" i="1"/>
  <c r="Z738" i="1"/>
  <c r="Y740" i="1"/>
  <c r="Z740" i="1"/>
  <c r="Y743" i="1"/>
  <c r="Z743" i="1"/>
  <c r="Y745" i="1"/>
  <c r="Z745" i="1"/>
  <c r="Y746" i="1"/>
  <c r="Z746" i="1"/>
  <c r="Y748" i="1"/>
  <c r="Z748" i="1"/>
  <c r="Y749" i="1"/>
  <c r="Z749" i="1"/>
  <c r="Y750" i="1"/>
  <c r="Z750" i="1"/>
  <c r="Y753" i="1"/>
  <c r="Z753" i="1"/>
  <c r="Y755" i="1"/>
  <c r="Z755" i="1"/>
  <c r="Y757" i="1"/>
  <c r="Z757" i="1"/>
  <c r="Y759" i="1"/>
  <c r="Z759" i="1"/>
  <c r="Y760" i="1"/>
  <c r="Z760" i="1"/>
  <c r="Y763" i="1"/>
  <c r="Z763" i="1"/>
  <c r="Y766" i="1"/>
  <c r="Z766" i="1"/>
  <c r="Y769" i="1"/>
  <c r="Z769" i="1"/>
  <c r="Y770" i="1"/>
  <c r="Z770" i="1"/>
  <c r="Y771" i="1"/>
  <c r="Z771" i="1"/>
  <c r="Y773" i="1"/>
  <c r="Z773" i="1"/>
  <c r="Y775" i="1"/>
  <c r="Z775" i="1"/>
  <c r="Y777" i="1"/>
  <c r="Z777" i="1"/>
  <c r="Y778" i="1"/>
  <c r="Z778" i="1"/>
  <c r="Y779" i="1"/>
  <c r="Z779" i="1"/>
  <c r="Y780" i="1"/>
  <c r="Z780" i="1"/>
  <c r="Y784" i="1"/>
  <c r="Z784" i="1"/>
  <c r="Y785" i="1"/>
  <c r="Z785" i="1"/>
  <c r="Y787" i="1"/>
  <c r="Z787" i="1"/>
  <c r="Y788" i="1"/>
  <c r="Z788" i="1"/>
  <c r="Y790" i="1"/>
  <c r="Z790" i="1"/>
  <c r="Y791" i="1"/>
  <c r="Z791" i="1"/>
  <c r="Y792" i="1"/>
  <c r="Z792" i="1"/>
  <c r="Y797" i="1"/>
  <c r="Z797" i="1"/>
  <c r="Y799" i="1"/>
  <c r="Z799" i="1"/>
  <c r="Y800" i="1"/>
  <c r="Z800" i="1"/>
  <c r="Y801" i="1"/>
  <c r="Z801" i="1"/>
  <c r="Y803" i="1"/>
  <c r="Z803" i="1"/>
  <c r="Y804" i="1"/>
  <c r="Z804" i="1"/>
  <c r="Y805" i="1"/>
  <c r="Z805" i="1"/>
  <c r="Y806" i="1"/>
  <c r="Z806" i="1"/>
  <c r="Y807" i="1"/>
  <c r="Z807" i="1"/>
  <c r="Y808" i="1"/>
  <c r="Z808" i="1"/>
  <c r="Y809" i="1"/>
  <c r="Z809" i="1"/>
  <c r="Y810" i="1"/>
  <c r="Z810" i="1"/>
  <c r="Y811" i="1"/>
  <c r="Z811" i="1"/>
  <c r="Y812" i="1"/>
  <c r="Z812" i="1"/>
  <c r="Y814" i="1"/>
  <c r="Z814" i="1"/>
  <c r="Y815" i="1"/>
  <c r="Z815" i="1"/>
  <c r="Y816" i="1"/>
  <c r="Z816" i="1"/>
  <c r="Y817" i="1"/>
  <c r="Z817" i="1"/>
  <c r="Y818" i="1"/>
  <c r="Z818" i="1"/>
  <c r="Y819" i="1"/>
  <c r="Z819" i="1"/>
  <c r="Y821" i="1"/>
  <c r="Z821" i="1"/>
  <c r="Y822" i="1"/>
  <c r="Z822" i="1"/>
  <c r="Y823" i="1"/>
  <c r="Z823" i="1"/>
  <c r="Y825" i="1"/>
  <c r="Z825" i="1"/>
  <c r="Y827" i="1"/>
  <c r="Z827" i="1"/>
  <c r="Y831" i="1"/>
  <c r="Z831" i="1"/>
  <c r="Y833" i="1"/>
  <c r="Z833" i="1"/>
  <c r="Y835" i="1"/>
  <c r="Z835" i="1"/>
  <c r="Y836" i="1"/>
  <c r="Z836" i="1"/>
  <c r="Y838" i="1"/>
  <c r="Z838" i="1"/>
  <c r="Y839" i="1"/>
  <c r="Z839" i="1"/>
  <c r="Y841" i="1"/>
  <c r="Z841" i="1"/>
  <c r="Y842" i="1"/>
  <c r="Z842" i="1"/>
  <c r="Y843" i="1"/>
  <c r="Z843" i="1"/>
  <c r="Y844" i="1"/>
  <c r="Z844" i="1"/>
  <c r="Y845" i="1"/>
  <c r="Z845" i="1"/>
  <c r="Y848" i="1"/>
  <c r="Z848" i="1"/>
  <c r="Y851" i="1"/>
  <c r="Z851" i="1"/>
  <c r="Y853" i="1"/>
  <c r="Z853" i="1"/>
  <c r="Y854" i="1"/>
  <c r="Z854" i="1"/>
  <c r="Y857" i="1"/>
  <c r="Z857" i="1"/>
  <c r="Y859" i="1"/>
  <c r="Z859" i="1"/>
  <c r="Y860" i="1"/>
  <c r="Z860" i="1"/>
  <c r="Y861" i="1"/>
  <c r="Z861" i="1"/>
  <c r="Y863" i="1"/>
  <c r="Z863" i="1"/>
  <c r="Y867" i="1"/>
  <c r="Z867" i="1"/>
  <c r="Y869" i="1"/>
  <c r="Z869" i="1"/>
  <c r="Y872" i="1"/>
  <c r="Z872" i="1"/>
  <c r="Y874" i="1"/>
  <c r="Z874" i="1"/>
  <c r="Y875" i="1"/>
  <c r="Z875" i="1"/>
  <c r="Y876" i="1"/>
  <c r="Z876" i="1"/>
  <c r="Y878" i="1"/>
  <c r="Z878" i="1"/>
  <c r="Y880" i="1"/>
  <c r="Z880" i="1"/>
  <c r="Y882" i="1"/>
  <c r="Z882" i="1"/>
  <c r="Y884" i="1"/>
  <c r="Z884" i="1"/>
  <c r="Y886" i="1"/>
  <c r="Z886" i="1"/>
  <c r="Y888" i="1"/>
  <c r="Z888" i="1"/>
  <c r="Y889" i="1"/>
  <c r="Z889" i="1"/>
  <c r="Y891" i="1"/>
  <c r="Z891" i="1"/>
  <c r="Y893" i="1"/>
  <c r="Z893" i="1"/>
  <c r="Y894" i="1"/>
  <c r="Z894" i="1"/>
  <c r="Y895" i="1"/>
  <c r="Z895" i="1"/>
  <c r="Y896" i="1"/>
  <c r="Z896" i="1"/>
  <c r="Y898" i="1"/>
  <c r="Z898" i="1"/>
  <c r="Y899" i="1"/>
  <c r="Z899" i="1"/>
  <c r="Y900" i="1"/>
  <c r="Z900" i="1"/>
  <c r="Y902" i="1"/>
  <c r="Z902" i="1"/>
  <c r="Y903" i="1"/>
  <c r="Z903" i="1"/>
  <c r="Y905" i="1"/>
  <c r="Z905" i="1"/>
  <c r="Y907" i="1"/>
  <c r="Z907" i="1"/>
  <c r="Y909" i="1"/>
  <c r="Z909" i="1"/>
  <c r="Y911" i="1"/>
  <c r="Z911" i="1"/>
  <c r="Y912" i="1"/>
  <c r="Z912" i="1"/>
  <c r="Y913" i="1"/>
  <c r="Z913" i="1"/>
  <c r="Y914" i="1"/>
  <c r="Z914" i="1"/>
  <c r="Y916" i="1"/>
  <c r="Z916" i="1"/>
  <c r="Y920" i="1"/>
  <c r="Z920" i="1"/>
  <c r="Y922" i="1"/>
  <c r="Z922" i="1"/>
  <c r="Y923" i="1"/>
  <c r="Z923" i="1"/>
  <c r="Y927" i="1"/>
  <c r="Z927" i="1"/>
  <c r="Y931" i="1"/>
  <c r="Z931" i="1"/>
  <c r="Y932" i="1"/>
  <c r="Z932" i="1"/>
  <c r="Y933" i="1"/>
  <c r="Z933" i="1"/>
  <c r="Y935" i="1"/>
  <c r="Z935" i="1"/>
  <c r="Y936" i="1"/>
  <c r="Z936" i="1"/>
  <c r="Y938" i="1"/>
  <c r="Z938" i="1"/>
  <c r="Y939" i="1"/>
  <c r="Z939" i="1"/>
  <c r="Y940" i="1"/>
  <c r="Z940" i="1"/>
  <c r="Y945" i="1"/>
  <c r="Z945" i="1"/>
  <c r="Y947" i="1"/>
  <c r="Z947" i="1"/>
  <c r="Y949" i="1"/>
  <c r="Z949" i="1"/>
  <c r="Y951" i="1"/>
  <c r="Z951" i="1"/>
  <c r="Y953" i="1"/>
  <c r="Z953" i="1"/>
  <c r="Y955" i="1"/>
  <c r="Z955" i="1"/>
  <c r="Y956" i="1"/>
  <c r="Z956" i="1"/>
  <c r="Y957" i="1"/>
  <c r="Z957" i="1"/>
  <c r="Y959" i="1"/>
  <c r="Z959" i="1"/>
  <c r="Y961" i="1"/>
  <c r="Z961" i="1"/>
  <c r="Y964" i="1"/>
  <c r="Z964" i="1"/>
  <c r="Y966" i="1"/>
  <c r="Z966" i="1"/>
  <c r="Y968" i="1"/>
  <c r="Z968" i="1"/>
  <c r="Y969" i="1"/>
  <c r="Z969" i="1"/>
  <c r="Y971" i="1"/>
  <c r="Z971" i="1"/>
  <c r="Y972" i="1"/>
  <c r="Z972" i="1"/>
  <c r="Y973" i="1"/>
  <c r="Z973" i="1"/>
  <c r="Y976" i="1"/>
  <c r="Z976" i="1"/>
  <c r="Y978" i="1"/>
  <c r="Z978" i="1"/>
  <c r="Y979" i="1"/>
  <c r="Z979" i="1"/>
  <c r="Y981" i="1"/>
  <c r="Z981" i="1"/>
  <c r="Y982" i="1"/>
  <c r="Z982" i="1"/>
  <c r="Y984" i="1"/>
  <c r="Z984" i="1"/>
  <c r="Y986" i="1"/>
  <c r="Z986" i="1"/>
  <c r="Y988" i="1"/>
  <c r="Z988" i="1"/>
  <c r="Y990" i="1"/>
  <c r="Z990" i="1"/>
  <c r="Y991" i="1"/>
  <c r="Z991" i="1"/>
  <c r="Y992" i="1"/>
  <c r="Z992" i="1"/>
  <c r="Y993" i="1"/>
  <c r="Z993" i="1"/>
  <c r="Y994" i="1"/>
  <c r="Z994" i="1"/>
  <c r="Y995" i="1"/>
  <c r="Z995" i="1"/>
  <c r="Y999" i="1"/>
  <c r="Z999" i="1"/>
  <c r="Y1003" i="1"/>
  <c r="Z1003" i="1"/>
  <c r="Y1004" i="1"/>
  <c r="Z1004" i="1"/>
  <c r="Y1005" i="1"/>
  <c r="Z1005" i="1"/>
  <c r="Y1007" i="1"/>
  <c r="Z1007" i="1"/>
  <c r="Y1010" i="1"/>
  <c r="Z1010" i="1"/>
  <c r="Y1013" i="1"/>
  <c r="Z1013" i="1"/>
  <c r="Y1014" i="1"/>
  <c r="Z1014" i="1"/>
  <c r="Y1016" i="1"/>
  <c r="Z1016" i="1"/>
  <c r="Y1018" i="1"/>
  <c r="Z1018" i="1"/>
  <c r="Y1019" i="1"/>
  <c r="Z1019" i="1"/>
  <c r="Y1020" i="1"/>
  <c r="Z1020" i="1"/>
  <c r="Y1022" i="1"/>
  <c r="Z1022" i="1"/>
  <c r="Y1024" i="1"/>
  <c r="Z1024" i="1"/>
  <c r="Y1026" i="1"/>
  <c r="Z1026" i="1"/>
  <c r="Y1028" i="1"/>
  <c r="Z1028" i="1"/>
  <c r="Y1029" i="1"/>
  <c r="Z1029" i="1"/>
  <c r="Y1031" i="1"/>
  <c r="Z1031" i="1"/>
  <c r="Y1033" i="1"/>
  <c r="Z1033" i="1"/>
  <c r="Y1035" i="1"/>
  <c r="Z1035" i="1"/>
  <c r="Y1037" i="1"/>
  <c r="Z1037" i="1"/>
  <c r="Y1038" i="1"/>
  <c r="Z1038" i="1"/>
  <c r="Y1039" i="1"/>
  <c r="Z1039" i="1"/>
  <c r="Y1040" i="1"/>
  <c r="Z1040" i="1"/>
  <c r="Y1041" i="1"/>
  <c r="Z1041" i="1"/>
  <c r="Y1042" i="1"/>
  <c r="Z1042" i="1"/>
  <c r="Y1046" i="1"/>
  <c r="Z1046" i="1"/>
  <c r="Y1048" i="1"/>
  <c r="Z1048" i="1"/>
  <c r="Y1050" i="1"/>
  <c r="Z1050" i="1"/>
  <c r="Y1051" i="1"/>
  <c r="Z1051" i="1"/>
  <c r="Y1054" i="1"/>
  <c r="Z1054" i="1"/>
  <c r="Y1056" i="1"/>
  <c r="Z1056" i="1"/>
  <c r="Y1059" i="1"/>
  <c r="Z1059" i="1"/>
  <c r="Y1060" i="1"/>
  <c r="Z1060" i="1"/>
  <c r="Y1062" i="1"/>
  <c r="Z1062" i="1"/>
  <c r="Y1064" i="1"/>
  <c r="Z1064" i="1"/>
  <c r="Y1065" i="1"/>
  <c r="Z1065" i="1"/>
  <c r="Y1066" i="1"/>
  <c r="Z1066" i="1"/>
  <c r="Y1067" i="1"/>
  <c r="Z1067" i="1"/>
  <c r="Y1068" i="1"/>
  <c r="Z1068" i="1"/>
  <c r="Y1069" i="1"/>
  <c r="Z1069" i="1"/>
  <c r="Y1070" i="1"/>
  <c r="Z1070" i="1"/>
  <c r="Y1072" i="1"/>
  <c r="Z1072" i="1"/>
  <c r="Y1073" i="1"/>
  <c r="Z1073" i="1"/>
  <c r="Y1075" i="1"/>
  <c r="Z1075" i="1"/>
  <c r="Y1077" i="1"/>
  <c r="Z1077" i="1"/>
  <c r="Y1078" i="1"/>
  <c r="Z1078" i="1"/>
  <c r="Y1080" i="1"/>
  <c r="Z1080" i="1"/>
  <c r="Y1081" i="1"/>
  <c r="Z1081" i="1"/>
  <c r="Y1082" i="1"/>
  <c r="Z1082" i="1"/>
  <c r="Y1084" i="1"/>
  <c r="Z1084" i="1"/>
  <c r="Y1086" i="1"/>
  <c r="Z1086" i="1"/>
  <c r="Y1091" i="1"/>
  <c r="Z1091" i="1"/>
  <c r="Y1093" i="1"/>
  <c r="Z1093" i="1"/>
  <c r="Y1095" i="1"/>
  <c r="Z1095" i="1"/>
  <c r="Y1098" i="1"/>
  <c r="Z1098" i="1"/>
  <c r="Y1101" i="1"/>
  <c r="Z1101" i="1"/>
  <c r="Y1104" i="1"/>
  <c r="Z1104" i="1"/>
  <c r="Y1107" i="1"/>
  <c r="Z1107" i="1"/>
  <c r="Y1109" i="1"/>
  <c r="Z1109" i="1"/>
  <c r="Y1113" i="1"/>
  <c r="Z1113" i="1"/>
  <c r="Y1117" i="1"/>
  <c r="Z1117" i="1"/>
  <c r="Y1118" i="1"/>
  <c r="Z1118" i="1"/>
  <c r="Y1122" i="1"/>
  <c r="Z1122" i="1"/>
  <c r="Y1124" i="1"/>
  <c r="Z1124" i="1"/>
  <c r="Y1126" i="1"/>
  <c r="Z1126" i="1"/>
  <c r="Y1128" i="1"/>
  <c r="Z1128" i="1"/>
  <c r="Y1130" i="1"/>
  <c r="Z1130" i="1"/>
  <c r="Y1131" i="1"/>
  <c r="Z1131" i="1"/>
  <c r="Y1132" i="1"/>
  <c r="Z1132" i="1"/>
  <c r="Y1133" i="1"/>
  <c r="Z1133" i="1"/>
  <c r="Y1134" i="1"/>
  <c r="Z1134" i="1"/>
  <c r="Y1136" i="1"/>
  <c r="Z1136" i="1"/>
  <c r="Y1138" i="1"/>
  <c r="Z1138" i="1"/>
  <c r="Y1141" i="1"/>
  <c r="Z1141" i="1"/>
  <c r="Y1143" i="1"/>
  <c r="Z1143" i="1"/>
  <c r="Y1144" i="1"/>
  <c r="Z1144" i="1"/>
  <c r="Y1145" i="1"/>
  <c r="Z1145" i="1"/>
  <c r="Y1147" i="1"/>
  <c r="Z1147" i="1"/>
  <c r="Y1149" i="1"/>
  <c r="Z1149" i="1"/>
  <c r="Y1150" i="1"/>
  <c r="Z1150" i="1"/>
  <c r="Y1151" i="1"/>
  <c r="Z1151" i="1"/>
  <c r="Y1152" i="1"/>
  <c r="Z1152" i="1"/>
  <c r="Y1155" i="1"/>
  <c r="Z1155" i="1"/>
  <c r="Y1157" i="1"/>
  <c r="Z1157" i="1"/>
  <c r="Y1158" i="1"/>
  <c r="Z1158" i="1"/>
  <c r="Y1159" i="1"/>
  <c r="Z1159" i="1"/>
  <c r="Y1162" i="1"/>
  <c r="Z1162" i="1"/>
  <c r="Y1163" i="1"/>
  <c r="Z1163" i="1"/>
  <c r="Y1165" i="1"/>
  <c r="Z1165" i="1"/>
  <c r="Y1167" i="1"/>
  <c r="Z1167" i="1"/>
  <c r="Y1168" i="1"/>
  <c r="Z1168" i="1"/>
  <c r="Y1171" i="1"/>
  <c r="Z1171" i="1"/>
  <c r="Y1172" i="1"/>
  <c r="Z1172" i="1"/>
  <c r="Y1173" i="1"/>
  <c r="Z1173" i="1"/>
  <c r="Y1175" i="1"/>
  <c r="Z1175" i="1"/>
  <c r="Y1176" i="1"/>
  <c r="Z1176" i="1"/>
  <c r="Y1177" i="1"/>
  <c r="Z1177" i="1"/>
  <c r="Y1179" i="1"/>
  <c r="Z1179" i="1"/>
  <c r="Y1181" i="1"/>
  <c r="Z1181" i="1"/>
  <c r="Y1182" i="1"/>
  <c r="Z1182" i="1"/>
  <c r="Y1184" i="1"/>
  <c r="Z1184" i="1"/>
  <c r="Y1186" i="1"/>
  <c r="Z1186" i="1"/>
  <c r="Y1188" i="1"/>
  <c r="Z1188" i="1"/>
  <c r="Y1189" i="1"/>
  <c r="Z1189" i="1"/>
  <c r="Y1193" i="1"/>
  <c r="Z1193" i="1"/>
  <c r="Y1195" i="1"/>
  <c r="Z1195" i="1"/>
  <c r="Y1197" i="1"/>
  <c r="Z1197" i="1"/>
  <c r="Y1198" i="1"/>
  <c r="Z1198" i="1"/>
  <c r="Y1199" i="1"/>
  <c r="Z1199" i="1"/>
  <c r="Y1200" i="1"/>
  <c r="Z1200" i="1"/>
  <c r="Y1201" i="1"/>
  <c r="Z1201" i="1"/>
  <c r="Y1202" i="1"/>
  <c r="Z1202" i="1"/>
  <c r="Y1203" i="1"/>
  <c r="Z1203" i="1"/>
  <c r="Y1206" i="1"/>
  <c r="Z1206" i="1"/>
  <c r="Y1209" i="1"/>
  <c r="Z1209" i="1"/>
  <c r="Y1210" i="1"/>
  <c r="Z1210" i="1"/>
  <c r="Y1211" i="1"/>
  <c r="Z1211" i="1"/>
  <c r="Y1214" i="1"/>
  <c r="Z1214" i="1"/>
  <c r="Y1216" i="1"/>
  <c r="Z1216" i="1"/>
  <c r="Y1218" i="1"/>
  <c r="Z1218" i="1"/>
  <c r="Y1220" i="1"/>
  <c r="Z1220" i="1"/>
  <c r="Y1222" i="1"/>
  <c r="Z1222" i="1"/>
  <c r="Y1223" i="1"/>
  <c r="Z1223" i="1"/>
  <c r="Y1225" i="1"/>
  <c r="Z1225" i="1"/>
  <c r="Y1227" i="1"/>
  <c r="Z1227" i="1"/>
  <c r="Y1229" i="1"/>
  <c r="Z1229" i="1"/>
  <c r="Y1231" i="1"/>
  <c r="Z1231" i="1"/>
  <c r="Y1233" i="1"/>
  <c r="Z1233" i="1"/>
  <c r="Y1234" i="1"/>
  <c r="Z1234" i="1"/>
  <c r="Y1235" i="1"/>
  <c r="Z1235" i="1"/>
  <c r="Y1238" i="1"/>
  <c r="Z1238" i="1"/>
  <c r="Y1239" i="1"/>
  <c r="Z1239" i="1"/>
  <c r="Y1242" i="1"/>
  <c r="Z1242" i="1"/>
  <c r="Y1245" i="1"/>
  <c r="Z1245" i="1"/>
  <c r="Y1248" i="1"/>
  <c r="Z1248" i="1"/>
  <c r="Y1249" i="1"/>
  <c r="Z1249" i="1"/>
  <c r="Y1251" i="1"/>
  <c r="Z1251" i="1"/>
  <c r="Y1253" i="1"/>
  <c r="Z1253" i="1"/>
  <c r="Y1254" i="1"/>
  <c r="Z1254" i="1"/>
  <c r="Y1256" i="1"/>
  <c r="Z1256" i="1"/>
  <c r="Y1257" i="1"/>
  <c r="Z1257" i="1"/>
  <c r="Y1260" i="1"/>
  <c r="Z1260" i="1"/>
  <c r="Y1261" i="1"/>
  <c r="Z1261" i="1"/>
  <c r="Y1264" i="1"/>
  <c r="Z1264" i="1"/>
  <c r="Y1267" i="1"/>
  <c r="Z1267" i="1"/>
  <c r="Y1269" i="1"/>
  <c r="Z1269" i="1"/>
  <c r="Y1270" i="1"/>
  <c r="Z1270" i="1"/>
  <c r="Y1272" i="1"/>
  <c r="Z1272" i="1"/>
  <c r="Y1274" i="1"/>
  <c r="Z1274" i="1"/>
  <c r="Y1276" i="1"/>
  <c r="Z1276" i="1"/>
  <c r="Y1279" i="1"/>
  <c r="Z1279" i="1"/>
  <c r="Y1283" i="1"/>
  <c r="Z1283" i="1"/>
  <c r="Y1285" i="1"/>
  <c r="Z1285" i="1"/>
  <c r="Y1287" i="1"/>
  <c r="Z1287" i="1"/>
  <c r="Y1288" i="1"/>
  <c r="Z1288" i="1"/>
  <c r="Y1289" i="1"/>
  <c r="Z1289" i="1"/>
  <c r="Y1292" i="1"/>
  <c r="Z1292" i="1"/>
  <c r="Y1295" i="1"/>
  <c r="Z1295" i="1"/>
  <c r="Y1296" i="1"/>
  <c r="Z1296" i="1"/>
  <c r="Y1299" i="1"/>
  <c r="Z1299" i="1"/>
  <c r="Y1302" i="1"/>
  <c r="Z1302" i="1"/>
  <c r="Y1305" i="1"/>
  <c r="Z1305" i="1"/>
  <c r="Y1307" i="1"/>
  <c r="Z1307" i="1"/>
  <c r="Y1308" i="1"/>
  <c r="Z1308" i="1"/>
  <c r="Y1310" i="1"/>
  <c r="Z1310" i="1"/>
  <c r="Y1312" i="1"/>
  <c r="Z1312" i="1"/>
  <c r="Y1313" i="1"/>
  <c r="Z1313" i="1"/>
  <c r="Y1316" i="1"/>
  <c r="Z1316" i="1"/>
  <c r="Y1317" i="1"/>
  <c r="Z1317" i="1"/>
  <c r="Y1320" i="1"/>
  <c r="Z1320" i="1"/>
  <c r="Y1323" i="1"/>
  <c r="Z1323" i="1"/>
  <c r="Y1324" i="1"/>
  <c r="Z1324" i="1"/>
  <c r="Y1326" i="1"/>
  <c r="Z1326" i="1"/>
  <c r="Y1328" i="1"/>
  <c r="Z1328" i="1"/>
  <c r="Y1329" i="1"/>
  <c r="Z1329" i="1"/>
  <c r="Y1331" i="1"/>
  <c r="Z1331" i="1"/>
  <c r="Y1332" i="1"/>
  <c r="Z1332" i="1"/>
  <c r="Y1335" i="1"/>
  <c r="Z1335" i="1"/>
  <c r="Y1338" i="1"/>
  <c r="Z1338" i="1"/>
  <c r="Y1339" i="1"/>
  <c r="Z1339" i="1"/>
  <c r="Y1340" i="1"/>
  <c r="Z1340" i="1"/>
  <c r="Y1342" i="1"/>
  <c r="Z1342" i="1"/>
  <c r="Y1343" i="1"/>
  <c r="Z1343" i="1"/>
  <c r="Y1344" i="1"/>
  <c r="Z1344" i="1"/>
  <c r="Y1347" i="1"/>
  <c r="Z1347" i="1"/>
  <c r="Y1350" i="1"/>
  <c r="Z1350" i="1"/>
  <c r="Y1351" i="1"/>
  <c r="Z1351" i="1"/>
  <c r="Y1352" i="1"/>
  <c r="Z1352" i="1"/>
  <c r="Y1353" i="1"/>
  <c r="Z1353" i="1"/>
  <c r="Y1354" i="1"/>
  <c r="Z1354" i="1"/>
  <c r="Y1356" i="1"/>
  <c r="Z1356" i="1"/>
  <c r="Y1359" i="1"/>
  <c r="Z1359" i="1"/>
  <c r="Y1360" i="1"/>
  <c r="Z1360" i="1"/>
  <c r="Y1362" i="1"/>
  <c r="Z1362" i="1"/>
  <c r="Y1365" i="1"/>
  <c r="Z1365" i="1"/>
  <c r="Y1368" i="1"/>
  <c r="Z1368" i="1"/>
  <c r="Y1369" i="1"/>
  <c r="Z1369" i="1"/>
  <c r="Y1370" i="1"/>
  <c r="Z1370" i="1"/>
  <c r="Y1371" i="1"/>
  <c r="Z1371" i="1"/>
  <c r="Y1373" i="1"/>
  <c r="Z1373" i="1"/>
  <c r="Y1375" i="1"/>
  <c r="Z1375" i="1"/>
  <c r="Y1377" i="1"/>
  <c r="Z1377" i="1"/>
  <c r="Y1378" i="1"/>
  <c r="Z1378" i="1"/>
  <c r="Y1379" i="1"/>
  <c r="Z1379" i="1"/>
  <c r="Y1380" i="1"/>
  <c r="Z1380" i="1"/>
  <c r="Y1381" i="1"/>
  <c r="Z1381" i="1"/>
  <c r="Y1382" i="1"/>
  <c r="Z1382" i="1"/>
  <c r="Y1383" i="1"/>
  <c r="Z1383" i="1"/>
  <c r="Y1385" i="1"/>
  <c r="Z1385" i="1"/>
  <c r="Y1391" i="1"/>
  <c r="Z1391" i="1"/>
  <c r="Y1394" i="1"/>
  <c r="Z1394" i="1"/>
  <c r="Y1397" i="1"/>
  <c r="Z1397" i="1"/>
  <c r="Y1398" i="1"/>
  <c r="Z1398" i="1"/>
  <c r="Y1399" i="1"/>
  <c r="Z1399" i="1"/>
  <c r="Y1401" i="1"/>
  <c r="Z1401" i="1"/>
  <c r="Y1403" i="1"/>
  <c r="Z1403" i="1"/>
  <c r="Y1406" i="1"/>
  <c r="Z1406" i="1"/>
  <c r="Y1409" i="1"/>
  <c r="Z1409" i="1"/>
  <c r="Y1410" i="1"/>
  <c r="Z1410" i="1"/>
  <c r="Y1412" i="1"/>
  <c r="Z1412" i="1"/>
  <c r="Y1414" i="1"/>
  <c r="Z1414" i="1"/>
  <c r="Y1416" i="1"/>
  <c r="Z1416" i="1"/>
  <c r="Y1417" i="1"/>
  <c r="Z1417" i="1"/>
  <c r="Y1419" i="1"/>
  <c r="Z1419" i="1"/>
  <c r="Y1420" i="1"/>
  <c r="Z1420" i="1"/>
  <c r="Y1422" i="1"/>
  <c r="Z1422" i="1"/>
  <c r="Y1425" i="1"/>
  <c r="Z1425" i="1"/>
  <c r="Y1428" i="1"/>
  <c r="Z1428" i="1"/>
  <c r="Y1429" i="1"/>
  <c r="Z1429" i="1"/>
  <c r="Y1430" i="1"/>
  <c r="Z1430" i="1"/>
  <c r="Y1433" i="1"/>
  <c r="Z1433" i="1"/>
  <c r="Y1435" i="1"/>
  <c r="Z1435" i="1"/>
  <c r="Y1437" i="1"/>
  <c r="Z1437" i="1"/>
  <c r="Y1438" i="1"/>
  <c r="Z1438" i="1"/>
  <c r="Y1440" i="1"/>
  <c r="Z1440" i="1"/>
  <c r="Y1444" i="1"/>
  <c r="Z1444" i="1"/>
  <c r="Y1446" i="1"/>
  <c r="Z1446" i="1"/>
  <c r="Y1449" i="1"/>
  <c r="Z1449" i="1"/>
  <c r="Y1450" i="1"/>
  <c r="Z1450" i="1"/>
  <c r="Y1452" i="1"/>
  <c r="Z1452" i="1"/>
  <c r="Y1453" i="1"/>
  <c r="Z1453" i="1"/>
  <c r="Y1454" i="1"/>
  <c r="Z1454" i="1"/>
  <c r="Y1455" i="1"/>
  <c r="Z1455" i="1"/>
  <c r="Y1456" i="1"/>
  <c r="Z1456" i="1"/>
  <c r="Y1457" i="1"/>
  <c r="Z1457" i="1"/>
  <c r="Y1460" i="1"/>
  <c r="Z1460" i="1"/>
  <c r="Y1463" i="1"/>
  <c r="Z1463" i="1"/>
  <c r="Y1464" i="1"/>
  <c r="Z1464" i="1"/>
  <c r="Y1466" i="1"/>
  <c r="Z1466" i="1"/>
  <c r="Y1469" i="1"/>
  <c r="Z1469" i="1"/>
  <c r="Y1471" i="1"/>
  <c r="Z1471" i="1"/>
  <c r="Y1472" i="1"/>
  <c r="Z1472" i="1"/>
  <c r="Y1473" i="1"/>
  <c r="Z1473" i="1"/>
  <c r="Y1475" i="1"/>
  <c r="Z1475" i="1"/>
  <c r="Y1477" i="1"/>
  <c r="Z1477" i="1"/>
  <c r="Y1478" i="1"/>
  <c r="Z1478" i="1"/>
  <c r="Y1482" i="1"/>
  <c r="Z1482" i="1"/>
  <c r="Y1485" i="1"/>
  <c r="Z1485" i="1"/>
  <c r="Y1486" i="1"/>
  <c r="Z1486" i="1"/>
  <c r="Y1487" i="1"/>
  <c r="Z1487" i="1"/>
  <c r="Y1488" i="1"/>
  <c r="Z1488" i="1"/>
  <c r="Y1493" i="1"/>
  <c r="Z1493" i="1"/>
  <c r="Y1496" i="1"/>
  <c r="Z1496" i="1"/>
  <c r="Y1498" i="1"/>
  <c r="Z1498" i="1"/>
  <c r="Y1500" i="1"/>
  <c r="Z1500" i="1"/>
  <c r="Y1502" i="1"/>
  <c r="Z1502" i="1"/>
  <c r="Y1503" i="1"/>
  <c r="Z1503" i="1"/>
  <c r="Y1505" i="1"/>
  <c r="Z1505" i="1"/>
  <c r="Y1506" i="1"/>
  <c r="Z1506" i="1"/>
  <c r="Y1507" i="1"/>
  <c r="Z1507" i="1"/>
  <c r="Y1508" i="1"/>
  <c r="Z1508" i="1"/>
  <c r="Y1509" i="1"/>
  <c r="Z1509" i="1"/>
  <c r="Y1511" i="1"/>
  <c r="Z1511" i="1"/>
  <c r="Y1512" i="1"/>
  <c r="Z1512" i="1"/>
  <c r="Y1513" i="1"/>
  <c r="Z1513" i="1"/>
  <c r="Y1515" i="1"/>
  <c r="Z1515" i="1"/>
  <c r="Y1516" i="1"/>
  <c r="Z1516" i="1"/>
  <c r="Y1518" i="1"/>
  <c r="Z1518" i="1"/>
  <c r="Y1519" i="1"/>
  <c r="Z1519" i="1"/>
  <c r="Y1521" i="1"/>
  <c r="Z1521" i="1"/>
  <c r="Y1523" i="1"/>
  <c r="Z1523" i="1"/>
  <c r="Y1524" i="1"/>
  <c r="Z1524" i="1"/>
  <c r="Y1526" i="1"/>
  <c r="Z1526" i="1"/>
  <c r="Y1527" i="1"/>
  <c r="Z1527" i="1"/>
  <c r="Y1528" i="1"/>
  <c r="Z1528" i="1"/>
  <c r="Y1530" i="1"/>
  <c r="Z1530" i="1"/>
  <c r="Y1532" i="1"/>
  <c r="Z1532" i="1"/>
  <c r="Y1534" i="1"/>
  <c r="Z1534" i="1"/>
  <c r="Y1536" i="1"/>
  <c r="Z1536" i="1"/>
  <c r="Y1537" i="1"/>
  <c r="Z1537" i="1"/>
  <c r="Y1542" i="1"/>
  <c r="Z1542" i="1"/>
  <c r="Y1545" i="1"/>
  <c r="Z1545" i="1"/>
  <c r="Y1546" i="1"/>
  <c r="Z1546" i="1"/>
  <c r="Y1547" i="1"/>
  <c r="Z1547" i="1"/>
  <c r="Y1548" i="1"/>
  <c r="Z1548" i="1"/>
  <c r="Y1550" i="1"/>
  <c r="Z1550" i="1"/>
  <c r="Y1551" i="1"/>
  <c r="Z1551" i="1"/>
  <c r="Y1552" i="1"/>
  <c r="Z1552" i="1"/>
  <c r="Y1553" i="1"/>
  <c r="Z1553" i="1"/>
  <c r="Y1554" i="1"/>
  <c r="Z1554" i="1"/>
  <c r="Y1555" i="1"/>
  <c r="Z1555" i="1"/>
  <c r="Y1556" i="1"/>
  <c r="Z1556" i="1"/>
  <c r="Y1557" i="1"/>
  <c r="Z1557" i="1"/>
  <c r="Y1558" i="1"/>
  <c r="Z1558" i="1"/>
  <c r="Y1559" i="1"/>
  <c r="Z1559" i="1"/>
  <c r="Y1561" i="1"/>
  <c r="Z1561" i="1"/>
  <c r="Y1563" i="1"/>
  <c r="Z1563" i="1"/>
  <c r="Y1564" i="1"/>
  <c r="Z1564" i="1"/>
  <c r="Y1565" i="1"/>
  <c r="Z1565" i="1"/>
  <c r="Y1566" i="1"/>
  <c r="Z1566" i="1"/>
  <c r="Y1568" i="1"/>
  <c r="Z1568" i="1"/>
  <c r="Y1569" i="1"/>
  <c r="Z1569" i="1"/>
  <c r="Y1570" i="1"/>
  <c r="Z1570" i="1"/>
  <c r="Y1571" i="1"/>
  <c r="Z1571" i="1"/>
  <c r="Y1573" i="1"/>
  <c r="Z1573" i="1"/>
  <c r="Y1577" i="1"/>
  <c r="Z1577" i="1"/>
  <c r="Y1579" i="1"/>
  <c r="Z1579" i="1"/>
  <c r="Y1580" i="1"/>
  <c r="Z1580" i="1"/>
  <c r="Y1582" i="1"/>
  <c r="Z1582" i="1"/>
  <c r="Y1583" i="1"/>
  <c r="Z1583" i="1"/>
  <c r="Y1585" i="1"/>
  <c r="Z1585" i="1"/>
  <c r="Y1588" i="1"/>
  <c r="Z1588" i="1"/>
  <c r="Y1589" i="1"/>
  <c r="Z1589" i="1"/>
  <c r="Y1591" i="1"/>
  <c r="Z1591" i="1"/>
  <c r="Y1593" i="1"/>
  <c r="Z1593" i="1"/>
  <c r="Y1595" i="1"/>
  <c r="Z1595" i="1"/>
  <c r="Y1596" i="1"/>
  <c r="Z1596" i="1"/>
  <c r="Y1597" i="1"/>
  <c r="Z1597" i="1"/>
  <c r="Y1598" i="1"/>
  <c r="Z1598" i="1"/>
  <c r="Y1599" i="1"/>
  <c r="Z1599" i="1"/>
  <c r="Y1601" i="1"/>
  <c r="Z1601" i="1"/>
  <c r="Y1603" i="1"/>
  <c r="Z1603" i="1"/>
  <c r="Y1604" i="1"/>
  <c r="Z1604" i="1"/>
  <c r="Y1605" i="1"/>
  <c r="Z1605" i="1"/>
  <c r="Y1606" i="1"/>
  <c r="Z1606" i="1"/>
  <c r="Y1608" i="1"/>
  <c r="Z1608" i="1"/>
  <c r="Y1610" i="1"/>
  <c r="Z1610" i="1"/>
  <c r="Y1611" i="1"/>
  <c r="Z1611" i="1"/>
  <c r="Y1612" i="1"/>
  <c r="Z1612" i="1"/>
  <c r="Y1613" i="1"/>
  <c r="Z1613" i="1"/>
  <c r="Y1616" i="1"/>
  <c r="Z1616" i="1"/>
  <c r="Y1619" i="1"/>
  <c r="Z1619" i="1"/>
  <c r="Y1622" i="1"/>
  <c r="Z1622" i="1"/>
  <c r="Y1623" i="1"/>
  <c r="Z1623" i="1"/>
  <c r="Y1624" i="1"/>
  <c r="Z1624" i="1"/>
  <c r="Y1625" i="1"/>
  <c r="Z1625" i="1"/>
  <c r="Y1626" i="1"/>
  <c r="Z1626" i="1"/>
  <c r="Y1627" i="1"/>
  <c r="Z1627" i="1"/>
  <c r="Y1628" i="1"/>
  <c r="Z1628" i="1"/>
  <c r="Y1629" i="1"/>
  <c r="Z1629" i="1"/>
  <c r="Y1630" i="1"/>
  <c r="Z1630" i="1"/>
  <c r="Y1633" i="1"/>
  <c r="Z1633" i="1"/>
  <c r="Y1634" i="1"/>
  <c r="Z1634" i="1"/>
  <c r="Y1636" i="1"/>
  <c r="Z1636" i="1"/>
  <c r="Y1638" i="1"/>
  <c r="Z1638" i="1"/>
  <c r="Y1641" i="1"/>
  <c r="Z1641" i="1"/>
  <c r="Y1643" i="1"/>
  <c r="Z1643" i="1"/>
  <c r="Y1649" i="1"/>
  <c r="Z1649" i="1"/>
  <c r="Y1651" i="1"/>
  <c r="Z1651" i="1"/>
  <c r="Y1653" i="1"/>
  <c r="Z1653" i="1"/>
  <c r="Y1655" i="1"/>
  <c r="Z1655" i="1"/>
  <c r="Y1658" i="1"/>
  <c r="Z1658" i="1"/>
  <c r="Y1659" i="1"/>
  <c r="Z1659" i="1"/>
  <c r="Y1661" i="1"/>
  <c r="Z1661" i="1"/>
  <c r="Y1662" i="1"/>
  <c r="Z1662" i="1"/>
  <c r="Y1663" i="1"/>
  <c r="Z1663" i="1"/>
  <c r="Y1664" i="1"/>
  <c r="Z1664" i="1"/>
  <c r="Y1666" i="1"/>
  <c r="Z1666" i="1"/>
  <c r="Y1671" i="1"/>
  <c r="Z1671" i="1"/>
  <c r="Y1674" i="1"/>
  <c r="Z1674" i="1"/>
  <c r="Y1677" i="1"/>
  <c r="Z1677" i="1"/>
  <c r="Y1678" i="1"/>
  <c r="Z1678" i="1"/>
  <c r="Y1680" i="1"/>
  <c r="Z1680" i="1"/>
  <c r="Y1684" i="1"/>
  <c r="Z1684" i="1"/>
  <c r="Y1686" i="1"/>
  <c r="Z1686" i="1"/>
  <c r="Y1687" i="1"/>
  <c r="Z1687" i="1"/>
  <c r="Y1689" i="1"/>
  <c r="Z1689" i="1"/>
  <c r="Y1693" i="1"/>
  <c r="Z1693" i="1"/>
  <c r="Y1695" i="1"/>
  <c r="Z1695" i="1"/>
  <c r="Y1696" i="1"/>
  <c r="Z1696" i="1"/>
  <c r="Y1698" i="1"/>
  <c r="Z1698" i="1"/>
  <c r="Y1699" i="1"/>
  <c r="Z1699" i="1"/>
  <c r="Y1700" i="1"/>
  <c r="Z1700" i="1"/>
  <c r="Y1701" i="1"/>
  <c r="Z1701" i="1"/>
  <c r="Y1702" i="1"/>
  <c r="Z1702" i="1"/>
  <c r="Y1703" i="1"/>
  <c r="Z1703" i="1"/>
  <c r="Y1704" i="1"/>
  <c r="Z1704" i="1"/>
  <c r="Y1710" i="1"/>
  <c r="Z1710" i="1"/>
  <c r="Y1713" i="1"/>
  <c r="Z1713" i="1"/>
  <c r="Y1714" i="1"/>
  <c r="Z1714" i="1"/>
  <c r="Y1716" i="1"/>
  <c r="Z1716" i="1"/>
  <c r="Y1718" i="1"/>
  <c r="Z1718" i="1"/>
  <c r="Y1720" i="1"/>
  <c r="Z1720" i="1"/>
  <c r="Y1721" i="1"/>
  <c r="Z1721" i="1"/>
  <c r="Y1722" i="1"/>
  <c r="Z1722" i="1"/>
  <c r="Y1723" i="1"/>
  <c r="Z1723" i="1"/>
  <c r="Y1726" i="1"/>
  <c r="Z1726" i="1"/>
  <c r="Y1730" i="1"/>
  <c r="Z1730" i="1"/>
  <c r="Y1733" i="1"/>
  <c r="Z1733" i="1"/>
  <c r="Y1737" i="1"/>
  <c r="Z1737" i="1"/>
  <c r="Y1738" i="1"/>
  <c r="Z1738" i="1"/>
  <c r="Y1740" i="1"/>
  <c r="Z1740" i="1"/>
  <c r="Y1743" i="1"/>
  <c r="Z1743" i="1"/>
  <c r="Y1745" i="1"/>
  <c r="Z1745" i="1"/>
  <c r="Y1748" i="1"/>
  <c r="Z1748" i="1"/>
  <c r="Y1750" i="1"/>
  <c r="Z1750" i="1"/>
  <c r="Y1752" i="1"/>
  <c r="Z1752" i="1"/>
  <c r="Y1754" i="1"/>
  <c r="Z1754" i="1"/>
  <c r="Y1756" i="1"/>
  <c r="Z1756" i="1"/>
  <c r="Y1758" i="1"/>
  <c r="Z1758" i="1"/>
  <c r="Y1760" i="1"/>
  <c r="Z1760" i="1"/>
  <c r="Y1761" i="1"/>
  <c r="Z1761" i="1"/>
  <c r="Y1765" i="1"/>
  <c r="Z1765" i="1"/>
  <c r="Y1767" i="1"/>
  <c r="Z1767" i="1"/>
  <c r="Y1768" i="1"/>
  <c r="Z1768" i="1"/>
  <c r="Y1769" i="1"/>
  <c r="Z1769" i="1"/>
  <c r="Y1770" i="1"/>
  <c r="Z1770" i="1"/>
  <c r="Y1773" i="1"/>
  <c r="Z1773" i="1"/>
  <c r="Y1776" i="1"/>
  <c r="Z1776" i="1"/>
  <c r="Y1778" i="1"/>
  <c r="Z1778" i="1"/>
  <c r="Y1780" i="1"/>
  <c r="Z1780" i="1"/>
  <c r="Y1782" i="1"/>
  <c r="Z1782" i="1"/>
  <c r="Y1784" i="1"/>
  <c r="Z1784" i="1"/>
  <c r="Y1785" i="1"/>
  <c r="Z1785" i="1"/>
  <c r="Y1787" i="1"/>
  <c r="Z1787" i="1"/>
  <c r="Y1789" i="1"/>
  <c r="Z1789" i="1"/>
  <c r="Y1790" i="1"/>
  <c r="Z1790" i="1"/>
  <c r="Y1791" i="1"/>
  <c r="Z1791" i="1"/>
  <c r="Y1792" i="1"/>
  <c r="Z1792" i="1"/>
  <c r="Y1795" i="1"/>
  <c r="Z1795" i="1"/>
  <c r="Y1796" i="1"/>
  <c r="Z1796" i="1"/>
  <c r="Y1798" i="1"/>
  <c r="Z1798" i="1"/>
  <c r="Y1799" i="1"/>
  <c r="Z1799" i="1"/>
  <c r="Y1800" i="1"/>
  <c r="Z1800" i="1"/>
  <c r="Y1802" i="1"/>
  <c r="Z1802" i="1"/>
  <c r="Y1803" i="1"/>
  <c r="Z1803" i="1"/>
  <c r="Y1807" i="1"/>
  <c r="Z1807" i="1"/>
  <c r="Y1809" i="1"/>
  <c r="Z1809" i="1"/>
  <c r="Y1811" i="1"/>
  <c r="Z1811" i="1"/>
  <c r="Y1812" i="1"/>
  <c r="Z1812" i="1"/>
  <c r="Y1814" i="1"/>
  <c r="Z1814" i="1"/>
  <c r="Y1815" i="1"/>
  <c r="Z1815" i="1"/>
  <c r="Y1816" i="1"/>
  <c r="Z1816" i="1"/>
  <c r="Y1818" i="1"/>
  <c r="Z1818" i="1"/>
  <c r="Y1820" i="1"/>
  <c r="Z1820" i="1"/>
  <c r="Y1821" i="1"/>
  <c r="Z1821" i="1"/>
  <c r="Y1824" i="1"/>
  <c r="Z1824" i="1"/>
  <c r="Y1825" i="1"/>
  <c r="Z1825" i="1"/>
  <c r="Y1826" i="1"/>
  <c r="Z1826" i="1"/>
  <c r="Y1827" i="1"/>
  <c r="Z1827" i="1"/>
  <c r="Y1829" i="1"/>
  <c r="Z1829" i="1"/>
  <c r="Y1831" i="1"/>
  <c r="Z1831" i="1"/>
  <c r="Y1832" i="1"/>
  <c r="Z1832" i="1"/>
  <c r="Y1834" i="1"/>
  <c r="Z1834" i="1"/>
  <c r="Y1835" i="1"/>
  <c r="Z1835" i="1"/>
  <c r="Y1836" i="1"/>
  <c r="Z1836" i="1"/>
  <c r="Y1837" i="1"/>
  <c r="Z1837" i="1"/>
  <c r="Y1839" i="1"/>
  <c r="Z1839" i="1"/>
  <c r="Y1841" i="1"/>
  <c r="Z1841" i="1"/>
  <c r="Y1843" i="1"/>
  <c r="Z1843" i="1"/>
  <c r="Y1844" i="1"/>
  <c r="Z1844" i="1"/>
  <c r="Y1847" i="1"/>
  <c r="Z1847" i="1"/>
  <c r="Y1850" i="1"/>
  <c r="Z1850" i="1"/>
  <c r="Y1852" i="1"/>
  <c r="Z1852" i="1"/>
  <c r="Y1854" i="1"/>
  <c r="Z1854" i="1"/>
  <c r="Y1856" i="1"/>
  <c r="Z1856" i="1"/>
  <c r="Y1858" i="1"/>
  <c r="Z1858" i="1"/>
  <c r="Y1860" i="1"/>
  <c r="Z1860" i="1"/>
  <c r="Y1861" i="1"/>
  <c r="Z1861" i="1"/>
  <c r="Y1862" i="1"/>
  <c r="Z1862" i="1"/>
  <c r="Y1866" i="1"/>
  <c r="Z1866" i="1"/>
  <c r="Y1868" i="1"/>
  <c r="Z1868" i="1"/>
  <c r="Y1870" i="1"/>
  <c r="Z1870" i="1"/>
  <c r="Y1871" i="1"/>
  <c r="Z1871" i="1"/>
  <c r="Y1873" i="1"/>
  <c r="Z1873" i="1"/>
  <c r="Y1875" i="1"/>
  <c r="Z1875" i="1"/>
  <c r="Y1877" i="1"/>
  <c r="Z1877" i="1"/>
  <c r="Y1879" i="1"/>
  <c r="Z1879" i="1"/>
  <c r="Y1882" i="1"/>
  <c r="Z1882" i="1"/>
  <c r="Y1883" i="1"/>
  <c r="Z1883" i="1"/>
  <c r="Y1884" i="1"/>
  <c r="Z1884" i="1"/>
  <c r="Y1885" i="1"/>
  <c r="Z1885" i="1"/>
  <c r="Y1887" i="1"/>
  <c r="Z1887" i="1"/>
  <c r="Y1889" i="1"/>
  <c r="Z1889" i="1"/>
  <c r="Y1892" i="1"/>
  <c r="Z1892" i="1"/>
  <c r="Y1893" i="1"/>
  <c r="Z1893" i="1"/>
  <c r="Y1894" i="1"/>
  <c r="Z1894" i="1"/>
  <c r="Y1896" i="1"/>
  <c r="Z1896" i="1"/>
  <c r="Y1898" i="1"/>
  <c r="Z1898" i="1"/>
  <c r="Y1899" i="1"/>
  <c r="Z1899" i="1"/>
  <c r="Y1900" i="1"/>
  <c r="Z1900" i="1"/>
  <c r="Y1901" i="1"/>
  <c r="Z1901" i="1"/>
  <c r="Y1904" i="1"/>
  <c r="Z1904" i="1"/>
  <c r="Y1907" i="1"/>
  <c r="Z1907" i="1"/>
  <c r="Y1910" i="1"/>
  <c r="Z1910" i="1"/>
  <c r="Y1911" i="1"/>
  <c r="Z1911" i="1"/>
  <c r="Y1912" i="1"/>
  <c r="Z1912" i="1"/>
  <c r="Y1915" i="1"/>
  <c r="Z1915" i="1"/>
  <c r="Y1916" i="1"/>
  <c r="Z1916" i="1"/>
  <c r="Y1919" i="1"/>
  <c r="Z1919" i="1"/>
  <c r="Y1922" i="1"/>
  <c r="Z1922" i="1"/>
  <c r="Y1923" i="1"/>
  <c r="Z1923" i="1"/>
  <c r="Y1924" i="1"/>
  <c r="Z1924" i="1"/>
  <c r="Y1926" i="1"/>
  <c r="Z1926" i="1"/>
  <c r="Y1927" i="1"/>
  <c r="Z1927" i="1"/>
  <c r="Y1928" i="1"/>
  <c r="Z1928" i="1"/>
  <c r="Y1929" i="1"/>
  <c r="Z1929" i="1"/>
  <c r="Y1930" i="1"/>
  <c r="Z1930" i="1"/>
  <c r="Y1932" i="1"/>
  <c r="Z1932" i="1"/>
  <c r="Y1934" i="1"/>
  <c r="Z1934" i="1"/>
  <c r="Y1936" i="1"/>
  <c r="Z1936" i="1"/>
  <c r="Y1937" i="1"/>
  <c r="Z1937" i="1"/>
  <c r="Y1938" i="1"/>
  <c r="Z1938" i="1"/>
  <c r="Y1941" i="1"/>
  <c r="Z1941" i="1"/>
  <c r="Y1944" i="1"/>
  <c r="Z1944" i="1"/>
  <c r="Y1945" i="1"/>
  <c r="Z1945" i="1"/>
  <c r="Y1949" i="1"/>
  <c r="Z1949" i="1"/>
  <c r="Y1951" i="1"/>
  <c r="Z1951" i="1"/>
  <c r="Y1954" i="1"/>
  <c r="Z1954" i="1"/>
  <c r="Y1957" i="1"/>
  <c r="Z1957" i="1"/>
  <c r="Y1958" i="1"/>
  <c r="Z1958" i="1"/>
  <c r="Y1961" i="1"/>
  <c r="Z1961" i="1"/>
  <c r="Y1964" i="1"/>
  <c r="Z1964" i="1"/>
  <c r="Y1967" i="1"/>
  <c r="Z1967" i="1"/>
  <c r="Y1968" i="1"/>
  <c r="Z1968" i="1"/>
  <c r="Y1969" i="1"/>
  <c r="Z1969" i="1"/>
  <c r="Y1972" i="1"/>
  <c r="Z1972" i="1"/>
  <c r="Y1974" i="1"/>
  <c r="Z1974" i="1"/>
  <c r="Y1976" i="1"/>
  <c r="Z1976" i="1"/>
  <c r="Y1977" i="1"/>
  <c r="Z1977" i="1"/>
  <c r="Y1979" i="1"/>
  <c r="Z1979" i="1"/>
  <c r="Y1983" i="1"/>
  <c r="Z1983" i="1"/>
  <c r="Y1985" i="1"/>
  <c r="Z1985" i="1"/>
  <c r="Y1987" i="1"/>
  <c r="Z1987" i="1"/>
  <c r="Y1988" i="1"/>
  <c r="Z1988" i="1"/>
  <c r="Y1989" i="1"/>
  <c r="Z1989" i="1"/>
  <c r="Y1991" i="1"/>
  <c r="Z1991" i="1"/>
  <c r="Y1993" i="1"/>
  <c r="Z1993" i="1"/>
  <c r="Y1995" i="1"/>
  <c r="Z1995" i="1"/>
  <c r="Y1997" i="1"/>
  <c r="Z1997" i="1"/>
  <c r="Y1999" i="1"/>
  <c r="Z1999" i="1"/>
  <c r="Y2001" i="1"/>
  <c r="Z2001" i="1"/>
  <c r="Y2003" i="1"/>
  <c r="Z2003" i="1"/>
  <c r="Y2004" i="1"/>
  <c r="Z2004" i="1"/>
  <c r="Y2005" i="1"/>
  <c r="Z2005" i="1"/>
  <c r="Y2006" i="1"/>
  <c r="Z2006" i="1"/>
  <c r="Y2008" i="1"/>
  <c r="Z2008" i="1"/>
  <c r="Y2010" i="1"/>
  <c r="Z2010" i="1"/>
  <c r="Y2011" i="1"/>
  <c r="Z2011" i="1"/>
  <c r="Y2014" i="1"/>
  <c r="Z2014" i="1"/>
  <c r="Y2015" i="1"/>
  <c r="Z2015" i="1"/>
  <c r="Y2016" i="1"/>
  <c r="Z2016" i="1"/>
  <c r="Y2017" i="1"/>
  <c r="Z2017" i="1"/>
  <c r="Y2019" i="1"/>
  <c r="Z2019" i="1"/>
  <c r="Y2020" i="1"/>
  <c r="Z2020" i="1"/>
  <c r="Y2021" i="1"/>
  <c r="Z2021" i="1"/>
  <c r="Y2025" i="1"/>
  <c r="Z2025" i="1"/>
  <c r="Y2028" i="1"/>
  <c r="Z2028" i="1"/>
  <c r="Y2029" i="1"/>
  <c r="Z2029" i="1"/>
  <c r="Y2030" i="1"/>
  <c r="Z2030" i="1"/>
  <c r="Y2032" i="1"/>
  <c r="Z2032" i="1"/>
  <c r="Y2033" i="1"/>
  <c r="Z2033" i="1"/>
  <c r="Y2034" i="1"/>
  <c r="Z2034" i="1"/>
  <c r="Y2037" i="1"/>
  <c r="Z2037" i="1"/>
  <c r="Y2039" i="1"/>
  <c r="Z2039" i="1"/>
  <c r="Y2041" i="1"/>
  <c r="Z2041" i="1"/>
  <c r="Y2043" i="1"/>
  <c r="Z2043" i="1"/>
  <c r="Y2044" i="1"/>
  <c r="Z2044" i="1"/>
  <c r="Y2045" i="1"/>
  <c r="Z2045" i="1"/>
  <c r="Y2047" i="1"/>
  <c r="Z2047" i="1"/>
  <c r="Y2049" i="1"/>
  <c r="Z2049" i="1"/>
  <c r="Y2051" i="1"/>
  <c r="Z2051" i="1"/>
  <c r="Y2052" i="1"/>
  <c r="Z2052" i="1"/>
  <c r="Y2054" i="1"/>
  <c r="Z2054" i="1"/>
  <c r="Y2056" i="1"/>
  <c r="Z2056" i="1"/>
  <c r="Y2057" i="1"/>
  <c r="Z2057" i="1"/>
  <c r="Y2058" i="1"/>
  <c r="Z2058" i="1"/>
  <c r="Y2059" i="1"/>
  <c r="Z2059" i="1"/>
  <c r="Y2062" i="1"/>
  <c r="Z2062" i="1"/>
  <c r="Y2064" i="1"/>
  <c r="Z2064" i="1"/>
  <c r="Y2066" i="1"/>
  <c r="Z2066" i="1"/>
  <c r="Y2067" i="1"/>
  <c r="Z2067" i="1"/>
  <c r="Y2069" i="1"/>
  <c r="Z2069" i="1"/>
  <c r="Y2070" i="1"/>
  <c r="Z2070" i="1"/>
  <c r="Y2074" i="1"/>
  <c r="Z2074" i="1"/>
  <c r="Y2076" i="1"/>
  <c r="Z2076" i="1"/>
  <c r="Y2079" i="1"/>
  <c r="Z2079" i="1"/>
  <c r="Y2082" i="1"/>
  <c r="Z2082" i="1"/>
  <c r="Y2086" i="1"/>
  <c r="Z2086" i="1"/>
  <c r="Y2090" i="1"/>
  <c r="Z2090" i="1"/>
  <c r="Y2091" i="1"/>
  <c r="Z2091" i="1"/>
  <c r="Y2092" i="1"/>
  <c r="Z2092" i="1"/>
  <c r="Y2093" i="1"/>
  <c r="Z2093" i="1"/>
  <c r="Y2097" i="1"/>
  <c r="Z2097" i="1"/>
  <c r="Y2099" i="1"/>
  <c r="Z2099" i="1"/>
  <c r="Y2101" i="1"/>
  <c r="Z2101" i="1"/>
  <c r="Y2102" i="1"/>
  <c r="Z2102" i="1"/>
  <c r="Y2105" i="1"/>
  <c r="Z2105" i="1"/>
  <c r="Y2106" i="1"/>
  <c r="Z2106" i="1"/>
  <c r="Y2107" i="1"/>
  <c r="Z2107" i="1"/>
  <c r="Y2109" i="1"/>
  <c r="Z2109" i="1"/>
  <c r="Y2110" i="1"/>
  <c r="Z2110" i="1"/>
  <c r="Y2112" i="1"/>
  <c r="Z2112" i="1"/>
  <c r="Y2113" i="1"/>
  <c r="Z2113" i="1"/>
  <c r="Y2114" i="1"/>
  <c r="Z2114" i="1"/>
  <c r="Y2116" i="1"/>
  <c r="Z2116" i="1"/>
  <c r="Y2118" i="1"/>
  <c r="Z2118" i="1"/>
  <c r="Y2119" i="1"/>
  <c r="Z2119" i="1"/>
  <c r="Y2120" i="1"/>
  <c r="Z2120" i="1"/>
  <c r="Y2122" i="1"/>
  <c r="Z2122" i="1"/>
  <c r="Y2123" i="1"/>
  <c r="Z2123" i="1"/>
  <c r="Y2124" i="1"/>
  <c r="Z2124" i="1"/>
  <c r="Y2126" i="1"/>
  <c r="Z2126" i="1"/>
  <c r="Y2128" i="1"/>
  <c r="Z2128" i="1"/>
  <c r="Y2130" i="1"/>
  <c r="Z2130" i="1"/>
  <c r="Y2131" i="1"/>
  <c r="Z2131" i="1"/>
  <c r="Y2132" i="1"/>
  <c r="Z2132" i="1"/>
  <c r="Y2136" i="1"/>
  <c r="Z2136" i="1"/>
  <c r="Y2138" i="1"/>
  <c r="Z2138" i="1"/>
  <c r="Y2139" i="1"/>
  <c r="Z2139" i="1"/>
  <c r="Y2140" i="1"/>
  <c r="Z2140" i="1"/>
  <c r="Y2141" i="1"/>
  <c r="Z2141" i="1"/>
  <c r="Y2142" i="1"/>
  <c r="Z2142" i="1"/>
  <c r="Y2144" i="1"/>
  <c r="Z2144" i="1"/>
  <c r="Y2146" i="1"/>
  <c r="Z2146" i="1"/>
  <c r="Y2147" i="1"/>
  <c r="Z2147" i="1"/>
  <c r="Y2148" i="1"/>
  <c r="Z2148" i="1"/>
  <c r="Y2149" i="1"/>
  <c r="Z2149" i="1"/>
  <c r="Y2150" i="1"/>
  <c r="Z2150" i="1"/>
  <c r="Y2151" i="1"/>
  <c r="Z2151" i="1"/>
  <c r="Y2153" i="1"/>
  <c r="Z2153" i="1"/>
  <c r="Y2154" i="1"/>
  <c r="Z2154" i="1"/>
  <c r="Y2156" i="1"/>
  <c r="Z2156" i="1"/>
  <c r="Y2157" i="1"/>
  <c r="Z2157" i="1"/>
  <c r="Y2160" i="1"/>
  <c r="Z2160" i="1"/>
  <c r="Y2162" i="1"/>
  <c r="Z2162" i="1"/>
  <c r="Y2165" i="1"/>
  <c r="Z2165" i="1"/>
  <c r="Y2168" i="1"/>
  <c r="Z2168" i="1"/>
  <c r="Y2169" i="1"/>
  <c r="Z2169" i="1"/>
  <c r="Y2170" i="1"/>
  <c r="Z2170" i="1"/>
  <c r="Y2173" i="1"/>
  <c r="Z2173" i="1"/>
  <c r="Y2176" i="1"/>
  <c r="Z2176" i="1"/>
  <c r="Y2179" i="1"/>
  <c r="Z2179" i="1"/>
  <c r="Y2180" i="1"/>
  <c r="Z2180" i="1"/>
  <c r="Y2182" i="1"/>
  <c r="Z2182" i="1"/>
  <c r="Y2184" i="1"/>
  <c r="Z2184" i="1"/>
  <c r="Y2185" i="1"/>
  <c r="Z2185" i="1"/>
  <c r="Y2186" i="1"/>
  <c r="Z2186" i="1"/>
  <c r="Y2187" i="1"/>
  <c r="Z2187" i="1"/>
  <c r="Y2188" i="1"/>
  <c r="Z2188" i="1"/>
  <c r="Y2189" i="1"/>
  <c r="Z2189" i="1"/>
  <c r="Y2190" i="1"/>
  <c r="Z2190" i="1"/>
  <c r="Y2191" i="1"/>
  <c r="Z2191" i="1"/>
  <c r="Y2192" i="1"/>
  <c r="Z2192" i="1"/>
  <c r="Y2193" i="1"/>
  <c r="Z2193" i="1"/>
  <c r="Y2195" i="1"/>
  <c r="Z2195" i="1"/>
  <c r="Y2197" i="1"/>
  <c r="Z2197" i="1"/>
  <c r="Y2199" i="1"/>
  <c r="Z2199" i="1"/>
  <c r="Y2200" i="1"/>
  <c r="Z2200" i="1"/>
  <c r="Y2203" i="1"/>
  <c r="Z2203" i="1"/>
  <c r="Y2205" i="1"/>
  <c r="Z2205" i="1"/>
  <c r="Y2207" i="1"/>
  <c r="Z2207" i="1"/>
  <c r="Y2208" i="1"/>
  <c r="Z2208" i="1"/>
  <c r="Y2209" i="1"/>
  <c r="Z2209" i="1"/>
  <c r="Y2212" i="1"/>
  <c r="Z2212" i="1"/>
  <c r="Y2214" i="1"/>
  <c r="Z2214" i="1"/>
  <c r="Y2216" i="1"/>
  <c r="Z2216" i="1"/>
  <c r="Y2217" i="1"/>
  <c r="Z2217" i="1"/>
  <c r="Y2219" i="1"/>
  <c r="Z2219" i="1"/>
  <c r="Y2220" i="1"/>
  <c r="Z2220" i="1"/>
  <c r="Y2223" i="1"/>
  <c r="Z2223" i="1"/>
  <c r="Y2226" i="1"/>
  <c r="Z2226" i="1"/>
  <c r="Y2227" i="1"/>
  <c r="Z2227" i="1"/>
  <c r="Y2230" i="1"/>
  <c r="Z2230" i="1"/>
  <c r="Y2232" i="1"/>
  <c r="Z2232" i="1"/>
  <c r="Y2234" i="1"/>
  <c r="Z2234" i="1"/>
  <c r="Y2236" i="1"/>
  <c r="Z2236" i="1"/>
  <c r="Y2238" i="1"/>
  <c r="Z2238" i="1"/>
  <c r="Y2240" i="1"/>
  <c r="Z2240" i="1"/>
  <c r="Y2242" i="1"/>
  <c r="Z2242" i="1"/>
  <c r="Y2243" i="1"/>
  <c r="Z2243" i="1"/>
  <c r="Y2244" i="1"/>
  <c r="Z2244" i="1"/>
  <c r="Y2247" i="1"/>
  <c r="Z2247" i="1"/>
  <c r="Y2250" i="1"/>
  <c r="Z2250" i="1"/>
  <c r="Y2252" i="1"/>
  <c r="Z2252" i="1"/>
  <c r="Y2255" i="1"/>
  <c r="Z2255" i="1"/>
  <c r="Y2256" i="1"/>
  <c r="Z2256" i="1"/>
  <c r="Y2257" i="1"/>
  <c r="Z2257" i="1"/>
  <c r="Y2258" i="1"/>
  <c r="Z2258" i="1"/>
  <c r="Y2259" i="1"/>
  <c r="Z2259" i="1"/>
  <c r="Y2260" i="1"/>
  <c r="Z2260" i="1"/>
  <c r="Y2261" i="1"/>
  <c r="Z2261" i="1"/>
  <c r="Y2262" i="1"/>
  <c r="Z2262" i="1"/>
  <c r="Y2263" i="1"/>
  <c r="Z2263" i="1"/>
  <c r="Y2264" i="1"/>
  <c r="Z2264" i="1"/>
  <c r="Y2266" i="1"/>
  <c r="Z2266" i="1"/>
  <c r="Y2268" i="1"/>
  <c r="Z2268" i="1"/>
  <c r="Y2269" i="1"/>
  <c r="Z2269" i="1"/>
  <c r="Y2273" i="1"/>
  <c r="Z2273" i="1"/>
  <c r="Y2275" i="1"/>
  <c r="Z2275" i="1"/>
  <c r="Y2277" i="1"/>
  <c r="Z2277" i="1"/>
  <c r="Y2279" i="1"/>
  <c r="Z2279" i="1"/>
  <c r="Y2280" i="1"/>
  <c r="Z2280" i="1"/>
  <c r="Y2283" i="1"/>
  <c r="Z2283" i="1"/>
  <c r="Y2285" i="1"/>
  <c r="Z2285" i="1"/>
  <c r="Y2286" i="1"/>
  <c r="Z2286" i="1"/>
  <c r="Y2287" i="1"/>
  <c r="Z2287" i="1"/>
  <c r="Y2290" i="1"/>
  <c r="Z2290" i="1"/>
  <c r="Y2292" i="1"/>
  <c r="Z2292" i="1"/>
  <c r="Y2295" i="1"/>
  <c r="Z2295" i="1"/>
  <c r="Y2297" i="1"/>
  <c r="Z2297" i="1"/>
  <c r="Y2298" i="1"/>
  <c r="Z2298" i="1"/>
  <c r="Y2299" i="1"/>
  <c r="Z2299" i="1"/>
  <c r="Y2300" i="1"/>
  <c r="Z2300" i="1"/>
  <c r="Y2303" i="1"/>
  <c r="Z2303" i="1"/>
  <c r="Y2304" i="1"/>
  <c r="Z2304" i="1"/>
  <c r="Y2305" i="1"/>
  <c r="Z2305" i="1"/>
  <c r="Y2306" i="1"/>
  <c r="Z2306" i="1"/>
  <c r="Y2307" i="1"/>
  <c r="Z2307" i="1"/>
  <c r="Y2308" i="1"/>
  <c r="Z2308" i="1"/>
  <c r="Y2310" i="1"/>
  <c r="Z2310" i="1"/>
  <c r="Y2311" i="1"/>
  <c r="Z2311" i="1"/>
  <c r="Y2312" i="1"/>
  <c r="Z2312" i="1"/>
  <c r="Y2315" i="1"/>
  <c r="Z2315" i="1"/>
  <c r="Y2318" i="1"/>
  <c r="Z2318" i="1"/>
  <c r="Y2321" i="1"/>
  <c r="Z2321" i="1"/>
  <c r="Y2322" i="1"/>
  <c r="Z2322" i="1"/>
  <c r="Y2323" i="1"/>
  <c r="Z2323" i="1"/>
  <c r="Y2325" i="1"/>
  <c r="Z2325" i="1"/>
  <c r="Y2327" i="1"/>
  <c r="Z2327" i="1"/>
  <c r="Y2328" i="1"/>
  <c r="Z2328" i="1"/>
  <c r="Y2329" i="1"/>
  <c r="Z2329" i="1"/>
  <c r="Y2332" i="1"/>
  <c r="Z2332" i="1"/>
  <c r="Y2333" i="1"/>
  <c r="Z2333" i="1"/>
  <c r="Y2335" i="1"/>
  <c r="Z2335" i="1"/>
  <c r="Y2336" i="1"/>
  <c r="Z2336" i="1"/>
  <c r="Y2337" i="1"/>
  <c r="Z2337" i="1"/>
  <c r="Y2338" i="1"/>
  <c r="Z2338" i="1"/>
  <c r="Y2339" i="1"/>
  <c r="Z2339" i="1"/>
  <c r="Y2340" i="1"/>
  <c r="Z2340" i="1"/>
  <c r="Y2341" i="1"/>
  <c r="Z2341" i="1"/>
  <c r="Y2344" i="1"/>
  <c r="Z2344" i="1"/>
  <c r="Y2346" i="1"/>
  <c r="Z2346" i="1"/>
  <c r="Y2347" i="1"/>
  <c r="Z2347" i="1"/>
  <c r="Y2352" i="1"/>
  <c r="Z2352" i="1"/>
  <c r="Y2355" i="1"/>
  <c r="Z2355" i="1"/>
  <c r="Y2356" i="1"/>
  <c r="Z2356" i="1"/>
  <c r="Y2358" i="1"/>
  <c r="Z2358" i="1"/>
  <c r="Y2360" i="1"/>
  <c r="Z2360" i="1"/>
  <c r="Y2361" i="1"/>
  <c r="Z2361" i="1"/>
  <c r="Y2362" i="1"/>
  <c r="Z2362" i="1"/>
  <c r="Y2364" i="1"/>
  <c r="Z2364" i="1"/>
  <c r="Y2365" i="1"/>
  <c r="Z2365" i="1"/>
  <c r="Y2366" i="1"/>
  <c r="Z2366" i="1"/>
  <c r="Y2368" i="1"/>
  <c r="Z2368" i="1"/>
  <c r="Y2372" i="1"/>
  <c r="Z2372" i="1"/>
  <c r="Y2375" i="1"/>
  <c r="Z2375" i="1"/>
  <c r="Y2377" i="1"/>
  <c r="Z2377" i="1"/>
  <c r="Y2378" i="1"/>
  <c r="Z2378" i="1"/>
  <c r="Y2379" i="1"/>
  <c r="Z2379" i="1"/>
  <c r="Y2380" i="1"/>
  <c r="Z2380" i="1"/>
  <c r="Y2381" i="1"/>
  <c r="Z2381" i="1"/>
  <c r="Y2382" i="1"/>
  <c r="Z2382" i="1"/>
  <c r="Y2383" i="1"/>
  <c r="Z2383" i="1"/>
  <c r="Y2385" i="1"/>
  <c r="Z2385" i="1"/>
  <c r="Y2388" i="1"/>
  <c r="Z2388" i="1"/>
  <c r="Y2390" i="1"/>
  <c r="Z2390" i="1"/>
  <c r="Y2393" i="1"/>
  <c r="Z2393" i="1"/>
  <c r="Y2395" i="1"/>
  <c r="Z2395" i="1"/>
  <c r="Y2397" i="1"/>
  <c r="Z2397" i="1"/>
  <c r="Y2398" i="1"/>
  <c r="Z2398" i="1"/>
  <c r="Y2399" i="1"/>
  <c r="Z2399" i="1"/>
  <c r="Y2401" i="1"/>
  <c r="Z2401" i="1"/>
  <c r="Y2402" i="1"/>
  <c r="Z2402" i="1"/>
  <c r="Y2403" i="1"/>
  <c r="Z2403" i="1"/>
  <c r="Y2404" i="1"/>
  <c r="Z2404" i="1"/>
  <c r="Y2405" i="1"/>
  <c r="Z2405" i="1"/>
  <c r="Y2406" i="1"/>
  <c r="Z2406" i="1"/>
  <c r="Y2407" i="1"/>
  <c r="Z2407" i="1"/>
  <c r="Y2408" i="1"/>
  <c r="Z2408" i="1"/>
  <c r="Y2410" i="1"/>
  <c r="Z2410" i="1"/>
  <c r="Y2412" i="1"/>
  <c r="Z2412" i="1"/>
  <c r="Y2418" i="1"/>
  <c r="Z2418" i="1"/>
  <c r="Y2421" i="1"/>
  <c r="Z2421" i="1"/>
  <c r="Y2424" i="1"/>
  <c r="Z2424" i="1"/>
  <c r="Y2425" i="1"/>
  <c r="Z2425" i="1"/>
  <c r="Y2426" i="1"/>
  <c r="Z2426" i="1"/>
  <c r="Y2427" i="1"/>
  <c r="Z2427" i="1"/>
  <c r="Y3" i="1"/>
  <c r="Z3" i="1"/>
  <c r="Y2" i="1"/>
  <c r="K1101" i="1"/>
  <c r="K1102" i="1" s="1"/>
  <c r="K1103" i="1" s="1"/>
  <c r="K891" i="1"/>
  <c r="K892" i="1" s="1"/>
  <c r="K888" i="1"/>
  <c r="K889" i="1"/>
  <c r="K890" i="1" s="1"/>
  <c r="X4" i="8"/>
  <c r="Z4" i="8"/>
  <c r="AB4" i="8"/>
  <c r="X5" i="8"/>
  <c r="Z5" i="8"/>
  <c r="AB5" i="8"/>
  <c r="X6" i="8"/>
  <c r="Z6" i="8"/>
  <c r="AB6" i="8"/>
  <c r="X7" i="8"/>
  <c r="Z7" i="8"/>
  <c r="AB7" i="8"/>
  <c r="X8" i="8"/>
  <c r="Z8" i="8"/>
  <c r="AB8" i="8"/>
  <c r="X9" i="8"/>
  <c r="Z9" i="8"/>
  <c r="AB9" i="8"/>
  <c r="X10" i="8"/>
  <c r="Z10" i="8"/>
  <c r="AB10" i="8"/>
  <c r="X11" i="8"/>
  <c r="Z11" i="8"/>
  <c r="AB11" i="8"/>
  <c r="X12" i="8"/>
  <c r="Z12" i="8"/>
  <c r="AB12" i="8"/>
  <c r="X13" i="8"/>
  <c r="Z13" i="8"/>
  <c r="AB13" i="8"/>
  <c r="X14" i="8"/>
  <c r="Z14" i="8"/>
  <c r="AB14" i="8"/>
  <c r="X15" i="8"/>
  <c r="Z15" i="8"/>
  <c r="AB15" i="8"/>
  <c r="X16" i="8"/>
  <c r="Z16" i="8"/>
  <c r="AB16" i="8"/>
  <c r="X17" i="8"/>
  <c r="Z17" i="8"/>
  <c r="AB17" i="8"/>
  <c r="X18" i="8"/>
  <c r="Z18" i="8"/>
  <c r="AB18" i="8"/>
  <c r="X19" i="8"/>
  <c r="Z19" i="8"/>
  <c r="AB19" i="8"/>
  <c r="X20" i="8"/>
  <c r="Z20" i="8"/>
  <c r="AB20" i="8"/>
  <c r="X21" i="8"/>
  <c r="Z21" i="8"/>
  <c r="AB21" i="8"/>
  <c r="X22" i="8"/>
  <c r="Z22" i="8"/>
  <c r="AB22" i="8"/>
  <c r="X23" i="8"/>
  <c r="Z23" i="8"/>
  <c r="AB23" i="8"/>
  <c r="X24" i="8"/>
  <c r="Z24" i="8"/>
  <c r="AB24" i="8"/>
  <c r="X25" i="8"/>
  <c r="Z25" i="8"/>
  <c r="AB25" i="8"/>
  <c r="X26" i="8"/>
  <c r="Z26" i="8"/>
  <c r="AB26" i="8"/>
  <c r="X27" i="8"/>
  <c r="Z27" i="8"/>
  <c r="AB27" i="8"/>
  <c r="X28" i="8"/>
  <c r="Z28" i="8"/>
  <c r="AB28" i="8"/>
  <c r="X29" i="8"/>
  <c r="Z29" i="8"/>
  <c r="AB29" i="8"/>
  <c r="X30" i="8"/>
  <c r="Z30" i="8"/>
  <c r="AB30" i="8"/>
  <c r="X31" i="8"/>
  <c r="Z31" i="8"/>
  <c r="AB31" i="8"/>
  <c r="X32" i="8"/>
  <c r="Z32" i="8"/>
  <c r="AB32" i="8"/>
  <c r="X33" i="8"/>
  <c r="Z33" i="8"/>
  <c r="AB33" i="8"/>
  <c r="X34" i="8"/>
  <c r="Z34" i="8"/>
  <c r="AB34" i="8"/>
  <c r="X35" i="8"/>
  <c r="Z35" i="8"/>
  <c r="AB35" i="8"/>
  <c r="X36" i="8"/>
  <c r="Z36" i="8"/>
  <c r="AB36" i="8"/>
  <c r="X37" i="8"/>
  <c r="Z37" i="8"/>
  <c r="AB37" i="8"/>
  <c r="X38" i="8"/>
  <c r="Z38" i="8"/>
  <c r="AB38" i="8"/>
  <c r="X39" i="8"/>
  <c r="Z39" i="8"/>
  <c r="AB39" i="8"/>
  <c r="X40" i="8"/>
  <c r="Z40" i="8"/>
  <c r="AB40" i="8"/>
  <c r="X41" i="8"/>
  <c r="Z41" i="8"/>
  <c r="AB41" i="8"/>
  <c r="X42" i="8"/>
  <c r="Z42" i="8"/>
  <c r="AB42" i="8"/>
  <c r="X43" i="8"/>
  <c r="Z43" i="8"/>
  <c r="AB43" i="8"/>
  <c r="X44" i="8"/>
  <c r="Z44" i="8"/>
  <c r="AB44" i="8"/>
  <c r="X45" i="8"/>
  <c r="Z45" i="8"/>
  <c r="AB45" i="8"/>
  <c r="X46" i="8"/>
  <c r="Z46" i="8"/>
  <c r="AB46" i="8"/>
  <c r="X47" i="8"/>
  <c r="Z47" i="8"/>
  <c r="AB47" i="8"/>
  <c r="X48" i="8"/>
  <c r="Z48" i="8"/>
  <c r="AB48" i="8"/>
  <c r="X49" i="8"/>
  <c r="Z49" i="8"/>
  <c r="AB49" i="8"/>
  <c r="X50" i="8"/>
  <c r="Z50" i="8"/>
  <c r="AB50" i="8"/>
  <c r="X51" i="8"/>
  <c r="Z51" i="8"/>
  <c r="AB51" i="8"/>
  <c r="X52" i="8"/>
  <c r="Z52" i="8"/>
  <c r="AB52" i="8"/>
  <c r="X53" i="8"/>
  <c r="Z53" i="8"/>
  <c r="AB53" i="8"/>
  <c r="X54" i="8"/>
  <c r="Z54" i="8"/>
  <c r="AB54" i="8"/>
  <c r="X55" i="8"/>
  <c r="Z55" i="8"/>
  <c r="AB55" i="8"/>
  <c r="X56" i="8"/>
  <c r="Z56" i="8"/>
  <c r="AB56" i="8"/>
  <c r="X57" i="8"/>
  <c r="Z57" i="8"/>
  <c r="AB57" i="8"/>
  <c r="X58" i="8"/>
  <c r="Z58" i="8"/>
  <c r="AB58" i="8"/>
  <c r="X59" i="8"/>
  <c r="Z59" i="8"/>
  <c r="AB59" i="8"/>
  <c r="X60" i="8"/>
  <c r="Z60" i="8"/>
  <c r="AB60" i="8"/>
  <c r="X61" i="8"/>
  <c r="Z61" i="8"/>
  <c r="AB61" i="8"/>
  <c r="X62" i="8"/>
  <c r="Z62" i="8"/>
  <c r="AB62" i="8"/>
  <c r="X63" i="8"/>
  <c r="Z63" i="8"/>
  <c r="AB63" i="8"/>
  <c r="X64" i="8"/>
  <c r="Z64" i="8"/>
  <c r="AB64" i="8"/>
  <c r="X65" i="8"/>
  <c r="Z65" i="8"/>
  <c r="AB65" i="8"/>
  <c r="X66" i="8"/>
  <c r="Z66" i="8"/>
  <c r="AB66" i="8"/>
  <c r="X67" i="8"/>
  <c r="Z67" i="8"/>
  <c r="AB67" i="8"/>
  <c r="X68" i="8"/>
  <c r="Z68" i="8"/>
  <c r="AB68" i="8"/>
  <c r="X69" i="8"/>
  <c r="Z69" i="8"/>
  <c r="AB69" i="8"/>
  <c r="X70" i="8"/>
  <c r="Z70" i="8"/>
  <c r="AB70" i="8"/>
  <c r="X71" i="8"/>
  <c r="Z71" i="8"/>
  <c r="AB71" i="8"/>
  <c r="X72" i="8"/>
  <c r="Z72" i="8"/>
  <c r="AB72" i="8"/>
  <c r="X73" i="8"/>
  <c r="Z73" i="8"/>
  <c r="AB73" i="8"/>
  <c r="X74" i="8"/>
  <c r="Z74" i="8"/>
  <c r="AB74" i="8"/>
  <c r="X75" i="8"/>
  <c r="Z75" i="8"/>
  <c r="AB75" i="8"/>
  <c r="X76" i="8"/>
  <c r="Z76" i="8"/>
  <c r="AB76" i="8"/>
  <c r="X77" i="8"/>
  <c r="Z77" i="8"/>
  <c r="AB77" i="8"/>
  <c r="X78" i="8"/>
  <c r="Z78" i="8"/>
  <c r="AB78" i="8"/>
  <c r="X79" i="8"/>
  <c r="Z79" i="8"/>
  <c r="AB79" i="8"/>
  <c r="X80" i="8"/>
  <c r="Z80" i="8"/>
  <c r="AB80" i="8"/>
  <c r="X81" i="8"/>
  <c r="Z81" i="8"/>
  <c r="AB81" i="8"/>
  <c r="X82" i="8"/>
  <c r="Z82" i="8"/>
  <c r="AB82" i="8"/>
  <c r="X83" i="8"/>
  <c r="Z83" i="8"/>
  <c r="AB83" i="8"/>
  <c r="X84" i="8"/>
  <c r="Z84" i="8"/>
  <c r="AB84" i="8"/>
  <c r="X85" i="8"/>
  <c r="Z85" i="8"/>
  <c r="AB85" i="8"/>
  <c r="X86" i="8"/>
  <c r="Z86" i="8"/>
  <c r="AB86" i="8"/>
  <c r="X87" i="8"/>
  <c r="Z87" i="8"/>
  <c r="AB87" i="8"/>
  <c r="X88" i="8"/>
  <c r="Z88" i="8"/>
  <c r="AB88" i="8"/>
  <c r="X89" i="8"/>
  <c r="Z89" i="8"/>
  <c r="AB89" i="8"/>
  <c r="X90" i="8"/>
  <c r="Z90" i="8"/>
  <c r="AB90" i="8"/>
  <c r="X91" i="8"/>
  <c r="Z91" i="8"/>
  <c r="AB91" i="8"/>
  <c r="X92" i="8"/>
  <c r="Z92" i="8"/>
  <c r="AB92" i="8"/>
  <c r="X93" i="8"/>
  <c r="Z93" i="8"/>
  <c r="AB93" i="8"/>
  <c r="X94" i="8"/>
  <c r="Z94" i="8"/>
  <c r="AB94" i="8"/>
  <c r="X95" i="8"/>
  <c r="Z95" i="8"/>
  <c r="AB95" i="8"/>
  <c r="X96" i="8"/>
  <c r="Z96" i="8"/>
  <c r="AB96" i="8"/>
  <c r="X97" i="8"/>
  <c r="Z97" i="8"/>
  <c r="AB97" i="8"/>
  <c r="X98" i="8"/>
  <c r="Z98" i="8"/>
  <c r="AB98" i="8"/>
  <c r="X99" i="8"/>
  <c r="Z99" i="8"/>
  <c r="AB99" i="8"/>
  <c r="X100" i="8"/>
  <c r="Z100" i="8"/>
  <c r="AB100" i="8"/>
  <c r="X101" i="8"/>
  <c r="Z101" i="8"/>
  <c r="AB101" i="8"/>
  <c r="X102" i="8"/>
  <c r="Z102" i="8"/>
  <c r="AB102" i="8"/>
  <c r="X103" i="8"/>
  <c r="Z103" i="8"/>
  <c r="AB103" i="8"/>
  <c r="X104" i="8"/>
  <c r="Z104" i="8"/>
  <c r="AB104" i="8"/>
  <c r="X105" i="8"/>
  <c r="Z105" i="8"/>
  <c r="AB105" i="8"/>
  <c r="X106" i="8"/>
  <c r="Z106" i="8"/>
  <c r="AB106" i="8"/>
  <c r="X107" i="8"/>
  <c r="Z107" i="8"/>
  <c r="AB107" i="8"/>
  <c r="X108" i="8"/>
  <c r="Z108" i="8"/>
  <c r="AB108" i="8"/>
  <c r="X109" i="8"/>
  <c r="Z109" i="8"/>
  <c r="AB109" i="8"/>
  <c r="X110" i="8"/>
  <c r="Z110" i="8"/>
  <c r="AB110" i="8"/>
  <c r="X111" i="8"/>
  <c r="Z111" i="8"/>
  <c r="AB111" i="8"/>
  <c r="X112" i="8"/>
  <c r="Z112" i="8"/>
  <c r="AB112" i="8"/>
  <c r="X113" i="8"/>
  <c r="Z113" i="8"/>
  <c r="AB113" i="8"/>
  <c r="X114" i="8"/>
  <c r="Z114" i="8"/>
  <c r="AB114" i="8"/>
  <c r="X115" i="8"/>
  <c r="Z115" i="8"/>
  <c r="AB115" i="8"/>
  <c r="X116" i="8"/>
  <c r="Z116" i="8"/>
  <c r="AB116" i="8"/>
  <c r="X117" i="8"/>
  <c r="Z117" i="8"/>
  <c r="AB117" i="8"/>
  <c r="X118" i="8"/>
  <c r="Z118" i="8"/>
  <c r="AB118" i="8"/>
  <c r="X119" i="8"/>
  <c r="Z119" i="8"/>
  <c r="AB119" i="8"/>
  <c r="X120" i="8"/>
  <c r="Z120" i="8"/>
  <c r="AB120" i="8"/>
  <c r="X121" i="8"/>
  <c r="Z121" i="8"/>
  <c r="AB121" i="8"/>
  <c r="X122" i="8"/>
  <c r="Z122" i="8"/>
  <c r="AB122" i="8"/>
  <c r="X123" i="8"/>
  <c r="Z123" i="8"/>
  <c r="AB123" i="8"/>
  <c r="X124" i="8"/>
  <c r="Z124" i="8"/>
  <c r="AB124" i="8"/>
  <c r="X125" i="8"/>
  <c r="Z125" i="8"/>
  <c r="AB125" i="8"/>
  <c r="X126" i="8"/>
  <c r="Z126" i="8"/>
  <c r="AB126" i="8"/>
  <c r="X127" i="8"/>
  <c r="Z127" i="8"/>
  <c r="AB127" i="8"/>
  <c r="X128" i="8"/>
  <c r="Z128" i="8"/>
  <c r="AB128" i="8"/>
  <c r="X129" i="8"/>
  <c r="Z129" i="8"/>
  <c r="AB129" i="8"/>
  <c r="X130" i="8"/>
  <c r="Z130" i="8"/>
  <c r="AB130" i="8"/>
  <c r="X131" i="8"/>
  <c r="Z131" i="8"/>
  <c r="AB131" i="8"/>
  <c r="X132" i="8"/>
  <c r="Z132" i="8"/>
  <c r="AB132" i="8"/>
  <c r="X133" i="8"/>
  <c r="Z133" i="8"/>
  <c r="AB133" i="8"/>
  <c r="X134" i="8"/>
  <c r="Z134" i="8"/>
  <c r="AB134" i="8"/>
  <c r="X135" i="8"/>
  <c r="Z135" i="8"/>
  <c r="AB135" i="8"/>
  <c r="X136" i="8"/>
  <c r="Z136" i="8"/>
  <c r="AB136" i="8"/>
  <c r="X137" i="8"/>
  <c r="Z137" i="8"/>
  <c r="AB137" i="8"/>
  <c r="X138" i="8"/>
  <c r="Z138" i="8"/>
  <c r="AB138" i="8"/>
  <c r="X139" i="8"/>
  <c r="Z139" i="8"/>
  <c r="AB139" i="8"/>
  <c r="X140" i="8"/>
  <c r="Z140" i="8"/>
  <c r="AB140" i="8"/>
  <c r="X141" i="8"/>
  <c r="Z141" i="8"/>
  <c r="AB141" i="8"/>
  <c r="X142" i="8"/>
  <c r="Z142" i="8"/>
  <c r="AB142" i="8"/>
  <c r="X143" i="8"/>
  <c r="Z143" i="8"/>
  <c r="AB143" i="8"/>
  <c r="X144" i="8"/>
  <c r="Z144" i="8"/>
  <c r="AB144" i="8"/>
  <c r="X145" i="8"/>
  <c r="Z145" i="8"/>
  <c r="AB145" i="8"/>
  <c r="X146" i="8"/>
  <c r="Z146" i="8"/>
  <c r="AB146" i="8"/>
  <c r="X147" i="8"/>
  <c r="Z147" i="8"/>
  <c r="AB147" i="8"/>
  <c r="X148" i="8"/>
  <c r="Z148" i="8"/>
  <c r="AB148" i="8"/>
  <c r="X149" i="8"/>
  <c r="Z149" i="8"/>
  <c r="AB149" i="8"/>
  <c r="X150" i="8"/>
  <c r="Z150" i="8"/>
  <c r="AB150" i="8"/>
  <c r="X151" i="8"/>
  <c r="Z151" i="8"/>
  <c r="AB151" i="8"/>
  <c r="X152" i="8"/>
  <c r="Z152" i="8"/>
  <c r="AB152" i="8"/>
  <c r="X153" i="8"/>
  <c r="Z153" i="8"/>
  <c r="AB153" i="8"/>
  <c r="X154" i="8"/>
  <c r="Z154" i="8"/>
  <c r="AB154" i="8"/>
  <c r="X155" i="8"/>
  <c r="Z155" i="8"/>
  <c r="AB155" i="8"/>
  <c r="X156" i="8"/>
  <c r="Z156" i="8"/>
  <c r="AB156" i="8"/>
  <c r="X157" i="8"/>
  <c r="Z157" i="8"/>
  <c r="AB157" i="8"/>
  <c r="X158" i="8"/>
  <c r="Z158" i="8"/>
  <c r="AB158" i="8"/>
  <c r="X159" i="8"/>
  <c r="Z159" i="8"/>
  <c r="AB159" i="8"/>
  <c r="X160" i="8"/>
  <c r="Z160" i="8"/>
  <c r="AB160" i="8"/>
  <c r="X161" i="8"/>
  <c r="Z161" i="8"/>
  <c r="AB161" i="8"/>
  <c r="X162" i="8"/>
  <c r="Z162" i="8"/>
  <c r="AB162" i="8"/>
  <c r="X163" i="8"/>
  <c r="Z163" i="8"/>
  <c r="AB163" i="8"/>
  <c r="X164" i="8"/>
  <c r="Z164" i="8"/>
  <c r="AB164" i="8"/>
  <c r="X165" i="8"/>
  <c r="Z165" i="8"/>
  <c r="AB165" i="8"/>
  <c r="X166" i="8"/>
  <c r="Z166" i="8"/>
  <c r="AB166" i="8"/>
  <c r="X167" i="8"/>
  <c r="Z167" i="8"/>
  <c r="AB167" i="8"/>
  <c r="X168" i="8"/>
  <c r="Z168" i="8"/>
  <c r="AB168" i="8"/>
  <c r="X169" i="8"/>
  <c r="Z169" i="8"/>
  <c r="AB169" i="8"/>
  <c r="X170" i="8"/>
  <c r="Z170" i="8"/>
  <c r="AB170" i="8"/>
  <c r="X171" i="8"/>
  <c r="Z171" i="8"/>
  <c r="AB171" i="8"/>
  <c r="X172" i="8"/>
  <c r="Z172" i="8"/>
  <c r="AB172" i="8"/>
  <c r="X173" i="8"/>
  <c r="Z173" i="8"/>
  <c r="AB173" i="8"/>
  <c r="X174" i="8"/>
  <c r="Z174" i="8"/>
  <c r="AB174" i="8"/>
  <c r="X175" i="8"/>
  <c r="Z175" i="8"/>
  <c r="AB175" i="8"/>
  <c r="X176" i="8"/>
  <c r="Z176" i="8"/>
  <c r="AB176" i="8"/>
  <c r="X177" i="8"/>
  <c r="Z177" i="8"/>
  <c r="AB177" i="8"/>
  <c r="X178" i="8"/>
  <c r="Z178" i="8"/>
  <c r="AB178" i="8"/>
  <c r="X179" i="8"/>
  <c r="Z179" i="8"/>
  <c r="AB179" i="8"/>
  <c r="X180" i="8"/>
  <c r="Z180" i="8"/>
  <c r="AB180" i="8"/>
  <c r="X181" i="8"/>
  <c r="Z181" i="8"/>
  <c r="AB181" i="8"/>
  <c r="X182" i="8"/>
  <c r="Z182" i="8"/>
  <c r="AB182" i="8"/>
  <c r="X183" i="8"/>
  <c r="Z183" i="8"/>
  <c r="AB183" i="8"/>
  <c r="X184" i="8"/>
  <c r="Z184" i="8"/>
  <c r="AB184" i="8"/>
  <c r="X185" i="8"/>
  <c r="Z185" i="8"/>
  <c r="AB185" i="8"/>
  <c r="X186" i="8"/>
  <c r="Z186" i="8"/>
  <c r="AB186" i="8"/>
  <c r="X187" i="8"/>
  <c r="Z187" i="8"/>
  <c r="AB187" i="8"/>
  <c r="X188" i="8"/>
  <c r="Z188" i="8"/>
  <c r="AB188" i="8"/>
  <c r="X189" i="8"/>
  <c r="Z189" i="8"/>
  <c r="AB189" i="8"/>
  <c r="X190" i="8"/>
  <c r="Z190" i="8"/>
  <c r="AB190" i="8"/>
  <c r="X191" i="8"/>
  <c r="Z191" i="8"/>
  <c r="AB191" i="8"/>
  <c r="X192" i="8"/>
  <c r="Z192" i="8"/>
  <c r="AB192" i="8"/>
  <c r="X193" i="8"/>
  <c r="Z193" i="8"/>
  <c r="AB193" i="8"/>
  <c r="X194" i="8"/>
  <c r="Z194" i="8"/>
  <c r="AB194" i="8"/>
  <c r="X195" i="8"/>
  <c r="Z195" i="8"/>
  <c r="AB195" i="8"/>
  <c r="X196" i="8"/>
  <c r="Z196" i="8"/>
  <c r="AB196" i="8"/>
  <c r="X197" i="8"/>
  <c r="Z197" i="8"/>
  <c r="AB197" i="8"/>
  <c r="X198" i="8"/>
  <c r="Z198" i="8"/>
  <c r="AB198" i="8"/>
  <c r="X199" i="8"/>
  <c r="Z199" i="8"/>
  <c r="AB199" i="8"/>
  <c r="X200" i="8"/>
  <c r="Z200" i="8"/>
  <c r="AB200" i="8"/>
  <c r="X201" i="8"/>
  <c r="Z201" i="8"/>
  <c r="AB201" i="8"/>
  <c r="X202" i="8"/>
  <c r="Z202" i="8"/>
  <c r="AB202" i="8"/>
  <c r="AB3" i="8"/>
  <c r="Z3" i="8"/>
  <c r="X3" i="8"/>
  <c r="V3" i="8" l="1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4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V122" i="8" s="1"/>
  <c r="V123" i="8" s="1"/>
  <c r="V124" i="8" s="1"/>
  <c r="V125" i="8" s="1"/>
  <c r="V126" i="8" s="1"/>
  <c r="V127" i="8" s="1"/>
  <c r="V128" i="8" s="1"/>
  <c r="V129" i="8" s="1"/>
  <c r="V130" i="8" s="1"/>
  <c r="V131" i="8" s="1"/>
  <c r="V132" i="8" s="1"/>
  <c r="V133" i="8" s="1"/>
  <c r="V134" i="8" s="1"/>
  <c r="V135" i="8" s="1"/>
  <c r="V136" i="8" s="1"/>
  <c r="V137" i="8" s="1"/>
  <c r="V138" i="8" s="1"/>
  <c r="V139" i="8" s="1"/>
  <c r="V140" i="8" s="1"/>
  <c r="V141" i="8" s="1"/>
  <c r="V142" i="8" s="1"/>
  <c r="V143" i="8" s="1"/>
  <c r="V144" i="8" s="1"/>
  <c r="V145" i="8" s="1"/>
  <c r="V146" i="8" s="1"/>
  <c r="V147" i="8" s="1"/>
  <c r="V148" i="8" s="1"/>
  <c r="V149" i="8" s="1"/>
  <c r="V150" i="8" s="1"/>
  <c r="V151" i="8" s="1"/>
  <c r="V152" i="8" s="1"/>
  <c r="V153" i="8" s="1"/>
  <c r="V154" i="8" s="1"/>
  <c r="V155" i="8" s="1"/>
  <c r="V156" i="8" s="1"/>
  <c r="V157" i="8" s="1"/>
  <c r="V158" i="8" s="1"/>
  <c r="V159" i="8" s="1"/>
  <c r="V160" i="8" s="1"/>
  <c r="V161" i="8" s="1"/>
  <c r="V162" i="8" s="1"/>
  <c r="V163" i="8" s="1"/>
  <c r="V164" i="8" s="1"/>
  <c r="V165" i="8" s="1"/>
  <c r="V166" i="8" s="1"/>
  <c r="V167" i="8" s="1"/>
  <c r="V168" i="8" s="1"/>
  <c r="V169" i="8" s="1"/>
  <c r="V170" i="8" s="1"/>
  <c r="V171" i="8" s="1"/>
  <c r="V172" i="8" s="1"/>
  <c r="V173" i="8" s="1"/>
  <c r="V174" i="8" s="1"/>
  <c r="V175" i="8" s="1"/>
  <c r="V176" i="8" s="1"/>
  <c r="V177" i="8" s="1"/>
  <c r="V178" i="8" s="1"/>
  <c r="V179" i="8" s="1"/>
  <c r="V180" i="8" s="1"/>
  <c r="V181" i="8" s="1"/>
  <c r="V182" i="8" s="1"/>
  <c r="V183" i="8" s="1"/>
  <c r="V184" i="8" s="1"/>
  <c r="V185" i="8" s="1"/>
  <c r="V186" i="8" s="1"/>
  <c r="V187" i="8" s="1"/>
  <c r="V188" i="8" s="1"/>
  <c r="V189" i="8" s="1"/>
  <c r="V190" i="8" s="1"/>
  <c r="V191" i="8" s="1"/>
  <c r="V192" i="8" s="1"/>
  <c r="V193" i="8" s="1"/>
  <c r="V194" i="8" s="1"/>
  <c r="V195" i="8" s="1"/>
  <c r="V196" i="8" s="1"/>
  <c r="V197" i="8" s="1"/>
  <c r="V198" i="8" s="1"/>
  <c r="V199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O123" i="8" s="1"/>
  <c r="O124" i="8" s="1"/>
  <c r="O125" i="8" s="1"/>
  <c r="O126" i="8" s="1"/>
  <c r="O127" i="8" s="1"/>
  <c r="O128" i="8" s="1"/>
  <c r="O129" i="8" s="1"/>
  <c r="O130" i="8" s="1"/>
  <c r="O131" i="8" s="1"/>
  <c r="O132" i="8" s="1"/>
  <c r="O133" i="8" s="1"/>
  <c r="O134" i="8" s="1"/>
  <c r="O135" i="8" s="1"/>
  <c r="O136" i="8" s="1"/>
  <c r="O137" i="8" s="1"/>
  <c r="O138" i="8" s="1"/>
  <c r="O139" i="8" s="1"/>
  <c r="O140" i="8" s="1"/>
  <c r="O141" i="8" s="1"/>
  <c r="O142" i="8" s="1"/>
  <c r="O143" i="8" s="1"/>
  <c r="O144" i="8" s="1"/>
  <c r="O145" i="8" s="1"/>
  <c r="O146" i="8" s="1"/>
  <c r="O147" i="8" s="1"/>
  <c r="O148" i="8" s="1"/>
  <c r="O149" i="8" s="1"/>
  <c r="O150" i="8" s="1"/>
  <c r="O151" i="8" s="1"/>
  <c r="O152" i="8" s="1"/>
  <c r="O153" i="8" s="1"/>
  <c r="O154" i="8" s="1"/>
  <c r="O155" i="8" s="1"/>
  <c r="O156" i="8" s="1"/>
  <c r="O157" i="8" s="1"/>
  <c r="O158" i="8" s="1"/>
  <c r="O159" i="8" s="1"/>
  <c r="O160" i="8" s="1"/>
  <c r="O161" i="8" s="1"/>
  <c r="O162" i="8" s="1"/>
  <c r="O163" i="8" s="1"/>
  <c r="O164" i="8" s="1"/>
  <c r="O165" i="8" s="1"/>
  <c r="O166" i="8" s="1"/>
  <c r="O167" i="8" s="1"/>
  <c r="O168" i="8" s="1"/>
  <c r="O169" i="8" s="1"/>
  <c r="O170" i="8" s="1"/>
  <c r="O171" i="8" s="1"/>
  <c r="O172" i="8" s="1"/>
  <c r="O173" i="8" s="1"/>
  <c r="O174" i="8" s="1"/>
  <c r="O175" i="8" s="1"/>
  <c r="O176" i="8" s="1"/>
  <c r="O177" i="8" s="1"/>
  <c r="O178" i="8" s="1"/>
  <c r="O179" i="8" s="1"/>
  <c r="O180" i="8" s="1"/>
  <c r="O181" i="8" s="1"/>
  <c r="O182" i="8" s="1"/>
  <c r="O183" i="8" s="1"/>
  <c r="O184" i="8" s="1"/>
  <c r="O185" i="8" s="1"/>
  <c r="O186" i="8" s="1"/>
  <c r="O187" i="8" s="1"/>
  <c r="O188" i="8" s="1"/>
  <c r="O189" i="8" s="1"/>
  <c r="O190" i="8" s="1"/>
  <c r="O191" i="8" s="1"/>
  <c r="O192" i="8" s="1"/>
  <c r="O193" i="8" s="1"/>
  <c r="O194" i="8" s="1"/>
  <c r="O195" i="8" s="1"/>
  <c r="O196" i="8" s="1"/>
  <c r="O197" i="8" s="1"/>
  <c r="O198" i="8" s="1"/>
  <c r="O199" i="8" s="1"/>
  <c r="AO4" i="1"/>
  <c r="AN4" i="1" s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N1771" i="1"/>
  <c r="N1705" i="1"/>
  <c r="N1637" i="1"/>
  <c r="N1243" i="1"/>
  <c r="N691" i="1"/>
  <c r="N121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L2" i="1"/>
  <c r="M2" i="1"/>
  <c r="L3" i="1"/>
  <c r="L4" i="1" s="1"/>
  <c r="L5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AH3" i="1"/>
  <c r="AE3" i="8" s="1"/>
  <c r="AI3" i="1"/>
  <c r="AG3" i="1"/>
  <c r="AD3" i="1"/>
  <c r="AD4" i="1" s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474" i="1" s="1"/>
  <c r="AD475" i="1" s="1"/>
  <c r="AD476" i="1" s="1"/>
  <c r="AD477" i="1" s="1"/>
  <c r="AD478" i="1" s="1"/>
  <c r="AD479" i="1" s="1"/>
  <c r="AD480" i="1" s="1"/>
  <c r="AD481" i="1" s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AD505" i="1" s="1"/>
  <c r="AD506" i="1" s="1"/>
  <c r="AD507" i="1" s="1"/>
  <c r="AD508" i="1" s="1"/>
  <c r="AD509" i="1" s="1"/>
  <c r="AD510" i="1" s="1"/>
  <c r="AD511" i="1" s="1"/>
  <c r="AD512" i="1" s="1"/>
  <c r="AD513" i="1" s="1"/>
  <c r="AD514" i="1" s="1"/>
  <c r="AD515" i="1" s="1"/>
  <c r="AD516" i="1" s="1"/>
  <c r="AD517" i="1" s="1"/>
  <c r="AD518" i="1" s="1"/>
  <c r="AD519" i="1" s="1"/>
  <c r="AD520" i="1" s="1"/>
  <c r="AD521" i="1" s="1"/>
  <c r="AD522" i="1" s="1"/>
  <c r="AD523" i="1" s="1"/>
  <c r="AD524" i="1" s="1"/>
  <c r="AD525" i="1" s="1"/>
  <c r="AD526" i="1" s="1"/>
  <c r="AD527" i="1" s="1"/>
  <c r="AD528" i="1" s="1"/>
  <c r="AD529" i="1" s="1"/>
  <c r="AD530" i="1" s="1"/>
  <c r="AD531" i="1" s="1"/>
  <c r="AD532" i="1" s="1"/>
  <c r="AD533" i="1" s="1"/>
  <c r="AD534" i="1" s="1"/>
  <c r="AD535" i="1" s="1"/>
  <c r="AD536" i="1" s="1"/>
  <c r="AD537" i="1" s="1"/>
  <c r="AD538" i="1" s="1"/>
  <c r="AD539" i="1" s="1"/>
  <c r="AD540" i="1" s="1"/>
  <c r="AD541" i="1" s="1"/>
  <c r="AD542" i="1" s="1"/>
  <c r="AD543" i="1" s="1"/>
  <c r="AD544" i="1" s="1"/>
  <c r="AD545" i="1" s="1"/>
  <c r="AD546" i="1" s="1"/>
  <c r="AD547" i="1" s="1"/>
  <c r="AD548" i="1" s="1"/>
  <c r="AD549" i="1" s="1"/>
  <c r="AD550" i="1" s="1"/>
  <c r="AD551" i="1" s="1"/>
  <c r="AD552" i="1" s="1"/>
  <c r="AD553" i="1" s="1"/>
  <c r="AD554" i="1" s="1"/>
  <c r="AD555" i="1" s="1"/>
  <c r="AD556" i="1" s="1"/>
  <c r="AD557" i="1" s="1"/>
  <c r="AD558" i="1" s="1"/>
  <c r="AD559" i="1" s="1"/>
  <c r="AD560" i="1" s="1"/>
  <c r="AD561" i="1" s="1"/>
  <c r="AD562" i="1" s="1"/>
  <c r="AD563" i="1" s="1"/>
  <c r="AD564" i="1" s="1"/>
  <c r="AD565" i="1" s="1"/>
  <c r="AD566" i="1" s="1"/>
  <c r="AD567" i="1" s="1"/>
  <c r="AD568" i="1" s="1"/>
  <c r="AD569" i="1" s="1"/>
  <c r="AD570" i="1" s="1"/>
  <c r="AD571" i="1" s="1"/>
  <c r="AD572" i="1" s="1"/>
  <c r="AD573" i="1" s="1"/>
  <c r="AD574" i="1" s="1"/>
  <c r="AD575" i="1" s="1"/>
  <c r="AD576" i="1" s="1"/>
  <c r="AD577" i="1" s="1"/>
  <c r="AD578" i="1" s="1"/>
  <c r="AD579" i="1" s="1"/>
  <c r="AD580" i="1" s="1"/>
  <c r="AD581" i="1" s="1"/>
  <c r="AD582" i="1" s="1"/>
  <c r="AD583" i="1" s="1"/>
  <c r="AD584" i="1" s="1"/>
  <c r="AD585" i="1" s="1"/>
  <c r="AD586" i="1" s="1"/>
  <c r="AD587" i="1" s="1"/>
  <c r="AD588" i="1" s="1"/>
  <c r="AD589" i="1" s="1"/>
  <c r="AD590" i="1" s="1"/>
  <c r="AD591" i="1" s="1"/>
  <c r="AD592" i="1" s="1"/>
  <c r="AD593" i="1" s="1"/>
  <c r="AD594" i="1" s="1"/>
  <c r="AD595" i="1" s="1"/>
  <c r="AD596" i="1" s="1"/>
  <c r="AD597" i="1" s="1"/>
  <c r="AD598" i="1" s="1"/>
  <c r="AD599" i="1" s="1"/>
  <c r="AD600" i="1" s="1"/>
  <c r="AD601" i="1" s="1"/>
  <c r="AD602" i="1" s="1"/>
  <c r="AD603" i="1" s="1"/>
  <c r="AD604" i="1" s="1"/>
  <c r="AD605" i="1" s="1"/>
  <c r="AD606" i="1" s="1"/>
  <c r="AD607" i="1" s="1"/>
  <c r="AD608" i="1" s="1"/>
  <c r="AD609" i="1" s="1"/>
  <c r="AD610" i="1" s="1"/>
  <c r="AD611" i="1" s="1"/>
  <c r="AD612" i="1" s="1"/>
  <c r="AD613" i="1" s="1"/>
  <c r="AD614" i="1" s="1"/>
  <c r="AD615" i="1" s="1"/>
  <c r="AD616" i="1" s="1"/>
  <c r="AD617" i="1" s="1"/>
  <c r="AD618" i="1" s="1"/>
  <c r="AD619" i="1" s="1"/>
  <c r="AD620" i="1" s="1"/>
  <c r="AD621" i="1" s="1"/>
  <c r="AD622" i="1" s="1"/>
  <c r="AD623" i="1" s="1"/>
  <c r="AD624" i="1" s="1"/>
  <c r="AD625" i="1" s="1"/>
  <c r="AD626" i="1" s="1"/>
  <c r="AD627" i="1" s="1"/>
  <c r="AD628" i="1" s="1"/>
  <c r="AD629" i="1" s="1"/>
  <c r="AD630" i="1" s="1"/>
  <c r="AD631" i="1" s="1"/>
  <c r="AD632" i="1" s="1"/>
  <c r="AD633" i="1" s="1"/>
  <c r="AD634" i="1" s="1"/>
  <c r="AD635" i="1" s="1"/>
  <c r="AD636" i="1" s="1"/>
  <c r="AD637" i="1" s="1"/>
  <c r="AD638" i="1" s="1"/>
  <c r="AD639" i="1" s="1"/>
  <c r="AD640" i="1" s="1"/>
  <c r="AD641" i="1" s="1"/>
  <c r="AD642" i="1" s="1"/>
  <c r="AD643" i="1" s="1"/>
  <c r="AD644" i="1" s="1"/>
  <c r="AD645" i="1" s="1"/>
  <c r="AD646" i="1" s="1"/>
  <c r="AD647" i="1" s="1"/>
  <c r="AD648" i="1" s="1"/>
  <c r="AD649" i="1" s="1"/>
  <c r="AD650" i="1" s="1"/>
  <c r="AD651" i="1" s="1"/>
  <c r="AD652" i="1" s="1"/>
  <c r="AD653" i="1" s="1"/>
  <c r="AD654" i="1" s="1"/>
  <c r="AD655" i="1" s="1"/>
  <c r="AD656" i="1" s="1"/>
  <c r="AD657" i="1" s="1"/>
  <c r="AD658" i="1" s="1"/>
  <c r="AD659" i="1" s="1"/>
  <c r="AD660" i="1" s="1"/>
  <c r="AD661" i="1" s="1"/>
  <c r="AD662" i="1" s="1"/>
  <c r="AD663" i="1" s="1"/>
  <c r="AD664" i="1" s="1"/>
  <c r="AD665" i="1" s="1"/>
  <c r="AD666" i="1" s="1"/>
  <c r="AD667" i="1" s="1"/>
  <c r="AD668" i="1" s="1"/>
  <c r="AD669" i="1" s="1"/>
  <c r="AD670" i="1" s="1"/>
  <c r="AD671" i="1" s="1"/>
  <c r="AD672" i="1" s="1"/>
  <c r="AD673" i="1" s="1"/>
  <c r="AD674" i="1" s="1"/>
  <c r="AD675" i="1" s="1"/>
  <c r="AD676" i="1" s="1"/>
  <c r="AD677" i="1" s="1"/>
  <c r="AD678" i="1" s="1"/>
  <c r="AD679" i="1" s="1"/>
  <c r="AD680" i="1" s="1"/>
  <c r="AD681" i="1" s="1"/>
  <c r="AD682" i="1" s="1"/>
  <c r="AD683" i="1" s="1"/>
  <c r="AD684" i="1" s="1"/>
  <c r="AD685" i="1" s="1"/>
  <c r="AD686" i="1" s="1"/>
  <c r="AD687" i="1" s="1"/>
  <c r="AD688" i="1" s="1"/>
  <c r="AD689" i="1" s="1"/>
  <c r="AD690" i="1" s="1"/>
  <c r="AD691" i="1" s="1"/>
  <c r="AD692" i="1" s="1"/>
  <c r="AD693" i="1" s="1"/>
  <c r="AD694" i="1" s="1"/>
  <c r="AD695" i="1" s="1"/>
  <c r="AD696" i="1" s="1"/>
  <c r="AD697" i="1" s="1"/>
  <c r="AD698" i="1" s="1"/>
  <c r="AD699" i="1" s="1"/>
  <c r="AD700" i="1" s="1"/>
  <c r="AD701" i="1" s="1"/>
  <c r="AD702" i="1" s="1"/>
  <c r="AD703" i="1" s="1"/>
  <c r="AD704" i="1" s="1"/>
  <c r="AD705" i="1" s="1"/>
  <c r="AD706" i="1" s="1"/>
  <c r="AD707" i="1" s="1"/>
  <c r="AD708" i="1" s="1"/>
  <c r="AD709" i="1" s="1"/>
  <c r="AD710" i="1" s="1"/>
  <c r="AD711" i="1" s="1"/>
  <c r="AD712" i="1" s="1"/>
  <c r="AD713" i="1" s="1"/>
  <c r="AD714" i="1" s="1"/>
  <c r="AD715" i="1" s="1"/>
  <c r="AD716" i="1" s="1"/>
  <c r="AD717" i="1" s="1"/>
  <c r="AD718" i="1" s="1"/>
  <c r="AD719" i="1" s="1"/>
  <c r="AD720" i="1" s="1"/>
  <c r="AD721" i="1" s="1"/>
  <c r="AD722" i="1" s="1"/>
  <c r="AD723" i="1" s="1"/>
  <c r="AD724" i="1" s="1"/>
  <c r="AD725" i="1" s="1"/>
  <c r="AD726" i="1" s="1"/>
  <c r="AD727" i="1" s="1"/>
  <c r="AD728" i="1" s="1"/>
  <c r="AD729" i="1" s="1"/>
  <c r="AD730" i="1" s="1"/>
  <c r="AD731" i="1" s="1"/>
  <c r="AD732" i="1" s="1"/>
  <c r="AD733" i="1" s="1"/>
  <c r="AD734" i="1" s="1"/>
  <c r="AD735" i="1" s="1"/>
  <c r="AD736" i="1" s="1"/>
  <c r="AD737" i="1" s="1"/>
  <c r="AD738" i="1" s="1"/>
  <c r="AD739" i="1" s="1"/>
  <c r="AD740" i="1" s="1"/>
  <c r="AD741" i="1" s="1"/>
  <c r="AD742" i="1" s="1"/>
  <c r="AD743" i="1" s="1"/>
  <c r="AD744" i="1" s="1"/>
  <c r="AD745" i="1" s="1"/>
  <c r="AD746" i="1" s="1"/>
  <c r="AD747" i="1" s="1"/>
  <c r="AD748" i="1" s="1"/>
  <c r="AD749" i="1" s="1"/>
  <c r="AD750" i="1" s="1"/>
  <c r="AD751" i="1" s="1"/>
  <c r="AD752" i="1" s="1"/>
  <c r="AD753" i="1" s="1"/>
  <c r="AD754" i="1" s="1"/>
  <c r="AD755" i="1" s="1"/>
  <c r="AD756" i="1" s="1"/>
  <c r="AD757" i="1" s="1"/>
  <c r="AD758" i="1" s="1"/>
  <c r="AD759" i="1" s="1"/>
  <c r="AD760" i="1" s="1"/>
  <c r="AD761" i="1" s="1"/>
  <c r="AD762" i="1" s="1"/>
  <c r="AD763" i="1" s="1"/>
  <c r="AD764" i="1" s="1"/>
  <c r="AD765" i="1" s="1"/>
  <c r="AD766" i="1" s="1"/>
  <c r="AD767" i="1" s="1"/>
  <c r="AD768" i="1" s="1"/>
  <c r="AD769" i="1" s="1"/>
  <c r="AD770" i="1" s="1"/>
  <c r="AD771" i="1" s="1"/>
  <c r="AD772" i="1" s="1"/>
  <c r="AD773" i="1" s="1"/>
  <c r="AD774" i="1" s="1"/>
  <c r="AD775" i="1" s="1"/>
  <c r="AD776" i="1" s="1"/>
  <c r="AD777" i="1" s="1"/>
  <c r="AD778" i="1" s="1"/>
  <c r="AD779" i="1" s="1"/>
  <c r="AD780" i="1" s="1"/>
  <c r="AD781" i="1" s="1"/>
  <c r="AD782" i="1" s="1"/>
  <c r="AD783" i="1" s="1"/>
  <c r="AD784" i="1" s="1"/>
  <c r="AD785" i="1" s="1"/>
  <c r="AD786" i="1" s="1"/>
  <c r="AD787" i="1" s="1"/>
  <c r="AD788" i="1" s="1"/>
  <c r="AD789" i="1" s="1"/>
  <c r="AD790" i="1" s="1"/>
  <c r="AD791" i="1" s="1"/>
  <c r="AD792" i="1" s="1"/>
  <c r="AD793" i="1" s="1"/>
  <c r="AD794" i="1" s="1"/>
  <c r="AD795" i="1" s="1"/>
  <c r="AD796" i="1" s="1"/>
  <c r="AD797" i="1" s="1"/>
  <c r="AD798" i="1" s="1"/>
  <c r="AD799" i="1" s="1"/>
  <c r="AD800" i="1" s="1"/>
  <c r="AD801" i="1" s="1"/>
  <c r="AD802" i="1" s="1"/>
  <c r="AD803" i="1" s="1"/>
  <c r="AD804" i="1" s="1"/>
  <c r="AD805" i="1" s="1"/>
  <c r="AD806" i="1" s="1"/>
  <c r="AD807" i="1" s="1"/>
  <c r="AD808" i="1" s="1"/>
  <c r="AD809" i="1" s="1"/>
  <c r="AD810" i="1" s="1"/>
  <c r="AD811" i="1" s="1"/>
  <c r="AD812" i="1" s="1"/>
  <c r="AD813" i="1" s="1"/>
  <c r="AD814" i="1" s="1"/>
  <c r="AD815" i="1" s="1"/>
  <c r="AD816" i="1" s="1"/>
  <c r="AD817" i="1" s="1"/>
  <c r="AD818" i="1" s="1"/>
  <c r="AD819" i="1" s="1"/>
  <c r="AD820" i="1" s="1"/>
  <c r="AD821" i="1" s="1"/>
  <c r="AD822" i="1" s="1"/>
  <c r="AD823" i="1" s="1"/>
  <c r="AD824" i="1" s="1"/>
  <c r="AD825" i="1" s="1"/>
  <c r="AD826" i="1" s="1"/>
  <c r="AD827" i="1" s="1"/>
  <c r="AD828" i="1" s="1"/>
  <c r="AD829" i="1" s="1"/>
  <c r="AD830" i="1" s="1"/>
  <c r="AD831" i="1" s="1"/>
  <c r="AD832" i="1" s="1"/>
  <c r="AD833" i="1" s="1"/>
  <c r="AD834" i="1" s="1"/>
  <c r="AD835" i="1" s="1"/>
  <c r="AD836" i="1" s="1"/>
  <c r="AD837" i="1" s="1"/>
  <c r="AD838" i="1" s="1"/>
  <c r="AD839" i="1" s="1"/>
  <c r="AD840" i="1" s="1"/>
  <c r="AD841" i="1" s="1"/>
  <c r="AD842" i="1" s="1"/>
  <c r="AD843" i="1" s="1"/>
  <c r="AD844" i="1" s="1"/>
  <c r="AD845" i="1" s="1"/>
  <c r="AD846" i="1" s="1"/>
  <c r="AD847" i="1" s="1"/>
  <c r="AD848" i="1" s="1"/>
  <c r="AD849" i="1" s="1"/>
  <c r="AD850" i="1" s="1"/>
  <c r="AD851" i="1" s="1"/>
  <c r="AD852" i="1" s="1"/>
  <c r="AD853" i="1" s="1"/>
  <c r="AD854" i="1" s="1"/>
  <c r="AD855" i="1" s="1"/>
  <c r="AD856" i="1" s="1"/>
  <c r="AD857" i="1" s="1"/>
  <c r="AD858" i="1" s="1"/>
  <c r="AD859" i="1" s="1"/>
  <c r="AD860" i="1" s="1"/>
  <c r="AD861" i="1" s="1"/>
  <c r="AD862" i="1" s="1"/>
  <c r="AD863" i="1" s="1"/>
  <c r="AD864" i="1" s="1"/>
  <c r="AD865" i="1" s="1"/>
  <c r="AD866" i="1" s="1"/>
  <c r="AD867" i="1" s="1"/>
  <c r="AD868" i="1" s="1"/>
  <c r="AD869" i="1" s="1"/>
  <c r="AD870" i="1" s="1"/>
  <c r="AD871" i="1" s="1"/>
  <c r="AD872" i="1" s="1"/>
  <c r="AD873" i="1" s="1"/>
  <c r="AD874" i="1" s="1"/>
  <c r="AD875" i="1" s="1"/>
  <c r="AD876" i="1" s="1"/>
  <c r="AD877" i="1" s="1"/>
  <c r="AD878" i="1" s="1"/>
  <c r="AD879" i="1" s="1"/>
  <c r="AD880" i="1" s="1"/>
  <c r="AD881" i="1" s="1"/>
  <c r="AD882" i="1" s="1"/>
  <c r="AD883" i="1" s="1"/>
  <c r="AD884" i="1" s="1"/>
  <c r="AD885" i="1" s="1"/>
  <c r="AD886" i="1" s="1"/>
  <c r="AD887" i="1" s="1"/>
  <c r="AD888" i="1" s="1"/>
  <c r="AD889" i="1" s="1"/>
  <c r="AD890" i="1" s="1"/>
  <c r="AD891" i="1" s="1"/>
  <c r="AD892" i="1" s="1"/>
  <c r="AD893" i="1" s="1"/>
  <c r="AD894" i="1" s="1"/>
  <c r="AD895" i="1" s="1"/>
  <c r="AD896" i="1" s="1"/>
  <c r="AD897" i="1" s="1"/>
  <c r="AD898" i="1" s="1"/>
  <c r="AD899" i="1" s="1"/>
  <c r="AD900" i="1" s="1"/>
  <c r="AD901" i="1" s="1"/>
  <c r="AD902" i="1" s="1"/>
  <c r="AD903" i="1" s="1"/>
  <c r="AD904" i="1" s="1"/>
  <c r="AD905" i="1" s="1"/>
  <c r="AD906" i="1" s="1"/>
  <c r="AD907" i="1" s="1"/>
  <c r="AD908" i="1" s="1"/>
  <c r="AD909" i="1" s="1"/>
  <c r="AD910" i="1" s="1"/>
  <c r="AD911" i="1" s="1"/>
  <c r="AD912" i="1" s="1"/>
  <c r="AD913" i="1" s="1"/>
  <c r="AD914" i="1" s="1"/>
  <c r="AD915" i="1" s="1"/>
  <c r="AD916" i="1" s="1"/>
  <c r="AD917" i="1" s="1"/>
  <c r="AD918" i="1" s="1"/>
  <c r="AD919" i="1" s="1"/>
  <c r="AD920" i="1" s="1"/>
  <c r="AD921" i="1" s="1"/>
  <c r="AD922" i="1" s="1"/>
  <c r="AD923" i="1" s="1"/>
  <c r="AD924" i="1" s="1"/>
  <c r="AD925" i="1" s="1"/>
  <c r="AD926" i="1" s="1"/>
  <c r="AD927" i="1" s="1"/>
  <c r="AD928" i="1" s="1"/>
  <c r="AD929" i="1" s="1"/>
  <c r="AD930" i="1" s="1"/>
  <c r="AD931" i="1" s="1"/>
  <c r="AD932" i="1" s="1"/>
  <c r="AD933" i="1" s="1"/>
  <c r="AD934" i="1" s="1"/>
  <c r="AD935" i="1" s="1"/>
  <c r="AD936" i="1" s="1"/>
  <c r="AD937" i="1" s="1"/>
  <c r="AD938" i="1" s="1"/>
  <c r="AD939" i="1" s="1"/>
  <c r="AD940" i="1" s="1"/>
  <c r="AD941" i="1" s="1"/>
  <c r="AD942" i="1" s="1"/>
  <c r="AD943" i="1" s="1"/>
  <c r="AD944" i="1" s="1"/>
  <c r="AD945" i="1" s="1"/>
  <c r="AD946" i="1" s="1"/>
  <c r="AD947" i="1" s="1"/>
  <c r="AD948" i="1" s="1"/>
  <c r="AD949" i="1" s="1"/>
  <c r="AD950" i="1" s="1"/>
  <c r="AD951" i="1" s="1"/>
  <c r="AD952" i="1" s="1"/>
  <c r="AD953" i="1" s="1"/>
  <c r="AD954" i="1" s="1"/>
  <c r="AD955" i="1" s="1"/>
  <c r="AD956" i="1" s="1"/>
  <c r="AD957" i="1" s="1"/>
  <c r="AD958" i="1" s="1"/>
  <c r="AD959" i="1" s="1"/>
  <c r="AD960" i="1" s="1"/>
  <c r="AD961" i="1" s="1"/>
  <c r="AD962" i="1" s="1"/>
  <c r="AD963" i="1" s="1"/>
  <c r="AD964" i="1" s="1"/>
  <c r="AD965" i="1" s="1"/>
  <c r="AD966" i="1" s="1"/>
  <c r="AD967" i="1" s="1"/>
  <c r="AD968" i="1" s="1"/>
  <c r="AD969" i="1" s="1"/>
  <c r="AD970" i="1" s="1"/>
  <c r="AD971" i="1" s="1"/>
  <c r="AD972" i="1" s="1"/>
  <c r="AD973" i="1" s="1"/>
  <c r="AD974" i="1" s="1"/>
  <c r="AD975" i="1" s="1"/>
  <c r="AD976" i="1" s="1"/>
  <c r="AD977" i="1" s="1"/>
  <c r="AD978" i="1" s="1"/>
  <c r="AD979" i="1" s="1"/>
  <c r="AD980" i="1" s="1"/>
  <c r="AD981" i="1" s="1"/>
  <c r="AD982" i="1" s="1"/>
  <c r="AD983" i="1" s="1"/>
  <c r="AD984" i="1" s="1"/>
  <c r="AD985" i="1" s="1"/>
  <c r="AD986" i="1" s="1"/>
  <c r="AD987" i="1" s="1"/>
  <c r="AD988" i="1" s="1"/>
  <c r="AD989" i="1" s="1"/>
  <c r="AD990" i="1" s="1"/>
  <c r="AD991" i="1" s="1"/>
  <c r="AD992" i="1" s="1"/>
  <c r="AD993" i="1" s="1"/>
  <c r="AD994" i="1" s="1"/>
  <c r="AD995" i="1" s="1"/>
  <c r="AD996" i="1" s="1"/>
  <c r="AD997" i="1" s="1"/>
  <c r="AD998" i="1" s="1"/>
  <c r="AD999" i="1" s="1"/>
  <c r="AD1000" i="1" s="1"/>
  <c r="AD1001" i="1" s="1"/>
  <c r="AD1002" i="1" s="1"/>
  <c r="AD1003" i="1" s="1"/>
  <c r="AD1004" i="1" s="1"/>
  <c r="AD1005" i="1" s="1"/>
  <c r="AD1006" i="1" s="1"/>
  <c r="AD1007" i="1" s="1"/>
  <c r="AD1008" i="1" s="1"/>
  <c r="AD1009" i="1" s="1"/>
  <c r="AD1010" i="1" s="1"/>
  <c r="AD1011" i="1" s="1"/>
  <c r="AD1012" i="1" s="1"/>
  <c r="AD1013" i="1" s="1"/>
  <c r="AD1014" i="1" s="1"/>
  <c r="AD1015" i="1" s="1"/>
  <c r="AD1016" i="1" s="1"/>
  <c r="AD1017" i="1" s="1"/>
  <c r="AD1018" i="1" s="1"/>
  <c r="AD1019" i="1" s="1"/>
  <c r="AD1020" i="1" s="1"/>
  <c r="AD1021" i="1" s="1"/>
  <c r="AD1022" i="1" s="1"/>
  <c r="AD1023" i="1" s="1"/>
  <c r="AD1024" i="1" s="1"/>
  <c r="AD1025" i="1" s="1"/>
  <c r="AD1026" i="1" s="1"/>
  <c r="AD1027" i="1" s="1"/>
  <c r="AD1028" i="1" s="1"/>
  <c r="AD1029" i="1" s="1"/>
  <c r="AD1030" i="1" s="1"/>
  <c r="AD1031" i="1" s="1"/>
  <c r="AD1032" i="1" s="1"/>
  <c r="AD1033" i="1" s="1"/>
  <c r="AD1034" i="1" s="1"/>
  <c r="AD1035" i="1" s="1"/>
  <c r="AD1036" i="1" s="1"/>
  <c r="AD1037" i="1" s="1"/>
  <c r="AD1038" i="1" s="1"/>
  <c r="AD1039" i="1" s="1"/>
  <c r="AD1040" i="1" s="1"/>
  <c r="AD1041" i="1" s="1"/>
  <c r="AD1042" i="1" s="1"/>
  <c r="AD1043" i="1" s="1"/>
  <c r="AD1044" i="1" s="1"/>
  <c r="AD1045" i="1" s="1"/>
  <c r="AD1046" i="1" s="1"/>
  <c r="AD1047" i="1" s="1"/>
  <c r="AD1048" i="1" s="1"/>
  <c r="AD1049" i="1" s="1"/>
  <c r="AD1050" i="1" s="1"/>
  <c r="AD1051" i="1" s="1"/>
  <c r="AD1052" i="1" s="1"/>
  <c r="AD1053" i="1" s="1"/>
  <c r="AD1054" i="1" s="1"/>
  <c r="AD1055" i="1" s="1"/>
  <c r="AD1056" i="1" s="1"/>
  <c r="AD1057" i="1" s="1"/>
  <c r="AD1058" i="1" s="1"/>
  <c r="AD1059" i="1" s="1"/>
  <c r="AD1060" i="1" s="1"/>
  <c r="AD1061" i="1" s="1"/>
  <c r="AD1062" i="1" s="1"/>
  <c r="AD1063" i="1" s="1"/>
  <c r="AD1064" i="1" s="1"/>
  <c r="AD1065" i="1" s="1"/>
  <c r="AD1066" i="1" s="1"/>
  <c r="AD1067" i="1" s="1"/>
  <c r="AD1068" i="1" s="1"/>
  <c r="AD1069" i="1" s="1"/>
  <c r="AD1071" i="1" s="1"/>
  <c r="AD1072" i="1" s="1"/>
  <c r="AD1073" i="1" s="1"/>
  <c r="AD1074" i="1" s="1"/>
  <c r="AD1075" i="1" s="1"/>
  <c r="AD1076" i="1" s="1"/>
  <c r="AD1077" i="1" s="1"/>
  <c r="AD1078" i="1" s="1"/>
  <c r="AD1079" i="1" s="1"/>
  <c r="AD1080" i="1" s="1"/>
  <c r="AD1081" i="1" s="1"/>
  <c r="AD1082" i="1" s="1"/>
  <c r="AD1083" i="1" s="1"/>
  <c r="AD1084" i="1" s="1"/>
  <c r="AD1085" i="1" s="1"/>
  <c r="AD1086" i="1" s="1"/>
  <c r="AD1087" i="1" s="1"/>
  <c r="AD1088" i="1" s="1"/>
  <c r="AD1089" i="1" s="1"/>
  <c r="AD1090" i="1" s="1"/>
  <c r="AD1091" i="1" s="1"/>
  <c r="AD1092" i="1" s="1"/>
  <c r="AD1093" i="1" s="1"/>
  <c r="AD1094" i="1" s="1"/>
  <c r="AD1095" i="1" s="1"/>
  <c r="AD1096" i="1" s="1"/>
  <c r="AD1097" i="1" s="1"/>
  <c r="AD1098" i="1" s="1"/>
  <c r="AD1099" i="1" s="1"/>
  <c r="AD1100" i="1" s="1"/>
  <c r="AD1101" i="1" s="1"/>
  <c r="AD1102" i="1" s="1"/>
  <c r="AD1103" i="1" s="1"/>
  <c r="AD1104" i="1" s="1"/>
  <c r="AD1105" i="1" s="1"/>
  <c r="AD1106" i="1" s="1"/>
  <c r="AD1107" i="1" s="1"/>
  <c r="AD1108" i="1" s="1"/>
  <c r="AD1109" i="1" s="1"/>
  <c r="AD1110" i="1" s="1"/>
  <c r="AD1111" i="1" s="1"/>
  <c r="AD1112" i="1" s="1"/>
  <c r="AD1113" i="1" s="1"/>
  <c r="AD1114" i="1" s="1"/>
  <c r="AD1115" i="1" s="1"/>
  <c r="AD1116" i="1" s="1"/>
  <c r="AD1117" i="1" s="1"/>
  <c r="AD1118" i="1" s="1"/>
  <c r="AD1119" i="1" s="1"/>
  <c r="AD1120" i="1" s="1"/>
  <c r="AD1121" i="1" s="1"/>
  <c r="AD1122" i="1" s="1"/>
  <c r="AD1123" i="1" s="1"/>
  <c r="AD1124" i="1" s="1"/>
  <c r="AD1125" i="1" s="1"/>
  <c r="AD1126" i="1" s="1"/>
  <c r="AD1127" i="1" s="1"/>
  <c r="AD1128" i="1" s="1"/>
  <c r="AD1129" i="1" s="1"/>
  <c r="AD1130" i="1" s="1"/>
  <c r="AD1131" i="1" s="1"/>
  <c r="AD1132" i="1" s="1"/>
  <c r="AD1133" i="1" s="1"/>
  <c r="AD1134" i="1" s="1"/>
  <c r="AD1135" i="1" s="1"/>
  <c r="AD1136" i="1" s="1"/>
  <c r="AD1137" i="1" s="1"/>
  <c r="AD1138" i="1" s="1"/>
  <c r="AD1139" i="1" s="1"/>
  <c r="AD1140" i="1" s="1"/>
  <c r="AD1141" i="1" s="1"/>
  <c r="AD1142" i="1" s="1"/>
  <c r="AD1143" i="1" s="1"/>
  <c r="AD1144" i="1" s="1"/>
  <c r="AD1145" i="1" s="1"/>
  <c r="AD1146" i="1" s="1"/>
  <c r="AD1147" i="1" s="1"/>
  <c r="AD1148" i="1" s="1"/>
  <c r="AD1149" i="1" s="1"/>
  <c r="AD1150" i="1" s="1"/>
  <c r="AD1151" i="1" s="1"/>
  <c r="AD1152" i="1" s="1"/>
  <c r="AD1153" i="1" s="1"/>
  <c r="AD1154" i="1" s="1"/>
  <c r="AD1155" i="1" s="1"/>
  <c r="AD1156" i="1" s="1"/>
  <c r="AD1157" i="1" s="1"/>
  <c r="AD1158" i="1" s="1"/>
  <c r="AD1159" i="1" s="1"/>
  <c r="AD1160" i="1" s="1"/>
  <c r="AD1161" i="1" s="1"/>
  <c r="AD1162" i="1" s="1"/>
  <c r="AD1163" i="1" s="1"/>
  <c r="AD1164" i="1" s="1"/>
  <c r="AD1165" i="1" s="1"/>
  <c r="AD1166" i="1" s="1"/>
  <c r="AD1167" i="1" s="1"/>
  <c r="AD1168" i="1" s="1"/>
  <c r="AD1169" i="1" s="1"/>
  <c r="AD1170" i="1" s="1"/>
  <c r="AD1171" i="1" s="1"/>
  <c r="AD1172" i="1" s="1"/>
  <c r="AD1173" i="1" s="1"/>
  <c r="AD1174" i="1" s="1"/>
  <c r="AD1175" i="1" s="1"/>
  <c r="AD1176" i="1" s="1"/>
  <c r="AD1177" i="1" s="1"/>
  <c r="AD1178" i="1" s="1"/>
  <c r="AD1179" i="1" s="1"/>
  <c r="AD1180" i="1" s="1"/>
  <c r="AD1181" i="1" s="1"/>
  <c r="AD1182" i="1" s="1"/>
  <c r="AD1183" i="1" s="1"/>
  <c r="AD1184" i="1" s="1"/>
  <c r="AD1185" i="1" s="1"/>
  <c r="AD1186" i="1" s="1"/>
  <c r="AD1187" i="1" s="1"/>
  <c r="AD1188" i="1" s="1"/>
  <c r="AD1189" i="1" s="1"/>
  <c r="AD1190" i="1" s="1"/>
  <c r="AD1191" i="1" s="1"/>
  <c r="AD1192" i="1" s="1"/>
  <c r="AD1193" i="1" s="1"/>
  <c r="AD1194" i="1" s="1"/>
  <c r="AD1195" i="1" s="1"/>
  <c r="AD1196" i="1" s="1"/>
  <c r="AD1197" i="1" s="1"/>
  <c r="AD1198" i="1" s="1"/>
  <c r="AD1199" i="1" s="1"/>
  <c r="AD1200" i="1" s="1"/>
  <c r="AD1201" i="1" s="1"/>
  <c r="AD1202" i="1" s="1"/>
  <c r="AD1203" i="1" s="1"/>
  <c r="AD1204" i="1" s="1"/>
  <c r="AD1205" i="1" s="1"/>
  <c r="AD1206" i="1" s="1"/>
  <c r="AD1207" i="1" s="1"/>
  <c r="AD1208" i="1" s="1"/>
  <c r="AD1209" i="1" s="1"/>
  <c r="AD1210" i="1" s="1"/>
  <c r="AD1211" i="1" s="1"/>
  <c r="AD1212" i="1" s="1"/>
  <c r="AD1213" i="1" s="1"/>
  <c r="AD1214" i="1" s="1"/>
  <c r="AD1215" i="1" s="1"/>
  <c r="AD1216" i="1" s="1"/>
  <c r="AD1217" i="1" s="1"/>
  <c r="AD1218" i="1" s="1"/>
  <c r="AD1219" i="1" s="1"/>
  <c r="AD1220" i="1" s="1"/>
  <c r="AD1221" i="1" s="1"/>
  <c r="AD1222" i="1" s="1"/>
  <c r="AD1223" i="1" s="1"/>
  <c r="AD1224" i="1" s="1"/>
  <c r="AD1225" i="1" s="1"/>
  <c r="AD1226" i="1" s="1"/>
  <c r="AD1227" i="1" s="1"/>
  <c r="AD1228" i="1" s="1"/>
  <c r="AD1229" i="1" s="1"/>
  <c r="AD1230" i="1" s="1"/>
  <c r="AD1231" i="1" s="1"/>
  <c r="AD1232" i="1" s="1"/>
  <c r="AD1233" i="1" s="1"/>
  <c r="AD1234" i="1" s="1"/>
  <c r="AD1235" i="1" s="1"/>
  <c r="AD1236" i="1" s="1"/>
  <c r="AD1237" i="1" s="1"/>
  <c r="AD1238" i="1" s="1"/>
  <c r="AD1239" i="1" s="1"/>
  <c r="AD1240" i="1" s="1"/>
  <c r="AD1241" i="1" s="1"/>
  <c r="AD1242" i="1" s="1"/>
  <c r="AD1243" i="1" s="1"/>
  <c r="AD1244" i="1" s="1"/>
  <c r="AD1245" i="1" s="1"/>
  <c r="AD1246" i="1" s="1"/>
  <c r="AD1247" i="1" s="1"/>
  <c r="AD1248" i="1" s="1"/>
  <c r="AD1249" i="1" s="1"/>
  <c r="AD1250" i="1" s="1"/>
  <c r="AD1251" i="1" s="1"/>
  <c r="AD1252" i="1" s="1"/>
  <c r="AD1253" i="1" s="1"/>
  <c r="AD1254" i="1" s="1"/>
  <c r="AD1255" i="1" s="1"/>
  <c r="AD1256" i="1" s="1"/>
  <c r="AD1257" i="1" s="1"/>
  <c r="AD1258" i="1" s="1"/>
  <c r="AD1259" i="1" s="1"/>
  <c r="AD1260" i="1" s="1"/>
  <c r="AD1261" i="1" s="1"/>
  <c r="AD1262" i="1" s="1"/>
  <c r="AD1263" i="1" s="1"/>
  <c r="AD1264" i="1" s="1"/>
  <c r="AD1265" i="1" s="1"/>
  <c r="AD1266" i="1" s="1"/>
  <c r="AD1267" i="1" s="1"/>
  <c r="AD1268" i="1" s="1"/>
  <c r="AD1269" i="1" s="1"/>
  <c r="AD1270" i="1" s="1"/>
  <c r="AD1271" i="1" s="1"/>
  <c r="AD1272" i="1" s="1"/>
  <c r="AD1273" i="1" s="1"/>
  <c r="AD1274" i="1" s="1"/>
  <c r="AD1275" i="1" s="1"/>
  <c r="AD1276" i="1" s="1"/>
  <c r="AD1277" i="1" s="1"/>
  <c r="AD1278" i="1" s="1"/>
  <c r="AD1279" i="1" s="1"/>
  <c r="AD1280" i="1" s="1"/>
  <c r="AD1281" i="1" s="1"/>
  <c r="AD1282" i="1" s="1"/>
  <c r="AD1283" i="1" s="1"/>
  <c r="AD1284" i="1" s="1"/>
  <c r="AD1285" i="1" s="1"/>
  <c r="AD1286" i="1" s="1"/>
  <c r="AD1287" i="1" s="1"/>
  <c r="AD1288" i="1" s="1"/>
  <c r="AD1289" i="1" s="1"/>
  <c r="AD1290" i="1" s="1"/>
  <c r="AD1291" i="1" s="1"/>
  <c r="AD1292" i="1" s="1"/>
  <c r="AD1293" i="1" s="1"/>
  <c r="AD1294" i="1" s="1"/>
  <c r="AD1295" i="1" s="1"/>
  <c r="AD1296" i="1" s="1"/>
  <c r="AD1297" i="1" s="1"/>
  <c r="AD1298" i="1" s="1"/>
  <c r="AD1299" i="1" s="1"/>
  <c r="AD1300" i="1" s="1"/>
  <c r="AD1301" i="1" s="1"/>
  <c r="AD1302" i="1" s="1"/>
  <c r="AD1303" i="1" s="1"/>
  <c r="AD1304" i="1" s="1"/>
  <c r="AD1305" i="1" s="1"/>
  <c r="AD1306" i="1" s="1"/>
  <c r="AD1307" i="1" s="1"/>
  <c r="AD1308" i="1" s="1"/>
  <c r="AD1309" i="1" s="1"/>
  <c r="AD1310" i="1" s="1"/>
  <c r="AD1311" i="1" s="1"/>
  <c r="AD1312" i="1" s="1"/>
  <c r="AD1313" i="1" s="1"/>
  <c r="AD1314" i="1" s="1"/>
  <c r="AD1315" i="1" s="1"/>
  <c r="AD1316" i="1" s="1"/>
  <c r="AD1317" i="1" s="1"/>
  <c r="AD1318" i="1" s="1"/>
  <c r="AD1319" i="1" s="1"/>
  <c r="AD1320" i="1" s="1"/>
  <c r="AD1321" i="1" s="1"/>
  <c r="AD1322" i="1" s="1"/>
  <c r="AD1323" i="1" s="1"/>
  <c r="AD1324" i="1" s="1"/>
  <c r="AD1325" i="1" s="1"/>
  <c r="AD1326" i="1" s="1"/>
  <c r="AD1327" i="1" s="1"/>
  <c r="AD1328" i="1" s="1"/>
  <c r="AD1329" i="1" s="1"/>
  <c r="AD1330" i="1" s="1"/>
  <c r="AD1331" i="1" s="1"/>
  <c r="AD1332" i="1" s="1"/>
  <c r="AD1333" i="1" s="1"/>
  <c r="AD1334" i="1" s="1"/>
  <c r="AD1335" i="1" s="1"/>
  <c r="AD1336" i="1" s="1"/>
  <c r="AD1337" i="1" s="1"/>
  <c r="AD1338" i="1" s="1"/>
  <c r="AD1339" i="1" s="1"/>
  <c r="AD1340" i="1" s="1"/>
  <c r="AD1341" i="1" s="1"/>
  <c r="AD1342" i="1" s="1"/>
  <c r="AD1343" i="1" s="1"/>
  <c r="AD1344" i="1" s="1"/>
  <c r="AD1345" i="1" s="1"/>
  <c r="AD1346" i="1" s="1"/>
  <c r="AD1347" i="1" s="1"/>
  <c r="AD1348" i="1" s="1"/>
  <c r="AD1349" i="1" s="1"/>
  <c r="AD1350" i="1" s="1"/>
  <c r="AD1351" i="1" s="1"/>
  <c r="AD1352" i="1" s="1"/>
  <c r="AD1353" i="1" s="1"/>
  <c r="AD1354" i="1" s="1"/>
  <c r="AD1355" i="1" s="1"/>
  <c r="AD1356" i="1" s="1"/>
  <c r="AD1357" i="1" s="1"/>
  <c r="AD1358" i="1" s="1"/>
  <c r="AD1359" i="1" s="1"/>
  <c r="AD1360" i="1" s="1"/>
  <c r="AD1361" i="1" s="1"/>
  <c r="AD1362" i="1" s="1"/>
  <c r="AD1363" i="1" s="1"/>
  <c r="AD1364" i="1" s="1"/>
  <c r="AD1365" i="1" s="1"/>
  <c r="AD1366" i="1" s="1"/>
  <c r="AD1367" i="1" s="1"/>
  <c r="AD1368" i="1" s="1"/>
  <c r="AD1369" i="1" s="1"/>
  <c r="AD1370" i="1" s="1"/>
  <c r="AD1371" i="1" s="1"/>
  <c r="AD1372" i="1" s="1"/>
  <c r="AD1373" i="1" s="1"/>
  <c r="AD1374" i="1" s="1"/>
  <c r="AD1375" i="1" s="1"/>
  <c r="AD1376" i="1" s="1"/>
  <c r="AD1377" i="1" s="1"/>
  <c r="AD1378" i="1" s="1"/>
  <c r="AD1379" i="1" s="1"/>
  <c r="AD1380" i="1" s="1"/>
  <c r="AD1381" i="1" s="1"/>
  <c r="AD1382" i="1" s="1"/>
  <c r="AD1383" i="1" s="1"/>
  <c r="AD1384" i="1" s="1"/>
  <c r="AD1385" i="1" s="1"/>
  <c r="AD1386" i="1" s="1"/>
  <c r="AD1387" i="1" s="1"/>
  <c r="AD1388" i="1" s="1"/>
  <c r="AD1389" i="1" s="1"/>
  <c r="AD1390" i="1" s="1"/>
  <c r="AD1391" i="1" s="1"/>
  <c r="AD1392" i="1" s="1"/>
  <c r="AD1393" i="1" s="1"/>
  <c r="AD1394" i="1" s="1"/>
  <c r="AD1395" i="1" s="1"/>
  <c r="AD1396" i="1" s="1"/>
  <c r="AD1397" i="1" s="1"/>
  <c r="AD1398" i="1" s="1"/>
  <c r="AD1399" i="1" s="1"/>
  <c r="AD1400" i="1" s="1"/>
  <c r="AD1401" i="1" s="1"/>
  <c r="AD1402" i="1" s="1"/>
  <c r="AD1403" i="1" s="1"/>
  <c r="AD1404" i="1" s="1"/>
  <c r="AD1405" i="1" s="1"/>
  <c r="AD1406" i="1" s="1"/>
  <c r="AD1407" i="1" s="1"/>
  <c r="AD1408" i="1" s="1"/>
  <c r="AD1409" i="1" s="1"/>
  <c r="AD1410" i="1" s="1"/>
  <c r="AD1411" i="1" s="1"/>
  <c r="AD1412" i="1" s="1"/>
  <c r="AD1413" i="1" s="1"/>
  <c r="AD1414" i="1" s="1"/>
  <c r="AD1415" i="1" s="1"/>
  <c r="AD1416" i="1" s="1"/>
  <c r="AD1417" i="1" s="1"/>
  <c r="AD1418" i="1" s="1"/>
  <c r="AD1419" i="1" s="1"/>
  <c r="AD1420" i="1" s="1"/>
  <c r="AD1421" i="1" s="1"/>
  <c r="AD1422" i="1" s="1"/>
  <c r="AD1423" i="1" s="1"/>
  <c r="AD1424" i="1" s="1"/>
  <c r="AD1425" i="1" s="1"/>
  <c r="AD1426" i="1" s="1"/>
  <c r="AD1427" i="1" s="1"/>
  <c r="AD1428" i="1" s="1"/>
  <c r="AD1429" i="1" s="1"/>
  <c r="AD1430" i="1" s="1"/>
  <c r="AD1431" i="1" s="1"/>
  <c r="AD1432" i="1" s="1"/>
  <c r="AD1433" i="1" s="1"/>
  <c r="AD1434" i="1" s="1"/>
  <c r="AD1435" i="1" s="1"/>
  <c r="AD1436" i="1" s="1"/>
  <c r="AD1437" i="1" s="1"/>
  <c r="AD1438" i="1" s="1"/>
  <c r="AD1439" i="1" s="1"/>
  <c r="AD1440" i="1" s="1"/>
  <c r="AD1441" i="1" s="1"/>
  <c r="AD1442" i="1" s="1"/>
  <c r="AD1443" i="1" s="1"/>
  <c r="AD1444" i="1" s="1"/>
  <c r="AD1445" i="1" s="1"/>
  <c r="AD1446" i="1" s="1"/>
  <c r="AD1447" i="1" s="1"/>
  <c r="AD1448" i="1" s="1"/>
  <c r="AD1449" i="1" s="1"/>
  <c r="AD1450" i="1" s="1"/>
  <c r="AD1451" i="1" s="1"/>
  <c r="AD1452" i="1" s="1"/>
  <c r="AD1453" i="1" s="1"/>
  <c r="AD1454" i="1" s="1"/>
  <c r="AD1455" i="1" s="1"/>
  <c r="AD1456" i="1" s="1"/>
  <c r="AD1457" i="1" s="1"/>
  <c r="AD1458" i="1" s="1"/>
  <c r="AD1459" i="1" s="1"/>
  <c r="AD1460" i="1" s="1"/>
  <c r="AD1461" i="1" s="1"/>
  <c r="AD1462" i="1" s="1"/>
  <c r="AD1463" i="1" s="1"/>
  <c r="AD1464" i="1" s="1"/>
  <c r="AD1465" i="1" s="1"/>
  <c r="AD1466" i="1" s="1"/>
  <c r="AD1467" i="1" s="1"/>
  <c r="AD1468" i="1" s="1"/>
  <c r="AD1469" i="1" s="1"/>
  <c r="AD1470" i="1" s="1"/>
  <c r="AD1471" i="1" s="1"/>
  <c r="AD1472" i="1" s="1"/>
  <c r="AD1473" i="1" s="1"/>
  <c r="AD1474" i="1" s="1"/>
  <c r="AD1475" i="1" s="1"/>
  <c r="AD1476" i="1" s="1"/>
  <c r="AD1477" i="1" s="1"/>
  <c r="AD1478" i="1" s="1"/>
  <c r="AD1479" i="1" s="1"/>
  <c r="AD1480" i="1" s="1"/>
  <c r="AD1481" i="1" s="1"/>
  <c r="AD1482" i="1" s="1"/>
  <c r="AD1483" i="1" s="1"/>
  <c r="AD1484" i="1" s="1"/>
  <c r="AD1485" i="1" s="1"/>
  <c r="AD1486" i="1" s="1"/>
  <c r="AD1487" i="1" s="1"/>
  <c r="AD1488" i="1" s="1"/>
  <c r="AD1489" i="1" s="1"/>
  <c r="AD1490" i="1" s="1"/>
  <c r="AD1491" i="1" s="1"/>
  <c r="AD1492" i="1" s="1"/>
  <c r="AD1493" i="1" s="1"/>
  <c r="AD1494" i="1" s="1"/>
  <c r="AD1495" i="1" s="1"/>
  <c r="AD1496" i="1" s="1"/>
  <c r="AD1497" i="1" s="1"/>
  <c r="AD1498" i="1" s="1"/>
  <c r="AD1499" i="1" s="1"/>
  <c r="AD1500" i="1" s="1"/>
  <c r="AD1501" i="1" s="1"/>
  <c r="AD1502" i="1" s="1"/>
  <c r="AD1503" i="1" s="1"/>
  <c r="AD1504" i="1" s="1"/>
  <c r="AD1505" i="1" s="1"/>
  <c r="AD1506" i="1" s="1"/>
  <c r="AD1507" i="1" s="1"/>
  <c r="AD1508" i="1" s="1"/>
  <c r="AD1509" i="1" s="1"/>
  <c r="AD1510" i="1" s="1"/>
  <c r="AD1511" i="1" s="1"/>
  <c r="AD1512" i="1" s="1"/>
  <c r="AD1513" i="1" s="1"/>
  <c r="AD1514" i="1" s="1"/>
  <c r="AD1515" i="1" s="1"/>
  <c r="AD1516" i="1" s="1"/>
  <c r="AD1517" i="1" s="1"/>
  <c r="AD1518" i="1" s="1"/>
  <c r="AD1519" i="1" s="1"/>
  <c r="AD1520" i="1" s="1"/>
  <c r="AD1521" i="1" s="1"/>
  <c r="AD1522" i="1" s="1"/>
  <c r="AD1523" i="1" s="1"/>
  <c r="AD1524" i="1" s="1"/>
  <c r="AD1525" i="1" s="1"/>
  <c r="AD1526" i="1" s="1"/>
  <c r="AD1527" i="1" s="1"/>
  <c r="AD1528" i="1" s="1"/>
  <c r="AD1529" i="1" s="1"/>
  <c r="AD1530" i="1" s="1"/>
  <c r="AD1531" i="1" s="1"/>
  <c r="AD1532" i="1" s="1"/>
  <c r="AD1533" i="1" s="1"/>
  <c r="AD1534" i="1" s="1"/>
  <c r="AD1535" i="1" s="1"/>
  <c r="AD1536" i="1" s="1"/>
  <c r="AD1537" i="1" s="1"/>
  <c r="AD1538" i="1" s="1"/>
  <c r="AD1539" i="1" s="1"/>
  <c r="AD1540" i="1" s="1"/>
  <c r="AD1541" i="1" s="1"/>
  <c r="AD1542" i="1" s="1"/>
  <c r="AD1543" i="1" s="1"/>
  <c r="AD1544" i="1" s="1"/>
  <c r="AD1545" i="1" s="1"/>
  <c r="AD1546" i="1" s="1"/>
  <c r="AD1547" i="1" s="1"/>
  <c r="AD1548" i="1" s="1"/>
  <c r="AD1549" i="1" s="1"/>
  <c r="AD1550" i="1" s="1"/>
  <c r="AD1551" i="1" s="1"/>
  <c r="AD1552" i="1" s="1"/>
  <c r="AD1553" i="1" s="1"/>
  <c r="AD1554" i="1" s="1"/>
  <c r="AD1555" i="1" s="1"/>
  <c r="AD1556" i="1" s="1"/>
  <c r="AD1557" i="1" s="1"/>
  <c r="AD1558" i="1" s="1"/>
  <c r="AD1559" i="1" s="1"/>
  <c r="AD1560" i="1" s="1"/>
  <c r="AD1561" i="1" s="1"/>
  <c r="AD1562" i="1" s="1"/>
  <c r="AD1563" i="1" s="1"/>
  <c r="AD1564" i="1" s="1"/>
  <c r="AD1565" i="1" s="1"/>
  <c r="AD1566" i="1" s="1"/>
  <c r="AD1567" i="1" s="1"/>
  <c r="AD1568" i="1" s="1"/>
  <c r="AD1569" i="1" s="1"/>
  <c r="AD1570" i="1" s="1"/>
  <c r="AD1571" i="1" s="1"/>
  <c r="AD1572" i="1" s="1"/>
  <c r="AD1573" i="1" s="1"/>
  <c r="AD1574" i="1" s="1"/>
  <c r="AD1575" i="1" s="1"/>
  <c r="AD1576" i="1" s="1"/>
  <c r="AD1577" i="1" s="1"/>
  <c r="AD1578" i="1" s="1"/>
  <c r="AD1579" i="1" s="1"/>
  <c r="AD1580" i="1" s="1"/>
  <c r="AD1581" i="1" s="1"/>
  <c r="AD1582" i="1" s="1"/>
  <c r="AD1583" i="1" s="1"/>
  <c r="AD1584" i="1" s="1"/>
  <c r="AD1585" i="1" s="1"/>
  <c r="AD1586" i="1" s="1"/>
  <c r="AD1587" i="1" s="1"/>
  <c r="AD1588" i="1" s="1"/>
  <c r="AD1589" i="1" s="1"/>
  <c r="AD1590" i="1" s="1"/>
  <c r="AD1591" i="1" s="1"/>
  <c r="AD1592" i="1" s="1"/>
  <c r="AD1593" i="1" s="1"/>
  <c r="AD1594" i="1" s="1"/>
  <c r="AD1595" i="1" s="1"/>
  <c r="AD1596" i="1" s="1"/>
  <c r="AD1597" i="1" s="1"/>
  <c r="AD1598" i="1" s="1"/>
  <c r="AD1599" i="1" s="1"/>
  <c r="AD1600" i="1" s="1"/>
  <c r="AD1601" i="1" s="1"/>
  <c r="AD1602" i="1" s="1"/>
  <c r="AD1603" i="1" s="1"/>
  <c r="AD1604" i="1" s="1"/>
  <c r="AD1605" i="1" s="1"/>
  <c r="AD1606" i="1" s="1"/>
  <c r="AD1607" i="1" s="1"/>
  <c r="AD1608" i="1" s="1"/>
  <c r="AD1609" i="1" s="1"/>
  <c r="AD1610" i="1" s="1"/>
  <c r="AD1611" i="1" s="1"/>
  <c r="AD1612" i="1" s="1"/>
  <c r="AD1613" i="1" s="1"/>
  <c r="AD1614" i="1" s="1"/>
  <c r="AD1615" i="1" s="1"/>
  <c r="AD1616" i="1" s="1"/>
  <c r="AD1617" i="1" s="1"/>
  <c r="AD1618" i="1" s="1"/>
  <c r="AD1619" i="1" s="1"/>
  <c r="AD1620" i="1" s="1"/>
  <c r="AD1621" i="1" s="1"/>
  <c r="AD1622" i="1" s="1"/>
  <c r="AD1623" i="1" s="1"/>
  <c r="AD1624" i="1" s="1"/>
  <c r="AD1625" i="1" s="1"/>
  <c r="AD1626" i="1" s="1"/>
  <c r="AD1627" i="1" s="1"/>
  <c r="AD1628" i="1" s="1"/>
  <c r="AD1629" i="1" s="1"/>
  <c r="AD1630" i="1" s="1"/>
  <c r="AD1631" i="1" s="1"/>
  <c r="AD1632" i="1" s="1"/>
  <c r="AD1633" i="1" s="1"/>
  <c r="AD1634" i="1" s="1"/>
  <c r="AD1635" i="1" s="1"/>
  <c r="AD1636" i="1" s="1"/>
  <c r="AD1637" i="1" s="1"/>
  <c r="AD1638" i="1" s="1"/>
  <c r="AD1639" i="1" s="1"/>
  <c r="AD1640" i="1" s="1"/>
  <c r="AD1641" i="1" s="1"/>
  <c r="AD1642" i="1" s="1"/>
  <c r="AD1643" i="1" s="1"/>
  <c r="AD1644" i="1" s="1"/>
  <c r="AD1645" i="1" s="1"/>
  <c r="AD1646" i="1" s="1"/>
  <c r="AD1647" i="1" s="1"/>
  <c r="AD1648" i="1" s="1"/>
  <c r="AD1649" i="1" s="1"/>
  <c r="AD1650" i="1" s="1"/>
  <c r="AD1651" i="1" s="1"/>
  <c r="AD1652" i="1" s="1"/>
  <c r="AD1653" i="1" s="1"/>
  <c r="AD1654" i="1" s="1"/>
  <c r="AD1655" i="1" s="1"/>
  <c r="AD1656" i="1" s="1"/>
  <c r="AD1657" i="1" s="1"/>
  <c r="AD1658" i="1" s="1"/>
  <c r="AD1659" i="1" s="1"/>
  <c r="AD1660" i="1" s="1"/>
  <c r="AD1661" i="1" s="1"/>
  <c r="AD1662" i="1" s="1"/>
  <c r="AD1663" i="1" s="1"/>
  <c r="AD1664" i="1" s="1"/>
  <c r="AD1665" i="1" s="1"/>
  <c r="AD1666" i="1" s="1"/>
  <c r="AD1667" i="1" s="1"/>
  <c r="AD1668" i="1" s="1"/>
  <c r="AD1669" i="1" s="1"/>
  <c r="AD1670" i="1" s="1"/>
  <c r="AD1671" i="1" s="1"/>
  <c r="AD1672" i="1" s="1"/>
  <c r="AD1673" i="1" s="1"/>
  <c r="AD1674" i="1" s="1"/>
  <c r="AD1675" i="1" s="1"/>
  <c r="AD1676" i="1" s="1"/>
  <c r="AD1677" i="1" s="1"/>
  <c r="AD1678" i="1" s="1"/>
  <c r="AD1679" i="1" s="1"/>
  <c r="AD1680" i="1" s="1"/>
  <c r="AD1681" i="1" s="1"/>
  <c r="AD1682" i="1" s="1"/>
  <c r="AD1683" i="1" s="1"/>
  <c r="AD1684" i="1" s="1"/>
  <c r="AD1685" i="1" s="1"/>
  <c r="AD1686" i="1" s="1"/>
  <c r="AD1687" i="1" s="1"/>
  <c r="AD1688" i="1" s="1"/>
  <c r="AD1689" i="1" s="1"/>
  <c r="AD1690" i="1" s="1"/>
  <c r="AD1691" i="1" s="1"/>
  <c r="AD1692" i="1" s="1"/>
  <c r="AD1693" i="1" s="1"/>
  <c r="AD1694" i="1" s="1"/>
  <c r="AD1695" i="1" s="1"/>
  <c r="AD1696" i="1" s="1"/>
  <c r="AD1697" i="1" s="1"/>
  <c r="AD1698" i="1" s="1"/>
  <c r="AD1699" i="1" s="1"/>
  <c r="AD1700" i="1" s="1"/>
  <c r="AD1701" i="1" s="1"/>
  <c r="AD1702" i="1" s="1"/>
  <c r="AD1703" i="1" s="1"/>
  <c r="AD1704" i="1" s="1"/>
  <c r="AD1705" i="1" s="1"/>
  <c r="AD1706" i="1" s="1"/>
  <c r="AD1707" i="1" s="1"/>
  <c r="AD1708" i="1" s="1"/>
  <c r="AD1709" i="1" s="1"/>
  <c r="AD1710" i="1" s="1"/>
  <c r="AD1711" i="1" s="1"/>
  <c r="AD1712" i="1" s="1"/>
  <c r="AD1713" i="1" s="1"/>
  <c r="AD1714" i="1" s="1"/>
  <c r="AD1715" i="1" s="1"/>
  <c r="AD1716" i="1" s="1"/>
  <c r="AD1717" i="1" s="1"/>
  <c r="AD1718" i="1" s="1"/>
  <c r="AD1719" i="1" s="1"/>
  <c r="AD1720" i="1" s="1"/>
  <c r="AD1721" i="1" s="1"/>
  <c r="AD1722" i="1" s="1"/>
  <c r="AD1723" i="1" s="1"/>
  <c r="AD1724" i="1" s="1"/>
  <c r="AD1725" i="1" s="1"/>
  <c r="AD1726" i="1" s="1"/>
  <c r="AD1727" i="1" s="1"/>
  <c r="AD1728" i="1" s="1"/>
  <c r="AD1729" i="1" s="1"/>
  <c r="AD1730" i="1" s="1"/>
  <c r="AD1731" i="1" s="1"/>
  <c r="AD1732" i="1" s="1"/>
  <c r="AD1733" i="1" s="1"/>
  <c r="AD1734" i="1" s="1"/>
  <c r="AD1735" i="1" s="1"/>
  <c r="AD1736" i="1" s="1"/>
  <c r="AD1737" i="1" s="1"/>
  <c r="AD1738" i="1" s="1"/>
  <c r="AD1739" i="1" s="1"/>
  <c r="AD1740" i="1" s="1"/>
  <c r="AD1741" i="1" s="1"/>
  <c r="AD1742" i="1" s="1"/>
  <c r="AD1743" i="1" s="1"/>
  <c r="AD1744" i="1" s="1"/>
  <c r="AD1745" i="1" s="1"/>
  <c r="AD1746" i="1" s="1"/>
  <c r="AD1747" i="1" s="1"/>
  <c r="AD1748" i="1" s="1"/>
  <c r="AD1749" i="1" s="1"/>
  <c r="AD1750" i="1" s="1"/>
  <c r="AD1751" i="1" s="1"/>
  <c r="AD1752" i="1" s="1"/>
  <c r="AD1753" i="1" s="1"/>
  <c r="AD1754" i="1" s="1"/>
  <c r="AD1755" i="1" s="1"/>
  <c r="AD1756" i="1" s="1"/>
  <c r="AD1757" i="1" s="1"/>
  <c r="AD1758" i="1" s="1"/>
  <c r="AD1759" i="1" s="1"/>
  <c r="AD1760" i="1" s="1"/>
  <c r="AD1761" i="1" s="1"/>
  <c r="AD1762" i="1" s="1"/>
  <c r="AD1763" i="1" s="1"/>
  <c r="AD1764" i="1" s="1"/>
  <c r="AD1765" i="1" s="1"/>
  <c r="AD1766" i="1" s="1"/>
  <c r="AD1767" i="1" s="1"/>
  <c r="AD1768" i="1" s="1"/>
  <c r="AD1769" i="1" s="1"/>
  <c r="AD1770" i="1" s="1"/>
  <c r="AD1771" i="1" s="1"/>
  <c r="AD1772" i="1" s="1"/>
  <c r="AD1773" i="1" s="1"/>
  <c r="AD1774" i="1" s="1"/>
  <c r="AD1775" i="1" s="1"/>
  <c r="AD1776" i="1" s="1"/>
  <c r="AD1777" i="1" s="1"/>
  <c r="AD1778" i="1" s="1"/>
  <c r="AD1779" i="1" s="1"/>
  <c r="AD1780" i="1" s="1"/>
  <c r="AD1781" i="1" s="1"/>
  <c r="AD1782" i="1" s="1"/>
  <c r="AD1783" i="1" s="1"/>
  <c r="AD1784" i="1" s="1"/>
  <c r="AD1785" i="1" s="1"/>
  <c r="AD1786" i="1" s="1"/>
  <c r="AD1787" i="1" s="1"/>
  <c r="AD1788" i="1" s="1"/>
  <c r="AD1789" i="1" s="1"/>
  <c r="AD1790" i="1" s="1"/>
  <c r="AD1791" i="1" s="1"/>
  <c r="AD1792" i="1" s="1"/>
  <c r="AD1793" i="1" s="1"/>
  <c r="AD1794" i="1" s="1"/>
  <c r="AD1795" i="1" s="1"/>
  <c r="AD1796" i="1" s="1"/>
  <c r="AD1797" i="1" s="1"/>
  <c r="AD1798" i="1" s="1"/>
  <c r="AD1799" i="1" s="1"/>
  <c r="AD1800" i="1" s="1"/>
  <c r="AD1801" i="1" s="1"/>
  <c r="AD1802" i="1" s="1"/>
  <c r="AD1803" i="1" s="1"/>
  <c r="AD1804" i="1" s="1"/>
  <c r="AD1805" i="1" s="1"/>
  <c r="AD1806" i="1" s="1"/>
  <c r="AD1807" i="1" s="1"/>
  <c r="AD1808" i="1" s="1"/>
  <c r="AD1809" i="1" s="1"/>
  <c r="AD1810" i="1" s="1"/>
  <c r="AD1811" i="1" s="1"/>
  <c r="AD1812" i="1" s="1"/>
  <c r="AD1813" i="1" s="1"/>
  <c r="AD1814" i="1" s="1"/>
  <c r="AD1815" i="1" s="1"/>
  <c r="AD1816" i="1" s="1"/>
  <c r="AD1817" i="1" s="1"/>
  <c r="AD1818" i="1" s="1"/>
  <c r="AD1819" i="1" s="1"/>
  <c r="AD1820" i="1" s="1"/>
  <c r="AD1821" i="1" s="1"/>
  <c r="AD1822" i="1" s="1"/>
  <c r="AD1823" i="1" s="1"/>
  <c r="AD1824" i="1" s="1"/>
  <c r="AD1825" i="1" s="1"/>
  <c r="AD1826" i="1" s="1"/>
  <c r="AD1827" i="1" s="1"/>
  <c r="AD1828" i="1" s="1"/>
  <c r="AD1829" i="1" s="1"/>
  <c r="AD1830" i="1" s="1"/>
  <c r="AD1831" i="1" s="1"/>
  <c r="AD1832" i="1" s="1"/>
  <c r="AD1833" i="1" s="1"/>
  <c r="AD1834" i="1" s="1"/>
  <c r="AD1835" i="1" s="1"/>
  <c r="AD1836" i="1" s="1"/>
  <c r="AD1837" i="1" s="1"/>
  <c r="AD1838" i="1" s="1"/>
  <c r="AD1839" i="1" s="1"/>
  <c r="AD1840" i="1" s="1"/>
  <c r="AD1841" i="1" s="1"/>
  <c r="AD1842" i="1" s="1"/>
  <c r="AD1843" i="1" s="1"/>
  <c r="AD1844" i="1" s="1"/>
  <c r="AD1845" i="1" s="1"/>
  <c r="AD1846" i="1" s="1"/>
  <c r="AD1847" i="1" s="1"/>
  <c r="AD1848" i="1" s="1"/>
  <c r="AD1849" i="1" s="1"/>
  <c r="AD1850" i="1" s="1"/>
  <c r="AD1851" i="1" s="1"/>
  <c r="AD1852" i="1" s="1"/>
  <c r="AD1853" i="1" s="1"/>
  <c r="AD1854" i="1" s="1"/>
  <c r="AD1855" i="1" s="1"/>
  <c r="AD1856" i="1" s="1"/>
  <c r="AD1857" i="1" s="1"/>
  <c r="AD1858" i="1" s="1"/>
  <c r="AD1859" i="1" s="1"/>
  <c r="AD1860" i="1" s="1"/>
  <c r="AD1861" i="1" s="1"/>
  <c r="AD1862" i="1" s="1"/>
  <c r="AD1863" i="1" s="1"/>
  <c r="AD1864" i="1" s="1"/>
  <c r="AD1865" i="1" s="1"/>
  <c r="AD1866" i="1" s="1"/>
  <c r="AD1867" i="1" s="1"/>
  <c r="AD1868" i="1" s="1"/>
  <c r="AD1869" i="1" s="1"/>
  <c r="AD1870" i="1" s="1"/>
  <c r="AD1871" i="1" s="1"/>
  <c r="AD1872" i="1" s="1"/>
  <c r="AD1873" i="1" s="1"/>
  <c r="AD1874" i="1" s="1"/>
  <c r="AD1875" i="1" s="1"/>
  <c r="AD1876" i="1" s="1"/>
  <c r="AD1877" i="1" s="1"/>
  <c r="AD1878" i="1" s="1"/>
  <c r="AD1879" i="1" s="1"/>
  <c r="AD1880" i="1" s="1"/>
  <c r="AD1881" i="1" s="1"/>
  <c r="AD1882" i="1" s="1"/>
  <c r="AD1883" i="1" s="1"/>
  <c r="AD1884" i="1" s="1"/>
  <c r="AD1885" i="1" s="1"/>
  <c r="AD1886" i="1" s="1"/>
  <c r="AD1887" i="1" s="1"/>
  <c r="AD1888" i="1" s="1"/>
  <c r="AD1889" i="1" s="1"/>
  <c r="AD1890" i="1" s="1"/>
  <c r="AD1891" i="1" s="1"/>
  <c r="AD1892" i="1" s="1"/>
  <c r="AD1893" i="1" s="1"/>
  <c r="AD1894" i="1" s="1"/>
  <c r="AD1895" i="1" s="1"/>
  <c r="AD1896" i="1" s="1"/>
  <c r="AD1897" i="1" s="1"/>
  <c r="AD1898" i="1" s="1"/>
  <c r="AD1899" i="1" s="1"/>
  <c r="AD1900" i="1" s="1"/>
  <c r="AD1901" i="1" s="1"/>
  <c r="AD1902" i="1" s="1"/>
  <c r="AD1903" i="1" s="1"/>
  <c r="AD1904" i="1" s="1"/>
  <c r="AD1905" i="1" s="1"/>
  <c r="AD1906" i="1" s="1"/>
  <c r="AD1907" i="1" s="1"/>
  <c r="AD1908" i="1" s="1"/>
  <c r="AD1909" i="1" s="1"/>
  <c r="AD1910" i="1" s="1"/>
  <c r="AD1911" i="1" s="1"/>
  <c r="AD1912" i="1" s="1"/>
  <c r="AD1913" i="1" s="1"/>
  <c r="AD1914" i="1" s="1"/>
  <c r="AD1915" i="1" s="1"/>
  <c r="AD1916" i="1" s="1"/>
  <c r="AD1917" i="1" s="1"/>
  <c r="AD1918" i="1" s="1"/>
  <c r="AD1919" i="1" s="1"/>
  <c r="AD1920" i="1" s="1"/>
  <c r="AD1921" i="1" s="1"/>
  <c r="AD1922" i="1" s="1"/>
  <c r="AD1923" i="1" s="1"/>
  <c r="AD1924" i="1" s="1"/>
  <c r="AD1925" i="1" s="1"/>
  <c r="AD1926" i="1" s="1"/>
  <c r="AD1927" i="1" s="1"/>
  <c r="AD1928" i="1" s="1"/>
  <c r="AD1929" i="1" s="1"/>
  <c r="AD1930" i="1" s="1"/>
  <c r="AD1931" i="1" s="1"/>
  <c r="AD1932" i="1" s="1"/>
  <c r="AD1933" i="1" s="1"/>
  <c r="AD1934" i="1" s="1"/>
  <c r="AD1935" i="1" s="1"/>
  <c r="AD1936" i="1" s="1"/>
  <c r="AD1937" i="1" s="1"/>
  <c r="AD1938" i="1" s="1"/>
  <c r="AD1939" i="1" s="1"/>
  <c r="AD1940" i="1" s="1"/>
  <c r="AD1941" i="1" s="1"/>
  <c r="AD1942" i="1" s="1"/>
  <c r="AD1943" i="1" s="1"/>
  <c r="AD1944" i="1" s="1"/>
  <c r="AD1945" i="1" s="1"/>
  <c r="AD1946" i="1" s="1"/>
  <c r="AD1947" i="1" s="1"/>
  <c r="AD1948" i="1" s="1"/>
  <c r="AD1949" i="1" s="1"/>
  <c r="AD1950" i="1" s="1"/>
  <c r="AD1951" i="1" s="1"/>
  <c r="AD1952" i="1" s="1"/>
  <c r="AD1953" i="1" s="1"/>
  <c r="AD1954" i="1" s="1"/>
  <c r="AD1955" i="1" s="1"/>
  <c r="AD1956" i="1" s="1"/>
  <c r="AD1957" i="1" s="1"/>
  <c r="AD1958" i="1" s="1"/>
  <c r="AD1959" i="1" s="1"/>
  <c r="AD1960" i="1" s="1"/>
  <c r="AD1961" i="1" s="1"/>
  <c r="AD1962" i="1" s="1"/>
  <c r="AD1963" i="1" s="1"/>
  <c r="AD1964" i="1" s="1"/>
  <c r="AD1965" i="1" s="1"/>
  <c r="AD1966" i="1" s="1"/>
  <c r="AD1967" i="1" s="1"/>
  <c r="AD1968" i="1" s="1"/>
  <c r="AD1969" i="1" s="1"/>
  <c r="AD1970" i="1" s="1"/>
  <c r="AD1971" i="1" s="1"/>
  <c r="AD1972" i="1" s="1"/>
  <c r="AD1973" i="1" s="1"/>
  <c r="AD1974" i="1" s="1"/>
  <c r="AD1975" i="1" s="1"/>
  <c r="AD1976" i="1" s="1"/>
  <c r="AD1977" i="1" s="1"/>
  <c r="AD1978" i="1" s="1"/>
  <c r="AD1979" i="1" s="1"/>
  <c r="AD1980" i="1" s="1"/>
  <c r="AD1981" i="1" s="1"/>
  <c r="AD1982" i="1" s="1"/>
  <c r="AD1983" i="1" s="1"/>
  <c r="AD1984" i="1" s="1"/>
  <c r="AD1985" i="1" s="1"/>
  <c r="AD1986" i="1" s="1"/>
  <c r="AD1987" i="1" s="1"/>
  <c r="AD1988" i="1" s="1"/>
  <c r="AD1989" i="1" s="1"/>
  <c r="AD1990" i="1" s="1"/>
  <c r="AD1991" i="1" s="1"/>
  <c r="AD1992" i="1" s="1"/>
  <c r="AD1993" i="1" s="1"/>
  <c r="AD1994" i="1" s="1"/>
  <c r="AD1995" i="1" s="1"/>
  <c r="AD1996" i="1" s="1"/>
  <c r="AD1997" i="1" s="1"/>
  <c r="AD1998" i="1" s="1"/>
  <c r="AD1999" i="1" s="1"/>
  <c r="AD2000" i="1" s="1"/>
  <c r="AD2001" i="1" s="1"/>
  <c r="AD2002" i="1" s="1"/>
  <c r="AD2003" i="1" s="1"/>
  <c r="AD2004" i="1" s="1"/>
  <c r="AD2005" i="1" s="1"/>
  <c r="AD2006" i="1" s="1"/>
  <c r="AD2007" i="1" s="1"/>
  <c r="AD2008" i="1" s="1"/>
  <c r="AD2009" i="1" s="1"/>
  <c r="AD2010" i="1" s="1"/>
  <c r="AD2011" i="1" s="1"/>
  <c r="AD2012" i="1" s="1"/>
  <c r="AD2013" i="1" s="1"/>
  <c r="AD2014" i="1" s="1"/>
  <c r="AD2015" i="1" s="1"/>
  <c r="AD2016" i="1" s="1"/>
  <c r="AD2017" i="1" s="1"/>
  <c r="AD2018" i="1" s="1"/>
  <c r="AD2019" i="1" s="1"/>
  <c r="AD2020" i="1" s="1"/>
  <c r="AD2021" i="1" s="1"/>
  <c r="AD2022" i="1" s="1"/>
  <c r="AD2023" i="1" s="1"/>
  <c r="AD2024" i="1" s="1"/>
  <c r="AD2025" i="1" s="1"/>
  <c r="AD2026" i="1" s="1"/>
  <c r="AD2027" i="1" s="1"/>
  <c r="AD2028" i="1" s="1"/>
  <c r="AD2029" i="1" s="1"/>
  <c r="AD2030" i="1" s="1"/>
  <c r="AD2031" i="1" s="1"/>
  <c r="AD2032" i="1" s="1"/>
  <c r="AD2033" i="1" s="1"/>
  <c r="AD2034" i="1" s="1"/>
  <c r="AD2035" i="1" s="1"/>
  <c r="AD2036" i="1" s="1"/>
  <c r="AD2037" i="1" s="1"/>
  <c r="AD2038" i="1" s="1"/>
  <c r="AD2039" i="1" s="1"/>
  <c r="AD2040" i="1" s="1"/>
  <c r="AD2041" i="1" s="1"/>
  <c r="AD2042" i="1" s="1"/>
  <c r="AD2043" i="1" s="1"/>
  <c r="AD2044" i="1" s="1"/>
  <c r="AD2045" i="1" s="1"/>
  <c r="AD2046" i="1" s="1"/>
  <c r="AD2047" i="1" s="1"/>
  <c r="AD2048" i="1" s="1"/>
  <c r="AD2049" i="1" s="1"/>
  <c r="AD2050" i="1" s="1"/>
  <c r="AD2051" i="1" s="1"/>
  <c r="AD2052" i="1" s="1"/>
  <c r="AD2053" i="1" s="1"/>
  <c r="AD2054" i="1" s="1"/>
  <c r="AD2055" i="1" s="1"/>
  <c r="AD2056" i="1" s="1"/>
  <c r="AD2057" i="1" s="1"/>
  <c r="AD2058" i="1" s="1"/>
  <c r="AD2059" i="1" s="1"/>
  <c r="AD2060" i="1" s="1"/>
  <c r="AD2061" i="1" s="1"/>
  <c r="AD2062" i="1" s="1"/>
  <c r="AD2063" i="1" s="1"/>
  <c r="AD2064" i="1" s="1"/>
  <c r="AD2065" i="1" s="1"/>
  <c r="AD2066" i="1" s="1"/>
  <c r="AD2067" i="1" s="1"/>
  <c r="AD2068" i="1" s="1"/>
  <c r="AD2069" i="1" s="1"/>
  <c r="AD2070" i="1" s="1"/>
  <c r="AD2071" i="1" s="1"/>
  <c r="AD2072" i="1" s="1"/>
  <c r="AD2073" i="1" s="1"/>
  <c r="AD2074" i="1" s="1"/>
  <c r="AD2075" i="1" s="1"/>
  <c r="AD2076" i="1" s="1"/>
  <c r="AD2077" i="1" s="1"/>
  <c r="AD2078" i="1" s="1"/>
  <c r="AD2079" i="1" s="1"/>
  <c r="AD2080" i="1" s="1"/>
  <c r="AD2081" i="1" s="1"/>
  <c r="AD2082" i="1" s="1"/>
  <c r="AD2083" i="1" s="1"/>
  <c r="AD2084" i="1" s="1"/>
  <c r="AD2085" i="1" s="1"/>
  <c r="AD2086" i="1" s="1"/>
  <c r="AD2087" i="1" s="1"/>
  <c r="AD2088" i="1" s="1"/>
  <c r="AD2089" i="1" s="1"/>
  <c r="AD2090" i="1" s="1"/>
  <c r="AD2091" i="1" s="1"/>
  <c r="AD2092" i="1" s="1"/>
  <c r="AD2093" i="1" s="1"/>
  <c r="AD2094" i="1" s="1"/>
  <c r="AD2095" i="1" s="1"/>
  <c r="AD2096" i="1" s="1"/>
  <c r="AD2097" i="1" s="1"/>
  <c r="AD2098" i="1" s="1"/>
  <c r="AD2099" i="1" s="1"/>
  <c r="AD2100" i="1" s="1"/>
  <c r="AD2101" i="1" s="1"/>
  <c r="AD2102" i="1" s="1"/>
  <c r="AD2103" i="1" s="1"/>
  <c r="AD2104" i="1" s="1"/>
  <c r="AD2105" i="1" s="1"/>
  <c r="AD2106" i="1" s="1"/>
  <c r="AD2107" i="1" s="1"/>
  <c r="AD2108" i="1" s="1"/>
  <c r="AD2109" i="1" s="1"/>
  <c r="AD2110" i="1" s="1"/>
  <c r="AD2111" i="1" s="1"/>
  <c r="AD2112" i="1" s="1"/>
  <c r="AD2113" i="1" s="1"/>
  <c r="AD2114" i="1" s="1"/>
  <c r="AD2115" i="1" s="1"/>
  <c r="AD2116" i="1" s="1"/>
  <c r="AD2117" i="1" s="1"/>
  <c r="AD2118" i="1" s="1"/>
  <c r="AD2119" i="1" s="1"/>
  <c r="AD2120" i="1" s="1"/>
  <c r="AD2121" i="1" s="1"/>
  <c r="AD2122" i="1" s="1"/>
  <c r="AD2123" i="1" s="1"/>
  <c r="AD2124" i="1" s="1"/>
  <c r="AD2125" i="1" s="1"/>
  <c r="AD2126" i="1" s="1"/>
  <c r="AD2127" i="1" s="1"/>
  <c r="AD2128" i="1" s="1"/>
  <c r="AD2129" i="1" s="1"/>
  <c r="AD2130" i="1" s="1"/>
  <c r="AD2131" i="1" s="1"/>
  <c r="AD2132" i="1" s="1"/>
  <c r="AD2133" i="1" s="1"/>
  <c r="AD2134" i="1" s="1"/>
  <c r="AD2135" i="1" s="1"/>
  <c r="AD2136" i="1" s="1"/>
  <c r="AD2137" i="1" s="1"/>
  <c r="AD2138" i="1" s="1"/>
  <c r="AD2139" i="1" s="1"/>
  <c r="AD2140" i="1" s="1"/>
  <c r="AD2141" i="1" s="1"/>
  <c r="AD2142" i="1" s="1"/>
  <c r="AD2143" i="1" s="1"/>
  <c r="AD2144" i="1" s="1"/>
  <c r="AD2145" i="1" s="1"/>
  <c r="AD2146" i="1" s="1"/>
  <c r="AD2147" i="1" s="1"/>
  <c r="AD2148" i="1" s="1"/>
  <c r="AD2149" i="1" s="1"/>
  <c r="AD2150" i="1" s="1"/>
  <c r="AD2151" i="1" s="1"/>
  <c r="AD2152" i="1" s="1"/>
  <c r="AD2153" i="1" s="1"/>
  <c r="AD2154" i="1" s="1"/>
  <c r="AD2155" i="1" s="1"/>
  <c r="AD2156" i="1" s="1"/>
  <c r="AD2157" i="1" s="1"/>
  <c r="AD2158" i="1" s="1"/>
  <c r="AD2159" i="1" s="1"/>
  <c r="AD2160" i="1" s="1"/>
  <c r="AD2161" i="1" s="1"/>
  <c r="AD2162" i="1" s="1"/>
  <c r="AD2163" i="1" s="1"/>
  <c r="AD2164" i="1" s="1"/>
  <c r="AD2165" i="1" s="1"/>
  <c r="AD2166" i="1" s="1"/>
  <c r="AD2167" i="1" s="1"/>
  <c r="AD2168" i="1" s="1"/>
  <c r="AD2169" i="1" s="1"/>
  <c r="AD2170" i="1" s="1"/>
  <c r="AD2171" i="1" s="1"/>
  <c r="AD2172" i="1" s="1"/>
  <c r="AD2173" i="1" s="1"/>
  <c r="AD2174" i="1" s="1"/>
  <c r="AD2175" i="1" s="1"/>
  <c r="AD2176" i="1" s="1"/>
  <c r="AD2177" i="1" s="1"/>
  <c r="AD2178" i="1" s="1"/>
  <c r="AD2179" i="1" s="1"/>
  <c r="AD2180" i="1" s="1"/>
  <c r="AD2181" i="1" s="1"/>
  <c r="AD2182" i="1" s="1"/>
  <c r="AD2183" i="1" s="1"/>
  <c r="AD2184" i="1" s="1"/>
  <c r="AD2185" i="1" s="1"/>
  <c r="AD2186" i="1" s="1"/>
  <c r="AD2187" i="1" s="1"/>
  <c r="AD2188" i="1" s="1"/>
  <c r="AD2189" i="1" s="1"/>
  <c r="AD2190" i="1" s="1"/>
  <c r="AD2191" i="1" s="1"/>
  <c r="AD2192" i="1" s="1"/>
  <c r="AD2193" i="1" s="1"/>
  <c r="AD2194" i="1" s="1"/>
  <c r="AD2195" i="1" s="1"/>
  <c r="AD2196" i="1" s="1"/>
  <c r="AD2197" i="1" s="1"/>
  <c r="AD2198" i="1" s="1"/>
  <c r="AD2199" i="1" s="1"/>
  <c r="AD2200" i="1" s="1"/>
  <c r="AD2201" i="1" s="1"/>
  <c r="AD2202" i="1" s="1"/>
  <c r="AD2203" i="1" s="1"/>
  <c r="AD2204" i="1" s="1"/>
  <c r="AD2205" i="1" s="1"/>
  <c r="AD2206" i="1" s="1"/>
  <c r="AD2207" i="1" s="1"/>
  <c r="AD2208" i="1" s="1"/>
  <c r="AD2209" i="1" s="1"/>
  <c r="AD2210" i="1" s="1"/>
  <c r="AD2211" i="1" s="1"/>
  <c r="AD2212" i="1" s="1"/>
  <c r="AD2213" i="1" s="1"/>
  <c r="AD2214" i="1" s="1"/>
  <c r="AD2215" i="1" s="1"/>
  <c r="AD2216" i="1" s="1"/>
  <c r="AD2217" i="1" s="1"/>
  <c r="AD2218" i="1" s="1"/>
  <c r="AD2219" i="1" s="1"/>
  <c r="AD2220" i="1" s="1"/>
  <c r="AD2221" i="1" s="1"/>
  <c r="AD2222" i="1" s="1"/>
  <c r="AD2223" i="1" s="1"/>
  <c r="AD2224" i="1" s="1"/>
  <c r="AD2225" i="1" s="1"/>
  <c r="AD2226" i="1" s="1"/>
  <c r="AD2227" i="1" s="1"/>
  <c r="AD2228" i="1" s="1"/>
  <c r="AD2229" i="1" s="1"/>
  <c r="AD2230" i="1" s="1"/>
  <c r="AD2231" i="1" s="1"/>
  <c r="AD2232" i="1" s="1"/>
  <c r="AD2233" i="1" s="1"/>
  <c r="AD2234" i="1" s="1"/>
  <c r="AD2235" i="1" s="1"/>
  <c r="AD2236" i="1" s="1"/>
  <c r="AD2237" i="1" s="1"/>
  <c r="AD2238" i="1" s="1"/>
  <c r="AD2239" i="1" s="1"/>
  <c r="AD2240" i="1" s="1"/>
  <c r="AD2241" i="1" s="1"/>
  <c r="AD2242" i="1" s="1"/>
  <c r="AD2243" i="1" s="1"/>
  <c r="AD2244" i="1" s="1"/>
  <c r="AD2245" i="1" s="1"/>
  <c r="AD2246" i="1" s="1"/>
  <c r="AD2247" i="1" s="1"/>
  <c r="AD2248" i="1" s="1"/>
  <c r="AD2249" i="1" s="1"/>
  <c r="AD2250" i="1" s="1"/>
  <c r="AD2251" i="1" s="1"/>
  <c r="AD2252" i="1" s="1"/>
  <c r="AD2253" i="1" s="1"/>
  <c r="AD2254" i="1" s="1"/>
  <c r="AD2255" i="1" s="1"/>
  <c r="AD2256" i="1" s="1"/>
  <c r="AD2257" i="1" s="1"/>
  <c r="AD2258" i="1" s="1"/>
  <c r="AD2259" i="1" s="1"/>
  <c r="AD2260" i="1" s="1"/>
  <c r="AD2261" i="1" s="1"/>
  <c r="AD2262" i="1" s="1"/>
  <c r="AD2263" i="1" s="1"/>
  <c r="AD2264" i="1" s="1"/>
  <c r="AD2265" i="1" s="1"/>
  <c r="AD2266" i="1" s="1"/>
  <c r="AD2267" i="1" s="1"/>
  <c r="AD2268" i="1" s="1"/>
  <c r="AD2269" i="1" s="1"/>
  <c r="AD2270" i="1" s="1"/>
  <c r="AD2271" i="1" s="1"/>
  <c r="AD2272" i="1" s="1"/>
  <c r="AD2273" i="1" s="1"/>
  <c r="AD2274" i="1" s="1"/>
  <c r="AD2275" i="1" s="1"/>
  <c r="AD2276" i="1" s="1"/>
  <c r="AD2277" i="1" s="1"/>
  <c r="AD2278" i="1" s="1"/>
  <c r="AD2279" i="1" s="1"/>
  <c r="AD2280" i="1" s="1"/>
  <c r="AD2281" i="1" s="1"/>
  <c r="AD2282" i="1" s="1"/>
  <c r="AD2283" i="1" s="1"/>
  <c r="AD2284" i="1" s="1"/>
  <c r="AD2285" i="1" s="1"/>
  <c r="AD2286" i="1" s="1"/>
  <c r="AD2287" i="1" s="1"/>
  <c r="AD2288" i="1" s="1"/>
  <c r="AD2289" i="1" s="1"/>
  <c r="AD2290" i="1" s="1"/>
  <c r="AD2291" i="1" s="1"/>
  <c r="AD2292" i="1" s="1"/>
  <c r="AD2293" i="1" s="1"/>
  <c r="AD2294" i="1" s="1"/>
  <c r="AD2295" i="1" s="1"/>
  <c r="AD2296" i="1" s="1"/>
  <c r="AD2297" i="1" s="1"/>
  <c r="AD2298" i="1" s="1"/>
  <c r="AD2299" i="1" s="1"/>
  <c r="AD2300" i="1" s="1"/>
  <c r="AD2301" i="1" s="1"/>
  <c r="AD2302" i="1" s="1"/>
  <c r="AD2303" i="1" s="1"/>
  <c r="AD2304" i="1" s="1"/>
  <c r="AD2305" i="1" s="1"/>
  <c r="AD2306" i="1" s="1"/>
  <c r="AD2307" i="1" s="1"/>
  <c r="AD2308" i="1" s="1"/>
  <c r="AD2309" i="1" s="1"/>
  <c r="AD2310" i="1" s="1"/>
  <c r="AD2311" i="1" s="1"/>
  <c r="AD2312" i="1" s="1"/>
  <c r="AD2313" i="1" s="1"/>
  <c r="AD2314" i="1" s="1"/>
  <c r="AD2315" i="1" s="1"/>
  <c r="AD2316" i="1" s="1"/>
  <c r="AD2317" i="1" s="1"/>
  <c r="AD2318" i="1" s="1"/>
  <c r="AD2319" i="1" s="1"/>
  <c r="AD2320" i="1" s="1"/>
  <c r="AD2321" i="1" s="1"/>
  <c r="AD2322" i="1" s="1"/>
  <c r="AD2323" i="1" s="1"/>
  <c r="AD2324" i="1" s="1"/>
  <c r="AD2325" i="1" s="1"/>
  <c r="AD2326" i="1" s="1"/>
  <c r="AD2327" i="1" s="1"/>
  <c r="AD2328" i="1" s="1"/>
  <c r="AD2329" i="1" s="1"/>
  <c r="AD2330" i="1" s="1"/>
  <c r="AD2331" i="1" s="1"/>
  <c r="AD2332" i="1" s="1"/>
  <c r="AD2333" i="1" s="1"/>
  <c r="AD2334" i="1" s="1"/>
  <c r="AD2335" i="1" s="1"/>
  <c r="AD2336" i="1" s="1"/>
  <c r="AD2337" i="1" s="1"/>
  <c r="AD2338" i="1" s="1"/>
  <c r="AD2339" i="1" s="1"/>
  <c r="AD2340" i="1" s="1"/>
  <c r="AD2341" i="1" s="1"/>
  <c r="AD2342" i="1" s="1"/>
  <c r="AD2343" i="1" s="1"/>
  <c r="AD2344" i="1" s="1"/>
  <c r="AD2345" i="1" s="1"/>
  <c r="AD2346" i="1" s="1"/>
  <c r="AD2347" i="1" s="1"/>
  <c r="AD2348" i="1" s="1"/>
  <c r="AD2349" i="1" s="1"/>
  <c r="AD2350" i="1" s="1"/>
  <c r="AD2351" i="1" s="1"/>
  <c r="AD2352" i="1" s="1"/>
  <c r="AD2353" i="1" s="1"/>
  <c r="AD2354" i="1" s="1"/>
  <c r="AD2355" i="1" s="1"/>
  <c r="AD2356" i="1" s="1"/>
  <c r="AD2357" i="1" s="1"/>
  <c r="AD2358" i="1" s="1"/>
  <c r="AD2359" i="1" s="1"/>
  <c r="AD2360" i="1" s="1"/>
  <c r="AD2361" i="1" s="1"/>
  <c r="AD2362" i="1" s="1"/>
  <c r="AD2363" i="1" s="1"/>
  <c r="AD2364" i="1" s="1"/>
  <c r="AD2365" i="1" s="1"/>
  <c r="AD2366" i="1" s="1"/>
  <c r="AD2367" i="1" s="1"/>
  <c r="AD2368" i="1" s="1"/>
  <c r="AD2369" i="1" s="1"/>
  <c r="AD2370" i="1" s="1"/>
  <c r="AD2371" i="1" s="1"/>
  <c r="AD2372" i="1" s="1"/>
  <c r="AD2373" i="1" s="1"/>
  <c r="AD2374" i="1" s="1"/>
  <c r="AD2375" i="1" s="1"/>
  <c r="AD2376" i="1" s="1"/>
  <c r="AD2377" i="1" s="1"/>
  <c r="AD2378" i="1" s="1"/>
  <c r="AD2379" i="1" s="1"/>
  <c r="AD2380" i="1" s="1"/>
  <c r="AD2381" i="1" s="1"/>
  <c r="AD2382" i="1" s="1"/>
  <c r="AD2383" i="1" s="1"/>
  <c r="AD2384" i="1" s="1"/>
  <c r="AD2385" i="1" s="1"/>
  <c r="AD2386" i="1" s="1"/>
  <c r="AD2387" i="1" s="1"/>
  <c r="AD2388" i="1" s="1"/>
  <c r="AD2389" i="1" s="1"/>
  <c r="AD2390" i="1" s="1"/>
  <c r="AD2391" i="1" s="1"/>
  <c r="AD2392" i="1" s="1"/>
  <c r="AD2393" i="1" s="1"/>
  <c r="AD2394" i="1" s="1"/>
  <c r="AD2395" i="1" s="1"/>
  <c r="AD2396" i="1" s="1"/>
  <c r="AD2397" i="1" s="1"/>
  <c r="AD2398" i="1" s="1"/>
  <c r="AD2399" i="1" s="1"/>
  <c r="AD2400" i="1" s="1"/>
  <c r="AD2401" i="1" s="1"/>
  <c r="AD2402" i="1" s="1"/>
  <c r="AD2403" i="1" s="1"/>
  <c r="AD2404" i="1" s="1"/>
  <c r="AD2405" i="1" s="1"/>
  <c r="AD2406" i="1" s="1"/>
  <c r="AD2407" i="1" s="1"/>
  <c r="AD2408" i="1" s="1"/>
  <c r="AD2409" i="1" s="1"/>
  <c r="AD2410" i="1" s="1"/>
  <c r="AD2411" i="1" s="1"/>
  <c r="AD2412" i="1" s="1"/>
  <c r="AD2413" i="1" s="1"/>
  <c r="AD2414" i="1" s="1"/>
  <c r="AD2415" i="1" s="1"/>
  <c r="AD2416" i="1" s="1"/>
  <c r="AD2417" i="1" s="1"/>
  <c r="AD2418" i="1" s="1"/>
  <c r="AD2419" i="1" s="1"/>
  <c r="AD2420" i="1" s="1"/>
  <c r="AD2421" i="1" s="1"/>
  <c r="AD2422" i="1" s="1"/>
  <c r="AD2423" i="1" s="1"/>
  <c r="AD2424" i="1" s="1"/>
  <c r="AD2425" i="1" s="1"/>
  <c r="AD2426" i="1" s="1"/>
  <c r="AD2427" i="1" s="1"/>
  <c r="AD2428" i="1" s="1"/>
  <c r="AD2429" i="1" s="1"/>
  <c r="AD2430" i="1" s="1"/>
  <c r="AD2431" i="1" s="1"/>
  <c r="AD2432" i="1" s="1"/>
  <c r="AD2433" i="1" s="1"/>
  <c r="AD2434" i="1" s="1"/>
  <c r="AD2435" i="1" s="1"/>
  <c r="AD2436" i="1" s="1"/>
  <c r="AD2437" i="1" s="1"/>
  <c r="AD2438" i="1" s="1"/>
  <c r="AD2439" i="1" s="1"/>
  <c r="AD2440" i="1" s="1"/>
  <c r="AD2441" i="1" s="1"/>
  <c r="AD2442" i="1" s="1"/>
  <c r="AD2443" i="1" s="1"/>
  <c r="AD2444" i="1" s="1"/>
  <c r="AD2445" i="1" s="1"/>
  <c r="AD2446" i="1" s="1"/>
  <c r="AD2447" i="1" s="1"/>
  <c r="AD2448" i="1" s="1"/>
  <c r="AD2449" i="1" s="1"/>
  <c r="AD2450" i="1" s="1"/>
  <c r="AD2451" i="1" s="1"/>
  <c r="AD2452" i="1" s="1"/>
  <c r="AD2453" i="1" s="1"/>
  <c r="AD2454" i="1" s="1"/>
  <c r="AD2455" i="1" s="1"/>
  <c r="AD2456" i="1" s="1"/>
  <c r="AD2457" i="1" s="1"/>
  <c r="AD2458" i="1" s="1"/>
  <c r="AD2459" i="1" s="1"/>
  <c r="AD2460" i="1" s="1"/>
  <c r="AD2461" i="1" s="1"/>
  <c r="AD2462" i="1" s="1"/>
  <c r="AD2463" i="1" s="1"/>
  <c r="AD2464" i="1" s="1"/>
  <c r="AD2465" i="1" s="1"/>
  <c r="AD2466" i="1" s="1"/>
  <c r="AD2467" i="1" s="1"/>
  <c r="AD2468" i="1" s="1"/>
  <c r="AD2469" i="1" s="1"/>
  <c r="AD2470" i="1" s="1"/>
  <c r="AD2471" i="1" s="1"/>
  <c r="AD2472" i="1" s="1"/>
  <c r="AD2473" i="1" s="1"/>
  <c r="AD2474" i="1" s="1"/>
  <c r="AD2475" i="1" s="1"/>
  <c r="AD2476" i="1" s="1"/>
  <c r="AD2477" i="1" s="1"/>
  <c r="AD2478" i="1" s="1"/>
  <c r="AD2479" i="1" s="1"/>
  <c r="AD2480" i="1" s="1"/>
  <c r="AD2481" i="1" s="1"/>
  <c r="AD2482" i="1" s="1"/>
  <c r="AD2483" i="1" s="1"/>
  <c r="AD2484" i="1" s="1"/>
  <c r="AD2485" i="1" s="1"/>
  <c r="AD2486" i="1" s="1"/>
  <c r="AD2487" i="1" s="1"/>
  <c r="AD2488" i="1" s="1"/>
  <c r="AD2489" i="1" s="1"/>
  <c r="AD2490" i="1" s="1"/>
  <c r="AD2491" i="1" s="1"/>
  <c r="AD2492" i="1" s="1"/>
  <c r="AD2493" i="1" s="1"/>
  <c r="AD2494" i="1" s="1"/>
  <c r="AD2495" i="1" s="1"/>
  <c r="AD2496" i="1" s="1"/>
  <c r="AD2497" i="1" s="1"/>
  <c r="AD2498" i="1" s="1"/>
  <c r="AD2499" i="1" s="1"/>
  <c r="AD2500" i="1" s="1"/>
  <c r="AD2501" i="1" s="1"/>
  <c r="AD2502" i="1" s="1"/>
  <c r="AD2503" i="1" s="1"/>
  <c r="AD2504" i="1" s="1"/>
  <c r="AD2505" i="1" s="1"/>
  <c r="AD2506" i="1" s="1"/>
  <c r="AD2507" i="1" s="1"/>
  <c r="AD2508" i="1" s="1"/>
  <c r="AD2509" i="1" s="1"/>
  <c r="AD2510" i="1" s="1"/>
  <c r="AD2511" i="1" s="1"/>
  <c r="AD2512" i="1" s="1"/>
  <c r="AD2513" i="1" s="1"/>
  <c r="AD2514" i="1" s="1"/>
  <c r="AD2515" i="1" s="1"/>
  <c r="AD2516" i="1" s="1"/>
  <c r="AD2517" i="1" s="1"/>
  <c r="AD2518" i="1" s="1"/>
  <c r="AD2519" i="1" s="1"/>
  <c r="AD2520" i="1" s="1"/>
  <c r="AD2521" i="1" s="1"/>
  <c r="AD2522" i="1" s="1"/>
  <c r="AD2523" i="1" s="1"/>
  <c r="AD2524" i="1" s="1"/>
  <c r="AD2525" i="1" s="1"/>
  <c r="AD2526" i="1" s="1"/>
  <c r="AD2527" i="1" s="1"/>
  <c r="AD2528" i="1" s="1"/>
  <c r="AD2529" i="1" s="1"/>
  <c r="AD2530" i="1" s="1"/>
  <c r="AD2531" i="1" s="1"/>
  <c r="AD2532" i="1" s="1"/>
  <c r="AD2533" i="1" s="1"/>
  <c r="AD2534" i="1" s="1"/>
  <c r="AD2535" i="1" s="1"/>
  <c r="AD2536" i="1" s="1"/>
  <c r="AD2537" i="1" s="1"/>
  <c r="AD2538" i="1" s="1"/>
  <c r="AD2539" i="1" s="1"/>
  <c r="AD2540" i="1" s="1"/>
  <c r="AD2541" i="1" s="1"/>
  <c r="AD2542" i="1" s="1"/>
  <c r="AD2543" i="1" s="1"/>
  <c r="AD2544" i="1" s="1"/>
  <c r="AD2545" i="1" s="1"/>
  <c r="AD2546" i="1" s="1"/>
  <c r="AD2547" i="1" s="1"/>
  <c r="AD2548" i="1" s="1"/>
  <c r="AD2549" i="1" s="1"/>
  <c r="AD2550" i="1" s="1"/>
  <c r="AD2551" i="1" s="1"/>
  <c r="AD2552" i="1" s="1"/>
  <c r="AD2553" i="1" s="1"/>
  <c r="AD2554" i="1" s="1"/>
  <c r="AD2555" i="1" s="1"/>
  <c r="AD2556" i="1" s="1"/>
  <c r="AD2557" i="1" s="1"/>
  <c r="AD2558" i="1" s="1"/>
  <c r="AD2559" i="1" s="1"/>
  <c r="AD2560" i="1" s="1"/>
  <c r="AD2561" i="1" s="1"/>
  <c r="AD2562" i="1" s="1"/>
  <c r="AD2563" i="1" s="1"/>
  <c r="AD2564" i="1" s="1"/>
  <c r="AD2565" i="1" s="1"/>
  <c r="AD2566" i="1" s="1"/>
  <c r="AD2567" i="1" s="1"/>
  <c r="AD2568" i="1" s="1"/>
  <c r="AD2569" i="1" s="1"/>
  <c r="AD2570" i="1" s="1"/>
  <c r="AD2571" i="1" s="1"/>
  <c r="AD2572" i="1" s="1"/>
  <c r="AD2573" i="1" s="1"/>
  <c r="AD2574" i="1" s="1"/>
  <c r="AD2575" i="1" s="1"/>
  <c r="AD2576" i="1" s="1"/>
  <c r="AD2577" i="1" s="1"/>
  <c r="AD2578" i="1" s="1"/>
  <c r="AD2579" i="1" s="1"/>
  <c r="AD2580" i="1" s="1"/>
  <c r="AD2581" i="1" s="1"/>
  <c r="AD2582" i="1" s="1"/>
  <c r="AD2583" i="1" s="1"/>
  <c r="AD2584" i="1" s="1"/>
  <c r="AD2585" i="1" s="1"/>
  <c r="AD2586" i="1" s="1"/>
  <c r="AD2587" i="1" s="1"/>
  <c r="AD2588" i="1" s="1"/>
  <c r="AD2589" i="1" s="1"/>
  <c r="AD2590" i="1" s="1"/>
  <c r="AD2591" i="1" s="1"/>
  <c r="AD2592" i="1" s="1"/>
  <c r="AD2593" i="1" s="1"/>
  <c r="AD2594" i="1" s="1"/>
  <c r="AD2595" i="1" s="1"/>
  <c r="AD2596" i="1" s="1"/>
  <c r="AD2597" i="1" s="1"/>
  <c r="AD2598" i="1" s="1"/>
  <c r="AD2599" i="1" s="1"/>
  <c r="AD2600" i="1" s="1"/>
  <c r="AE3" i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E803" i="1" s="1"/>
  <c r="AE804" i="1" s="1"/>
  <c r="AE805" i="1" s="1"/>
  <c r="AE806" i="1" s="1"/>
  <c r="AE807" i="1" s="1"/>
  <c r="AE808" i="1" s="1"/>
  <c r="AE809" i="1" s="1"/>
  <c r="AE810" i="1" s="1"/>
  <c r="AE811" i="1" s="1"/>
  <c r="AE812" i="1" s="1"/>
  <c r="AE813" i="1" s="1"/>
  <c r="AE814" i="1" s="1"/>
  <c r="AE815" i="1" s="1"/>
  <c r="AE816" i="1" s="1"/>
  <c r="AE817" i="1" s="1"/>
  <c r="AE818" i="1" s="1"/>
  <c r="AE819" i="1" s="1"/>
  <c r="AE820" i="1" s="1"/>
  <c r="AE821" i="1" s="1"/>
  <c r="AE822" i="1" s="1"/>
  <c r="AE823" i="1" s="1"/>
  <c r="AE824" i="1" s="1"/>
  <c r="AE825" i="1" s="1"/>
  <c r="AE826" i="1" s="1"/>
  <c r="AE827" i="1" s="1"/>
  <c r="AE828" i="1" s="1"/>
  <c r="AE829" i="1" s="1"/>
  <c r="AE830" i="1" s="1"/>
  <c r="AE831" i="1" s="1"/>
  <c r="AE832" i="1" s="1"/>
  <c r="AE833" i="1" s="1"/>
  <c r="AE834" i="1" s="1"/>
  <c r="AE835" i="1" s="1"/>
  <c r="AE836" i="1" s="1"/>
  <c r="AE837" i="1" s="1"/>
  <c r="AE838" i="1" s="1"/>
  <c r="AE839" i="1" s="1"/>
  <c r="AE840" i="1" s="1"/>
  <c r="AE841" i="1" s="1"/>
  <c r="AE842" i="1" s="1"/>
  <c r="AE843" i="1" s="1"/>
  <c r="AE844" i="1" s="1"/>
  <c r="AE845" i="1" s="1"/>
  <c r="AE846" i="1" s="1"/>
  <c r="AE847" i="1" s="1"/>
  <c r="AE848" i="1" s="1"/>
  <c r="AE849" i="1" s="1"/>
  <c r="AE850" i="1" s="1"/>
  <c r="AE851" i="1" s="1"/>
  <c r="AE852" i="1" s="1"/>
  <c r="AE853" i="1" s="1"/>
  <c r="AE854" i="1" s="1"/>
  <c r="AE855" i="1" s="1"/>
  <c r="AE856" i="1" s="1"/>
  <c r="AE857" i="1" s="1"/>
  <c r="AE858" i="1" s="1"/>
  <c r="AE859" i="1" s="1"/>
  <c r="AE860" i="1" s="1"/>
  <c r="AE861" i="1" s="1"/>
  <c r="AE862" i="1" s="1"/>
  <c r="AE863" i="1" s="1"/>
  <c r="AE864" i="1" s="1"/>
  <c r="AE865" i="1" s="1"/>
  <c r="AE866" i="1" s="1"/>
  <c r="AE867" i="1" s="1"/>
  <c r="AE868" i="1" s="1"/>
  <c r="AE869" i="1" s="1"/>
  <c r="AE870" i="1" s="1"/>
  <c r="AE871" i="1" s="1"/>
  <c r="AE872" i="1" s="1"/>
  <c r="AE873" i="1" s="1"/>
  <c r="AE874" i="1" s="1"/>
  <c r="AE875" i="1" s="1"/>
  <c r="AE876" i="1" s="1"/>
  <c r="AE877" i="1" s="1"/>
  <c r="AE878" i="1" s="1"/>
  <c r="AE879" i="1" s="1"/>
  <c r="AE880" i="1" s="1"/>
  <c r="AE881" i="1" s="1"/>
  <c r="AE882" i="1" s="1"/>
  <c r="AE883" i="1" s="1"/>
  <c r="AE884" i="1" s="1"/>
  <c r="AE885" i="1" s="1"/>
  <c r="AE886" i="1" s="1"/>
  <c r="AE887" i="1" s="1"/>
  <c r="AE888" i="1" s="1"/>
  <c r="AE889" i="1" s="1"/>
  <c r="AE890" i="1" s="1"/>
  <c r="AE891" i="1" s="1"/>
  <c r="AE892" i="1" s="1"/>
  <c r="AE893" i="1" s="1"/>
  <c r="AE894" i="1" s="1"/>
  <c r="AE895" i="1" s="1"/>
  <c r="AE896" i="1" s="1"/>
  <c r="AE897" i="1" s="1"/>
  <c r="AE898" i="1" s="1"/>
  <c r="AE899" i="1" s="1"/>
  <c r="AE900" i="1" s="1"/>
  <c r="AE901" i="1" s="1"/>
  <c r="AE902" i="1" s="1"/>
  <c r="AE903" i="1" s="1"/>
  <c r="AE904" i="1" s="1"/>
  <c r="AE905" i="1" s="1"/>
  <c r="AE906" i="1" s="1"/>
  <c r="AE907" i="1" s="1"/>
  <c r="AE908" i="1" s="1"/>
  <c r="AE909" i="1" s="1"/>
  <c r="AE910" i="1" s="1"/>
  <c r="AE911" i="1" s="1"/>
  <c r="AE912" i="1" s="1"/>
  <c r="AE913" i="1" s="1"/>
  <c r="AE914" i="1" s="1"/>
  <c r="AE915" i="1" s="1"/>
  <c r="AE916" i="1" s="1"/>
  <c r="AE917" i="1" s="1"/>
  <c r="AE918" i="1" s="1"/>
  <c r="AE919" i="1" s="1"/>
  <c r="AE920" i="1" s="1"/>
  <c r="AE921" i="1" s="1"/>
  <c r="AE922" i="1" s="1"/>
  <c r="AE923" i="1" s="1"/>
  <c r="AE924" i="1" s="1"/>
  <c r="AE925" i="1" s="1"/>
  <c r="AE926" i="1" s="1"/>
  <c r="AE927" i="1" s="1"/>
  <c r="AE928" i="1" s="1"/>
  <c r="AE929" i="1" s="1"/>
  <c r="AE930" i="1" s="1"/>
  <c r="AE931" i="1" s="1"/>
  <c r="AE932" i="1" s="1"/>
  <c r="AE933" i="1" s="1"/>
  <c r="AE934" i="1" s="1"/>
  <c r="AE935" i="1" s="1"/>
  <c r="AE936" i="1" s="1"/>
  <c r="AE937" i="1" s="1"/>
  <c r="AE938" i="1" s="1"/>
  <c r="AE939" i="1" s="1"/>
  <c r="AE940" i="1" s="1"/>
  <c r="AE941" i="1" s="1"/>
  <c r="AE942" i="1" s="1"/>
  <c r="AE943" i="1" s="1"/>
  <c r="AE944" i="1" s="1"/>
  <c r="AE945" i="1" s="1"/>
  <c r="AE946" i="1" s="1"/>
  <c r="AE947" i="1" s="1"/>
  <c r="AE948" i="1" s="1"/>
  <c r="AE949" i="1" s="1"/>
  <c r="AE950" i="1" s="1"/>
  <c r="AE951" i="1" s="1"/>
  <c r="AE952" i="1" s="1"/>
  <c r="AE953" i="1" s="1"/>
  <c r="AE954" i="1" s="1"/>
  <c r="AE955" i="1" s="1"/>
  <c r="AE956" i="1" s="1"/>
  <c r="AE957" i="1" s="1"/>
  <c r="AE958" i="1" s="1"/>
  <c r="AE959" i="1" s="1"/>
  <c r="AE960" i="1" s="1"/>
  <c r="AE961" i="1" s="1"/>
  <c r="AE962" i="1" s="1"/>
  <c r="AE963" i="1" s="1"/>
  <c r="AE964" i="1" s="1"/>
  <c r="AE965" i="1" s="1"/>
  <c r="AE966" i="1" s="1"/>
  <c r="AE967" i="1" s="1"/>
  <c r="AE968" i="1" s="1"/>
  <c r="AE969" i="1" s="1"/>
  <c r="AE970" i="1" s="1"/>
  <c r="AE971" i="1" s="1"/>
  <c r="AE972" i="1" s="1"/>
  <c r="AE973" i="1" s="1"/>
  <c r="AE974" i="1" s="1"/>
  <c r="AE975" i="1" s="1"/>
  <c r="AE976" i="1" s="1"/>
  <c r="AE977" i="1" s="1"/>
  <c r="AE978" i="1" s="1"/>
  <c r="AE979" i="1" s="1"/>
  <c r="AE980" i="1" s="1"/>
  <c r="AE981" i="1" s="1"/>
  <c r="AE982" i="1" s="1"/>
  <c r="AE983" i="1" s="1"/>
  <c r="AE984" i="1" s="1"/>
  <c r="AE985" i="1" s="1"/>
  <c r="AE986" i="1" s="1"/>
  <c r="AE987" i="1" s="1"/>
  <c r="AE988" i="1" s="1"/>
  <c r="AE989" i="1" s="1"/>
  <c r="AE990" i="1" s="1"/>
  <c r="AE991" i="1" s="1"/>
  <c r="AE992" i="1" s="1"/>
  <c r="AE993" i="1" s="1"/>
  <c r="AE994" i="1" s="1"/>
  <c r="AE995" i="1" s="1"/>
  <c r="AE996" i="1" s="1"/>
  <c r="AE997" i="1" s="1"/>
  <c r="AE998" i="1" s="1"/>
  <c r="AE999" i="1" s="1"/>
  <c r="AE1000" i="1" s="1"/>
  <c r="AE1001" i="1" s="1"/>
  <c r="AE1002" i="1" s="1"/>
  <c r="AE1003" i="1" s="1"/>
  <c r="AE1004" i="1" s="1"/>
  <c r="AE1005" i="1" s="1"/>
  <c r="AE1006" i="1" s="1"/>
  <c r="AE1007" i="1" s="1"/>
  <c r="AE1008" i="1" s="1"/>
  <c r="AE1009" i="1" s="1"/>
  <c r="AE1010" i="1" s="1"/>
  <c r="AE1011" i="1" s="1"/>
  <c r="AE1012" i="1" s="1"/>
  <c r="AE1013" i="1" s="1"/>
  <c r="AE1014" i="1" s="1"/>
  <c r="AE1015" i="1" s="1"/>
  <c r="AE1016" i="1" s="1"/>
  <c r="AE1017" i="1" s="1"/>
  <c r="AE1018" i="1" s="1"/>
  <c r="AE1019" i="1" s="1"/>
  <c r="AE1020" i="1" s="1"/>
  <c r="AE1021" i="1" s="1"/>
  <c r="AE1022" i="1" s="1"/>
  <c r="AE1023" i="1" s="1"/>
  <c r="AE1024" i="1" s="1"/>
  <c r="AE1025" i="1" s="1"/>
  <c r="AE1026" i="1" s="1"/>
  <c r="AE1027" i="1" s="1"/>
  <c r="AE1028" i="1" s="1"/>
  <c r="AE1029" i="1" s="1"/>
  <c r="AE1030" i="1" s="1"/>
  <c r="AE1031" i="1" s="1"/>
  <c r="AE1032" i="1" s="1"/>
  <c r="AE1033" i="1" s="1"/>
  <c r="AE1034" i="1" s="1"/>
  <c r="AE1035" i="1" s="1"/>
  <c r="AE1036" i="1" s="1"/>
  <c r="AE1037" i="1" s="1"/>
  <c r="AE1038" i="1" s="1"/>
  <c r="AE1039" i="1" s="1"/>
  <c r="AE1040" i="1" s="1"/>
  <c r="AE1041" i="1" s="1"/>
  <c r="AE1042" i="1" s="1"/>
  <c r="AE1043" i="1" s="1"/>
  <c r="AE1044" i="1" s="1"/>
  <c r="AE1045" i="1" s="1"/>
  <c r="AE1046" i="1" s="1"/>
  <c r="AE1047" i="1" s="1"/>
  <c r="AE1048" i="1" s="1"/>
  <c r="AE1049" i="1" s="1"/>
  <c r="AE1050" i="1" s="1"/>
  <c r="AE1051" i="1" s="1"/>
  <c r="AE1052" i="1" s="1"/>
  <c r="AE1053" i="1" s="1"/>
  <c r="AE1054" i="1" s="1"/>
  <c r="AE1055" i="1" s="1"/>
  <c r="AE1056" i="1" s="1"/>
  <c r="AE1057" i="1" s="1"/>
  <c r="AE1058" i="1" s="1"/>
  <c r="AE1059" i="1" s="1"/>
  <c r="AE1060" i="1" s="1"/>
  <c r="AE1061" i="1" s="1"/>
  <c r="AE1062" i="1" s="1"/>
  <c r="AE1063" i="1" s="1"/>
  <c r="AE1064" i="1" s="1"/>
  <c r="AE1065" i="1" s="1"/>
  <c r="AE1066" i="1" s="1"/>
  <c r="AE1067" i="1" s="1"/>
  <c r="AE1068" i="1" s="1"/>
  <c r="AE1069" i="1" s="1"/>
  <c r="AE1071" i="1" s="1"/>
  <c r="AE1072" i="1" s="1"/>
  <c r="AE1073" i="1" s="1"/>
  <c r="AE1074" i="1" s="1"/>
  <c r="AE1075" i="1" s="1"/>
  <c r="AE1076" i="1" s="1"/>
  <c r="AE1077" i="1" s="1"/>
  <c r="AE1078" i="1" s="1"/>
  <c r="AE1079" i="1" s="1"/>
  <c r="AE1080" i="1" s="1"/>
  <c r="AE1081" i="1" s="1"/>
  <c r="AE1082" i="1" s="1"/>
  <c r="AE1083" i="1" s="1"/>
  <c r="AE1084" i="1" s="1"/>
  <c r="AE1085" i="1" s="1"/>
  <c r="AE1086" i="1" s="1"/>
  <c r="AE1087" i="1" s="1"/>
  <c r="AE1088" i="1" s="1"/>
  <c r="AE1089" i="1" s="1"/>
  <c r="AE1090" i="1" s="1"/>
  <c r="AE1091" i="1" s="1"/>
  <c r="AE1092" i="1" s="1"/>
  <c r="AE1093" i="1" s="1"/>
  <c r="AE1094" i="1" s="1"/>
  <c r="AE1095" i="1" s="1"/>
  <c r="AE1096" i="1" s="1"/>
  <c r="AE1097" i="1" s="1"/>
  <c r="AE1098" i="1" s="1"/>
  <c r="AE1099" i="1" s="1"/>
  <c r="AE1100" i="1" s="1"/>
  <c r="AE1101" i="1" s="1"/>
  <c r="AE1102" i="1" s="1"/>
  <c r="AE1103" i="1" s="1"/>
  <c r="AE1104" i="1" s="1"/>
  <c r="AE1105" i="1" s="1"/>
  <c r="AE1106" i="1" s="1"/>
  <c r="AE1107" i="1" s="1"/>
  <c r="AE1108" i="1" s="1"/>
  <c r="AE1109" i="1" s="1"/>
  <c r="AE1110" i="1" s="1"/>
  <c r="AE1111" i="1" s="1"/>
  <c r="AE1112" i="1" s="1"/>
  <c r="AE1113" i="1" s="1"/>
  <c r="AE1114" i="1" s="1"/>
  <c r="AE1115" i="1" s="1"/>
  <c r="AE1116" i="1" s="1"/>
  <c r="AE1117" i="1" s="1"/>
  <c r="AE1118" i="1" s="1"/>
  <c r="AE1119" i="1" s="1"/>
  <c r="AE1120" i="1" s="1"/>
  <c r="AE1121" i="1" s="1"/>
  <c r="AE1122" i="1" s="1"/>
  <c r="AE1123" i="1" s="1"/>
  <c r="AE1124" i="1" s="1"/>
  <c r="AE1125" i="1" s="1"/>
  <c r="AE1126" i="1" s="1"/>
  <c r="AE1127" i="1" s="1"/>
  <c r="AE1128" i="1" s="1"/>
  <c r="AE1129" i="1" s="1"/>
  <c r="AE1130" i="1" s="1"/>
  <c r="AE1131" i="1" s="1"/>
  <c r="AE1132" i="1" s="1"/>
  <c r="AE1133" i="1" s="1"/>
  <c r="AE1134" i="1" s="1"/>
  <c r="AE1135" i="1" s="1"/>
  <c r="AE1136" i="1" s="1"/>
  <c r="AE1137" i="1" s="1"/>
  <c r="AE1138" i="1" s="1"/>
  <c r="AE1139" i="1" s="1"/>
  <c r="AE1140" i="1" s="1"/>
  <c r="AE1141" i="1" s="1"/>
  <c r="AE1142" i="1" s="1"/>
  <c r="AE1143" i="1" s="1"/>
  <c r="AE1144" i="1" s="1"/>
  <c r="AE1145" i="1" s="1"/>
  <c r="AE1146" i="1" s="1"/>
  <c r="AE1147" i="1" s="1"/>
  <c r="AE1148" i="1" s="1"/>
  <c r="AE1149" i="1" s="1"/>
  <c r="AE1150" i="1" s="1"/>
  <c r="AE1151" i="1" s="1"/>
  <c r="AE1152" i="1" s="1"/>
  <c r="AE1153" i="1" s="1"/>
  <c r="AE1154" i="1" s="1"/>
  <c r="AE1155" i="1" s="1"/>
  <c r="AE1156" i="1" s="1"/>
  <c r="AE1157" i="1" s="1"/>
  <c r="AE1158" i="1" s="1"/>
  <c r="AE1159" i="1" s="1"/>
  <c r="AE1160" i="1" s="1"/>
  <c r="AE1161" i="1" s="1"/>
  <c r="AE1162" i="1" s="1"/>
  <c r="AE1163" i="1" s="1"/>
  <c r="AE1164" i="1" s="1"/>
  <c r="AE1165" i="1" s="1"/>
  <c r="AE1166" i="1" s="1"/>
  <c r="AE1167" i="1" s="1"/>
  <c r="AE1168" i="1" s="1"/>
  <c r="AE1169" i="1" s="1"/>
  <c r="AE1170" i="1" s="1"/>
  <c r="AE1171" i="1" s="1"/>
  <c r="AE1172" i="1" s="1"/>
  <c r="AE1173" i="1" s="1"/>
  <c r="AE1174" i="1" s="1"/>
  <c r="AE1175" i="1" s="1"/>
  <c r="AE1176" i="1" s="1"/>
  <c r="AE1177" i="1" s="1"/>
  <c r="AE1178" i="1" s="1"/>
  <c r="AE1179" i="1" s="1"/>
  <c r="AE1180" i="1" s="1"/>
  <c r="AE1181" i="1" s="1"/>
  <c r="AE1182" i="1" s="1"/>
  <c r="AE1183" i="1" s="1"/>
  <c r="AE1184" i="1" s="1"/>
  <c r="AE1185" i="1" s="1"/>
  <c r="AE1186" i="1" s="1"/>
  <c r="AE1187" i="1" s="1"/>
  <c r="AE1188" i="1" s="1"/>
  <c r="AE1189" i="1" s="1"/>
  <c r="AE1190" i="1" s="1"/>
  <c r="AE1191" i="1" s="1"/>
  <c r="AE1192" i="1" s="1"/>
  <c r="AE1193" i="1" s="1"/>
  <c r="AE1194" i="1" s="1"/>
  <c r="AE1195" i="1" s="1"/>
  <c r="AE1196" i="1" s="1"/>
  <c r="AE1197" i="1" s="1"/>
  <c r="AE1198" i="1" s="1"/>
  <c r="AE1199" i="1" s="1"/>
  <c r="AE1200" i="1" s="1"/>
  <c r="AE1201" i="1" s="1"/>
  <c r="AE1202" i="1" s="1"/>
  <c r="AE1203" i="1" s="1"/>
  <c r="AE1204" i="1" s="1"/>
  <c r="AE1205" i="1" s="1"/>
  <c r="AE1206" i="1" s="1"/>
  <c r="AE1207" i="1" s="1"/>
  <c r="AE1208" i="1" s="1"/>
  <c r="AE1209" i="1" s="1"/>
  <c r="AE1210" i="1" s="1"/>
  <c r="AE1211" i="1" s="1"/>
  <c r="AE1212" i="1" s="1"/>
  <c r="AE1213" i="1" s="1"/>
  <c r="AE1214" i="1" s="1"/>
  <c r="AE1215" i="1" s="1"/>
  <c r="AE1216" i="1" s="1"/>
  <c r="AE1217" i="1" s="1"/>
  <c r="AE1218" i="1" s="1"/>
  <c r="AE1219" i="1" s="1"/>
  <c r="AE1220" i="1" s="1"/>
  <c r="AE1221" i="1" s="1"/>
  <c r="AE1222" i="1" s="1"/>
  <c r="AE1223" i="1" s="1"/>
  <c r="AE1224" i="1" s="1"/>
  <c r="AE1225" i="1" s="1"/>
  <c r="AE1226" i="1" s="1"/>
  <c r="AE1227" i="1" s="1"/>
  <c r="AE1228" i="1" s="1"/>
  <c r="AE1229" i="1" s="1"/>
  <c r="AE1230" i="1" s="1"/>
  <c r="AE1231" i="1" s="1"/>
  <c r="AE1232" i="1" s="1"/>
  <c r="AE1233" i="1" s="1"/>
  <c r="AE1234" i="1" s="1"/>
  <c r="AE1235" i="1" s="1"/>
  <c r="AE1236" i="1" s="1"/>
  <c r="AE1237" i="1" s="1"/>
  <c r="AE1238" i="1" s="1"/>
  <c r="AE1239" i="1" s="1"/>
  <c r="AE1240" i="1" s="1"/>
  <c r="AE1241" i="1" s="1"/>
  <c r="AE1242" i="1" s="1"/>
  <c r="AE1243" i="1" s="1"/>
  <c r="AE1244" i="1" s="1"/>
  <c r="AE1245" i="1" s="1"/>
  <c r="AE1246" i="1" s="1"/>
  <c r="AE1247" i="1" s="1"/>
  <c r="AE1248" i="1" s="1"/>
  <c r="AE1249" i="1" s="1"/>
  <c r="AE1250" i="1" s="1"/>
  <c r="AE1251" i="1" s="1"/>
  <c r="AE1252" i="1" s="1"/>
  <c r="AE1253" i="1" s="1"/>
  <c r="AE1254" i="1" s="1"/>
  <c r="AE1255" i="1" s="1"/>
  <c r="AE1256" i="1" s="1"/>
  <c r="AE1257" i="1" s="1"/>
  <c r="AE1258" i="1" s="1"/>
  <c r="AE1259" i="1" s="1"/>
  <c r="AE1260" i="1" s="1"/>
  <c r="AE1261" i="1" s="1"/>
  <c r="AE1262" i="1" s="1"/>
  <c r="AE1263" i="1" s="1"/>
  <c r="AE1264" i="1" s="1"/>
  <c r="AE1265" i="1" s="1"/>
  <c r="AE1266" i="1" s="1"/>
  <c r="AE1267" i="1" s="1"/>
  <c r="AE1268" i="1" s="1"/>
  <c r="AE1269" i="1" s="1"/>
  <c r="AE1270" i="1" s="1"/>
  <c r="AE1271" i="1" s="1"/>
  <c r="AE1272" i="1" s="1"/>
  <c r="AE1273" i="1" s="1"/>
  <c r="AE1274" i="1" s="1"/>
  <c r="AE1275" i="1" s="1"/>
  <c r="AE1276" i="1" s="1"/>
  <c r="AE1277" i="1" s="1"/>
  <c r="AE1278" i="1" s="1"/>
  <c r="AE1279" i="1" s="1"/>
  <c r="AE1280" i="1" s="1"/>
  <c r="AE1281" i="1" s="1"/>
  <c r="AE1282" i="1" s="1"/>
  <c r="AE1283" i="1" s="1"/>
  <c r="AE1284" i="1" s="1"/>
  <c r="AE1285" i="1" s="1"/>
  <c r="AE1286" i="1" s="1"/>
  <c r="AE1287" i="1" s="1"/>
  <c r="AE1288" i="1" s="1"/>
  <c r="AE1289" i="1" s="1"/>
  <c r="AE1290" i="1" s="1"/>
  <c r="AE1291" i="1" s="1"/>
  <c r="AE1292" i="1" s="1"/>
  <c r="AE1293" i="1" s="1"/>
  <c r="AE1294" i="1" s="1"/>
  <c r="AE1295" i="1" s="1"/>
  <c r="AE1296" i="1" s="1"/>
  <c r="AE1297" i="1" s="1"/>
  <c r="AE1298" i="1" s="1"/>
  <c r="AE1299" i="1" s="1"/>
  <c r="AE1300" i="1" s="1"/>
  <c r="AE1301" i="1" s="1"/>
  <c r="AE1302" i="1" s="1"/>
  <c r="AE1303" i="1" s="1"/>
  <c r="AE1304" i="1" s="1"/>
  <c r="AE1305" i="1" s="1"/>
  <c r="AE1306" i="1" s="1"/>
  <c r="AE1307" i="1" s="1"/>
  <c r="AE1308" i="1" s="1"/>
  <c r="AE1309" i="1" s="1"/>
  <c r="AE1310" i="1" s="1"/>
  <c r="AE1311" i="1" s="1"/>
  <c r="AE1312" i="1" s="1"/>
  <c r="AE1313" i="1" s="1"/>
  <c r="AE1314" i="1" s="1"/>
  <c r="AE1315" i="1" s="1"/>
  <c r="AE1316" i="1" s="1"/>
  <c r="AE1317" i="1" s="1"/>
  <c r="AE1318" i="1" s="1"/>
  <c r="AE1319" i="1" s="1"/>
  <c r="AE1320" i="1" s="1"/>
  <c r="AE1321" i="1" s="1"/>
  <c r="AE1322" i="1" s="1"/>
  <c r="AE1323" i="1" s="1"/>
  <c r="AE1324" i="1" s="1"/>
  <c r="AE1325" i="1" s="1"/>
  <c r="AE1326" i="1" s="1"/>
  <c r="AE1327" i="1" s="1"/>
  <c r="AE1328" i="1" s="1"/>
  <c r="AE1329" i="1" s="1"/>
  <c r="AE1330" i="1" s="1"/>
  <c r="AE1331" i="1" s="1"/>
  <c r="AE1332" i="1" s="1"/>
  <c r="AE1333" i="1" s="1"/>
  <c r="AE1334" i="1" s="1"/>
  <c r="AE1335" i="1" s="1"/>
  <c r="AE1336" i="1" s="1"/>
  <c r="AE1337" i="1" s="1"/>
  <c r="AE1338" i="1" s="1"/>
  <c r="AE1339" i="1" s="1"/>
  <c r="AE1340" i="1" s="1"/>
  <c r="AE1341" i="1" s="1"/>
  <c r="AE1342" i="1" s="1"/>
  <c r="AE1343" i="1" s="1"/>
  <c r="AE1344" i="1" s="1"/>
  <c r="AE1345" i="1" s="1"/>
  <c r="AE1346" i="1" s="1"/>
  <c r="AE1347" i="1" s="1"/>
  <c r="AE1348" i="1" s="1"/>
  <c r="AE1349" i="1" s="1"/>
  <c r="AE1350" i="1" s="1"/>
  <c r="AE1351" i="1" s="1"/>
  <c r="AE1352" i="1" s="1"/>
  <c r="AE1353" i="1" s="1"/>
  <c r="AE1354" i="1" s="1"/>
  <c r="AE1355" i="1" s="1"/>
  <c r="AE1356" i="1" s="1"/>
  <c r="AE1357" i="1" s="1"/>
  <c r="AE1358" i="1" s="1"/>
  <c r="AE1359" i="1" s="1"/>
  <c r="AE1360" i="1" s="1"/>
  <c r="AE1361" i="1" s="1"/>
  <c r="AE1362" i="1" s="1"/>
  <c r="AE1363" i="1" s="1"/>
  <c r="AE1364" i="1" s="1"/>
  <c r="AE1365" i="1" s="1"/>
  <c r="AE1366" i="1" s="1"/>
  <c r="AE1367" i="1" s="1"/>
  <c r="AE1368" i="1" s="1"/>
  <c r="AE1369" i="1" s="1"/>
  <c r="AE1370" i="1" s="1"/>
  <c r="AE1371" i="1" s="1"/>
  <c r="AE1372" i="1" s="1"/>
  <c r="AE1373" i="1" s="1"/>
  <c r="AE1374" i="1" s="1"/>
  <c r="AE1375" i="1" s="1"/>
  <c r="AE1376" i="1" s="1"/>
  <c r="AE1377" i="1" s="1"/>
  <c r="AE1378" i="1" s="1"/>
  <c r="AE1379" i="1" s="1"/>
  <c r="AE1380" i="1" s="1"/>
  <c r="AE1381" i="1" s="1"/>
  <c r="AE1382" i="1" s="1"/>
  <c r="AE1383" i="1" s="1"/>
  <c r="AE1384" i="1" s="1"/>
  <c r="AE1385" i="1" s="1"/>
  <c r="AE1386" i="1" s="1"/>
  <c r="AE1387" i="1" s="1"/>
  <c r="AE1388" i="1" s="1"/>
  <c r="AE1389" i="1" s="1"/>
  <c r="AE1390" i="1" s="1"/>
  <c r="AE1391" i="1" s="1"/>
  <c r="AE1392" i="1" s="1"/>
  <c r="AE1393" i="1" s="1"/>
  <c r="AE1394" i="1" s="1"/>
  <c r="AE1395" i="1" s="1"/>
  <c r="AE1396" i="1" s="1"/>
  <c r="AE1397" i="1" s="1"/>
  <c r="AE1398" i="1" s="1"/>
  <c r="AE1399" i="1" s="1"/>
  <c r="AE1400" i="1" s="1"/>
  <c r="AE1401" i="1" s="1"/>
  <c r="AE1402" i="1" s="1"/>
  <c r="AE1403" i="1" s="1"/>
  <c r="AE1404" i="1" s="1"/>
  <c r="AE1405" i="1" s="1"/>
  <c r="AE1406" i="1" s="1"/>
  <c r="AE1407" i="1" s="1"/>
  <c r="AE1408" i="1" s="1"/>
  <c r="AE1409" i="1" s="1"/>
  <c r="AE1410" i="1" s="1"/>
  <c r="AE1411" i="1" s="1"/>
  <c r="AE1412" i="1" s="1"/>
  <c r="AE1413" i="1" s="1"/>
  <c r="AE1414" i="1" s="1"/>
  <c r="AE1415" i="1" s="1"/>
  <c r="AE1416" i="1" s="1"/>
  <c r="AE1417" i="1" s="1"/>
  <c r="AE1418" i="1" s="1"/>
  <c r="AE1419" i="1" s="1"/>
  <c r="AE1420" i="1" s="1"/>
  <c r="AE1421" i="1" s="1"/>
  <c r="AE1422" i="1" s="1"/>
  <c r="AE1423" i="1" s="1"/>
  <c r="AE1424" i="1" s="1"/>
  <c r="AE1425" i="1" s="1"/>
  <c r="AE1426" i="1" s="1"/>
  <c r="AE1427" i="1" s="1"/>
  <c r="AE1428" i="1" s="1"/>
  <c r="AE1429" i="1" s="1"/>
  <c r="AE1430" i="1" s="1"/>
  <c r="AE1431" i="1" s="1"/>
  <c r="AE1432" i="1" s="1"/>
  <c r="AE1433" i="1" s="1"/>
  <c r="AE1434" i="1" s="1"/>
  <c r="AE1435" i="1" s="1"/>
  <c r="AE1436" i="1" s="1"/>
  <c r="AE1437" i="1" s="1"/>
  <c r="AE1438" i="1" s="1"/>
  <c r="AE1439" i="1" s="1"/>
  <c r="AE1440" i="1" s="1"/>
  <c r="AE1441" i="1" s="1"/>
  <c r="AE1442" i="1" s="1"/>
  <c r="AE1443" i="1" s="1"/>
  <c r="AE1444" i="1" s="1"/>
  <c r="AE1445" i="1" s="1"/>
  <c r="AE1446" i="1" s="1"/>
  <c r="AE1447" i="1" s="1"/>
  <c r="AE1448" i="1" s="1"/>
  <c r="AE1449" i="1" s="1"/>
  <c r="AE1450" i="1" s="1"/>
  <c r="AE1451" i="1" s="1"/>
  <c r="AE1452" i="1" s="1"/>
  <c r="AE1453" i="1" s="1"/>
  <c r="AE1454" i="1" s="1"/>
  <c r="AE1455" i="1" s="1"/>
  <c r="AE1456" i="1" s="1"/>
  <c r="AE1457" i="1" s="1"/>
  <c r="AE1458" i="1" s="1"/>
  <c r="AE1459" i="1" s="1"/>
  <c r="AE1460" i="1" s="1"/>
  <c r="AE1461" i="1" s="1"/>
  <c r="AE1462" i="1" s="1"/>
  <c r="AE1463" i="1" s="1"/>
  <c r="AE1464" i="1" s="1"/>
  <c r="AE1465" i="1" s="1"/>
  <c r="AE1466" i="1" s="1"/>
  <c r="AE1467" i="1" s="1"/>
  <c r="AE1468" i="1" s="1"/>
  <c r="AE1469" i="1" s="1"/>
  <c r="AE1470" i="1" s="1"/>
  <c r="AE1471" i="1" s="1"/>
  <c r="AE1472" i="1" s="1"/>
  <c r="AE1473" i="1" s="1"/>
  <c r="AE1474" i="1" s="1"/>
  <c r="AE1475" i="1" s="1"/>
  <c r="AE1476" i="1" s="1"/>
  <c r="AE1477" i="1" s="1"/>
  <c r="AE1478" i="1" s="1"/>
  <c r="AE1479" i="1" s="1"/>
  <c r="AE1480" i="1" s="1"/>
  <c r="AE1481" i="1" s="1"/>
  <c r="AE1482" i="1" s="1"/>
  <c r="AE1483" i="1" s="1"/>
  <c r="AE1484" i="1" s="1"/>
  <c r="AE1485" i="1" s="1"/>
  <c r="AE1486" i="1" s="1"/>
  <c r="AE1487" i="1" s="1"/>
  <c r="AE1488" i="1" s="1"/>
  <c r="AE1489" i="1" s="1"/>
  <c r="AE1490" i="1" s="1"/>
  <c r="AE1491" i="1" s="1"/>
  <c r="AE1492" i="1" s="1"/>
  <c r="AE1493" i="1" s="1"/>
  <c r="AE1494" i="1" s="1"/>
  <c r="AE1495" i="1" s="1"/>
  <c r="AE1496" i="1" s="1"/>
  <c r="AE1497" i="1" s="1"/>
  <c r="AE1498" i="1" s="1"/>
  <c r="AE1499" i="1" s="1"/>
  <c r="AE1500" i="1" s="1"/>
  <c r="AE1501" i="1" s="1"/>
  <c r="AE1502" i="1" s="1"/>
  <c r="AE1503" i="1" s="1"/>
  <c r="AE1504" i="1" s="1"/>
  <c r="AE1505" i="1" s="1"/>
  <c r="AE1506" i="1" s="1"/>
  <c r="AE1507" i="1" s="1"/>
  <c r="AE1508" i="1" s="1"/>
  <c r="AE1509" i="1" s="1"/>
  <c r="AE1510" i="1" s="1"/>
  <c r="AE1511" i="1" s="1"/>
  <c r="AE1512" i="1" s="1"/>
  <c r="AE1513" i="1" s="1"/>
  <c r="AE1514" i="1" s="1"/>
  <c r="AE1515" i="1" s="1"/>
  <c r="AE1516" i="1" s="1"/>
  <c r="AE1517" i="1" s="1"/>
  <c r="AE1518" i="1" s="1"/>
  <c r="AE1519" i="1" s="1"/>
  <c r="AE1520" i="1" s="1"/>
  <c r="AE1521" i="1" s="1"/>
  <c r="AE1522" i="1" s="1"/>
  <c r="AE1523" i="1" s="1"/>
  <c r="AE1524" i="1" s="1"/>
  <c r="AE1525" i="1" s="1"/>
  <c r="AE1526" i="1" s="1"/>
  <c r="AE1527" i="1" s="1"/>
  <c r="AE1528" i="1" s="1"/>
  <c r="AE1529" i="1" s="1"/>
  <c r="AE1530" i="1" s="1"/>
  <c r="AE1531" i="1" s="1"/>
  <c r="AE1532" i="1" s="1"/>
  <c r="AE1533" i="1" s="1"/>
  <c r="AE1534" i="1" s="1"/>
  <c r="AE1535" i="1" s="1"/>
  <c r="AE1536" i="1" s="1"/>
  <c r="AE1537" i="1" s="1"/>
  <c r="AE1538" i="1" s="1"/>
  <c r="AE1539" i="1" s="1"/>
  <c r="AE1540" i="1" s="1"/>
  <c r="AE1541" i="1" s="1"/>
  <c r="AE1542" i="1" s="1"/>
  <c r="AE1543" i="1" s="1"/>
  <c r="AE1544" i="1" s="1"/>
  <c r="AE1545" i="1" s="1"/>
  <c r="AE1546" i="1" s="1"/>
  <c r="AE1547" i="1" s="1"/>
  <c r="AE1548" i="1" s="1"/>
  <c r="AE1549" i="1" s="1"/>
  <c r="AE1550" i="1" s="1"/>
  <c r="AE1551" i="1" s="1"/>
  <c r="AE1552" i="1" s="1"/>
  <c r="AE1553" i="1" s="1"/>
  <c r="AE1554" i="1" s="1"/>
  <c r="AE1555" i="1" s="1"/>
  <c r="AE1556" i="1" s="1"/>
  <c r="AE1557" i="1" s="1"/>
  <c r="AE1558" i="1" s="1"/>
  <c r="AE1559" i="1" s="1"/>
  <c r="AE1560" i="1" s="1"/>
  <c r="AE1561" i="1" s="1"/>
  <c r="AE1562" i="1" s="1"/>
  <c r="AE1563" i="1" s="1"/>
  <c r="AE1564" i="1" s="1"/>
  <c r="AE1565" i="1" s="1"/>
  <c r="AE1566" i="1" s="1"/>
  <c r="AE1567" i="1" s="1"/>
  <c r="AE1568" i="1" s="1"/>
  <c r="AE1569" i="1" s="1"/>
  <c r="AE1570" i="1" s="1"/>
  <c r="AE1571" i="1" s="1"/>
  <c r="AE1572" i="1" s="1"/>
  <c r="AE1573" i="1" s="1"/>
  <c r="AE1574" i="1" s="1"/>
  <c r="AE1575" i="1" s="1"/>
  <c r="AE1576" i="1" s="1"/>
  <c r="AE1577" i="1" s="1"/>
  <c r="AE1578" i="1" s="1"/>
  <c r="AE1579" i="1" s="1"/>
  <c r="AE1580" i="1" s="1"/>
  <c r="AE1581" i="1" s="1"/>
  <c r="AE1582" i="1" s="1"/>
  <c r="AE1583" i="1" s="1"/>
  <c r="AE1584" i="1" s="1"/>
  <c r="AE1585" i="1" s="1"/>
  <c r="AE1586" i="1" s="1"/>
  <c r="AE1587" i="1" s="1"/>
  <c r="AE1588" i="1" s="1"/>
  <c r="AE1589" i="1" s="1"/>
  <c r="AE1590" i="1" s="1"/>
  <c r="AE1591" i="1" s="1"/>
  <c r="AE1592" i="1" s="1"/>
  <c r="AE1593" i="1" s="1"/>
  <c r="AE1594" i="1" s="1"/>
  <c r="AE1595" i="1" s="1"/>
  <c r="AE1596" i="1" s="1"/>
  <c r="AE1597" i="1" s="1"/>
  <c r="AE1598" i="1" s="1"/>
  <c r="AE1599" i="1" s="1"/>
  <c r="AE1600" i="1" s="1"/>
  <c r="AE1601" i="1" s="1"/>
  <c r="AE1602" i="1" s="1"/>
  <c r="AE1603" i="1" s="1"/>
  <c r="AE1604" i="1" s="1"/>
  <c r="AE1605" i="1" s="1"/>
  <c r="AE1606" i="1" s="1"/>
  <c r="AE1607" i="1" s="1"/>
  <c r="AE1608" i="1" s="1"/>
  <c r="AE1609" i="1" s="1"/>
  <c r="AE1610" i="1" s="1"/>
  <c r="AE1611" i="1" s="1"/>
  <c r="AE1612" i="1" s="1"/>
  <c r="AE1613" i="1" s="1"/>
  <c r="AE1614" i="1" s="1"/>
  <c r="AE1615" i="1" s="1"/>
  <c r="AE1616" i="1" s="1"/>
  <c r="AE1617" i="1" s="1"/>
  <c r="AE1618" i="1" s="1"/>
  <c r="AE1619" i="1" s="1"/>
  <c r="AE1620" i="1" s="1"/>
  <c r="AE1621" i="1" s="1"/>
  <c r="AE1622" i="1" s="1"/>
  <c r="AE1623" i="1" s="1"/>
  <c r="AE1624" i="1" s="1"/>
  <c r="AE1625" i="1" s="1"/>
  <c r="AE1626" i="1" s="1"/>
  <c r="AE1627" i="1" s="1"/>
  <c r="AE1628" i="1" s="1"/>
  <c r="AE1629" i="1" s="1"/>
  <c r="AE1630" i="1" s="1"/>
  <c r="AE1631" i="1" s="1"/>
  <c r="AE1632" i="1" s="1"/>
  <c r="AE1633" i="1" s="1"/>
  <c r="AE1634" i="1" s="1"/>
  <c r="AE1635" i="1" s="1"/>
  <c r="AE1636" i="1" s="1"/>
  <c r="AE1637" i="1" s="1"/>
  <c r="AE1638" i="1" s="1"/>
  <c r="AE1639" i="1" s="1"/>
  <c r="AE1640" i="1" s="1"/>
  <c r="AE1641" i="1" s="1"/>
  <c r="AE1642" i="1" s="1"/>
  <c r="AE1643" i="1" s="1"/>
  <c r="AE1644" i="1" s="1"/>
  <c r="AE1645" i="1" s="1"/>
  <c r="AE1646" i="1" s="1"/>
  <c r="AE1647" i="1" s="1"/>
  <c r="AE1648" i="1" s="1"/>
  <c r="AE1649" i="1" s="1"/>
  <c r="AE1650" i="1" s="1"/>
  <c r="AE1651" i="1" s="1"/>
  <c r="AE1652" i="1" s="1"/>
  <c r="AE1653" i="1" s="1"/>
  <c r="AE1654" i="1" s="1"/>
  <c r="AE1655" i="1" s="1"/>
  <c r="AE1656" i="1" s="1"/>
  <c r="AE1657" i="1" s="1"/>
  <c r="AE1658" i="1" s="1"/>
  <c r="AE1659" i="1" s="1"/>
  <c r="AE1660" i="1" s="1"/>
  <c r="AE1661" i="1" s="1"/>
  <c r="AE1662" i="1" s="1"/>
  <c r="AE1663" i="1" s="1"/>
  <c r="AE1664" i="1" s="1"/>
  <c r="AE1665" i="1" s="1"/>
  <c r="AE1666" i="1" s="1"/>
  <c r="AE1667" i="1" s="1"/>
  <c r="AE1668" i="1" s="1"/>
  <c r="AE1669" i="1" s="1"/>
  <c r="AE1670" i="1" s="1"/>
  <c r="AE1671" i="1" s="1"/>
  <c r="AE1672" i="1" s="1"/>
  <c r="AE1673" i="1" s="1"/>
  <c r="AE1674" i="1" s="1"/>
  <c r="AE1675" i="1" s="1"/>
  <c r="AE1676" i="1" s="1"/>
  <c r="AE1677" i="1" s="1"/>
  <c r="AE1678" i="1" s="1"/>
  <c r="AE1679" i="1" s="1"/>
  <c r="AE1680" i="1" s="1"/>
  <c r="AE1681" i="1" s="1"/>
  <c r="AE1682" i="1" s="1"/>
  <c r="AE1683" i="1" s="1"/>
  <c r="AE1684" i="1" s="1"/>
  <c r="AE1685" i="1" s="1"/>
  <c r="AE1686" i="1" s="1"/>
  <c r="AE1687" i="1" s="1"/>
  <c r="AE1688" i="1" s="1"/>
  <c r="AE1689" i="1" s="1"/>
  <c r="AE1690" i="1" s="1"/>
  <c r="AE1691" i="1" s="1"/>
  <c r="AE1692" i="1" s="1"/>
  <c r="AE1693" i="1" s="1"/>
  <c r="AE1694" i="1" s="1"/>
  <c r="AE1695" i="1" s="1"/>
  <c r="AE1696" i="1" s="1"/>
  <c r="AE1697" i="1" s="1"/>
  <c r="AE1698" i="1" s="1"/>
  <c r="AE1699" i="1" s="1"/>
  <c r="AE1700" i="1" s="1"/>
  <c r="AE1701" i="1" s="1"/>
  <c r="AE1702" i="1" s="1"/>
  <c r="AE1703" i="1" s="1"/>
  <c r="AE1704" i="1" s="1"/>
  <c r="AE1705" i="1" s="1"/>
  <c r="AE1706" i="1" s="1"/>
  <c r="AE1707" i="1" s="1"/>
  <c r="AE1708" i="1" s="1"/>
  <c r="AE1709" i="1" s="1"/>
  <c r="AE1710" i="1" s="1"/>
  <c r="AE1711" i="1" s="1"/>
  <c r="AE1712" i="1" s="1"/>
  <c r="AE1713" i="1" s="1"/>
  <c r="AE1714" i="1" s="1"/>
  <c r="AE1715" i="1" s="1"/>
  <c r="AE1716" i="1" s="1"/>
  <c r="AE1717" i="1" s="1"/>
  <c r="AE1718" i="1" s="1"/>
  <c r="AE1719" i="1" s="1"/>
  <c r="AE1720" i="1" s="1"/>
  <c r="AE1721" i="1" s="1"/>
  <c r="AE1722" i="1" s="1"/>
  <c r="AE1723" i="1" s="1"/>
  <c r="AE1724" i="1" s="1"/>
  <c r="AE1725" i="1" s="1"/>
  <c r="AE1726" i="1" s="1"/>
  <c r="AE1727" i="1" s="1"/>
  <c r="AE1728" i="1" s="1"/>
  <c r="AE1729" i="1" s="1"/>
  <c r="AE1730" i="1" s="1"/>
  <c r="AE1731" i="1" s="1"/>
  <c r="AE1732" i="1" s="1"/>
  <c r="AE1733" i="1" s="1"/>
  <c r="AE1734" i="1" s="1"/>
  <c r="AE1735" i="1" s="1"/>
  <c r="AE1736" i="1" s="1"/>
  <c r="AE1737" i="1" s="1"/>
  <c r="AE1738" i="1" s="1"/>
  <c r="AE1739" i="1" s="1"/>
  <c r="AE1740" i="1" s="1"/>
  <c r="AE1741" i="1" s="1"/>
  <c r="AE1742" i="1" s="1"/>
  <c r="AE1743" i="1" s="1"/>
  <c r="AE1744" i="1" s="1"/>
  <c r="AE1745" i="1" s="1"/>
  <c r="AE1746" i="1" s="1"/>
  <c r="AE1747" i="1" s="1"/>
  <c r="AE1748" i="1" s="1"/>
  <c r="AE1749" i="1" s="1"/>
  <c r="AE1750" i="1" s="1"/>
  <c r="AE1751" i="1" s="1"/>
  <c r="AE1752" i="1" s="1"/>
  <c r="AE1753" i="1" s="1"/>
  <c r="AE1754" i="1" s="1"/>
  <c r="AE1755" i="1" s="1"/>
  <c r="AE1756" i="1" s="1"/>
  <c r="AE1757" i="1" s="1"/>
  <c r="AE1758" i="1" s="1"/>
  <c r="AE1759" i="1" s="1"/>
  <c r="AE1760" i="1" s="1"/>
  <c r="AE1761" i="1" s="1"/>
  <c r="AE1762" i="1" s="1"/>
  <c r="AE1763" i="1" s="1"/>
  <c r="AE1764" i="1" s="1"/>
  <c r="AE1765" i="1" s="1"/>
  <c r="AE1766" i="1" s="1"/>
  <c r="AE1767" i="1" s="1"/>
  <c r="AE1768" i="1" s="1"/>
  <c r="AE1769" i="1" s="1"/>
  <c r="AE1770" i="1" s="1"/>
  <c r="AE1771" i="1" s="1"/>
  <c r="AE1772" i="1" s="1"/>
  <c r="AE1773" i="1" s="1"/>
  <c r="AE1774" i="1" s="1"/>
  <c r="AE1775" i="1" s="1"/>
  <c r="AE1776" i="1" s="1"/>
  <c r="AE1777" i="1" s="1"/>
  <c r="AE1778" i="1" s="1"/>
  <c r="AE1779" i="1" s="1"/>
  <c r="AE1780" i="1" s="1"/>
  <c r="AE1781" i="1" s="1"/>
  <c r="AE1782" i="1" s="1"/>
  <c r="AE1783" i="1" s="1"/>
  <c r="AE1784" i="1" s="1"/>
  <c r="AE1785" i="1" s="1"/>
  <c r="AE1786" i="1" s="1"/>
  <c r="AE1787" i="1" s="1"/>
  <c r="AE1788" i="1" s="1"/>
  <c r="AE1789" i="1" s="1"/>
  <c r="AE1790" i="1" s="1"/>
  <c r="AE1791" i="1" s="1"/>
  <c r="AE1792" i="1" s="1"/>
  <c r="AE1793" i="1" s="1"/>
  <c r="AE1794" i="1" s="1"/>
  <c r="AE1795" i="1" s="1"/>
  <c r="AE1796" i="1" s="1"/>
  <c r="AE1797" i="1" s="1"/>
  <c r="AE1798" i="1" s="1"/>
  <c r="AE1799" i="1" s="1"/>
  <c r="AE1800" i="1" s="1"/>
  <c r="AE1801" i="1" s="1"/>
  <c r="AE1802" i="1" s="1"/>
  <c r="AE1803" i="1" s="1"/>
  <c r="AE1804" i="1" s="1"/>
  <c r="AE1805" i="1" s="1"/>
  <c r="AE1806" i="1" s="1"/>
  <c r="AE1807" i="1" s="1"/>
  <c r="AE1808" i="1" s="1"/>
  <c r="AE1809" i="1" s="1"/>
  <c r="AE1810" i="1" s="1"/>
  <c r="AE1811" i="1" s="1"/>
  <c r="AE1812" i="1" s="1"/>
  <c r="AE1813" i="1" s="1"/>
  <c r="AE1814" i="1" s="1"/>
  <c r="AE1815" i="1" s="1"/>
  <c r="AE1816" i="1" s="1"/>
  <c r="AE1817" i="1" s="1"/>
  <c r="AE1818" i="1" s="1"/>
  <c r="AE1819" i="1" s="1"/>
  <c r="AE1820" i="1" s="1"/>
  <c r="AE1821" i="1" s="1"/>
  <c r="AE1822" i="1" s="1"/>
  <c r="AE1823" i="1" s="1"/>
  <c r="AE1824" i="1" s="1"/>
  <c r="AE1825" i="1" s="1"/>
  <c r="AE1826" i="1" s="1"/>
  <c r="AE1827" i="1" s="1"/>
  <c r="AE1828" i="1" s="1"/>
  <c r="AE1829" i="1" s="1"/>
  <c r="AE1830" i="1" s="1"/>
  <c r="AE1831" i="1" s="1"/>
  <c r="AE1832" i="1" s="1"/>
  <c r="AE1833" i="1" s="1"/>
  <c r="AE1834" i="1" s="1"/>
  <c r="AE1835" i="1" s="1"/>
  <c r="AE1836" i="1" s="1"/>
  <c r="AE1837" i="1" s="1"/>
  <c r="AE1838" i="1" s="1"/>
  <c r="AE1839" i="1" s="1"/>
  <c r="AE1840" i="1" s="1"/>
  <c r="AE1841" i="1" s="1"/>
  <c r="AE1842" i="1" s="1"/>
  <c r="AE1843" i="1" s="1"/>
  <c r="AE1844" i="1" s="1"/>
  <c r="AE1845" i="1" s="1"/>
  <c r="AE1846" i="1" s="1"/>
  <c r="AE1847" i="1" s="1"/>
  <c r="AE1848" i="1" s="1"/>
  <c r="AE1849" i="1" s="1"/>
  <c r="AE1850" i="1" s="1"/>
  <c r="AE1851" i="1" s="1"/>
  <c r="AE1852" i="1" s="1"/>
  <c r="AE1853" i="1" s="1"/>
  <c r="AE1854" i="1" s="1"/>
  <c r="AE1855" i="1" s="1"/>
  <c r="AE1856" i="1" s="1"/>
  <c r="AE1857" i="1" s="1"/>
  <c r="AE1858" i="1" s="1"/>
  <c r="AE1859" i="1" s="1"/>
  <c r="AE1860" i="1" s="1"/>
  <c r="AE1861" i="1" s="1"/>
  <c r="AE1862" i="1" s="1"/>
  <c r="AE1863" i="1" s="1"/>
  <c r="AE1864" i="1" s="1"/>
  <c r="AE1865" i="1" s="1"/>
  <c r="AE1866" i="1" s="1"/>
  <c r="AE1867" i="1" s="1"/>
  <c r="AE1868" i="1" s="1"/>
  <c r="AE1869" i="1" s="1"/>
  <c r="AE1870" i="1" s="1"/>
  <c r="AE1871" i="1" s="1"/>
  <c r="AE1872" i="1" s="1"/>
  <c r="AE1873" i="1" s="1"/>
  <c r="AE1874" i="1" s="1"/>
  <c r="AE1875" i="1" s="1"/>
  <c r="AE1876" i="1" s="1"/>
  <c r="AE1877" i="1" s="1"/>
  <c r="AE1878" i="1" s="1"/>
  <c r="AE1879" i="1" s="1"/>
  <c r="AE1880" i="1" s="1"/>
  <c r="AE1881" i="1" s="1"/>
  <c r="AE1882" i="1" s="1"/>
  <c r="AE1883" i="1" s="1"/>
  <c r="AE1884" i="1" s="1"/>
  <c r="AE1885" i="1" s="1"/>
  <c r="AE1886" i="1" s="1"/>
  <c r="AE1887" i="1" s="1"/>
  <c r="AE1888" i="1" s="1"/>
  <c r="AE1889" i="1" s="1"/>
  <c r="AE1890" i="1" s="1"/>
  <c r="AE1891" i="1" s="1"/>
  <c r="AE1892" i="1" s="1"/>
  <c r="AE1893" i="1" s="1"/>
  <c r="AE1894" i="1" s="1"/>
  <c r="AE1895" i="1" s="1"/>
  <c r="AE1896" i="1" s="1"/>
  <c r="AE1897" i="1" s="1"/>
  <c r="AE1898" i="1" s="1"/>
  <c r="AE1899" i="1" s="1"/>
  <c r="AE1900" i="1" s="1"/>
  <c r="AE1901" i="1" s="1"/>
  <c r="AE1902" i="1" s="1"/>
  <c r="AE1903" i="1" s="1"/>
  <c r="AE1904" i="1" s="1"/>
  <c r="AE1905" i="1" s="1"/>
  <c r="AE1906" i="1" s="1"/>
  <c r="AE1907" i="1" s="1"/>
  <c r="AE1908" i="1" s="1"/>
  <c r="AE1909" i="1" s="1"/>
  <c r="AE1910" i="1" s="1"/>
  <c r="AE1911" i="1" s="1"/>
  <c r="AE1912" i="1" s="1"/>
  <c r="AE1913" i="1" s="1"/>
  <c r="AE1914" i="1" s="1"/>
  <c r="AE1915" i="1" s="1"/>
  <c r="AE1916" i="1" s="1"/>
  <c r="AE1917" i="1" s="1"/>
  <c r="AE1918" i="1" s="1"/>
  <c r="AE1919" i="1" s="1"/>
  <c r="AE1920" i="1" s="1"/>
  <c r="AE1921" i="1" s="1"/>
  <c r="AE1922" i="1" s="1"/>
  <c r="AE1923" i="1" s="1"/>
  <c r="AE1924" i="1" s="1"/>
  <c r="AE1925" i="1" s="1"/>
  <c r="AE1926" i="1" s="1"/>
  <c r="AE1927" i="1" s="1"/>
  <c r="AE1928" i="1" s="1"/>
  <c r="AE1929" i="1" s="1"/>
  <c r="AE1930" i="1" s="1"/>
  <c r="AE1931" i="1" s="1"/>
  <c r="AE1932" i="1" s="1"/>
  <c r="AE1933" i="1" s="1"/>
  <c r="AE1934" i="1" s="1"/>
  <c r="AE1935" i="1" s="1"/>
  <c r="AE1936" i="1" s="1"/>
  <c r="AE1937" i="1" s="1"/>
  <c r="AE1938" i="1" s="1"/>
  <c r="AE1939" i="1" s="1"/>
  <c r="AE1940" i="1" s="1"/>
  <c r="AE1941" i="1" s="1"/>
  <c r="AE1942" i="1" s="1"/>
  <c r="AE1943" i="1" s="1"/>
  <c r="AE1944" i="1" s="1"/>
  <c r="AE1945" i="1" s="1"/>
  <c r="AE1946" i="1" s="1"/>
  <c r="AE1947" i="1" s="1"/>
  <c r="AE1948" i="1" s="1"/>
  <c r="AE1949" i="1" s="1"/>
  <c r="AE1950" i="1" s="1"/>
  <c r="AE1951" i="1" s="1"/>
  <c r="AE1952" i="1" s="1"/>
  <c r="AE1953" i="1" s="1"/>
  <c r="AE1954" i="1" s="1"/>
  <c r="AE1955" i="1" s="1"/>
  <c r="AE1956" i="1" s="1"/>
  <c r="AE1957" i="1" s="1"/>
  <c r="AE1958" i="1" s="1"/>
  <c r="AE1959" i="1" s="1"/>
  <c r="AE1960" i="1" s="1"/>
  <c r="AE1961" i="1" s="1"/>
  <c r="AE1962" i="1" s="1"/>
  <c r="AE1963" i="1" s="1"/>
  <c r="AE1964" i="1" s="1"/>
  <c r="AE1965" i="1" s="1"/>
  <c r="AE1966" i="1" s="1"/>
  <c r="AE1967" i="1" s="1"/>
  <c r="AE1968" i="1" s="1"/>
  <c r="AE1969" i="1" s="1"/>
  <c r="AE1970" i="1" s="1"/>
  <c r="AE1971" i="1" s="1"/>
  <c r="AE1972" i="1" s="1"/>
  <c r="AE1973" i="1" s="1"/>
  <c r="AE1974" i="1" s="1"/>
  <c r="AE1975" i="1" s="1"/>
  <c r="AE1976" i="1" s="1"/>
  <c r="AE1977" i="1" s="1"/>
  <c r="AE1978" i="1" s="1"/>
  <c r="AE1979" i="1" s="1"/>
  <c r="AE1980" i="1" s="1"/>
  <c r="AE1981" i="1" s="1"/>
  <c r="AE1982" i="1" s="1"/>
  <c r="AE1983" i="1" s="1"/>
  <c r="AE1984" i="1" s="1"/>
  <c r="AE1985" i="1" s="1"/>
  <c r="AE1986" i="1" s="1"/>
  <c r="AE1987" i="1" s="1"/>
  <c r="AE1988" i="1" s="1"/>
  <c r="AE1989" i="1" s="1"/>
  <c r="AE1990" i="1" s="1"/>
  <c r="AE1991" i="1" s="1"/>
  <c r="AE1992" i="1" s="1"/>
  <c r="AE1993" i="1" s="1"/>
  <c r="AE1994" i="1" s="1"/>
  <c r="AE1995" i="1" s="1"/>
  <c r="AE1996" i="1" s="1"/>
  <c r="AE1997" i="1" s="1"/>
  <c r="AE1998" i="1" s="1"/>
  <c r="AE1999" i="1" s="1"/>
  <c r="AE2000" i="1" s="1"/>
  <c r="AE2001" i="1" s="1"/>
  <c r="AE2002" i="1" s="1"/>
  <c r="AE2003" i="1" s="1"/>
  <c r="AE2004" i="1" s="1"/>
  <c r="AE2005" i="1" s="1"/>
  <c r="AE2006" i="1" s="1"/>
  <c r="AE2007" i="1" s="1"/>
  <c r="AE2008" i="1" s="1"/>
  <c r="AE2009" i="1" s="1"/>
  <c r="AE2010" i="1" s="1"/>
  <c r="AE2011" i="1" s="1"/>
  <c r="AE2012" i="1" s="1"/>
  <c r="AE2013" i="1" s="1"/>
  <c r="AE2014" i="1" s="1"/>
  <c r="AE2015" i="1" s="1"/>
  <c r="AE2016" i="1" s="1"/>
  <c r="AE2017" i="1" s="1"/>
  <c r="AE2018" i="1" s="1"/>
  <c r="AE2019" i="1" s="1"/>
  <c r="AE2020" i="1" s="1"/>
  <c r="AE2021" i="1" s="1"/>
  <c r="AE2022" i="1" s="1"/>
  <c r="AE2023" i="1" s="1"/>
  <c r="AE2024" i="1" s="1"/>
  <c r="AE2025" i="1" s="1"/>
  <c r="AE2026" i="1" s="1"/>
  <c r="AE2027" i="1" s="1"/>
  <c r="AE2028" i="1" s="1"/>
  <c r="AE2029" i="1" s="1"/>
  <c r="AE2030" i="1" s="1"/>
  <c r="AE2031" i="1" s="1"/>
  <c r="AE2032" i="1" s="1"/>
  <c r="AE2033" i="1" s="1"/>
  <c r="AE2034" i="1" s="1"/>
  <c r="AE2035" i="1" s="1"/>
  <c r="AE2036" i="1" s="1"/>
  <c r="AE2037" i="1" s="1"/>
  <c r="AE2038" i="1" s="1"/>
  <c r="AE2039" i="1" s="1"/>
  <c r="AE2040" i="1" s="1"/>
  <c r="AE2041" i="1" s="1"/>
  <c r="AE2042" i="1" s="1"/>
  <c r="AE2043" i="1" s="1"/>
  <c r="AE2044" i="1" s="1"/>
  <c r="AE2045" i="1" s="1"/>
  <c r="AE2046" i="1" s="1"/>
  <c r="AE2047" i="1" s="1"/>
  <c r="AE2048" i="1" s="1"/>
  <c r="AE2049" i="1" s="1"/>
  <c r="AE2050" i="1" s="1"/>
  <c r="AE2051" i="1" s="1"/>
  <c r="AE2052" i="1" s="1"/>
  <c r="AE2053" i="1" s="1"/>
  <c r="AE2054" i="1" s="1"/>
  <c r="AE2055" i="1" s="1"/>
  <c r="AE2056" i="1" s="1"/>
  <c r="AE2057" i="1" s="1"/>
  <c r="AE2058" i="1" s="1"/>
  <c r="AE2059" i="1" s="1"/>
  <c r="AE2060" i="1" s="1"/>
  <c r="AE2061" i="1" s="1"/>
  <c r="AE2062" i="1" s="1"/>
  <c r="AE2063" i="1" s="1"/>
  <c r="AE2064" i="1" s="1"/>
  <c r="AE2065" i="1" s="1"/>
  <c r="AE2066" i="1" s="1"/>
  <c r="AE2067" i="1" s="1"/>
  <c r="AE2068" i="1" s="1"/>
  <c r="AE2069" i="1" s="1"/>
  <c r="AE2070" i="1" s="1"/>
  <c r="AE2071" i="1" s="1"/>
  <c r="AE2072" i="1" s="1"/>
  <c r="AE2073" i="1" s="1"/>
  <c r="AE2074" i="1" s="1"/>
  <c r="AE2075" i="1" s="1"/>
  <c r="AE2076" i="1" s="1"/>
  <c r="AE2077" i="1" s="1"/>
  <c r="AE2078" i="1" s="1"/>
  <c r="AE2079" i="1" s="1"/>
  <c r="AE2080" i="1" s="1"/>
  <c r="AE2081" i="1" s="1"/>
  <c r="AE2082" i="1" s="1"/>
  <c r="AE2083" i="1" s="1"/>
  <c r="AE2084" i="1" s="1"/>
  <c r="AE2085" i="1" s="1"/>
  <c r="AE2086" i="1" s="1"/>
  <c r="AE2087" i="1" s="1"/>
  <c r="AE2088" i="1" s="1"/>
  <c r="AE2089" i="1" s="1"/>
  <c r="AE2090" i="1" s="1"/>
  <c r="AE2091" i="1" s="1"/>
  <c r="AE2092" i="1" s="1"/>
  <c r="AE2093" i="1" s="1"/>
  <c r="AE2094" i="1" s="1"/>
  <c r="AE2095" i="1" s="1"/>
  <c r="AE2096" i="1" s="1"/>
  <c r="AE2097" i="1" s="1"/>
  <c r="AE2098" i="1" s="1"/>
  <c r="AE2099" i="1" s="1"/>
  <c r="AE2100" i="1" s="1"/>
  <c r="AE2101" i="1" s="1"/>
  <c r="AE2102" i="1" s="1"/>
  <c r="AE2103" i="1" s="1"/>
  <c r="AE2104" i="1" s="1"/>
  <c r="AE2105" i="1" s="1"/>
  <c r="AE2106" i="1" s="1"/>
  <c r="AE2107" i="1" s="1"/>
  <c r="AE2108" i="1" s="1"/>
  <c r="AE2109" i="1" s="1"/>
  <c r="AE2110" i="1" s="1"/>
  <c r="AE2111" i="1" s="1"/>
  <c r="AE2112" i="1" s="1"/>
  <c r="AE2113" i="1" s="1"/>
  <c r="AE2114" i="1" s="1"/>
  <c r="AE2115" i="1" s="1"/>
  <c r="AE2116" i="1" s="1"/>
  <c r="AE2117" i="1" s="1"/>
  <c r="AE2118" i="1" s="1"/>
  <c r="AE2119" i="1" s="1"/>
  <c r="AE2120" i="1" s="1"/>
  <c r="AE2121" i="1" s="1"/>
  <c r="AE2122" i="1" s="1"/>
  <c r="AE2123" i="1" s="1"/>
  <c r="AE2124" i="1" s="1"/>
  <c r="AE2125" i="1" s="1"/>
  <c r="AE2126" i="1" s="1"/>
  <c r="AE2127" i="1" s="1"/>
  <c r="AE2128" i="1" s="1"/>
  <c r="AE2129" i="1" s="1"/>
  <c r="AE2130" i="1" s="1"/>
  <c r="AE2131" i="1" s="1"/>
  <c r="AE2132" i="1" s="1"/>
  <c r="AE2133" i="1" s="1"/>
  <c r="AE2134" i="1" s="1"/>
  <c r="AE2135" i="1" s="1"/>
  <c r="AE2136" i="1" s="1"/>
  <c r="AE2137" i="1" s="1"/>
  <c r="AE2138" i="1" s="1"/>
  <c r="AE2139" i="1" s="1"/>
  <c r="AE2140" i="1" s="1"/>
  <c r="AE2141" i="1" s="1"/>
  <c r="AE2142" i="1" s="1"/>
  <c r="AE2143" i="1" s="1"/>
  <c r="AE2144" i="1" s="1"/>
  <c r="AE2145" i="1" s="1"/>
  <c r="AE2146" i="1" s="1"/>
  <c r="AE2147" i="1" s="1"/>
  <c r="AE2148" i="1" s="1"/>
  <c r="AE2149" i="1" s="1"/>
  <c r="AE2150" i="1" s="1"/>
  <c r="AE2151" i="1" s="1"/>
  <c r="AE2152" i="1" s="1"/>
  <c r="AE2153" i="1" s="1"/>
  <c r="AE2154" i="1" s="1"/>
  <c r="AE2155" i="1" s="1"/>
  <c r="AE2156" i="1" s="1"/>
  <c r="AE2157" i="1" s="1"/>
  <c r="AE2158" i="1" s="1"/>
  <c r="AE2159" i="1" s="1"/>
  <c r="AE2160" i="1" s="1"/>
  <c r="AE2161" i="1" s="1"/>
  <c r="AE2162" i="1" s="1"/>
  <c r="AE2163" i="1" s="1"/>
  <c r="AE2164" i="1" s="1"/>
  <c r="AE2165" i="1" s="1"/>
  <c r="AE2166" i="1" s="1"/>
  <c r="AE2167" i="1" s="1"/>
  <c r="AE2168" i="1" s="1"/>
  <c r="AE2169" i="1" s="1"/>
  <c r="AE2170" i="1" s="1"/>
  <c r="AE2171" i="1" s="1"/>
  <c r="AE2172" i="1" s="1"/>
  <c r="AE2173" i="1" s="1"/>
  <c r="AE2174" i="1" s="1"/>
  <c r="AE2175" i="1" s="1"/>
  <c r="AE2176" i="1" s="1"/>
  <c r="AE2177" i="1" s="1"/>
  <c r="AE2178" i="1" s="1"/>
  <c r="AE2179" i="1" s="1"/>
  <c r="AE2180" i="1" s="1"/>
  <c r="AE2181" i="1" s="1"/>
  <c r="AE2182" i="1" s="1"/>
  <c r="AE2183" i="1" s="1"/>
  <c r="AE2184" i="1" s="1"/>
  <c r="AE2185" i="1" s="1"/>
  <c r="AE2186" i="1" s="1"/>
  <c r="AE2187" i="1" s="1"/>
  <c r="AE2188" i="1" s="1"/>
  <c r="AE2189" i="1" s="1"/>
  <c r="AE2190" i="1" s="1"/>
  <c r="AE2191" i="1" s="1"/>
  <c r="AE2192" i="1" s="1"/>
  <c r="AE2193" i="1" s="1"/>
  <c r="AE2194" i="1" s="1"/>
  <c r="AE2195" i="1" s="1"/>
  <c r="AE2196" i="1" s="1"/>
  <c r="AE2197" i="1" s="1"/>
  <c r="AE2198" i="1" s="1"/>
  <c r="AE2199" i="1" s="1"/>
  <c r="AE2200" i="1" s="1"/>
  <c r="AE2201" i="1" s="1"/>
  <c r="AE2202" i="1" s="1"/>
  <c r="AE2203" i="1" s="1"/>
  <c r="AE2204" i="1" s="1"/>
  <c r="AE2205" i="1" s="1"/>
  <c r="AE2206" i="1" s="1"/>
  <c r="AE2207" i="1" s="1"/>
  <c r="AE2208" i="1" s="1"/>
  <c r="AE2209" i="1" s="1"/>
  <c r="AE2210" i="1" s="1"/>
  <c r="AE2211" i="1" s="1"/>
  <c r="AE2212" i="1" s="1"/>
  <c r="AE2213" i="1" s="1"/>
  <c r="AE2214" i="1" s="1"/>
  <c r="AE2215" i="1" s="1"/>
  <c r="AE2216" i="1" s="1"/>
  <c r="AE2217" i="1" s="1"/>
  <c r="AE2218" i="1" s="1"/>
  <c r="AE2219" i="1" s="1"/>
  <c r="AE2220" i="1" s="1"/>
  <c r="AE2221" i="1" s="1"/>
  <c r="AE2222" i="1" s="1"/>
  <c r="AE2223" i="1" s="1"/>
  <c r="AE2224" i="1" s="1"/>
  <c r="AE2225" i="1" s="1"/>
  <c r="AE2226" i="1" s="1"/>
  <c r="AE2227" i="1" s="1"/>
  <c r="AE2228" i="1" s="1"/>
  <c r="AE2229" i="1" s="1"/>
  <c r="AE2230" i="1" s="1"/>
  <c r="AE2231" i="1" s="1"/>
  <c r="AE2232" i="1" s="1"/>
  <c r="AE2233" i="1" s="1"/>
  <c r="AE2234" i="1" s="1"/>
  <c r="AE2235" i="1" s="1"/>
  <c r="AE2236" i="1" s="1"/>
  <c r="AE2237" i="1" s="1"/>
  <c r="AE2238" i="1" s="1"/>
  <c r="AE2239" i="1" s="1"/>
  <c r="AE2240" i="1" s="1"/>
  <c r="AE2241" i="1" s="1"/>
  <c r="AE2242" i="1" s="1"/>
  <c r="AE2243" i="1" s="1"/>
  <c r="AE2244" i="1" s="1"/>
  <c r="AE2245" i="1" s="1"/>
  <c r="AE2246" i="1" s="1"/>
  <c r="AE2247" i="1" s="1"/>
  <c r="AE2248" i="1" s="1"/>
  <c r="AE2249" i="1" s="1"/>
  <c r="AE2250" i="1" s="1"/>
  <c r="AE2251" i="1" s="1"/>
  <c r="AE2252" i="1" s="1"/>
  <c r="AE2253" i="1" s="1"/>
  <c r="AE2254" i="1" s="1"/>
  <c r="AE2255" i="1" s="1"/>
  <c r="AE2256" i="1" s="1"/>
  <c r="AE2257" i="1" s="1"/>
  <c r="AE2258" i="1" s="1"/>
  <c r="AE2259" i="1" s="1"/>
  <c r="AE2260" i="1" s="1"/>
  <c r="AE2261" i="1" s="1"/>
  <c r="AE2262" i="1" s="1"/>
  <c r="AE2263" i="1" s="1"/>
  <c r="AE2264" i="1" s="1"/>
  <c r="AE2265" i="1" s="1"/>
  <c r="AE2266" i="1" s="1"/>
  <c r="AE2267" i="1" s="1"/>
  <c r="AE2268" i="1" s="1"/>
  <c r="AE2269" i="1" s="1"/>
  <c r="AE2270" i="1" s="1"/>
  <c r="AE2271" i="1" s="1"/>
  <c r="AE2272" i="1" s="1"/>
  <c r="AE2273" i="1" s="1"/>
  <c r="AE2274" i="1" s="1"/>
  <c r="AE2275" i="1" s="1"/>
  <c r="AE2276" i="1" s="1"/>
  <c r="AE2277" i="1" s="1"/>
  <c r="AE2278" i="1" s="1"/>
  <c r="AE2279" i="1" s="1"/>
  <c r="AE2280" i="1" s="1"/>
  <c r="AE2281" i="1" s="1"/>
  <c r="AE2282" i="1" s="1"/>
  <c r="AE2283" i="1" s="1"/>
  <c r="AE2284" i="1" s="1"/>
  <c r="AE2285" i="1" s="1"/>
  <c r="AE2286" i="1" s="1"/>
  <c r="AE2287" i="1" s="1"/>
  <c r="AE2288" i="1" s="1"/>
  <c r="AE2289" i="1" s="1"/>
  <c r="AE2290" i="1" s="1"/>
  <c r="AE2291" i="1" s="1"/>
  <c r="AE2292" i="1" s="1"/>
  <c r="AE2293" i="1" s="1"/>
  <c r="AE2294" i="1" s="1"/>
  <c r="AE2295" i="1" s="1"/>
  <c r="AE2296" i="1" s="1"/>
  <c r="AE2297" i="1" s="1"/>
  <c r="AE2298" i="1" s="1"/>
  <c r="AE2299" i="1" s="1"/>
  <c r="AE2300" i="1" s="1"/>
  <c r="AE2301" i="1" s="1"/>
  <c r="AE2302" i="1" s="1"/>
  <c r="AE2303" i="1" s="1"/>
  <c r="AE2304" i="1" s="1"/>
  <c r="AE2305" i="1" s="1"/>
  <c r="AE2306" i="1" s="1"/>
  <c r="AE2307" i="1" s="1"/>
  <c r="AE2308" i="1" s="1"/>
  <c r="AE2309" i="1" s="1"/>
  <c r="AE2310" i="1" s="1"/>
  <c r="AE2311" i="1" s="1"/>
  <c r="AE2312" i="1" s="1"/>
  <c r="AE2313" i="1" s="1"/>
  <c r="AE2314" i="1" s="1"/>
  <c r="AE2315" i="1" s="1"/>
  <c r="AE2316" i="1" s="1"/>
  <c r="AE2317" i="1" s="1"/>
  <c r="AE2318" i="1" s="1"/>
  <c r="AE2319" i="1" s="1"/>
  <c r="AE2320" i="1" s="1"/>
  <c r="AE2321" i="1" s="1"/>
  <c r="AE2322" i="1" s="1"/>
  <c r="AE2323" i="1" s="1"/>
  <c r="AE2324" i="1" s="1"/>
  <c r="AE2325" i="1" s="1"/>
  <c r="AE2326" i="1" s="1"/>
  <c r="AE2327" i="1" s="1"/>
  <c r="AE2328" i="1" s="1"/>
  <c r="AE2329" i="1" s="1"/>
  <c r="AE2330" i="1" s="1"/>
  <c r="AE2331" i="1" s="1"/>
  <c r="AE2332" i="1" s="1"/>
  <c r="AE2333" i="1" s="1"/>
  <c r="AE2334" i="1" s="1"/>
  <c r="AE2335" i="1" s="1"/>
  <c r="AE2336" i="1" s="1"/>
  <c r="AE2337" i="1" s="1"/>
  <c r="AE2338" i="1" s="1"/>
  <c r="AE2339" i="1" s="1"/>
  <c r="AE2340" i="1" s="1"/>
  <c r="AE2341" i="1" s="1"/>
  <c r="AE2342" i="1" s="1"/>
  <c r="AE2343" i="1" s="1"/>
  <c r="AE2344" i="1" s="1"/>
  <c r="AE2345" i="1" s="1"/>
  <c r="AE2346" i="1" s="1"/>
  <c r="AE2347" i="1" s="1"/>
  <c r="AE2348" i="1" s="1"/>
  <c r="AE2349" i="1" s="1"/>
  <c r="AE2350" i="1" s="1"/>
  <c r="AE2351" i="1" s="1"/>
  <c r="AE2352" i="1" s="1"/>
  <c r="AE2353" i="1" s="1"/>
  <c r="AE2354" i="1" s="1"/>
  <c r="AE2355" i="1" s="1"/>
  <c r="AE2356" i="1" s="1"/>
  <c r="AE2357" i="1" s="1"/>
  <c r="AE2358" i="1" s="1"/>
  <c r="AE2359" i="1" s="1"/>
  <c r="AE2360" i="1" s="1"/>
  <c r="AE2361" i="1" s="1"/>
  <c r="AE2362" i="1" s="1"/>
  <c r="AE2363" i="1" s="1"/>
  <c r="AE2364" i="1" s="1"/>
  <c r="AE2365" i="1" s="1"/>
  <c r="AE2366" i="1" s="1"/>
  <c r="AE2367" i="1" s="1"/>
  <c r="AE2368" i="1" s="1"/>
  <c r="AE2369" i="1" s="1"/>
  <c r="AE2370" i="1" s="1"/>
  <c r="AE2371" i="1" s="1"/>
  <c r="AE2372" i="1" s="1"/>
  <c r="AE2373" i="1" s="1"/>
  <c r="AE2374" i="1" s="1"/>
  <c r="AE2375" i="1" s="1"/>
  <c r="AE2376" i="1" s="1"/>
  <c r="AE2377" i="1" s="1"/>
  <c r="AE2378" i="1" s="1"/>
  <c r="AE2379" i="1" s="1"/>
  <c r="AE2380" i="1" s="1"/>
  <c r="AE2381" i="1" s="1"/>
  <c r="AE2382" i="1" s="1"/>
  <c r="AE2383" i="1" s="1"/>
  <c r="AE2384" i="1" s="1"/>
  <c r="AE2385" i="1" s="1"/>
  <c r="AE2386" i="1" s="1"/>
  <c r="AE2387" i="1" s="1"/>
  <c r="AE2388" i="1" s="1"/>
  <c r="AE2389" i="1" s="1"/>
  <c r="AE2390" i="1" s="1"/>
  <c r="AE2391" i="1" s="1"/>
  <c r="AE2392" i="1" s="1"/>
  <c r="AE2393" i="1" s="1"/>
  <c r="AE2394" i="1" s="1"/>
  <c r="AE2395" i="1" s="1"/>
  <c r="AE2396" i="1" s="1"/>
  <c r="AE2397" i="1" s="1"/>
  <c r="AE2398" i="1" s="1"/>
  <c r="AE2399" i="1" s="1"/>
  <c r="AE2400" i="1" s="1"/>
  <c r="AE2401" i="1" s="1"/>
  <c r="AE2402" i="1" s="1"/>
  <c r="AE2403" i="1" s="1"/>
  <c r="AE2404" i="1" s="1"/>
  <c r="AE2405" i="1" s="1"/>
  <c r="AE2406" i="1" s="1"/>
  <c r="AE2407" i="1" s="1"/>
  <c r="AE2408" i="1" s="1"/>
  <c r="AE2409" i="1" s="1"/>
  <c r="AE2410" i="1" s="1"/>
  <c r="AE2411" i="1" s="1"/>
  <c r="AE2412" i="1" s="1"/>
  <c r="AE2413" i="1" s="1"/>
  <c r="AE2414" i="1" s="1"/>
  <c r="AE2415" i="1" s="1"/>
  <c r="AE2416" i="1" s="1"/>
  <c r="AE2417" i="1" s="1"/>
  <c r="AE2418" i="1" s="1"/>
  <c r="AE2419" i="1" s="1"/>
  <c r="AE2420" i="1" s="1"/>
  <c r="AE2421" i="1" s="1"/>
  <c r="AE2422" i="1" s="1"/>
  <c r="AE2423" i="1" s="1"/>
  <c r="AE2424" i="1" s="1"/>
  <c r="AE2425" i="1" s="1"/>
  <c r="AE2426" i="1" s="1"/>
  <c r="AE2427" i="1" s="1"/>
  <c r="AE2428" i="1" s="1"/>
  <c r="AE2429" i="1" s="1"/>
  <c r="AE2430" i="1" s="1"/>
  <c r="AE2431" i="1" s="1"/>
  <c r="AE2432" i="1" s="1"/>
  <c r="AE2433" i="1" s="1"/>
  <c r="AE2434" i="1" s="1"/>
  <c r="AE2435" i="1" s="1"/>
  <c r="AE2436" i="1" s="1"/>
  <c r="AE2437" i="1" s="1"/>
  <c r="AE2438" i="1" s="1"/>
  <c r="AE2439" i="1" s="1"/>
  <c r="AE2440" i="1" s="1"/>
  <c r="AE2441" i="1" s="1"/>
  <c r="AE2442" i="1" s="1"/>
  <c r="AE2443" i="1" s="1"/>
  <c r="AE2444" i="1" s="1"/>
  <c r="AE2445" i="1" s="1"/>
  <c r="AE2446" i="1" s="1"/>
  <c r="AE2447" i="1" s="1"/>
  <c r="AE2448" i="1" s="1"/>
  <c r="AE2449" i="1" s="1"/>
  <c r="AE2450" i="1" s="1"/>
  <c r="AE2451" i="1" s="1"/>
  <c r="AE2452" i="1" s="1"/>
  <c r="AE2453" i="1" s="1"/>
  <c r="AE2454" i="1" s="1"/>
  <c r="AE2455" i="1" s="1"/>
  <c r="AE2456" i="1" s="1"/>
  <c r="AE2457" i="1" s="1"/>
  <c r="AE2458" i="1" s="1"/>
  <c r="AE2459" i="1" s="1"/>
  <c r="AE2460" i="1" s="1"/>
  <c r="AE2461" i="1" s="1"/>
  <c r="AE2462" i="1" s="1"/>
  <c r="AE2463" i="1" s="1"/>
  <c r="AE2464" i="1" s="1"/>
  <c r="AE2465" i="1" s="1"/>
  <c r="AE2466" i="1" s="1"/>
  <c r="AE2467" i="1" s="1"/>
  <c r="AE2468" i="1" s="1"/>
  <c r="AE2469" i="1" s="1"/>
  <c r="AE2470" i="1" s="1"/>
  <c r="AE2471" i="1" s="1"/>
  <c r="AE2472" i="1" s="1"/>
  <c r="AE2473" i="1" s="1"/>
  <c r="AE2474" i="1" s="1"/>
  <c r="AE2475" i="1" s="1"/>
  <c r="AE2476" i="1" s="1"/>
  <c r="AE2477" i="1" s="1"/>
  <c r="AE2478" i="1" s="1"/>
  <c r="AE2479" i="1" s="1"/>
  <c r="AE2480" i="1" s="1"/>
  <c r="AE2481" i="1" s="1"/>
  <c r="AE2482" i="1" s="1"/>
  <c r="AE2483" i="1" s="1"/>
  <c r="AE2484" i="1" s="1"/>
  <c r="AE2485" i="1" s="1"/>
  <c r="AE2486" i="1" s="1"/>
  <c r="AE2487" i="1" s="1"/>
  <c r="AE2488" i="1" s="1"/>
  <c r="AE2489" i="1" s="1"/>
  <c r="AE2490" i="1" s="1"/>
  <c r="AE2491" i="1" s="1"/>
  <c r="AE2492" i="1" s="1"/>
  <c r="AE2493" i="1" s="1"/>
  <c r="AE2494" i="1" s="1"/>
  <c r="AE2495" i="1" s="1"/>
  <c r="AE2496" i="1" s="1"/>
  <c r="AE2497" i="1" s="1"/>
  <c r="AE2498" i="1" s="1"/>
  <c r="AE2499" i="1" s="1"/>
  <c r="AE2500" i="1" s="1"/>
  <c r="AE2501" i="1" s="1"/>
  <c r="AE2502" i="1" s="1"/>
  <c r="AE2503" i="1" s="1"/>
  <c r="AE2504" i="1" s="1"/>
  <c r="AE2505" i="1" s="1"/>
  <c r="AE2506" i="1" s="1"/>
  <c r="AE2507" i="1" s="1"/>
  <c r="AE2508" i="1" s="1"/>
  <c r="AE2509" i="1" s="1"/>
  <c r="AE2510" i="1" s="1"/>
  <c r="AE2511" i="1" s="1"/>
  <c r="AE2512" i="1" s="1"/>
  <c r="AE2513" i="1" s="1"/>
  <c r="AE2514" i="1" s="1"/>
  <c r="AE2515" i="1" s="1"/>
  <c r="AE2516" i="1" s="1"/>
  <c r="AE2517" i="1" s="1"/>
  <c r="AE2518" i="1" s="1"/>
  <c r="AE2519" i="1" s="1"/>
  <c r="AE2520" i="1" s="1"/>
  <c r="AE2521" i="1" s="1"/>
  <c r="AE2522" i="1" s="1"/>
  <c r="AE2523" i="1" s="1"/>
  <c r="AE2524" i="1" s="1"/>
  <c r="AE2525" i="1" s="1"/>
  <c r="AE2526" i="1" s="1"/>
  <c r="AE2527" i="1" s="1"/>
  <c r="AE2528" i="1" s="1"/>
  <c r="AE2529" i="1" s="1"/>
  <c r="AE2530" i="1" s="1"/>
  <c r="AE2531" i="1" s="1"/>
  <c r="AE2532" i="1" s="1"/>
  <c r="AE2533" i="1" s="1"/>
  <c r="AE2534" i="1" s="1"/>
  <c r="AE2535" i="1" s="1"/>
  <c r="AE2536" i="1" s="1"/>
  <c r="AE2537" i="1" s="1"/>
  <c r="AE2538" i="1" s="1"/>
  <c r="AE2539" i="1" s="1"/>
  <c r="AE2540" i="1" s="1"/>
  <c r="AE2541" i="1" s="1"/>
  <c r="AE2542" i="1" s="1"/>
  <c r="AE2543" i="1" s="1"/>
  <c r="AE2544" i="1" s="1"/>
  <c r="AE2545" i="1" s="1"/>
  <c r="AE2546" i="1" s="1"/>
  <c r="AE2547" i="1" s="1"/>
  <c r="AE2548" i="1" s="1"/>
  <c r="AE2549" i="1" s="1"/>
  <c r="AE2550" i="1" s="1"/>
  <c r="AE2551" i="1" s="1"/>
  <c r="AE2552" i="1" s="1"/>
  <c r="AE2553" i="1" s="1"/>
  <c r="AE2554" i="1" s="1"/>
  <c r="AE2555" i="1" s="1"/>
  <c r="AE2556" i="1" s="1"/>
  <c r="AE2557" i="1" s="1"/>
  <c r="AE2558" i="1" s="1"/>
  <c r="AE2559" i="1" s="1"/>
  <c r="AE2560" i="1" s="1"/>
  <c r="AE2561" i="1" s="1"/>
  <c r="AE2562" i="1" s="1"/>
  <c r="AE2563" i="1" s="1"/>
  <c r="AE2564" i="1" s="1"/>
  <c r="AE2565" i="1" s="1"/>
  <c r="AE2566" i="1" s="1"/>
  <c r="AE2567" i="1" s="1"/>
  <c r="AE2568" i="1" s="1"/>
  <c r="AE2569" i="1" s="1"/>
  <c r="AE2570" i="1" s="1"/>
  <c r="AE2571" i="1" s="1"/>
  <c r="AE2572" i="1" s="1"/>
  <c r="AE2573" i="1" s="1"/>
  <c r="AE2574" i="1" s="1"/>
  <c r="AE2575" i="1" s="1"/>
  <c r="AE2576" i="1" s="1"/>
  <c r="AE2577" i="1" s="1"/>
  <c r="AE2578" i="1" s="1"/>
  <c r="AE2579" i="1" s="1"/>
  <c r="AE2580" i="1" s="1"/>
  <c r="AE2581" i="1" s="1"/>
  <c r="AE2582" i="1" s="1"/>
  <c r="AE2583" i="1" s="1"/>
  <c r="AE2584" i="1" s="1"/>
  <c r="AE2585" i="1" s="1"/>
  <c r="AE2586" i="1" s="1"/>
  <c r="AE2587" i="1" s="1"/>
  <c r="AE2588" i="1" s="1"/>
  <c r="AE2589" i="1" s="1"/>
  <c r="AE2590" i="1" s="1"/>
  <c r="AE2591" i="1" s="1"/>
  <c r="AE2592" i="1" s="1"/>
  <c r="AE2593" i="1" s="1"/>
  <c r="AE2594" i="1" s="1"/>
  <c r="AE2595" i="1" s="1"/>
  <c r="AE2596" i="1" s="1"/>
  <c r="AE2597" i="1" s="1"/>
  <c r="AE2598" i="1" s="1"/>
  <c r="AE2599" i="1" s="1"/>
  <c r="AE2600" i="1" s="1"/>
  <c r="AC3" i="1"/>
  <c r="AC2" i="1"/>
  <c r="AV2" i="8" s="1"/>
  <c r="N4" i="1"/>
  <c r="AF2" i="8"/>
  <c r="AE2" i="8"/>
  <c r="AD2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D3" i="8"/>
  <c r="AU3" i="8"/>
  <c r="AU153" i="8" s="1"/>
  <c r="AU154" i="8" s="1"/>
  <c r="AU155" i="8" s="1"/>
  <c r="AU156" i="8" s="1"/>
  <c r="AU157" i="8" s="1"/>
  <c r="AU158" i="8" s="1"/>
  <c r="AU159" i="8" s="1"/>
  <c r="AU160" i="8" s="1"/>
  <c r="AU161" i="8" s="1"/>
  <c r="AU162" i="8" s="1"/>
  <c r="AU163" i="8" s="1"/>
  <c r="AU164" i="8" s="1"/>
  <c r="AU165" i="8" s="1"/>
  <c r="AU166" i="8" s="1"/>
  <c r="AU167" i="8" s="1"/>
  <c r="AU168" i="8" s="1"/>
  <c r="AU169" i="8" s="1"/>
  <c r="AU170" i="8" s="1"/>
  <c r="AU171" i="8" s="1"/>
  <c r="AU172" i="8" s="1"/>
  <c r="AU173" i="8" s="1"/>
  <c r="AU174" i="8" s="1"/>
  <c r="AU175" i="8" s="1"/>
  <c r="AU176" i="8" s="1"/>
  <c r="AU177" i="8" s="1"/>
  <c r="AU178" i="8" s="1"/>
  <c r="AU179" i="8" s="1"/>
  <c r="AU180" i="8" s="1"/>
  <c r="AU181" i="8" s="1"/>
  <c r="AU182" i="8" s="1"/>
  <c r="AU183" i="8" s="1"/>
  <c r="AU184" i="8" s="1"/>
  <c r="AU185" i="8" s="1"/>
  <c r="AU186" i="8" s="1"/>
  <c r="AU187" i="8" s="1"/>
  <c r="AU188" i="8" s="1"/>
  <c r="AU189" i="8" s="1"/>
  <c r="AU190" i="8" s="1"/>
  <c r="AU191" i="8" s="1"/>
  <c r="AU192" i="8" s="1"/>
  <c r="AU193" i="8" s="1"/>
  <c r="AU194" i="8" s="1"/>
  <c r="AU195" i="8" s="1"/>
  <c r="AU196" i="8" s="1"/>
  <c r="AU197" i="8" s="1"/>
  <c r="AU198" i="8" s="1"/>
  <c r="AU199" i="8" s="1"/>
  <c r="AT3" i="8"/>
  <c r="AS2" i="1"/>
  <c r="AT2" i="1" s="1"/>
  <c r="AQ2601" i="1"/>
  <c r="AR2601" i="1" s="1"/>
  <c r="AS2601" i="1" s="1"/>
  <c r="AT2601" i="1" s="1"/>
  <c r="AQ2602" i="1"/>
  <c r="AR2602" i="1" s="1"/>
  <c r="AS2602" i="1" s="1"/>
  <c r="AT2602" i="1" s="1"/>
  <c r="AQ2603" i="1"/>
  <c r="AR2603" i="1" s="1"/>
  <c r="AS2603" i="1" s="1"/>
  <c r="AT2603" i="1" s="1"/>
  <c r="AQ2604" i="1"/>
  <c r="AR2604" i="1" s="1"/>
  <c r="AS2604" i="1" s="1"/>
  <c r="AT2604" i="1" s="1"/>
  <c r="AQ2605" i="1"/>
  <c r="AR2605" i="1" s="1"/>
  <c r="AS2605" i="1" s="1"/>
  <c r="AT2605" i="1" s="1"/>
  <c r="AQ2606" i="1"/>
  <c r="AR2606" i="1" s="1"/>
  <c r="AS2606" i="1" s="1"/>
  <c r="AT2606" i="1" s="1"/>
  <c r="AQ2607" i="1"/>
  <c r="AR2607" i="1" s="1"/>
  <c r="AS2607" i="1" s="1"/>
  <c r="AT2607" i="1" s="1"/>
  <c r="AQ2608" i="1"/>
  <c r="AR2608" i="1" s="1"/>
  <c r="AS2608" i="1" s="1"/>
  <c r="AT2608" i="1" s="1"/>
  <c r="AQ2609" i="1"/>
  <c r="AR2609" i="1" s="1"/>
  <c r="AS2609" i="1" s="1"/>
  <c r="AT2609" i="1" s="1"/>
  <c r="AQ2610" i="1"/>
  <c r="AR2610" i="1" s="1"/>
  <c r="AS2610" i="1" s="1"/>
  <c r="AT2610" i="1" s="1"/>
  <c r="AQ2611" i="1"/>
  <c r="AR2611" i="1" s="1"/>
  <c r="AS2611" i="1" s="1"/>
  <c r="AT2611" i="1" s="1"/>
  <c r="AQ2612" i="1"/>
  <c r="AR2612" i="1" s="1"/>
  <c r="AS2612" i="1" s="1"/>
  <c r="AT2612" i="1" s="1"/>
  <c r="AQ2613" i="1"/>
  <c r="AR2613" i="1" s="1"/>
  <c r="AS2613" i="1" s="1"/>
  <c r="AT2613" i="1" s="1"/>
  <c r="AQ2614" i="1"/>
  <c r="AR2614" i="1" s="1"/>
  <c r="AS2614" i="1" s="1"/>
  <c r="AT2614" i="1" s="1"/>
  <c r="AQ2615" i="1"/>
  <c r="AR2615" i="1" s="1"/>
  <c r="AS2615" i="1" s="1"/>
  <c r="AT2615" i="1" s="1"/>
  <c r="AQ2616" i="1"/>
  <c r="AR2616" i="1" s="1"/>
  <c r="AS2616" i="1" s="1"/>
  <c r="AT2616" i="1" s="1"/>
  <c r="AQ2617" i="1"/>
  <c r="AR2617" i="1" s="1"/>
  <c r="AS2617" i="1" s="1"/>
  <c r="AT2617" i="1" s="1"/>
  <c r="AQ2618" i="1"/>
  <c r="AR2618" i="1" s="1"/>
  <c r="AS2618" i="1" s="1"/>
  <c r="AT2618" i="1" s="1"/>
  <c r="AQ2619" i="1"/>
  <c r="AR2619" i="1" s="1"/>
  <c r="AS2619" i="1" s="1"/>
  <c r="AT2619" i="1" s="1"/>
  <c r="AQ2620" i="1"/>
  <c r="AR2620" i="1" s="1"/>
  <c r="AS2620" i="1" s="1"/>
  <c r="AT2620" i="1" s="1"/>
  <c r="AQ2621" i="1"/>
  <c r="AR2621" i="1" s="1"/>
  <c r="AS2621" i="1" s="1"/>
  <c r="AT2621" i="1" s="1"/>
  <c r="AQ2622" i="1"/>
  <c r="AR2622" i="1" s="1"/>
  <c r="AS2622" i="1" s="1"/>
  <c r="AT2622" i="1" s="1"/>
  <c r="AQ2623" i="1"/>
  <c r="AR2623" i="1" s="1"/>
  <c r="AS2623" i="1" s="1"/>
  <c r="AT2623" i="1" s="1"/>
  <c r="AQ2624" i="1"/>
  <c r="AR2624" i="1" s="1"/>
  <c r="AS2624" i="1" s="1"/>
  <c r="AT2624" i="1" s="1"/>
  <c r="AQ2625" i="1"/>
  <c r="AR2625" i="1" s="1"/>
  <c r="AS2625" i="1" s="1"/>
  <c r="AT2625" i="1" s="1"/>
  <c r="AQ2626" i="1"/>
  <c r="AR2626" i="1" s="1"/>
  <c r="AS2626" i="1" s="1"/>
  <c r="AT2626" i="1" s="1"/>
  <c r="AQ2627" i="1"/>
  <c r="AR2627" i="1" s="1"/>
  <c r="AS2627" i="1" s="1"/>
  <c r="AT2627" i="1" s="1"/>
  <c r="AQ2628" i="1"/>
  <c r="AR2628" i="1" s="1"/>
  <c r="AS2628" i="1" s="1"/>
  <c r="AT2628" i="1" s="1"/>
  <c r="AQ2629" i="1"/>
  <c r="AR2629" i="1" s="1"/>
  <c r="AS2629" i="1" s="1"/>
  <c r="AT2629" i="1" s="1"/>
  <c r="AQ2630" i="1"/>
  <c r="AR2630" i="1" s="1"/>
  <c r="AS2630" i="1" s="1"/>
  <c r="AT2630" i="1" s="1"/>
  <c r="AQ2631" i="1"/>
  <c r="AR2631" i="1" s="1"/>
  <c r="AS2631" i="1" s="1"/>
  <c r="AT2631" i="1" s="1"/>
  <c r="AQ2632" i="1"/>
  <c r="AR2632" i="1" s="1"/>
  <c r="AS2632" i="1" s="1"/>
  <c r="AT2632" i="1" s="1"/>
  <c r="AQ2633" i="1"/>
  <c r="AR2633" i="1" s="1"/>
  <c r="AS2633" i="1" s="1"/>
  <c r="AT2633" i="1" s="1"/>
  <c r="AQ2634" i="1"/>
  <c r="AR2634" i="1" s="1"/>
  <c r="AS2634" i="1" s="1"/>
  <c r="AT2634" i="1" s="1"/>
  <c r="AQ2635" i="1"/>
  <c r="AR2635" i="1" s="1"/>
  <c r="AS2635" i="1" s="1"/>
  <c r="AT2635" i="1" s="1"/>
  <c r="AQ2636" i="1"/>
  <c r="AR2636" i="1" s="1"/>
  <c r="AS2636" i="1" s="1"/>
  <c r="AT2636" i="1" s="1"/>
  <c r="AQ2637" i="1"/>
  <c r="AR2637" i="1" s="1"/>
  <c r="AS2637" i="1" s="1"/>
  <c r="AT2637" i="1" s="1"/>
  <c r="AQ2638" i="1"/>
  <c r="AR2638" i="1" s="1"/>
  <c r="AS2638" i="1" s="1"/>
  <c r="AT2638" i="1" s="1"/>
  <c r="AP3" i="1"/>
  <c r="AO3" i="1"/>
  <c r="AN3" i="1" s="1"/>
  <c r="AG2" i="8"/>
  <c r="C3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AC4" i="1" l="1"/>
  <c r="AF3" i="1"/>
  <c r="L6" i="1"/>
  <c r="AJ5" i="1"/>
  <c r="N5" i="1"/>
  <c r="Y4" i="1"/>
  <c r="Z4" i="1"/>
  <c r="Y121" i="1"/>
  <c r="Z121" i="1"/>
  <c r="Y691" i="1"/>
  <c r="Z691" i="1"/>
  <c r="Z1243" i="1"/>
  <c r="Y1243" i="1"/>
  <c r="Y1637" i="1"/>
  <c r="Z1637" i="1"/>
  <c r="N1706" i="1"/>
  <c r="Y1705" i="1"/>
  <c r="Z1705" i="1"/>
  <c r="Y1771" i="1"/>
  <c r="Z1771" i="1"/>
  <c r="AQ8" i="1"/>
  <c r="AQ63" i="1"/>
  <c r="AQ32" i="1"/>
  <c r="AQ14" i="1"/>
  <c r="AQ57" i="1"/>
  <c r="AQ83" i="1"/>
  <c r="AQ66" i="1"/>
  <c r="AQ50" i="1"/>
  <c r="AQ37" i="1"/>
  <c r="AQ18" i="1"/>
  <c r="AQ12" i="1"/>
  <c r="AQ77" i="1"/>
  <c r="AQ61" i="1"/>
  <c r="AQ55" i="1"/>
  <c r="AQ43" i="1"/>
  <c r="AQ30" i="1"/>
  <c r="AQ24" i="1"/>
  <c r="AG4" i="1"/>
  <c r="AD3" i="8"/>
  <c r="AQ89" i="1"/>
  <c r="AQ49" i="1"/>
  <c r="AQ36" i="1"/>
  <c r="AQ11" i="1"/>
  <c r="AQ5" i="1"/>
  <c r="AI4" i="1"/>
  <c r="AF3" i="8"/>
  <c r="AQ82" i="1"/>
  <c r="AQ71" i="1"/>
  <c r="AQ65" i="1"/>
  <c r="AQ60" i="1"/>
  <c r="AQ23" i="1"/>
  <c r="AQ17" i="1"/>
  <c r="AQ88" i="1"/>
  <c r="AQ76" i="1"/>
  <c r="AQ48" i="1"/>
  <c r="AQ35" i="1"/>
  <c r="AQ29" i="1"/>
  <c r="AQ4" i="1"/>
  <c r="AH4" i="1"/>
  <c r="AQ59" i="1"/>
  <c r="AQ54" i="1"/>
  <c r="AQ42" i="1"/>
  <c r="AQ22" i="1"/>
  <c r="AQ16" i="1"/>
  <c r="AQ10" i="1"/>
  <c r="AQ81" i="1"/>
  <c r="AQ75" i="1"/>
  <c r="AQ70" i="1"/>
  <c r="AQ47" i="1"/>
  <c r="AQ28" i="1"/>
  <c r="AQ87" i="1"/>
  <c r="AQ64" i="1"/>
  <c r="AQ53" i="1"/>
  <c r="AQ34" i="1"/>
  <c r="AQ21" i="1"/>
  <c r="AQ15" i="1"/>
  <c r="AQ92" i="1"/>
  <c r="AQ69" i="1"/>
  <c r="AQ41" i="1"/>
  <c r="AQ80" i="1"/>
  <c r="AQ74" i="1"/>
  <c r="AQ58" i="1"/>
  <c r="AQ33" i="1"/>
  <c r="AQ27" i="1"/>
  <c r="AQ20" i="1"/>
  <c r="AQ9" i="1"/>
  <c r="AJ4" i="1"/>
  <c r="AQ91" i="1"/>
  <c r="AQ86" i="1"/>
  <c r="AQ68" i="1"/>
  <c r="AQ52" i="1"/>
  <c r="AQ46" i="1"/>
  <c r="AQ40" i="1"/>
  <c r="AQ85" i="1"/>
  <c r="AQ79" i="1"/>
  <c r="AQ73" i="1"/>
  <c r="AQ51" i="1"/>
  <c r="AQ39" i="1"/>
  <c r="AQ26" i="1"/>
  <c r="AQ19" i="1"/>
  <c r="AQ67" i="1"/>
  <c r="AQ45" i="1"/>
  <c r="AQ31" i="1"/>
  <c r="AQ13" i="1"/>
  <c r="AQ7" i="1"/>
  <c r="AQ90" i="1"/>
  <c r="AQ84" i="1"/>
  <c r="AQ78" i="1"/>
  <c r="AQ62" i="1"/>
  <c r="AQ56" i="1"/>
  <c r="AQ38" i="1"/>
  <c r="AQ72" i="1"/>
  <c r="AQ44" i="1"/>
  <c r="AQ25" i="1"/>
  <c r="AQ6" i="1"/>
  <c r="E94" i="1"/>
  <c r="AQ93" i="1"/>
  <c r="N1244" i="1"/>
  <c r="AQ3" i="1"/>
  <c r="AW2" i="8"/>
  <c r="AX2" i="8" s="1"/>
  <c r="AV3" i="8"/>
  <c r="AC5" i="1" l="1"/>
  <c r="AF4" i="1"/>
  <c r="L7" i="1"/>
  <c r="N1246" i="1"/>
  <c r="Z1244" i="1"/>
  <c r="Y1244" i="1"/>
  <c r="Y1706" i="1"/>
  <c r="Z1706" i="1"/>
  <c r="N7" i="1"/>
  <c r="Y5" i="1"/>
  <c r="Z5" i="1"/>
  <c r="AG5" i="1"/>
  <c r="AD4" i="8"/>
  <c r="AI5" i="1"/>
  <c r="AF4" i="8"/>
  <c r="AH5" i="1"/>
  <c r="AE4" i="8"/>
  <c r="E95" i="1"/>
  <c r="AQ94" i="1"/>
  <c r="AW3" i="8"/>
  <c r="AX3" i="8" s="1"/>
  <c r="AJ3" i="8"/>
  <c r="AK3" i="8"/>
  <c r="AJ4" i="8"/>
  <c r="AK4" i="8"/>
  <c r="AJ5" i="8"/>
  <c r="AK5" i="8"/>
  <c r="AJ6" i="8"/>
  <c r="AK6" i="8"/>
  <c r="AJ7" i="8"/>
  <c r="AK7" i="8"/>
  <c r="AJ8" i="8"/>
  <c r="AK8" i="8"/>
  <c r="AJ9" i="8"/>
  <c r="AK9" i="8"/>
  <c r="AJ10" i="8"/>
  <c r="AK10" i="8"/>
  <c r="AJ11" i="8"/>
  <c r="AK11" i="8"/>
  <c r="AJ12" i="8"/>
  <c r="AK12" i="8"/>
  <c r="AJ13" i="8"/>
  <c r="AK13" i="8"/>
  <c r="AJ14" i="8"/>
  <c r="AK14" i="8"/>
  <c r="AJ15" i="8"/>
  <c r="AK15" i="8"/>
  <c r="AJ16" i="8"/>
  <c r="AK16" i="8"/>
  <c r="AJ17" i="8"/>
  <c r="AK17" i="8"/>
  <c r="AJ18" i="8"/>
  <c r="AK18" i="8"/>
  <c r="AJ19" i="8"/>
  <c r="AK19" i="8"/>
  <c r="AJ20" i="8"/>
  <c r="AK20" i="8"/>
  <c r="AJ21" i="8"/>
  <c r="AK21" i="8"/>
  <c r="AJ22" i="8"/>
  <c r="AK22" i="8"/>
  <c r="AJ23" i="8"/>
  <c r="AK23" i="8"/>
  <c r="AJ24" i="8"/>
  <c r="AK24" i="8"/>
  <c r="AJ25" i="8"/>
  <c r="AK25" i="8"/>
  <c r="AJ26" i="8"/>
  <c r="AK26" i="8"/>
  <c r="AJ27" i="8"/>
  <c r="AK27" i="8"/>
  <c r="AJ28" i="8"/>
  <c r="AK28" i="8"/>
  <c r="AJ29" i="8"/>
  <c r="AK29" i="8"/>
  <c r="AJ30" i="8"/>
  <c r="AK30" i="8"/>
  <c r="AJ31" i="8"/>
  <c r="AK31" i="8"/>
  <c r="AJ32" i="8"/>
  <c r="AK32" i="8"/>
  <c r="AJ33" i="8"/>
  <c r="AK33" i="8"/>
  <c r="AJ34" i="8"/>
  <c r="AK34" i="8"/>
  <c r="AJ35" i="8"/>
  <c r="AK35" i="8"/>
  <c r="AJ36" i="8"/>
  <c r="AK36" i="8"/>
  <c r="AJ37" i="8"/>
  <c r="AK37" i="8"/>
  <c r="AJ38" i="8"/>
  <c r="AK38" i="8"/>
  <c r="AJ39" i="8"/>
  <c r="AK39" i="8"/>
  <c r="AJ40" i="8"/>
  <c r="AK40" i="8"/>
  <c r="AJ41" i="8"/>
  <c r="AK41" i="8"/>
  <c r="AJ42" i="8"/>
  <c r="AK42" i="8"/>
  <c r="AJ43" i="8"/>
  <c r="AK43" i="8"/>
  <c r="AJ44" i="8"/>
  <c r="AK44" i="8"/>
  <c r="AJ45" i="8"/>
  <c r="AK45" i="8"/>
  <c r="AJ46" i="8"/>
  <c r="AK46" i="8"/>
  <c r="AJ47" i="8"/>
  <c r="AK47" i="8"/>
  <c r="AJ48" i="8"/>
  <c r="AK48" i="8"/>
  <c r="AJ49" i="8"/>
  <c r="AK49" i="8"/>
  <c r="AJ50" i="8"/>
  <c r="AK50" i="8"/>
  <c r="AJ51" i="8"/>
  <c r="AK51" i="8"/>
  <c r="AJ52" i="8"/>
  <c r="AK52" i="8"/>
  <c r="AJ53" i="8"/>
  <c r="AK53" i="8"/>
  <c r="AJ54" i="8"/>
  <c r="AK54" i="8"/>
  <c r="AJ55" i="8"/>
  <c r="AK55" i="8"/>
  <c r="AJ56" i="8"/>
  <c r="AK56" i="8"/>
  <c r="AJ57" i="8"/>
  <c r="AK57" i="8"/>
  <c r="AJ58" i="8"/>
  <c r="AK58" i="8"/>
  <c r="AJ59" i="8"/>
  <c r="AK59" i="8"/>
  <c r="AJ60" i="8"/>
  <c r="AK60" i="8"/>
  <c r="AJ61" i="8"/>
  <c r="AK61" i="8"/>
  <c r="AJ62" i="8"/>
  <c r="AK62" i="8"/>
  <c r="AJ63" i="8"/>
  <c r="AK63" i="8"/>
  <c r="AJ64" i="8"/>
  <c r="AK64" i="8"/>
  <c r="AJ65" i="8"/>
  <c r="AK65" i="8"/>
  <c r="AJ66" i="8"/>
  <c r="AK66" i="8"/>
  <c r="AJ67" i="8"/>
  <c r="AK67" i="8"/>
  <c r="AJ68" i="8"/>
  <c r="AK68" i="8"/>
  <c r="AJ69" i="8"/>
  <c r="AK69" i="8"/>
  <c r="AJ70" i="8"/>
  <c r="AK70" i="8"/>
  <c r="AJ71" i="8"/>
  <c r="AK71" i="8"/>
  <c r="AJ72" i="8"/>
  <c r="AK72" i="8"/>
  <c r="AJ73" i="8"/>
  <c r="AK73" i="8"/>
  <c r="AJ74" i="8"/>
  <c r="AK74" i="8"/>
  <c r="AJ75" i="8"/>
  <c r="AK75" i="8"/>
  <c r="AJ76" i="8"/>
  <c r="AK76" i="8"/>
  <c r="AJ77" i="8"/>
  <c r="AK77" i="8"/>
  <c r="AJ78" i="8"/>
  <c r="AK78" i="8"/>
  <c r="AJ79" i="8"/>
  <c r="AK79" i="8"/>
  <c r="AJ80" i="8"/>
  <c r="AK80" i="8"/>
  <c r="AJ81" i="8"/>
  <c r="AK81" i="8"/>
  <c r="AJ82" i="8"/>
  <c r="AK82" i="8"/>
  <c r="AJ83" i="8"/>
  <c r="AK83" i="8"/>
  <c r="AJ84" i="8"/>
  <c r="AK84" i="8"/>
  <c r="AJ85" i="8"/>
  <c r="AK85" i="8"/>
  <c r="AJ86" i="8"/>
  <c r="AK86" i="8"/>
  <c r="AJ87" i="8"/>
  <c r="AK87" i="8"/>
  <c r="AJ88" i="8"/>
  <c r="AK88" i="8"/>
  <c r="AJ89" i="8"/>
  <c r="AK89" i="8"/>
  <c r="AJ90" i="8"/>
  <c r="AK90" i="8"/>
  <c r="AJ91" i="8"/>
  <c r="AK91" i="8"/>
  <c r="AJ92" i="8"/>
  <c r="AK92" i="8"/>
  <c r="AJ93" i="8"/>
  <c r="AK93" i="8"/>
  <c r="AJ94" i="8"/>
  <c r="AK94" i="8"/>
  <c r="AJ95" i="8"/>
  <c r="AK95" i="8"/>
  <c r="AJ96" i="8"/>
  <c r="AK96" i="8"/>
  <c r="AJ97" i="8"/>
  <c r="AK97" i="8"/>
  <c r="AJ98" i="8"/>
  <c r="AK98" i="8"/>
  <c r="AJ99" i="8"/>
  <c r="AK99" i="8"/>
  <c r="AJ100" i="8"/>
  <c r="AK100" i="8"/>
  <c r="AJ101" i="8"/>
  <c r="AK101" i="8"/>
  <c r="AJ102" i="8"/>
  <c r="AK102" i="8"/>
  <c r="AJ103" i="8"/>
  <c r="AK103" i="8"/>
  <c r="AJ104" i="8"/>
  <c r="AK104" i="8"/>
  <c r="AJ105" i="8"/>
  <c r="AK105" i="8"/>
  <c r="AJ106" i="8"/>
  <c r="AK106" i="8"/>
  <c r="AJ107" i="8"/>
  <c r="AK107" i="8"/>
  <c r="AJ108" i="8"/>
  <c r="AK108" i="8"/>
  <c r="AJ109" i="8"/>
  <c r="AK109" i="8"/>
  <c r="AJ110" i="8"/>
  <c r="AK110" i="8"/>
  <c r="AJ111" i="8"/>
  <c r="AK111" i="8"/>
  <c r="AJ112" i="8"/>
  <c r="AK112" i="8"/>
  <c r="AJ113" i="8"/>
  <c r="AK113" i="8"/>
  <c r="AJ114" i="8"/>
  <c r="AK114" i="8"/>
  <c r="AJ115" i="8"/>
  <c r="AK115" i="8"/>
  <c r="AJ116" i="8"/>
  <c r="AK116" i="8"/>
  <c r="AJ117" i="8"/>
  <c r="AK117" i="8"/>
  <c r="AJ118" i="8"/>
  <c r="AK118" i="8"/>
  <c r="AJ119" i="8"/>
  <c r="AK119" i="8"/>
  <c r="AJ120" i="8"/>
  <c r="AK120" i="8"/>
  <c r="AJ121" i="8"/>
  <c r="AK121" i="8"/>
  <c r="AJ122" i="8"/>
  <c r="AK122" i="8"/>
  <c r="AJ123" i="8"/>
  <c r="AK123" i="8"/>
  <c r="AJ124" i="8"/>
  <c r="AK124" i="8"/>
  <c r="AJ125" i="8"/>
  <c r="AK125" i="8"/>
  <c r="AJ126" i="8"/>
  <c r="AK126" i="8"/>
  <c r="AJ127" i="8"/>
  <c r="AK127" i="8"/>
  <c r="AJ128" i="8"/>
  <c r="AK128" i="8"/>
  <c r="AJ129" i="8"/>
  <c r="AK129" i="8"/>
  <c r="AJ130" i="8"/>
  <c r="AK130" i="8"/>
  <c r="AJ131" i="8"/>
  <c r="AK131" i="8"/>
  <c r="AJ132" i="8"/>
  <c r="AK132" i="8"/>
  <c r="AJ133" i="8"/>
  <c r="AK133" i="8"/>
  <c r="AJ134" i="8"/>
  <c r="AK134" i="8"/>
  <c r="AJ135" i="8"/>
  <c r="AK135" i="8"/>
  <c r="AJ136" i="8"/>
  <c r="AK136" i="8"/>
  <c r="AJ137" i="8"/>
  <c r="AK137" i="8"/>
  <c r="AJ138" i="8"/>
  <c r="AK138" i="8"/>
  <c r="AJ139" i="8"/>
  <c r="AK139" i="8"/>
  <c r="AJ140" i="8"/>
  <c r="AK140" i="8"/>
  <c r="AJ141" i="8"/>
  <c r="AK141" i="8"/>
  <c r="AJ142" i="8"/>
  <c r="AK142" i="8"/>
  <c r="AJ143" i="8"/>
  <c r="AK143" i="8"/>
  <c r="AJ144" i="8"/>
  <c r="AK144" i="8"/>
  <c r="AJ145" i="8"/>
  <c r="AK145" i="8"/>
  <c r="AJ146" i="8"/>
  <c r="AK146" i="8"/>
  <c r="AJ147" i="8"/>
  <c r="AK147" i="8"/>
  <c r="AJ148" i="8"/>
  <c r="AK148" i="8"/>
  <c r="AJ149" i="8"/>
  <c r="AK149" i="8"/>
  <c r="AJ150" i="8"/>
  <c r="AK150" i="8"/>
  <c r="AJ151" i="8"/>
  <c r="AK151" i="8"/>
  <c r="AJ152" i="8"/>
  <c r="AK152" i="8"/>
  <c r="AJ153" i="8"/>
  <c r="AK153" i="8"/>
  <c r="AJ154" i="8"/>
  <c r="AK154" i="8"/>
  <c r="AJ155" i="8"/>
  <c r="AK155" i="8"/>
  <c r="AJ156" i="8"/>
  <c r="AK156" i="8"/>
  <c r="AJ157" i="8"/>
  <c r="AK157" i="8"/>
  <c r="AJ158" i="8"/>
  <c r="AK158" i="8"/>
  <c r="AJ159" i="8"/>
  <c r="AK159" i="8"/>
  <c r="AJ160" i="8"/>
  <c r="AK160" i="8"/>
  <c r="AJ161" i="8"/>
  <c r="AK161" i="8"/>
  <c r="AJ162" i="8"/>
  <c r="AK162" i="8"/>
  <c r="AJ163" i="8"/>
  <c r="AK163" i="8"/>
  <c r="AJ164" i="8"/>
  <c r="AK164" i="8"/>
  <c r="AJ165" i="8"/>
  <c r="AK165" i="8"/>
  <c r="AJ166" i="8"/>
  <c r="AK166" i="8"/>
  <c r="AJ167" i="8"/>
  <c r="AK167" i="8"/>
  <c r="AJ168" i="8"/>
  <c r="AK168" i="8"/>
  <c r="AJ169" i="8"/>
  <c r="AK169" i="8"/>
  <c r="AJ170" i="8"/>
  <c r="AK170" i="8"/>
  <c r="AJ171" i="8"/>
  <c r="AK171" i="8"/>
  <c r="AJ172" i="8"/>
  <c r="AK172" i="8"/>
  <c r="AJ173" i="8"/>
  <c r="AK173" i="8"/>
  <c r="AJ174" i="8"/>
  <c r="AK174" i="8"/>
  <c r="AJ175" i="8"/>
  <c r="AK175" i="8"/>
  <c r="AJ176" i="8"/>
  <c r="AK176" i="8"/>
  <c r="AJ177" i="8"/>
  <c r="AK177" i="8"/>
  <c r="AJ178" i="8"/>
  <c r="AK178" i="8"/>
  <c r="AJ179" i="8"/>
  <c r="AK179" i="8"/>
  <c r="AJ180" i="8"/>
  <c r="AK180" i="8"/>
  <c r="AJ181" i="8"/>
  <c r="AK181" i="8"/>
  <c r="AJ182" i="8"/>
  <c r="AK182" i="8"/>
  <c r="AJ183" i="8"/>
  <c r="AK183" i="8"/>
  <c r="AJ184" i="8"/>
  <c r="AK184" i="8"/>
  <c r="AJ185" i="8"/>
  <c r="AK185" i="8"/>
  <c r="AJ186" i="8"/>
  <c r="AK186" i="8"/>
  <c r="AJ187" i="8"/>
  <c r="AK187" i="8"/>
  <c r="AJ188" i="8"/>
  <c r="AK188" i="8"/>
  <c r="AJ189" i="8"/>
  <c r="AK189" i="8"/>
  <c r="AJ190" i="8"/>
  <c r="AK190" i="8"/>
  <c r="AJ191" i="8"/>
  <c r="AK191" i="8"/>
  <c r="AJ192" i="8"/>
  <c r="AK192" i="8"/>
  <c r="AJ193" i="8"/>
  <c r="AK193" i="8"/>
  <c r="AJ194" i="8"/>
  <c r="AK194" i="8"/>
  <c r="AJ195" i="8"/>
  <c r="AK195" i="8"/>
  <c r="AJ196" i="8"/>
  <c r="AK196" i="8"/>
  <c r="AJ197" i="8"/>
  <c r="AK197" i="8"/>
  <c r="AJ198" i="8"/>
  <c r="AK198" i="8"/>
  <c r="AJ199" i="8"/>
  <c r="AK199" i="8"/>
  <c r="AK2" i="8"/>
  <c r="AJ2" i="8"/>
  <c r="AL3" i="8"/>
  <c r="AM3" i="8"/>
  <c r="AL4" i="8"/>
  <c r="AM4" i="8"/>
  <c r="AL5" i="8"/>
  <c r="AM5" i="8"/>
  <c r="AL6" i="8"/>
  <c r="AM6" i="8"/>
  <c r="AL7" i="8"/>
  <c r="AM7" i="8"/>
  <c r="AL8" i="8"/>
  <c r="AM8" i="8"/>
  <c r="AL9" i="8"/>
  <c r="AM9" i="8"/>
  <c r="AL10" i="8"/>
  <c r="AM10" i="8"/>
  <c r="AL11" i="8"/>
  <c r="AM11" i="8"/>
  <c r="AL12" i="8"/>
  <c r="AM12" i="8"/>
  <c r="AL13" i="8"/>
  <c r="AM13" i="8"/>
  <c r="AL14" i="8"/>
  <c r="AM14" i="8"/>
  <c r="AL15" i="8"/>
  <c r="AM15" i="8"/>
  <c r="AL16" i="8"/>
  <c r="AM16" i="8"/>
  <c r="AL17" i="8"/>
  <c r="AM17" i="8"/>
  <c r="AL18" i="8"/>
  <c r="AM18" i="8"/>
  <c r="AL19" i="8"/>
  <c r="AM19" i="8"/>
  <c r="AL20" i="8"/>
  <c r="AM20" i="8"/>
  <c r="AL21" i="8"/>
  <c r="AM21" i="8"/>
  <c r="AL22" i="8"/>
  <c r="AM22" i="8"/>
  <c r="AL23" i="8"/>
  <c r="AM23" i="8"/>
  <c r="AL24" i="8"/>
  <c r="AM24" i="8"/>
  <c r="AL25" i="8"/>
  <c r="AM25" i="8"/>
  <c r="AL26" i="8"/>
  <c r="AM26" i="8"/>
  <c r="AL27" i="8"/>
  <c r="AM27" i="8"/>
  <c r="AL28" i="8"/>
  <c r="AM28" i="8"/>
  <c r="AL29" i="8"/>
  <c r="AM29" i="8"/>
  <c r="AL30" i="8"/>
  <c r="AM30" i="8"/>
  <c r="AL31" i="8"/>
  <c r="AM31" i="8"/>
  <c r="AL32" i="8"/>
  <c r="AM32" i="8"/>
  <c r="AL33" i="8"/>
  <c r="AM33" i="8"/>
  <c r="AL34" i="8"/>
  <c r="AM34" i="8"/>
  <c r="AL35" i="8"/>
  <c r="AM35" i="8"/>
  <c r="AL36" i="8"/>
  <c r="AM36" i="8"/>
  <c r="AL37" i="8"/>
  <c r="AM37" i="8"/>
  <c r="AL38" i="8"/>
  <c r="AM38" i="8"/>
  <c r="AL39" i="8"/>
  <c r="AM39" i="8"/>
  <c r="AL40" i="8"/>
  <c r="AM40" i="8"/>
  <c r="AL41" i="8"/>
  <c r="AM41" i="8"/>
  <c r="AL42" i="8"/>
  <c r="AM42" i="8"/>
  <c r="AL43" i="8"/>
  <c r="AM43" i="8"/>
  <c r="AL44" i="8"/>
  <c r="AM44" i="8"/>
  <c r="AL45" i="8"/>
  <c r="AM45" i="8"/>
  <c r="AL46" i="8"/>
  <c r="AM46" i="8"/>
  <c r="AL47" i="8"/>
  <c r="AM47" i="8"/>
  <c r="AL48" i="8"/>
  <c r="AM48" i="8"/>
  <c r="AL49" i="8"/>
  <c r="AM49" i="8"/>
  <c r="AL50" i="8"/>
  <c r="AM50" i="8"/>
  <c r="AL51" i="8"/>
  <c r="AM51" i="8"/>
  <c r="AL52" i="8"/>
  <c r="AM52" i="8"/>
  <c r="AL53" i="8"/>
  <c r="AM53" i="8"/>
  <c r="AL54" i="8"/>
  <c r="AM54" i="8"/>
  <c r="AL55" i="8"/>
  <c r="AM55" i="8"/>
  <c r="AL56" i="8"/>
  <c r="AM56" i="8"/>
  <c r="AL57" i="8"/>
  <c r="AM57" i="8"/>
  <c r="AL58" i="8"/>
  <c r="AM58" i="8"/>
  <c r="AL59" i="8"/>
  <c r="AM59" i="8"/>
  <c r="AL60" i="8"/>
  <c r="AM60" i="8"/>
  <c r="AL61" i="8"/>
  <c r="AM61" i="8"/>
  <c r="AL62" i="8"/>
  <c r="AM62" i="8"/>
  <c r="AL63" i="8"/>
  <c r="AM63" i="8"/>
  <c r="AL64" i="8"/>
  <c r="AM64" i="8"/>
  <c r="AL65" i="8"/>
  <c r="AM65" i="8"/>
  <c r="AL66" i="8"/>
  <c r="AM66" i="8"/>
  <c r="AL67" i="8"/>
  <c r="AM67" i="8"/>
  <c r="AL68" i="8"/>
  <c r="AM68" i="8"/>
  <c r="AL69" i="8"/>
  <c r="AM69" i="8"/>
  <c r="AL70" i="8"/>
  <c r="AM70" i="8"/>
  <c r="AL71" i="8"/>
  <c r="AM71" i="8"/>
  <c r="AL72" i="8"/>
  <c r="AM72" i="8"/>
  <c r="AL73" i="8"/>
  <c r="AM73" i="8"/>
  <c r="AL74" i="8"/>
  <c r="AM74" i="8"/>
  <c r="AL75" i="8"/>
  <c r="AM75" i="8"/>
  <c r="AL76" i="8"/>
  <c r="AM76" i="8"/>
  <c r="AL77" i="8"/>
  <c r="AM77" i="8"/>
  <c r="AL78" i="8"/>
  <c r="AM78" i="8"/>
  <c r="AL79" i="8"/>
  <c r="AM79" i="8"/>
  <c r="AL80" i="8"/>
  <c r="AM80" i="8"/>
  <c r="AL81" i="8"/>
  <c r="AM81" i="8"/>
  <c r="AL82" i="8"/>
  <c r="AM82" i="8"/>
  <c r="AL83" i="8"/>
  <c r="AM83" i="8"/>
  <c r="AL84" i="8"/>
  <c r="AM84" i="8"/>
  <c r="AL85" i="8"/>
  <c r="AM85" i="8"/>
  <c r="AL86" i="8"/>
  <c r="AM86" i="8"/>
  <c r="AL87" i="8"/>
  <c r="AM87" i="8"/>
  <c r="AL88" i="8"/>
  <c r="AM88" i="8"/>
  <c r="AL89" i="8"/>
  <c r="AM89" i="8"/>
  <c r="AL90" i="8"/>
  <c r="AM90" i="8"/>
  <c r="AL91" i="8"/>
  <c r="AM91" i="8"/>
  <c r="AL92" i="8"/>
  <c r="AM92" i="8"/>
  <c r="AL93" i="8"/>
  <c r="AM93" i="8"/>
  <c r="AL94" i="8"/>
  <c r="AM94" i="8"/>
  <c r="AL95" i="8"/>
  <c r="AM95" i="8"/>
  <c r="AL96" i="8"/>
  <c r="AM96" i="8"/>
  <c r="AL97" i="8"/>
  <c r="AM97" i="8"/>
  <c r="AL98" i="8"/>
  <c r="AM98" i="8"/>
  <c r="AL99" i="8"/>
  <c r="AM99" i="8"/>
  <c r="AL100" i="8"/>
  <c r="AM100" i="8"/>
  <c r="AL101" i="8"/>
  <c r="AM101" i="8"/>
  <c r="AL102" i="8"/>
  <c r="AM102" i="8"/>
  <c r="AL103" i="8"/>
  <c r="AM103" i="8"/>
  <c r="AL104" i="8"/>
  <c r="AM104" i="8"/>
  <c r="AL105" i="8"/>
  <c r="AM105" i="8"/>
  <c r="AL106" i="8"/>
  <c r="AM106" i="8"/>
  <c r="AL107" i="8"/>
  <c r="AM107" i="8"/>
  <c r="AL108" i="8"/>
  <c r="AM108" i="8"/>
  <c r="AL109" i="8"/>
  <c r="AM109" i="8"/>
  <c r="AL110" i="8"/>
  <c r="AM110" i="8"/>
  <c r="AL111" i="8"/>
  <c r="AM111" i="8"/>
  <c r="AL112" i="8"/>
  <c r="AM112" i="8"/>
  <c r="AL113" i="8"/>
  <c r="AM113" i="8"/>
  <c r="AL114" i="8"/>
  <c r="AM114" i="8"/>
  <c r="AL115" i="8"/>
  <c r="AM115" i="8"/>
  <c r="AL116" i="8"/>
  <c r="AM116" i="8"/>
  <c r="AL117" i="8"/>
  <c r="AM117" i="8"/>
  <c r="AL118" i="8"/>
  <c r="AM118" i="8"/>
  <c r="AL119" i="8"/>
  <c r="AM119" i="8"/>
  <c r="AL120" i="8"/>
  <c r="AM120" i="8"/>
  <c r="AL121" i="8"/>
  <c r="AM121" i="8"/>
  <c r="AL122" i="8"/>
  <c r="AM122" i="8"/>
  <c r="AL123" i="8"/>
  <c r="AM123" i="8"/>
  <c r="AL124" i="8"/>
  <c r="AM124" i="8"/>
  <c r="AL125" i="8"/>
  <c r="AM125" i="8"/>
  <c r="AL126" i="8"/>
  <c r="AM126" i="8"/>
  <c r="AL127" i="8"/>
  <c r="AM127" i="8"/>
  <c r="AL128" i="8"/>
  <c r="AM128" i="8"/>
  <c r="AL129" i="8"/>
  <c r="AM129" i="8"/>
  <c r="AL130" i="8"/>
  <c r="AM130" i="8"/>
  <c r="AL131" i="8"/>
  <c r="AM131" i="8"/>
  <c r="AL132" i="8"/>
  <c r="AM132" i="8"/>
  <c r="AL133" i="8"/>
  <c r="AM133" i="8"/>
  <c r="AL134" i="8"/>
  <c r="AM134" i="8"/>
  <c r="AL135" i="8"/>
  <c r="AM135" i="8"/>
  <c r="AL136" i="8"/>
  <c r="AM136" i="8"/>
  <c r="AL137" i="8"/>
  <c r="AM137" i="8"/>
  <c r="AL138" i="8"/>
  <c r="AM138" i="8"/>
  <c r="AL139" i="8"/>
  <c r="AM139" i="8"/>
  <c r="AL140" i="8"/>
  <c r="AM140" i="8"/>
  <c r="AL141" i="8"/>
  <c r="AM141" i="8"/>
  <c r="AL142" i="8"/>
  <c r="AM142" i="8"/>
  <c r="AL143" i="8"/>
  <c r="AM143" i="8"/>
  <c r="AL144" i="8"/>
  <c r="AM144" i="8"/>
  <c r="AL145" i="8"/>
  <c r="AM145" i="8"/>
  <c r="AL146" i="8"/>
  <c r="AM146" i="8"/>
  <c r="AL147" i="8"/>
  <c r="AM147" i="8"/>
  <c r="AL148" i="8"/>
  <c r="AM148" i="8"/>
  <c r="AL149" i="8"/>
  <c r="AM149" i="8"/>
  <c r="AL150" i="8"/>
  <c r="AM150" i="8"/>
  <c r="AL151" i="8"/>
  <c r="AM151" i="8"/>
  <c r="AL152" i="8"/>
  <c r="AM152" i="8"/>
  <c r="AL153" i="8"/>
  <c r="AM153" i="8"/>
  <c r="AL154" i="8"/>
  <c r="AM154" i="8"/>
  <c r="AL155" i="8"/>
  <c r="AM155" i="8"/>
  <c r="AL156" i="8"/>
  <c r="AM156" i="8"/>
  <c r="AL157" i="8"/>
  <c r="AM157" i="8"/>
  <c r="AL158" i="8"/>
  <c r="AM158" i="8"/>
  <c r="AL159" i="8"/>
  <c r="AM159" i="8"/>
  <c r="AL160" i="8"/>
  <c r="AM160" i="8"/>
  <c r="AL161" i="8"/>
  <c r="AM161" i="8"/>
  <c r="AL162" i="8"/>
  <c r="AM162" i="8"/>
  <c r="AL163" i="8"/>
  <c r="AM163" i="8"/>
  <c r="AL164" i="8"/>
  <c r="AM164" i="8"/>
  <c r="AL165" i="8"/>
  <c r="AM165" i="8"/>
  <c r="AL166" i="8"/>
  <c r="AM166" i="8"/>
  <c r="AL167" i="8"/>
  <c r="AM167" i="8"/>
  <c r="AL168" i="8"/>
  <c r="AM168" i="8"/>
  <c r="AL169" i="8"/>
  <c r="AM169" i="8"/>
  <c r="AL170" i="8"/>
  <c r="AM170" i="8"/>
  <c r="AL171" i="8"/>
  <c r="AM171" i="8"/>
  <c r="AL172" i="8"/>
  <c r="AM172" i="8"/>
  <c r="AL173" i="8"/>
  <c r="AM173" i="8"/>
  <c r="AL174" i="8"/>
  <c r="AM174" i="8"/>
  <c r="AL175" i="8"/>
  <c r="AM175" i="8"/>
  <c r="AL176" i="8"/>
  <c r="AM176" i="8"/>
  <c r="AL177" i="8"/>
  <c r="AM177" i="8"/>
  <c r="AL178" i="8"/>
  <c r="AM178" i="8"/>
  <c r="AL179" i="8"/>
  <c r="AM179" i="8"/>
  <c r="AL180" i="8"/>
  <c r="AM180" i="8"/>
  <c r="AL181" i="8"/>
  <c r="AM181" i="8"/>
  <c r="AL182" i="8"/>
  <c r="AM182" i="8"/>
  <c r="AL183" i="8"/>
  <c r="AM183" i="8"/>
  <c r="AL184" i="8"/>
  <c r="AM184" i="8"/>
  <c r="AL185" i="8"/>
  <c r="AM185" i="8"/>
  <c r="AL186" i="8"/>
  <c r="AM186" i="8"/>
  <c r="AL187" i="8"/>
  <c r="AM187" i="8"/>
  <c r="AL188" i="8"/>
  <c r="AM188" i="8"/>
  <c r="AL189" i="8"/>
  <c r="AM189" i="8"/>
  <c r="AL190" i="8"/>
  <c r="AM190" i="8"/>
  <c r="AL191" i="8"/>
  <c r="AM191" i="8"/>
  <c r="AL192" i="8"/>
  <c r="AM192" i="8"/>
  <c r="AL193" i="8"/>
  <c r="AM193" i="8"/>
  <c r="AL194" i="8"/>
  <c r="AM194" i="8"/>
  <c r="AL195" i="8"/>
  <c r="AM195" i="8"/>
  <c r="AL196" i="8"/>
  <c r="AM196" i="8"/>
  <c r="AL197" i="8"/>
  <c r="AM197" i="8"/>
  <c r="AL198" i="8"/>
  <c r="AM198" i="8"/>
  <c r="AL199" i="8"/>
  <c r="AM199" i="8"/>
  <c r="AM2" i="8"/>
  <c r="AL2" i="8"/>
  <c r="AG3" i="8"/>
  <c r="AH3" i="8"/>
  <c r="AG4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" i="8"/>
  <c r="AJ3" i="1"/>
  <c r="AC6" i="1" l="1"/>
  <c r="AF5" i="1"/>
  <c r="L8" i="1"/>
  <c r="N9" i="1"/>
  <c r="Y7" i="1"/>
  <c r="Z7" i="1"/>
  <c r="N1247" i="1"/>
  <c r="Y1246" i="1"/>
  <c r="Z1246" i="1"/>
  <c r="AH6" i="1"/>
  <c r="AE5" i="8"/>
  <c r="AG6" i="1"/>
  <c r="AD5" i="8"/>
  <c r="AI6" i="1"/>
  <c r="AF5" i="8"/>
  <c r="E96" i="1"/>
  <c r="AQ95" i="1"/>
  <c r="AN74" i="8"/>
  <c r="AP74" i="8" s="1"/>
  <c r="AN114" i="8"/>
  <c r="AP114" i="8" s="1"/>
  <c r="AN98" i="8"/>
  <c r="AP98" i="8" s="1"/>
  <c r="AN194" i="8"/>
  <c r="AP194" i="8" s="1"/>
  <c r="AN146" i="8"/>
  <c r="AP146" i="8" s="1"/>
  <c r="AN82" i="8"/>
  <c r="AP82" i="8" s="1"/>
  <c r="AN26" i="8"/>
  <c r="AP26" i="8" s="1"/>
  <c r="AN162" i="8"/>
  <c r="AP162" i="8" s="1"/>
  <c r="AN122" i="8"/>
  <c r="AP122" i="8" s="1"/>
  <c r="AN50" i="8"/>
  <c r="AP50" i="8" s="1"/>
  <c r="AN10" i="8"/>
  <c r="AP10" i="8" s="1"/>
  <c r="AN178" i="8"/>
  <c r="AP178" i="8" s="1"/>
  <c r="AN130" i="8"/>
  <c r="AP130" i="8" s="1"/>
  <c r="AN58" i="8"/>
  <c r="AP58" i="8" s="1"/>
  <c r="AN18" i="8"/>
  <c r="AP18" i="8" s="1"/>
  <c r="AN106" i="8"/>
  <c r="AP106" i="8" s="1"/>
  <c r="AN170" i="8"/>
  <c r="AN138" i="8"/>
  <c r="AN66" i="8"/>
  <c r="AP66" i="8" s="1"/>
  <c r="AN42" i="8"/>
  <c r="AP42" i="8" s="1"/>
  <c r="AN186" i="8"/>
  <c r="AP186" i="8" s="1"/>
  <c r="AN154" i="8"/>
  <c r="AP154" i="8" s="1"/>
  <c r="AN90" i="8"/>
  <c r="AP90" i="8" s="1"/>
  <c r="AN34" i="8"/>
  <c r="AP34" i="8" s="1"/>
  <c r="AN2" i="8"/>
  <c r="AP2" i="8" s="1"/>
  <c r="AR2" i="8" s="1"/>
  <c r="AN177" i="8"/>
  <c r="AP177" i="8" s="1"/>
  <c r="AN137" i="8"/>
  <c r="AP137" i="8" s="1"/>
  <c r="AN97" i="8"/>
  <c r="AP97" i="8" s="1"/>
  <c r="AN41" i="8"/>
  <c r="AP41" i="8" s="1"/>
  <c r="AN192" i="8"/>
  <c r="AP192" i="8" s="1"/>
  <c r="AN152" i="8"/>
  <c r="AP152" i="8" s="1"/>
  <c r="AN112" i="8"/>
  <c r="AP112" i="8" s="1"/>
  <c r="AN72" i="8"/>
  <c r="AP72" i="8" s="1"/>
  <c r="AN32" i="8"/>
  <c r="AP32" i="8" s="1"/>
  <c r="AN199" i="8"/>
  <c r="AP199" i="8" s="1"/>
  <c r="AN191" i="8"/>
  <c r="AN183" i="8"/>
  <c r="AP183" i="8" s="1"/>
  <c r="AN175" i="8"/>
  <c r="AP175" i="8" s="1"/>
  <c r="AN167" i="8"/>
  <c r="AP167" i="8" s="1"/>
  <c r="AN159" i="8"/>
  <c r="AP159" i="8" s="1"/>
  <c r="AN151" i="8"/>
  <c r="AP151" i="8" s="1"/>
  <c r="AN143" i="8"/>
  <c r="AP143" i="8" s="1"/>
  <c r="AN135" i="8"/>
  <c r="AP135" i="8" s="1"/>
  <c r="AN127" i="8"/>
  <c r="AP127" i="8" s="1"/>
  <c r="AN119" i="8"/>
  <c r="AP119" i="8" s="1"/>
  <c r="AN111" i="8"/>
  <c r="AP111" i="8" s="1"/>
  <c r="AN103" i="8"/>
  <c r="AP103" i="8" s="1"/>
  <c r="AN95" i="8"/>
  <c r="AP95" i="8" s="1"/>
  <c r="AN87" i="8"/>
  <c r="AP87" i="8" s="1"/>
  <c r="AN79" i="8"/>
  <c r="AP79" i="8" s="1"/>
  <c r="AN71" i="8"/>
  <c r="AP71" i="8" s="1"/>
  <c r="AN63" i="8"/>
  <c r="AP63" i="8" s="1"/>
  <c r="AN55" i="8"/>
  <c r="AP55" i="8" s="1"/>
  <c r="AN47" i="8"/>
  <c r="AP47" i="8" s="1"/>
  <c r="AN39" i="8"/>
  <c r="AP39" i="8" s="1"/>
  <c r="AN31" i="8"/>
  <c r="AP31" i="8" s="1"/>
  <c r="AN23" i="8"/>
  <c r="AP23" i="8" s="1"/>
  <c r="AN15" i="8"/>
  <c r="AP15" i="8" s="1"/>
  <c r="AN7" i="8"/>
  <c r="AP7" i="8" s="1"/>
  <c r="AN185" i="8"/>
  <c r="AP185" i="8" s="1"/>
  <c r="AN145" i="8"/>
  <c r="AP145" i="8" s="1"/>
  <c r="AN113" i="8"/>
  <c r="AP113" i="8" s="1"/>
  <c r="AN89" i="8"/>
  <c r="AP89" i="8" s="1"/>
  <c r="AN57" i="8"/>
  <c r="AP57" i="8" s="1"/>
  <c r="AN17" i="8"/>
  <c r="AN168" i="8"/>
  <c r="AN128" i="8"/>
  <c r="AP128" i="8" s="1"/>
  <c r="AN88" i="8"/>
  <c r="AP88" i="8" s="1"/>
  <c r="AN40" i="8"/>
  <c r="AP40" i="8" s="1"/>
  <c r="AN198" i="8"/>
  <c r="AP198" i="8" s="1"/>
  <c r="AN190" i="8"/>
  <c r="AP190" i="8" s="1"/>
  <c r="AN182" i="8"/>
  <c r="AP182" i="8" s="1"/>
  <c r="AN174" i="8"/>
  <c r="AP174" i="8" s="1"/>
  <c r="AN166" i="8"/>
  <c r="AP166" i="8" s="1"/>
  <c r="AN158" i="8"/>
  <c r="AP158" i="8" s="1"/>
  <c r="AN150" i="8"/>
  <c r="AP150" i="8" s="1"/>
  <c r="AN142" i="8"/>
  <c r="AP142" i="8" s="1"/>
  <c r="AN134" i="8"/>
  <c r="AP134" i="8" s="1"/>
  <c r="AN126" i="8"/>
  <c r="AP126" i="8" s="1"/>
  <c r="AN118" i="8"/>
  <c r="AP118" i="8" s="1"/>
  <c r="AN110" i="8"/>
  <c r="AP110" i="8" s="1"/>
  <c r="AN102" i="8"/>
  <c r="AP102" i="8" s="1"/>
  <c r="AN94" i="8"/>
  <c r="AP94" i="8" s="1"/>
  <c r="AN86" i="8"/>
  <c r="AP86" i="8" s="1"/>
  <c r="AN78" i="8"/>
  <c r="AP78" i="8" s="1"/>
  <c r="AN70" i="8"/>
  <c r="AP70" i="8" s="1"/>
  <c r="AN62" i="8"/>
  <c r="AP62" i="8" s="1"/>
  <c r="AN54" i="8"/>
  <c r="AP54" i="8" s="1"/>
  <c r="AN46" i="8"/>
  <c r="AP46" i="8" s="1"/>
  <c r="AN38" i="8"/>
  <c r="AP38" i="8" s="1"/>
  <c r="AN30" i="8"/>
  <c r="AP30" i="8" s="1"/>
  <c r="AN22" i="8"/>
  <c r="AP22" i="8" s="1"/>
  <c r="AN14" i="8"/>
  <c r="AP14" i="8" s="1"/>
  <c r="AN6" i="8"/>
  <c r="AP6" i="8" s="1"/>
  <c r="AN193" i="8"/>
  <c r="AP193" i="8" s="1"/>
  <c r="AN153" i="8"/>
  <c r="AP153" i="8" s="1"/>
  <c r="AN105" i="8"/>
  <c r="AN65" i="8"/>
  <c r="AP65" i="8" s="1"/>
  <c r="AN49" i="8"/>
  <c r="AP49" i="8" s="1"/>
  <c r="AN9" i="8"/>
  <c r="AP9" i="8" s="1"/>
  <c r="AN176" i="8"/>
  <c r="AP176" i="8" s="1"/>
  <c r="AN136" i="8"/>
  <c r="AP136" i="8" s="1"/>
  <c r="AN96" i="8"/>
  <c r="AP96" i="8" s="1"/>
  <c r="AN56" i="8"/>
  <c r="AP56" i="8" s="1"/>
  <c r="AN16" i="8"/>
  <c r="AP16" i="8" s="1"/>
  <c r="AN197" i="8"/>
  <c r="AP197" i="8" s="1"/>
  <c r="AN189" i="8"/>
  <c r="AP189" i="8" s="1"/>
  <c r="AN181" i="8"/>
  <c r="AP181" i="8" s="1"/>
  <c r="AN173" i="8"/>
  <c r="AP173" i="8" s="1"/>
  <c r="AN165" i="8"/>
  <c r="AP165" i="8" s="1"/>
  <c r="AN157" i="8"/>
  <c r="AP157" i="8" s="1"/>
  <c r="AN149" i="8"/>
  <c r="AP149" i="8" s="1"/>
  <c r="AN141" i="8"/>
  <c r="AP141" i="8" s="1"/>
  <c r="AN133" i="8"/>
  <c r="AP133" i="8" s="1"/>
  <c r="AN125" i="8"/>
  <c r="AP125" i="8" s="1"/>
  <c r="AN117" i="8"/>
  <c r="AP117" i="8" s="1"/>
  <c r="AN109" i="8"/>
  <c r="AP109" i="8" s="1"/>
  <c r="AN101" i="8"/>
  <c r="AP101" i="8" s="1"/>
  <c r="AN93" i="8"/>
  <c r="AP93" i="8" s="1"/>
  <c r="AN85" i="8"/>
  <c r="AP85" i="8" s="1"/>
  <c r="AN77" i="8"/>
  <c r="AP77" i="8" s="1"/>
  <c r="AN69" i="8"/>
  <c r="AP69" i="8" s="1"/>
  <c r="AN61" i="8"/>
  <c r="AP61" i="8" s="1"/>
  <c r="AN53" i="8"/>
  <c r="AP53" i="8" s="1"/>
  <c r="AN45" i="8"/>
  <c r="AP45" i="8" s="1"/>
  <c r="AN37" i="8"/>
  <c r="AP37" i="8" s="1"/>
  <c r="AN29" i="8"/>
  <c r="AP29" i="8" s="1"/>
  <c r="AN21" i="8"/>
  <c r="AP21" i="8" s="1"/>
  <c r="AN13" i="8"/>
  <c r="AP13" i="8" s="1"/>
  <c r="AN5" i="8"/>
  <c r="AP5" i="8" s="1"/>
  <c r="AN161" i="8"/>
  <c r="AP161" i="8" s="1"/>
  <c r="AN129" i="8"/>
  <c r="AP129" i="8" s="1"/>
  <c r="AN81" i="8"/>
  <c r="AP81" i="8" s="1"/>
  <c r="AN25" i="8"/>
  <c r="AP25" i="8" s="1"/>
  <c r="AN160" i="8"/>
  <c r="AP160" i="8" s="1"/>
  <c r="AN120" i="8"/>
  <c r="AP120" i="8" s="1"/>
  <c r="AN80" i="8"/>
  <c r="AP80" i="8" s="1"/>
  <c r="AN48" i="8"/>
  <c r="AP48" i="8" s="1"/>
  <c r="AN8" i="8"/>
  <c r="AP8" i="8" s="1"/>
  <c r="AN196" i="8"/>
  <c r="AP196" i="8" s="1"/>
  <c r="AN188" i="8"/>
  <c r="AP188" i="8" s="1"/>
  <c r="AN180" i="8"/>
  <c r="AP180" i="8" s="1"/>
  <c r="AN172" i="8"/>
  <c r="AP172" i="8" s="1"/>
  <c r="AN164" i="8"/>
  <c r="AP164" i="8" s="1"/>
  <c r="AN156" i="8"/>
  <c r="AN148" i="8"/>
  <c r="AP148" i="8" s="1"/>
  <c r="AN140" i="8"/>
  <c r="AP140" i="8" s="1"/>
  <c r="AN132" i="8"/>
  <c r="AP132" i="8" s="1"/>
  <c r="AN124" i="8"/>
  <c r="AP124" i="8" s="1"/>
  <c r="AN116" i="8"/>
  <c r="AP116" i="8" s="1"/>
  <c r="AN108" i="8"/>
  <c r="AP108" i="8" s="1"/>
  <c r="AN100" i="8"/>
  <c r="AP100" i="8" s="1"/>
  <c r="AN92" i="8"/>
  <c r="AP92" i="8" s="1"/>
  <c r="AN84" i="8"/>
  <c r="AP84" i="8" s="1"/>
  <c r="AN76" i="8"/>
  <c r="AP76" i="8" s="1"/>
  <c r="AN68" i="8"/>
  <c r="AP68" i="8" s="1"/>
  <c r="AN60" i="8"/>
  <c r="AP60" i="8" s="1"/>
  <c r="AN52" i="8"/>
  <c r="AP52" i="8" s="1"/>
  <c r="AN44" i="8"/>
  <c r="AP44" i="8" s="1"/>
  <c r="AN36" i="8"/>
  <c r="AP36" i="8" s="1"/>
  <c r="AN28" i="8"/>
  <c r="AP28" i="8" s="1"/>
  <c r="AN20" i="8"/>
  <c r="AP20" i="8" s="1"/>
  <c r="AN12" i="8"/>
  <c r="AP12" i="8" s="1"/>
  <c r="AN4" i="8"/>
  <c r="AP4" i="8" s="1"/>
  <c r="AN169" i="8"/>
  <c r="AP169" i="8" s="1"/>
  <c r="AN121" i="8"/>
  <c r="AP121" i="8" s="1"/>
  <c r="AN73" i="8"/>
  <c r="AP73" i="8" s="1"/>
  <c r="AN33" i="8"/>
  <c r="AP33" i="8" s="1"/>
  <c r="AN184" i="8"/>
  <c r="AP184" i="8" s="1"/>
  <c r="AN144" i="8"/>
  <c r="AP144" i="8" s="1"/>
  <c r="AN104" i="8"/>
  <c r="AP104" i="8" s="1"/>
  <c r="AN64" i="8"/>
  <c r="AP64" i="8" s="1"/>
  <c r="AN24" i="8"/>
  <c r="AP24" i="8" s="1"/>
  <c r="AN195" i="8"/>
  <c r="AP195" i="8" s="1"/>
  <c r="AN187" i="8"/>
  <c r="AP187" i="8" s="1"/>
  <c r="AN179" i="8"/>
  <c r="AP179" i="8" s="1"/>
  <c r="AN171" i="8"/>
  <c r="AP171" i="8" s="1"/>
  <c r="AN163" i="8"/>
  <c r="AP163" i="8" s="1"/>
  <c r="AN155" i="8"/>
  <c r="AP155" i="8" s="1"/>
  <c r="AN147" i="8"/>
  <c r="AP147" i="8" s="1"/>
  <c r="AN139" i="8"/>
  <c r="AP139" i="8" s="1"/>
  <c r="AN131" i="8"/>
  <c r="AP131" i="8" s="1"/>
  <c r="AN123" i="8"/>
  <c r="AP123" i="8" s="1"/>
  <c r="AN115" i="8"/>
  <c r="AP115" i="8" s="1"/>
  <c r="AN107" i="8"/>
  <c r="AP107" i="8" s="1"/>
  <c r="AN99" i="8"/>
  <c r="AP99" i="8" s="1"/>
  <c r="AN91" i="8"/>
  <c r="AP91" i="8" s="1"/>
  <c r="AN83" i="8"/>
  <c r="AP83" i="8" s="1"/>
  <c r="AN75" i="8"/>
  <c r="AP75" i="8" s="1"/>
  <c r="AN67" i="8"/>
  <c r="AP67" i="8" s="1"/>
  <c r="AN59" i="8"/>
  <c r="AP59" i="8" s="1"/>
  <c r="AN51" i="8"/>
  <c r="AP51" i="8" s="1"/>
  <c r="AN43" i="8"/>
  <c r="AP43" i="8" s="1"/>
  <c r="AN35" i="8"/>
  <c r="AP35" i="8" s="1"/>
  <c r="AN27" i="8"/>
  <c r="AP27" i="8" s="1"/>
  <c r="AN19" i="8"/>
  <c r="AP19" i="8" s="1"/>
  <c r="AN11" i="8"/>
  <c r="AP11" i="8" s="1"/>
  <c r="AN3" i="8"/>
  <c r="AP3" i="8" s="1"/>
  <c r="AO176" i="8"/>
  <c r="AQ176" i="8" s="1"/>
  <c r="AI2" i="8"/>
  <c r="AY2" i="8" s="1"/>
  <c r="AP191" i="8"/>
  <c r="AO199" i="8"/>
  <c r="AQ199" i="8" s="1"/>
  <c r="AO135" i="8"/>
  <c r="AQ135" i="8" s="1"/>
  <c r="AO175" i="8"/>
  <c r="AQ175" i="8" s="1"/>
  <c r="AO151" i="8"/>
  <c r="AQ151" i="8" s="1"/>
  <c r="W3" i="8"/>
  <c r="AO95" i="8"/>
  <c r="AQ95" i="8" s="1"/>
  <c r="AO79" i="8"/>
  <c r="AQ79" i="8" s="1"/>
  <c r="AO71" i="8"/>
  <c r="AQ71" i="8" s="1"/>
  <c r="AP168" i="8"/>
  <c r="AO143" i="8"/>
  <c r="AQ143" i="8" s="1"/>
  <c r="AO47" i="8"/>
  <c r="AQ47" i="8" s="1"/>
  <c r="AP138" i="8"/>
  <c r="AO97" i="8"/>
  <c r="AQ97" i="8" s="1"/>
  <c r="AO89" i="8"/>
  <c r="AQ89" i="8" s="1"/>
  <c r="AO127" i="8"/>
  <c r="AQ127" i="8" s="1"/>
  <c r="AO88" i="8"/>
  <c r="AQ88" i="8" s="1"/>
  <c r="AO144" i="8"/>
  <c r="AQ144" i="8" s="1"/>
  <c r="AO128" i="8"/>
  <c r="AQ128" i="8" s="1"/>
  <c r="AO120" i="8"/>
  <c r="AQ120" i="8" s="1"/>
  <c r="AO104" i="8"/>
  <c r="AQ104" i="8" s="1"/>
  <c r="AO96" i="8"/>
  <c r="AQ96" i="8" s="1"/>
  <c r="AO80" i="8"/>
  <c r="AQ80" i="8" s="1"/>
  <c r="AO87" i="8"/>
  <c r="AQ87" i="8" s="1"/>
  <c r="AO63" i="8"/>
  <c r="AQ63" i="8" s="1"/>
  <c r="AO15" i="8"/>
  <c r="AQ15" i="8" s="1"/>
  <c r="AI4" i="8"/>
  <c r="AO174" i="8"/>
  <c r="AQ174" i="8" s="1"/>
  <c r="AO142" i="8"/>
  <c r="AQ142" i="8" s="1"/>
  <c r="AI3" i="8"/>
  <c r="AY3" i="8" s="1"/>
  <c r="AO45" i="8"/>
  <c r="AQ45" i="8" s="1"/>
  <c r="AO78" i="8"/>
  <c r="AQ78" i="8" s="1"/>
  <c r="AO7" i="8"/>
  <c r="AQ7" i="8" s="1"/>
  <c r="AP156" i="8"/>
  <c r="AP170" i="8"/>
  <c r="AO126" i="8"/>
  <c r="AQ126" i="8" s="1"/>
  <c r="AO94" i="8"/>
  <c r="AQ94" i="8" s="1"/>
  <c r="AS2" i="8"/>
  <c r="AO62" i="8"/>
  <c r="AQ62" i="8" s="1"/>
  <c r="AO14" i="8"/>
  <c r="AQ14" i="8" s="1"/>
  <c r="AO12" i="8"/>
  <c r="AQ12" i="8" s="1"/>
  <c r="AO125" i="8"/>
  <c r="AQ125" i="8" s="1"/>
  <c r="AO124" i="8"/>
  <c r="AQ124" i="8" s="1"/>
  <c r="AO183" i="8"/>
  <c r="AQ183" i="8" s="1"/>
  <c r="AO119" i="8"/>
  <c r="AQ119" i="8" s="1"/>
  <c r="AO42" i="8"/>
  <c r="AQ42" i="8" s="1"/>
  <c r="AO177" i="8"/>
  <c r="AQ177" i="8" s="1"/>
  <c r="AO111" i="8"/>
  <c r="AQ111" i="8" s="1"/>
  <c r="AO39" i="8"/>
  <c r="AQ39" i="8" s="1"/>
  <c r="AO110" i="8"/>
  <c r="AQ110" i="8" s="1"/>
  <c r="AO109" i="8"/>
  <c r="AQ109" i="8" s="1"/>
  <c r="AO172" i="8"/>
  <c r="AQ172" i="8" s="1"/>
  <c r="AO108" i="8"/>
  <c r="AQ108" i="8" s="1"/>
  <c r="AO159" i="8"/>
  <c r="AQ159" i="8" s="1"/>
  <c r="AO103" i="8"/>
  <c r="AQ103" i="8" s="1"/>
  <c r="AO157" i="8"/>
  <c r="AQ157" i="8" s="1"/>
  <c r="AO92" i="8"/>
  <c r="AQ92" i="8" s="1"/>
  <c r="AO193" i="8"/>
  <c r="AQ193" i="8" s="1"/>
  <c r="AO57" i="8"/>
  <c r="AQ57" i="8" s="1"/>
  <c r="AO41" i="8"/>
  <c r="AQ41" i="8" s="1"/>
  <c r="AO9" i="8"/>
  <c r="AQ9" i="8" s="1"/>
  <c r="AO156" i="8"/>
  <c r="AQ156" i="8" s="1"/>
  <c r="AO136" i="8"/>
  <c r="AQ136" i="8" s="1"/>
  <c r="AO77" i="8"/>
  <c r="AQ77" i="8" s="1"/>
  <c r="AO145" i="8"/>
  <c r="AQ145" i="8" s="1"/>
  <c r="AO129" i="8"/>
  <c r="AQ129" i="8" s="1"/>
  <c r="AO46" i="8"/>
  <c r="AQ46" i="8" s="1"/>
  <c r="AO2" i="8"/>
  <c r="AQ2" i="8" s="1"/>
  <c r="AO61" i="8"/>
  <c r="AQ61" i="8" s="1"/>
  <c r="AO33" i="8"/>
  <c r="AQ33" i="8" s="1"/>
  <c r="AO56" i="8"/>
  <c r="AQ56" i="8" s="1"/>
  <c r="AO48" i="8"/>
  <c r="AQ48" i="8" s="1"/>
  <c r="AO32" i="8"/>
  <c r="AQ32" i="8" s="1"/>
  <c r="AO40" i="8"/>
  <c r="AQ40" i="8" s="1"/>
  <c r="AO31" i="8"/>
  <c r="AQ31" i="8" s="1"/>
  <c r="AO30" i="8"/>
  <c r="AQ30" i="8" s="1"/>
  <c r="AO23" i="8"/>
  <c r="AQ23" i="8" s="1"/>
  <c r="AP17" i="8"/>
  <c r="AO16" i="8"/>
  <c r="AQ16" i="8" s="1"/>
  <c r="AO187" i="8"/>
  <c r="AQ187" i="8" s="1"/>
  <c r="AO161" i="8"/>
  <c r="AQ161" i="8" s="1"/>
  <c r="AO140" i="8"/>
  <c r="AQ140" i="8" s="1"/>
  <c r="AO93" i="8"/>
  <c r="AQ93" i="8" s="1"/>
  <c r="AO72" i="8"/>
  <c r="AO25" i="8"/>
  <c r="AQ25" i="8" s="1"/>
  <c r="AO186" i="8"/>
  <c r="AQ186" i="8" s="1"/>
  <c r="AO160" i="8"/>
  <c r="AQ160" i="8" s="1"/>
  <c r="AO139" i="8"/>
  <c r="AQ139" i="8" s="1"/>
  <c r="AO113" i="8"/>
  <c r="AQ113" i="8" s="1"/>
  <c r="AO24" i="8"/>
  <c r="AQ24" i="8" s="1"/>
  <c r="AO185" i="8"/>
  <c r="AQ185" i="8" s="1"/>
  <c r="AO138" i="8"/>
  <c r="AO112" i="8"/>
  <c r="AQ112" i="8" s="1"/>
  <c r="AO91" i="8"/>
  <c r="AQ91" i="8" s="1"/>
  <c r="AO65" i="8"/>
  <c r="AQ65" i="8" s="1"/>
  <c r="AO44" i="8"/>
  <c r="AQ44" i="8" s="1"/>
  <c r="AO184" i="8"/>
  <c r="AO158" i="8"/>
  <c r="AQ158" i="8" s="1"/>
  <c r="AO137" i="8"/>
  <c r="AQ137" i="8" s="1"/>
  <c r="AO90" i="8"/>
  <c r="AO64" i="8"/>
  <c r="AQ64" i="8" s="1"/>
  <c r="AO43" i="8"/>
  <c r="AQ43" i="8" s="1"/>
  <c r="AO17" i="8"/>
  <c r="AQ17" i="8" s="1"/>
  <c r="AO155" i="8"/>
  <c r="AQ155" i="8" s="1"/>
  <c r="AO154" i="8"/>
  <c r="AO107" i="8"/>
  <c r="AQ107" i="8" s="1"/>
  <c r="AO81" i="8"/>
  <c r="AQ81" i="8" s="1"/>
  <c r="AO60" i="8"/>
  <c r="AQ60" i="8" s="1"/>
  <c r="AO13" i="8"/>
  <c r="AQ13" i="8" s="1"/>
  <c r="AP105" i="8"/>
  <c r="AO153" i="8"/>
  <c r="AQ153" i="8" s="1"/>
  <c r="AO106" i="8"/>
  <c r="AQ106" i="8" s="1"/>
  <c r="AO59" i="8"/>
  <c r="AQ59" i="8" s="1"/>
  <c r="AO173" i="8"/>
  <c r="AQ173" i="8" s="1"/>
  <c r="AO152" i="8"/>
  <c r="AO105" i="8"/>
  <c r="AQ105" i="8" s="1"/>
  <c r="AO58" i="8"/>
  <c r="AQ58" i="8" s="1"/>
  <c r="AO11" i="8"/>
  <c r="AQ11" i="8" s="1"/>
  <c r="AO10" i="8"/>
  <c r="AQ10" i="8" s="1"/>
  <c r="AO192" i="8"/>
  <c r="AQ192" i="8" s="1"/>
  <c r="AO171" i="8"/>
  <c r="AQ171" i="8" s="1"/>
  <c r="AO191" i="8"/>
  <c r="AQ191" i="8" s="1"/>
  <c r="AO170" i="8"/>
  <c r="AO123" i="8"/>
  <c r="AQ123" i="8" s="1"/>
  <c r="AO76" i="8"/>
  <c r="AQ76" i="8" s="1"/>
  <c r="AO55" i="8"/>
  <c r="AQ55" i="8" s="1"/>
  <c r="AO29" i="8"/>
  <c r="AQ29" i="8" s="1"/>
  <c r="AO8" i="8"/>
  <c r="AQ8" i="8" s="1"/>
  <c r="AO190" i="8"/>
  <c r="AQ190" i="8" s="1"/>
  <c r="AO169" i="8"/>
  <c r="AQ169" i="8" s="1"/>
  <c r="AO122" i="8"/>
  <c r="AO75" i="8"/>
  <c r="AQ75" i="8" s="1"/>
  <c r="AO49" i="8"/>
  <c r="AO28" i="8"/>
  <c r="AQ28" i="8" s="1"/>
  <c r="AO189" i="8"/>
  <c r="AQ189" i="8" s="1"/>
  <c r="AO168" i="8"/>
  <c r="AO121" i="8"/>
  <c r="AQ121" i="8" s="1"/>
  <c r="AO74" i="8"/>
  <c r="AQ74" i="8" s="1"/>
  <c r="AO27" i="8"/>
  <c r="AQ27" i="8" s="1"/>
  <c r="AO188" i="8"/>
  <c r="AQ188" i="8" s="1"/>
  <c r="AO167" i="8"/>
  <c r="AQ167" i="8" s="1"/>
  <c r="AO141" i="8"/>
  <c r="AQ141" i="8" s="1"/>
  <c r="AO73" i="8"/>
  <c r="AQ73" i="8" s="1"/>
  <c r="AO26" i="8"/>
  <c r="AO198" i="8"/>
  <c r="AQ198" i="8" s="1"/>
  <c r="AO197" i="8"/>
  <c r="AO196" i="8"/>
  <c r="AQ196" i="8" s="1"/>
  <c r="AO195" i="8"/>
  <c r="AO194" i="8"/>
  <c r="AO181" i="8"/>
  <c r="AO180" i="8"/>
  <c r="AQ180" i="8" s="1"/>
  <c r="AO179" i="8"/>
  <c r="AO178" i="8"/>
  <c r="AO165" i="8"/>
  <c r="AQ165" i="8" s="1"/>
  <c r="AO164" i="8"/>
  <c r="AQ164" i="8" s="1"/>
  <c r="AO163" i="8"/>
  <c r="AQ163" i="8" s="1"/>
  <c r="AO162" i="8"/>
  <c r="AQ162" i="8" s="1"/>
  <c r="AO149" i="8"/>
  <c r="AO148" i="8"/>
  <c r="AO147" i="8"/>
  <c r="AO146" i="8"/>
  <c r="AO133" i="8"/>
  <c r="AQ133" i="8" s="1"/>
  <c r="AO132" i="8"/>
  <c r="AQ132" i="8" s="1"/>
  <c r="AO131" i="8"/>
  <c r="AO130" i="8"/>
  <c r="AQ130" i="8" s="1"/>
  <c r="AO117" i="8"/>
  <c r="AQ117" i="8" s="1"/>
  <c r="AO116" i="8"/>
  <c r="AQ116" i="8" s="1"/>
  <c r="AO115" i="8"/>
  <c r="AO114" i="8"/>
  <c r="AQ114" i="8" s="1"/>
  <c r="AO101" i="8"/>
  <c r="AQ101" i="8" s="1"/>
  <c r="AO100" i="8"/>
  <c r="AO99" i="8"/>
  <c r="AO98" i="8"/>
  <c r="AO85" i="8"/>
  <c r="AQ85" i="8" s="1"/>
  <c r="AO84" i="8"/>
  <c r="AQ84" i="8" s="1"/>
  <c r="AO83" i="8"/>
  <c r="AO82" i="8"/>
  <c r="AO69" i="8"/>
  <c r="AO68" i="8"/>
  <c r="AQ68" i="8" s="1"/>
  <c r="AO67" i="8"/>
  <c r="AO66" i="8"/>
  <c r="AO53" i="8"/>
  <c r="AO52" i="8"/>
  <c r="AQ52" i="8" s="1"/>
  <c r="AO51" i="8"/>
  <c r="AO50" i="8"/>
  <c r="AO37" i="8"/>
  <c r="AQ37" i="8" s="1"/>
  <c r="AO36" i="8"/>
  <c r="AQ36" i="8" s="1"/>
  <c r="AO35" i="8"/>
  <c r="AQ35" i="8" s="1"/>
  <c r="AO34" i="8"/>
  <c r="AQ34" i="8" s="1"/>
  <c r="AO21" i="8"/>
  <c r="AO20" i="8"/>
  <c r="AO19" i="8"/>
  <c r="AO18" i="8"/>
  <c r="AO5" i="8"/>
  <c r="AQ5" i="8" s="1"/>
  <c r="AO4" i="8"/>
  <c r="AQ4" i="8" s="1"/>
  <c r="AO3" i="8"/>
  <c r="AQ3" i="8" s="1"/>
  <c r="AO182" i="8"/>
  <c r="AO166" i="8"/>
  <c r="AO150" i="8"/>
  <c r="AO134" i="8"/>
  <c r="AQ134" i="8" s="1"/>
  <c r="AO118" i="8"/>
  <c r="AQ118" i="8" s="1"/>
  <c r="AO102" i="8"/>
  <c r="AQ102" i="8" s="1"/>
  <c r="AO86" i="8"/>
  <c r="AQ86" i="8" s="1"/>
  <c r="AO70" i="8"/>
  <c r="AQ70" i="8" s="1"/>
  <c r="AO54" i="8"/>
  <c r="AQ54" i="8" s="1"/>
  <c r="AO38" i="8"/>
  <c r="AQ38" i="8" s="1"/>
  <c r="AO22" i="8"/>
  <c r="AQ22" i="8" s="1"/>
  <c r="AO6" i="8"/>
  <c r="AQ6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C7" i="1" l="1"/>
  <c r="AF6" i="1"/>
  <c r="L9" i="1"/>
  <c r="N1250" i="1"/>
  <c r="Y1247" i="1"/>
  <c r="Z1247" i="1"/>
  <c r="N10" i="1"/>
  <c r="Y9" i="1"/>
  <c r="Z9" i="1"/>
  <c r="AI7" i="1"/>
  <c r="AF6" i="8"/>
  <c r="AG7" i="1"/>
  <c r="AD6" i="8"/>
  <c r="AH7" i="1"/>
  <c r="AE6" i="8"/>
  <c r="E97" i="1"/>
  <c r="AQ96" i="1"/>
  <c r="AG197" i="8"/>
  <c r="AG173" i="8"/>
  <c r="AG149" i="8"/>
  <c r="AG125" i="8"/>
  <c r="AG101" i="8"/>
  <c r="AG77" i="8"/>
  <c r="AG189" i="8"/>
  <c r="AG157" i="8"/>
  <c r="AG133" i="8"/>
  <c r="AG109" i="8"/>
  <c r="AG85" i="8"/>
  <c r="AG181" i="8"/>
  <c r="AG165" i="8"/>
  <c r="AG141" i="8"/>
  <c r="AG117" i="8"/>
  <c r="AG93" i="8"/>
  <c r="AQ150" i="8"/>
  <c r="AQ166" i="8"/>
  <c r="AQ182" i="8"/>
  <c r="AQ18" i="8"/>
  <c r="AQ19" i="8"/>
  <c r="AQ20" i="8"/>
  <c r="AQ21" i="8"/>
  <c r="AQ50" i="8"/>
  <c r="AQ51" i="8"/>
  <c r="AQ53" i="8"/>
  <c r="AQ66" i="8"/>
  <c r="AQ67" i="8"/>
  <c r="AQ69" i="8"/>
  <c r="AQ82" i="8"/>
  <c r="AQ83" i="8"/>
  <c r="AQ98" i="8"/>
  <c r="AQ99" i="8"/>
  <c r="AQ100" i="8"/>
  <c r="AQ115" i="8"/>
  <c r="AQ131" i="8"/>
  <c r="AQ146" i="8"/>
  <c r="AQ147" i="8"/>
  <c r="AQ148" i="8"/>
  <c r="AQ149" i="8"/>
  <c r="AQ178" i="8"/>
  <c r="AQ179" i="8"/>
  <c r="AQ181" i="8"/>
  <c r="AQ194" i="8"/>
  <c r="AQ195" i="8"/>
  <c r="AQ197" i="8"/>
  <c r="AQ26" i="8"/>
  <c r="AQ168" i="8"/>
  <c r="AQ49" i="8"/>
  <c r="AQ122" i="8"/>
  <c r="AQ170" i="8"/>
  <c r="AQ152" i="8"/>
  <c r="AQ154" i="8"/>
  <c r="AQ90" i="8"/>
  <c r="AQ184" i="8"/>
  <c r="AQ138" i="8"/>
  <c r="AQ72" i="8"/>
  <c r="AG62" i="8"/>
  <c r="AG46" i="8"/>
  <c r="AG38" i="8"/>
  <c r="AG30" i="8"/>
  <c r="AG22" i="8"/>
  <c r="AG14" i="8"/>
  <c r="AG6" i="8"/>
  <c r="AG145" i="8"/>
  <c r="AG69" i="8"/>
  <c r="AG61" i="8"/>
  <c r="AG171" i="8"/>
  <c r="AG195" i="8"/>
  <c r="AG89" i="8"/>
  <c r="AG57" i="8"/>
  <c r="AG49" i="8"/>
  <c r="AG41" i="8"/>
  <c r="AG33" i="8"/>
  <c r="AG25" i="8"/>
  <c r="AG17" i="8"/>
  <c r="AG9" i="8"/>
  <c r="AG179" i="8"/>
  <c r="AG147" i="8"/>
  <c r="AG123" i="8"/>
  <c r="AG99" i="8"/>
  <c r="AG75" i="8"/>
  <c r="AG59" i="8"/>
  <c r="AG35" i="8"/>
  <c r="AG27" i="8"/>
  <c r="AG138" i="8"/>
  <c r="AG10" i="8"/>
  <c r="AG178" i="8"/>
  <c r="AG162" i="8"/>
  <c r="AG122" i="8"/>
  <c r="AG90" i="8"/>
  <c r="AG58" i="8"/>
  <c r="AG42" i="8"/>
  <c r="AG185" i="8"/>
  <c r="AG153" i="8"/>
  <c r="AG121" i="8"/>
  <c r="AG105" i="8"/>
  <c r="AG168" i="8"/>
  <c r="AG120" i="8"/>
  <c r="AG72" i="8"/>
  <c r="AG8" i="8"/>
  <c r="AG175" i="8"/>
  <c r="AG143" i="8"/>
  <c r="AG111" i="8"/>
  <c r="AG87" i="8"/>
  <c r="AG71" i="8"/>
  <c r="AG55" i="8"/>
  <c r="AG31" i="8"/>
  <c r="AG23" i="8"/>
  <c r="AG158" i="8"/>
  <c r="AG126" i="8"/>
  <c r="AG102" i="8"/>
  <c r="AG86" i="8"/>
  <c r="AG70" i="8"/>
  <c r="AG54" i="8"/>
  <c r="AG73" i="8"/>
  <c r="AG160" i="8"/>
  <c r="AG128" i="8"/>
  <c r="AG96" i="8"/>
  <c r="AG56" i="8"/>
  <c r="AG32" i="8"/>
  <c r="AG199" i="8"/>
  <c r="AG183" i="8"/>
  <c r="AG159" i="8"/>
  <c r="AG135" i="8"/>
  <c r="AG119" i="8"/>
  <c r="AG95" i="8"/>
  <c r="AG79" i="8"/>
  <c r="AG47" i="8"/>
  <c r="AG7" i="8"/>
  <c r="AG190" i="8"/>
  <c r="AG174" i="8"/>
  <c r="AG166" i="8"/>
  <c r="AG150" i="8"/>
  <c r="AG142" i="8"/>
  <c r="AG134" i="8"/>
  <c r="AG118" i="8"/>
  <c r="AG110" i="8"/>
  <c r="AG94" i="8"/>
  <c r="AG78" i="8"/>
  <c r="AG163" i="8"/>
  <c r="AG139" i="8"/>
  <c r="AG115" i="8"/>
  <c r="AG83" i="8"/>
  <c r="AG51" i="8"/>
  <c r="AG11" i="8"/>
  <c r="AG194" i="8"/>
  <c r="AG146" i="8"/>
  <c r="AG106" i="8"/>
  <c r="AG74" i="8"/>
  <c r="AG26" i="8"/>
  <c r="AG193" i="8"/>
  <c r="AG161" i="8"/>
  <c r="AG113" i="8"/>
  <c r="AG65" i="8"/>
  <c r="AG192" i="8"/>
  <c r="AG152" i="8"/>
  <c r="AG112" i="8"/>
  <c r="AG80" i="8"/>
  <c r="AG48" i="8"/>
  <c r="AG24" i="8"/>
  <c r="AG191" i="8"/>
  <c r="AG167" i="8"/>
  <c r="AG151" i="8"/>
  <c r="AG127" i="8"/>
  <c r="AG103" i="8"/>
  <c r="AG63" i="8"/>
  <c r="AG39" i="8"/>
  <c r="AG15" i="8"/>
  <c r="AG198" i="8"/>
  <c r="AG182" i="8"/>
  <c r="AG53" i="8"/>
  <c r="AG45" i="8"/>
  <c r="AG37" i="8"/>
  <c r="AG29" i="8"/>
  <c r="AG21" i="8"/>
  <c r="AG13" i="8"/>
  <c r="AG5" i="8"/>
  <c r="AG186" i="8"/>
  <c r="AG154" i="8"/>
  <c r="AG114" i="8"/>
  <c r="AG82" i="8"/>
  <c r="AG50" i="8"/>
  <c r="AG34" i="8"/>
  <c r="AG169" i="8"/>
  <c r="AG129" i="8"/>
  <c r="AG81" i="8"/>
  <c r="AG184" i="8"/>
  <c r="AG144" i="8"/>
  <c r="AG88" i="8"/>
  <c r="AG16" i="8"/>
  <c r="AG187" i="8"/>
  <c r="AG155" i="8"/>
  <c r="AG131" i="8"/>
  <c r="AG107" i="8"/>
  <c r="AG91" i="8"/>
  <c r="AG67" i="8"/>
  <c r="AG43" i="8"/>
  <c r="AG19" i="8"/>
  <c r="AG170" i="8"/>
  <c r="AG130" i="8"/>
  <c r="AG98" i="8"/>
  <c r="AG66" i="8"/>
  <c r="AG18" i="8"/>
  <c r="AG177" i="8"/>
  <c r="AG137" i="8"/>
  <c r="AG97" i="8"/>
  <c r="AG176" i="8"/>
  <c r="AG136" i="8"/>
  <c r="AG104" i="8"/>
  <c r="AG64" i="8"/>
  <c r="AG40" i="8"/>
  <c r="AG196" i="8"/>
  <c r="AG188" i="8"/>
  <c r="AG180" i="8"/>
  <c r="AG172" i="8"/>
  <c r="AG164" i="8"/>
  <c r="AG156" i="8"/>
  <c r="AG148" i="8"/>
  <c r="AG140" i="8"/>
  <c r="AG132" i="8"/>
  <c r="AG124" i="8"/>
  <c r="AG116" i="8"/>
  <c r="AG108" i="8"/>
  <c r="AG100" i="8"/>
  <c r="AG92" i="8"/>
  <c r="AG84" i="8"/>
  <c r="AG76" i="8"/>
  <c r="AG68" i="8"/>
  <c r="AG60" i="8"/>
  <c r="AG52" i="8"/>
  <c r="AG44" i="8"/>
  <c r="AG36" i="8"/>
  <c r="AG28" i="8"/>
  <c r="AG20" i="8"/>
  <c r="AG12" i="8"/>
  <c r="L3" i="4"/>
  <c r="Q3" i="4"/>
  <c r="R2" i="4"/>
  <c r="Q2" i="4"/>
  <c r="L2" i="4"/>
  <c r="AC8" i="1" l="1"/>
  <c r="AF7" i="1"/>
  <c r="L10" i="1"/>
  <c r="N11" i="1"/>
  <c r="Y10" i="1"/>
  <c r="Z10" i="1"/>
  <c r="N1252" i="1"/>
  <c r="Y1250" i="1"/>
  <c r="Z1250" i="1"/>
  <c r="AH8" i="1"/>
  <c r="AE7" i="8"/>
  <c r="AI8" i="1"/>
  <c r="AF7" i="8"/>
  <c r="AG8" i="1"/>
  <c r="AD7" i="8"/>
  <c r="W5" i="8"/>
  <c r="E98" i="1"/>
  <c r="AQ97" i="1"/>
  <c r="AI46" i="8"/>
  <c r="AI109" i="8"/>
  <c r="W109" i="8"/>
  <c r="AI12" i="8"/>
  <c r="AI179" i="8"/>
  <c r="W179" i="8"/>
  <c r="AI66" i="8"/>
  <c r="AI9" i="8"/>
  <c r="W9" i="8"/>
  <c r="AI65" i="8"/>
  <c r="W65" i="8"/>
  <c r="AI198" i="8"/>
  <c r="W198" i="8"/>
  <c r="AI118" i="8"/>
  <c r="W118" i="8"/>
  <c r="AI62" i="8"/>
  <c r="W62" i="8"/>
  <c r="AI133" i="8"/>
  <c r="W133" i="8"/>
  <c r="AI184" i="8"/>
  <c r="W184" i="8"/>
  <c r="AI22" i="8"/>
  <c r="W22" i="8"/>
  <c r="AI53" i="8"/>
  <c r="W53" i="8"/>
  <c r="AI30" i="8"/>
  <c r="AI28" i="8"/>
  <c r="W28" i="8"/>
  <c r="AI90" i="8"/>
  <c r="W90" i="8"/>
  <c r="AI172" i="8"/>
  <c r="W172" i="8"/>
  <c r="AI32" i="8"/>
  <c r="AI52" i="8"/>
  <c r="AI39" i="8"/>
  <c r="W39" i="8"/>
  <c r="AI60" i="8"/>
  <c r="AI188" i="8"/>
  <c r="W188" i="8"/>
  <c r="AI43" i="8"/>
  <c r="AI50" i="8"/>
  <c r="W50" i="8"/>
  <c r="AI63" i="8"/>
  <c r="AI26" i="8"/>
  <c r="W26" i="8"/>
  <c r="AI142" i="8"/>
  <c r="W142" i="8"/>
  <c r="AI96" i="8"/>
  <c r="W96" i="8"/>
  <c r="AI111" i="8"/>
  <c r="W111" i="8"/>
  <c r="AI178" i="8"/>
  <c r="W178" i="8"/>
  <c r="AI49" i="8"/>
  <c r="W49" i="8"/>
  <c r="AI189" i="8"/>
  <c r="W189" i="8"/>
  <c r="AI18" i="8"/>
  <c r="AI20" i="8"/>
  <c r="W20" i="8"/>
  <c r="AI78" i="8"/>
  <c r="W78" i="8"/>
  <c r="AI182" i="8"/>
  <c r="W182" i="8"/>
  <c r="AI38" i="8"/>
  <c r="W38" i="8"/>
  <c r="AI164" i="8"/>
  <c r="W164" i="8"/>
  <c r="AI55" i="8"/>
  <c r="W55" i="8"/>
  <c r="AI15" i="8"/>
  <c r="W15" i="8"/>
  <c r="AI33" i="8"/>
  <c r="AI34" i="8"/>
  <c r="AI56" i="8"/>
  <c r="W56" i="8"/>
  <c r="AI162" i="8"/>
  <c r="W162" i="8"/>
  <c r="AI128" i="8"/>
  <c r="W128" i="8"/>
  <c r="AI135" i="8"/>
  <c r="W135" i="8"/>
  <c r="AI42" i="8"/>
  <c r="W42" i="8"/>
  <c r="AI94" i="8"/>
  <c r="W94" i="8"/>
  <c r="AI110" i="8"/>
  <c r="W110" i="8"/>
  <c r="AI122" i="8"/>
  <c r="W122" i="8"/>
  <c r="AI180" i="8"/>
  <c r="W180" i="8"/>
  <c r="AI193" i="8"/>
  <c r="W193" i="8"/>
  <c r="AI77" i="8"/>
  <c r="W77" i="8"/>
  <c r="AI152" i="8"/>
  <c r="W152" i="8"/>
  <c r="AI58" i="8"/>
  <c r="W58" i="8"/>
  <c r="AI25" i="8"/>
  <c r="W25" i="8"/>
  <c r="AI158" i="8"/>
  <c r="W158" i="8"/>
  <c r="AI81" i="8"/>
  <c r="W81" i="8"/>
  <c r="AI17" i="8"/>
  <c r="W17" i="8"/>
  <c r="AI130" i="8"/>
  <c r="W130" i="8"/>
  <c r="AI170" i="8"/>
  <c r="W170" i="8"/>
  <c r="AI161" i="8"/>
  <c r="W161" i="8"/>
  <c r="AI41" i="8"/>
  <c r="AI165" i="8"/>
  <c r="W165" i="8"/>
  <c r="AI185" i="8"/>
  <c r="W185" i="8"/>
  <c r="AI23" i="8"/>
  <c r="W23" i="8"/>
  <c r="AI156" i="8"/>
  <c r="W156" i="8"/>
  <c r="AI85" i="8"/>
  <c r="W85" i="8"/>
  <c r="AI113" i="8"/>
  <c r="W113" i="8"/>
  <c r="AI44" i="8"/>
  <c r="W44" i="8"/>
  <c r="AI71" i="8"/>
  <c r="W71" i="8"/>
  <c r="AI19" i="8"/>
  <c r="AI134" i="8"/>
  <c r="W134" i="8"/>
  <c r="AI57" i="8"/>
  <c r="W57" i="8"/>
  <c r="AI157" i="8"/>
  <c r="W157" i="8"/>
  <c r="AI68" i="8"/>
  <c r="W68" i="8"/>
  <c r="AI67" i="8"/>
  <c r="W67" i="8"/>
  <c r="AI74" i="8"/>
  <c r="W74" i="8"/>
  <c r="AI10" i="8"/>
  <c r="AI91" i="8"/>
  <c r="W91" i="8"/>
  <c r="AI127" i="8"/>
  <c r="W127" i="8"/>
  <c r="AI160" i="8"/>
  <c r="W160" i="8"/>
  <c r="AI89" i="8"/>
  <c r="W89" i="8"/>
  <c r="AI64" i="8"/>
  <c r="AI146" i="8"/>
  <c r="W146" i="8"/>
  <c r="AI8" i="8"/>
  <c r="W8" i="8"/>
  <c r="AI141" i="8"/>
  <c r="W141" i="8"/>
  <c r="AI101" i="8"/>
  <c r="W101" i="8"/>
  <c r="AI104" i="8"/>
  <c r="W104" i="8"/>
  <c r="AI194" i="8"/>
  <c r="W194" i="8"/>
  <c r="AI35" i="8"/>
  <c r="W35" i="8"/>
  <c r="AI136" i="8"/>
  <c r="W136" i="8"/>
  <c r="AI7" i="8"/>
  <c r="W7" i="8"/>
  <c r="AI61" i="8"/>
  <c r="AI108" i="8"/>
  <c r="W108" i="8"/>
  <c r="AI176" i="8"/>
  <c r="W176" i="8"/>
  <c r="AI187" i="8"/>
  <c r="W187" i="8"/>
  <c r="AI13" i="8"/>
  <c r="W13" i="8"/>
  <c r="AI24" i="8"/>
  <c r="W24" i="8"/>
  <c r="AI51" i="8"/>
  <c r="W51" i="8"/>
  <c r="AI47" i="8"/>
  <c r="W47" i="8"/>
  <c r="AI70" i="8"/>
  <c r="AI168" i="8"/>
  <c r="W168" i="8"/>
  <c r="AI75" i="8"/>
  <c r="W75" i="8"/>
  <c r="AI69" i="8"/>
  <c r="W69" i="8"/>
  <c r="AI173" i="8"/>
  <c r="W173" i="8"/>
  <c r="AI140" i="8"/>
  <c r="W140" i="8"/>
  <c r="AI163" i="8"/>
  <c r="W163" i="8"/>
  <c r="AI148" i="8"/>
  <c r="W148" i="8"/>
  <c r="AI159" i="8"/>
  <c r="W159" i="8"/>
  <c r="AI98" i="8"/>
  <c r="W98" i="8"/>
  <c r="AI31" i="8"/>
  <c r="W31" i="8"/>
  <c r="AI36" i="8"/>
  <c r="W36" i="8"/>
  <c r="AI169" i="8"/>
  <c r="W169" i="8"/>
  <c r="AI199" i="8"/>
  <c r="W199" i="8"/>
  <c r="AI40" i="8"/>
  <c r="AI114" i="8"/>
  <c r="W114" i="8"/>
  <c r="AI166" i="8"/>
  <c r="W166" i="8"/>
  <c r="AI138" i="8"/>
  <c r="W138" i="8"/>
  <c r="AI84" i="8"/>
  <c r="W84" i="8"/>
  <c r="AI154" i="8"/>
  <c r="W154" i="8"/>
  <c r="AI174" i="8"/>
  <c r="W174" i="8"/>
  <c r="AI27" i="8"/>
  <c r="W27" i="8"/>
  <c r="AI92" i="8"/>
  <c r="W92" i="8"/>
  <c r="AI186" i="8"/>
  <c r="W186" i="8"/>
  <c r="AI73" i="8"/>
  <c r="AI171" i="8"/>
  <c r="W171" i="8"/>
  <c r="AI100" i="8"/>
  <c r="W100" i="8"/>
  <c r="AI11" i="8"/>
  <c r="AI59" i="8"/>
  <c r="AI16" i="8"/>
  <c r="AI86" i="8"/>
  <c r="AI99" i="8"/>
  <c r="W99" i="8"/>
  <c r="AI145" i="8"/>
  <c r="W145" i="8"/>
  <c r="AI197" i="8"/>
  <c r="W197" i="8"/>
  <c r="AI54" i="8"/>
  <c r="W54" i="8"/>
  <c r="AI181" i="8"/>
  <c r="W181" i="8"/>
  <c r="AI149" i="8"/>
  <c r="W149" i="8"/>
  <c r="AI97" i="8"/>
  <c r="W97" i="8"/>
  <c r="AI88" i="8"/>
  <c r="W88" i="8"/>
  <c r="AI115" i="8"/>
  <c r="W115" i="8"/>
  <c r="AI102" i="8"/>
  <c r="W102" i="8"/>
  <c r="AI121" i="8"/>
  <c r="W121" i="8"/>
  <c r="AI123" i="8"/>
  <c r="W123" i="8"/>
  <c r="AI6" i="8"/>
  <c r="AI45" i="8"/>
  <c r="AI192" i="8"/>
  <c r="W192" i="8"/>
  <c r="AI129" i="8"/>
  <c r="W129" i="8"/>
  <c r="AI183" i="8"/>
  <c r="W183" i="8"/>
  <c r="AI196" i="8"/>
  <c r="W196" i="8"/>
  <c r="AI82" i="8"/>
  <c r="W82" i="8"/>
  <c r="AI103" i="8"/>
  <c r="W103" i="8"/>
  <c r="AI150" i="8"/>
  <c r="W150" i="8"/>
  <c r="AI143" i="8"/>
  <c r="W143" i="8"/>
  <c r="AI93" i="8"/>
  <c r="W93" i="8"/>
  <c r="AI76" i="8"/>
  <c r="AI106" i="8"/>
  <c r="W106" i="8"/>
  <c r="AI175" i="8"/>
  <c r="W175" i="8"/>
  <c r="AI117" i="8"/>
  <c r="W117" i="8"/>
  <c r="AI107" i="8"/>
  <c r="W107" i="8"/>
  <c r="AI151" i="8"/>
  <c r="W151" i="8"/>
  <c r="AI195" i="8"/>
  <c r="W195" i="8"/>
  <c r="AI131" i="8"/>
  <c r="W131" i="8"/>
  <c r="AI167" i="8"/>
  <c r="W167" i="8"/>
  <c r="AI190" i="8"/>
  <c r="W190" i="8"/>
  <c r="AI72" i="8"/>
  <c r="W72" i="8"/>
  <c r="AI125" i="8"/>
  <c r="W125" i="8"/>
  <c r="AI155" i="8"/>
  <c r="W155" i="8"/>
  <c r="AI191" i="8"/>
  <c r="W191" i="8"/>
  <c r="AI120" i="8"/>
  <c r="W120" i="8"/>
  <c r="AI116" i="8"/>
  <c r="W116" i="8"/>
  <c r="AI21" i="8"/>
  <c r="W21" i="8"/>
  <c r="AI48" i="8"/>
  <c r="AI83" i="8"/>
  <c r="W83" i="8"/>
  <c r="AI79" i="8"/>
  <c r="AI105" i="8"/>
  <c r="W105" i="8"/>
  <c r="AI124" i="8"/>
  <c r="W124" i="8"/>
  <c r="AI137" i="8"/>
  <c r="W137" i="8"/>
  <c r="AI29" i="8"/>
  <c r="AI80" i="8"/>
  <c r="AI95" i="8"/>
  <c r="W95" i="8"/>
  <c r="AI132" i="8"/>
  <c r="W132" i="8"/>
  <c r="AI177" i="8"/>
  <c r="W177" i="8"/>
  <c r="AI144" i="8"/>
  <c r="W144" i="8"/>
  <c r="AI37" i="8"/>
  <c r="W37" i="8"/>
  <c r="AI112" i="8"/>
  <c r="W112" i="8"/>
  <c r="AI139" i="8"/>
  <c r="W139" i="8"/>
  <c r="AI119" i="8"/>
  <c r="W119" i="8"/>
  <c r="AI126" i="8"/>
  <c r="W126" i="8"/>
  <c r="AI153" i="8"/>
  <c r="W153" i="8"/>
  <c r="AI147" i="8"/>
  <c r="W147" i="8"/>
  <c r="AI14" i="8"/>
  <c r="W14" i="8"/>
  <c r="AI87" i="8"/>
  <c r="AI5" i="8"/>
  <c r="AC9" i="1" l="1"/>
  <c r="AF8" i="1"/>
  <c r="L11" i="1"/>
  <c r="N1255" i="1"/>
  <c r="Z1252" i="1"/>
  <c r="Y1252" i="1"/>
  <c r="N13" i="1"/>
  <c r="Y11" i="1"/>
  <c r="Z11" i="1"/>
  <c r="AG9" i="1"/>
  <c r="AD8" i="8"/>
  <c r="AI9" i="1"/>
  <c r="AF8" i="8"/>
  <c r="AH9" i="1"/>
  <c r="AE8" i="8"/>
  <c r="E99" i="1"/>
  <c r="AQ98" i="1"/>
  <c r="W11" i="8"/>
  <c r="W43" i="8"/>
  <c r="W70" i="8"/>
  <c r="AC10" i="1" l="1"/>
  <c r="AF9" i="1"/>
  <c r="L12" i="1"/>
  <c r="N16" i="1"/>
  <c r="Y13" i="1"/>
  <c r="Z13" i="1"/>
  <c r="N1258" i="1"/>
  <c r="Z1255" i="1"/>
  <c r="Y1255" i="1"/>
  <c r="AH10" i="1"/>
  <c r="AE9" i="8"/>
  <c r="AI10" i="1"/>
  <c r="AF9" i="8"/>
  <c r="AG10" i="1"/>
  <c r="AD9" i="8"/>
  <c r="E100" i="1"/>
  <c r="AQ99" i="1"/>
  <c r="W32" i="8"/>
  <c r="AC11" i="1" l="1"/>
  <c r="AF10" i="1"/>
  <c r="L13" i="1"/>
  <c r="AJ12" i="1"/>
  <c r="N1259" i="1"/>
  <c r="Y1258" i="1"/>
  <c r="Z1258" i="1"/>
  <c r="N18" i="1"/>
  <c r="Z16" i="1"/>
  <c r="Y16" i="1"/>
  <c r="AG11" i="1"/>
  <c r="AD10" i="8"/>
  <c r="AI11" i="1"/>
  <c r="AF10" i="8"/>
  <c r="AH11" i="1"/>
  <c r="AE10" i="8"/>
  <c r="E101" i="1"/>
  <c r="AQ100" i="1"/>
  <c r="AC12" i="1" l="1"/>
  <c r="AF11" i="1"/>
  <c r="L14" i="1"/>
  <c r="AJ13" i="1"/>
  <c r="N20" i="1"/>
  <c r="Z18" i="1"/>
  <c r="Y18" i="1"/>
  <c r="N1262" i="1"/>
  <c r="Y1259" i="1"/>
  <c r="Z1259" i="1"/>
  <c r="AH12" i="1"/>
  <c r="AE11" i="8"/>
  <c r="AI12" i="1"/>
  <c r="AF11" i="8"/>
  <c r="AG12" i="1"/>
  <c r="AD11" i="8"/>
  <c r="E102" i="1"/>
  <c r="AQ101" i="1"/>
  <c r="W60" i="8"/>
  <c r="W33" i="8"/>
  <c r="AC13" i="1" l="1"/>
  <c r="AF12" i="1"/>
  <c r="L15" i="1"/>
  <c r="AJ14" i="1"/>
  <c r="N1263" i="1"/>
  <c r="Y1262" i="1"/>
  <c r="Z1262" i="1"/>
  <c r="N23" i="1"/>
  <c r="Y20" i="1"/>
  <c r="Z20" i="1"/>
  <c r="AG13" i="1"/>
  <c r="AD12" i="8"/>
  <c r="AI13" i="1"/>
  <c r="AF12" i="8"/>
  <c r="AH13" i="1"/>
  <c r="AE12" i="8"/>
  <c r="E103" i="1"/>
  <c r="AQ102" i="1"/>
  <c r="W61" i="8"/>
  <c r="AC14" i="1" l="1"/>
  <c r="AF13" i="1"/>
  <c r="L16" i="1"/>
  <c r="AJ15" i="1"/>
  <c r="N28" i="1"/>
  <c r="Y23" i="1"/>
  <c r="Z23" i="1"/>
  <c r="N1265" i="1"/>
  <c r="Y1263" i="1"/>
  <c r="Z1263" i="1"/>
  <c r="AH14" i="1"/>
  <c r="AE13" i="8"/>
  <c r="AG14" i="1"/>
  <c r="AD13" i="8"/>
  <c r="AI14" i="1"/>
  <c r="AF13" i="8"/>
  <c r="E104" i="1"/>
  <c r="AQ103" i="1"/>
  <c r="W41" i="8"/>
  <c r="W66" i="8"/>
  <c r="AC15" i="1" l="1"/>
  <c r="AF14" i="1"/>
  <c r="L17" i="1"/>
  <c r="AJ16" i="1"/>
  <c r="N1266" i="1"/>
  <c r="Y1265" i="1"/>
  <c r="Z1265" i="1"/>
  <c r="N29" i="1"/>
  <c r="Y28" i="1"/>
  <c r="Z28" i="1"/>
  <c r="AI15" i="1"/>
  <c r="AF14" i="8"/>
  <c r="AG15" i="1"/>
  <c r="AD14" i="8"/>
  <c r="AH15" i="1"/>
  <c r="AE14" i="8"/>
  <c r="E105" i="1"/>
  <c r="AQ104" i="1"/>
  <c r="W10" i="8"/>
  <c r="AC16" i="1" l="1"/>
  <c r="AF15" i="1"/>
  <c r="L18" i="1"/>
  <c r="N30" i="1"/>
  <c r="Y29" i="1"/>
  <c r="Z29" i="1"/>
  <c r="N1268" i="1"/>
  <c r="Y1266" i="1"/>
  <c r="Z1266" i="1"/>
  <c r="AH16" i="1"/>
  <c r="AE15" i="8"/>
  <c r="AI16" i="1"/>
  <c r="AF15" i="8"/>
  <c r="AG16" i="1"/>
  <c r="AD15" i="8"/>
  <c r="E106" i="1"/>
  <c r="AQ105" i="1"/>
  <c r="W73" i="8"/>
  <c r="AC17" i="1" l="1"/>
  <c r="AF16" i="1"/>
  <c r="L19" i="1"/>
  <c r="N1271" i="1"/>
  <c r="Z1268" i="1"/>
  <c r="Y1268" i="1"/>
  <c r="N32" i="1"/>
  <c r="Y30" i="1"/>
  <c r="Z30" i="1"/>
  <c r="AI17" i="1"/>
  <c r="AF16" i="8"/>
  <c r="AG17" i="1"/>
  <c r="AD16" i="8"/>
  <c r="AH17" i="1"/>
  <c r="AE16" i="8"/>
  <c r="E107" i="1"/>
  <c r="AQ106" i="1"/>
  <c r="W76" i="8"/>
  <c r="W18" i="8"/>
  <c r="AC18" i="1" l="1"/>
  <c r="AF17" i="1"/>
  <c r="L20" i="1"/>
  <c r="AJ19" i="1"/>
  <c r="N33" i="1"/>
  <c r="Z32" i="1"/>
  <c r="Y32" i="1"/>
  <c r="N1273" i="1"/>
  <c r="Y1271" i="1"/>
  <c r="Z1271" i="1"/>
  <c r="AG18" i="1"/>
  <c r="AD17" i="8"/>
  <c r="AH18" i="1"/>
  <c r="AE17" i="8"/>
  <c r="AI18" i="1"/>
  <c r="AF17" i="8"/>
  <c r="E108" i="1"/>
  <c r="AQ107" i="1"/>
  <c r="W79" i="8"/>
  <c r="AC19" i="1" l="1"/>
  <c r="AF18" i="1"/>
  <c r="L21" i="1"/>
  <c r="AJ20" i="1"/>
  <c r="N1275" i="1"/>
  <c r="Z1273" i="1"/>
  <c r="Y1273" i="1"/>
  <c r="N35" i="1"/>
  <c r="Y33" i="1"/>
  <c r="Z33" i="1"/>
  <c r="AI19" i="1"/>
  <c r="AF18" i="8"/>
  <c r="AH19" i="1"/>
  <c r="AE18" i="8"/>
  <c r="AG19" i="1"/>
  <c r="AD18" i="8"/>
  <c r="E109" i="1"/>
  <c r="AQ108" i="1"/>
  <c r="W80" i="8"/>
  <c r="AC20" i="1" l="1"/>
  <c r="AF19" i="1"/>
  <c r="L22" i="1"/>
  <c r="AJ21" i="1"/>
  <c r="N36" i="1"/>
  <c r="Y35" i="1"/>
  <c r="Z35" i="1"/>
  <c r="N1277" i="1"/>
  <c r="Y1275" i="1"/>
  <c r="Z1275" i="1"/>
  <c r="AG20" i="1"/>
  <c r="AD19" i="8"/>
  <c r="AH20" i="1"/>
  <c r="AE19" i="8"/>
  <c r="AI20" i="1"/>
  <c r="AF19" i="8"/>
  <c r="E110" i="1"/>
  <c r="AQ109" i="1"/>
  <c r="W4" i="8"/>
  <c r="W34" i="8"/>
  <c r="W63" i="8"/>
  <c r="AC21" i="1" l="1"/>
  <c r="AF20" i="1"/>
  <c r="L23" i="1"/>
  <c r="AJ22" i="1"/>
  <c r="N1278" i="1"/>
  <c r="Y1277" i="1"/>
  <c r="Z1277" i="1"/>
  <c r="N39" i="1"/>
  <c r="Y36" i="1"/>
  <c r="Z36" i="1"/>
  <c r="AI21" i="1"/>
  <c r="AF20" i="8"/>
  <c r="AG21" i="1"/>
  <c r="AD20" i="8"/>
  <c r="AH21" i="1"/>
  <c r="AE20" i="8"/>
  <c r="E111" i="1"/>
  <c r="AQ110" i="1"/>
  <c r="W64" i="8"/>
  <c r="W6" i="8"/>
  <c r="W40" i="8"/>
  <c r="AC22" i="1" l="1"/>
  <c r="AF21" i="1"/>
  <c r="L24" i="1"/>
  <c r="AJ23" i="1"/>
  <c r="N41" i="1"/>
  <c r="Y39" i="1"/>
  <c r="Z39" i="1"/>
  <c r="N1280" i="1"/>
  <c r="Y1278" i="1"/>
  <c r="Z1278" i="1"/>
  <c r="AH22" i="1"/>
  <c r="AE21" i="8"/>
  <c r="AG22" i="1"/>
  <c r="AD21" i="8"/>
  <c r="AI22" i="1"/>
  <c r="AF21" i="8"/>
  <c r="E112" i="1"/>
  <c r="AQ111" i="1"/>
  <c r="W12" i="8"/>
  <c r="AC23" i="1" l="1"/>
  <c r="AF22" i="1"/>
  <c r="L25" i="1"/>
  <c r="N1281" i="1"/>
  <c r="Z1280" i="1"/>
  <c r="Y1280" i="1"/>
  <c r="N42" i="1"/>
  <c r="Y41" i="1"/>
  <c r="Z41" i="1"/>
  <c r="AI23" i="1"/>
  <c r="AF22" i="8"/>
  <c r="AG23" i="1"/>
  <c r="AD22" i="8"/>
  <c r="AH23" i="1"/>
  <c r="AE22" i="8"/>
  <c r="E113" i="1"/>
  <c r="AQ112" i="1"/>
  <c r="W45" i="8"/>
  <c r="AC24" i="1" l="1"/>
  <c r="AF23" i="1"/>
  <c r="L26" i="1"/>
  <c r="N44" i="1"/>
  <c r="Z42" i="1"/>
  <c r="Y42" i="1"/>
  <c r="N1282" i="1"/>
  <c r="Z1281" i="1"/>
  <c r="Y1281" i="1"/>
  <c r="AH24" i="1"/>
  <c r="AE23" i="8"/>
  <c r="AG24" i="1"/>
  <c r="AD23" i="8"/>
  <c r="AI24" i="1"/>
  <c r="AF23" i="8"/>
  <c r="E114" i="1"/>
  <c r="AQ113" i="1"/>
  <c r="W16" i="8"/>
  <c r="W46" i="8"/>
  <c r="AC25" i="1" l="1"/>
  <c r="AF24" i="1"/>
  <c r="L27" i="1"/>
  <c r="N1284" i="1"/>
  <c r="Y1282" i="1"/>
  <c r="Z1282" i="1"/>
  <c r="N45" i="1"/>
  <c r="Y44" i="1"/>
  <c r="Z44" i="1"/>
  <c r="AG25" i="1"/>
  <c r="AD24" i="8"/>
  <c r="AH25" i="1"/>
  <c r="AE24" i="8"/>
  <c r="AI25" i="1"/>
  <c r="AF24" i="8"/>
  <c r="E115" i="1"/>
  <c r="AQ114" i="1"/>
  <c r="W48" i="8"/>
  <c r="AC26" i="1" l="1"/>
  <c r="AF25" i="1"/>
  <c r="L28" i="1"/>
  <c r="N47" i="1"/>
  <c r="Y45" i="1"/>
  <c r="Z45" i="1"/>
  <c r="N1286" i="1"/>
  <c r="Z1284" i="1"/>
  <c r="Y1284" i="1"/>
  <c r="AI26" i="1"/>
  <c r="AF25" i="8"/>
  <c r="AH26" i="1"/>
  <c r="AE25" i="8"/>
  <c r="AG26" i="1"/>
  <c r="AD25" i="8"/>
  <c r="E116" i="1"/>
  <c r="AQ115" i="1"/>
  <c r="W19" i="8"/>
  <c r="AC27" i="1" l="1"/>
  <c r="AF26" i="1"/>
  <c r="L29" i="1"/>
  <c r="N1290" i="1"/>
  <c r="Y1286" i="1"/>
  <c r="Z1286" i="1"/>
  <c r="N51" i="1"/>
  <c r="Z47" i="1"/>
  <c r="Y47" i="1"/>
  <c r="AG27" i="1"/>
  <c r="AD26" i="8"/>
  <c r="AH27" i="1"/>
  <c r="AE26" i="8"/>
  <c r="AI27" i="1"/>
  <c r="AF26" i="8"/>
  <c r="E117" i="1"/>
  <c r="AQ116" i="1"/>
  <c r="W52" i="8"/>
  <c r="AC28" i="1" l="1"/>
  <c r="AF27" i="1"/>
  <c r="L30" i="1"/>
  <c r="N52" i="1"/>
  <c r="Y51" i="1"/>
  <c r="Z51" i="1"/>
  <c r="N1291" i="1"/>
  <c r="Y1290" i="1"/>
  <c r="Z1290" i="1"/>
  <c r="AH28" i="1"/>
  <c r="AE27" i="8"/>
  <c r="AI28" i="1"/>
  <c r="AF27" i="8"/>
  <c r="AG28" i="1"/>
  <c r="AD27" i="8"/>
  <c r="E118" i="1"/>
  <c r="AQ117" i="1"/>
  <c r="W86" i="8"/>
  <c r="AC29" i="1" l="1"/>
  <c r="AF28" i="1"/>
  <c r="L31" i="1"/>
  <c r="N1293" i="1"/>
  <c r="Y1291" i="1"/>
  <c r="Z1291" i="1"/>
  <c r="N54" i="1"/>
  <c r="Y52" i="1"/>
  <c r="Z52" i="1"/>
  <c r="AI29" i="1"/>
  <c r="AF28" i="8"/>
  <c r="AG29" i="1"/>
  <c r="AD28" i="8"/>
  <c r="AH29" i="1"/>
  <c r="AE28" i="8"/>
  <c r="E119" i="1"/>
  <c r="AQ118" i="1"/>
  <c r="W29" i="8"/>
  <c r="AC30" i="1" l="1"/>
  <c r="AF29" i="1"/>
  <c r="L32" i="1"/>
  <c r="AJ31" i="1"/>
  <c r="N55" i="1"/>
  <c r="Y54" i="1"/>
  <c r="Z54" i="1"/>
  <c r="N1294" i="1"/>
  <c r="Z1293" i="1"/>
  <c r="Y1293" i="1"/>
  <c r="AH30" i="1"/>
  <c r="AE29" i="8"/>
  <c r="AG30" i="1"/>
  <c r="AD29" i="8"/>
  <c r="AI30" i="1"/>
  <c r="AF29" i="8"/>
  <c r="E120" i="1"/>
  <c r="AQ119" i="1"/>
  <c r="W30" i="8"/>
  <c r="AC31" i="1" l="1"/>
  <c r="AF30" i="1"/>
  <c r="L33" i="1"/>
  <c r="AJ32" i="1"/>
  <c r="N1297" i="1"/>
  <c r="Y1294" i="1"/>
  <c r="Z1294" i="1"/>
  <c r="N57" i="1"/>
  <c r="Z55" i="1"/>
  <c r="Y55" i="1"/>
  <c r="AI31" i="1"/>
  <c r="AF30" i="8"/>
  <c r="AG31" i="1"/>
  <c r="AD30" i="8"/>
  <c r="AH31" i="1"/>
  <c r="AE30" i="8"/>
  <c r="E121" i="1"/>
  <c r="AQ120" i="1"/>
  <c r="W59" i="8"/>
  <c r="W87" i="8"/>
  <c r="AC32" i="1" l="1"/>
  <c r="AF31" i="1"/>
  <c r="L34" i="1"/>
  <c r="AJ33" i="1"/>
  <c r="N58" i="1"/>
  <c r="Y57" i="1"/>
  <c r="Z57" i="1"/>
  <c r="N1298" i="1"/>
  <c r="Y1297" i="1"/>
  <c r="Z1297" i="1"/>
  <c r="AG32" i="1"/>
  <c r="AD31" i="8"/>
  <c r="AH32" i="1"/>
  <c r="AE31" i="8"/>
  <c r="AI32" i="1"/>
  <c r="AF31" i="8"/>
  <c r="E122" i="1"/>
  <c r="AQ121" i="1"/>
  <c r="AC33" i="1" l="1"/>
  <c r="AF32" i="1"/>
  <c r="L35" i="1"/>
  <c r="AJ34" i="1"/>
  <c r="N1300" i="1"/>
  <c r="Y1298" i="1"/>
  <c r="Z1298" i="1"/>
  <c r="N61" i="1"/>
  <c r="Z58" i="1"/>
  <c r="Y58" i="1"/>
  <c r="AI33" i="1"/>
  <c r="AF32" i="8"/>
  <c r="AH33" i="1"/>
  <c r="AE32" i="8"/>
  <c r="AG33" i="1"/>
  <c r="AD32" i="8"/>
  <c r="E123" i="1"/>
  <c r="AQ122" i="1"/>
  <c r="AC34" i="1" l="1"/>
  <c r="AF33" i="1"/>
  <c r="L36" i="1"/>
  <c r="AJ35" i="1"/>
  <c r="N63" i="1"/>
  <c r="Y61" i="1"/>
  <c r="Z61" i="1"/>
  <c r="N1301" i="1"/>
  <c r="Z1300" i="1"/>
  <c r="Y1300" i="1"/>
  <c r="AG34" i="1"/>
  <c r="AD33" i="8"/>
  <c r="AH34" i="1"/>
  <c r="AE33" i="8"/>
  <c r="AI34" i="1"/>
  <c r="AF33" i="8"/>
  <c r="E124" i="1"/>
  <c r="AQ123" i="1"/>
  <c r="AC35" i="1" l="1"/>
  <c r="AF34" i="1"/>
  <c r="L37" i="1"/>
  <c r="AJ36" i="1"/>
  <c r="N1303" i="1"/>
  <c r="Y1301" i="1"/>
  <c r="Z1301" i="1"/>
  <c r="N64" i="1"/>
  <c r="Y63" i="1"/>
  <c r="Z63" i="1"/>
  <c r="AI35" i="1"/>
  <c r="AF34" i="8"/>
  <c r="AH35" i="1"/>
  <c r="AE34" i="8"/>
  <c r="AG35" i="1"/>
  <c r="AD34" i="8"/>
  <c r="E125" i="1"/>
  <c r="AQ124" i="1"/>
  <c r="AC36" i="1" l="1"/>
  <c r="AF35" i="1"/>
  <c r="L38" i="1"/>
  <c r="AJ37" i="1"/>
  <c r="N66" i="1"/>
  <c r="Z64" i="1"/>
  <c r="Y64" i="1"/>
  <c r="N1304" i="1"/>
  <c r="Y1303" i="1"/>
  <c r="Z1303" i="1"/>
  <c r="AH36" i="1"/>
  <c r="AE35" i="8"/>
  <c r="AG36" i="1"/>
  <c r="AD35" i="8"/>
  <c r="AI36" i="1"/>
  <c r="AF35" i="8"/>
  <c r="E126" i="1"/>
  <c r="AQ125" i="1"/>
  <c r="AC37" i="1" l="1"/>
  <c r="AF36" i="1"/>
  <c r="L39" i="1"/>
  <c r="N1306" i="1"/>
  <c r="Y1304" i="1"/>
  <c r="Z1304" i="1"/>
  <c r="N67" i="1"/>
  <c r="Z66" i="1"/>
  <c r="Y66" i="1"/>
  <c r="AI37" i="1"/>
  <c r="AF36" i="8"/>
  <c r="AG37" i="1"/>
  <c r="AD36" i="8"/>
  <c r="AH37" i="1"/>
  <c r="AE36" i="8"/>
  <c r="E127" i="1"/>
  <c r="AQ126" i="1"/>
  <c r="AC38" i="1" l="1"/>
  <c r="AF37" i="1"/>
  <c r="L40" i="1"/>
  <c r="N69" i="1"/>
  <c r="Y67" i="1"/>
  <c r="Z67" i="1"/>
  <c r="N1309" i="1"/>
  <c r="Y1306" i="1"/>
  <c r="Z1306" i="1"/>
  <c r="AI38" i="1"/>
  <c r="AF37" i="8"/>
  <c r="AH38" i="1"/>
  <c r="AE37" i="8"/>
  <c r="AG38" i="1"/>
  <c r="AD37" i="8"/>
  <c r="E128" i="1"/>
  <c r="AQ127" i="1"/>
  <c r="AC39" i="1" l="1"/>
  <c r="AF38" i="1"/>
  <c r="L41" i="1"/>
  <c r="AJ40" i="1"/>
  <c r="N1311" i="1"/>
  <c r="Z1309" i="1"/>
  <c r="Y1309" i="1"/>
  <c r="N71" i="1"/>
  <c r="Y69" i="1"/>
  <c r="Z69" i="1"/>
  <c r="AG39" i="1"/>
  <c r="AD38" i="8"/>
  <c r="AH39" i="1"/>
  <c r="AE38" i="8"/>
  <c r="AI39" i="1"/>
  <c r="AF38" i="8"/>
  <c r="E129" i="1"/>
  <c r="AQ128" i="1"/>
  <c r="AC40" i="1" l="1"/>
  <c r="AF39" i="1"/>
  <c r="L42" i="1"/>
  <c r="AJ41" i="1"/>
  <c r="N73" i="1"/>
  <c r="Y71" i="1"/>
  <c r="Z71" i="1"/>
  <c r="N1314" i="1"/>
  <c r="Y1311" i="1"/>
  <c r="Z1311" i="1"/>
  <c r="AG40" i="1"/>
  <c r="AD39" i="8"/>
  <c r="AI40" i="1"/>
  <c r="AF39" i="8"/>
  <c r="AH40" i="1"/>
  <c r="AE39" i="8"/>
  <c r="E130" i="1"/>
  <c r="AQ129" i="1"/>
  <c r="AC41" i="1" l="1"/>
  <c r="AF40" i="1"/>
  <c r="L43" i="1"/>
  <c r="AJ42" i="1"/>
  <c r="N1315" i="1"/>
  <c r="Y1314" i="1"/>
  <c r="Z1314" i="1"/>
  <c r="N75" i="1"/>
  <c r="Y73" i="1"/>
  <c r="Z73" i="1"/>
  <c r="AH41" i="1"/>
  <c r="AE40" i="8"/>
  <c r="AI41" i="1"/>
  <c r="AF40" i="8"/>
  <c r="AG41" i="1"/>
  <c r="AD40" i="8"/>
  <c r="E131" i="1"/>
  <c r="AQ130" i="1"/>
  <c r="AC42" i="1" l="1"/>
  <c r="AF41" i="1"/>
  <c r="L44" i="1"/>
  <c r="AJ43" i="1"/>
  <c r="N86" i="1"/>
  <c r="Z75" i="1"/>
  <c r="Y75" i="1"/>
  <c r="N1318" i="1"/>
  <c r="Y1315" i="1"/>
  <c r="Z1315" i="1"/>
  <c r="AI42" i="1"/>
  <c r="AF41" i="8"/>
  <c r="AG42" i="1"/>
  <c r="AD41" i="8"/>
  <c r="AH42" i="1"/>
  <c r="AE41" i="8"/>
  <c r="E132" i="1"/>
  <c r="AQ131" i="1"/>
  <c r="AC43" i="1" l="1"/>
  <c r="AF42" i="1"/>
  <c r="L45" i="1"/>
  <c r="AJ44" i="1"/>
  <c r="N1319" i="1"/>
  <c r="Y1318" i="1"/>
  <c r="Z1318" i="1"/>
  <c r="N88" i="1"/>
  <c r="Y86" i="1"/>
  <c r="Z86" i="1"/>
  <c r="AH43" i="1"/>
  <c r="AE42" i="8"/>
  <c r="AI43" i="1"/>
  <c r="AF42" i="8"/>
  <c r="AG43" i="1"/>
  <c r="AD42" i="8"/>
  <c r="E133" i="1"/>
  <c r="AQ132" i="1"/>
  <c r="AC44" i="1" l="1"/>
  <c r="AF43" i="1"/>
  <c r="L46" i="1"/>
  <c r="AJ45" i="1"/>
  <c r="N90" i="1"/>
  <c r="Z88" i="1"/>
  <c r="Y88" i="1"/>
  <c r="N1321" i="1"/>
  <c r="Y1319" i="1"/>
  <c r="Z1319" i="1"/>
  <c r="AG44" i="1"/>
  <c r="AD43" i="8"/>
  <c r="AI44" i="1"/>
  <c r="AF43" i="8"/>
  <c r="AH44" i="1"/>
  <c r="AE43" i="8"/>
  <c r="E134" i="1"/>
  <c r="AQ133" i="1"/>
  <c r="AC45" i="1" l="1"/>
  <c r="AF44" i="1"/>
  <c r="L47" i="1"/>
  <c r="AJ46" i="1"/>
  <c r="N1322" i="1"/>
  <c r="Z1321" i="1"/>
  <c r="Y1321" i="1"/>
  <c r="N97" i="1"/>
  <c r="Z90" i="1"/>
  <c r="Y90" i="1"/>
  <c r="AH45" i="1"/>
  <c r="AE44" i="8"/>
  <c r="AI45" i="1"/>
  <c r="AF44" i="8"/>
  <c r="AG45" i="1"/>
  <c r="AD44" i="8"/>
  <c r="E135" i="1"/>
  <c r="AQ134" i="1"/>
  <c r="AC46" i="1" l="1"/>
  <c r="AF45" i="1"/>
  <c r="L48" i="1"/>
  <c r="AJ47" i="1"/>
  <c r="N99" i="1"/>
  <c r="Y97" i="1"/>
  <c r="Z97" i="1"/>
  <c r="N1325" i="1"/>
  <c r="Y1322" i="1"/>
  <c r="Z1322" i="1"/>
  <c r="AG46" i="1"/>
  <c r="AD45" i="8"/>
  <c r="AI46" i="1"/>
  <c r="AF45" i="8"/>
  <c r="AH46" i="1"/>
  <c r="AE45" i="8"/>
  <c r="E136" i="1"/>
  <c r="AQ135" i="1"/>
  <c r="AC47" i="1" l="1"/>
  <c r="AF46" i="1"/>
  <c r="L49" i="1"/>
  <c r="N1327" i="1"/>
  <c r="Y1325" i="1"/>
  <c r="Z1325" i="1"/>
  <c r="N101" i="1"/>
  <c r="Z99" i="1"/>
  <c r="Y99" i="1"/>
  <c r="AG47" i="1"/>
  <c r="AD46" i="8"/>
  <c r="AH47" i="1"/>
  <c r="AE46" i="8"/>
  <c r="AI47" i="1"/>
  <c r="AF46" i="8"/>
  <c r="E137" i="1"/>
  <c r="AQ136" i="1"/>
  <c r="AC48" i="1" l="1"/>
  <c r="AF47" i="1"/>
  <c r="L50" i="1"/>
  <c r="N102" i="1"/>
  <c r="Y101" i="1"/>
  <c r="Z101" i="1"/>
  <c r="N1330" i="1"/>
  <c r="Y1327" i="1"/>
  <c r="Z1327" i="1"/>
  <c r="AI48" i="1"/>
  <c r="AF47" i="8"/>
  <c r="AH48" i="1"/>
  <c r="AE47" i="8"/>
  <c r="AG48" i="1"/>
  <c r="AD47" i="8"/>
  <c r="E138" i="1"/>
  <c r="AQ137" i="1"/>
  <c r="AC49" i="1" l="1"/>
  <c r="AF48" i="1"/>
  <c r="L51" i="1"/>
  <c r="N1333" i="1"/>
  <c r="Z1330" i="1"/>
  <c r="Y1330" i="1"/>
  <c r="N106" i="1"/>
  <c r="Y102" i="1"/>
  <c r="Z102" i="1"/>
  <c r="AG49" i="1"/>
  <c r="AD48" i="8"/>
  <c r="AH49" i="1"/>
  <c r="AE48" i="8"/>
  <c r="AI49" i="1"/>
  <c r="AF48" i="8"/>
  <c r="E139" i="1"/>
  <c r="AQ138" i="1"/>
  <c r="AC50" i="1" l="1"/>
  <c r="AF49" i="1"/>
  <c r="L52" i="1"/>
  <c r="N107" i="1"/>
  <c r="Z106" i="1"/>
  <c r="Y106" i="1"/>
  <c r="N1334" i="1"/>
  <c r="Y1333" i="1"/>
  <c r="Z1333" i="1"/>
  <c r="AH50" i="1"/>
  <c r="AE49" i="8"/>
  <c r="AI50" i="1"/>
  <c r="AF49" i="8"/>
  <c r="AG50" i="1"/>
  <c r="AD49" i="8"/>
  <c r="E140" i="1"/>
  <c r="AQ139" i="1"/>
  <c r="AC51" i="1" l="1"/>
  <c r="AF50" i="1"/>
  <c r="L53" i="1"/>
  <c r="N1336" i="1"/>
  <c r="Y1334" i="1"/>
  <c r="Z1334" i="1"/>
  <c r="N109" i="1"/>
  <c r="Y107" i="1"/>
  <c r="Z107" i="1"/>
  <c r="AG51" i="1"/>
  <c r="AD50" i="8"/>
  <c r="AI51" i="1"/>
  <c r="AF50" i="8"/>
  <c r="AH51" i="1"/>
  <c r="AE50" i="8"/>
  <c r="E141" i="1"/>
  <c r="AQ140" i="1"/>
  <c r="AC52" i="1" l="1"/>
  <c r="AF51" i="1"/>
  <c r="L54" i="1"/>
  <c r="AJ53" i="1"/>
  <c r="N111" i="1"/>
  <c r="Y109" i="1"/>
  <c r="Z109" i="1"/>
  <c r="N1337" i="1"/>
  <c r="Y1336" i="1"/>
  <c r="Z1336" i="1"/>
  <c r="AG52" i="1"/>
  <c r="AD51" i="8"/>
  <c r="AH52" i="1"/>
  <c r="AE51" i="8"/>
  <c r="AI52" i="1"/>
  <c r="AF51" i="8"/>
  <c r="E142" i="1"/>
  <c r="AQ141" i="1"/>
  <c r="AC53" i="1" l="1"/>
  <c r="AF52" i="1"/>
  <c r="L55" i="1"/>
  <c r="AJ54" i="1"/>
  <c r="N1341" i="1"/>
  <c r="Y1337" i="1"/>
  <c r="Z1337" i="1"/>
  <c r="N113" i="1"/>
  <c r="Y111" i="1"/>
  <c r="Z111" i="1"/>
  <c r="AI53" i="1"/>
  <c r="AF52" i="8"/>
  <c r="AG53" i="1"/>
  <c r="AD52" i="8"/>
  <c r="AH53" i="1"/>
  <c r="AE52" i="8"/>
  <c r="E143" i="1"/>
  <c r="AQ142" i="1"/>
  <c r="AC54" i="1" l="1"/>
  <c r="AF53" i="1"/>
  <c r="L56" i="1"/>
  <c r="AJ55" i="1"/>
  <c r="N119" i="1"/>
  <c r="Y113" i="1"/>
  <c r="Z113" i="1"/>
  <c r="N1345" i="1"/>
  <c r="Y1341" i="1"/>
  <c r="Z1341" i="1"/>
  <c r="AG54" i="1"/>
  <c r="AD53" i="8"/>
  <c r="AI54" i="1"/>
  <c r="AF53" i="8"/>
  <c r="AH54" i="1"/>
  <c r="AE53" i="8"/>
  <c r="E144" i="1"/>
  <c r="AQ143" i="1"/>
  <c r="AC55" i="1" l="1"/>
  <c r="AF54" i="1"/>
  <c r="L57" i="1"/>
  <c r="AJ56" i="1"/>
  <c r="N1346" i="1"/>
  <c r="Y1345" i="1"/>
  <c r="Z1345" i="1"/>
  <c r="N125" i="1"/>
  <c r="Y119" i="1"/>
  <c r="Z119" i="1"/>
  <c r="AH55" i="1"/>
  <c r="AE54" i="8"/>
  <c r="AI55" i="1"/>
  <c r="AF54" i="8"/>
  <c r="AG55" i="1"/>
  <c r="AD54" i="8"/>
  <c r="E145" i="1"/>
  <c r="AQ144" i="1"/>
  <c r="AC56" i="1" l="1"/>
  <c r="AF55" i="1"/>
  <c r="L58" i="1"/>
  <c r="AJ57" i="1"/>
  <c r="N128" i="1"/>
  <c r="Y125" i="1"/>
  <c r="Z125" i="1"/>
  <c r="N1348" i="1"/>
  <c r="Y1346" i="1"/>
  <c r="Z1346" i="1"/>
  <c r="AG56" i="1"/>
  <c r="AD55" i="8"/>
  <c r="AI56" i="1"/>
  <c r="AF55" i="8"/>
  <c r="AH56" i="1"/>
  <c r="AE55" i="8"/>
  <c r="E146" i="1"/>
  <c r="AQ145" i="1"/>
  <c r="AC57" i="1" l="1"/>
  <c r="AF56" i="1"/>
  <c r="L59" i="1"/>
  <c r="AJ58" i="1"/>
  <c r="N1349" i="1"/>
  <c r="Z1348" i="1"/>
  <c r="Y1348" i="1"/>
  <c r="N130" i="1"/>
  <c r="Z128" i="1"/>
  <c r="Y128" i="1"/>
  <c r="AH57" i="1"/>
  <c r="AE56" i="8"/>
  <c r="AI57" i="1"/>
  <c r="AF56" i="8"/>
  <c r="AG57" i="1"/>
  <c r="AD56" i="8"/>
  <c r="E147" i="1"/>
  <c r="AQ146" i="1"/>
  <c r="AC58" i="1" l="1"/>
  <c r="AF57" i="1"/>
  <c r="L60" i="1"/>
  <c r="AJ59" i="1"/>
  <c r="N132" i="1"/>
  <c r="Z130" i="1"/>
  <c r="Y130" i="1"/>
  <c r="N1355" i="1"/>
  <c r="Y1349" i="1"/>
  <c r="Z1349" i="1"/>
  <c r="AG58" i="1"/>
  <c r="AD57" i="8"/>
  <c r="AI58" i="1"/>
  <c r="AF57" i="8"/>
  <c r="AH58" i="1"/>
  <c r="AE57" i="8"/>
  <c r="E148" i="1"/>
  <c r="AQ147" i="1"/>
  <c r="AC59" i="1" l="1"/>
  <c r="AF58" i="1"/>
  <c r="L61" i="1"/>
  <c r="N1357" i="1"/>
  <c r="Z1355" i="1"/>
  <c r="Y1355" i="1"/>
  <c r="N133" i="1"/>
  <c r="Y132" i="1"/>
  <c r="Z132" i="1"/>
  <c r="AG59" i="1"/>
  <c r="AD58" i="8"/>
  <c r="AH59" i="1"/>
  <c r="AE58" i="8"/>
  <c r="AI59" i="1"/>
  <c r="AF58" i="8"/>
  <c r="E149" i="1"/>
  <c r="AQ148" i="1"/>
  <c r="AC60" i="1" l="1"/>
  <c r="AF59" i="1"/>
  <c r="L62" i="1"/>
  <c r="N135" i="1"/>
  <c r="Y133" i="1"/>
  <c r="Z133" i="1"/>
  <c r="N1358" i="1"/>
  <c r="Y1357" i="1"/>
  <c r="Z1357" i="1"/>
  <c r="AI60" i="1"/>
  <c r="AF59" i="8"/>
  <c r="AH60" i="1"/>
  <c r="AE59" i="8"/>
  <c r="AG60" i="1"/>
  <c r="AD59" i="8"/>
  <c r="E150" i="1"/>
  <c r="AQ149" i="1"/>
  <c r="AC61" i="1" l="1"/>
  <c r="AF60" i="1"/>
  <c r="L63" i="1"/>
  <c r="AJ62" i="1"/>
  <c r="N1361" i="1"/>
  <c r="Z1358" i="1"/>
  <c r="Y1358" i="1"/>
  <c r="N136" i="1"/>
  <c r="Y135" i="1"/>
  <c r="Z135" i="1"/>
  <c r="AH61" i="1"/>
  <c r="AE60" i="8"/>
  <c r="AI61" i="1"/>
  <c r="AF60" i="8"/>
  <c r="AG61" i="1"/>
  <c r="AD60" i="8"/>
  <c r="E151" i="1"/>
  <c r="AQ150" i="1"/>
  <c r="AC62" i="1" l="1"/>
  <c r="AF61" i="1"/>
  <c r="L64" i="1"/>
  <c r="AJ63" i="1"/>
  <c r="N137" i="1"/>
  <c r="Z136" i="1"/>
  <c r="Y136" i="1"/>
  <c r="N1363" i="1"/>
  <c r="Y1361" i="1"/>
  <c r="Z1361" i="1"/>
  <c r="AG62" i="1"/>
  <c r="AD61" i="8"/>
  <c r="AI62" i="1"/>
  <c r="AF61" i="8"/>
  <c r="AH62" i="1"/>
  <c r="AE61" i="8"/>
  <c r="E152" i="1"/>
  <c r="AQ151" i="1"/>
  <c r="AC63" i="1" l="1"/>
  <c r="AF62" i="1"/>
  <c r="L65" i="1"/>
  <c r="AJ64" i="1"/>
  <c r="N1364" i="1"/>
  <c r="Y1363" i="1"/>
  <c r="Z1363" i="1"/>
  <c r="N138" i="1"/>
  <c r="Y137" i="1"/>
  <c r="Z137" i="1"/>
  <c r="AI63" i="1"/>
  <c r="AF62" i="8"/>
  <c r="AH63" i="1"/>
  <c r="AE62" i="8"/>
  <c r="AG63" i="1"/>
  <c r="AD62" i="8"/>
  <c r="E153" i="1"/>
  <c r="AQ152" i="1"/>
  <c r="AC64" i="1" l="1"/>
  <c r="AF63" i="1"/>
  <c r="L66" i="1"/>
  <c r="AJ65" i="1"/>
  <c r="N140" i="1"/>
  <c r="Z138" i="1"/>
  <c r="Y138" i="1"/>
  <c r="N1366" i="1"/>
  <c r="Z1364" i="1"/>
  <c r="Y1364" i="1"/>
  <c r="AH64" i="1"/>
  <c r="AE63" i="8"/>
  <c r="AG64" i="1"/>
  <c r="AD63" i="8"/>
  <c r="AI64" i="1"/>
  <c r="AF63" i="8"/>
  <c r="E154" i="1"/>
  <c r="AQ153" i="1"/>
  <c r="AC65" i="1" l="1"/>
  <c r="AF64" i="1"/>
  <c r="L67" i="1"/>
  <c r="AJ66" i="1"/>
  <c r="N1367" i="1"/>
  <c r="Y1366" i="1"/>
  <c r="Z1366" i="1"/>
  <c r="N142" i="1"/>
  <c r="Y140" i="1"/>
  <c r="Z140" i="1"/>
  <c r="AI65" i="1"/>
  <c r="AF64" i="8"/>
  <c r="AG65" i="1"/>
  <c r="AD64" i="8"/>
  <c r="AH65" i="1"/>
  <c r="AE64" i="8"/>
  <c r="E155" i="1"/>
  <c r="AQ154" i="1"/>
  <c r="AC66" i="1" l="1"/>
  <c r="AF65" i="1"/>
  <c r="L68" i="1"/>
  <c r="AJ67" i="1"/>
  <c r="N153" i="1"/>
  <c r="Y142" i="1"/>
  <c r="Z142" i="1"/>
  <c r="N1372" i="1"/>
  <c r="Y1367" i="1"/>
  <c r="Z1367" i="1"/>
  <c r="AH66" i="1"/>
  <c r="AE65" i="8"/>
  <c r="AG66" i="1"/>
  <c r="AD65" i="8"/>
  <c r="AI66" i="1"/>
  <c r="AF65" i="8"/>
  <c r="E156" i="1"/>
  <c r="AQ155" i="1"/>
  <c r="AC67" i="1" l="1"/>
  <c r="AF66" i="1"/>
  <c r="L69" i="1"/>
  <c r="N1374" i="1"/>
  <c r="Z1372" i="1"/>
  <c r="Y1372" i="1"/>
  <c r="N157" i="1"/>
  <c r="Y153" i="1"/>
  <c r="Z153" i="1"/>
  <c r="AI67" i="1"/>
  <c r="AF66" i="8"/>
  <c r="AG67" i="1"/>
  <c r="AD66" i="8"/>
  <c r="AH67" i="1"/>
  <c r="AE66" i="8"/>
  <c r="E157" i="1"/>
  <c r="AQ156" i="1"/>
  <c r="AC68" i="1" l="1"/>
  <c r="AF67" i="1"/>
  <c r="L70" i="1"/>
  <c r="N160" i="1"/>
  <c r="Y157" i="1"/>
  <c r="Z157" i="1"/>
  <c r="N1376" i="1"/>
  <c r="Y1374" i="1"/>
  <c r="Z1374" i="1"/>
  <c r="AH68" i="1"/>
  <c r="AE67" i="8"/>
  <c r="AG68" i="1"/>
  <c r="AD67" i="8"/>
  <c r="AI68" i="1"/>
  <c r="AF67" i="8"/>
  <c r="E158" i="1"/>
  <c r="AQ157" i="1"/>
  <c r="AC69" i="1" l="1"/>
  <c r="AF68" i="1"/>
  <c r="L71" i="1"/>
  <c r="AJ70" i="1"/>
  <c r="N1384" i="1"/>
  <c r="Y1376" i="1"/>
  <c r="Z1376" i="1"/>
  <c r="N163" i="1"/>
  <c r="Z160" i="1"/>
  <c r="Y160" i="1"/>
  <c r="AI69" i="1"/>
  <c r="AF68" i="8"/>
  <c r="AH69" i="1"/>
  <c r="AE68" i="8"/>
  <c r="AG69" i="1"/>
  <c r="AD68" i="8"/>
  <c r="E159" i="1"/>
  <c r="AQ158" i="1"/>
  <c r="AC70" i="1" l="1"/>
  <c r="AF69" i="1"/>
  <c r="L72" i="1"/>
  <c r="AJ71" i="1"/>
  <c r="N164" i="1"/>
  <c r="Y163" i="1"/>
  <c r="Z163" i="1"/>
  <c r="N1386" i="1"/>
  <c r="Y1384" i="1"/>
  <c r="Z1384" i="1"/>
  <c r="AI70" i="1"/>
  <c r="AF69" i="8"/>
  <c r="AG70" i="1"/>
  <c r="AD69" i="8"/>
  <c r="AH70" i="1"/>
  <c r="AE69" i="8"/>
  <c r="E160" i="1"/>
  <c r="AQ159" i="1"/>
  <c r="AC71" i="1" l="1"/>
  <c r="AF70" i="1"/>
  <c r="L73" i="1"/>
  <c r="AJ72" i="1"/>
  <c r="N1387" i="1"/>
  <c r="Y1386" i="1"/>
  <c r="Z1386" i="1"/>
  <c r="N165" i="1"/>
  <c r="Y164" i="1"/>
  <c r="Z164" i="1"/>
  <c r="AG71" i="1"/>
  <c r="AD70" i="8"/>
  <c r="AH71" i="1"/>
  <c r="AE70" i="8"/>
  <c r="AI71" i="1"/>
  <c r="AF70" i="8"/>
  <c r="E161" i="1"/>
  <c r="AQ160" i="1"/>
  <c r="AC72" i="1" l="1"/>
  <c r="AF71" i="1"/>
  <c r="L74" i="1"/>
  <c r="AJ73" i="1"/>
  <c r="N166" i="1"/>
  <c r="Y165" i="1"/>
  <c r="Z165" i="1"/>
  <c r="N1388" i="1"/>
  <c r="Y1387" i="1"/>
  <c r="Z1387" i="1"/>
  <c r="AH72" i="1"/>
  <c r="AE71" i="8"/>
  <c r="AI72" i="1"/>
  <c r="AF71" i="8"/>
  <c r="AG72" i="1"/>
  <c r="AD71" i="8"/>
  <c r="E162" i="1"/>
  <c r="AQ161" i="1"/>
  <c r="AC73" i="1" l="1"/>
  <c r="AF72" i="1"/>
  <c r="L75" i="1"/>
  <c r="AJ74" i="1"/>
  <c r="N1389" i="1"/>
  <c r="Z1388" i="1"/>
  <c r="Y1388" i="1"/>
  <c r="N168" i="1"/>
  <c r="Y166" i="1"/>
  <c r="Z166" i="1"/>
  <c r="AI73" i="1"/>
  <c r="AF72" i="8"/>
  <c r="AH73" i="1"/>
  <c r="AE72" i="8"/>
  <c r="AG73" i="1"/>
  <c r="AD72" i="8"/>
  <c r="E163" i="1"/>
  <c r="AQ162" i="1"/>
  <c r="AC74" i="1" l="1"/>
  <c r="AF73" i="1"/>
  <c r="L76" i="1"/>
  <c r="AJ75" i="1"/>
  <c r="N169" i="1"/>
  <c r="Z168" i="1"/>
  <c r="Y168" i="1"/>
  <c r="N1390" i="1"/>
  <c r="Y1389" i="1"/>
  <c r="Z1389" i="1"/>
  <c r="AG74" i="1"/>
  <c r="AD73" i="8"/>
  <c r="AH74" i="1"/>
  <c r="AE73" i="8"/>
  <c r="AI74" i="1"/>
  <c r="AF73" i="8"/>
  <c r="E164" i="1"/>
  <c r="AQ163" i="1"/>
  <c r="AC75" i="1" l="1"/>
  <c r="AF74" i="1"/>
  <c r="L77" i="1"/>
  <c r="AJ76" i="1"/>
  <c r="N1392" i="1"/>
  <c r="Y1390" i="1"/>
  <c r="Z1390" i="1"/>
  <c r="N171" i="1"/>
  <c r="Z169" i="1"/>
  <c r="Y169" i="1"/>
  <c r="AI75" i="1"/>
  <c r="AF74" i="8"/>
  <c r="AH75" i="1"/>
  <c r="AE74" i="8"/>
  <c r="AG75" i="1"/>
  <c r="AD74" i="8"/>
  <c r="E165" i="1"/>
  <c r="AQ164" i="1"/>
  <c r="AC76" i="1" l="1"/>
  <c r="AF75" i="1"/>
  <c r="L78" i="1"/>
  <c r="AJ77" i="1"/>
  <c r="N172" i="1"/>
  <c r="Y171" i="1"/>
  <c r="Z171" i="1"/>
  <c r="N1393" i="1"/>
  <c r="Y1392" i="1"/>
  <c r="Z1392" i="1"/>
  <c r="AG76" i="1"/>
  <c r="AD75" i="8"/>
  <c r="AH76" i="1"/>
  <c r="AE75" i="8"/>
  <c r="AI76" i="1"/>
  <c r="AF75" i="8"/>
  <c r="E166" i="1"/>
  <c r="AQ165" i="1"/>
  <c r="AC77" i="1" l="1"/>
  <c r="AF76" i="1"/>
  <c r="L79" i="1"/>
  <c r="N1395" i="1"/>
  <c r="Y1393" i="1"/>
  <c r="Z1393" i="1"/>
  <c r="N176" i="1"/>
  <c r="Y172" i="1"/>
  <c r="Z172" i="1"/>
  <c r="AI77" i="1"/>
  <c r="AF76" i="8"/>
  <c r="AH77" i="1"/>
  <c r="AE76" i="8"/>
  <c r="AG77" i="1"/>
  <c r="AD76" i="8"/>
  <c r="E167" i="1"/>
  <c r="AQ166" i="1"/>
  <c r="AC78" i="1" l="1"/>
  <c r="AF77" i="1"/>
  <c r="L80" i="1"/>
  <c r="AJ79" i="1"/>
  <c r="N177" i="1"/>
  <c r="Z176" i="1"/>
  <c r="Y176" i="1"/>
  <c r="N1396" i="1"/>
  <c r="Y1395" i="1"/>
  <c r="Z1395" i="1"/>
  <c r="AH78" i="1"/>
  <c r="AE77" i="8"/>
  <c r="AG78" i="1"/>
  <c r="AD77" i="8"/>
  <c r="AI78" i="1"/>
  <c r="AF77" i="8"/>
  <c r="E168" i="1"/>
  <c r="AQ167" i="1"/>
  <c r="J3" i="1"/>
  <c r="AK3" i="1" s="1"/>
  <c r="AC79" i="1" l="1"/>
  <c r="AF78" i="1"/>
  <c r="L81" i="1"/>
  <c r="AJ80" i="1"/>
  <c r="N1400" i="1"/>
  <c r="Z1396" i="1"/>
  <c r="Y1396" i="1"/>
  <c r="N179" i="1"/>
  <c r="Y177" i="1"/>
  <c r="Z177" i="1"/>
  <c r="AR3" i="1"/>
  <c r="AS3" i="1" s="1"/>
  <c r="AT3" i="1" s="1"/>
  <c r="AG79" i="1"/>
  <c r="AD78" i="8"/>
  <c r="AI79" i="1"/>
  <c r="AF78" i="8"/>
  <c r="AH79" i="1"/>
  <c r="AE78" i="8"/>
  <c r="E169" i="1"/>
  <c r="AQ168" i="1"/>
  <c r="AL3" i="1"/>
  <c r="AM3" i="1" a="1"/>
  <c r="AM3" i="1" s="1"/>
  <c r="J4" i="1"/>
  <c r="J5" i="1" s="1"/>
  <c r="AR5" i="1" s="1"/>
  <c r="AS5" i="1" s="1"/>
  <c r="AT5" i="1" s="1"/>
  <c r="J6" i="1"/>
  <c r="AJ6" i="1" s="1"/>
  <c r="J8" i="1"/>
  <c r="AJ8" i="1" s="1"/>
  <c r="J12" i="1"/>
  <c r="AR12" i="1" s="1"/>
  <c r="AS12" i="1" s="1"/>
  <c r="AT12" i="1" s="1"/>
  <c r="J14" i="1"/>
  <c r="AR14" i="1" s="1"/>
  <c r="AS14" i="1" s="1"/>
  <c r="AT14" i="1" s="1"/>
  <c r="J15" i="1"/>
  <c r="AR15" i="1" s="1"/>
  <c r="AS15" i="1" s="1"/>
  <c r="AT15" i="1" s="1"/>
  <c r="J17" i="1"/>
  <c r="AJ17" i="1" s="1"/>
  <c r="J19" i="1"/>
  <c r="J21" i="1"/>
  <c r="AR21" i="1" s="1"/>
  <c r="AS21" i="1" s="1"/>
  <c r="AT21" i="1" s="1"/>
  <c r="J22" i="1"/>
  <c r="J24" i="1"/>
  <c r="AJ24" i="1" s="1"/>
  <c r="J26" i="1"/>
  <c r="J27" i="1"/>
  <c r="AJ27" i="1" s="1"/>
  <c r="J31" i="1"/>
  <c r="AR31" i="1" s="1"/>
  <c r="AS31" i="1" s="1"/>
  <c r="AT31" i="1" s="1"/>
  <c r="J34" i="1"/>
  <c r="J37" i="1"/>
  <c r="AR37" i="1" s="1"/>
  <c r="AS37" i="1" s="1"/>
  <c r="AT37" i="1" s="1"/>
  <c r="J38" i="1"/>
  <c r="AJ38" i="1" s="1"/>
  <c r="J40" i="1"/>
  <c r="J43" i="1"/>
  <c r="J46" i="1"/>
  <c r="J48" i="1"/>
  <c r="J49" i="1"/>
  <c r="J50" i="1"/>
  <c r="J53" i="1"/>
  <c r="J56" i="1"/>
  <c r="J59" i="1"/>
  <c r="AR59" i="1" s="1"/>
  <c r="AS59" i="1" s="1"/>
  <c r="AT59" i="1" s="1"/>
  <c r="J60" i="1"/>
  <c r="J62" i="1"/>
  <c r="AR62" i="1" s="1"/>
  <c r="AS62" i="1" s="1"/>
  <c r="AT62" i="1" s="1"/>
  <c r="J65" i="1"/>
  <c r="J68" i="1"/>
  <c r="J70" i="1"/>
  <c r="J72" i="1"/>
  <c r="J74" i="1"/>
  <c r="J76" i="1"/>
  <c r="AR76" i="1" s="1"/>
  <c r="AS76" i="1" s="1"/>
  <c r="AT76" i="1" s="1"/>
  <c r="J77" i="1"/>
  <c r="AR77" i="1" s="1"/>
  <c r="AS77" i="1" s="1"/>
  <c r="AT77" i="1" s="1"/>
  <c r="J78" i="1"/>
  <c r="J79" i="1"/>
  <c r="AR79" i="1" s="1"/>
  <c r="AS79" i="1" s="1"/>
  <c r="AT79" i="1" s="1"/>
  <c r="J80" i="1"/>
  <c r="AR80" i="1" s="1"/>
  <c r="AS80" i="1" s="1"/>
  <c r="AT80" i="1" s="1"/>
  <c r="J81" i="1"/>
  <c r="AR81" i="1" s="1"/>
  <c r="AS81" i="1" s="1"/>
  <c r="J82" i="1"/>
  <c r="AR82" i="1" s="1"/>
  <c r="AS82" i="1" s="1"/>
  <c r="J83" i="1"/>
  <c r="J85" i="1"/>
  <c r="J87" i="1"/>
  <c r="J89" i="1"/>
  <c r="AR89" i="1" s="1"/>
  <c r="AS89" i="1" s="1"/>
  <c r="J91" i="1"/>
  <c r="AR91" i="1" s="1"/>
  <c r="AS91" i="1" s="1"/>
  <c r="J92" i="1"/>
  <c r="AR92" i="1" s="1"/>
  <c r="AS92" i="1" s="1"/>
  <c r="J93" i="1"/>
  <c r="AR93" i="1" s="1"/>
  <c r="AS93" i="1" s="1"/>
  <c r="J94" i="1"/>
  <c r="J96" i="1"/>
  <c r="J98" i="1"/>
  <c r="AR98" i="1" s="1"/>
  <c r="AS98" i="1" s="1"/>
  <c r="J100" i="1"/>
  <c r="AR100" i="1" s="1"/>
  <c r="AS100" i="1" s="1"/>
  <c r="J103" i="1"/>
  <c r="AR103" i="1" s="1"/>
  <c r="AS103" i="1" s="1"/>
  <c r="J105" i="1"/>
  <c r="AR105" i="1" s="1"/>
  <c r="AS105" i="1" s="1"/>
  <c r="J108" i="1"/>
  <c r="J110" i="1"/>
  <c r="AR110" i="1" s="1"/>
  <c r="AS110" i="1" s="1"/>
  <c r="J112" i="1"/>
  <c r="J114" i="1"/>
  <c r="AR114" i="1" s="1"/>
  <c r="AS114" i="1" s="1"/>
  <c r="J115" i="1"/>
  <c r="AR115" i="1" s="1"/>
  <c r="AS115" i="1" s="1"/>
  <c r="J116" i="1"/>
  <c r="AR116" i="1" s="1"/>
  <c r="AS116" i="1" s="1"/>
  <c r="J117" i="1"/>
  <c r="AR117" i="1" s="1"/>
  <c r="AS117" i="1" s="1"/>
  <c r="J118" i="1"/>
  <c r="J120" i="1"/>
  <c r="J122" i="1"/>
  <c r="AR122" i="1" s="1"/>
  <c r="AS122" i="1" s="1"/>
  <c r="J123" i="1"/>
  <c r="AR123" i="1" s="1"/>
  <c r="AS123" i="1" s="1"/>
  <c r="J124" i="1"/>
  <c r="J126" i="1"/>
  <c r="AR126" i="1" s="1"/>
  <c r="AS126" i="1" s="1"/>
  <c r="J127" i="1"/>
  <c r="J129" i="1"/>
  <c r="J131" i="1"/>
  <c r="AR131" i="1" s="1"/>
  <c r="AS131" i="1" s="1"/>
  <c r="J134" i="1"/>
  <c r="AR134" i="1" s="1"/>
  <c r="AS134" i="1" s="1"/>
  <c r="J139" i="1"/>
  <c r="J141" i="1"/>
  <c r="J143" i="1"/>
  <c r="AR143" i="1" s="1"/>
  <c r="AS143" i="1" s="1"/>
  <c r="J144" i="1"/>
  <c r="AR144" i="1" s="1"/>
  <c r="AS144" i="1" s="1"/>
  <c r="J145" i="1"/>
  <c r="AR145" i="1" s="1"/>
  <c r="AS145" i="1" s="1"/>
  <c r="J148" i="1"/>
  <c r="AR148" i="1" s="1"/>
  <c r="AS148" i="1" s="1"/>
  <c r="J149" i="1"/>
  <c r="AR149" i="1" s="1"/>
  <c r="AS149" i="1" s="1"/>
  <c r="J150" i="1"/>
  <c r="J152" i="1"/>
  <c r="AR152" i="1" s="1"/>
  <c r="AS152" i="1" s="1"/>
  <c r="J154" i="1"/>
  <c r="AR154" i="1" s="1"/>
  <c r="AS154" i="1" s="1"/>
  <c r="J155" i="1"/>
  <c r="AR155" i="1" s="1"/>
  <c r="AS155" i="1" s="1"/>
  <c r="J156" i="1"/>
  <c r="J158" i="1"/>
  <c r="AR158" i="1" s="1"/>
  <c r="AS158" i="1" s="1"/>
  <c r="J159" i="1"/>
  <c r="AR159" i="1" s="1"/>
  <c r="AS159" i="1" s="1"/>
  <c r="J161" i="1"/>
  <c r="AR161" i="1" s="1"/>
  <c r="AS161" i="1" s="1"/>
  <c r="J162" i="1"/>
  <c r="J167" i="1"/>
  <c r="J168" i="1" s="1"/>
  <c r="J169" i="1" s="1"/>
  <c r="J170" i="1"/>
  <c r="J171" i="1" s="1"/>
  <c r="J172" i="1" s="1"/>
  <c r="J174" i="1"/>
  <c r="J173" i="1"/>
  <c r="J175" i="1"/>
  <c r="J176" i="1" s="1"/>
  <c r="J177" i="1" s="1"/>
  <c r="J178" i="1"/>
  <c r="J179" i="1" s="1"/>
  <c r="J180" i="1"/>
  <c r="J181" i="1"/>
  <c r="J182" i="1"/>
  <c r="J183" i="1" s="1"/>
  <c r="J184" i="1"/>
  <c r="J185" i="1"/>
  <c r="J186" i="1"/>
  <c r="J187" i="1"/>
  <c r="J188" i="1" s="1"/>
  <c r="J189" i="1"/>
  <c r="J190" i="1" s="1"/>
  <c r="J191" i="1"/>
  <c r="J192" i="1"/>
  <c r="J193" i="1" s="1"/>
  <c r="J194" i="1"/>
  <c r="J195" i="1"/>
  <c r="J196" i="1"/>
  <c r="J197" i="1"/>
  <c r="J198" i="1"/>
  <c r="J199" i="1" s="1"/>
  <c r="J200" i="1"/>
  <c r="J201" i="1"/>
  <c r="J202" i="1" s="1"/>
  <c r="J203" i="1"/>
  <c r="J204" i="1"/>
  <c r="J205" i="1"/>
  <c r="J206" i="1" s="1"/>
  <c r="J207" i="1"/>
  <c r="J208" i="1" s="1"/>
  <c r="J209" i="1"/>
  <c r="J210" i="1" s="1"/>
  <c r="J211" i="1"/>
  <c r="J212" i="1" s="1"/>
  <c r="J213" i="1"/>
  <c r="J214" i="1"/>
  <c r="J215" i="1"/>
  <c r="J216" i="1"/>
  <c r="J217" i="1" s="1"/>
  <c r="J218" i="1"/>
  <c r="J219" i="1" s="1"/>
  <c r="J220" i="1"/>
  <c r="J221" i="1"/>
  <c r="J222" i="1" s="1"/>
  <c r="J223" i="1"/>
  <c r="J224" i="1"/>
  <c r="J225" i="1"/>
  <c r="J226" i="1"/>
  <c r="J227" i="1"/>
  <c r="J228" i="1"/>
  <c r="J229" i="1" s="1"/>
  <c r="J230" i="1"/>
  <c r="J231" i="1"/>
  <c r="J232" i="1"/>
  <c r="J233" i="1"/>
  <c r="J234" i="1"/>
  <c r="J235" i="1"/>
  <c r="J236" i="1"/>
  <c r="J237" i="1" s="1"/>
  <c r="J238" i="1" s="1"/>
  <c r="J239" i="1" s="1"/>
  <c r="J240" i="1"/>
  <c r="J241" i="1" s="1"/>
  <c r="J242" i="1" s="1"/>
  <c r="J243" i="1"/>
  <c r="J244" i="1" s="1"/>
  <c r="J245" i="1" s="1"/>
  <c r="J246" i="1"/>
  <c r="J247" i="1"/>
  <c r="J248" i="1" s="1"/>
  <c r="J249" i="1"/>
  <c r="J250" i="1"/>
  <c r="J251" i="1"/>
  <c r="J252" i="1"/>
  <c r="J253" i="1"/>
  <c r="J254" i="1" s="1"/>
  <c r="J255" i="1" s="1"/>
  <c r="J256" i="1"/>
  <c r="J257" i="1"/>
  <c r="J258" i="1"/>
  <c r="J259" i="1"/>
  <c r="J260" i="1" s="1"/>
  <c r="J261" i="1"/>
  <c r="J262" i="1" s="1"/>
  <c r="J263" i="1"/>
  <c r="J264" i="1"/>
  <c r="J265" i="1" s="1"/>
  <c r="J266" i="1"/>
  <c r="J267" i="1" s="1"/>
  <c r="J268" i="1" s="1"/>
  <c r="J269" i="1"/>
  <c r="J270" i="1" s="1"/>
  <c r="J271" i="1" s="1"/>
  <c r="J272" i="1"/>
  <c r="J273" i="1"/>
  <c r="J274" i="1"/>
  <c r="J275" i="1" s="1"/>
  <c r="J276" i="1" s="1"/>
  <c r="J277" i="1"/>
  <c r="J278" i="1" s="1"/>
  <c r="J279" i="1" s="1"/>
  <c r="J280" i="1"/>
  <c r="J281" i="1"/>
  <c r="J282" i="1"/>
  <c r="J283" i="1" s="1"/>
  <c r="J284" i="1" s="1"/>
  <c r="J285" i="1"/>
  <c r="J286" i="1" s="1"/>
  <c r="J287" i="1"/>
  <c r="J288" i="1"/>
  <c r="J289" i="1"/>
  <c r="J290" i="1"/>
  <c r="J291" i="1" s="1"/>
  <c r="J292" i="1"/>
  <c r="J293" i="1"/>
  <c r="J294" i="1"/>
  <c r="J295" i="1"/>
  <c r="J296" i="1"/>
  <c r="J297" i="1"/>
  <c r="J298" i="1"/>
  <c r="J299" i="1"/>
  <c r="J300" i="1"/>
  <c r="J301" i="1"/>
  <c r="J302" i="1"/>
  <c r="J303" i="1" s="1"/>
  <c r="J304" i="1" s="1"/>
  <c r="J305" i="1" s="1"/>
  <c r="J306" i="1"/>
  <c r="J307" i="1" s="1"/>
  <c r="J308" i="1"/>
  <c r="J309" i="1"/>
  <c r="J310" i="1" s="1"/>
  <c r="J311" i="1"/>
  <c r="J312" i="1" s="1"/>
  <c r="J313" i="1"/>
  <c r="J316" i="1"/>
  <c r="J314" i="1"/>
  <c r="J315" i="1" s="1"/>
  <c r="J317" i="1"/>
  <c r="J318" i="1" s="1"/>
  <c r="J319" i="1" s="1"/>
  <c r="J320" i="1"/>
  <c r="J321" i="1"/>
  <c r="J322" i="1" s="1"/>
  <c r="J323" i="1"/>
  <c r="J324" i="1"/>
  <c r="J325" i="1"/>
  <c r="J326" i="1"/>
  <c r="J327" i="1"/>
  <c r="J328" i="1" s="1"/>
  <c r="J329" i="1"/>
  <c r="J330" i="1" s="1"/>
  <c r="J331" i="1"/>
  <c r="J332" i="1" s="1"/>
  <c r="J333" i="1" s="1"/>
  <c r="J334" i="1" s="1"/>
  <c r="J335" i="1"/>
  <c r="J336" i="1" s="1"/>
  <c r="AC80" i="1" l="1"/>
  <c r="AF79" i="1"/>
  <c r="AR26" i="1"/>
  <c r="AS26" i="1" s="1"/>
  <c r="AJ26" i="1"/>
  <c r="AR60" i="1"/>
  <c r="AS60" i="1" s="1"/>
  <c r="AJ60" i="1"/>
  <c r="AR49" i="1"/>
  <c r="AS49" i="1" s="1"/>
  <c r="AJ49" i="1"/>
  <c r="AR48" i="1"/>
  <c r="AS48" i="1" s="1"/>
  <c r="AJ48" i="1"/>
  <c r="AR50" i="1"/>
  <c r="AS50" i="1" s="1"/>
  <c r="AJ50" i="1"/>
  <c r="AR78" i="1"/>
  <c r="AS78" i="1" s="1"/>
  <c r="AJ78" i="1"/>
  <c r="AR68" i="1"/>
  <c r="AS68" i="1" s="1"/>
  <c r="AJ68" i="1"/>
  <c r="L82" i="1"/>
  <c r="AJ81" i="1"/>
  <c r="AT81" i="1" s="1"/>
  <c r="J111" i="1"/>
  <c r="AR111" i="1" s="1"/>
  <c r="AS111" i="1" s="1"/>
  <c r="N183" i="1"/>
  <c r="Y179" i="1"/>
  <c r="Z179" i="1"/>
  <c r="N1402" i="1"/>
  <c r="Z1400" i="1"/>
  <c r="Y1400" i="1"/>
  <c r="J153" i="1"/>
  <c r="AR153" i="1" s="1"/>
  <c r="AS153" i="1" s="1"/>
  <c r="J160" i="1"/>
  <c r="AR160" i="1" s="1"/>
  <c r="AS160" i="1" s="1"/>
  <c r="J135" i="1"/>
  <c r="AR135" i="1" s="1"/>
  <c r="AS135" i="1" s="1"/>
  <c r="J132" i="1"/>
  <c r="J16" i="1"/>
  <c r="AR16" i="1" s="1"/>
  <c r="AS16" i="1" s="1"/>
  <c r="AT16" i="1" s="1"/>
  <c r="J63" i="1"/>
  <c r="AR63" i="1" s="1"/>
  <c r="AS63" i="1" s="1"/>
  <c r="AT63" i="1" s="1"/>
  <c r="J32" i="1"/>
  <c r="J33" i="1" s="1"/>
  <c r="AR33" i="1" s="1"/>
  <c r="AS33" i="1" s="1"/>
  <c r="AT33" i="1" s="1"/>
  <c r="J51" i="1"/>
  <c r="J101" i="1"/>
  <c r="J102" i="1" s="1"/>
  <c r="AR102" i="1" s="1"/>
  <c r="AS102" i="1" s="1"/>
  <c r="J13" i="1"/>
  <c r="AR13" i="1" s="1"/>
  <c r="AS13" i="1" s="1"/>
  <c r="AT13" i="1" s="1"/>
  <c r="J106" i="1"/>
  <c r="J107" i="1" s="1"/>
  <c r="AR107" i="1" s="1"/>
  <c r="AS107" i="1" s="1"/>
  <c r="J90" i="1"/>
  <c r="AR90" i="1" s="1"/>
  <c r="AS90" i="1" s="1"/>
  <c r="J61" i="1"/>
  <c r="J146" i="1"/>
  <c r="J147" i="1" s="1"/>
  <c r="AR147" i="1" s="1"/>
  <c r="AS147" i="1" s="1"/>
  <c r="J99" i="1"/>
  <c r="AR99" i="1" s="1"/>
  <c r="AS99" i="1" s="1"/>
  <c r="AR168" i="1"/>
  <c r="AS168" i="1" s="1"/>
  <c r="J121" i="1"/>
  <c r="AR121" i="1" s="1"/>
  <c r="AS121" i="1" s="1"/>
  <c r="AR120" i="1"/>
  <c r="AS120" i="1" s="1"/>
  <c r="J97" i="1"/>
  <c r="AR97" i="1" s="1"/>
  <c r="AS97" i="1" s="1"/>
  <c r="AR96" i="1"/>
  <c r="AS96" i="1" s="1"/>
  <c r="J95" i="1"/>
  <c r="AR95" i="1" s="1"/>
  <c r="AS95" i="1" s="1"/>
  <c r="AR94" i="1"/>
  <c r="AS94" i="1" s="1"/>
  <c r="J75" i="1"/>
  <c r="AR75" i="1" s="1"/>
  <c r="AS75" i="1" s="1"/>
  <c r="AT75" i="1" s="1"/>
  <c r="AR74" i="1"/>
  <c r="AS74" i="1" s="1"/>
  <c r="AT74" i="1" s="1"/>
  <c r="J20" i="1"/>
  <c r="AR20" i="1" s="1"/>
  <c r="AS20" i="1" s="1"/>
  <c r="AT20" i="1" s="1"/>
  <c r="AR19" i="1"/>
  <c r="AS19" i="1" s="1"/>
  <c r="AT19" i="1" s="1"/>
  <c r="J142" i="1"/>
  <c r="AR142" i="1" s="1"/>
  <c r="AS142" i="1" s="1"/>
  <c r="AR141" i="1"/>
  <c r="AS141" i="1" s="1"/>
  <c r="J25" i="1"/>
  <c r="AR24" i="1"/>
  <c r="AS24" i="1" s="1"/>
  <c r="AT24" i="1" s="1"/>
  <c r="J157" i="1"/>
  <c r="AR157" i="1" s="1"/>
  <c r="AS157" i="1" s="1"/>
  <c r="AR156" i="1"/>
  <c r="AS156" i="1" s="1"/>
  <c r="J73" i="1"/>
  <c r="AR73" i="1" s="1"/>
  <c r="AS73" i="1" s="1"/>
  <c r="AT73" i="1" s="1"/>
  <c r="AR72" i="1"/>
  <c r="AS72" i="1" s="1"/>
  <c r="AT72" i="1" s="1"/>
  <c r="J18" i="1"/>
  <c r="AR17" i="1"/>
  <c r="AS17" i="1" s="1"/>
  <c r="AT17" i="1" s="1"/>
  <c r="AH80" i="1"/>
  <c r="AE79" i="8"/>
  <c r="J23" i="1"/>
  <c r="AR23" i="1" s="1"/>
  <c r="AS23" i="1" s="1"/>
  <c r="AT23" i="1" s="1"/>
  <c r="AR22" i="1"/>
  <c r="AS22" i="1" s="1"/>
  <c r="AT22" i="1" s="1"/>
  <c r="J113" i="1"/>
  <c r="AR113" i="1" s="1"/>
  <c r="AS113" i="1" s="1"/>
  <c r="AR112" i="1"/>
  <c r="AS112" i="1" s="1"/>
  <c r="J69" i="1"/>
  <c r="J44" i="1"/>
  <c r="AR43" i="1"/>
  <c r="AS43" i="1" s="1"/>
  <c r="AT43" i="1" s="1"/>
  <c r="J71" i="1"/>
  <c r="AR71" i="1" s="1"/>
  <c r="AS71" i="1" s="1"/>
  <c r="AT71" i="1" s="1"/>
  <c r="AR70" i="1"/>
  <c r="AS70" i="1" s="1"/>
  <c r="AT70" i="1" s="1"/>
  <c r="AI80" i="1"/>
  <c r="AF79" i="8"/>
  <c r="J57" i="1"/>
  <c r="AR56" i="1"/>
  <c r="AS56" i="1" s="1"/>
  <c r="AT56" i="1" s="1"/>
  <c r="J47" i="1"/>
  <c r="AR47" i="1" s="1"/>
  <c r="AS47" i="1" s="1"/>
  <c r="AT47" i="1" s="1"/>
  <c r="AR46" i="1"/>
  <c r="AS46" i="1" s="1"/>
  <c r="AT46" i="1" s="1"/>
  <c r="J66" i="1"/>
  <c r="AR65" i="1"/>
  <c r="AS65" i="1" s="1"/>
  <c r="AT65" i="1" s="1"/>
  <c r="J28" i="1"/>
  <c r="AJ28" i="1" s="1"/>
  <c r="AR27" i="1"/>
  <c r="AS27" i="1" s="1"/>
  <c r="AT27" i="1" s="1"/>
  <c r="J140" i="1"/>
  <c r="AR140" i="1" s="1"/>
  <c r="AS140" i="1" s="1"/>
  <c r="AR139" i="1"/>
  <c r="AS139" i="1" s="1"/>
  <c r="J41" i="1"/>
  <c r="AR40" i="1"/>
  <c r="AS40" i="1" s="1"/>
  <c r="AT40" i="1" s="1"/>
  <c r="J151" i="1"/>
  <c r="AR151" i="1" s="1"/>
  <c r="AS151" i="1" s="1"/>
  <c r="AR150" i="1"/>
  <c r="AS150" i="1" s="1"/>
  <c r="J109" i="1"/>
  <c r="AR109" i="1" s="1"/>
  <c r="AS109" i="1" s="1"/>
  <c r="AR108" i="1"/>
  <c r="AS108" i="1" s="1"/>
  <c r="J88" i="1"/>
  <c r="AR88" i="1" s="1"/>
  <c r="AS88" i="1" s="1"/>
  <c r="AR87" i="1"/>
  <c r="AS87" i="1" s="1"/>
  <c r="J39" i="1"/>
  <c r="AR38" i="1"/>
  <c r="AS38" i="1" s="1"/>
  <c r="AT38" i="1" s="1"/>
  <c r="AR167" i="1"/>
  <c r="AS167" i="1" s="1"/>
  <c r="J163" i="1"/>
  <c r="AR162" i="1"/>
  <c r="AS162" i="1" s="1"/>
  <c r="J54" i="1"/>
  <c r="AR53" i="1"/>
  <c r="AS53" i="1" s="1"/>
  <c r="AT53" i="1" s="1"/>
  <c r="J9" i="1"/>
  <c r="AJ9" i="1" s="1"/>
  <c r="AR8" i="1"/>
  <c r="AS8" i="1" s="1"/>
  <c r="AT8" i="1" s="1"/>
  <c r="J128" i="1"/>
  <c r="AR128" i="1" s="1"/>
  <c r="AS128" i="1" s="1"/>
  <c r="AR127" i="1"/>
  <c r="AS127" i="1" s="1"/>
  <c r="J84" i="1"/>
  <c r="AR84" i="1" s="1"/>
  <c r="AS84" i="1" s="1"/>
  <c r="AR83" i="1"/>
  <c r="AS83" i="1" s="1"/>
  <c r="J35" i="1"/>
  <c r="AR34" i="1"/>
  <c r="AS34" i="1" s="1"/>
  <c r="AT34" i="1" s="1"/>
  <c r="J7" i="1"/>
  <c r="AR6" i="1"/>
  <c r="AS6" i="1" s="1"/>
  <c r="AT6" i="1" s="1"/>
  <c r="AG80" i="1"/>
  <c r="AD79" i="8"/>
  <c r="J119" i="1"/>
  <c r="AR119" i="1" s="1"/>
  <c r="AS119" i="1" s="1"/>
  <c r="AR118" i="1"/>
  <c r="AS118" i="1" s="1"/>
  <c r="J130" i="1"/>
  <c r="AR130" i="1" s="1"/>
  <c r="AS130" i="1" s="1"/>
  <c r="AR129" i="1"/>
  <c r="AS129" i="1" s="1"/>
  <c r="J86" i="1"/>
  <c r="AR86" i="1" s="1"/>
  <c r="AS86" i="1" s="1"/>
  <c r="AR85" i="1"/>
  <c r="AS85" i="1" s="1"/>
  <c r="J125" i="1"/>
  <c r="AR125" i="1" s="1"/>
  <c r="AS125" i="1" s="1"/>
  <c r="AR124" i="1"/>
  <c r="AS124" i="1" s="1"/>
  <c r="J104" i="1"/>
  <c r="AR104" i="1" s="1"/>
  <c r="AS104" i="1" s="1"/>
  <c r="AK4" i="1"/>
  <c r="AR4" i="1"/>
  <c r="AS4" i="1" s="1"/>
  <c r="AT4" i="1" s="1"/>
  <c r="E170" i="1"/>
  <c r="AQ169" i="1"/>
  <c r="AR169" i="1" s="1"/>
  <c r="AS169" i="1" s="1"/>
  <c r="J337" i="1"/>
  <c r="J338" i="1"/>
  <c r="J339" i="1"/>
  <c r="J340" i="1" s="1"/>
  <c r="J341" i="1" s="1"/>
  <c r="J342" i="1"/>
  <c r="J343" i="1" s="1"/>
  <c r="J344" i="1" s="1"/>
  <c r="J345" i="1"/>
  <c r="J346" i="1" s="1"/>
  <c r="J347" i="1"/>
  <c r="J348" i="1" s="1"/>
  <c r="J349" i="1" s="1"/>
  <c r="J350" i="1" s="1"/>
  <c r="J351" i="1"/>
  <c r="J352" i="1" s="1"/>
  <c r="J353" i="1"/>
  <c r="J354" i="1" s="1"/>
  <c r="J355" i="1"/>
  <c r="J356" i="1" s="1"/>
  <c r="J357" i="1" s="1"/>
  <c r="J358" i="1"/>
  <c r="J359" i="1"/>
  <c r="J360" i="1"/>
  <c r="J361" i="1" s="1"/>
  <c r="J362" i="1" s="1"/>
  <c r="J363" i="1" s="1"/>
  <c r="J364" i="1"/>
  <c r="J365" i="1" s="1"/>
  <c r="J366" i="1" s="1"/>
  <c r="J367" i="1"/>
  <c r="J368" i="1" s="1"/>
  <c r="J369" i="1" s="1"/>
  <c r="J370" i="1"/>
  <c r="J371" i="1" s="1"/>
  <c r="J372" i="1" s="1"/>
  <c r="J373" i="1"/>
  <c r="J374" i="1" s="1"/>
  <c r="J375" i="1"/>
  <c r="J376" i="1" s="1"/>
  <c r="J377" i="1"/>
  <c r="J378" i="1"/>
  <c r="J379" i="1" s="1"/>
  <c r="J380" i="1"/>
  <c r="J381" i="1" s="1"/>
  <c r="J382" i="1"/>
  <c r="J383" i="1" s="1"/>
  <c r="J384" i="1"/>
  <c r="J385" i="1" s="1"/>
  <c r="J386" i="1"/>
  <c r="J387" i="1" s="1"/>
  <c r="J388" i="1"/>
  <c r="J389" i="1"/>
  <c r="J390" i="1"/>
  <c r="J391" i="1" s="1"/>
  <c r="J392" i="1" s="1"/>
  <c r="J393" i="1"/>
  <c r="J394" i="1"/>
  <c r="J395" i="1"/>
  <c r="J396" i="1" s="1"/>
  <c r="J397" i="1" s="1"/>
  <c r="J398" i="1"/>
  <c r="J399" i="1"/>
  <c r="J400" i="1" s="1"/>
  <c r="J401" i="1"/>
  <c r="J402" i="1" s="1"/>
  <c r="J403" i="1"/>
  <c r="J404" i="1" s="1"/>
  <c r="J405" i="1"/>
  <c r="J406" i="1" s="1"/>
  <c r="J407" i="1"/>
  <c r="J408" i="1" s="1"/>
  <c r="J409" i="1" s="1"/>
  <c r="J410" i="1"/>
  <c r="J411" i="1" s="1"/>
  <c r="J412" i="1"/>
  <c r="J413" i="1" s="1"/>
  <c r="J414" i="1" s="1"/>
  <c r="J415" i="1"/>
  <c r="J416" i="1" s="1"/>
  <c r="J417" i="1"/>
  <c r="J418" i="1" s="1"/>
  <c r="J419" i="1"/>
  <c r="J420" i="1" s="1"/>
  <c r="J421" i="1" s="1"/>
  <c r="J422" i="1" s="1"/>
  <c r="J423" i="1"/>
  <c r="J424" i="1" s="1"/>
  <c r="J425" i="1" s="1"/>
  <c r="J426" i="1"/>
  <c r="J427" i="1" s="1"/>
  <c r="J428" i="1" s="1"/>
  <c r="J429" i="1"/>
  <c r="J430" i="1" s="1"/>
  <c r="J431" i="1" s="1"/>
  <c r="J432" i="1"/>
  <c r="J433" i="1"/>
  <c r="J434" i="1"/>
  <c r="J435" i="1"/>
  <c r="J436" i="1" s="1"/>
  <c r="J437" i="1" s="1"/>
  <c r="J438" i="1" s="1"/>
  <c r="J439" i="1" s="1"/>
  <c r="J440" i="1"/>
  <c r="J441" i="1" s="1"/>
  <c r="J442" i="1" s="1"/>
  <c r="J443" i="1"/>
  <c r="J444" i="1" s="1"/>
  <c r="J445" i="1" s="1"/>
  <c r="J446" i="1"/>
  <c r="J447" i="1"/>
  <c r="J448" i="1"/>
  <c r="J449" i="1" s="1"/>
  <c r="J450" i="1" s="1"/>
  <c r="J451" i="1"/>
  <c r="J452" i="1"/>
  <c r="J453" i="1" s="1"/>
  <c r="J454" i="1"/>
  <c r="J455" i="1" s="1"/>
  <c r="J456" i="1" s="1"/>
  <c r="J457" i="1" s="1"/>
  <c r="J458" i="1"/>
  <c r="J459" i="1"/>
  <c r="J460" i="1"/>
  <c r="J461" i="1"/>
  <c r="J462" i="1"/>
  <c r="J463" i="1" s="1"/>
  <c r="J464" i="1"/>
  <c r="J465" i="1" s="1"/>
  <c r="J466" i="1" s="1"/>
  <c r="J467" i="1" s="1"/>
  <c r="J468" i="1" s="1"/>
  <c r="J469" i="1"/>
  <c r="J470" i="1"/>
  <c r="J471" i="1" s="1"/>
  <c r="J472" i="1" s="1"/>
  <c r="J473" i="1"/>
  <c r="J474" i="1"/>
  <c r="J475" i="1"/>
  <c r="J476" i="1" s="1"/>
  <c r="J477" i="1"/>
  <c r="J478" i="1" s="1"/>
  <c r="J479" i="1" s="1"/>
  <c r="J480" i="1"/>
  <c r="J481" i="1" s="1"/>
  <c r="J482" i="1"/>
  <c r="J483" i="1" s="1"/>
  <c r="J484" i="1" s="1"/>
  <c r="J485" i="1" s="1"/>
  <c r="J486" i="1"/>
  <c r="J487" i="1" s="1"/>
  <c r="J488" i="1"/>
  <c r="J489" i="1"/>
  <c r="J490" i="1" s="1"/>
  <c r="J491" i="1" s="1"/>
  <c r="J492" i="1" s="1"/>
  <c r="J493" i="1" s="1"/>
  <c r="J494" i="1" s="1"/>
  <c r="J495" i="1"/>
  <c r="J496" i="1" s="1"/>
  <c r="J497" i="1"/>
  <c r="J498" i="1" s="1"/>
  <c r="J499" i="1"/>
  <c r="J500" i="1" s="1"/>
  <c r="J501" i="1"/>
  <c r="J502" i="1" s="1"/>
  <c r="J503" i="1"/>
  <c r="J504" i="1" s="1"/>
  <c r="J505" i="1"/>
  <c r="J506" i="1" s="1"/>
  <c r="J507" i="1"/>
  <c r="J508" i="1" s="1"/>
  <c r="J509" i="1"/>
  <c r="J510" i="1" s="1"/>
  <c r="J511" i="1"/>
  <c r="J512" i="1"/>
  <c r="J513" i="1"/>
  <c r="J514" i="1"/>
  <c r="J515" i="1" s="1"/>
  <c r="J516" i="1"/>
  <c r="J517" i="1" s="1"/>
  <c r="J518" i="1"/>
  <c r="J519" i="1"/>
  <c r="J520" i="1" s="1"/>
  <c r="J521" i="1" s="1"/>
  <c r="J522" i="1"/>
  <c r="J523" i="1" s="1"/>
  <c r="J524" i="1"/>
  <c r="J525" i="1"/>
  <c r="J526" i="1"/>
  <c r="J527" i="1"/>
  <c r="J528" i="1" s="1"/>
  <c r="J529" i="1" s="1"/>
  <c r="J530" i="1"/>
  <c r="J531" i="1" s="1"/>
  <c r="J532" i="1"/>
  <c r="J533" i="1" s="1"/>
  <c r="J534" i="1" s="1"/>
  <c r="J535" i="1"/>
  <c r="J536" i="1" s="1"/>
  <c r="J537" i="1" s="1"/>
  <c r="J538" i="1"/>
  <c r="J539" i="1" s="1"/>
  <c r="J540" i="1"/>
  <c r="J541" i="1" s="1"/>
  <c r="J542" i="1" s="1"/>
  <c r="J543" i="1" s="1"/>
  <c r="J544" i="1" s="1"/>
  <c r="J545" i="1" s="1"/>
  <c r="J546" i="1"/>
  <c r="J547" i="1" s="1"/>
  <c r="J548" i="1" s="1"/>
  <c r="J549" i="1"/>
  <c r="J550" i="1" s="1"/>
  <c r="J551" i="1" s="1"/>
  <c r="J552" i="1"/>
  <c r="J553" i="1"/>
  <c r="J554" i="1"/>
  <c r="J555" i="1" s="1"/>
  <c r="J556" i="1"/>
  <c r="J557" i="1" s="1"/>
  <c r="J558" i="1"/>
  <c r="J559" i="1" s="1"/>
  <c r="J560" i="1" s="1"/>
  <c r="J561" i="1"/>
  <c r="J562" i="1" s="1"/>
  <c r="J563" i="1" s="1"/>
  <c r="J564" i="1"/>
  <c r="J565" i="1" s="1"/>
  <c r="J566" i="1" s="1"/>
  <c r="J567" i="1"/>
  <c r="J568" i="1" s="1"/>
  <c r="J569" i="1" s="1"/>
  <c r="J570" i="1"/>
  <c r="J571" i="1" s="1"/>
  <c r="J572" i="1"/>
  <c r="J573" i="1" s="1"/>
  <c r="J574" i="1"/>
  <c r="J575" i="1" s="1"/>
  <c r="J576" i="1"/>
  <c r="J577" i="1" s="1"/>
  <c r="J578" i="1"/>
  <c r="J579" i="1" s="1"/>
  <c r="J580" i="1"/>
  <c r="J581" i="1" s="1"/>
  <c r="J582" i="1" s="1"/>
  <c r="J586" i="1"/>
  <c r="J587" i="1" s="1"/>
  <c r="J583" i="1"/>
  <c r="J584" i="1" s="1"/>
  <c r="J585" i="1" s="1"/>
  <c r="J588" i="1"/>
  <c r="J589" i="1" s="1"/>
  <c r="J590" i="1"/>
  <c r="J591" i="1" s="1"/>
  <c r="J592" i="1"/>
  <c r="J593" i="1" s="1"/>
  <c r="J594" i="1" s="1"/>
  <c r="J595" i="1"/>
  <c r="J596" i="1"/>
  <c r="J597" i="1" s="1"/>
  <c r="J598" i="1" s="1"/>
  <c r="J599" i="1" s="1"/>
  <c r="J600" i="1" s="1"/>
  <c r="J601" i="1" s="1"/>
  <c r="J602" i="1"/>
  <c r="J603" i="1"/>
  <c r="J604" i="1"/>
  <c r="J605" i="1" s="1"/>
  <c r="J606" i="1"/>
  <c r="J607" i="1"/>
  <c r="J608" i="1" s="1"/>
  <c r="J609" i="1" s="1"/>
  <c r="J610" i="1" s="1"/>
  <c r="J611" i="1"/>
  <c r="J612" i="1" s="1"/>
  <c r="J613" i="1"/>
  <c r="J614" i="1" s="1"/>
  <c r="J615" i="1"/>
  <c r="J616" i="1"/>
  <c r="J617" i="1"/>
  <c r="J618" i="1" s="1"/>
  <c r="J619" i="1"/>
  <c r="J620" i="1" s="1"/>
  <c r="J621" i="1" s="1"/>
  <c r="J622" i="1"/>
  <c r="J623" i="1" s="1"/>
  <c r="J624" i="1"/>
  <c r="J625" i="1" s="1"/>
  <c r="J626" i="1"/>
  <c r="J627" i="1"/>
  <c r="J628" i="1"/>
  <c r="J629" i="1" s="1"/>
  <c r="J630" i="1"/>
  <c r="J631" i="1"/>
  <c r="J632" i="1" s="1"/>
  <c r="J633" i="1"/>
  <c r="J634" i="1"/>
  <c r="J635" i="1"/>
  <c r="J636" i="1"/>
  <c r="J637" i="1" s="1"/>
  <c r="J638" i="1"/>
  <c r="J639" i="1" s="1"/>
  <c r="J640" i="1"/>
  <c r="AT48" i="1" l="1"/>
  <c r="AT26" i="1"/>
  <c r="AC81" i="1"/>
  <c r="AF80" i="1"/>
  <c r="AT78" i="1"/>
  <c r="AT49" i="1"/>
  <c r="L83" i="1"/>
  <c r="AJ82" i="1"/>
  <c r="AT82" i="1" s="1"/>
  <c r="AR39" i="1"/>
  <c r="AS39" i="1" s="1"/>
  <c r="AJ39" i="1"/>
  <c r="AT50" i="1"/>
  <c r="AR51" i="1"/>
  <c r="AS51" i="1" s="1"/>
  <c r="AJ51" i="1"/>
  <c r="AT68" i="1"/>
  <c r="AR25" i="1"/>
  <c r="AS25" i="1" s="1"/>
  <c r="AJ25" i="1"/>
  <c r="AR61" i="1"/>
  <c r="AS61" i="1" s="1"/>
  <c r="AJ61" i="1"/>
  <c r="AT60" i="1"/>
  <c r="AR7" i="1"/>
  <c r="AS7" i="1" s="1"/>
  <c r="AJ7" i="1"/>
  <c r="AR18" i="1"/>
  <c r="AS18" i="1" s="1"/>
  <c r="AJ18" i="1"/>
  <c r="AR69" i="1"/>
  <c r="AS69" i="1" s="1"/>
  <c r="AJ69" i="1"/>
  <c r="AR32" i="1"/>
  <c r="AS32" i="1" s="1"/>
  <c r="AT32" i="1" s="1"/>
  <c r="J136" i="1"/>
  <c r="J137" i="1" s="1"/>
  <c r="N1404" i="1"/>
  <c r="Y1402" i="1"/>
  <c r="Z1402" i="1"/>
  <c r="N188" i="1"/>
  <c r="Y183" i="1"/>
  <c r="Z183" i="1"/>
  <c r="J52" i="1"/>
  <c r="AR106" i="1"/>
  <c r="AS106" i="1" s="1"/>
  <c r="J64" i="1"/>
  <c r="AR64" i="1" s="1"/>
  <c r="AS64" i="1" s="1"/>
  <c r="AT64" i="1" s="1"/>
  <c r="AR146" i="1"/>
  <c r="AS146" i="1" s="1"/>
  <c r="AR132" i="1"/>
  <c r="AS132" i="1" s="1"/>
  <c r="J133" i="1"/>
  <c r="AR133" i="1" s="1"/>
  <c r="AS133" i="1" s="1"/>
  <c r="AR101" i="1"/>
  <c r="AS101" i="1" s="1"/>
  <c r="AG81" i="1"/>
  <c r="AD80" i="8"/>
  <c r="J67" i="1"/>
  <c r="AR67" i="1" s="1"/>
  <c r="AS67" i="1" s="1"/>
  <c r="AT67" i="1" s="1"/>
  <c r="AR66" i="1"/>
  <c r="AS66" i="1" s="1"/>
  <c r="AT66" i="1" s="1"/>
  <c r="J164" i="1"/>
  <c r="AR163" i="1"/>
  <c r="AS163" i="1" s="1"/>
  <c r="J36" i="1"/>
  <c r="AR36" i="1" s="1"/>
  <c r="AS36" i="1" s="1"/>
  <c r="AT36" i="1" s="1"/>
  <c r="AR35" i="1"/>
  <c r="AS35" i="1" s="1"/>
  <c r="AT35" i="1" s="1"/>
  <c r="AH81" i="1"/>
  <c r="AE80" i="8"/>
  <c r="J58" i="1"/>
  <c r="AR58" i="1" s="1"/>
  <c r="AS58" i="1" s="1"/>
  <c r="AT58" i="1" s="1"/>
  <c r="AR57" i="1"/>
  <c r="AS57" i="1" s="1"/>
  <c r="AT57" i="1" s="1"/>
  <c r="AL4" i="1"/>
  <c r="AM4" i="1" a="1"/>
  <c r="AM4" i="1" s="1"/>
  <c r="AI81" i="1"/>
  <c r="AF80" i="8"/>
  <c r="J29" i="1"/>
  <c r="AJ29" i="1" s="1"/>
  <c r="AR28" i="1"/>
  <c r="AS28" i="1" s="1"/>
  <c r="AT28" i="1" s="1"/>
  <c r="J10" i="1"/>
  <c r="AJ10" i="1" s="1"/>
  <c r="AR9" i="1"/>
  <c r="AS9" i="1" s="1"/>
  <c r="AT9" i="1" s="1"/>
  <c r="J55" i="1"/>
  <c r="AR55" i="1" s="1"/>
  <c r="AS55" i="1" s="1"/>
  <c r="AT55" i="1" s="1"/>
  <c r="AR54" i="1"/>
  <c r="AS54" i="1" s="1"/>
  <c r="AT54" i="1" s="1"/>
  <c r="AR41" i="1"/>
  <c r="AS41" i="1" s="1"/>
  <c r="AT41" i="1" s="1"/>
  <c r="J42" i="1"/>
  <c r="AR42" i="1" s="1"/>
  <c r="AS42" i="1" s="1"/>
  <c r="AT42" i="1" s="1"/>
  <c r="J45" i="1"/>
  <c r="AR45" i="1" s="1"/>
  <c r="AS45" i="1" s="1"/>
  <c r="AT45" i="1" s="1"/>
  <c r="AR44" i="1"/>
  <c r="AS44" i="1" s="1"/>
  <c r="AT44" i="1" s="1"/>
  <c r="E171" i="1"/>
  <c r="AQ170" i="1"/>
  <c r="AR170" i="1" s="1"/>
  <c r="AS170" i="1" s="1"/>
  <c r="J641" i="1"/>
  <c r="J642" i="1"/>
  <c r="J643" i="1" s="1"/>
  <c r="J644" i="1"/>
  <c r="J645" i="1" s="1"/>
  <c r="J646" i="1"/>
  <c r="J647" i="1"/>
  <c r="J648" i="1" s="1"/>
  <c r="J649" i="1"/>
  <c r="J650" i="1"/>
  <c r="J651" i="1"/>
  <c r="J652" i="1"/>
  <c r="J653" i="1"/>
  <c r="J654" i="1" s="1"/>
  <c r="J655" i="1"/>
  <c r="J656" i="1"/>
  <c r="J657" i="1"/>
  <c r="J658" i="1"/>
  <c r="J659" i="1" s="1"/>
  <c r="J660" i="1" s="1"/>
  <c r="J661" i="1" s="1"/>
  <c r="J662" i="1"/>
  <c r="J663" i="1" s="1"/>
  <c r="J664" i="1"/>
  <c r="J665" i="1"/>
  <c r="J666" i="1"/>
  <c r="J667" i="1" s="1"/>
  <c r="J668" i="1"/>
  <c r="J669" i="1" s="1"/>
  <c r="J670" i="1"/>
  <c r="J671" i="1"/>
  <c r="J672" i="1"/>
  <c r="J673" i="1"/>
  <c r="J674" i="1" s="1"/>
  <c r="J675" i="1"/>
  <c r="J676" i="1" s="1"/>
  <c r="J677" i="1"/>
  <c r="J678" i="1"/>
  <c r="J679" i="1" s="1"/>
  <c r="J680" i="1"/>
  <c r="J681" i="1" s="1"/>
  <c r="J682" i="1"/>
  <c r="J683" i="1"/>
  <c r="J684" i="1" s="1"/>
  <c r="J685" i="1"/>
  <c r="J686" i="1" s="1"/>
  <c r="J687" i="1"/>
  <c r="J688" i="1" s="1"/>
  <c r="J689" i="1" s="1"/>
  <c r="J690" i="1"/>
  <c r="J691" i="1" s="1"/>
  <c r="J692" i="1"/>
  <c r="J693" i="1"/>
  <c r="J694" i="1"/>
  <c r="J695" i="1" s="1"/>
  <c r="J696" i="1" s="1"/>
  <c r="J697" i="1" s="1"/>
  <c r="J698" i="1" s="1"/>
  <c r="J699" i="1"/>
  <c r="J700" i="1" s="1"/>
  <c r="J701" i="1"/>
  <c r="J702" i="1" s="1"/>
  <c r="J703" i="1"/>
  <c r="J704" i="1"/>
  <c r="J705" i="1"/>
  <c r="J706" i="1"/>
  <c r="J707" i="1"/>
  <c r="J708" i="1" s="1"/>
  <c r="J709" i="1"/>
  <c r="J710" i="1" s="1"/>
  <c r="J711" i="1"/>
  <c r="J712" i="1" s="1"/>
  <c r="J713" i="1" s="1"/>
  <c r="J714" i="1"/>
  <c r="J715" i="1" s="1"/>
  <c r="J716" i="1"/>
  <c r="J717" i="1" s="1"/>
  <c r="J718" i="1"/>
  <c r="J719" i="1" s="1"/>
  <c r="J720" i="1" s="1"/>
  <c r="J721" i="1"/>
  <c r="J722" i="1" s="1"/>
  <c r="J723" i="1" s="1"/>
  <c r="J724" i="1"/>
  <c r="J725" i="1" s="1"/>
  <c r="J726" i="1"/>
  <c r="J727" i="1" s="1"/>
  <c r="J728" i="1" s="1"/>
  <c r="J729" i="1"/>
  <c r="J730" i="1" s="1"/>
  <c r="J731" i="1"/>
  <c r="J732" i="1"/>
  <c r="J733" i="1" s="1"/>
  <c r="J734" i="1"/>
  <c r="J735" i="1"/>
  <c r="J736" i="1" s="1"/>
  <c r="J737" i="1"/>
  <c r="J738" i="1"/>
  <c r="J739" i="1" s="1"/>
  <c r="J740" i="1"/>
  <c r="J741" i="1" s="1"/>
  <c r="J742" i="1" s="1"/>
  <c r="J743" i="1"/>
  <c r="J744" i="1" s="1"/>
  <c r="J745" i="1"/>
  <c r="J746" i="1"/>
  <c r="J747" i="1" s="1"/>
  <c r="J748" i="1"/>
  <c r="J749" i="1"/>
  <c r="J750" i="1"/>
  <c r="J751" i="1" s="1"/>
  <c r="J752" i="1" s="1"/>
  <c r="J753" i="1"/>
  <c r="J754" i="1" s="1"/>
  <c r="J755" i="1"/>
  <c r="J756" i="1" s="1"/>
  <c r="J757" i="1"/>
  <c r="J758" i="1" s="1"/>
  <c r="J759" i="1"/>
  <c r="J760" i="1"/>
  <c r="J761" i="1" s="1"/>
  <c r="J762" i="1" s="1"/>
  <c r="J763" i="1"/>
  <c r="J764" i="1" s="1"/>
  <c r="J765" i="1" s="1"/>
  <c r="J766" i="1"/>
  <c r="J767" i="1" s="1"/>
  <c r="J768" i="1" s="1"/>
  <c r="J769" i="1"/>
  <c r="J770" i="1"/>
  <c r="J771" i="1"/>
  <c r="J772" i="1" s="1"/>
  <c r="J773" i="1"/>
  <c r="J774" i="1" s="1"/>
  <c r="J775" i="1"/>
  <c r="J776" i="1" s="1"/>
  <c r="J777" i="1"/>
  <c r="J778" i="1"/>
  <c r="J779" i="1"/>
  <c r="J780" i="1"/>
  <c r="J781" i="1" s="1"/>
  <c r="J782" i="1" s="1"/>
  <c r="J783" i="1" s="1"/>
  <c r="J784" i="1"/>
  <c r="J785" i="1"/>
  <c r="J786" i="1" s="1"/>
  <c r="J787" i="1"/>
  <c r="J788" i="1"/>
  <c r="J789" i="1" s="1"/>
  <c r="J790" i="1"/>
  <c r="J791" i="1"/>
  <c r="J792" i="1"/>
  <c r="J793" i="1" s="1"/>
  <c r="J794" i="1" s="1"/>
  <c r="J795" i="1" s="1"/>
  <c r="J796" i="1" s="1"/>
  <c r="J797" i="1"/>
  <c r="J798" i="1" s="1"/>
  <c r="J799" i="1"/>
  <c r="J800" i="1"/>
  <c r="J801" i="1"/>
  <c r="J802" i="1" s="1"/>
  <c r="J803" i="1"/>
  <c r="J804" i="1"/>
  <c r="J805" i="1"/>
  <c r="J806" i="1" s="1"/>
  <c r="J807" i="1"/>
  <c r="J809" i="1"/>
  <c r="AT7" i="1" l="1"/>
  <c r="AR136" i="1"/>
  <c r="AS136" i="1" s="1"/>
  <c r="AT39" i="1"/>
  <c r="AC82" i="1"/>
  <c r="AF81" i="1"/>
  <c r="AT61" i="1"/>
  <c r="AT25" i="1"/>
  <c r="AT51" i="1"/>
  <c r="AT69" i="1"/>
  <c r="AT18" i="1"/>
  <c r="AR52" i="1"/>
  <c r="AS52" i="1" s="1"/>
  <c r="AJ52" i="1"/>
  <c r="L84" i="1"/>
  <c r="AJ83" i="1"/>
  <c r="AT83" i="1" s="1"/>
  <c r="N190" i="1"/>
  <c r="Y188" i="1"/>
  <c r="Z188" i="1"/>
  <c r="N1405" i="1"/>
  <c r="Z1404" i="1"/>
  <c r="Y1404" i="1"/>
  <c r="AI82" i="1"/>
  <c r="AF81" i="8"/>
  <c r="AH82" i="1"/>
  <c r="AE81" i="8"/>
  <c r="J11" i="1"/>
  <c r="AR10" i="1"/>
  <c r="AS10" i="1" s="1"/>
  <c r="AT10" i="1" s="1"/>
  <c r="J165" i="1"/>
  <c r="AR164" i="1"/>
  <c r="AS164" i="1" s="1"/>
  <c r="J30" i="1"/>
  <c r="AR29" i="1"/>
  <c r="AS29" i="1" s="1"/>
  <c r="AT29" i="1" s="1"/>
  <c r="AG82" i="1"/>
  <c r="AD81" i="8"/>
  <c r="AR137" i="1"/>
  <c r="AS137" i="1" s="1"/>
  <c r="J138" i="1"/>
  <c r="AR138" i="1" s="1"/>
  <c r="AS138" i="1" s="1"/>
  <c r="E172" i="1"/>
  <c r="AQ171" i="1"/>
  <c r="AR171" i="1" s="1"/>
  <c r="AS171" i="1" s="1"/>
  <c r="J808" i="1"/>
  <c r="J810" i="1"/>
  <c r="J811" i="1"/>
  <c r="J812" i="1"/>
  <c r="J813" i="1" s="1"/>
  <c r="J814" i="1"/>
  <c r="J815" i="1"/>
  <c r="J816" i="1"/>
  <c r="J817" i="1"/>
  <c r="J818" i="1"/>
  <c r="J819" i="1"/>
  <c r="J820" i="1" s="1"/>
  <c r="J821" i="1"/>
  <c r="J822" i="1"/>
  <c r="J823" i="1"/>
  <c r="J824" i="1" s="1"/>
  <c r="J827" i="1"/>
  <c r="J828" i="1" s="1"/>
  <c r="J829" i="1" s="1"/>
  <c r="J830" i="1" s="1"/>
  <c r="J825" i="1"/>
  <c r="J826" i="1" s="1"/>
  <c r="J831" i="1"/>
  <c r="J832" i="1" s="1"/>
  <c r="J833" i="1"/>
  <c r="J834" i="1" s="1"/>
  <c r="J835" i="1"/>
  <c r="J836" i="1"/>
  <c r="J837" i="1" s="1"/>
  <c r="J838" i="1"/>
  <c r="J839" i="1"/>
  <c r="J840" i="1" s="1"/>
  <c r="J841" i="1"/>
  <c r="J842" i="1"/>
  <c r="J843" i="1"/>
  <c r="J844" i="1"/>
  <c r="J845" i="1"/>
  <c r="J846" i="1" s="1"/>
  <c r="J847" i="1" s="1"/>
  <c r="J848" i="1"/>
  <c r="J849" i="1" s="1"/>
  <c r="J850" i="1" s="1"/>
  <c r="J851" i="1"/>
  <c r="J852" i="1" s="1"/>
  <c r="J853" i="1"/>
  <c r="J854" i="1"/>
  <c r="J855" i="1" s="1"/>
  <c r="J856" i="1" s="1"/>
  <c r="J857" i="1"/>
  <c r="J858" i="1" s="1"/>
  <c r="J859" i="1"/>
  <c r="J860" i="1"/>
  <c r="J861" i="1"/>
  <c r="J862" i="1" s="1"/>
  <c r="J863" i="1"/>
  <c r="J864" i="1" s="1"/>
  <c r="J865" i="1" s="1"/>
  <c r="J866" i="1" s="1"/>
  <c r="J867" i="1"/>
  <c r="J868" i="1" s="1"/>
  <c r="J869" i="1"/>
  <c r="J870" i="1" s="1"/>
  <c r="J871" i="1" s="1"/>
  <c r="J872" i="1"/>
  <c r="J873" i="1" s="1"/>
  <c r="J874" i="1"/>
  <c r="J875" i="1"/>
  <c r="J876" i="1"/>
  <c r="J877" i="1" s="1"/>
  <c r="J878" i="1"/>
  <c r="J879" i="1" s="1"/>
  <c r="J880" i="1"/>
  <c r="J881" i="1" s="1"/>
  <c r="J882" i="1"/>
  <c r="J883" i="1" s="1"/>
  <c r="J884" i="1"/>
  <c r="J885" i="1" s="1"/>
  <c r="J886" i="1"/>
  <c r="J887" i="1" s="1"/>
  <c r="J888" i="1"/>
  <c r="J889" i="1"/>
  <c r="J890" i="1" s="1"/>
  <c r="J893" i="1"/>
  <c r="J894" i="1"/>
  <c r="J895" i="1"/>
  <c r="J896" i="1"/>
  <c r="J897" i="1" s="1"/>
  <c r="J898" i="1"/>
  <c r="J899" i="1"/>
  <c r="J900" i="1"/>
  <c r="J901" i="1" s="1"/>
  <c r="J902" i="1"/>
  <c r="J903" i="1"/>
  <c r="J904" i="1" s="1"/>
  <c r="J905" i="1"/>
  <c r="J906" i="1" s="1"/>
  <c r="J907" i="1"/>
  <c r="J908" i="1" s="1"/>
  <c r="J909" i="1"/>
  <c r="J910" i="1" s="1"/>
  <c r="J911" i="1"/>
  <c r="J912" i="1"/>
  <c r="J913" i="1"/>
  <c r="J914" i="1"/>
  <c r="J915" i="1" s="1"/>
  <c r="J916" i="1"/>
  <c r="J917" i="1" s="1"/>
  <c r="J918" i="1" s="1"/>
  <c r="J919" i="1" s="1"/>
  <c r="J920" i="1"/>
  <c r="J921" i="1" s="1"/>
  <c r="J922" i="1"/>
  <c r="J923" i="1"/>
  <c r="J924" i="1" s="1"/>
  <c r="J925" i="1" s="1"/>
  <c r="J926" i="1" s="1"/>
  <c r="J927" i="1"/>
  <c r="J928" i="1" s="1"/>
  <c r="J929" i="1" s="1"/>
  <c r="J930" i="1" s="1"/>
  <c r="J931" i="1"/>
  <c r="J932" i="1"/>
  <c r="J933" i="1"/>
  <c r="J934" i="1" s="1"/>
  <c r="J935" i="1"/>
  <c r="J936" i="1"/>
  <c r="J937" i="1" s="1"/>
  <c r="J938" i="1"/>
  <c r="J939" i="1"/>
  <c r="J940" i="1"/>
  <c r="J941" i="1" s="1"/>
  <c r="J942" i="1" s="1"/>
  <c r="J943" i="1" s="1"/>
  <c r="J944" i="1" s="1"/>
  <c r="J945" i="1"/>
  <c r="J946" i="1" s="1"/>
  <c r="J947" i="1"/>
  <c r="J948" i="1" s="1"/>
  <c r="J949" i="1"/>
  <c r="J950" i="1" s="1"/>
  <c r="J951" i="1"/>
  <c r="J952" i="1" s="1"/>
  <c r="J953" i="1"/>
  <c r="J954" i="1" s="1"/>
  <c r="J955" i="1"/>
  <c r="J956" i="1"/>
  <c r="J957" i="1"/>
  <c r="J958" i="1" s="1"/>
  <c r="J959" i="1"/>
  <c r="J960" i="1" s="1"/>
  <c r="J961" i="1"/>
  <c r="J962" i="1" s="1"/>
  <c r="J963" i="1" s="1"/>
  <c r="J964" i="1"/>
  <c r="J965" i="1" s="1"/>
  <c r="J966" i="1"/>
  <c r="J967" i="1" s="1"/>
  <c r="J968" i="1"/>
  <c r="J969" i="1"/>
  <c r="J970" i="1" s="1"/>
  <c r="J971" i="1"/>
  <c r="J972" i="1"/>
  <c r="J973" i="1"/>
  <c r="J974" i="1" s="1"/>
  <c r="J975" i="1" s="1"/>
  <c r="J976" i="1"/>
  <c r="J977" i="1" s="1"/>
  <c r="J978" i="1"/>
  <c r="J979" i="1"/>
  <c r="J980" i="1" s="1"/>
  <c r="J981" i="1"/>
  <c r="J982" i="1"/>
  <c r="J983" i="1" s="1"/>
  <c r="J984" i="1"/>
  <c r="J985" i="1" s="1"/>
  <c r="J986" i="1"/>
  <c r="J987" i="1" s="1"/>
  <c r="J988" i="1"/>
  <c r="J989" i="1" s="1"/>
  <c r="J990" i="1"/>
  <c r="J991" i="1"/>
  <c r="J992" i="1"/>
  <c r="J993" i="1"/>
  <c r="J994" i="1"/>
  <c r="J995" i="1"/>
  <c r="J996" i="1" s="1"/>
  <c r="J997" i="1" s="1"/>
  <c r="J998" i="1" s="1"/>
  <c r="J999" i="1"/>
  <c r="J1000" i="1" s="1"/>
  <c r="J1001" i="1" s="1"/>
  <c r="J1002" i="1" s="1"/>
  <c r="J1003" i="1"/>
  <c r="J1004" i="1"/>
  <c r="J1005" i="1"/>
  <c r="J1006" i="1" s="1"/>
  <c r="J1007" i="1"/>
  <c r="J1008" i="1" s="1"/>
  <c r="J1009" i="1" s="1"/>
  <c r="J1010" i="1"/>
  <c r="J1011" i="1" s="1"/>
  <c r="J1012" i="1" s="1"/>
  <c r="J1013" i="1"/>
  <c r="J1014" i="1"/>
  <c r="J1015" i="1" s="1"/>
  <c r="J1016" i="1"/>
  <c r="J1017" i="1" s="1"/>
  <c r="J1018" i="1"/>
  <c r="J1019" i="1"/>
  <c r="J1020" i="1"/>
  <c r="J1021" i="1" s="1"/>
  <c r="J1022" i="1"/>
  <c r="J1023" i="1" s="1"/>
  <c r="J1024" i="1"/>
  <c r="J1025" i="1" s="1"/>
  <c r="J1026" i="1"/>
  <c r="J1027" i="1" s="1"/>
  <c r="J1028" i="1"/>
  <c r="J1029" i="1"/>
  <c r="J1030" i="1" s="1"/>
  <c r="J1031" i="1"/>
  <c r="J1032" i="1" s="1"/>
  <c r="J1033" i="1"/>
  <c r="J1034" i="1" s="1"/>
  <c r="J1035" i="1"/>
  <c r="J1036" i="1" s="1"/>
  <c r="J1037" i="1"/>
  <c r="J1038" i="1"/>
  <c r="J1039" i="1"/>
  <c r="J1040" i="1"/>
  <c r="J1041" i="1"/>
  <c r="J1042" i="1"/>
  <c r="J1043" i="1" s="1"/>
  <c r="J1044" i="1" s="1"/>
  <c r="J1045" i="1" s="1"/>
  <c r="J1046" i="1"/>
  <c r="J1047" i="1" s="1"/>
  <c r="J1048" i="1"/>
  <c r="J1049" i="1" s="1"/>
  <c r="J1050" i="1"/>
  <c r="J1051" i="1"/>
  <c r="J1052" i="1" s="1"/>
  <c r="J1053" i="1" s="1"/>
  <c r="J1054" i="1"/>
  <c r="J1055" i="1" s="1"/>
  <c r="J1056" i="1"/>
  <c r="J1057" i="1" s="1"/>
  <c r="J1058" i="1" s="1"/>
  <c r="J1059" i="1"/>
  <c r="J1060" i="1"/>
  <c r="J1061" i="1" s="1"/>
  <c r="J1062" i="1"/>
  <c r="J1063" i="1" s="1"/>
  <c r="J1064" i="1"/>
  <c r="J1065" i="1"/>
  <c r="J1066" i="1"/>
  <c r="J1067" i="1"/>
  <c r="J1068" i="1"/>
  <c r="J1069" i="1"/>
  <c r="J1070" i="1"/>
  <c r="J1071" i="1" s="1"/>
  <c r="J1072" i="1"/>
  <c r="J1073" i="1"/>
  <c r="J1074" i="1" s="1"/>
  <c r="J1075" i="1"/>
  <c r="J1076" i="1" s="1"/>
  <c r="J1077" i="1"/>
  <c r="J1078" i="1"/>
  <c r="J1079" i="1" s="1"/>
  <c r="J1080" i="1"/>
  <c r="J1081" i="1"/>
  <c r="J1082" i="1"/>
  <c r="J1083" i="1" s="1"/>
  <c r="J1084" i="1"/>
  <c r="J1085" i="1" s="1"/>
  <c r="J1086" i="1"/>
  <c r="J1087" i="1" s="1"/>
  <c r="J1088" i="1" s="1"/>
  <c r="J1089" i="1" s="1"/>
  <c r="J1090" i="1" s="1"/>
  <c r="J1091" i="1"/>
  <c r="J1092" i="1" s="1"/>
  <c r="J1093" i="1"/>
  <c r="J1094" i="1" s="1"/>
  <c r="J1095" i="1"/>
  <c r="J1096" i="1" s="1"/>
  <c r="J1097" i="1" s="1"/>
  <c r="J1098" i="1"/>
  <c r="J1099" i="1" s="1"/>
  <c r="J1100" i="1" s="1"/>
  <c r="J1104" i="1"/>
  <c r="J1105" i="1" s="1"/>
  <c r="J1106" i="1" s="1"/>
  <c r="J1107" i="1"/>
  <c r="J1108" i="1" s="1"/>
  <c r="J1109" i="1"/>
  <c r="J1110" i="1" s="1"/>
  <c r="J1111" i="1" s="1"/>
  <c r="J1112" i="1" s="1"/>
  <c r="J1113" i="1"/>
  <c r="J1114" i="1" s="1"/>
  <c r="J1115" i="1" s="1"/>
  <c r="J1116" i="1" s="1"/>
  <c r="J1117" i="1"/>
  <c r="J1118" i="1"/>
  <c r="J1119" i="1" s="1"/>
  <c r="J1120" i="1" s="1"/>
  <c r="J1121" i="1" s="1"/>
  <c r="J1122" i="1"/>
  <c r="J1123" i="1" s="1"/>
  <c r="J1124" i="1"/>
  <c r="J1125" i="1" s="1"/>
  <c r="J1126" i="1"/>
  <c r="J1127" i="1" s="1"/>
  <c r="J1128" i="1"/>
  <c r="J1129" i="1" s="1"/>
  <c r="J1130" i="1"/>
  <c r="J1131" i="1"/>
  <c r="J1132" i="1"/>
  <c r="J1133" i="1"/>
  <c r="J1134" i="1"/>
  <c r="J1135" i="1" s="1"/>
  <c r="J1136" i="1"/>
  <c r="J1137" i="1" s="1"/>
  <c r="J1138" i="1"/>
  <c r="J1139" i="1" s="1"/>
  <c r="J1140" i="1" s="1"/>
  <c r="J1141" i="1"/>
  <c r="J1142" i="1" s="1"/>
  <c r="J1143" i="1"/>
  <c r="J1144" i="1"/>
  <c r="J1145" i="1"/>
  <c r="J1146" i="1" s="1"/>
  <c r="J1147" i="1"/>
  <c r="J1148" i="1" s="1"/>
  <c r="J1149" i="1"/>
  <c r="J1150" i="1"/>
  <c r="J1151" i="1"/>
  <c r="J1152" i="1"/>
  <c r="J1153" i="1" s="1"/>
  <c r="J1154" i="1" s="1"/>
  <c r="J1155" i="1"/>
  <c r="J1156" i="1" s="1"/>
  <c r="J1157" i="1"/>
  <c r="J1158" i="1"/>
  <c r="J1159" i="1"/>
  <c r="J1160" i="1" s="1"/>
  <c r="J1161" i="1" s="1"/>
  <c r="J1162" i="1"/>
  <c r="J1163" i="1"/>
  <c r="J1164" i="1" s="1"/>
  <c r="J1165" i="1"/>
  <c r="J1166" i="1" s="1"/>
  <c r="J1167" i="1"/>
  <c r="J1170" i="1"/>
  <c r="J1171" i="1"/>
  <c r="J1172" i="1"/>
  <c r="J1173" i="1"/>
  <c r="J1174" i="1" s="1"/>
  <c r="J1175" i="1"/>
  <c r="J1176" i="1"/>
  <c r="J1177" i="1"/>
  <c r="J1178" i="1" s="1"/>
  <c r="J1179" i="1"/>
  <c r="J1180" i="1" s="1"/>
  <c r="J1181" i="1"/>
  <c r="J1182" i="1"/>
  <c r="J1183" i="1" s="1"/>
  <c r="J1184" i="1"/>
  <c r="J1185" i="1" s="1"/>
  <c r="J1186" i="1"/>
  <c r="J1187" i="1" s="1"/>
  <c r="J1188" i="1"/>
  <c r="J1189" i="1"/>
  <c r="J1190" i="1" s="1"/>
  <c r="J1191" i="1" s="1"/>
  <c r="J1192" i="1" s="1"/>
  <c r="J1193" i="1"/>
  <c r="J1194" i="1" s="1"/>
  <c r="J1195" i="1"/>
  <c r="J1196" i="1" s="1"/>
  <c r="J1197" i="1"/>
  <c r="J1198" i="1" s="1"/>
  <c r="J1199" i="1"/>
  <c r="J1200" i="1"/>
  <c r="J1201" i="1"/>
  <c r="J1202" i="1"/>
  <c r="J1203" i="1"/>
  <c r="J1204" i="1" s="1"/>
  <c r="J1205" i="1" s="1"/>
  <c r="J1206" i="1"/>
  <c r="J1207" i="1" s="1"/>
  <c r="J1208" i="1" s="1"/>
  <c r="J1209" i="1"/>
  <c r="J1210" i="1"/>
  <c r="J1211" i="1"/>
  <c r="J1212" i="1" s="1"/>
  <c r="J1213" i="1" s="1"/>
  <c r="J1214" i="1"/>
  <c r="J1215" i="1" s="1"/>
  <c r="J1216" i="1"/>
  <c r="J1217" i="1" s="1"/>
  <c r="J1218" i="1"/>
  <c r="J1219" i="1" s="1"/>
  <c r="J1220" i="1"/>
  <c r="J1221" i="1" s="1"/>
  <c r="J1222" i="1"/>
  <c r="J1223" i="1"/>
  <c r="J1224" i="1" s="1"/>
  <c r="J1225" i="1"/>
  <c r="J1226" i="1" s="1"/>
  <c r="J1227" i="1"/>
  <c r="J1228" i="1" s="1"/>
  <c r="J1229" i="1"/>
  <c r="J1230" i="1" s="1"/>
  <c r="J1231" i="1"/>
  <c r="J1232" i="1" s="1"/>
  <c r="J1233" i="1"/>
  <c r="J1234" i="1"/>
  <c r="J1235" i="1"/>
  <c r="J1236" i="1" s="1"/>
  <c r="J1237" i="1" s="1"/>
  <c r="J1238" i="1"/>
  <c r="J1239" i="1"/>
  <c r="J1240" i="1" s="1"/>
  <c r="J1241" i="1" s="1"/>
  <c r="J1242" i="1"/>
  <c r="J1243" i="1" s="1"/>
  <c r="J1244" i="1" s="1"/>
  <c r="J1245" i="1"/>
  <c r="J1246" i="1" s="1"/>
  <c r="J1247" i="1" s="1"/>
  <c r="J1248" i="1"/>
  <c r="J1249" i="1"/>
  <c r="J1250" i="1" s="1"/>
  <c r="J1251" i="1"/>
  <c r="J1252" i="1" s="1"/>
  <c r="J1253" i="1"/>
  <c r="J1254" i="1"/>
  <c r="J1255" i="1" s="1"/>
  <c r="J1256" i="1"/>
  <c r="J1257" i="1"/>
  <c r="J1258" i="1" s="1"/>
  <c r="J1259" i="1" s="1"/>
  <c r="J1260" i="1"/>
  <c r="J1261" i="1"/>
  <c r="J1262" i="1" s="1"/>
  <c r="J1263" i="1" s="1"/>
  <c r="J1264" i="1"/>
  <c r="J1265" i="1" s="1"/>
  <c r="J1266" i="1" s="1"/>
  <c r="J1267" i="1"/>
  <c r="J1268" i="1" s="1"/>
  <c r="J1269" i="1"/>
  <c r="J1270" i="1"/>
  <c r="J1271" i="1" s="1"/>
  <c r="J1272" i="1"/>
  <c r="J1273" i="1" s="1"/>
  <c r="J1274" i="1"/>
  <c r="J1275" i="1" s="1"/>
  <c r="J1276" i="1"/>
  <c r="J1277" i="1" s="1"/>
  <c r="J1278" i="1" s="1"/>
  <c r="J1279" i="1"/>
  <c r="J1280" i="1" s="1"/>
  <c r="J1281" i="1" s="1"/>
  <c r="J1282" i="1" s="1"/>
  <c r="J1283" i="1"/>
  <c r="J1284" i="1" s="1"/>
  <c r="J1285" i="1"/>
  <c r="J1286" i="1" s="1"/>
  <c r="J1287" i="1"/>
  <c r="J1288" i="1"/>
  <c r="J1289" i="1"/>
  <c r="J1290" i="1" s="1"/>
  <c r="J1291" i="1" s="1"/>
  <c r="J1292" i="1"/>
  <c r="J1293" i="1" s="1"/>
  <c r="J1294" i="1" s="1"/>
  <c r="J1295" i="1"/>
  <c r="J1296" i="1"/>
  <c r="J1297" i="1" s="1"/>
  <c r="J1298" i="1" s="1"/>
  <c r="J1299" i="1"/>
  <c r="J1300" i="1" s="1"/>
  <c r="J1301" i="1" s="1"/>
  <c r="J1302" i="1"/>
  <c r="J1303" i="1" s="1"/>
  <c r="J1304" i="1" s="1"/>
  <c r="J1305" i="1"/>
  <c r="J1306" i="1" s="1"/>
  <c r="J1307" i="1"/>
  <c r="J1308" i="1"/>
  <c r="J1309" i="1" s="1"/>
  <c r="J1310" i="1"/>
  <c r="J1311" i="1" s="1"/>
  <c r="J1312" i="1"/>
  <c r="J1313" i="1"/>
  <c r="J1314" i="1" s="1"/>
  <c r="J1315" i="1" s="1"/>
  <c r="J1316" i="1"/>
  <c r="J1317" i="1"/>
  <c r="J1318" i="1" s="1"/>
  <c r="J1319" i="1" s="1"/>
  <c r="J1320" i="1"/>
  <c r="J1321" i="1" s="1"/>
  <c r="J1322" i="1" s="1"/>
  <c r="J1323" i="1"/>
  <c r="J1324" i="1"/>
  <c r="J1325" i="1" s="1"/>
  <c r="J1326" i="1"/>
  <c r="J1327" i="1" s="1"/>
  <c r="J1328" i="1"/>
  <c r="J1329" i="1"/>
  <c r="J1330" i="1" s="1"/>
  <c r="J1331" i="1"/>
  <c r="J1332" i="1"/>
  <c r="J1333" i="1" s="1"/>
  <c r="J1334" i="1" s="1"/>
  <c r="J1335" i="1"/>
  <c r="J1336" i="1" s="1"/>
  <c r="J1337" i="1" s="1"/>
  <c r="J1338" i="1"/>
  <c r="J1339" i="1"/>
  <c r="J1340" i="1"/>
  <c r="J1341" i="1" s="1"/>
  <c r="J1342" i="1"/>
  <c r="J1343" i="1"/>
  <c r="J1344" i="1"/>
  <c r="J1345" i="1" s="1"/>
  <c r="J1346" i="1" s="1"/>
  <c r="J1347" i="1"/>
  <c r="J1348" i="1" s="1"/>
  <c r="J1349" i="1" s="1"/>
  <c r="J1350" i="1"/>
  <c r="J1351" i="1"/>
  <c r="J1352" i="1"/>
  <c r="J1353" i="1"/>
  <c r="J1354" i="1"/>
  <c r="J1355" i="1" s="1"/>
  <c r="J1356" i="1"/>
  <c r="J1357" i="1" s="1"/>
  <c r="J1358" i="1" s="1"/>
  <c r="J1359" i="1"/>
  <c r="J1360" i="1"/>
  <c r="J1361" i="1" s="1"/>
  <c r="J1362" i="1"/>
  <c r="J1363" i="1" s="1"/>
  <c r="J1364" i="1" s="1"/>
  <c r="J1365" i="1"/>
  <c r="J1366" i="1" s="1"/>
  <c r="J1367" i="1" s="1"/>
  <c r="J1368" i="1"/>
  <c r="J1369" i="1"/>
  <c r="J1370" i="1"/>
  <c r="J1371" i="1"/>
  <c r="J1372" i="1" s="1"/>
  <c r="J1373" i="1"/>
  <c r="J1374" i="1" s="1"/>
  <c r="J1375" i="1"/>
  <c r="J1376" i="1" s="1"/>
  <c r="J1377" i="1"/>
  <c r="J1378" i="1"/>
  <c r="J1379" i="1"/>
  <c r="J1380" i="1"/>
  <c r="J1381" i="1"/>
  <c r="J1382" i="1"/>
  <c r="J1383" i="1"/>
  <c r="J1384" i="1" s="1"/>
  <c r="J1385" i="1"/>
  <c r="J1386" i="1" s="1"/>
  <c r="J1387" i="1" s="1"/>
  <c r="J1388" i="1" s="1"/>
  <c r="J1389" i="1" s="1"/>
  <c r="J1390" i="1" s="1"/>
  <c r="J1391" i="1"/>
  <c r="J1392" i="1" s="1"/>
  <c r="J1393" i="1" s="1"/>
  <c r="J1394" i="1"/>
  <c r="J1395" i="1" s="1"/>
  <c r="J1396" i="1" s="1"/>
  <c r="J1397" i="1"/>
  <c r="J1398" i="1"/>
  <c r="J1399" i="1"/>
  <c r="J1400" i="1" s="1"/>
  <c r="J1401" i="1"/>
  <c r="J1402" i="1" s="1"/>
  <c r="J1403" i="1"/>
  <c r="J1404" i="1" s="1"/>
  <c r="J1405" i="1" s="1"/>
  <c r="J1406" i="1"/>
  <c r="J1407" i="1" s="1"/>
  <c r="J1408" i="1" s="1"/>
  <c r="J1409" i="1"/>
  <c r="J1410" i="1"/>
  <c r="J1411" i="1" s="1"/>
  <c r="J1412" i="1"/>
  <c r="J1413" i="1" s="1"/>
  <c r="J1414" i="1" s="1"/>
  <c r="J1415" i="1" s="1"/>
  <c r="J1419" i="1"/>
  <c r="J1416" i="1"/>
  <c r="J1417" i="1" s="1"/>
  <c r="J1418" i="1" s="1"/>
  <c r="J1420" i="1"/>
  <c r="J1421" i="1" s="1"/>
  <c r="J1422" i="1"/>
  <c r="J1423" i="1" s="1"/>
  <c r="J1424" i="1" s="1"/>
  <c r="J1425" i="1"/>
  <c r="J1426" i="1" s="1"/>
  <c r="J1427" i="1" s="1"/>
  <c r="J1428" i="1"/>
  <c r="J1429" i="1"/>
  <c r="J1430" i="1"/>
  <c r="J1431" i="1" s="1"/>
  <c r="J1432" i="1" s="1"/>
  <c r="J1433" i="1"/>
  <c r="J1434" i="1" s="1"/>
  <c r="J1435" i="1"/>
  <c r="J1436" i="1" s="1"/>
  <c r="J1437" i="1"/>
  <c r="J1438" i="1"/>
  <c r="J1439" i="1" s="1"/>
  <c r="J1440" i="1"/>
  <c r="J1441" i="1" s="1"/>
  <c r="J1442" i="1" s="1"/>
  <c r="J1443" i="1" s="1"/>
  <c r="J1444" i="1"/>
  <c r="J1445" i="1" s="1"/>
  <c r="J1446" i="1"/>
  <c r="J1447" i="1" s="1"/>
  <c r="J1448" i="1" s="1"/>
  <c r="J1449" i="1"/>
  <c r="J1450" i="1"/>
  <c r="J1451" i="1" s="1"/>
  <c r="J1452" i="1"/>
  <c r="J1453" i="1"/>
  <c r="J1454" i="1"/>
  <c r="J1455" i="1"/>
  <c r="J1456" i="1"/>
  <c r="J1457" i="1"/>
  <c r="J1458" i="1" s="1"/>
  <c r="J1459" i="1" s="1"/>
  <c r="J1460" i="1"/>
  <c r="J1461" i="1" s="1"/>
  <c r="J1462" i="1" s="1"/>
  <c r="J1463" i="1"/>
  <c r="J1464" i="1"/>
  <c r="J1465" i="1" s="1"/>
  <c r="J1466" i="1"/>
  <c r="J1467" i="1" s="1"/>
  <c r="J1468" i="1" s="1"/>
  <c r="J1469" i="1"/>
  <c r="J1470" i="1" s="1"/>
  <c r="J1471" i="1"/>
  <c r="J1472" i="1"/>
  <c r="J1473" i="1"/>
  <c r="J1474" i="1" s="1"/>
  <c r="J1475" i="1"/>
  <c r="J1476" i="1" s="1"/>
  <c r="J1477" i="1"/>
  <c r="J1478" i="1"/>
  <c r="J1479" i="1" s="1"/>
  <c r="J1480" i="1" s="1"/>
  <c r="J1481" i="1" s="1"/>
  <c r="J1482" i="1"/>
  <c r="J1483" i="1" s="1"/>
  <c r="J1484" i="1" s="1"/>
  <c r="J1485" i="1"/>
  <c r="J1486" i="1"/>
  <c r="J1487" i="1"/>
  <c r="J1488" i="1"/>
  <c r="J1489" i="1" s="1"/>
  <c r="J1490" i="1" s="1"/>
  <c r="J1491" i="1" s="1"/>
  <c r="J1492" i="1" s="1"/>
  <c r="J1493" i="1"/>
  <c r="J1494" i="1" s="1"/>
  <c r="J1495" i="1" s="1"/>
  <c r="J1496" i="1"/>
  <c r="J1497" i="1" s="1"/>
  <c r="J1498" i="1"/>
  <c r="J1499" i="1" s="1"/>
  <c r="J1500" i="1"/>
  <c r="J1501" i="1" s="1"/>
  <c r="J1502" i="1"/>
  <c r="J1503" i="1"/>
  <c r="J1504" i="1" s="1"/>
  <c r="J1505" i="1"/>
  <c r="J1506" i="1"/>
  <c r="J1507" i="1"/>
  <c r="J1508" i="1"/>
  <c r="J1509" i="1"/>
  <c r="J1510" i="1" s="1"/>
  <c r="J1511" i="1"/>
  <c r="J1512" i="1"/>
  <c r="J1513" i="1"/>
  <c r="J1514" i="1" s="1"/>
  <c r="J1515" i="1"/>
  <c r="J1516" i="1"/>
  <c r="J1517" i="1" s="1"/>
  <c r="J1518" i="1"/>
  <c r="J1519" i="1"/>
  <c r="J1520" i="1" s="1"/>
  <c r="J1521" i="1"/>
  <c r="J1522" i="1" s="1"/>
  <c r="J1523" i="1"/>
  <c r="J1524" i="1"/>
  <c r="J1525" i="1" s="1"/>
  <c r="J1526" i="1"/>
  <c r="J1527" i="1" s="1"/>
  <c r="J1528" i="1"/>
  <c r="J1529" i="1" s="1"/>
  <c r="J1530" i="1"/>
  <c r="J1531" i="1" s="1"/>
  <c r="J1532" i="1"/>
  <c r="J1533" i="1" s="1"/>
  <c r="J1534" i="1"/>
  <c r="J1535" i="1" s="1"/>
  <c r="J1537" i="1"/>
  <c r="J1538" i="1" s="1"/>
  <c r="J1539" i="1" s="1"/>
  <c r="J1540" i="1" s="1"/>
  <c r="J1541" i="1" s="1"/>
  <c r="J1536" i="1"/>
  <c r="J1542" i="1"/>
  <c r="J1543" i="1" s="1"/>
  <c r="J1544" i="1" s="1"/>
  <c r="J1545" i="1"/>
  <c r="J1546" i="1"/>
  <c r="J1547" i="1"/>
  <c r="J1548" i="1"/>
  <c r="J1549" i="1"/>
  <c r="J1550" i="1"/>
  <c r="J1551" i="1" s="1"/>
  <c r="J1552" i="1"/>
  <c r="J1553" i="1" s="1"/>
  <c r="J1555" i="1"/>
  <c r="J1554" i="1"/>
  <c r="J1556" i="1"/>
  <c r="J1557" i="1"/>
  <c r="J1558" i="1"/>
  <c r="J1559" i="1"/>
  <c r="J1560" i="1" s="1"/>
  <c r="J1561" i="1"/>
  <c r="J1562" i="1" s="1"/>
  <c r="J1563" i="1"/>
  <c r="J1564" i="1"/>
  <c r="J1565" i="1"/>
  <c r="J1566" i="1"/>
  <c r="J1567" i="1" s="1"/>
  <c r="J1568" i="1"/>
  <c r="J1569" i="1" s="1"/>
  <c r="J1570" i="1"/>
  <c r="J1571" i="1"/>
  <c r="J1572" i="1" s="1"/>
  <c r="J1573" i="1"/>
  <c r="J1574" i="1" s="1"/>
  <c r="J1575" i="1" s="1"/>
  <c r="J1576" i="1" s="1"/>
  <c r="J1577" i="1"/>
  <c r="J1578" i="1" s="1"/>
  <c r="J1579" i="1"/>
  <c r="J1580" i="1"/>
  <c r="J1581" i="1" s="1"/>
  <c r="J1582" i="1"/>
  <c r="J1583" i="1"/>
  <c r="J1584" i="1" s="1"/>
  <c r="J1585" i="1"/>
  <c r="J1586" i="1" s="1"/>
  <c r="J1587" i="1" s="1"/>
  <c r="J1588" i="1"/>
  <c r="J1589" i="1"/>
  <c r="J1590" i="1" s="1"/>
  <c r="J1591" i="1"/>
  <c r="J1592" i="1" s="1"/>
  <c r="J1593" i="1"/>
  <c r="J1594" i="1" s="1"/>
  <c r="J1595" i="1"/>
  <c r="J1596" i="1"/>
  <c r="J1597" i="1"/>
  <c r="J1598" i="1"/>
  <c r="J1599" i="1"/>
  <c r="J1600" i="1" s="1"/>
  <c r="J1601" i="1"/>
  <c r="J1602" i="1" s="1"/>
  <c r="J1603" i="1"/>
  <c r="J1604" i="1"/>
  <c r="J1605" i="1"/>
  <c r="J1606" i="1"/>
  <c r="J1607" i="1" s="1"/>
  <c r="J1608" i="1"/>
  <c r="J1609" i="1" s="1"/>
  <c r="J1610" i="1"/>
  <c r="J1611" i="1"/>
  <c r="J1612" i="1"/>
  <c r="J1613" i="1"/>
  <c r="J1614" i="1" s="1"/>
  <c r="J1615" i="1" s="1"/>
  <c r="J1616" i="1"/>
  <c r="J1617" i="1" s="1"/>
  <c r="J1618" i="1" s="1"/>
  <c r="J1619" i="1"/>
  <c r="J1620" i="1" s="1"/>
  <c r="J1621" i="1" s="1"/>
  <c r="J1622" i="1"/>
  <c r="J1623" i="1"/>
  <c r="J1624" i="1"/>
  <c r="J1625" i="1"/>
  <c r="J1626" i="1"/>
  <c r="J1627" i="1"/>
  <c r="J1628" i="1"/>
  <c r="J1629" i="1"/>
  <c r="J1630" i="1"/>
  <c r="J1631" i="1" s="1"/>
  <c r="J1632" i="1" s="1"/>
  <c r="J1633" i="1"/>
  <c r="J1634" i="1"/>
  <c r="J1636" i="1"/>
  <c r="J1637" i="1" s="1"/>
  <c r="J1635" i="1"/>
  <c r="J1638" i="1"/>
  <c r="J1639" i="1" s="1"/>
  <c r="J1640" i="1" s="1"/>
  <c r="J1641" i="1"/>
  <c r="J1642" i="1" s="1"/>
  <c r="J1643" i="1"/>
  <c r="J1644" i="1" s="1"/>
  <c r="J1645" i="1" s="1"/>
  <c r="J1646" i="1" s="1"/>
  <c r="J1647" i="1" s="1"/>
  <c r="J1648" i="1" s="1"/>
  <c r="J1649" i="1"/>
  <c r="J1650" i="1" s="1"/>
  <c r="J1651" i="1"/>
  <c r="J1652" i="1" s="1"/>
  <c r="J1653" i="1"/>
  <c r="J1654" i="1" s="1"/>
  <c r="J1655" i="1"/>
  <c r="J1656" i="1" s="1"/>
  <c r="J1657" i="1" s="1"/>
  <c r="J1658" i="1" s="1"/>
  <c r="J1659" i="1"/>
  <c r="J1660" i="1" s="1"/>
  <c r="J1661" i="1"/>
  <c r="J1662" i="1"/>
  <c r="J1663" i="1"/>
  <c r="J1664" i="1"/>
  <c r="J1665" i="1" s="1"/>
  <c r="J1666" i="1"/>
  <c r="J1667" i="1" s="1"/>
  <c r="J1668" i="1" s="1"/>
  <c r="J1669" i="1" s="1"/>
  <c r="J1670" i="1" s="1"/>
  <c r="J1671" i="1"/>
  <c r="J1672" i="1" s="1"/>
  <c r="J1673" i="1" s="1"/>
  <c r="J1674" i="1"/>
  <c r="J1675" i="1" s="1"/>
  <c r="J1676" i="1" s="1"/>
  <c r="J1677" i="1"/>
  <c r="J1678" i="1"/>
  <c r="J1679" i="1" s="1"/>
  <c r="J1680" i="1"/>
  <c r="J1681" i="1" s="1"/>
  <c r="J1682" i="1" s="1"/>
  <c r="J1683" i="1" s="1"/>
  <c r="J1684" i="1"/>
  <c r="J1685" i="1" s="1"/>
  <c r="J1686" i="1"/>
  <c r="J1687" i="1"/>
  <c r="J1688" i="1" s="1"/>
  <c r="J1689" i="1"/>
  <c r="J1690" i="1" s="1"/>
  <c r="J1691" i="1" s="1"/>
  <c r="J1692" i="1" s="1"/>
  <c r="J1693" i="1"/>
  <c r="J1694" i="1" s="1"/>
  <c r="J1695" i="1"/>
  <c r="J1696" i="1"/>
  <c r="J1697" i="1" s="1"/>
  <c r="J1698" i="1"/>
  <c r="J1699" i="1"/>
  <c r="J1700" i="1"/>
  <c r="J1701" i="1"/>
  <c r="J1702" i="1"/>
  <c r="J1703" i="1"/>
  <c r="J1704" i="1"/>
  <c r="J1705" i="1" s="1"/>
  <c r="J1706" i="1" s="1"/>
  <c r="J1707" i="1" s="1"/>
  <c r="J1708" i="1" s="1"/>
  <c r="J1709" i="1" s="1"/>
  <c r="J1710" i="1"/>
  <c r="J1711" i="1" s="1"/>
  <c r="J1712" i="1" s="1"/>
  <c r="J1713" i="1"/>
  <c r="J1714" i="1"/>
  <c r="J1715" i="1" s="1"/>
  <c r="J1716" i="1"/>
  <c r="J1717" i="1" s="1"/>
  <c r="J1718" i="1"/>
  <c r="J1719" i="1" s="1"/>
  <c r="J1720" i="1"/>
  <c r="J1721" i="1"/>
  <c r="J1722" i="1"/>
  <c r="J1723" i="1"/>
  <c r="J1724" i="1" s="1"/>
  <c r="J1725" i="1" s="1"/>
  <c r="J1726" i="1"/>
  <c r="J1727" i="1" s="1"/>
  <c r="J1728" i="1" s="1"/>
  <c r="J1729" i="1" s="1"/>
  <c r="J1730" i="1"/>
  <c r="J1731" i="1" s="1"/>
  <c r="J1732" i="1" s="1"/>
  <c r="J1733" i="1"/>
  <c r="J1734" i="1" s="1"/>
  <c r="J1735" i="1" s="1"/>
  <c r="J1736" i="1" s="1"/>
  <c r="J1737" i="1"/>
  <c r="J1738" i="1"/>
  <c r="J1739" i="1" s="1"/>
  <c r="J1740" i="1"/>
  <c r="J1741" i="1" s="1"/>
  <c r="J1742" i="1" s="1"/>
  <c r="J1743" i="1"/>
  <c r="J1744" i="1" s="1"/>
  <c r="J1745" i="1"/>
  <c r="J1746" i="1" s="1"/>
  <c r="J1747" i="1" s="1"/>
  <c r="J1748" i="1"/>
  <c r="J1749" i="1" s="1"/>
  <c r="J1750" i="1"/>
  <c r="J1751" i="1" s="1"/>
  <c r="J1752" i="1"/>
  <c r="J1753" i="1" s="1"/>
  <c r="J1754" i="1"/>
  <c r="J1755" i="1" s="1"/>
  <c r="J1756" i="1"/>
  <c r="J1757" i="1" s="1"/>
  <c r="J1758" i="1"/>
  <c r="J1759" i="1" s="1"/>
  <c r="J1760" i="1"/>
  <c r="J1761" i="1"/>
  <c r="J1762" i="1" s="1"/>
  <c r="J1763" i="1" s="1"/>
  <c r="J1764" i="1" s="1"/>
  <c r="J1765" i="1"/>
  <c r="J1766" i="1" s="1"/>
  <c r="J1767" i="1"/>
  <c r="J1768" i="1"/>
  <c r="J1769" i="1"/>
  <c r="J1770" i="1"/>
  <c r="J1771" i="1" s="1"/>
  <c r="J1772" i="1" s="1"/>
  <c r="J1773" i="1"/>
  <c r="J1774" i="1" s="1"/>
  <c r="J1775" i="1" s="1"/>
  <c r="J1776" i="1"/>
  <c r="J1777" i="1" s="1"/>
  <c r="J1778" i="1"/>
  <c r="J1779" i="1" s="1"/>
  <c r="J1780" i="1"/>
  <c r="J1781" i="1" s="1"/>
  <c r="J1782" i="1"/>
  <c r="J1783" i="1" s="1"/>
  <c r="J1784" i="1"/>
  <c r="J1785" i="1"/>
  <c r="J1786" i="1" s="1"/>
  <c r="J1787" i="1"/>
  <c r="J1788" i="1" s="1"/>
  <c r="J1789" i="1"/>
  <c r="J1790" i="1"/>
  <c r="J1791" i="1"/>
  <c r="J1792" i="1"/>
  <c r="J1793" i="1" s="1"/>
  <c r="J1794" i="1" s="1"/>
  <c r="J1795" i="1"/>
  <c r="J1796" i="1"/>
  <c r="J1797" i="1" s="1"/>
  <c r="J1798" i="1"/>
  <c r="J1799" i="1" s="1"/>
  <c r="J1800" i="1"/>
  <c r="J1801" i="1" s="1"/>
  <c r="J1802" i="1"/>
  <c r="J1803" i="1"/>
  <c r="J1804" i="1" s="1"/>
  <c r="J1805" i="1" s="1"/>
  <c r="J1806" i="1" s="1"/>
  <c r="J1807" i="1"/>
  <c r="J1808" i="1" s="1"/>
  <c r="J1809" i="1"/>
  <c r="J1810" i="1" s="1"/>
  <c r="J1811" i="1"/>
  <c r="J1812" i="1"/>
  <c r="J1813" i="1" s="1"/>
  <c r="J1814" i="1"/>
  <c r="J1815" i="1"/>
  <c r="J1816" i="1"/>
  <c r="J1817" i="1" s="1"/>
  <c r="J1818" i="1"/>
  <c r="J1819" i="1" s="1"/>
  <c r="J1820" i="1"/>
  <c r="J1821" i="1"/>
  <c r="J1822" i="1" s="1"/>
  <c r="J1823" i="1" s="1"/>
  <c r="J1824" i="1"/>
  <c r="J1825" i="1"/>
  <c r="J1826" i="1"/>
  <c r="J1827" i="1"/>
  <c r="J1828" i="1" s="1"/>
  <c r="J1829" i="1"/>
  <c r="J1830" i="1" s="1"/>
  <c r="J1831" i="1"/>
  <c r="J1832" i="1"/>
  <c r="J1833" i="1" s="1"/>
  <c r="J1834" i="1"/>
  <c r="J1835" i="1"/>
  <c r="J1836" i="1"/>
  <c r="J1837" i="1"/>
  <c r="J1838" i="1" s="1"/>
  <c r="J1839" i="1"/>
  <c r="J1840" i="1" s="1"/>
  <c r="J1841" i="1"/>
  <c r="J1842" i="1" s="1"/>
  <c r="J1843" i="1"/>
  <c r="J1844" i="1"/>
  <c r="J1845" i="1" s="1"/>
  <c r="J1846" i="1" s="1"/>
  <c r="J1847" i="1"/>
  <c r="J1848" i="1" s="1"/>
  <c r="J1849" i="1" s="1"/>
  <c r="J1850" i="1"/>
  <c r="J1851" i="1" s="1"/>
  <c r="J1852" i="1"/>
  <c r="J1853" i="1" s="1"/>
  <c r="J1854" i="1"/>
  <c r="J1855" i="1" s="1"/>
  <c r="J1856" i="1"/>
  <c r="J1857" i="1" s="1"/>
  <c r="J1858" i="1"/>
  <c r="J1859" i="1" s="1"/>
  <c r="J1860" i="1"/>
  <c r="J1861" i="1"/>
  <c r="J1862" i="1"/>
  <c r="J1863" i="1" s="1"/>
  <c r="J1864" i="1" s="1"/>
  <c r="J1865" i="1" s="1"/>
  <c r="J1866" i="1"/>
  <c r="J1867" i="1" s="1"/>
  <c r="J1868" i="1"/>
  <c r="J1869" i="1" s="1"/>
  <c r="J1870" i="1"/>
  <c r="J1871" i="1"/>
  <c r="J1872" i="1" s="1"/>
  <c r="J1873" i="1"/>
  <c r="J1874" i="1" s="1"/>
  <c r="J1875" i="1"/>
  <c r="J1876" i="1" s="1"/>
  <c r="J1877" i="1"/>
  <c r="J1878" i="1" s="1"/>
  <c r="J1879" i="1"/>
  <c r="J1880" i="1" s="1"/>
  <c r="J1881" i="1" s="1"/>
  <c r="J1882" i="1"/>
  <c r="J1883" i="1"/>
  <c r="J1884" i="1"/>
  <c r="J1885" i="1"/>
  <c r="J1886" i="1" s="1"/>
  <c r="J1887" i="1"/>
  <c r="J1888" i="1" s="1"/>
  <c r="J1889" i="1"/>
  <c r="J1890" i="1" s="1"/>
  <c r="J1891" i="1" s="1"/>
  <c r="J1892" i="1"/>
  <c r="J1893" i="1"/>
  <c r="J1894" i="1"/>
  <c r="J1895" i="1" s="1"/>
  <c r="J1896" i="1"/>
  <c r="J1897" i="1" s="1"/>
  <c r="J1898" i="1"/>
  <c r="J1899" i="1"/>
  <c r="J1900" i="1"/>
  <c r="J1901" i="1"/>
  <c r="J1902" i="1" s="1"/>
  <c r="J1903" i="1" s="1"/>
  <c r="J1904" i="1"/>
  <c r="J1905" i="1" s="1"/>
  <c r="J1906" i="1" s="1"/>
  <c r="J1907" i="1"/>
  <c r="J1908" i="1" s="1"/>
  <c r="J1909" i="1" s="1"/>
  <c r="J1910" i="1"/>
  <c r="J1911" i="1"/>
  <c r="J1912" i="1"/>
  <c r="J1913" i="1" s="1"/>
  <c r="J1914" i="1" s="1"/>
  <c r="J1915" i="1"/>
  <c r="J1916" i="1"/>
  <c r="J1917" i="1" s="1"/>
  <c r="J1918" i="1" s="1"/>
  <c r="J1919" i="1"/>
  <c r="J1920" i="1" s="1"/>
  <c r="J1921" i="1" s="1"/>
  <c r="J1922" i="1"/>
  <c r="J1923" i="1"/>
  <c r="J1924" i="1"/>
  <c r="J1925" i="1" s="1"/>
  <c r="J1926" i="1"/>
  <c r="J1927" i="1"/>
  <c r="J1928" i="1" s="1"/>
  <c r="J1929" i="1"/>
  <c r="J1930" i="1"/>
  <c r="J1931" i="1" s="1"/>
  <c r="J1932" i="1"/>
  <c r="J1933" i="1" s="1"/>
  <c r="J1934" i="1"/>
  <c r="J1935" i="1" s="1"/>
  <c r="J1936" i="1"/>
  <c r="J1937" i="1"/>
  <c r="J1938" i="1"/>
  <c r="J1939" i="1" s="1"/>
  <c r="J1940" i="1" s="1"/>
  <c r="J1941" i="1"/>
  <c r="J1942" i="1" s="1"/>
  <c r="J1943" i="1" s="1"/>
  <c r="J1944" i="1"/>
  <c r="J1945" i="1"/>
  <c r="J1946" i="1" s="1"/>
  <c r="J1947" i="1" s="1"/>
  <c r="J1948" i="1" s="1"/>
  <c r="J1949" i="1"/>
  <c r="J1950" i="1" s="1"/>
  <c r="J1951" i="1"/>
  <c r="J1952" i="1" s="1"/>
  <c r="J1953" i="1" s="1"/>
  <c r="J1954" i="1"/>
  <c r="J1955" i="1" s="1"/>
  <c r="J1956" i="1" s="1"/>
  <c r="J1957" i="1"/>
  <c r="J1958" i="1"/>
  <c r="J1959" i="1" s="1"/>
  <c r="J1960" i="1" s="1"/>
  <c r="J1961" i="1"/>
  <c r="J1962" i="1" s="1"/>
  <c r="J1963" i="1" s="1"/>
  <c r="J1964" i="1"/>
  <c r="J1965" i="1" s="1"/>
  <c r="J1966" i="1" s="1"/>
  <c r="J1967" i="1"/>
  <c r="J1968" i="1"/>
  <c r="J1969" i="1"/>
  <c r="J1970" i="1" s="1"/>
  <c r="J1971" i="1" s="1"/>
  <c r="J1972" i="1"/>
  <c r="J1973" i="1" s="1"/>
  <c r="J1974" i="1"/>
  <c r="J1975" i="1" s="1"/>
  <c r="J1976" i="1"/>
  <c r="J1977" i="1"/>
  <c r="J1978" i="1" s="1"/>
  <c r="J1979" i="1"/>
  <c r="J1980" i="1" s="1"/>
  <c r="J1981" i="1" s="1"/>
  <c r="J1982" i="1" s="1"/>
  <c r="J1983" i="1"/>
  <c r="J1984" i="1" s="1"/>
  <c r="J1985" i="1"/>
  <c r="J1986" i="1"/>
  <c r="J1987" i="1"/>
  <c r="J1988" i="1"/>
  <c r="J1989" i="1"/>
  <c r="J1990" i="1" s="1"/>
  <c r="J1991" i="1"/>
  <c r="J1992" i="1" s="1"/>
  <c r="J1993" i="1"/>
  <c r="J1994" i="1" s="1"/>
  <c r="J1995" i="1"/>
  <c r="J1996" i="1" s="1"/>
  <c r="J1997" i="1"/>
  <c r="J1998" i="1" s="1"/>
  <c r="J1999" i="1"/>
  <c r="J2000" i="1" s="1"/>
  <c r="J2001" i="1"/>
  <c r="J2002" i="1" s="1"/>
  <c r="J2003" i="1"/>
  <c r="J2004" i="1"/>
  <c r="J2005" i="1"/>
  <c r="J2006" i="1"/>
  <c r="J2007" i="1" s="1"/>
  <c r="J2008" i="1"/>
  <c r="J2009" i="1" s="1"/>
  <c r="J2010" i="1"/>
  <c r="J2011" i="1"/>
  <c r="J2012" i="1" s="1"/>
  <c r="J2013" i="1" s="1"/>
  <c r="J2014" i="1"/>
  <c r="J2015" i="1"/>
  <c r="J2016" i="1"/>
  <c r="J2017" i="1"/>
  <c r="J2018" i="1" s="1"/>
  <c r="J2019" i="1"/>
  <c r="J2020" i="1"/>
  <c r="J2021" i="1"/>
  <c r="J2022" i="1" s="1"/>
  <c r="J2023" i="1" s="1"/>
  <c r="J2024" i="1" s="1"/>
  <c r="J2025" i="1"/>
  <c r="J2026" i="1" s="1"/>
  <c r="J2027" i="1" s="1"/>
  <c r="J2028" i="1"/>
  <c r="J2029" i="1"/>
  <c r="J2030" i="1"/>
  <c r="J2031" i="1" s="1"/>
  <c r="J2032" i="1"/>
  <c r="J2033" i="1"/>
  <c r="J2034" i="1"/>
  <c r="J2035" i="1" s="1"/>
  <c r="J2036" i="1" s="1"/>
  <c r="J2037" i="1"/>
  <c r="J2038" i="1" s="1"/>
  <c r="J2039" i="1"/>
  <c r="J2040" i="1" s="1"/>
  <c r="J2041" i="1"/>
  <c r="J2042" i="1" s="1"/>
  <c r="J2043" i="1"/>
  <c r="J2044" i="1"/>
  <c r="J2045" i="1"/>
  <c r="J2046" i="1" s="1"/>
  <c r="J2047" i="1"/>
  <c r="J2048" i="1" s="1"/>
  <c r="J2051" i="1"/>
  <c r="J2052" i="1"/>
  <c r="J2053" i="1" s="1"/>
  <c r="J2054" i="1"/>
  <c r="J2055" i="1" s="1"/>
  <c r="J2056" i="1"/>
  <c r="J2057" i="1"/>
  <c r="J2058" i="1"/>
  <c r="J2059" i="1"/>
  <c r="J2060" i="1" s="1"/>
  <c r="J2061" i="1" s="1"/>
  <c r="J2062" i="1"/>
  <c r="J2063" i="1" s="1"/>
  <c r="J2064" i="1"/>
  <c r="J2065" i="1" s="1"/>
  <c r="J2066" i="1"/>
  <c r="J2067" i="1"/>
  <c r="J2068" i="1" s="1"/>
  <c r="J2069" i="1"/>
  <c r="J2070" i="1"/>
  <c r="J2071" i="1" s="1"/>
  <c r="J2072" i="1" s="1"/>
  <c r="J2073" i="1" s="1"/>
  <c r="J2074" i="1"/>
  <c r="J2075" i="1" s="1"/>
  <c r="J2076" i="1"/>
  <c r="J2077" i="1" s="1"/>
  <c r="J2078" i="1" s="1"/>
  <c r="J2079" i="1"/>
  <c r="J2080" i="1" s="1"/>
  <c r="J2081" i="1" s="1"/>
  <c r="J2082" i="1"/>
  <c r="J2083" i="1" s="1"/>
  <c r="J2084" i="1" s="1"/>
  <c r="J2085" i="1" s="1"/>
  <c r="J2086" i="1"/>
  <c r="J2087" i="1" s="1"/>
  <c r="J2088" i="1" s="1"/>
  <c r="J2089" i="1" s="1"/>
  <c r="J2090" i="1"/>
  <c r="J2091" i="1"/>
  <c r="J2092" i="1"/>
  <c r="J2093" i="1"/>
  <c r="J2094" i="1" s="1"/>
  <c r="J2095" i="1" s="1"/>
  <c r="J2096" i="1" s="1"/>
  <c r="J2097" i="1"/>
  <c r="J2098" i="1" s="1"/>
  <c r="J2099" i="1"/>
  <c r="J2100" i="1" s="1"/>
  <c r="J2101" i="1"/>
  <c r="J2102" i="1"/>
  <c r="J2103" i="1" s="1"/>
  <c r="J2104" i="1" s="1"/>
  <c r="J2105" i="1"/>
  <c r="J2106" i="1" s="1"/>
  <c r="J2107" i="1"/>
  <c r="J2108" i="1" s="1"/>
  <c r="J2109" i="1"/>
  <c r="J2110" i="1"/>
  <c r="J2111" i="1" s="1"/>
  <c r="J2112" i="1"/>
  <c r="J2113" i="1"/>
  <c r="J2114" i="1"/>
  <c r="J2115" i="1" s="1"/>
  <c r="J2116" i="1"/>
  <c r="J2117" i="1" s="1"/>
  <c r="J2118" i="1"/>
  <c r="J2119" i="1"/>
  <c r="J2120" i="1"/>
  <c r="J2121" i="1" s="1"/>
  <c r="J2122" i="1"/>
  <c r="J2123" i="1"/>
  <c r="J2124" i="1"/>
  <c r="J2125" i="1" s="1"/>
  <c r="J2126" i="1"/>
  <c r="J2127" i="1" s="1"/>
  <c r="J2128" i="1"/>
  <c r="J2129" i="1" s="1"/>
  <c r="J2130" i="1"/>
  <c r="J2131" i="1"/>
  <c r="J2132" i="1"/>
  <c r="J2133" i="1" s="1"/>
  <c r="J2134" i="1" s="1"/>
  <c r="J2135" i="1" s="1"/>
  <c r="J2136" i="1"/>
  <c r="J2137" i="1" s="1"/>
  <c r="J2138" i="1"/>
  <c r="J2139" i="1"/>
  <c r="J2140" i="1"/>
  <c r="J2141" i="1"/>
  <c r="J2142" i="1"/>
  <c r="J2143" i="1" s="1"/>
  <c r="J2144" i="1"/>
  <c r="J2145" i="1" s="1"/>
  <c r="J2146" i="1"/>
  <c r="J2147" i="1"/>
  <c r="J2148" i="1"/>
  <c r="J2149" i="1"/>
  <c r="J2150" i="1"/>
  <c r="J2151" i="1"/>
  <c r="J2152" i="1" s="1"/>
  <c r="J2153" i="1"/>
  <c r="J2154" i="1"/>
  <c r="J2155" i="1" s="1"/>
  <c r="J2156" i="1" s="1"/>
  <c r="J2157" i="1"/>
  <c r="J2158" i="1" s="1"/>
  <c r="J2159" i="1" s="1"/>
  <c r="J2160" i="1"/>
  <c r="J2161" i="1" s="1"/>
  <c r="J2162" i="1"/>
  <c r="J2163" i="1" s="1"/>
  <c r="J2164" i="1" s="1"/>
  <c r="J2165" i="1"/>
  <c r="J2166" i="1" s="1"/>
  <c r="J2167" i="1" s="1"/>
  <c r="J2168" i="1"/>
  <c r="J2169" i="1"/>
  <c r="J2170" i="1"/>
  <c r="J2171" i="1" s="1"/>
  <c r="J2172" i="1" s="1"/>
  <c r="J2173" i="1"/>
  <c r="J2174" i="1" s="1"/>
  <c r="J2175" i="1" s="1"/>
  <c r="J2176" i="1"/>
  <c r="J2177" i="1" s="1"/>
  <c r="J2178" i="1" s="1"/>
  <c r="J2179" i="1"/>
  <c r="J2180" i="1"/>
  <c r="J2181" i="1" s="1"/>
  <c r="J2182" i="1"/>
  <c r="J2183" i="1" s="1"/>
  <c r="J2184" i="1"/>
  <c r="J2185" i="1"/>
  <c r="J2186" i="1"/>
  <c r="J2187" i="1"/>
  <c r="J2188" i="1"/>
  <c r="J2189" i="1"/>
  <c r="J2190" i="1"/>
  <c r="J2191" i="1"/>
  <c r="J2192" i="1"/>
  <c r="J2193" i="1"/>
  <c r="J2194" i="1" s="1"/>
  <c r="J2195" i="1"/>
  <c r="J2196" i="1" s="1"/>
  <c r="J2197" i="1"/>
  <c r="J2198" i="1" s="1"/>
  <c r="J2199" i="1"/>
  <c r="J2200" i="1"/>
  <c r="J2201" i="1" s="1"/>
  <c r="J2202" i="1" s="1"/>
  <c r="J2203" i="1"/>
  <c r="J2204" i="1" s="1"/>
  <c r="J2205" i="1"/>
  <c r="J2206" i="1" s="1"/>
  <c r="J2207" i="1"/>
  <c r="J2208" i="1"/>
  <c r="J2209" i="1"/>
  <c r="J2210" i="1" s="1"/>
  <c r="J2211" i="1" s="1"/>
  <c r="J2212" i="1"/>
  <c r="J2213" i="1" s="1"/>
  <c r="J2214" i="1"/>
  <c r="J2215" i="1" s="1"/>
  <c r="J2216" i="1"/>
  <c r="J2217" i="1"/>
  <c r="J2218" i="1" s="1"/>
  <c r="J2219" i="1"/>
  <c r="J2220" i="1"/>
  <c r="J2221" i="1" s="1"/>
  <c r="J2222" i="1" s="1"/>
  <c r="J2223" i="1"/>
  <c r="J2224" i="1" s="1"/>
  <c r="J2225" i="1" s="1"/>
  <c r="J2226" i="1"/>
  <c r="J2227" i="1"/>
  <c r="J2228" i="1" s="1"/>
  <c r="J2229" i="1" s="1"/>
  <c r="J2230" i="1"/>
  <c r="J2231" i="1" s="1"/>
  <c r="J2232" i="1"/>
  <c r="J2233" i="1" s="1"/>
  <c r="J2234" i="1"/>
  <c r="J2235" i="1" s="1"/>
  <c r="J2236" i="1"/>
  <c r="J2237" i="1" s="1"/>
  <c r="J2238" i="1"/>
  <c r="J2239" i="1" s="1"/>
  <c r="J2240" i="1"/>
  <c r="J2241" i="1" s="1"/>
  <c r="J2242" i="1"/>
  <c r="J2243" i="1"/>
  <c r="J2244" i="1"/>
  <c r="J2245" i="1" s="1"/>
  <c r="J2246" i="1" s="1"/>
  <c r="J2247" i="1"/>
  <c r="J2248" i="1" s="1"/>
  <c r="J2249" i="1" s="1"/>
  <c r="J2250" i="1"/>
  <c r="J2251" i="1" s="1"/>
  <c r="J2252" i="1"/>
  <c r="J2253" i="1" s="1"/>
  <c r="J2254" i="1" s="1"/>
  <c r="J2255" i="1"/>
  <c r="J2256" i="1"/>
  <c r="J2257" i="1"/>
  <c r="J2258" i="1"/>
  <c r="J2259" i="1"/>
  <c r="J2260" i="1"/>
  <c r="J2261" i="1"/>
  <c r="J2262" i="1"/>
  <c r="J2263" i="1"/>
  <c r="J2264" i="1"/>
  <c r="J2265" i="1" s="1"/>
  <c r="J2266" i="1"/>
  <c r="J2267" i="1" s="1"/>
  <c r="J2268" i="1"/>
  <c r="J2269" i="1"/>
  <c r="J2270" i="1" s="1"/>
  <c r="J2271" i="1" s="1"/>
  <c r="J2272" i="1" s="1"/>
  <c r="J2273" i="1"/>
  <c r="J2274" i="1" s="1"/>
  <c r="J2275" i="1"/>
  <c r="J2276" i="1" s="1"/>
  <c r="J2277" i="1"/>
  <c r="J2278" i="1" s="1"/>
  <c r="J2279" i="1"/>
  <c r="J2280" i="1"/>
  <c r="J2281" i="1" s="1"/>
  <c r="J2282" i="1" s="1"/>
  <c r="J2283" i="1"/>
  <c r="J2284" i="1" s="1"/>
  <c r="J2285" i="1"/>
  <c r="J2286" i="1"/>
  <c r="J2287" i="1"/>
  <c r="J2288" i="1" s="1"/>
  <c r="J2289" i="1" s="1"/>
  <c r="J2290" i="1"/>
  <c r="J2291" i="1" s="1"/>
  <c r="J2292" i="1"/>
  <c r="J2293" i="1" s="1"/>
  <c r="J2294" i="1" s="1"/>
  <c r="J2295" i="1"/>
  <c r="J2296" i="1" s="1"/>
  <c r="J2297" i="1"/>
  <c r="J2298" i="1"/>
  <c r="J2299" i="1"/>
  <c r="J2300" i="1"/>
  <c r="J2301" i="1" s="1"/>
  <c r="J2302" i="1" s="1"/>
  <c r="J2303" i="1"/>
  <c r="J2304" i="1"/>
  <c r="J2305" i="1"/>
  <c r="J2306" i="1"/>
  <c r="J2307" i="1"/>
  <c r="J2308" i="1"/>
  <c r="J2309" i="1" s="1"/>
  <c r="J2310" i="1"/>
  <c r="J2311" i="1"/>
  <c r="J2312" i="1"/>
  <c r="J2313" i="1" s="1"/>
  <c r="J2314" i="1" s="1"/>
  <c r="J2315" i="1"/>
  <c r="J2316" i="1" s="1"/>
  <c r="J2317" i="1" s="1"/>
  <c r="J2318" i="1"/>
  <c r="J2319" i="1" s="1"/>
  <c r="J2320" i="1" s="1"/>
  <c r="J2321" i="1"/>
  <c r="J2322" i="1"/>
  <c r="J2323" i="1"/>
  <c r="J2324" i="1" s="1"/>
  <c r="J2325" i="1"/>
  <c r="J2326" i="1" s="1"/>
  <c r="J2327" i="1"/>
  <c r="J2328" i="1"/>
  <c r="J2329" i="1"/>
  <c r="J2330" i="1" s="1"/>
  <c r="J2331" i="1" s="1"/>
  <c r="J2332" i="1"/>
  <c r="J2335" i="1"/>
  <c r="J2336" i="1"/>
  <c r="J2337" i="1"/>
  <c r="J2338" i="1"/>
  <c r="J2339" i="1"/>
  <c r="J2340" i="1"/>
  <c r="J2341" i="1"/>
  <c r="J2342" i="1" s="1"/>
  <c r="J2343" i="1" s="1"/>
  <c r="J2344" i="1"/>
  <c r="J2345" i="1" s="1"/>
  <c r="J2346" i="1"/>
  <c r="J2347" i="1"/>
  <c r="J2348" i="1" s="1"/>
  <c r="J2349" i="1" s="1"/>
  <c r="J2350" i="1" s="1"/>
  <c r="J2351" i="1" s="1"/>
  <c r="J2352" i="1"/>
  <c r="J2353" i="1" s="1"/>
  <c r="J2354" i="1" s="1"/>
  <c r="J2355" i="1"/>
  <c r="J2356" i="1"/>
  <c r="J2357" i="1" s="1"/>
  <c r="J2358" i="1"/>
  <c r="J2359" i="1" s="1"/>
  <c r="J2360" i="1"/>
  <c r="J2362" i="1"/>
  <c r="J2363" i="1" s="1"/>
  <c r="J2361" i="1"/>
  <c r="J2364" i="1"/>
  <c r="J2365" i="1"/>
  <c r="J2366" i="1"/>
  <c r="J2367" i="1" s="1"/>
  <c r="J2368" i="1"/>
  <c r="J2369" i="1" s="1"/>
  <c r="J2370" i="1" s="1"/>
  <c r="J2371" i="1" s="1"/>
  <c r="J2372" i="1"/>
  <c r="J2373" i="1" s="1"/>
  <c r="J2374" i="1" s="1"/>
  <c r="J2375" i="1"/>
  <c r="J2376" i="1" s="1"/>
  <c r="J2377" i="1"/>
  <c r="J2378" i="1"/>
  <c r="J2379" i="1"/>
  <c r="J2380" i="1"/>
  <c r="J2381" i="1"/>
  <c r="J2382" i="1"/>
  <c r="J2383" i="1"/>
  <c r="J2384" i="1"/>
  <c r="J2385" i="1"/>
  <c r="J2386" i="1" s="1"/>
  <c r="J2387" i="1" s="1"/>
  <c r="J2388" i="1"/>
  <c r="J2389" i="1" s="1"/>
  <c r="J2390" i="1"/>
  <c r="J2391" i="1" s="1"/>
  <c r="J2392" i="1" s="1"/>
  <c r="J2393" i="1"/>
  <c r="J2394" i="1" s="1"/>
  <c r="J2395" i="1"/>
  <c r="J2396" i="1" s="1"/>
  <c r="J2397" i="1"/>
  <c r="J2398" i="1"/>
  <c r="J2399" i="1"/>
  <c r="J2400" i="1" s="1"/>
  <c r="J2401" i="1"/>
  <c r="J2402" i="1" s="1"/>
  <c r="J2403" i="1"/>
  <c r="J2404" i="1" s="1"/>
  <c r="J2405" i="1"/>
  <c r="J2406" i="1"/>
  <c r="J2407" i="1"/>
  <c r="J2408" i="1"/>
  <c r="J2409" i="1" s="1"/>
  <c r="J2410" i="1"/>
  <c r="J2411" i="1" s="1"/>
  <c r="J2412" i="1"/>
  <c r="J2413" i="1" s="1"/>
  <c r="J2414" i="1" s="1"/>
  <c r="J2415" i="1" s="1"/>
  <c r="J2416" i="1" s="1"/>
  <c r="J2417" i="1" s="1"/>
  <c r="J2418" i="1"/>
  <c r="J2419" i="1" s="1"/>
  <c r="J2420" i="1" s="1"/>
  <c r="J2421" i="1"/>
  <c r="J2422" i="1" s="1"/>
  <c r="J2423" i="1" s="1"/>
  <c r="J2424" i="1"/>
  <c r="J2425" i="1"/>
  <c r="J2426" i="1"/>
  <c r="J2427" i="1"/>
  <c r="J2428" i="1"/>
  <c r="J2429" i="1"/>
  <c r="AC83" i="1" l="1"/>
  <c r="AF82" i="1"/>
  <c r="AT52" i="1"/>
  <c r="AR30" i="1"/>
  <c r="AS30" i="1" s="1"/>
  <c r="AJ30" i="1"/>
  <c r="AR11" i="1"/>
  <c r="AS11" i="1" s="1"/>
  <c r="AJ11" i="1"/>
  <c r="L85" i="1"/>
  <c r="AJ84" i="1"/>
  <c r="AT84" i="1" s="1"/>
  <c r="N1407" i="1"/>
  <c r="Y1405" i="1"/>
  <c r="Z1405" i="1"/>
  <c r="N193" i="1"/>
  <c r="Y190" i="1"/>
  <c r="Z190" i="1"/>
  <c r="AG83" i="1"/>
  <c r="AD82" i="8"/>
  <c r="J166" i="1"/>
  <c r="AR166" i="1" s="1"/>
  <c r="AS166" i="1" s="1"/>
  <c r="AR165" i="1"/>
  <c r="AS165" i="1" s="1"/>
  <c r="AH83" i="1"/>
  <c r="AE82" i="8"/>
  <c r="AI83" i="1"/>
  <c r="AF82" i="8"/>
  <c r="E173" i="1"/>
  <c r="AQ172" i="1"/>
  <c r="AR172" i="1" s="1"/>
  <c r="AS172" i="1" s="1"/>
  <c r="AT11" i="1" l="1"/>
  <c r="AC84" i="1"/>
  <c r="AF83" i="1"/>
  <c r="AT30" i="1"/>
  <c r="L86" i="1"/>
  <c r="AJ85" i="1"/>
  <c r="AT85" i="1" s="1"/>
  <c r="N199" i="1"/>
  <c r="Z193" i="1"/>
  <c r="Y193" i="1"/>
  <c r="N1408" i="1"/>
  <c r="Y1407" i="1"/>
  <c r="Z1407" i="1"/>
  <c r="AH84" i="1"/>
  <c r="AE83" i="8"/>
  <c r="AI84" i="1"/>
  <c r="AF83" i="8"/>
  <c r="AG84" i="1"/>
  <c r="AD83" i="8"/>
  <c r="E174" i="1"/>
  <c r="AQ173" i="1"/>
  <c r="AR173" i="1" s="1"/>
  <c r="AS173" i="1" s="1"/>
  <c r="AC85" i="1" l="1"/>
  <c r="AF84" i="1"/>
  <c r="L87" i="1"/>
  <c r="AJ86" i="1"/>
  <c r="AT86" i="1" s="1"/>
  <c r="N1411" i="1"/>
  <c r="Y1408" i="1"/>
  <c r="Z1408" i="1"/>
  <c r="N202" i="1"/>
  <c r="Y199" i="1"/>
  <c r="Z199" i="1"/>
  <c r="AG85" i="1"/>
  <c r="AD84" i="8"/>
  <c r="AI85" i="1"/>
  <c r="AF84" i="8"/>
  <c r="AH85" i="1"/>
  <c r="AE84" i="8"/>
  <c r="E175" i="1"/>
  <c r="AQ174" i="1"/>
  <c r="AR174" i="1" s="1"/>
  <c r="AS174" i="1" s="1"/>
  <c r="AC86" i="1" l="1"/>
  <c r="AF85" i="1"/>
  <c r="L88" i="1"/>
  <c r="AJ87" i="1"/>
  <c r="AT87" i="1" s="1"/>
  <c r="N206" i="1"/>
  <c r="Z202" i="1"/>
  <c r="Y202" i="1"/>
  <c r="N1413" i="1"/>
  <c r="Y1411" i="1"/>
  <c r="Z1411" i="1"/>
  <c r="AH86" i="1"/>
  <c r="AE85" i="8"/>
  <c r="AI86" i="1"/>
  <c r="AF85" i="8"/>
  <c r="AG86" i="1"/>
  <c r="AD85" i="8"/>
  <c r="E176" i="1"/>
  <c r="AQ175" i="1"/>
  <c r="AR175" i="1" s="1"/>
  <c r="AS175" i="1" s="1"/>
  <c r="AC87" i="1" l="1"/>
  <c r="AF86" i="1"/>
  <c r="L89" i="1"/>
  <c r="AJ88" i="1"/>
  <c r="AT88" i="1" s="1"/>
  <c r="N1415" i="1"/>
  <c r="Y1413" i="1"/>
  <c r="Z1413" i="1"/>
  <c r="N208" i="1"/>
  <c r="Y206" i="1"/>
  <c r="Z206" i="1"/>
  <c r="AG87" i="1"/>
  <c r="AD86" i="8"/>
  <c r="AI87" i="1"/>
  <c r="AF86" i="8"/>
  <c r="AH87" i="1"/>
  <c r="AE86" i="8"/>
  <c r="E177" i="1"/>
  <c r="AQ176" i="1"/>
  <c r="AR176" i="1" s="1"/>
  <c r="AS176" i="1" s="1"/>
  <c r="AC88" i="1" l="1"/>
  <c r="AF87" i="1"/>
  <c r="L90" i="1"/>
  <c r="AJ89" i="1"/>
  <c r="AT89" i="1" s="1"/>
  <c r="N210" i="1"/>
  <c r="Z208" i="1"/>
  <c r="Y208" i="1"/>
  <c r="N1418" i="1"/>
  <c r="Y1415" i="1"/>
  <c r="Z1415" i="1"/>
  <c r="AH88" i="1"/>
  <c r="AE87" i="8"/>
  <c r="AI88" i="1"/>
  <c r="AF87" i="8"/>
  <c r="AG88" i="1"/>
  <c r="AD87" i="8"/>
  <c r="E178" i="1"/>
  <c r="AQ177" i="1"/>
  <c r="AR177" i="1" s="1"/>
  <c r="AS177" i="1" s="1"/>
  <c r="AC89" i="1" l="1"/>
  <c r="AF88" i="1"/>
  <c r="L91" i="1"/>
  <c r="AJ90" i="1"/>
  <c r="AT90" i="1" s="1"/>
  <c r="N1421" i="1"/>
  <c r="Y1418" i="1"/>
  <c r="Z1418" i="1"/>
  <c r="N212" i="1"/>
  <c r="Z210" i="1"/>
  <c r="Y210" i="1"/>
  <c r="AG89" i="1"/>
  <c r="AD88" i="8"/>
  <c r="AI89" i="1"/>
  <c r="AF88" i="8"/>
  <c r="AH89" i="1"/>
  <c r="AE88" i="8"/>
  <c r="E179" i="1"/>
  <c r="AQ178" i="1"/>
  <c r="AR178" i="1" s="1"/>
  <c r="AS178" i="1" s="1"/>
  <c r="AC90" i="1" l="1"/>
  <c r="AF89" i="1"/>
  <c r="L92" i="1"/>
  <c r="AJ91" i="1"/>
  <c r="AT91" i="1" s="1"/>
  <c r="N219" i="1"/>
  <c r="Y212" i="1"/>
  <c r="Z212" i="1"/>
  <c r="N1423" i="1"/>
  <c r="Y1421" i="1"/>
  <c r="Z1421" i="1"/>
  <c r="AI90" i="1"/>
  <c r="AF89" i="8"/>
  <c r="AH90" i="1"/>
  <c r="AE89" i="8"/>
  <c r="AG90" i="1"/>
  <c r="AD89" i="8"/>
  <c r="E180" i="1"/>
  <c r="AQ179" i="1"/>
  <c r="AR179" i="1" s="1"/>
  <c r="AS179" i="1" s="1"/>
  <c r="AC91" i="1" l="1"/>
  <c r="AF90" i="1"/>
  <c r="L93" i="1"/>
  <c r="AJ92" i="1"/>
  <c r="AT92" i="1" s="1"/>
  <c r="N1424" i="1"/>
  <c r="Y1423" i="1"/>
  <c r="Z1423" i="1"/>
  <c r="N222" i="1"/>
  <c r="Y219" i="1"/>
  <c r="Z219" i="1"/>
  <c r="AG91" i="1"/>
  <c r="AD90" i="8"/>
  <c r="AH91" i="1"/>
  <c r="AE90" i="8"/>
  <c r="AI91" i="1"/>
  <c r="AF90" i="8"/>
  <c r="E181" i="1"/>
  <c r="AQ180" i="1"/>
  <c r="AR180" i="1" s="1"/>
  <c r="AS180" i="1" s="1"/>
  <c r="AC92" i="1" l="1"/>
  <c r="AF91" i="1"/>
  <c r="L94" i="1"/>
  <c r="AJ93" i="1"/>
  <c r="AT93" i="1" s="1"/>
  <c r="N229" i="1"/>
  <c r="Y222" i="1"/>
  <c r="Z222" i="1"/>
  <c r="N1426" i="1"/>
  <c r="Y1424" i="1"/>
  <c r="Z1424" i="1"/>
  <c r="AI92" i="1"/>
  <c r="AF91" i="8"/>
  <c r="AH92" i="1"/>
  <c r="AE91" i="8"/>
  <c r="AG92" i="1"/>
  <c r="AD91" i="8"/>
  <c r="E182" i="1"/>
  <c r="AQ181" i="1"/>
  <c r="AR181" i="1" s="1"/>
  <c r="AS181" i="1" s="1"/>
  <c r="AC93" i="1" l="1"/>
  <c r="AF92" i="1"/>
  <c r="L95" i="1"/>
  <c r="AJ94" i="1"/>
  <c r="AT94" i="1" s="1"/>
  <c r="N1427" i="1"/>
  <c r="Y1426" i="1"/>
  <c r="Z1426" i="1"/>
  <c r="N237" i="1"/>
  <c r="Y229" i="1"/>
  <c r="Z229" i="1"/>
  <c r="AG93" i="1"/>
  <c r="AD92" i="8"/>
  <c r="AH93" i="1"/>
  <c r="AE92" i="8"/>
  <c r="AI93" i="1"/>
  <c r="AF92" i="8"/>
  <c r="E183" i="1"/>
  <c r="AQ182" i="1"/>
  <c r="AR182" i="1" s="1"/>
  <c r="AS182" i="1" s="1"/>
  <c r="AC94" i="1" l="1"/>
  <c r="AF93" i="1"/>
  <c r="L96" i="1"/>
  <c r="AJ95" i="1"/>
  <c r="AT95" i="1" s="1"/>
  <c r="N238" i="1"/>
  <c r="Y237" i="1"/>
  <c r="Z237" i="1"/>
  <c r="N1431" i="1"/>
  <c r="Y1427" i="1"/>
  <c r="Z1427" i="1"/>
  <c r="AI94" i="1"/>
  <c r="AF93" i="8"/>
  <c r="AH94" i="1"/>
  <c r="AE93" i="8"/>
  <c r="AG94" i="1"/>
  <c r="AD93" i="8"/>
  <c r="E184" i="1"/>
  <c r="AQ183" i="1"/>
  <c r="AR183" i="1" s="1"/>
  <c r="AS183" i="1" s="1"/>
  <c r="AC95" i="1" l="1"/>
  <c r="AF94" i="1"/>
  <c r="L97" i="1"/>
  <c r="AJ96" i="1"/>
  <c r="AT96" i="1" s="1"/>
  <c r="N1432" i="1"/>
  <c r="Y1431" i="1"/>
  <c r="Z1431" i="1"/>
  <c r="N239" i="1"/>
  <c r="Y238" i="1"/>
  <c r="Z238" i="1"/>
  <c r="AG95" i="1"/>
  <c r="AD94" i="8"/>
  <c r="AH95" i="1"/>
  <c r="AE94" i="8"/>
  <c r="AI95" i="1"/>
  <c r="AF94" i="8"/>
  <c r="E185" i="1"/>
  <c r="AQ184" i="1"/>
  <c r="AR184" i="1" s="1"/>
  <c r="AS184" i="1" s="1"/>
  <c r="AC96" i="1" l="1"/>
  <c r="AF95" i="1"/>
  <c r="L98" i="1"/>
  <c r="AJ97" i="1"/>
  <c r="AT97" i="1" s="1"/>
  <c r="N244" i="1"/>
  <c r="Y239" i="1"/>
  <c r="Z239" i="1"/>
  <c r="N1434" i="1"/>
  <c r="Y1432" i="1"/>
  <c r="Z1432" i="1"/>
  <c r="AI96" i="1"/>
  <c r="AF95" i="8"/>
  <c r="AH96" i="1"/>
  <c r="AE95" i="8"/>
  <c r="AG96" i="1"/>
  <c r="AD95" i="8"/>
  <c r="E186" i="1"/>
  <c r="AQ185" i="1"/>
  <c r="AR185" i="1" s="1"/>
  <c r="AS185" i="1" s="1"/>
  <c r="AC97" i="1" l="1"/>
  <c r="AF96" i="1"/>
  <c r="L99" i="1"/>
  <c r="AJ98" i="1"/>
  <c r="AT98" i="1" s="1"/>
  <c r="N1436" i="1"/>
  <c r="Y1434" i="1"/>
  <c r="Z1434" i="1"/>
  <c r="N245" i="1"/>
  <c r="Y244" i="1"/>
  <c r="Z244" i="1"/>
  <c r="AG97" i="1"/>
  <c r="AD96" i="8"/>
  <c r="AH97" i="1"/>
  <c r="AE96" i="8"/>
  <c r="AI97" i="1"/>
  <c r="AF96" i="8"/>
  <c r="E187" i="1"/>
  <c r="AQ186" i="1"/>
  <c r="AR186" i="1" s="1"/>
  <c r="AS186" i="1" s="1"/>
  <c r="AC98" i="1" l="1"/>
  <c r="AF97" i="1"/>
  <c r="L100" i="1"/>
  <c r="AJ99" i="1"/>
  <c r="AT99" i="1" s="1"/>
  <c r="N248" i="1"/>
  <c r="Y245" i="1"/>
  <c r="Z245" i="1"/>
  <c r="N1439" i="1"/>
  <c r="Y1436" i="1"/>
  <c r="Z1436" i="1"/>
  <c r="AI98" i="1"/>
  <c r="AF97" i="8"/>
  <c r="AH98" i="1"/>
  <c r="AE97" i="8"/>
  <c r="AG98" i="1"/>
  <c r="AD97" i="8"/>
  <c r="E188" i="1"/>
  <c r="AQ187" i="1"/>
  <c r="AR187" i="1" s="1"/>
  <c r="AS187" i="1" s="1"/>
  <c r="AC99" i="1" l="1"/>
  <c r="AF98" i="1"/>
  <c r="L101" i="1"/>
  <c r="AJ100" i="1"/>
  <c r="AT100" i="1" s="1"/>
  <c r="N1441" i="1"/>
  <c r="Z1439" i="1"/>
  <c r="Y1439" i="1"/>
  <c r="N250" i="1"/>
  <c r="Z248" i="1"/>
  <c r="Y248" i="1"/>
  <c r="AG99" i="1"/>
  <c r="AD98" i="8"/>
  <c r="AH99" i="1"/>
  <c r="AE98" i="8"/>
  <c r="AI99" i="1"/>
  <c r="AF98" i="8"/>
  <c r="E189" i="1"/>
  <c r="AQ188" i="1"/>
  <c r="AR188" i="1" s="1"/>
  <c r="AS188" i="1" s="1"/>
  <c r="AC100" i="1" l="1"/>
  <c r="AF99" i="1"/>
  <c r="L102" i="1"/>
  <c r="AJ101" i="1"/>
  <c r="AT101" i="1" s="1"/>
  <c r="N254" i="1"/>
  <c r="Y250" i="1"/>
  <c r="Z250" i="1"/>
  <c r="N1442" i="1"/>
  <c r="Y1441" i="1"/>
  <c r="Z1441" i="1"/>
  <c r="AI100" i="1"/>
  <c r="AF99" i="8"/>
  <c r="AH100" i="1"/>
  <c r="AE99" i="8"/>
  <c r="AG100" i="1"/>
  <c r="AD99" i="8"/>
  <c r="E190" i="1"/>
  <c r="AQ189" i="1"/>
  <c r="AR189" i="1" s="1"/>
  <c r="AS189" i="1" s="1"/>
  <c r="AC101" i="1" l="1"/>
  <c r="AF100" i="1"/>
  <c r="L103" i="1"/>
  <c r="AJ102" i="1"/>
  <c r="AT102" i="1" s="1"/>
  <c r="N1443" i="1"/>
  <c r="Y1442" i="1"/>
  <c r="Z1442" i="1"/>
  <c r="N255" i="1"/>
  <c r="Y254" i="1"/>
  <c r="Z254" i="1"/>
  <c r="AG101" i="1"/>
  <c r="AD100" i="8"/>
  <c r="AH101" i="1"/>
  <c r="AE100" i="8"/>
  <c r="AI101" i="1"/>
  <c r="AF100" i="8"/>
  <c r="E191" i="1"/>
  <c r="AQ190" i="1"/>
  <c r="AR190" i="1" s="1"/>
  <c r="AS190" i="1" s="1"/>
  <c r="AC102" i="1" l="1"/>
  <c r="AF101" i="1"/>
  <c r="L104" i="1"/>
  <c r="AJ103" i="1"/>
  <c r="AT103" i="1" s="1"/>
  <c r="N260" i="1"/>
  <c r="Y255" i="1"/>
  <c r="Z255" i="1"/>
  <c r="N1445" i="1"/>
  <c r="Y1443" i="1"/>
  <c r="Z1443" i="1"/>
  <c r="AI102" i="1"/>
  <c r="AF101" i="8"/>
  <c r="AH102" i="1"/>
  <c r="AE101" i="8"/>
  <c r="AG102" i="1"/>
  <c r="AD101" i="8"/>
  <c r="E192" i="1"/>
  <c r="AQ191" i="1"/>
  <c r="AR191" i="1" s="1"/>
  <c r="AS191" i="1" s="1"/>
  <c r="AC103" i="1" l="1"/>
  <c r="AF102" i="1"/>
  <c r="L105" i="1"/>
  <c r="AJ104" i="1"/>
  <c r="AT104" i="1" s="1"/>
  <c r="N1447" i="1"/>
  <c r="Y1445" i="1"/>
  <c r="Z1445" i="1"/>
  <c r="N262" i="1"/>
  <c r="Y260" i="1"/>
  <c r="Z260" i="1"/>
  <c r="AG103" i="1"/>
  <c r="AD102" i="8"/>
  <c r="AH103" i="1"/>
  <c r="AE102" i="8"/>
  <c r="AI103" i="1"/>
  <c r="AF102" i="8"/>
  <c r="E193" i="1"/>
  <c r="AQ192" i="1"/>
  <c r="AR192" i="1" s="1"/>
  <c r="AS192" i="1" s="1"/>
  <c r="AC104" i="1" l="1"/>
  <c r="AF103" i="1"/>
  <c r="L106" i="1"/>
  <c r="AJ105" i="1"/>
  <c r="AT105" i="1" s="1"/>
  <c r="N265" i="1"/>
  <c r="Y262" i="1"/>
  <c r="Z262" i="1"/>
  <c r="N1448" i="1"/>
  <c r="Y1447" i="1"/>
  <c r="Z1447" i="1"/>
  <c r="AI104" i="1"/>
  <c r="AF103" i="8"/>
  <c r="AH104" i="1"/>
  <c r="AE103" i="8"/>
  <c r="AG104" i="1"/>
  <c r="AD103" i="8"/>
  <c r="E194" i="1"/>
  <c r="AQ193" i="1"/>
  <c r="AR193" i="1" s="1"/>
  <c r="AS193" i="1" s="1"/>
  <c r="AC105" i="1" l="1"/>
  <c r="AF104" i="1"/>
  <c r="L107" i="1"/>
  <c r="AJ106" i="1"/>
  <c r="AT106" i="1" s="1"/>
  <c r="N1451" i="1"/>
  <c r="Y1448" i="1"/>
  <c r="Z1448" i="1"/>
  <c r="N267" i="1"/>
  <c r="Y265" i="1"/>
  <c r="Z265" i="1"/>
  <c r="AG105" i="1"/>
  <c r="AD104" i="8"/>
  <c r="AH105" i="1"/>
  <c r="AE104" i="8"/>
  <c r="AI105" i="1"/>
  <c r="AF104" i="8"/>
  <c r="E195" i="1"/>
  <c r="AQ194" i="1"/>
  <c r="AR194" i="1" s="1"/>
  <c r="AS194" i="1" s="1"/>
  <c r="AC106" i="1" l="1"/>
  <c r="AF105" i="1"/>
  <c r="L108" i="1"/>
  <c r="AJ107" i="1"/>
  <c r="AT107" i="1" s="1"/>
  <c r="N268" i="1"/>
  <c r="Z267" i="1"/>
  <c r="Y267" i="1"/>
  <c r="N1458" i="1"/>
  <c r="Y1451" i="1"/>
  <c r="Z1451" i="1"/>
  <c r="AI106" i="1"/>
  <c r="AF105" i="8"/>
  <c r="AH106" i="1"/>
  <c r="AE105" i="8"/>
  <c r="AG106" i="1"/>
  <c r="AD105" i="8"/>
  <c r="E196" i="1"/>
  <c r="AQ195" i="1"/>
  <c r="AR195" i="1" s="1"/>
  <c r="AS195" i="1" s="1"/>
  <c r="AC107" i="1" l="1"/>
  <c r="AF106" i="1"/>
  <c r="L109" i="1"/>
  <c r="AJ108" i="1"/>
  <c r="AT108" i="1" s="1"/>
  <c r="N1459" i="1"/>
  <c r="Y1458" i="1"/>
  <c r="Z1458" i="1"/>
  <c r="N270" i="1"/>
  <c r="Y268" i="1"/>
  <c r="Z268" i="1"/>
  <c r="AG107" i="1"/>
  <c r="AD106" i="8"/>
  <c r="AH107" i="1"/>
  <c r="AE106" i="8"/>
  <c r="AI107" i="1"/>
  <c r="AF106" i="8"/>
  <c r="E197" i="1"/>
  <c r="AQ196" i="1"/>
  <c r="AR196" i="1" s="1"/>
  <c r="AS196" i="1" s="1"/>
  <c r="AC108" i="1" l="1"/>
  <c r="AF107" i="1"/>
  <c r="L110" i="1"/>
  <c r="AJ109" i="1"/>
  <c r="AT109" i="1" s="1"/>
  <c r="N271" i="1"/>
  <c r="Y270" i="1"/>
  <c r="Z270" i="1"/>
  <c r="N1461" i="1"/>
  <c r="Y1459" i="1"/>
  <c r="Z1459" i="1"/>
  <c r="AI108" i="1"/>
  <c r="AF107" i="8"/>
  <c r="AH108" i="1"/>
  <c r="AE107" i="8"/>
  <c r="AG108" i="1"/>
  <c r="AD107" i="8"/>
  <c r="E198" i="1"/>
  <c r="AQ197" i="1"/>
  <c r="AR197" i="1" s="1"/>
  <c r="AS197" i="1" s="1"/>
  <c r="AC109" i="1" l="1"/>
  <c r="AF108" i="1"/>
  <c r="L111" i="1"/>
  <c r="AJ110" i="1"/>
  <c r="AT110" i="1" s="1"/>
  <c r="N1462" i="1"/>
  <c r="Y1461" i="1"/>
  <c r="Z1461" i="1"/>
  <c r="N275" i="1"/>
  <c r="Y271" i="1"/>
  <c r="Z271" i="1"/>
  <c r="AG109" i="1"/>
  <c r="AD108" i="8"/>
  <c r="AH109" i="1"/>
  <c r="AE108" i="8"/>
  <c r="AI109" i="1"/>
  <c r="AF108" i="8"/>
  <c r="E199" i="1"/>
  <c r="AQ198" i="1"/>
  <c r="AR198" i="1" s="1"/>
  <c r="AS198" i="1" s="1"/>
  <c r="AC110" i="1" l="1"/>
  <c r="AF109" i="1"/>
  <c r="L112" i="1"/>
  <c r="AJ111" i="1"/>
  <c r="AT111" i="1" s="1"/>
  <c r="N276" i="1"/>
  <c r="Y275" i="1"/>
  <c r="Z275" i="1"/>
  <c r="N1465" i="1"/>
  <c r="Y1462" i="1"/>
  <c r="Z1462" i="1"/>
  <c r="AH110" i="1"/>
  <c r="AE109" i="8"/>
  <c r="AI110" i="1"/>
  <c r="AF109" i="8"/>
  <c r="AG110" i="1"/>
  <c r="AD109" i="8"/>
  <c r="E200" i="1"/>
  <c r="AQ199" i="1"/>
  <c r="AR199" i="1" s="1"/>
  <c r="AS199" i="1" s="1"/>
  <c r="AC111" i="1" l="1"/>
  <c r="AF110" i="1"/>
  <c r="L113" i="1"/>
  <c r="AJ112" i="1"/>
  <c r="AT112" i="1" s="1"/>
  <c r="N1467" i="1"/>
  <c r="Y1465" i="1"/>
  <c r="Z1465" i="1"/>
  <c r="N278" i="1"/>
  <c r="Y276" i="1"/>
  <c r="Z276" i="1"/>
  <c r="AG111" i="1"/>
  <c r="AD110" i="8"/>
  <c r="AI111" i="1"/>
  <c r="AF110" i="8"/>
  <c r="AH111" i="1"/>
  <c r="AE110" i="8"/>
  <c r="E201" i="1"/>
  <c r="AQ200" i="1"/>
  <c r="AR200" i="1" s="1"/>
  <c r="AS200" i="1" s="1"/>
  <c r="AC112" i="1" l="1"/>
  <c r="AF111" i="1"/>
  <c r="L114" i="1"/>
  <c r="AJ113" i="1"/>
  <c r="AT113" i="1" s="1"/>
  <c r="N279" i="1"/>
  <c r="Y278" i="1"/>
  <c r="Z278" i="1"/>
  <c r="N1468" i="1"/>
  <c r="Y1467" i="1"/>
  <c r="Z1467" i="1"/>
  <c r="AH112" i="1"/>
  <c r="AE111" i="8"/>
  <c r="AI112" i="1"/>
  <c r="AF111" i="8"/>
  <c r="AG112" i="1"/>
  <c r="AD111" i="8"/>
  <c r="E202" i="1"/>
  <c r="AQ201" i="1"/>
  <c r="AR201" i="1" s="1"/>
  <c r="AS201" i="1" s="1"/>
  <c r="AC113" i="1" l="1"/>
  <c r="AF112" i="1"/>
  <c r="L115" i="1"/>
  <c r="AJ114" i="1"/>
  <c r="AT114" i="1" s="1"/>
  <c r="N1470" i="1"/>
  <c r="Y1468" i="1"/>
  <c r="Z1468" i="1"/>
  <c r="N283" i="1"/>
  <c r="Z279" i="1"/>
  <c r="Y279" i="1"/>
  <c r="AG113" i="1"/>
  <c r="AD112" i="8"/>
  <c r="AI113" i="1"/>
  <c r="AF112" i="8"/>
  <c r="AH113" i="1"/>
  <c r="AE112" i="8"/>
  <c r="E203" i="1"/>
  <c r="AQ202" i="1"/>
  <c r="AR202" i="1" s="1"/>
  <c r="AS202" i="1" s="1"/>
  <c r="AC114" i="1" l="1"/>
  <c r="AF113" i="1"/>
  <c r="L116" i="1"/>
  <c r="AJ115" i="1"/>
  <c r="AT115" i="1" s="1"/>
  <c r="N284" i="1"/>
  <c r="Y283" i="1"/>
  <c r="Z283" i="1"/>
  <c r="N1474" i="1"/>
  <c r="Y1470" i="1"/>
  <c r="Z1470" i="1"/>
  <c r="AH114" i="1"/>
  <c r="AE113" i="8"/>
  <c r="AI114" i="1"/>
  <c r="AF113" i="8"/>
  <c r="AG114" i="1"/>
  <c r="AD113" i="8"/>
  <c r="E204" i="1"/>
  <c r="AQ203" i="1"/>
  <c r="AR203" i="1" s="1"/>
  <c r="AS203" i="1" s="1"/>
  <c r="AC115" i="1" l="1"/>
  <c r="AF114" i="1"/>
  <c r="L117" i="1"/>
  <c r="AJ116" i="1"/>
  <c r="AT116" i="1" s="1"/>
  <c r="N1476" i="1"/>
  <c r="Y1474" i="1"/>
  <c r="Z1474" i="1"/>
  <c r="N286" i="1"/>
  <c r="Y284" i="1"/>
  <c r="Z284" i="1"/>
  <c r="AG115" i="1"/>
  <c r="AD114" i="8"/>
  <c r="AI115" i="1"/>
  <c r="AF114" i="8"/>
  <c r="AH115" i="1"/>
  <c r="AE114" i="8"/>
  <c r="E205" i="1"/>
  <c r="AQ204" i="1"/>
  <c r="AR204" i="1" s="1"/>
  <c r="AS204" i="1" s="1"/>
  <c r="AC116" i="1" l="1"/>
  <c r="AF115" i="1"/>
  <c r="L118" i="1"/>
  <c r="AJ117" i="1"/>
  <c r="AT117" i="1" s="1"/>
  <c r="N291" i="1"/>
  <c r="Y286" i="1"/>
  <c r="Z286" i="1"/>
  <c r="N1479" i="1"/>
  <c r="Y1476" i="1"/>
  <c r="Z1476" i="1"/>
  <c r="AH116" i="1"/>
  <c r="AE115" i="8"/>
  <c r="AI116" i="1"/>
  <c r="AF115" i="8"/>
  <c r="AG116" i="1"/>
  <c r="AD115" i="8"/>
  <c r="E206" i="1"/>
  <c r="AQ205" i="1"/>
  <c r="AR205" i="1" s="1"/>
  <c r="AS205" i="1" s="1"/>
  <c r="AC117" i="1" l="1"/>
  <c r="AF116" i="1"/>
  <c r="L119" i="1"/>
  <c r="AJ118" i="1"/>
  <c r="AT118" i="1" s="1"/>
  <c r="N1480" i="1"/>
  <c r="Y1479" i="1"/>
  <c r="Z1479" i="1"/>
  <c r="N294" i="1"/>
  <c r="Y291" i="1"/>
  <c r="Z291" i="1"/>
  <c r="AI117" i="1"/>
  <c r="AF116" i="8"/>
  <c r="AG117" i="1"/>
  <c r="AD116" i="8"/>
  <c r="AH117" i="1"/>
  <c r="AE116" i="8"/>
  <c r="E207" i="1"/>
  <c r="AQ206" i="1"/>
  <c r="AR206" i="1" s="1"/>
  <c r="AS206" i="1" s="1"/>
  <c r="AC118" i="1" l="1"/>
  <c r="AF117" i="1"/>
  <c r="L120" i="1"/>
  <c r="AJ119" i="1"/>
  <c r="AT119" i="1" s="1"/>
  <c r="N303" i="1"/>
  <c r="Y294" i="1"/>
  <c r="Z294" i="1"/>
  <c r="N1481" i="1"/>
  <c r="Y1480" i="1"/>
  <c r="Z1480" i="1"/>
  <c r="AH118" i="1"/>
  <c r="AE117" i="8"/>
  <c r="AG118" i="1"/>
  <c r="AD117" i="8"/>
  <c r="AI118" i="1"/>
  <c r="AF117" i="8"/>
  <c r="E208" i="1"/>
  <c r="AQ207" i="1"/>
  <c r="AR207" i="1" s="1"/>
  <c r="AS207" i="1" s="1"/>
  <c r="AC119" i="1" l="1"/>
  <c r="AF118" i="1"/>
  <c r="L121" i="1"/>
  <c r="AJ120" i="1"/>
  <c r="AT120" i="1" s="1"/>
  <c r="N1483" i="1"/>
  <c r="Y1481" i="1"/>
  <c r="Z1481" i="1"/>
  <c r="N304" i="1"/>
  <c r="Z303" i="1"/>
  <c r="Y303" i="1"/>
  <c r="AI119" i="1"/>
  <c r="AF118" i="8"/>
  <c r="AG119" i="1"/>
  <c r="AD118" i="8"/>
  <c r="AH119" i="1"/>
  <c r="AE118" i="8"/>
  <c r="E209" i="1"/>
  <c r="AQ208" i="1"/>
  <c r="AR208" i="1" s="1"/>
  <c r="AS208" i="1" s="1"/>
  <c r="AC120" i="1" l="1"/>
  <c r="AF119" i="1"/>
  <c r="L122" i="1"/>
  <c r="AJ121" i="1"/>
  <c r="AT121" i="1" s="1"/>
  <c r="N305" i="1"/>
  <c r="Z304" i="1"/>
  <c r="Y304" i="1"/>
  <c r="N1484" i="1"/>
  <c r="Y1483" i="1"/>
  <c r="Z1483" i="1"/>
  <c r="AG120" i="1"/>
  <c r="AD119" i="8"/>
  <c r="AH120" i="1"/>
  <c r="AE119" i="8"/>
  <c r="AI120" i="1"/>
  <c r="AF119" i="8"/>
  <c r="E210" i="1"/>
  <c r="AQ209" i="1"/>
  <c r="AR209" i="1" s="1"/>
  <c r="AS209" i="1" s="1"/>
  <c r="AC121" i="1" l="1"/>
  <c r="AF120" i="1"/>
  <c r="L123" i="1"/>
  <c r="AJ122" i="1"/>
  <c r="AT122" i="1" s="1"/>
  <c r="N1489" i="1"/>
  <c r="Z1484" i="1"/>
  <c r="Y1484" i="1"/>
  <c r="N307" i="1"/>
  <c r="Y305" i="1"/>
  <c r="Z305" i="1"/>
  <c r="AI121" i="1"/>
  <c r="AF120" i="8"/>
  <c r="AH121" i="1"/>
  <c r="AE120" i="8"/>
  <c r="AG121" i="1"/>
  <c r="AD120" i="8"/>
  <c r="E211" i="1"/>
  <c r="AQ210" i="1"/>
  <c r="AR210" i="1" s="1"/>
  <c r="AS210" i="1" s="1"/>
  <c r="AC122" i="1" l="1"/>
  <c r="AF121" i="1"/>
  <c r="L124" i="1"/>
  <c r="AJ123" i="1"/>
  <c r="AT123" i="1" s="1"/>
  <c r="N310" i="1"/>
  <c r="Y307" i="1"/>
  <c r="Z307" i="1"/>
  <c r="N1490" i="1"/>
  <c r="Y1489" i="1"/>
  <c r="Z1489" i="1"/>
  <c r="AG122" i="1"/>
  <c r="AD121" i="8"/>
  <c r="AH122" i="1"/>
  <c r="AE121" i="8"/>
  <c r="AI122" i="1"/>
  <c r="AF121" i="8"/>
  <c r="E212" i="1"/>
  <c r="AQ211" i="1"/>
  <c r="AR211" i="1" s="1"/>
  <c r="AS211" i="1" s="1"/>
  <c r="AC123" i="1" l="1"/>
  <c r="AF122" i="1"/>
  <c r="L125" i="1"/>
  <c r="AJ124" i="1"/>
  <c r="AT124" i="1" s="1"/>
  <c r="N1491" i="1"/>
  <c r="Y1490" i="1"/>
  <c r="Z1490" i="1"/>
  <c r="N312" i="1"/>
  <c r="Y310" i="1"/>
  <c r="Z310" i="1"/>
  <c r="AI123" i="1"/>
  <c r="AF122" i="8"/>
  <c r="AH123" i="1"/>
  <c r="AE122" i="8"/>
  <c r="AG123" i="1"/>
  <c r="AD122" i="8"/>
  <c r="E213" i="1"/>
  <c r="AQ212" i="1"/>
  <c r="AR212" i="1" s="1"/>
  <c r="AS212" i="1" s="1"/>
  <c r="AC124" i="1" l="1"/>
  <c r="AF123" i="1"/>
  <c r="L126" i="1"/>
  <c r="AJ125" i="1"/>
  <c r="AT125" i="1" s="1"/>
  <c r="N315" i="1"/>
  <c r="Z312" i="1"/>
  <c r="Y312" i="1"/>
  <c r="N1492" i="1"/>
  <c r="Y1491" i="1"/>
  <c r="Z1491" i="1"/>
  <c r="AG124" i="1"/>
  <c r="AD123" i="8"/>
  <c r="AH124" i="1"/>
  <c r="AE123" i="8"/>
  <c r="AI124" i="1"/>
  <c r="AF123" i="8"/>
  <c r="E214" i="1"/>
  <c r="AQ213" i="1"/>
  <c r="AR213" i="1" s="1"/>
  <c r="AS213" i="1" s="1"/>
  <c r="AC125" i="1" l="1"/>
  <c r="AF124" i="1"/>
  <c r="L127" i="1"/>
  <c r="AJ126" i="1"/>
  <c r="AT126" i="1" s="1"/>
  <c r="N1494" i="1"/>
  <c r="Y1492" i="1"/>
  <c r="Z1492" i="1"/>
  <c r="N318" i="1"/>
  <c r="Z315" i="1"/>
  <c r="Y315" i="1"/>
  <c r="AI125" i="1"/>
  <c r="AF124" i="8"/>
  <c r="AH125" i="1"/>
  <c r="AE124" i="8"/>
  <c r="AG125" i="1"/>
  <c r="AD124" i="8"/>
  <c r="E215" i="1"/>
  <c r="AQ214" i="1"/>
  <c r="AR214" i="1" s="1"/>
  <c r="AS214" i="1" s="1"/>
  <c r="AC126" i="1" l="1"/>
  <c r="AF125" i="1"/>
  <c r="L128" i="1"/>
  <c r="AJ127" i="1"/>
  <c r="AT127" i="1" s="1"/>
  <c r="N319" i="1"/>
  <c r="Y318" i="1"/>
  <c r="Z318" i="1"/>
  <c r="N1495" i="1"/>
  <c r="Y1494" i="1"/>
  <c r="Z1494" i="1"/>
  <c r="AG126" i="1"/>
  <c r="AD125" i="8"/>
  <c r="AH126" i="1"/>
  <c r="AE125" i="8"/>
  <c r="AI126" i="1"/>
  <c r="AF125" i="8"/>
  <c r="E216" i="1"/>
  <c r="AQ215" i="1"/>
  <c r="AR215" i="1" s="1"/>
  <c r="AS215" i="1" s="1"/>
  <c r="AC127" i="1" l="1"/>
  <c r="AF126" i="1"/>
  <c r="L129" i="1"/>
  <c r="AJ128" i="1"/>
  <c r="AT128" i="1" s="1"/>
  <c r="N1497" i="1"/>
  <c r="Y1495" i="1"/>
  <c r="Z1495" i="1"/>
  <c r="N322" i="1"/>
  <c r="Y319" i="1"/>
  <c r="Z319" i="1"/>
  <c r="AI127" i="1"/>
  <c r="AF126" i="8"/>
  <c r="AH127" i="1"/>
  <c r="AE126" i="8"/>
  <c r="AG127" i="1"/>
  <c r="AD126" i="8"/>
  <c r="E217" i="1"/>
  <c r="AQ216" i="1"/>
  <c r="AR216" i="1" s="1"/>
  <c r="AS216" i="1" s="1"/>
  <c r="AC128" i="1" l="1"/>
  <c r="AF127" i="1"/>
  <c r="L130" i="1"/>
  <c r="AJ129" i="1"/>
  <c r="AT129" i="1" s="1"/>
  <c r="N328" i="1"/>
  <c r="Y322" i="1"/>
  <c r="Z322" i="1"/>
  <c r="N1499" i="1"/>
  <c r="Y1497" i="1"/>
  <c r="Z1497" i="1"/>
  <c r="AG128" i="1"/>
  <c r="AD127" i="8"/>
  <c r="AH128" i="1"/>
  <c r="AE127" i="8"/>
  <c r="AI128" i="1"/>
  <c r="AF127" i="8"/>
  <c r="E218" i="1"/>
  <c r="AQ217" i="1"/>
  <c r="AR217" i="1" s="1"/>
  <c r="AS217" i="1" s="1"/>
  <c r="AC129" i="1" l="1"/>
  <c r="AF128" i="1"/>
  <c r="L131" i="1"/>
  <c r="AJ130" i="1"/>
  <c r="AT130" i="1" s="1"/>
  <c r="N1501" i="1"/>
  <c r="Y1499" i="1"/>
  <c r="Z1499" i="1"/>
  <c r="N332" i="1"/>
  <c r="Z328" i="1"/>
  <c r="Y328" i="1"/>
  <c r="AI129" i="1"/>
  <c r="AF128" i="8"/>
  <c r="AH129" i="1"/>
  <c r="AE128" i="8"/>
  <c r="AG129" i="1"/>
  <c r="AD128" i="8"/>
  <c r="E219" i="1"/>
  <c r="AQ218" i="1"/>
  <c r="AR218" i="1" s="1"/>
  <c r="AS218" i="1" s="1"/>
  <c r="AC130" i="1" l="1"/>
  <c r="AF129" i="1"/>
  <c r="L132" i="1"/>
  <c r="AJ131" i="1"/>
  <c r="AT131" i="1" s="1"/>
  <c r="N333" i="1"/>
  <c r="Y332" i="1"/>
  <c r="Z332" i="1"/>
  <c r="N1504" i="1"/>
  <c r="Y1501" i="1"/>
  <c r="Z1501" i="1"/>
  <c r="AG130" i="1"/>
  <c r="AD129" i="8"/>
  <c r="AH130" i="1"/>
  <c r="AE129" i="8"/>
  <c r="AI130" i="1"/>
  <c r="AF129" i="8"/>
  <c r="E220" i="1"/>
  <c r="AQ219" i="1"/>
  <c r="AR219" i="1" s="1"/>
  <c r="AS219" i="1" s="1"/>
  <c r="AC131" i="1" l="1"/>
  <c r="AF130" i="1"/>
  <c r="L133" i="1"/>
  <c r="AJ132" i="1"/>
  <c r="AT132" i="1" s="1"/>
  <c r="N1510" i="1"/>
  <c r="Z1504" i="1"/>
  <c r="Y1504" i="1"/>
  <c r="N334" i="1"/>
  <c r="Y333" i="1"/>
  <c r="Z333" i="1"/>
  <c r="AI131" i="1"/>
  <c r="AF130" i="8"/>
  <c r="AH131" i="1"/>
  <c r="AE130" i="8"/>
  <c r="AG131" i="1"/>
  <c r="AD130" i="8"/>
  <c r="E221" i="1"/>
  <c r="AQ220" i="1"/>
  <c r="AR220" i="1" s="1"/>
  <c r="AS220" i="1" s="1"/>
  <c r="AC132" i="1" l="1"/>
  <c r="AF131" i="1"/>
  <c r="L134" i="1"/>
  <c r="AJ133" i="1"/>
  <c r="AT133" i="1" s="1"/>
  <c r="N336" i="1"/>
  <c r="Y334" i="1"/>
  <c r="Z334" i="1"/>
  <c r="N1514" i="1"/>
  <c r="Y1510" i="1"/>
  <c r="Z1510" i="1"/>
  <c r="AG132" i="1"/>
  <c r="AD131" i="8"/>
  <c r="AH132" i="1"/>
  <c r="AE131" i="8"/>
  <c r="AI132" i="1"/>
  <c r="AF131" i="8"/>
  <c r="E222" i="1"/>
  <c r="AQ221" i="1"/>
  <c r="AR221" i="1" s="1"/>
  <c r="AS221" i="1" s="1"/>
  <c r="AC133" i="1" l="1"/>
  <c r="AF132" i="1"/>
  <c r="L135" i="1"/>
  <c r="AJ134" i="1"/>
  <c r="AT134" i="1" s="1"/>
  <c r="N1517" i="1"/>
  <c r="Y1514" i="1"/>
  <c r="Z1514" i="1"/>
  <c r="N337" i="1"/>
  <c r="Z336" i="1"/>
  <c r="Y336" i="1"/>
  <c r="AI133" i="1"/>
  <c r="AF132" i="8"/>
  <c r="AH133" i="1"/>
  <c r="AE132" i="8"/>
  <c r="AG133" i="1"/>
  <c r="AD132" i="8"/>
  <c r="E223" i="1"/>
  <c r="AQ222" i="1"/>
  <c r="AR222" i="1" s="1"/>
  <c r="AS222" i="1" s="1"/>
  <c r="AC134" i="1" l="1"/>
  <c r="AF133" i="1"/>
  <c r="L136" i="1"/>
  <c r="AJ135" i="1"/>
  <c r="AT135" i="1" s="1"/>
  <c r="N346" i="1"/>
  <c r="Y337" i="1"/>
  <c r="Z337" i="1"/>
  <c r="N1520" i="1"/>
  <c r="Y1517" i="1"/>
  <c r="Z1517" i="1"/>
  <c r="AG134" i="1"/>
  <c r="AD133" i="8"/>
  <c r="AH134" i="1"/>
  <c r="AE133" i="8"/>
  <c r="AI134" i="1"/>
  <c r="AF133" i="8"/>
  <c r="E224" i="1"/>
  <c r="AQ223" i="1"/>
  <c r="AR223" i="1" s="1"/>
  <c r="AS223" i="1" s="1"/>
  <c r="AC135" i="1" l="1"/>
  <c r="AF134" i="1"/>
  <c r="L137" i="1"/>
  <c r="AJ136" i="1"/>
  <c r="AT136" i="1" s="1"/>
  <c r="N1522" i="1"/>
  <c r="Y1520" i="1"/>
  <c r="Z1520" i="1"/>
  <c r="N348" i="1"/>
  <c r="Y346" i="1"/>
  <c r="Z346" i="1"/>
  <c r="AI135" i="1"/>
  <c r="AF134" i="8"/>
  <c r="AH135" i="1"/>
  <c r="AE134" i="8"/>
  <c r="AG135" i="1"/>
  <c r="AD134" i="8"/>
  <c r="E225" i="1"/>
  <c r="AQ224" i="1"/>
  <c r="AR224" i="1" s="1"/>
  <c r="AS224" i="1" s="1"/>
  <c r="AC136" i="1" l="1"/>
  <c r="AF135" i="1"/>
  <c r="L138" i="1"/>
  <c r="AJ137" i="1"/>
  <c r="AT137" i="1" s="1"/>
  <c r="N349" i="1"/>
  <c r="Y348" i="1"/>
  <c r="Z348" i="1"/>
  <c r="N1525" i="1"/>
  <c r="Y1522" i="1"/>
  <c r="Z1522" i="1"/>
  <c r="AG136" i="1"/>
  <c r="AD135" i="8"/>
  <c r="AH136" i="1"/>
  <c r="AE135" i="8"/>
  <c r="AI136" i="1"/>
  <c r="AF135" i="8"/>
  <c r="E226" i="1"/>
  <c r="AQ225" i="1"/>
  <c r="AR225" i="1" s="1"/>
  <c r="AS225" i="1" s="1"/>
  <c r="AC137" i="1" l="1"/>
  <c r="AF136" i="1"/>
  <c r="L139" i="1"/>
  <c r="AJ138" i="1"/>
  <c r="AT138" i="1" s="1"/>
  <c r="N1529" i="1"/>
  <c r="Y1525" i="1"/>
  <c r="Z1525" i="1"/>
  <c r="N350" i="1"/>
  <c r="Y349" i="1"/>
  <c r="Z349" i="1"/>
  <c r="AI137" i="1"/>
  <c r="AF136" i="8"/>
  <c r="AH137" i="1"/>
  <c r="AE136" i="8"/>
  <c r="AG137" i="1"/>
  <c r="AD136" i="8"/>
  <c r="E227" i="1"/>
  <c r="AQ226" i="1"/>
  <c r="AR226" i="1" s="1"/>
  <c r="AS226" i="1" s="1"/>
  <c r="AC138" i="1" l="1"/>
  <c r="AF137" i="1"/>
  <c r="L140" i="1"/>
  <c r="AJ139" i="1"/>
  <c r="AT139" i="1" s="1"/>
  <c r="N352" i="1"/>
  <c r="Y350" i="1"/>
  <c r="Z350" i="1"/>
  <c r="N1531" i="1"/>
  <c r="Y1529" i="1"/>
  <c r="Z1529" i="1"/>
  <c r="AG138" i="1"/>
  <c r="AD137" i="8"/>
  <c r="AH138" i="1"/>
  <c r="AE137" i="8"/>
  <c r="AI138" i="1"/>
  <c r="AF137" i="8"/>
  <c r="E228" i="1"/>
  <c r="AQ227" i="1"/>
  <c r="AR227" i="1" s="1"/>
  <c r="AS227" i="1" s="1"/>
  <c r="AC139" i="1" l="1"/>
  <c r="AF138" i="1"/>
  <c r="L141" i="1"/>
  <c r="AJ140" i="1"/>
  <c r="AT140" i="1" s="1"/>
  <c r="N1533" i="1"/>
  <c r="Y1531" i="1"/>
  <c r="Z1531" i="1"/>
  <c r="N354" i="1"/>
  <c r="Z352" i="1"/>
  <c r="Y352" i="1"/>
  <c r="AI139" i="1"/>
  <c r="AF138" i="8"/>
  <c r="AH139" i="1"/>
  <c r="AE138" i="8"/>
  <c r="AG139" i="1"/>
  <c r="AD138" i="8"/>
  <c r="E229" i="1"/>
  <c r="AQ228" i="1"/>
  <c r="AR228" i="1" s="1"/>
  <c r="AS228" i="1" s="1"/>
  <c r="AC140" i="1" l="1"/>
  <c r="AF139" i="1"/>
  <c r="L142" i="1"/>
  <c r="AJ141" i="1"/>
  <c r="AT141" i="1" s="1"/>
  <c r="N356" i="1"/>
  <c r="Y354" i="1"/>
  <c r="Z354" i="1"/>
  <c r="N1535" i="1"/>
  <c r="Y1533" i="1"/>
  <c r="Z1533" i="1"/>
  <c r="AG140" i="1"/>
  <c r="AD139" i="8"/>
  <c r="AH140" i="1"/>
  <c r="AE139" i="8"/>
  <c r="AI140" i="1"/>
  <c r="AF139" i="8"/>
  <c r="E230" i="1"/>
  <c r="AQ229" i="1"/>
  <c r="AR229" i="1" s="1"/>
  <c r="AS229" i="1" s="1"/>
  <c r="AC141" i="1" l="1"/>
  <c r="AF140" i="1"/>
  <c r="L143" i="1"/>
  <c r="AJ142" i="1"/>
  <c r="AT142" i="1" s="1"/>
  <c r="N1538" i="1"/>
  <c r="Z1535" i="1"/>
  <c r="Y1535" i="1"/>
  <c r="N357" i="1"/>
  <c r="Y356" i="1"/>
  <c r="Z356" i="1"/>
  <c r="AI141" i="1"/>
  <c r="AF140" i="8"/>
  <c r="AH141" i="1"/>
  <c r="AE140" i="8"/>
  <c r="AG141" i="1"/>
  <c r="AD140" i="8"/>
  <c r="E231" i="1"/>
  <c r="AQ230" i="1"/>
  <c r="AR230" i="1" s="1"/>
  <c r="AS230" i="1" s="1"/>
  <c r="AC142" i="1" l="1"/>
  <c r="AF141" i="1"/>
  <c r="L144" i="1"/>
  <c r="AJ143" i="1"/>
  <c r="AT143" i="1" s="1"/>
  <c r="N361" i="1"/>
  <c r="Y357" i="1"/>
  <c r="Z357" i="1"/>
  <c r="N1539" i="1"/>
  <c r="Y1538" i="1"/>
  <c r="Z1538" i="1"/>
  <c r="AG142" i="1"/>
  <c r="AD141" i="8"/>
  <c r="AH142" i="1"/>
  <c r="AE141" i="8"/>
  <c r="AI142" i="1"/>
  <c r="AF141" i="8"/>
  <c r="E232" i="1"/>
  <c r="AQ231" i="1"/>
  <c r="AR231" i="1" s="1"/>
  <c r="AS231" i="1" s="1"/>
  <c r="AC143" i="1" l="1"/>
  <c r="AF142" i="1"/>
  <c r="L145" i="1"/>
  <c r="AJ144" i="1"/>
  <c r="AT144" i="1" s="1"/>
  <c r="N1540" i="1"/>
  <c r="Y1539" i="1"/>
  <c r="Z1539" i="1"/>
  <c r="N362" i="1"/>
  <c r="Z361" i="1"/>
  <c r="Y361" i="1"/>
  <c r="AH143" i="1"/>
  <c r="AE142" i="8"/>
  <c r="AI143" i="1"/>
  <c r="AF142" i="8"/>
  <c r="AG143" i="1"/>
  <c r="AD142" i="8"/>
  <c r="E233" i="1"/>
  <c r="AQ232" i="1"/>
  <c r="AR232" i="1" s="1"/>
  <c r="AS232" i="1" s="1"/>
  <c r="AC144" i="1" l="1"/>
  <c r="AF143" i="1"/>
  <c r="L146" i="1"/>
  <c r="AJ145" i="1"/>
  <c r="AT145" i="1" s="1"/>
  <c r="N363" i="1"/>
  <c r="Y362" i="1"/>
  <c r="Z362" i="1"/>
  <c r="N1541" i="1"/>
  <c r="Y1540" i="1"/>
  <c r="Z1540" i="1"/>
  <c r="AG144" i="1"/>
  <c r="AD143" i="8"/>
  <c r="AI144" i="1"/>
  <c r="AF143" i="8"/>
  <c r="AH144" i="1"/>
  <c r="AE143" i="8"/>
  <c r="E234" i="1"/>
  <c r="AQ233" i="1"/>
  <c r="AR233" i="1" s="1"/>
  <c r="AS233" i="1" s="1"/>
  <c r="AC145" i="1" l="1"/>
  <c r="AF144" i="1"/>
  <c r="L147" i="1"/>
  <c r="AJ146" i="1"/>
  <c r="AT146" i="1" s="1"/>
  <c r="N1543" i="1"/>
  <c r="Z1541" i="1"/>
  <c r="Y1541" i="1"/>
  <c r="N365" i="1"/>
  <c r="Z363" i="1"/>
  <c r="Y363" i="1"/>
  <c r="AH145" i="1"/>
  <c r="AE144" i="8"/>
  <c r="AI145" i="1"/>
  <c r="AF144" i="8"/>
  <c r="AG145" i="1"/>
  <c r="AD144" i="8"/>
  <c r="E235" i="1"/>
  <c r="AQ234" i="1"/>
  <c r="AR234" i="1" s="1"/>
  <c r="AS234" i="1" s="1"/>
  <c r="AC146" i="1" l="1"/>
  <c r="AF145" i="1"/>
  <c r="L148" i="1"/>
  <c r="AJ147" i="1"/>
  <c r="AT147" i="1" s="1"/>
  <c r="N366" i="1"/>
  <c r="Y365" i="1"/>
  <c r="Z365" i="1"/>
  <c r="N1544" i="1"/>
  <c r="Y1543" i="1"/>
  <c r="Z1543" i="1"/>
  <c r="AG146" i="1"/>
  <c r="AD145" i="8"/>
  <c r="AI146" i="1"/>
  <c r="AF145" i="8"/>
  <c r="AH146" i="1"/>
  <c r="AE145" i="8"/>
  <c r="E236" i="1"/>
  <c r="AQ235" i="1"/>
  <c r="AR235" i="1" s="1"/>
  <c r="AS235" i="1" s="1"/>
  <c r="AC147" i="1" l="1"/>
  <c r="AF146" i="1"/>
  <c r="L149" i="1"/>
  <c r="AJ148" i="1"/>
  <c r="AT148" i="1" s="1"/>
  <c r="N1549" i="1"/>
  <c r="Y1544" i="1"/>
  <c r="Z1544" i="1"/>
  <c r="N368" i="1"/>
  <c r="Y366" i="1"/>
  <c r="Z366" i="1"/>
  <c r="AH147" i="1"/>
  <c r="AE146" i="8"/>
  <c r="AI147" i="1"/>
  <c r="AF146" i="8"/>
  <c r="AG147" i="1"/>
  <c r="AD146" i="8"/>
  <c r="E237" i="1"/>
  <c r="AQ236" i="1"/>
  <c r="AR236" i="1" s="1"/>
  <c r="AS236" i="1" s="1"/>
  <c r="AC148" i="1" l="1"/>
  <c r="AF147" i="1"/>
  <c r="L150" i="1"/>
  <c r="AJ149" i="1"/>
  <c r="AT149" i="1" s="1"/>
  <c r="N369" i="1"/>
  <c r="Z368" i="1"/>
  <c r="Y368" i="1"/>
  <c r="N1560" i="1"/>
  <c r="Z1549" i="1"/>
  <c r="Y1549" i="1"/>
  <c r="AG148" i="1"/>
  <c r="AD147" i="8"/>
  <c r="AI148" i="1"/>
  <c r="AF147" i="8"/>
  <c r="AH148" i="1"/>
  <c r="AE147" i="8"/>
  <c r="E238" i="1"/>
  <c r="AQ237" i="1"/>
  <c r="AR237" i="1" s="1"/>
  <c r="AS237" i="1" s="1"/>
  <c r="AC149" i="1" l="1"/>
  <c r="AF148" i="1"/>
  <c r="L151" i="1"/>
  <c r="AJ150" i="1"/>
  <c r="AT150" i="1" s="1"/>
  <c r="N1562" i="1"/>
  <c r="Y1560" i="1"/>
  <c r="Z1560" i="1"/>
  <c r="N371" i="1"/>
  <c r="Y369" i="1"/>
  <c r="Z369" i="1"/>
  <c r="AH149" i="1"/>
  <c r="AE148" i="8"/>
  <c r="AI149" i="1"/>
  <c r="AF148" i="8"/>
  <c r="AG149" i="1"/>
  <c r="AD148" i="8"/>
  <c r="E239" i="1"/>
  <c r="AQ238" i="1"/>
  <c r="AR238" i="1" s="1"/>
  <c r="AS238" i="1" s="1"/>
  <c r="AC150" i="1" l="1"/>
  <c r="AF149" i="1"/>
  <c r="L152" i="1"/>
  <c r="AJ151" i="1"/>
  <c r="AT151" i="1" s="1"/>
  <c r="N372" i="1"/>
  <c r="Y371" i="1"/>
  <c r="Z371" i="1"/>
  <c r="N1567" i="1"/>
  <c r="Y1562" i="1"/>
  <c r="Z1562" i="1"/>
  <c r="AG150" i="1"/>
  <c r="AD149" i="8"/>
  <c r="AI150" i="1"/>
  <c r="AF149" i="8"/>
  <c r="AH150" i="1"/>
  <c r="AE149" i="8"/>
  <c r="E240" i="1"/>
  <c r="AQ239" i="1"/>
  <c r="AR239" i="1" s="1"/>
  <c r="AS239" i="1" s="1"/>
  <c r="AC151" i="1" l="1"/>
  <c r="AF150" i="1"/>
  <c r="L153" i="1"/>
  <c r="AJ152" i="1"/>
  <c r="AT152" i="1" s="1"/>
  <c r="N1572" i="1"/>
  <c r="Y1567" i="1"/>
  <c r="Z1567" i="1"/>
  <c r="N374" i="1"/>
  <c r="Y372" i="1"/>
  <c r="Z372" i="1"/>
  <c r="AH151" i="1"/>
  <c r="AE150" i="8"/>
  <c r="AI151" i="1"/>
  <c r="AF150" i="8"/>
  <c r="AG151" i="1"/>
  <c r="AD150" i="8"/>
  <c r="E241" i="1"/>
  <c r="AQ240" i="1"/>
  <c r="AR240" i="1" s="1"/>
  <c r="AS240" i="1" s="1"/>
  <c r="AC152" i="1" l="1"/>
  <c r="AF151" i="1"/>
  <c r="L154" i="1"/>
  <c r="AJ153" i="1"/>
  <c r="AT153" i="1" s="1"/>
  <c r="N376" i="1"/>
  <c r="Y374" i="1"/>
  <c r="Z374" i="1"/>
  <c r="N1574" i="1"/>
  <c r="Y1572" i="1"/>
  <c r="Z1572" i="1"/>
  <c r="AG152" i="1"/>
  <c r="AD151" i="8"/>
  <c r="AI152" i="1"/>
  <c r="AF151" i="8"/>
  <c r="AH152" i="1"/>
  <c r="AE151" i="8"/>
  <c r="E242" i="1"/>
  <c r="AQ241" i="1"/>
  <c r="AR241" i="1" s="1"/>
  <c r="AS241" i="1" s="1"/>
  <c r="AC153" i="1" l="1"/>
  <c r="AF152" i="1"/>
  <c r="L155" i="1"/>
  <c r="AJ154" i="1"/>
  <c r="AT154" i="1" s="1"/>
  <c r="N1575" i="1"/>
  <c r="Z1574" i="1"/>
  <c r="Y1574" i="1"/>
  <c r="N379" i="1"/>
  <c r="Z376" i="1"/>
  <c r="Y376" i="1"/>
  <c r="AH153" i="1"/>
  <c r="AE152" i="8"/>
  <c r="AI153" i="1"/>
  <c r="AF152" i="8"/>
  <c r="AG153" i="1"/>
  <c r="AD152" i="8"/>
  <c r="E243" i="1"/>
  <c r="AQ242" i="1"/>
  <c r="AR242" i="1" s="1"/>
  <c r="AS242" i="1" s="1"/>
  <c r="AC154" i="1" l="1"/>
  <c r="AF153" i="1"/>
  <c r="L156" i="1"/>
  <c r="AJ155" i="1"/>
  <c r="AT155" i="1" s="1"/>
  <c r="N381" i="1"/>
  <c r="Y379" i="1"/>
  <c r="Z379" i="1"/>
  <c r="N1576" i="1"/>
  <c r="Y1575" i="1"/>
  <c r="Z1575" i="1"/>
  <c r="AG154" i="1"/>
  <c r="AD153" i="8"/>
  <c r="AI154" i="1"/>
  <c r="AF153" i="8"/>
  <c r="AH154" i="1"/>
  <c r="AE153" i="8"/>
  <c r="E244" i="1"/>
  <c r="AQ243" i="1"/>
  <c r="AR243" i="1" s="1"/>
  <c r="AS243" i="1" s="1"/>
  <c r="AC155" i="1" l="1"/>
  <c r="AF154" i="1"/>
  <c r="L157" i="1"/>
  <c r="AJ156" i="1"/>
  <c r="AT156" i="1" s="1"/>
  <c r="N1578" i="1"/>
  <c r="Y1576" i="1"/>
  <c r="Z1576" i="1"/>
  <c r="N383" i="1"/>
  <c r="Y381" i="1"/>
  <c r="Z381" i="1"/>
  <c r="AH155" i="1"/>
  <c r="AE154" i="8"/>
  <c r="AI155" i="1"/>
  <c r="AF154" i="8"/>
  <c r="AG155" i="1"/>
  <c r="AD154" i="8"/>
  <c r="E245" i="1"/>
  <c r="AQ244" i="1"/>
  <c r="AR244" i="1" s="1"/>
  <c r="AS244" i="1" s="1"/>
  <c r="AC156" i="1" l="1"/>
  <c r="AF155" i="1"/>
  <c r="L158" i="1"/>
  <c r="AJ157" i="1"/>
  <c r="AT157" i="1" s="1"/>
  <c r="N385" i="1"/>
  <c r="Z383" i="1"/>
  <c r="Y383" i="1"/>
  <c r="N1581" i="1"/>
  <c r="Y1578" i="1"/>
  <c r="Z1578" i="1"/>
  <c r="AG156" i="1"/>
  <c r="AD155" i="8"/>
  <c r="AI156" i="1"/>
  <c r="AF155" i="8"/>
  <c r="AH156" i="1"/>
  <c r="AE155" i="8"/>
  <c r="E246" i="1"/>
  <c r="AQ245" i="1"/>
  <c r="AR245" i="1" s="1"/>
  <c r="AS245" i="1" s="1"/>
  <c r="AC157" i="1" l="1"/>
  <c r="AF156" i="1"/>
  <c r="L159" i="1"/>
  <c r="AJ158" i="1"/>
  <c r="AT158" i="1" s="1"/>
  <c r="N1584" i="1"/>
  <c r="Y1581" i="1"/>
  <c r="Z1581" i="1"/>
  <c r="N387" i="1"/>
  <c r="Y385" i="1"/>
  <c r="Z385" i="1"/>
  <c r="AI157" i="1"/>
  <c r="AF156" i="8"/>
  <c r="AH157" i="1"/>
  <c r="AE156" i="8"/>
  <c r="AG157" i="1"/>
  <c r="AD156" i="8"/>
  <c r="E247" i="1"/>
  <c r="AQ246" i="1"/>
  <c r="AR246" i="1" s="1"/>
  <c r="AS246" i="1" s="1"/>
  <c r="AC158" i="1" l="1"/>
  <c r="AF157" i="1"/>
  <c r="L160" i="1"/>
  <c r="AJ159" i="1"/>
  <c r="AT159" i="1" s="1"/>
  <c r="N391" i="1"/>
  <c r="Y387" i="1"/>
  <c r="Z387" i="1"/>
  <c r="N1586" i="1"/>
  <c r="Y1584" i="1"/>
  <c r="Z1584" i="1"/>
  <c r="AG158" i="1"/>
  <c r="AD157" i="8"/>
  <c r="AH158" i="1"/>
  <c r="AE157" i="8"/>
  <c r="AI158" i="1"/>
  <c r="AF157" i="8"/>
  <c r="E248" i="1"/>
  <c r="AQ247" i="1"/>
  <c r="AR247" i="1" s="1"/>
  <c r="AS247" i="1" s="1"/>
  <c r="AC159" i="1" l="1"/>
  <c r="AF158" i="1"/>
  <c r="L161" i="1"/>
  <c r="AJ160" i="1"/>
  <c r="AT160" i="1" s="1"/>
  <c r="N1587" i="1"/>
  <c r="Y1586" i="1"/>
  <c r="Z1586" i="1"/>
  <c r="N392" i="1"/>
  <c r="Z391" i="1"/>
  <c r="Y391" i="1"/>
  <c r="AI159" i="1"/>
  <c r="AF158" i="8"/>
  <c r="AH159" i="1"/>
  <c r="AE158" i="8"/>
  <c r="AG159" i="1"/>
  <c r="AD158" i="8"/>
  <c r="E249" i="1"/>
  <c r="AQ248" i="1"/>
  <c r="AR248" i="1" s="1"/>
  <c r="AS248" i="1" s="1"/>
  <c r="AC160" i="1" l="1"/>
  <c r="AF159" i="1"/>
  <c r="L162" i="1"/>
  <c r="AJ161" i="1"/>
  <c r="AT161" i="1" s="1"/>
  <c r="N396" i="1"/>
  <c r="Z392" i="1"/>
  <c r="Y392" i="1"/>
  <c r="N1590" i="1"/>
  <c r="Y1587" i="1"/>
  <c r="Z1587" i="1"/>
  <c r="AH160" i="1"/>
  <c r="AE159" i="8"/>
  <c r="AG160" i="1"/>
  <c r="AD159" i="8"/>
  <c r="AI160" i="1"/>
  <c r="AF159" i="8"/>
  <c r="E250" i="1"/>
  <c r="AQ249" i="1"/>
  <c r="AR249" i="1" s="1"/>
  <c r="AS249" i="1" s="1"/>
  <c r="AC161" i="1" l="1"/>
  <c r="AF160" i="1"/>
  <c r="L163" i="1"/>
  <c r="AJ162" i="1"/>
  <c r="AT162" i="1" s="1"/>
  <c r="N1592" i="1"/>
  <c r="Y1590" i="1"/>
  <c r="Z1590" i="1"/>
  <c r="N397" i="1"/>
  <c r="Y396" i="1"/>
  <c r="Z396" i="1"/>
  <c r="AI161" i="1"/>
  <c r="AF160" i="8"/>
  <c r="AG161" i="1"/>
  <c r="AD160" i="8"/>
  <c r="AH161" i="1"/>
  <c r="AE160" i="8"/>
  <c r="E251" i="1"/>
  <c r="AQ250" i="1"/>
  <c r="AR250" i="1" s="1"/>
  <c r="AS250" i="1" s="1"/>
  <c r="AC162" i="1" l="1"/>
  <c r="AF161" i="1"/>
  <c r="L164" i="1"/>
  <c r="AJ163" i="1"/>
  <c r="AT163" i="1" s="1"/>
  <c r="N400" i="1"/>
  <c r="Y397" i="1"/>
  <c r="Z397" i="1"/>
  <c r="N1594" i="1"/>
  <c r="Y1592" i="1"/>
  <c r="Z1592" i="1"/>
  <c r="AH162" i="1"/>
  <c r="AE161" i="8"/>
  <c r="AG162" i="1"/>
  <c r="AD161" i="8"/>
  <c r="AI162" i="1"/>
  <c r="AF161" i="8"/>
  <c r="E252" i="1"/>
  <c r="AQ251" i="1"/>
  <c r="AR251" i="1" s="1"/>
  <c r="AS251" i="1" s="1"/>
  <c r="AC163" i="1" l="1"/>
  <c r="AF162" i="1"/>
  <c r="L165" i="1"/>
  <c r="AJ164" i="1"/>
  <c r="AT164" i="1" s="1"/>
  <c r="N1600" i="1"/>
  <c r="Y1594" i="1"/>
  <c r="Z1594" i="1"/>
  <c r="N402" i="1"/>
  <c r="Z400" i="1"/>
  <c r="Y400" i="1"/>
  <c r="AI163" i="1"/>
  <c r="AF162" i="8"/>
  <c r="AG163" i="1"/>
  <c r="AD162" i="8"/>
  <c r="AH163" i="1"/>
  <c r="AE162" i="8"/>
  <c r="E253" i="1"/>
  <c r="AQ252" i="1"/>
  <c r="AR252" i="1" s="1"/>
  <c r="AS252" i="1" s="1"/>
  <c r="AC164" i="1" l="1"/>
  <c r="AF163" i="1"/>
  <c r="L166" i="1"/>
  <c r="AJ165" i="1"/>
  <c r="AT165" i="1" s="1"/>
  <c r="N404" i="1"/>
  <c r="Y402" i="1"/>
  <c r="Z402" i="1"/>
  <c r="N1602" i="1"/>
  <c r="Y1600" i="1"/>
  <c r="Z1600" i="1"/>
  <c r="AH164" i="1"/>
  <c r="AE163" i="8"/>
  <c r="AG164" i="1"/>
  <c r="AD163" i="8"/>
  <c r="AI164" i="1"/>
  <c r="AF163" i="8"/>
  <c r="E254" i="1"/>
  <c r="AQ253" i="1"/>
  <c r="AR253" i="1" s="1"/>
  <c r="AS253" i="1" s="1"/>
  <c r="AC165" i="1" l="1"/>
  <c r="AF164" i="1"/>
  <c r="L167" i="1"/>
  <c r="AJ166" i="1"/>
  <c r="AT166" i="1" s="1"/>
  <c r="N1607" i="1"/>
  <c r="Y1602" i="1"/>
  <c r="Z1602" i="1"/>
  <c r="N406" i="1"/>
  <c r="Y404" i="1"/>
  <c r="Z404" i="1"/>
  <c r="AI165" i="1"/>
  <c r="AF164" i="8"/>
  <c r="AG165" i="1"/>
  <c r="AD164" i="8"/>
  <c r="AH165" i="1"/>
  <c r="AE164" i="8"/>
  <c r="E255" i="1"/>
  <c r="AQ254" i="1"/>
  <c r="AR254" i="1" s="1"/>
  <c r="AS254" i="1" s="1"/>
  <c r="AC166" i="1" l="1"/>
  <c r="AF165" i="1"/>
  <c r="L168" i="1"/>
  <c r="AJ167" i="1"/>
  <c r="AT167" i="1" s="1"/>
  <c r="N408" i="1"/>
  <c r="Y406" i="1"/>
  <c r="Z406" i="1"/>
  <c r="N1609" i="1"/>
  <c r="Y1607" i="1"/>
  <c r="Z1607" i="1"/>
  <c r="AH166" i="1"/>
  <c r="AE165" i="8"/>
  <c r="AG166" i="1"/>
  <c r="AD165" i="8"/>
  <c r="AI166" i="1"/>
  <c r="AF165" i="8"/>
  <c r="E256" i="1"/>
  <c r="AQ255" i="1"/>
  <c r="AR255" i="1" s="1"/>
  <c r="AS255" i="1" s="1"/>
  <c r="AC167" i="1" l="1"/>
  <c r="AF166" i="1"/>
  <c r="L169" i="1"/>
  <c r="AJ168" i="1"/>
  <c r="AT168" i="1" s="1"/>
  <c r="N1614" i="1"/>
  <c r="Y1609" i="1"/>
  <c r="Z1609" i="1"/>
  <c r="N409" i="1"/>
  <c r="Z408" i="1"/>
  <c r="Y408" i="1"/>
  <c r="AI167" i="1"/>
  <c r="AF166" i="8"/>
  <c r="AG167" i="1"/>
  <c r="AD166" i="8"/>
  <c r="AH167" i="1"/>
  <c r="AE166" i="8"/>
  <c r="E257" i="1"/>
  <c r="AQ256" i="1"/>
  <c r="AR256" i="1" s="1"/>
  <c r="AS256" i="1" s="1"/>
  <c r="AC168" i="1" l="1"/>
  <c r="AF167" i="1"/>
  <c r="L170" i="1"/>
  <c r="AJ169" i="1"/>
  <c r="AT169" i="1" s="1"/>
  <c r="N411" i="1"/>
  <c r="Y409" i="1"/>
  <c r="Z409" i="1"/>
  <c r="N1615" i="1"/>
  <c r="Y1614" i="1"/>
  <c r="Z1614" i="1"/>
  <c r="AH168" i="1"/>
  <c r="AE167" i="8"/>
  <c r="AG168" i="1"/>
  <c r="AD167" i="8"/>
  <c r="AI168" i="1"/>
  <c r="AF167" i="8"/>
  <c r="E258" i="1"/>
  <c r="AQ257" i="1"/>
  <c r="AR257" i="1" s="1"/>
  <c r="AS257" i="1" s="1"/>
  <c r="AC169" i="1" l="1"/>
  <c r="AF168" i="1"/>
  <c r="L171" i="1"/>
  <c r="AJ170" i="1"/>
  <c r="AT170" i="1" s="1"/>
  <c r="N1617" i="1"/>
  <c r="Y1615" i="1"/>
  <c r="Z1615" i="1"/>
  <c r="N413" i="1"/>
  <c r="Z411" i="1"/>
  <c r="Y411" i="1"/>
  <c r="AI169" i="1"/>
  <c r="AF168" i="8"/>
  <c r="AG169" i="1"/>
  <c r="AD168" i="8"/>
  <c r="AH169" i="1"/>
  <c r="AE168" i="8"/>
  <c r="E259" i="1"/>
  <c r="AQ258" i="1"/>
  <c r="AR258" i="1" s="1"/>
  <c r="AS258" i="1" s="1"/>
  <c r="AC170" i="1" l="1"/>
  <c r="AF169" i="1"/>
  <c r="L172" i="1"/>
  <c r="AJ171" i="1"/>
  <c r="AT171" i="1" s="1"/>
  <c r="N414" i="1"/>
  <c r="Y413" i="1"/>
  <c r="Z413" i="1"/>
  <c r="N1618" i="1"/>
  <c r="Y1617" i="1"/>
  <c r="Z1617" i="1"/>
  <c r="AH170" i="1"/>
  <c r="AE169" i="8"/>
  <c r="AG170" i="1"/>
  <c r="AD169" i="8"/>
  <c r="AI170" i="1"/>
  <c r="AF169" i="8"/>
  <c r="E260" i="1"/>
  <c r="AQ259" i="1"/>
  <c r="AR259" i="1" s="1"/>
  <c r="AS259" i="1" s="1"/>
  <c r="AC171" i="1" l="1"/>
  <c r="AF170" i="1"/>
  <c r="L173" i="1"/>
  <c r="AJ172" i="1"/>
  <c r="AT172" i="1" s="1"/>
  <c r="N1620" i="1"/>
  <c r="Y1618" i="1"/>
  <c r="Z1618" i="1"/>
  <c r="N418" i="1"/>
  <c r="Y414" i="1"/>
  <c r="Z414" i="1"/>
  <c r="AI171" i="1"/>
  <c r="AF170" i="8"/>
  <c r="AG171" i="1"/>
  <c r="AD170" i="8"/>
  <c r="AH171" i="1"/>
  <c r="AE170" i="8"/>
  <c r="E261" i="1"/>
  <c r="AQ260" i="1"/>
  <c r="AR260" i="1" s="1"/>
  <c r="AS260" i="1" s="1"/>
  <c r="AC172" i="1" l="1"/>
  <c r="AF171" i="1"/>
  <c r="L174" i="1"/>
  <c r="AJ173" i="1"/>
  <c r="AT173" i="1" s="1"/>
  <c r="N420" i="1"/>
  <c r="Y418" i="1"/>
  <c r="Z418" i="1"/>
  <c r="N1621" i="1"/>
  <c r="Y1620" i="1"/>
  <c r="Z1620" i="1"/>
  <c r="AH172" i="1"/>
  <c r="AE171" i="8"/>
  <c r="AG172" i="1"/>
  <c r="AD171" i="8"/>
  <c r="AI172" i="1"/>
  <c r="AF171" i="8"/>
  <c r="E262" i="1"/>
  <c r="AQ261" i="1"/>
  <c r="AR261" i="1" s="1"/>
  <c r="AS261" i="1" s="1"/>
  <c r="AC173" i="1" l="1"/>
  <c r="AF172" i="1"/>
  <c r="L175" i="1"/>
  <c r="AJ174" i="1"/>
  <c r="AT174" i="1" s="1"/>
  <c r="N1631" i="1"/>
  <c r="Y1621" i="1"/>
  <c r="Z1621" i="1"/>
  <c r="N421" i="1"/>
  <c r="Y420" i="1"/>
  <c r="Z420" i="1"/>
  <c r="AI173" i="1"/>
  <c r="AF172" i="8"/>
  <c r="AG173" i="1"/>
  <c r="AD172" i="8"/>
  <c r="AH173" i="1"/>
  <c r="AE172" i="8"/>
  <c r="E263" i="1"/>
  <c r="AQ262" i="1"/>
  <c r="AR262" i="1" s="1"/>
  <c r="AS262" i="1" s="1"/>
  <c r="AC174" i="1" l="1"/>
  <c r="AF173" i="1"/>
  <c r="L176" i="1"/>
  <c r="AJ175" i="1"/>
  <c r="AT175" i="1" s="1"/>
  <c r="N422" i="1"/>
  <c r="Y421" i="1"/>
  <c r="Z421" i="1"/>
  <c r="N1632" i="1"/>
  <c r="Y1631" i="1"/>
  <c r="Z1631" i="1"/>
  <c r="AH174" i="1"/>
  <c r="AE173" i="8"/>
  <c r="AG174" i="1"/>
  <c r="AD173" i="8"/>
  <c r="AI174" i="1"/>
  <c r="AF173" i="8"/>
  <c r="E264" i="1"/>
  <c r="AQ263" i="1"/>
  <c r="AR263" i="1" s="1"/>
  <c r="AS263" i="1" s="1"/>
  <c r="AC175" i="1" l="1"/>
  <c r="AF174" i="1"/>
  <c r="L177" i="1"/>
  <c r="AJ176" i="1"/>
  <c r="AT176" i="1" s="1"/>
  <c r="N1635" i="1"/>
  <c r="Y1632" i="1"/>
  <c r="Z1632" i="1"/>
  <c r="N424" i="1"/>
  <c r="Y422" i="1"/>
  <c r="Z422" i="1"/>
  <c r="AG175" i="1"/>
  <c r="AD174" i="8"/>
  <c r="AI175" i="1"/>
  <c r="AF174" i="8"/>
  <c r="AH175" i="1"/>
  <c r="AE174" i="8"/>
  <c r="E265" i="1"/>
  <c r="AQ264" i="1"/>
  <c r="AR264" i="1" s="1"/>
  <c r="AS264" i="1" s="1"/>
  <c r="AC176" i="1" l="1"/>
  <c r="AF175" i="1"/>
  <c r="L178" i="1"/>
  <c r="AJ177" i="1"/>
  <c r="AT177" i="1" s="1"/>
  <c r="N425" i="1"/>
  <c r="Z424" i="1"/>
  <c r="Y424" i="1"/>
  <c r="N1639" i="1"/>
  <c r="Y1635" i="1"/>
  <c r="Z1635" i="1"/>
  <c r="AH176" i="1"/>
  <c r="AE175" i="8"/>
  <c r="AI176" i="1"/>
  <c r="AF175" i="8"/>
  <c r="AG176" i="1"/>
  <c r="AD175" i="8"/>
  <c r="E266" i="1"/>
  <c r="AQ265" i="1"/>
  <c r="AR265" i="1" s="1"/>
  <c r="AS265" i="1" s="1"/>
  <c r="AC177" i="1" l="1"/>
  <c r="AF176" i="1"/>
  <c r="L179" i="1"/>
  <c r="AJ178" i="1"/>
  <c r="AT178" i="1" s="1"/>
  <c r="N1640" i="1"/>
  <c r="Y1639" i="1"/>
  <c r="Z1639" i="1"/>
  <c r="N427" i="1"/>
  <c r="Y425" i="1"/>
  <c r="Z425" i="1"/>
  <c r="AG177" i="1"/>
  <c r="AD176" i="8"/>
  <c r="AI177" i="1"/>
  <c r="AF176" i="8"/>
  <c r="AH177" i="1"/>
  <c r="AE176" i="8"/>
  <c r="E267" i="1"/>
  <c r="AQ266" i="1"/>
  <c r="AR266" i="1" s="1"/>
  <c r="AS266" i="1" s="1"/>
  <c r="AC178" i="1" l="1"/>
  <c r="AF177" i="1"/>
  <c r="L180" i="1"/>
  <c r="AJ179" i="1"/>
  <c r="AT179" i="1" s="1"/>
  <c r="N428" i="1"/>
  <c r="Y427" i="1"/>
  <c r="Z427" i="1"/>
  <c r="N1642" i="1"/>
  <c r="Y1640" i="1"/>
  <c r="Z1640" i="1"/>
  <c r="AI178" i="1"/>
  <c r="AF177" i="8"/>
  <c r="AH178" i="1"/>
  <c r="AE177" i="8"/>
  <c r="AG178" i="1"/>
  <c r="AD177" i="8"/>
  <c r="E268" i="1"/>
  <c r="AQ267" i="1"/>
  <c r="AR267" i="1" s="1"/>
  <c r="AS267" i="1" s="1"/>
  <c r="AC179" i="1" l="1"/>
  <c r="AF178" i="1"/>
  <c r="L181" i="1"/>
  <c r="AJ180" i="1"/>
  <c r="AT180" i="1" s="1"/>
  <c r="N1644" i="1"/>
  <c r="Y1642" i="1"/>
  <c r="Z1642" i="1"/>
  <c r="N430" i="1"/>
  <c r="Y428" i="1"/>
  <c r="Z428" i="1"/>
  <c r="AG179" i="1"/>
  <c r="AD178" i="8"/>
  <c r="AH179" i="1"/>
  <c r="AE178" i="8"/>
  <c r="AI179" i="1"/>
  <c r="AF178" i="8"/>
  <c r="E269" i="1"/>
  <c r="AQ268" i="1"/>
  <c r="AR268" i="1" s="1"/>
  <c r="AS268" i="1" s="1"/>
  <c r="AC180" i="1" l="1"/>
  <c r="AF179" i="1"/>
  <c r="L182" i="1"/>
  <c r="AJ181" i="1"/>
  <c r="AT181" i="1" s="1"/>
  <c r="N431" i="1"/>
  <c r="Y430" i="1"/>
  <c r="Z430" i="1"/>
  <c r="N1645" i="1"/>
  <c r="Y1644" i="1"/>
  <c r="Z1644" i="1"/>
  <c r="AI180" i="1"/>
  <c r="AF179" i="8"/>
  <c r="AH180" i="1"/>
  <c r="AE179" i="8"/>
  <c r="AG180" i="1"/>
  <c r="AD179" i="8"/>
  <c r="E270" i="1"/>
  <c r="AQ269" i="1"/>
  <c r="AR269" i="1" s="1"/>
  <c r="AS269" i="1" s="1"/>
  <c r="AC181" i="1" l="1"/>
  <c r="AF180" i="1"/>
  <c r="L183" i="1"/>
  <c r="AJ182" i="1"/>
  <c r="AT182" i="1" s="1"/>
  <c r="N1646" i="1"/>
  <c r="Z1645" i="1"/>
  <c r="Y1645" i="1"/>
  <c r="N436" i="1"/>
  <c r="Z431" i="1"/>
  <c r="Y431" i="1"/>
  <c r="AG181" i="1"/>
  <c r="AD180" i="8"/>
  <c r="AH181" i="1"/>
  <c r="AE180" i="8"/>
  <c r="AI181" i="1"/>
  <c r="AF180" i="8"/>
  <c r="E271" i="1"/>
  <c r="AQ270" i="1"/>
  <c r="AR270" i="1" s="1"/>
  <c r="AS270" i="1" s="1"/>
  <c r="AC182" i="1" l="1"/>
  <c r="AF181" i="1"/>
  <c r="L184" i="1"/>
  <c r="AJ183" i="1"/>
  <c r="AT183" i="1" s="1"/>
  <c r="N437" i="1"/>
  <c r="Y436" i="1"/>
  <c r="Z436" i="1"/>
  <c r="N1647" i="1"/>
  <c r="Y1646" i="1"/>
  <c r="Z1646" i="1"/>
  <c r="AI182" i="1"/>
  <c r="AF181" i="8"/>
  <c r="AH182" i="1"/>
  <c r="AE181" i="8"/>
  <c r="AG182" i="1"/>
  <c r="AD181" i="8"/>
  <c r="E272" i="1"/>
  <c r="AQ271" i="1"/>
  <c r="AR271" i="1" s="1"/>
  <c r="AS271" i="1" s="1"/>
  <c r="AC183" i="1" l="1"/>
  <c r="AF182" i="1"/>
  <c r="L185" i="1"/>
  <c r="AJ184" i="1"/>
  <c r="AT184" i="1" s="1"/>
  <c r="N1648" i="1"/>
  <c r="Z1647" i="1"/>
  <c r="Y1647" i="1"/>
  <c r="N438" i="1"/>
  <c r="Y437" i="1"/>
  <c r="Z437" i="1"/>
  <c r="AG183" i="1"/>
  <c r="AD182" i="8"/>
  <c r="AH183" i="1"/>
  <c r="AE182" i="8"/>
  <c r="AI183" i="1"/>
  <c r="AF182" i="8"/>
  <c r="E273" i="1"/>
  <c r="AQ272" i="1"/>
  <c r="AR272" i="1" s="1"/>
  <c r="AS272" i="1" s="1"/>
  <c r="AC184" i="1" l="1"/>
  <c r="AF183" i="1"/>
  <c r="L186" i="1"/>
  <c r="AJ185" i="1"/>
  <c r="AT185" i="1" s="1"/>
  <c r="N439" i="1"/>
  <c r="Y438" i="1"/>
  <c r="Z438" i="1"/>
  <c r="N1650" i="1"/>
  <c r="Y1648" i="1"/>
  <c r="Z1648" i="1"/>
  <c r="AI184" i="1"/>
  <c r="AF183" i="8"/>
  <c r="AH184" i="1"/>
  <c r="AE183" i="8"/>
  <c r="AG184" i="1"/>
  <c r="AD183" i="8"/>
  <c r="E274" i="1"/>
  <c r="AQ273" i="1"/>
  <c r="AR273" i="1" s="1"/>
  <c r="AS273" i="1" s="1"/>
  <c r="AC185" i="1" l="1"/>
  <c r="AF184" i="1"/>
  <c r="L187" i="1"/>
  <c r="AJ186" i="1"/>
  <c r="AT186" i="1" s="1"/>
  <c r="N1652" i="1"/>
  <c r="Y1650" i="1"/>
  <c r="Z1650" i="1"/>
  <c r="N441" i="1"/>
  <c r="Y439" i="1"/>
  <c r="Z439" i="1"/>
  <c r="AG185" i="1"/>
  <c r="AD184" i="8"/>
  <c r="AH185" i="1"/>
  <c r="AE184" i="8"/>
  <c r="AI185" i="1"/>
  <c r="AF184" i="8"/>
  <c r="E275" i="1"/>
  <c r="AQ274" i="1"/>
  <c r="AR274" i="1" s="1"/>
  <c r="AS274" i="1" s="1"/>
  <c r="AC186" i="1" l="1"/>
  <c r="AF185" i="1"/>
  <c r="L188" i="1"/>
  <c r="AJ187" i="1"/>
  <c r="AT187" i="1" s="1"/>
  <c r="N442" i="1"/>
  <c r="Y441" i="1"/>
  <c r="Z441" i="1"/>
  <c r="N1654" i="1"/>
  <c r="Y1652" i="1"/>
  <c r="Z1652" i="1"/>
  <c r="AI186" i="1"/>
  <c r="AF185" i="8"/>
  <c r="AH186" i="1"/>
  <c r="AE185" i="8"/>
  <c r="AG186" i="1"/>
  <c r="AD185" i="8"/>
  <c r="E276" i="1"/>
  <c r="AQ275" i="1"/>
  <c r="AR275" i="1" s="1"/>
  <c r="AS275" i="1" s="1"/>
  <c r="AC187" i="1" l="1"/>
  <c r="AF186" i="1"/>
  <c r="L189" i="1"/>
  <c r="AJ188" i="1"/>
  <c r="AT188" i="1" s="1"/>
  <c r="N1656" i="1"/>
  <c r="Y1654" i="1"/>
  <c r="Z1654" i="1"/>
  <c r="N444" i="1"/>
  <c r="Z442" i="1"/>
  <c r="Y442" i="1"/>
  <c r="AG187" i="1"/>
  <c r="AD186" i="8"/>
  <c r="AH187" i="1"/>
  <c r="AE186" i="8"/>
  <c r="AI187" i="1"/>
  <c r="AF186" i="8"/>
  <c r="E277" i="1"/>
  <c r="AQ276" i="1"/>
  <c r="AR276" i="1" s="1"/>
  <c r="AS276" i="1" s="1"/>
  <c r="AC188" i="1" l="1"/>
  <c r="AF187" i="1"/>
  <c r="L190" i="1"/>
  <c r="AJ189" i="1"/>
  <c r="AT189" i="1" s="1"/>
  <c r="N445" i="1"/>
  <c r="Y444" i="1"/>
  <c r="Z444" i="1"/>
  <c r="N1657" i="1"/>
  <c r="Z1656" i="1"/>
  <c r="Y1656" i="1"/>
  <c r="AH188" i="1"/>
  <c r="AE187" i="8"/>
  <c r="AI188" i="1"/>
  <c r="AF187" i="8"/>
  <c r="AG188" i="1"/>
  <c r="AD187" i="8"/>
  <c r="E278" i="1"/>
  <c r="AQ277" i="1"/>
  <c r="AR277" i="1" s="1"/>
  <c r="AS277" i="1" s="1"/>
  <c r="AC189" i="1" l="1"/>
  <c r="AF188" i="1"/>
  <c r="L191" i="1"/>
  <c r="AJ190" i="1"/>
  <c r="AT190" i="1" s="1"/>
  <c r="N1660" i="1"/>
  <c r="Y1657" i="1"/>
  <c r="Z1657" i="1"/>
  <c r="N449" i="1"/>
  <c r="Y445" i="1"/>
  <c r="Z445" i="1"/>
  <c r="AG189" i="1"/>
  <c r="AD188" i="8"/>
  <c r="AI189" i="1"/>
  <c r="AF188" i="8"/>
  <c r="AH189" i="1"/>
  <c r="AE188" i="8"/>
  <c r="E279" i="1"/>
  <c r="AQ278" i="1"/>
  <c r="AR278" i="1" s="1"/>
  <c r="AS278" i="1" s="1"/>
  <c r="AC190" i="1" l="1"/>
  <c r="AF189" i="1"/>
  <c r="L192" i="1"/>
  <c r="AJ191" i="1"/>
  <c r="AT191" i="1" s="1"/>
  <c r="N450" i="1"/>
  <c r="Z449" i="1"/>
  <c r="Y449" i="1"/>
  <c r="N1665" i="1"/>
  <c r="Y1660" i="1"/>
  <c r="Z1660" i="1"/>
  <c r="AH190" i="1"/>
  <c r="AE189" i="8"/>
  <c r="AI190" i="1"/>
  <c r="AF189" i="8"/>
  <c r="AG190" i="1"/>
  <c r="AD189" i="8"/>
  <c r="E280" i="1"/>
  <c r="AQ279" i="1"/>
  <c r="AR279" i="1" s="1"/>
  <c r="AS279" i="1" s="1"/>
  <c r="AC191" i="1" l="1"/>
  <c r="AF190" i="1"/>
  <c r="L193" i="1"/>
  <c r="AJ192" i="1"/>
  <c r="AT192" i="1" s="1"/>
  <c r="N1667" i="1"/>
  <c r="Y1665" i="1"/>
  <c r="Z1665" i="1"/>
  <c r="N453" i="1"/>
  <c r="Y450" i="1"/>
  <c r="Z450" i="1"/>
  <c r="AG191" i="1"/>
  <c r="AD190" i="8"/>
  <c r="AI191" i="1"/>
  <c r="AF190" i="8"/>
  <c r="AH191" i="1"/>
  <c r="AE190" i="8"/>
  <c r="E281" i="1"/>
  <c r="AQ280" i="1"/>
  <c r="AR280" i="1" s="1"/>
  <c r="AS280" i="1" s="1"/>
  <c r="AC192" i="1" l="1"/>
  <c r="AF191" i="1"/>
  <c r="L194" i="1"/>
  <c r="AJ193" i="1"/>
  <c r="AT193" i="1" s="1"/>
  <c r="N455" i="1"/>
  <c r="Y453" i="1"/>
  <c r="Z453" i="1"/>
  <c r="N1668" i="1"/>
  <c r="Y1667" i="1"/>
  <c r="Z1667" i="1"/>
  <c r="AH192" i="1"/>
  <c r="AE191" i="8"/>
  <c r="AI192" i="1"/>
  <c r="AF191" i="8"/>
  <c r="AG192" i="1"/>
  <c r="AD191" i="8"/>
  <c r="E282" i="1"/>
  <c r="AQ281" i="1"/>
  <c r="AR281" i="1" s="1"/>
  <c r="AS281" i="1" s="1"/>
  <c r="AC193" i="1" l="1"/>
  <c r="AF192" i="1"/>
  <c r="L195" i="1"/>
  <c r="AJ194" i="1"/>
  <c r="AT194" i="1" s="1"/>
  <c r="N1669" i="1"/>
  <c r="Y1668" i="1"/>
  <c r="Z1668" i="1"/>
  <c r="N456" i="1"/>
  <c r="Y455" i="1"/>
  <c r="Z455" i="1"/>
  <c r="AG193" i="1"/>
  <c r="AD192" i="8"/>
  <c r="AI193" i="1"/>
  <c r="AF192" i="8"/>
  <c r="AH193" i="1"/>
  <c r="AE192" i="8"/>
  <c r="E283" i="1"/>
  <c r="AQ282" i="1"/>
  <c r="AR282" i="1" s="1"/>
  <c r="AS282" i="1" s="1"/>
  <c r="AC194" i="1" l="1"/>
  <c r="AF193" i="1"/>
  <c r="L196" i="1"/>
  <c r="AJ195" i="1"/>
  <c r="AT195" i="1" s="1"/>
  <c r="N457" i="1"/>
  <c r="Z456" i="1"/>
  <c r="Y456" i="1"/>
  <c r="N1670" i="1"/>
  <c r="Y1669" i="1"/>
  <c r="Z1669" i="1"/>
  <c r="AH194" i="1"/>
  <c r="AE193" i="8"/>
  <c r="AI194" i="1"/>
  <c r="AF193" i="8"/>
  <c r="AG194" i="1"/>
  <c r="AD193" i="8"/>
  <c r="E284" i="1"/>
  <c r="AQ283" i="1"/>
  <c r="AR283" i="1" s="1"/>
  <c r="AS283" i="1" s="1"/>
  <c r="AC195" i="1" l="1"/>
  <c r="AF194" i="1"/>
  <c r="L197" i="1"/>
  <c r="AJ196" i="1"/>
  <c r="AT196" i="1" s="1"/>
  <c r="N1672" i="1"/>
  <c r="Y1670" i="1"/>
  <c r="Z1670" i="1"/>
  <c r="N463" i="1"/>
  <c r="Y457" i="1"/>
  <c r="Z457" i="1"/>
  <c r="AG195" i="1"/>
  <c r="AD194" i="8"/>
  <c r="AI195" i="1"/>
  <c r="AF194" i="8"/>
  <c r="AH195" i="1"/>
  <c r="AE194" i="8"/>
  <c r="E285" i="1"/>
  <c r="AQ284" i="1"/>
  <c r="AR284" i="1" s="1"/>
  <c r="AS284" i="1" s="1"/>
  <c r="AC196" i="1" l="1"/>
  <c r="AF195" i="1"/>
  <c r="L198" i="1"/>
  <c r="AJ197" i="1"/>
  <c r="AT197" i="1" s="1"/>
  <c r="N465" i="1"/>
  <c r="Y463" i="1"/>
  <c r="Z463" i="1"/>
  <c r="N1673" i="1"/>
  <c r="Y1672" i="1"/>
  <c r="Z1672" i="1"/>
  <c r="AH196" i="1"/>
  <c r="AE195" i="8"/>
  <c r="AI196" i="1"/>
  <c r="AF195" i="8"/>
  <c r="AG196" i="1"/>
  <c r="AD195" i="8"/>
  <c r="E286" i="1"/>
  <c r="AQ285" i="1"/>
  <c r="AR285" i="1" s="1"/>
  <c r="AS285" i="1" s="1"/>
  <c r="AC197" i="1" l="1"/>
  <c r="AF196" i="1"/>
  <c r="L199" i="1"/>
  <c r="AJ198" i="1"/>
  <c r="AT198" i="1" s="1"/>
  <c r="N1675" i="1"/>
  <c r="Y1673" i="1"/>
  <c r="Z1673" i="1"/>
  <c r="N466" i="1"/>
  <c r="Y465" i="1"/>
  <c r="Z465" i="1"/>
  <c r="AG197" i="1"/>
  <c r="AD196" i="8"/>
  <c r="AI197" i="1"/>
  <c r="AF196" i="8"/>
  <c r="AH197" i="1"/>
  <c r="AE196" i="8"/>
  <c r="E287" i="1"/>
  <c r="AQ286" i="1"/>
  <c r="AR286" i="1" s="1"/>
  <c r="AS286" i="1" s="1"/>
  <c r="AC198" i="1" l="1"/>
  <c r="AF197" i="1"/>
  <c r="L200" i="1"/>
  <c r="AJ199" i="1"/>
  <c r="AT199" i="1" s="1"/>
  <c r="N467" i="1"/>
  <c r="Z466" i="1"/>
  <c r="Y466" i="1"/>
  <c r="N1676" i="1"/>
  <c r="Y1675" i="1"/>
  <c r="Z1675" i="1"/>
  <c r="AH198" i="1"/>
  <c r="AE197" i="8"/>
  <c r="AI198" i="1"/>
  <c r="AF197" i="8"/>
  <c r="AG198" i="1"/>
  <c r="AD197" i="8"/>
  <c r="E288" i="1"/>
  <c r="AQ287" i="1"/>
  <c r="AR287" i="1" s="1"/>
  <c r="AS287" i="1" s="1"/>
  <c r="AC199" i="1" l="1"/>
  <c r="AF198" i="1"/>
  <c r="L201" i="1"/>
  <c r="AJ200" i="1"/>
  <c r="AT200" i="1" s="1"/>
  <c r="N1679" i="1"/>
  <c r="Z1676" i="1"/>
  <c r="Y1676" i="1"/>
  <c r="N468" i="1"/>
  <c r="Y467" i="1"/>
  <c r="Z467" i="1"/>
  <c r="AG199" i="1"/>
  <c r="AD198" i="8"/>
  <c r="AI199" i="1"/>
  <c r="AF198" i="8"/>
  <c r="AH199" i="1"/>
  <c r="AE198" i="8"/>
  <c r="E289" i="1"/>
  <c r="AQ288" i="1"/>
  <c r="AR288" i="1" s="1"/>
  <c r="AS288" i="1" s="1"/>
  <c r="AC200" i="1" l="1"/>
  <c r="AF199" i="1"/>
  <c r="L202" i="1"/>
  <c r="AJ201" i="1"/>
  <c r="AT201" i="1" s="1"/>
  <c r="N471" i="1"/>
  <c r="Y468" i="1"/>
  <c r="Z468" i="1"/>
  <c r="N1681" i="1"/>
  <c r="Y1679" i="1"/>
  <c r="Z1679" i="1"/>
  <c r="AH200" i="1"/>
  <c r="AE199" i="8"/>
  <c r="AI200" i="1"/>
  <c r="AF199" i="8"/>
  <c r="AG200" i="1"/>
  <c r="AD199" i="8"/>
  <c r="E290" i="1"/>
  <c r="AQ289" i="1"/>
  <c r="AR289" i="1" s="1"/>
  <c r="AS289" i="1" s="1"/>
  <c r="AC201" i="1" l="1"/>
  <c r="AF200" i="1"/>
  <c r="L203" i="1"/>
  <c r="AJ202" i="1"/>
  <c r="AT202" i="1" s="1"/>
  <c r="N1682" i="1"/>
  <c r="Y1681" i="1"/>
  <c r="Z1681" i="1"/>
  <c r="N472" i="1"/>
  <c r="Y471" i="1"/>
  <c r="Z471" i="1"/>
  <c r="AG201" i="1"/>
  <c r="AD200" i="8"/>
  <c r="AI201" i="1"/>
  <c r="AF200" i="8"/>
  <c r="AH201" i="1"/>
  <c r="AE200" i="8"/>
  <c r="E291" i="1"/>
  <c r="AQ290" i="1"/>
  <c r="AR290" i="1" s="1"/>
  <c r="AS290" i="1" s="1"/>
  <c r="AC202" i="1" l="1"/>
  <c r="AF201" i="1"/>
  <c r="L204" i="1"/>
  <c r="AJ203" i="1"/>
  <c r="AT203" i="1" s="1"/>
  <c r="N476" i="1"/>
  <c r="Z472" i="1"/>
  <c r="Y472" i="1"/>
  <c r="N1683" i="1"/>
  <c r="Y1682" i="1"/>
  <c r="Z1682" i="1"/>
  <c r="AH202" i="1"/>
  <c r="AE201" i="8"/>
  <c r="AI202" i="1"/>
  <c r="AF201" i="8"/>
  <c r="AG202" i="1"/>
  <c r="AD201" i="8"/>
  <c r="E292" i="1"/>
  <c r="AQ291" i="1"/>
  <c r="AR291" i="1" s="1"/>
  <c r="AS291" i="1" s="1"/>
  <c r="AC203" i="1" l="1"/>
  <c r="AF202" i="1"/>
  <c r="L205" i="1"/>
  <c r="AJ204" i="1"/>
  <c r="AT204" i="1" s="1"/>
  <c r="N1685" i="1"/>
  <c r="Y1683" i="1"/>
  <c r="Z1683" i="1"/>
  <c r="N478" i="1"/>
  <c r="Y476" i="1"/>
  <c r="Z476" i="1"/>
  <c r="AG203" i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G479" i="1" s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G497" i="1" s="1"/>
  <c r="AG498" i="1" s="1"/>
  <c r="AG499" i="1" s="1"/>
  <c r="AG500" i="1" s="1"/>
  <c r="AG501" i="1" s="1"/>
  <c r="AG502" i="1" s="1"/>
  <c r="AG503" i="1" s="1"/>
  <c r="AG504" i="1" s="1"/>
  <c r="AG505" i="1" s="1"/>
  <c r="AG506" i="1" s="1"/>
  <c r="AG507" i="1" s="1"/>
  <c r="AG508" i="1" s="1"/>
  <c r="AG509" i="1" s="1"/>
  <c r="AG510" i="1" s="1"/>
  <c r="AG511" i="1" s="1"/>
  <c r="AG512" i="1" s="1"/>
  <c r="AG513" i="1" s="1"/>
  <c r="AG514" i="1" s="1"/>
  <c r="AG515" i="1" s="1"/>
  <c r="AG516" i="1" s="1"/>
  <c r="AG517" i="1" s="1"/>
  <c r="AG518" i="1" s="1"/>
  <c r="AG519" i="1" s="1"/>
  <c r="AG520" i="1" s="1"/>
  <c r="AG521" i="1" s="1"/>
  <c r="AG522" i="1" s="1"/>
  <c r="AG523" i="1" s="1"/>
  <c r="AG524" i="1" s="1"/>
  <c r="AG525" i="1" s="1"/>
  <c r="AG526" i="1" s="1"/>
  <c r="AG527" i="1" s="1"/>
  <c r="AG528" i="1" s="1"/>
  <c r="AG529" i="1" s="1"/>
  <c r="AG530" i="1" s="1"/>
  <c r="AG531" i="1" s="1"/>
  <c r="AG532" i="1" s="1"/>
  <c r="AG533" i="1" s="1"/>
  <c r="AG534" i="1" s="1"/>
  <c r="AG535" i="1" s="1"/>
  <c r="AG536" i="1" s="1"/>
  <c r="AG537" i="1" s="1"/>
  <c r="AG538" i="1" s="1"/>
  <c r="AG539" i="1" s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6" i="1" s="1"/>
  <c r="AG557" i="1" s="1"/>
  <c r="AG558" i="1" s="1"/>
  <c r="AG559" i="1" s="1"/>
  <c r="AG560" i="1" s="1"/>
  <c r="AG561" i="1" s="1"/>
  <c r="AG562" i="1" s="1"/>
  <c r="AG563" i="1" s="1"/>
  <c r="AG564" i="1" s="1"/>
  <c r="AG565" i="1" s="1"/>
  <c r="AG566" i="1" s="1"/>
  <c r="AG567" i="1" s="1"/>
  <c r="AG568" i="1" s="1"/>
  <c r="AG569" i="1" s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G582" i="1" s="1"/>
  <c r="AG583" i="1" s="1"/>
  <c r="AG584" i="1" s="1"/>
  <c r="AG585" i="1" s="1"/>
  <c r="AG586" i="1" s="1"/>
  <c r="AG587" i="1" s="1"/>
  <c r="AG588" i="1" s="1"/>
  <c r="AG589" i="1" s="1"/>
  <c r="AG590" i="1" s="1"/>
  <c r="AG591" i="1" s="1"/>
  <c r="AG592" i="1" s="1"/>
  <c r="AG593" i="1" s="1"/>
  <c r="AG594" i="1" s="1"/>
  <c r="AG595" i="1" s="1"/>
  <c r="AG596" i="1" s="1"/>
  <c r="AG597" i="1" s="1"/>
  <c r="AG598" i="1" s="1"/>
  <c r="AG599" i="1" s="1"/>
  <c r="AG600" i="1" s="1"/>
  <c r="AG601" i="1" s="1"/>
  <c r="AG602" i="1" s="1"/>
  <c r="AG603" i="1" s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6" i="1" s="1"/>
  <c r="AG617" i="1" s="1"/>
  <c r="AG618" i="1" s="1"/>
  <c r="AG619" i="1" s="1"/>
  <c r="AG620" i="1" s="1"/>
  <c r="AG621" i="1" s="1"/>
  <c r="AG622" i="1" s="1"/>
  <c r="AG623" i="1" s="1"/>
  <c r="AG624" i="1" s="1"/>
  <c r="AG625" i="1" s="1"/>
  <c r="AG626" i="1" s="1"/>
  <c r="AG627" i="1" s="1"/>
  <c r="AG628" i="1" s="1"/>
  <c r="AG629" i="1" s="1"/>
  <c r="AG630" i="1" s="1"/>
  <c r="AG631" i="1" s="1"/>
  <c r="AG632" i="1" s="1"/>
  <c r="AG633" i="1" s="1"/>
  <c r="AG634" i="1" s="1"/>
  <c r="AG635" i="1" s="1"/>
  <c r="AG636" i="1" s="1"/>
  <c r="AG637" i="1" s="1"/>
  <c r="AG638" i="1" s="1"/>
  <c r="AG639" i="1" s="1"/>
  <c r="AG640" i="1" s="1"/>
  <c r="AG641" i="1" s="1"/>
  <c r="AG642" i="1" s="1"/>
  <c r="AG643" i="1" s="1"/>
  <c r="AG644" i="1" s="1"/>
  <c r="AG645" i="1" s="1"/>
  <c r="AG646" i="1" s="1"/>
  <c r="AG647" i="1" s="1"/>
  <c r="AG648" i="1" s="1"/>
  <c r="AG649" i="1" s="1"/>
  <c r="AG650" i="1" s="1"/>
  <c r="AG651" i="1" s="1"/>
  <c r="AG652" i="1" s="1"/>
  <c r="AG653" i="1" s="1"/>
  <c r="AG654" i="1" s="1"/>
  <c r="AG655" i="1" s="1"/>
  <c r="AG656" i="1" s="1"/>
  <c r="AG657" i="1" s="1"/>
  <c r="AG658" i="1" s="1"/>
  <c r="AG659" i="1" s="1"/>
  <c r="AG660" i="1" s="1"/>
  <c r="AG661" i="1" s="1"/>
  <c r="AG662" i="1" s="1"/>
  <c r="AG663" i="1" s="1"/>
  <c r="AG664" i="1" s="1"/>
  <c r="AG665" i="1" s="1"/>
  <c r="AG666" i="1" s="1"/>
  <c r="AG667" i="1" s="1"/>
  <c r="AG668" i="1" s="1"/>
  <c r="AG669" i="1" s="1"/>
  <c r="AG670" i="1" s="1"/>
  <c r="AG671" i="1" s="1"/>
  <c r="AG672" i="1" s="1"/>
  <c r="AG673" i="1" s="1"/>
  <c r="AG674" i="1" s="1"/>
  <c r="AG675" i="1" s="1"/>
  <c r="AG676" i="1" s="1"/>
  <c r="AG677" i="1" s="1"/>
  <c r="AG678" i="1" s="1"/>
  <c r="AG679" i="1" s="1"/>
  <c r="AG680" i="1" s="1"/>
  <c r="AG681" i="1" s="1"/>
  <c r="AG682" i="1" s="1"/>
  <c r="AG683" i="1" s="1"/>
  <c r="AG684" i="1" s="1"/>
  <c r="AG685" i="1" s="1"/>
  <c r="AG686" i="1" s="1"/>
  <c r="AG687" i="1" s="1"/>
  <c r="AG688" i="1" s="1"/>
  <c r="AG689" i="1" s="1"/>
  <c r="AG690" i="1" s="1"/>
  <c r="AG691" i="1" s="1"/>
  <c r="AG692" i="1" s="1"/>
  <c r="AG693" i="1" s="1"/>
  <c r="AG694" i="1" s="1"/>
  <c r="AG695" i="1" s="1"/>
  <c r="AG696" i="1" s="1"/>
  <c r="AG697" i="1" s="1"/>
  <c r="AG698" i="1" s="1"/>
  <c r="AG699" i="1" s="1"/>
  <c r="AG700" i="1" s="1"/>
  <c r="AG701" i="1" s="1"/>
  <c r="AG702" i="1" s="1"/>
  <c r="AG703" i="1" s="1"/>
  <c r="AG704" i="1" s="1"/>
  <c r="AG705" i="1" s="1"/>
  <c r="AG706" i="1" s="1"/>
  <c r="AG707" i="1" s="1"/>
  <c r="AG708" i="1" s="1"/>
  <c r="AG709" i="1" s="1"/>
  <c r="AG710" i="1" s="1"/>
  <c r="AG711" i="1" s="1"/>
  <c r="AG712" i="1" s="1"/>
  <c r="AG713" i="1" s="1"/>
  <c r="AG714" i="1" s="1"/>
  <c r="AG715" i="1" s="1"/>
  <c r="AG716" i="1" s="1"/>
  <c r="AG717" i="1" s="1"/>
  <c r="AG718" i="1" s="1"/>
  <c r="AG719" i="1" s="1"/>
  <c r="AG720" i="1" s="1"/>
  <c r="AG721" i="1" s="1"/>
  <c r="AG722" i="1" s="1"/>
  <c r="AG723" i="1" s="1"/>
  <c r="AG724" i="1" s="1"/>
  <c r="AG725" i="1" s="1"/>
  <c r="AG726" i="1" s="1"/>
  <c r="AG727" i="1" s="1"/>
  <c r="AG728" i="1" s="1"/>
  <c r="AG729" i="1" s="1"/>
  <c r="AG730" i="1" s="1"/>
  <c r="AG731" i="1" s="1"/>
  <c r="AG732" i="1" s="1"/>
  <c r="AG733" i="1" s="1"/>
  <c r="AG734" i="1" s="1"/>
  <c r="AG735" i="1" s="1"/>
  <c r="AG736" i="1" s="1"/>
  <c r="AG737" i="1" s="1"/>
  <c r="AG738" i="1" s="1"/>
  <c r="AG739" i="1" s="1"/>
  <c r="AG740" i="1" s="1"/>
  <c r="AG741" i="1" s="1"/>
  <c r="AG742" i="1" s="1"/>
  <c r="AG743" i="1" s="1"/>
  <c r="AG744" i="1" s="1"/>
  <c r="AG745" i="1" s="1"/>
  <c r="AG746" i="1" s="1"/>
  <c r="AG747" i="1" s="1"/>
  <c r="AG748" i="1" s="1"/>
  <c r="AG749" i="1" s="1"/>
  <c r="AG750" i="1" s="1"/>
  <c r="AG751" i="1" s="1"/>
  <c r="AG752" i="1" s="1"/>
  <c r="AG753" i="1" s="1"/>
  <c r="AG754" i="1" s="1"/>
  <c r="AG755" i="1" s="1"/>
  <c r="AG756" i="1" s="1"/>
  <c r="AG757" i="1" s="1"/>
  <c r="AG758" i="1" s="1"/>
  <c r="AG759" i="1" s="1"/>
  <c r="AG760" i="1" s="1"/>
  <c r="AG761" i="1" s="1"/>
  <c r="AG762" i="1" s="1"/>
  <c r="AG763" i="1" s="1"/>
  <c r="AG764" i="1" s="1"/>
  <c r="AG765" i="1" s="1"/>
  <c r="AG766" i="1" s="1"/>
  <c r="AG767" i="1" s="1"/>
  <c r="AG768" i="1" s="1"/>
  <c r="AG769" i="1" s="1"/>
  <c r="AG770" i="1" s="1"/>
  <c r="AG771" i="1" s="1"/>
  <c r="AG772" i="1" s="1"/>
  <c r="AG773" i="1" s="1"/>
  <c r="AG774" i="1" s="1"/>
  <c r="AG775" i="1" s="1"/>
  <c r="AG776" i="1" s="1"/>
  <c r="AG777" i="1" s="1"/>
  <c r="AG778" i="1" s="1"/>
  <c r="AG779" i="1" s="1"/>
  <c r="AG780" i="1" s="1"/>
  <c r="AG781" i="1" s="1"/>
  <c r="AG782" i="1" s="1"/>
  <c r="AG783" i="1" s="1"/>
  <c r="AG784" i="1" s="1"/>
  <c r="AG785" i="1" s="1"/>
  <c r="AG786" i="1" s="1"/>
  <c r="AG787" i="1" s="1"/>
  <c r="AG788" i="1" s="1"/>
  <c r="AG789" i="1" s="1"/>
  <c r="AG790" i="1" s="1"/>
  <c r="AG791" i="1" s="1"/>
  <c r="AG792" i="1" s="1"/>
  <c r="AG793" i="1" s="1"/>
  <c r="AG794" i="1" s="1"/>
  <c r="AG795" i="1" s="1"/>
  <c r="AG796" i="1" s="1"/>
  <c r="AG797" i="1" s="1"/>
  <c r="AG798" i="1" s="1"/>
  <c r="AG799" i="1" s="1"/>
  <c r="AG800" i="1" s="1"/>
  <c r="AG801" i="1" s="1"/>
  <c r="AG802" i="1" s="1"/>
  <c r="AG803" i="1" s="1"/>
  <c r="AG804" i="1" s="1"/>
  <c r="AG805" i="1" s="1"/>
  <c r="AG806" i="1" s="1"/>
  <c r="AG807" i="1" s="1"/>
  <c r="AG808" i="1" s="1"/>
  <c r="AG809" i="1" s="1"/>
  <c r="AG810" i="1" s="1"/>
  <c r="AG811" i="1" s="1"/>
  <c r="AG812" i="1" s="1"/>
  <c r="AG813" i="1" s="1"/>
  <c r="AG814" i="1" s="1"/>
  <c r="AG815" i="1" s="1"/>
  <c r="AG816" i="1" s="1"/>
  <c r="AG817" i="1" s="1"/>
  <c r="AG818" i="1" s="1"/>
  <c r="AG819" i="1" s="1"/>
  <c r="AG820" i="1" s="1"/>
  <c r="AG821" i="1" s="1"/>
  <c r="AG822" i="1" s="1"/>
  <c r="AG823" i="1" s="1"/>
  <c r="AG824" i="1" s="1"/>
  <c r="AG825" i="1" s="1"/>
  <c r="AG826" i="1" s="1"/>
  <c r="AG827" i="1" s="1"/>
  <c r="AG828" i="1" s="1"/>
  <c r="AG829" i="1" s="1"/>
  <c r="AG830" i="1" s="1"/>
  <c r="AG831" i="1" s="1"/>
  <c r="AG832" i="1" s="1"/>
  <c r="AG833" i="1" s="1"/>
  <c r="AG834" i="1" s="1"/>
  <c r="AG835" i="1" s="1"/>
  <c r="AG836" i="1" s="1"/>
  <c r="AG837" i="1" s="1"/>
  <c r="AG838" i="1" s="1"/>
  <c r="AG839" i="1" s="1"/>
  <c r="AG840" i="1" s="1"/>
  <c r="AG841" i="1" s="1"/>
  <c r="AG842" i="1" s="1"/>
  <c r="AG843" i="1" s="1"/>
  <c r="AG844" i="1" s="1"/>
  <c r="AG845" i="1" s="1"/>
  <c r="AG846" i="1" s="1"/>
  <c r="AG847" i="1" s="1"/>
  <c r="AG848" i="1" s="1"/>
  <c r="AG849" i="1" s="1"/>
  <c r="AG850" i="1" s="1"/>
  <c r="AG851" i="1" s="1"/>
  <c r="AG852" i="1" s="1"/>
  <c r="AG853" i="1" s="1"/>
  <c r="AG854" i="1" s="1"/>
  <c r="AG855" i="1" s="1"/>
  <c r="AG856" i="1" s="1"/>
  <c r="AG857" i="1" s="1"/>
  <c r="AG858" i="1" s="1"/>
  <c r="AG859" i="1" s="1"/>
  <c r="AG860" i="1" s="1"/>
  <c r="AG861" i="1" s="1"/>
  <c r="AG862" i="1" s="1"/>
  <c r="AG863" i="1" s="1"/>
  <c r="AG864" i="1" s="1"/>
  <c r="AG865" i="1" s="1"/>
  <c r="AG866" i="1" s="1"/>
  <c r="AG867" i="1" s="1"/>
  <c r="AG868" i="1" s="1"/>
  <c r="AG869" i="1" s="1"/>
  <c r="AG870" i="1" s="1"/>
  <c r="AG871" i="1" s="1"/>
  <c r="AG872" i="1" s="1"/>
  <c r="AG873" i="1" s="1"/>
  <c r="AG874" i="1" s="1"/>
  <c r="AG875" i="1" s="1"/>
  <c r="AG876" i="1" s="1"/>
  <c r="AG877" i="1" s="1"/>
  <c r="AG878" i="1" s="1"/>
  <c r="AG879" i="1" s="1"/>
  <c r="AG880" i="1" s="1"/>
  <c r="AG881" i="1" s="1"/>
  <c r="AG882" i="1" s="1"/>
  <c r="AG883" i="1" s="1"/>
  <c r="AG884" i="1" s="1"/>
  <c r="AG885" i="1" s="1"/>
  <c r="AG886" i="1" s="1"/>
  <c r="AG887" i="1" s="1"/>
  <c r="AG888" i="1" s="1"/>
  <c r="AG889" i="1" s="1"/>
  <c r="AG890" i="1" s="1"/>
  <c r="AG891" i="1" s="1"/>
  <c r="AG892" i="1" s="1"/>
  <c r="AG893" i="1" s="1"/>
  <c r="AG894" i="1" s="1"/>
  <c r="AG895" i="1" s="1"/>
  <c r="AG896" i="1" s="1"/>
  <c r="AG897" i="1" s="1"/>
  <c r="AG898" i="1" s="1"/>
  <c r="AG899" i="1" s="1"/>
  <c r="AG900" i="1" s="1"/>
  <c r="AG901" i="1" s="1"/>
  <c r="AG902" i="1" s="1"/>
  <c r="AG903" i="1" s="1"/>
  <c r="AG904" i="1" s="1"/>
  <c r="AG905" i="1" s="1"/>
  <c r="AG906" i="1" s="1"/>
  <c r="AG907" i="1" s="1"/>
  <c r="AG908" i="1" s="1"/>
  <c r="AG909" i="1" s="1"/>
  <c r="AG910" i="1" s="1"/>
  <c r="AG911" i="1" s="1"/>
  <c r="AG912" i="1" s="1"/>
  <c r="AG913" i="1" s="1"/>
  <c r="AG914" i="1" s="1"/>
  <c r="AG915" i="1" s="1"/>
  <c r="AG916" i="1" s="1"/>
  <c r="AG917" i="1" s="1"/>
  <c r="AG918" i="1" s="1"/>
  <c r="AG919" i="1" s="1"/>
  <c r="AG920" i="1" s="1"/>
  <c r="AG921" i="1" s="1"/>
  <c r="AG922" i="1" s="1"/>
  <c r="AG923" i="1" s="1"/>
  <c r="AG924" i="1" s="1"/>
  <c r="AG925" i="1" s="1"/>
  <c r="AG926" i="1" s="1"/>
  <c r="AD202" i="8"/>
  <c r="AI203" i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AI428" i="1" s="1"/>
  <c r="AI429" i="1" s="1"/>
  <c r="AI430" i="1" s="1"/>
  <c r="AI431" i="1" s="1"/>
  <c r="AI432" i="1" s="1"/>
  <c r="AI433" i="1" s="1"/>
  <c r="AI434" i="1" s="1"/>
  <c r="AI435" i="1" s="1"/>
  <c r="AI436" i="1" s="1"/>
  <c r="AI437" i="1" s="1"/>
  <c r="AI438" i="1" s="1"/>
  <c r="AI439" i="1" s="1"/>
  <c r="AI440" i="1" s="1"/>
  <c r="AI441" i="1" s="1"/>
  <c r="AI442" i="1" s="1"/>
  <c r="AI443" i="1" s="1"/>
  <c r="AI444" i="1" s="1"/>
  <c r="AI445" i="1" s="1"/>
  <c r="AI446" i="1" s="1"/>
  <c r="AI447" i="1" s="1"/>
  <c r="AI448" i="1" s="1"/>
  <c r="AI449" i="1" s="1"/>
  <c r="AI450" i="1" s="1"/>
  <c r="AI451" i="1" s="1"/>
  <c r="AI452" i="1" s="1"/>
  <c r="AI453" i="1" s="1"/>
  <c r="AI454" i="1" s="1"/>
  <c r="AI455" i="1" s="1"/>
  <c r="AI456" i="1" s="1"/>
  <c r="AI457" i="1" s="1"/>
  <c r="AI458" i="1" s="1"/>
  <c r="AI459" i="1" s="1"/>
  <c r="AI460" i="1" s="1"/>
  <c r="AI461" i="1" s="1"/>
  <c r="AI462" i="1" s="1"/>
  <c r="AI463" i="1" s="1"/>
  <c r="AI464" i="1" s="1"/>
  <c r="AI465" i="1" s="1"/>
  <c r="AI466" i="1" s="1"/>
  <c r="AI467" i="1" s="1"/>
  <c r="AI468" i="1" s="1"/>
  <c r="AI469" i="1" s="1"/>
  <c r="AI470" i="1" s="1"/>
  <c r="AI471" i="1" s="1"/>
  <c r="AI472" i="1" s="1"/>
  <c r="AI473" i="1" s="1"/>
  <c r="AI474" i="1" s="1"/>
  <c r="AI475" i="1" s="1"/>
  <c r="AI476" i="1" s="1"/>
  <c r="AI477" i="1" s="1"/>
  <c r="AI478" i="1" s="1"/>
  <c r="AI479" i="1" s="1"/>
  <c r="AI480" i="1" s="1"/>
  <c r="AI481" i="1" s="1"/>
  <c r="AI482" i="1" s="1"/>
  <c r="AI483" i="1" s="1"/>
  <c r="AI484" i="1" s="1"/>
  <c r="AI485" i="1" s="1"/>
  <c r="AI486" i="1" s="1"/>
  <c r="AI487" i="1" s="1"/>
  <c r="AI488" i="1" s="1"/>
  <c r="AI489" i="1" s="1"/>
  <c r="AI490" i="1" s="1"/>
  <c r="AI491" i="1" s="1"/>
  <c r="AI492" i="1" s="1"/>
  <c r="AI493" i="1" s="1"/>
  <c r="AI494" i="1" s="1"/>
  <c r="AI495" i="1" s="1"/>
  <c r="AI496" i="1" s="1"/>
  <c r="AI497" i="1" s="1"/>
  <c r="AI498" i="1" s="1"/>
  <c r="AI499" i="1" s="1"/>
  <c r="AI500" i="1" s="1"/>
  <c r="AI501" i="1" s="1"/>
  <c r="AI502" i="1" s="1"/>
  <c r="AI503" i="1" s="1"/>
  <c r="AI504" i="1" s="1"/>
  <c r="AI505" i="1" s="1"/>
  <c r="AI506" i="1" s="1"/>
  <c r="AI507" i="1" s="1"/>
  <c r="AI508" i="1" s="1"/>
  <c r="AI509" i="1" s="1"/>
  <c r="AI510" i="1" s="1"/>
  <c r="AI511" i="1" s="1"/>
  <c r="AI512" i="1" s="1"/>
  <c r="AI513" i="1" s="1"/>
  <c r="AI514" i="1" s="1"/>
  <c r="AI515" i="1" s="1"/>
  <c r="AI516" i="1" s="1"/>
  <c r="AI517" i="1" s="1"/>
  <c r="AI518" i="1" s="1"/>
  <c r="AI519" i="1" s="1"/>
  <c r="AI520" i="1" s="1"/>
  <c r="AI521" i="1" s="1"/>
  <c r="AI522" i="1" s="1"/>
  <c r="AI523" i="1" s="1"/>
  <c r="AI524" i="1" s="1"/>
  <c r="AI525" i="1" s="1"/>
  <c r="AI526" i="1" s="1"/>
  <c r="AI527" i="1" s="1"/>
  <c r="AI528" i="1" s="1"/>
  <c r="AI529" i="1" s="1"/>
  <c r="AI530" i="1" s="1"/>
  <c r="AI531" i="1" s="1"/>
  <c r="AI532" i="1" s="1"/>
  <c r="AI533" i="1" s="1"/>
  <c r="AI534" i="1" s="1"/>
  <c r="AI535" i="1" s="1"/>
  <c r="AI536" i="1" s="1"/>
  <c r="AI537" i="1" s="1"/>
  <c r="AI538" i="1" s="1"/>
  <c r="AI539" i="1" s="1"/>
  <c r="AI540" i="1" s="1"/>
  <c r="AI541" i="1" s="1"/>
  <c r="AI542" i="1" s="1"/>
  <c r="AI543" i="1" s="1"/>
  <c r="AI544" i="1" s="1"/>
  <c r="AI545" i="1" s="1"/>
  <c r="AI546" i="1" s="1"/>
  <c r="AI547" i="1" s="1"/>
  <c r="AI548" i="1" s="1"/>
  <c r="AI549" i="1" s="1"/>
  <c r="AI550" i="1" s="1"/>
  <c r="AI551" i="1" s="1"/>
  <c r="AI552" i="1" s="1"/>
  <c r="AI553" i="1" s="1"/>
  <c r="AI554" i="1" s="1"/>
  <c r="AI555" i="1" s="1"/>
  <c r="AI556" i="1" s="1"/>
  <c r="AI557" i="1" s="1"/>
  <c r="AI558" i="1" s="1"/>
  <c r="AI559" i="1" s="1"/>
  <c r="AI560" i="1" s="1"/>
  <c r="AI561" i="1" s="1"/>
  <c r="AI562" i="1" s="1"/>
  <c r="AI563" i="1" s="1"/>
  <c r="AI564" i="1" s="1"/>
  <c r="AI565" i="1" s="1"/>
  <c r="AI566" i="1" s="1"/>
  <c r="AI567" i="1" s="1"/>
  <c r="AI568" i="1" s="1"/>
  <c r="AI569" i="1" s="1"/>
  <c r="AI570" i="1" s="1"/>
  <c r="AI571" i="1" s="1"/>
  <c r="AI572" i="1" s="1"/>
  <c r="AI573" i="1" s="1"/>
  <c r="AI574" i="1" s="1"/>
  <c r="AI575" i="1" s="1"/>
  <c r="AI576" i="1" s="1"/>
  <c r="AI577" i="1" s="1"/>
  <c r="AI578" i="1" s="1"/>
  <c r="AI579" i="1" s="1"/>
  <c r="AI580" i="1" s="1"/>
  <c r="AI581" i="1" s="1"/>
  <c r="AI582" i="1" s="1"/>
  <c r="AI583" i="1" s="1"/>
  <c r="AI584" i="1" s="1"/>
  <c r="AI585" i="1" s="1"/>
  <c r="AI586" i="1" s="1"/>
  <c r="AI587" i="1" s="1"/>
  <c r="AI588" i="1" s="1"/>
  <c r="AI589" i="1" s="1"/>
  <c r="AI590" i="1" s="1"/>
  <c r="AI591" i="1" s="1"/>
  <c r="AI592" i="1" s="1"/>
  <c r="AI593" i="1" s="1"/>
  <c r="AI594" i="1" s="1"/>
  <c r="AI595" i="1" s="1"/>
  <c r="AI596" i="1" s="1"/>
  <c r="AI597" i="1" s="1"/>
  <c r="AI598" i="1" s="1"/>
  <c r="AI599" i="1" s="1"/>
  <c r="AI600" i="1" s="1"/>
  <c r="AI601" i="1" s="1"/>
  <c r="AI602" i="1" s="1"/>
  <c r="AI603" i="1" s="1"/>
  <c r="AI604" i="1" s="1"/>
  <c r="AI605" i="1" s="1"/>
  <c r="AI606" i="1" s="1"/>
  <c r="AI607" i="1" s="1"/>
  <c r="AI608" i="1" s="1"/>
  <c r="AI609" i="1" s="1"/>
  <c r="AI610" i="1" s="1"/>
  <c r="AI611" i="1" s="1"/>
  <c r="AI612" i="1" s="1"/>
  <c r="AI613" i="1" s="1"/>
  <c r="AI614" i="1" s="1"/>
  <c r="AI615" i="1" s="1"/>
  <c r="AI616" i="1" s="1"/>
  <c r="AI617" i="1" s="1"/>
  <c r="AI618" i="1" s="1"/>
  <c r="AI619" i="1" s="1"/>
  <c r="AI620" i="1" s="1"/>
  <c r="AI621" i="1" s="1"/>
  <c r="AI622" i="1" s="1"/>
  <c r="AI623" i="1" s="1"/>
  <c r="AI624" i="1" s="1"/>
  <c r="AI625" i="1" s="1"/>
  <c r="AI626" i="1" s="1"/>
  <c r="AI627" i="1" s="1"/>
  <c r="AI628" i="1" s="1"/>
  <c r="AI629" i="1" s="1"/>
  <c r="AI630" i="1" s="1"/>
  <c r="AI631" i="1" s="1"/>
  <c r="AI632" i="1" s="1"/>
  <c r="AI633" i="1" s="1"/>
  <c r="AI634" i="1" s="1"/>
  <c r="AI635" i="1" s="1"/>
  <c r="AI636" i="1" s="1"/>
  <c r="AI637" i="1" s="1"/>
  <c r="AI638" i="1" s="1"/>
  <c r="AI639" i="1" s="1"/>
  <c r="AI640" i="1" s="1"/>
  <c r="AI641" i="1" s="1"/>
  <c r="AI642" i="1" s="1"/>
  <c r="AI643" i="1" s="1"/>
  <c r="AI644" i="1" s="1"/>
  <c r="AI645" i="1" s="1"/>
  <c r="AI646" i="1" s="1"/>
  <c r="AI647" i="1" s="1"/>
  <c r="AI648" i="1" s="1"/>
  <c r="AI649" i="1" s="1"/>
  <c r="AI650" i="1" s="1"/>
  <c r="AI651" i="1" s="1"/>
  <c r="AI652" i="1" s="1"/>
  <c r="AI653" i="1" s="1"/>
  <c r="AI654" i="1" s="1"/>
  <c r="AI655" i="1" s="1"/>
  <c r="AI656" i="1" s="1"/>
  <c r="AI657" i="1" s="1"/>
  <c r="AI658" i="1" s="1"/>
  <c r="AI659" i="1" s="1"/>
  <c r="AI660" i="1" s="1"/>
  <c r="AI661" i="1" s="1"/>
  <c r="AI662" i="1" s="1"/>
  <c r="AI663" i="1" s="1"/>
  <c r="AI664" i="1" s="1"/>
  <c r="AI665" i="1" s="1"/>
  <c r="AI666" i="1" s="1"/>
  <c r="AI667" i="1" s="1"/>
  <c r="AI668" i="1" s="1"/>
  <c r="AI669" i="1" s="1"/>
  <c r="AI670" i="1" s="1"/>
  <c r="AI671" i="1" s="1"/>
  <c r="AI672" i="1" s="1"/>
  <c r="AI673" i="1" s="1"/>
  <c r="AI674" i="1" s="1"/>
  <c r="AI675" i="1" s="1"/>
  <c r="AI676" i="1" s="1"/>
  <c r="AI677" i="1" s="1"/>
  <c r="AI678" i="1" s="1"/>
  <c r="AI679" i="1" s="1"/>
  <c r="AI680" i="1" s="1"/>
  <c r="AI681" i="1" s="1"/>
  <c r="AI682" i="1" s="1"/>
  <c r="AI683" i="1" s="1"/>
  <c r="AI684" i="1" s="1"/>
  <c r="AI685" i="1" s="1"/>
  <c r="AI686" i="1" s="1"/>
  <c r="AI687" i="1" s="1"/>
  <c r="AI688" i="1" s="1"/>
  <c r="AI689" i="1" s="1"/>
  <c r="AI690" i="1" s="1"/>
  <c r="AI691" i="1" s="1"/>
  <c r="AI692" i="1" s="1"/>
  <c r="AI693" i="1" s="1"/>
  <c r="AI694" i="1" s="1"/>
  <c r="AI695" i="1" s="1"/>
  <c r="AI696" i="1" s="1"/>
  <c r="AI697" i="1" s="1"/>
  <c r="AI698" i="1" s="1"/>
  <c r="AI699" i="1" s="1"/>
  <c r="AI700" i="1" s="1"/>
  <c r="AI701" i="1" s="1"/>
  <c r="AI702" i="1" s="1"/>
  <c r="AI703" i="1" s="1"/>
  <c r="AI704" i="1" s="1"/>
  <c r="AI705" i="1" s="1"/>
  <c r="AI706" i="1" s="1"/>
  <c r="AI707" i="1" s="1"/>
  <c r="AI708" i="1" s="1"/>
  <c r="AI709" i="1" s="1"/>
  <c r="AI710" i="1" s="1"/>
  <c r="AI711" i="1" s="1"/>
  <c r="AI712" i="1" s="1"/>
  <c r="AI713" i="1" s="1"/>
  <c r="AI714" i="1" s="1"/>
  <c r="AI715" i="1" s="1"/>
  <c r="AI716" i="1" s="1"/>
  <c r="AI717" i="1" s="1"/>
  <c r="AI718" i="1" s="1"/>
  <c r="AI719" i="1" s="1"/>
  <c r="AI720" i="1" s="1"/>
  <c r="AI721" i="1" s="1"/>
  <c r="AI722" i="1" s="1"/>
  <c r="AI723" i="1" s="1"/>
  <c r="AI724" i="1" s="1"/>
  <c r="AI725" i="1" s="1"/>
  <c r="AI726" i="1" s="1"/>
  <c r="AI727" i="1" s="1"/>
  <c r="AI728" i="1" s="1"/>
  <c r="AI729" i="1" s="1"/>
  <c r="AI730" i="1" s="1"/>
  <c r="AI731" i="1" s="1"/>
  <c r="AI732" i="1" s="1"/>
  <c r="AI733" i="1" s="1"/>
  <c r="AI734" i="1" s="1"/>
  <c r="AI735" i="1" s="1"/>
  <c r="AI736" i="1" s="1"/>
  <c r="AI737" i="1" s="1"/>
  <c r="AI738" i="1" s="1"/>
  <c r="AI739" i="1" s="1"/>
  <c r="AI740" i="1" s="1"/>
  <c r="AI741" i="1" s="1"/>
  <c r="AI742" i="1" s="1"/>
  <c r="AI743" i="1" s="1"/>
  <c r="AI744" i="1" s="1"/>
  <c r="AI745" i="1" s="1"/>
  <c r="AI746" i="1" s="1"/>
  <c r="AI747" i="1" s="1"/>
  <c r="AI748" i="1" s="1"/>
  <c r="AI749" i="1" s="1"/>
  <c r="AI750" i="1" s="1"/>
  <c r="AI751" i="1" s="1"/>
  <c r="AI752" i="1" s="1"/>
  <c r="AI753" i="1" s="1"/>
  <c r="AI754" i="1" s="1"/>
  <c r="AI755" i="1" s="1"/>
  <c r="AI756" i="1" s="1"/>
  <c r="AI757" i="1" s="1"/>
  <c r="AI758" i="1" s="1"/>
  <c r="AI759" i="1" s="1"/>
  <c r="AI760" i="1" s="1"/>
  <c r="AI761" i="1" s="1"/>
  <c r="AI762" i="1" s="1"/>
  <c r="AI763" i="1" s="1"/>
  <c r="AI764" i="1" s="1"/>
  <c r="AI765" i="1" s="1"/>
  <c r="AI766" i="1" s="1"/>
  <c r="AI767" i="1" s="1"/>
  <c r="AI768" i="1" s="1"/>
  <c r="AI769" i="1" s="1"/>
  <c r="AI770" i="1" s="1"/>
  <c r="AI771" i="1" s="1"/>
  <c r="AI772" i="1" s="1"/>
  <c r="AI773" i="1" s="1"/>
  <c r="AI774" i="1" s="1"/>
  <c r="AI775" i="1" s="1"/>
  <c r="AI776" i="1" s="1"/>
  <c r="AI777" i="1" s="1"/>
  <c r="AI778" i="1" s="1"/>
  <c r="AI779" i="1" s="1"/>
  <c r="AI780" i="1" s="1"/>
  <c r="AI781" i="1" s="1"/>
  <c r="AI782" i="1" s="1"/>
  <c r="AI783" i="1" s="1"/>
  <c r="AI784" i="1" s="1"/>
  <c r="AI785" i="1" s="1"/>
  <c r="AI786" i="1" s="1"/>
  <c r="AI787" i="1" s="1"/>
  <c r="AI788" i="1" s="1"/>
  <c r="AI789" i="1" s="1"/>
  <c r="AI790" i="1" s="1"/>
  <c r="AI791" i="1" s="1"/>
  <c r="AI792" i="1" s="1"/>
  <c r="AI793" i="1" s="1"/>
  <c r="AI794" i="1" s="1"/>
  <c r="AI795" i="1" s="1"/>
  <c r="AI796" i="1" s="1"/>
  <c r="AI797" i="1" s="1"/>
  <c r="AI798" i="1" s="1"/>
  <c r="AI799" i="1" s="1"/>
  <c r="AI800" i="1" s="1"/>
  <c r="AI801" i="1" s="1"/>
  <c r="AI802" i="1" s="1"/>
  <c r="AI803" i="1" s="1"/>
  <c r="AI804" i="1" s="1"/>
  <c r="AI805" i="1" s="1"/>
  <c r="AI806" i="1" s="1"/>
  <c r="AI807" i="1" s="1"/>
  <c r="AI808" i="1" s="1"/>
  <c r="AI809" i="1" s="1"/>
  <c r="AI810" i="1" s="1"/>
  <c r="AI811" i="1" s="1"/>
  <c r="AI812" i="1" s="1"/>
  <c r="AI813" i="1" s="1"/>
  <c r="AI814" i="1" s="1"/>
  <c r="AI815" i="1" s="1"/>
  <c r="AI816" i="1" s="1"/>
  <c r="AI817" i="1" s="1"/>
  <c r="AI818" i="1" s="1"/>
  <c r="AI819" i="1" s="1"/>
  <c r="AI820" i="1" s="1"/>
  <c r="AI821" i="1" s="1"/>
  <c r="AI822" i="1" s="1"/>
  <c r="AI823" i="1" s="1"/>
  <c r="AI824" i="1" s="1"/>
  <c r="AI825" i="1" s="1"/>
  <c r="AI826" i="1" s="1"/>
  <c r="AI827" i="1" s="1"/>
  <c r="AI828" i="1" s="1"/>
  <c r="AI829" i="1" s="1"/>
  <c r="AI830" i="1" s="1"/>
  <c r="AI831" i="1" s="1"/>
  <c r="AI832" i="1" s="1"/>
  <c r="AI833" i="1" s="1"/>
  <c r="AI834" i="1" s="1"/>
  <c r="AI835" i="1" s="1"/>
  <c r="AI836" i="1" s="1"/>
  <c r="AI837" i="1" s="1"/>
  <c r="AI838" i="1" s="1"/>
  <c r="AI839" i="1" s="1"/>
  <c r="AI840" i="1" s="1"/>
  <c r="AI841" i="1" s="1"/>
  <c r="AI842" i="1" s="1"/>
  <c r="AI843" i="1" s="1"/>
  <c r="AI844" i="1" s="1"/>
  <c r="AI845" i="1" s="1"/>
  <c r="AI846" i="1" s="1"/>
  <c r="AI847" i="1" s="1"/>
  <c r="AI848" i="1" s="1"/>
  <c r="AI849" i="1" s="1"/>
  <c r="AI850" i="1" s="1"/>
  <c r="AI851" i="1" s="1"/>
  <c r="AI852" i="1" s="1"/>
  <c r="AI853" i="1" s="1"/>
  <c r="AI854" i="1" s="1"/>
  <c r="AI855" i="1" s="1"/>
  <c r="AI856" i="1" s="1"/>
  <c r="AI857" i="1" s="1"/>
  <c r="AI858" i="1" s="1"/>
  <c r="AI859" i="1" s="1"/>
  <c r="AI860" i="1" s="1"/>
  <c r="AI861" i="1" s="1"/>
  <c r="AI862" i="1" s="1"/>
  <c r="AI863" i="1" s="1"/>
  <c r="AI864" i="1" s="1"/>
  <c r="AI865" i="1" s="1"/>
  <c r="AI866" i="1" s="1"/>
  <c r="AI867" i="1" s="1"/>
  <c r="AI868" i="1" s="1"/>
  <c r="AI869" i="1" s="1"/>
  <c r="AI870" i="1" s="1"/>
  <c r="AI871" i="1" s="1"/>
  <c r="AI872" i="1" s="1"/>
  <c r="AI873" i="1" s="1"/>
  <c r="AI874" i="1" s="1"/>
  <c r="AI875" i="1" s="1"/>
  <c r="AI876" i="1" s="1"/>
  <c r="AI877" i="1" s="1"/>
  <c r="AI878" i="1" s="1"/>
  <c r="AI879" i="1" s="1"/>
  <c r="AI880" i="1" s="1"/>
  <c r="AI881" i="1" s="1"/>
  <c r="AI882" i="1" s="1"/>
  <c r="AI883" i="1" s="1"/>
  <c r="AI884" i="1" s="1"/>
  <c r="AI885" i="1" s="1"/>
  <c r="AI886" i="1" s="1"/>
  <c r="AI887" i="1" s="1"/>
  <c r="AI888" i="1" s="1"/>
  <c r="AI889" i="1" s="1"/>
  <c r="AI890" i="1" s="1"/>
  <c r="AI891" i="1" s="1"/>
  <c r="AI892" i="1" s="1"/>
  <c r="AI893" i="1" s="1"/>
  <c r="AI894" i="1" s="1"/>
  <c r="AI895" i="1" s="1"/>
  <c r="AI896" i="1" s="1"/>
  <c r="AI897" i="1" s="1"/>
  <c r="AI898" i="1" s="1"/>
  <c r="AI899" i="1" s="1"/>
  <c r="AI900" i="1" s="1"/>
  <c r="AI901" i="1" s="1"/>
  <c r="AI902" i="1" s="1"/>
  <c r="AI903" i="1" s="1"/>
  <c r="AI904" i="1" s="1"/>
  <c r="AI905" i="1" s="1"/>
  <c r="AI906" i="1" s="1"/>
  <c r="AI907" i="1" s="1"/>
  <c r="AI908" i="1" s="1"/>
  <c r="AI909" i="1" s="1"/>
  <c r="AI910" i="1" s="1"/>
  <c r="AI911" i="1" s="1"/>
  <c r="AI912" i="1" s="1"/>
  <c r="AI913" i="1" s="1"/>
  <c r="AI914" i="1" s="1"/>
  <c r="AI915" i="1" s="1"/>
  <c r="AI916" i="1" s="1"/>
  <c r="AI917" i="1" s="1"/>
  <c r="AI918" i="1" s="1"/>
  <c r="AI919" i="1" s="1"/>
  <c r="AI920" i="1" s="1"/>
  <c r="AI921" i="1" s="1"/>
  <c r="AI922" i="1" s="1"/>
  <c r="AI923" i="1" s="1"/>
  <c r="AI924" i="1" s="1"/>
  <c r="AI925" i="1" s="1"/>
  <c r="AI926" i="1" s="1"/>
  <c r="AI927" i="1" s="1"/>
  <c r="AI928" i="1" s="1"/>
  <c r="AI929" i="1" s="1"/>
  <c r="AI930" i="1" s="1"/>
  <c r="AI931" i="1" s="1"/>
  <c r="AI932" i="1" s="1"/>
  <c r="AI933" i="1" s="1"/>
  <c r="AI934" i="1" s="1"/>
  <c r="AI935" i="1" s="1"/>
  <c r="AI936" i="1" s="1"/>
  <c r="AI937" i="1" s="1"/>
  <c r="AI938" i="1" s="1"/>
  <c r="AI939" i="1" s="1"/>
  <c r="AI940" i="1" s="1"/>
  <c r="AI941" i="1" s="1"/>
  <c r="AI942" i="1" s="1"/>
  <c r="AI943" i="1" s="1"/>
  <c r="AI944" i="1" s="1"/>
  <c r="AI945" i="1" s="1"/>
  <c r="AI946" i="1" s="1"/>
  <c r="AI947" i="1" s="1"/>
  <c r="AI948" i="1" s="1"/>
  <c r="AI949" i="1" s="1"/>
  <c r="AI950" i="1" s="1"/>
  <c r="AI951" i="1" s="1"/>
  <c r="AI952" i="1" s="1"/>
  <c r="AI953" i="1" s="1"/>
  <c r="AI954" i="1" s="1"/>
  <c r="AI955" i="1" s="1"/>
  <c r="AI956" i="1" s="1"/>
  <c r="AI957" i="1" s="1"/>
  <c r="AI958" i="1" s="1"/>
  <c r="AI959" i="1" s="1"/>
  <c r="AI960" i="1" s="1"/>
  <c r="AI961" i="1" s="1"/>
  <c r="AI962" i="1" s="1"/>
  <c r="AI963" i="1" s="1"/>
  <c r="AI964" i="1" s="1"/>
  <c r="AI965" i="1" s="1"/>
  <c r="AI966" i="1" s="1"/>
  <c r="AI967" i="1" s="1"/>
  <c r="AI968" i="1" s="1"/>
  <c r="AI969" i="1" s="1"/>
  <c r="AI970" i="1" s="1"/>
  <c r="AI971" i="1" s="1"/>
  <c r="AI972" i="1" s="1"/>
  <c r="AI973" i="1" s="1"/>
  <c r="AI974" i="1" s="1"/>
  <c r="AI975" i="1" s="1"/>
  <c r="AI976" i="1" s="1"/>
  <c r="AI977" i="1" s="1"/>
  <c r="AI978" i="1" s="1"/>
  <c r="AI979" i="1" s="1"/>
  <c r="AI980" i="1" s="1"/>
  <c r="AI981" i="1" s="1"/>
  <c r="AI982" i="1" s="1"/>
  <c r="AI983" i="1" s="1"/>
  <c r="AI984" i="1" s="1"/>
  <c r="AI985" i="1" s="1"/>
  <c r="AI986" i="1" s="1"/>
  <c r="AI987" i="1" s="1"/>
  <c r="AI988" i="1" s="1"/>
  <c r="AI989" i="1" s="1"/>
  <c r="AI990" i="1" s="1"/>
  <c r="AI991" i="1" s="1"/>
  <c r="AI992" i="1" s="1"/>
  <c r="AI993" i="1" s="1"/>
  <c r="AI994" i="1" s="1"/>
  <c r="AI995" i="1" s="1"/>
  <c r="AI996" i="1" s="1"/>
  <c r="AI997" i="1" s="1"/>
  <c r="AI998" i="1" s="1"/>
  <c r="AI999" i="1" s="1"/>
  <c r="AI1000" i="1" s="1"/>
  <c r="AI1001" i="1" s="1"/>
  <c r="AI1002" i="1" s="1"/>
  <c r="AI1003" i="1" s="1"/>
  <c r="AI1004" i="1" s="1"/>
  <c r="AI1005" i="1" s="1"/>
  <c r="AI1006" i="1" s="1"/>
  <c r="AI1007" i="1" s="1"/>
  <c r="AI1008" i="1" s="1"/>
  <c r="AI1009" i="1" s="1"/>
  <c r="AI1010" i="1" s="1"/>
  <c r="AI1011" i="1" s="1"/>
  <c r="AI1012" i="1" s="1"/>
  <c r="AI1013" i="1" s="1"/>
  <c r="AI1014" i="1" s="1"/>
  <c r="AI1015" i="1" s="1"/>
  <c r="AI1016" i="1" s="1"/>
  <c r="AI1017" i="1" s="1"/>
  <c r="AI1018" i="1" s="1"/>
  <c r="AI1019" i="1" s="1"/>
  <c r="AI1020" i="1" s="1"/>
  <c r="AI1021" i="1" s="1"/>
  <c r="AI1022" i="1" s="1"/>
  <c r="AI1023" i="1" s="1"/>
  <c r="AI1024" i="1" s="1"/>
  <c r="AI1025" i="1" s="1"/>
  <c r="AI1026" i="1" s="1"/>
  <c r="AI1027" i="1" s="1"/>
  <c r="AI1028" i="1" s="1"/>
  <c r="AI1029" i="1" s="1"/>
  <c r="AI1030" i="1" s="1"/>
  <c r="AI1031" i="1" s="1"/>
  <c r="AI1032" i="1" s="1"/>
  <c r="AI1033" i="1" s="1"/>
  <c r="AI1034" i="1" s="1"/>
  <c r="AI1035" i="1" s="1"/>
  <c r="AI1036" i="1" s="1"/>
  <c r="AI1037" i="1" s="1"/>
  <c r="AI1038" i="1" s="1"/>
  <c r="AI1039" i="1" s="1"/>
  <c r="AI1040" i="1" s="1"/>
  <c r="AI1041" i="1" s="1"/>
  <c r="AI1042" i="1" s="1"/>
  <c r="AI1043" i="1" s="1"/>
  <c r="AI1044" i="1" s="1"/>
  <c r="AI1045" i="1" s="1"/>
  <c r="AI1046" i="1" s="1"/>
  <c r="AI1047" i="1" s="1"/>
  <c r="AI1048" i="1" s="1"/>
  <c r="AI1049" i="1" s="1"/>
  <c r="AI1050" i="1" s="1"/>
  <c r="AI1051" i="1" s="1"/>
  <c r="AI1052" i="1" s="1"/>
  <c r="AI1053" i="1" s="1"/>
  <c r="AI1054" i="1" s="1"/>
  <c r="AI1055" i="1" s="1"/>
  <c r="AI1056" i="1" s="1"/>
  <c r="AI1057" i="1" s="1"/>
  <c r="AI1058" i="1" s="1"/>
  <c r="AI1059" i="1" s="1"/>
  <c r="AI1060" i="1" s="1"/>
  <c r="AI1061" i="1" s="1"/>
  <c r="AI1062" i="1" s="1"/>
  <c r="AI1063" i="1" s="1"/>
  <c r="AI1064" i="1" s="1"/>
  <c r="AI1065" i="1" s="1"/>
  <c r="AI1066" i="1" s="1"/>
  <c r="AI1067" i="1" s="1"/>
  <c r="AI1068" i="1" s="1"/>
  <c r="AI1069" i="1" s="1"/>
  <c r="AI1070" i="1" s="1"/>
  <c r="AI1071" i="1" s="1"/>
  <c r="AI1072" i="1" s="1"/>
  <c r="AI1073" i="1" s="1"/>
  <c r="AI1074" i="1" s="1"/>
  <c r="AI1075" i="1" s="1"/>
  <c r="AI1076" i="1" s="1"/>
  <c r="AI1077" i="1" s="1"/>
  <c r="AI1078" i="1" s="1"/>
  <c r="AI1079" i="1" s="1"/>
  <c r="AI1080" i="1" s="1"/>
  <c r="AI1081" i="1" s="1"/>
  <c r="AI1082" i="1" s="1"/>
  <c r="AI1083" i="1" s="1"/>
  <c r="AI1084" i="1" s="1"/>
  <c r="AI1085" i="1" s="1"/>
  <c r="AI1086" i="1" s="1"/>
  <c r="AI1087" i="1" s="1"/>
  <c r="AI1088" i="1" s="1"/>
  <c r="AI1089" i="1" s="1"/>
  <c r="AI1090" i="1" s="1"/>
  <c r="AI1091" i="1" s="1"/>
  <c r="AI1092" i="1" s="1"/>
  <c r="AI1093" i="1" s="1"/>
  <c r="AI1094" i="1" s="1"/>
  <c r="AI1095" i="1" s="1"/>
  <c r="AI1096" i="1" s="1"/>
  <c r="AI1097" i="1" s="1"/>
  <c r="AI1098" i="1" s="1"/>
  <c r="AI1099" i="1" s="1"/>
  <c r="AI1100" i="1" s="1"/>
  <c r="AI1101" i="1" s="1"/>
  <c r="AI1102" i="1" s="1"/>
  <c r="AI1103" i="1" s="1"/>
  <c r="AI1104" i="1" s="1"/>
  <c r="AI1105" i="1" s="1"/>
  <c r="AI1106" i="1" s="1"/>
  <c r="AI1107" i="1" s="1"/>
  <c r="AI1108" i="1" s="1"/>
  <c r="AI1109" i="1" s="1"/>
  <c r="AI1110" i="1" s="1"/>
  <c r="AI1111" i="1" s="1"/>
  <c r="AI1112" i="1" s="1"/>
  <c r="AI1113" i="1" s="1"/>
  <c r="AI1114" i="1" s="1"/>
  <c r="AI1115" i="1" s="1"/>
  <c r="AI1116" i="1" s="1"/>
  <c r="AI1117" i="1" s="1"/>
  <c r="AI1118" i="1" s="1"/>
  <c r="AI1119" i="1" s="1"/>
  <c r="AI1120" i="1" s="1"/>
  <c r="AI1121" i="1" s="1"/>
  <c r="AI1122" i="1" s="1"/>
  <c r="AI1123" i="1" s="1"/>
  <c r="AI1124" i="1" s="1"/>
  <c r="AI1125" i="1" s="1"/>
  <c r="AI1126" i="1" s="1"/>
  <c r="AI1127" i="1" s="1"/>
  <c r="AI1128" i="1" s="1"/>
  <c r="AI1129" i="1" s="1"/>
  <c r="AI1130" i="1" s="1"/>
  <c r="AI1131" i="1" s="1"/>
  <c r="AI1132" i="1" s="1"/>
  <c r="AI1133" i="1" s="1"/>
  <c r="AI1134" i="1" s="1"/>
  <c r="AI1135" i="1" s="1"/>
  <c r="AI1136" i="1" s="1"/>
  <c r="AI1137" i="1" s="1"/>
  <c r="AI1138" i="1" s="1"/>
  <c r="AI1139" i="1" s="1"/>
  <c r="AI1140" i="1" s="1"/>
  <c r="AI1141" i="1" s="1"/>
  <c r="AI1142" i="1" s="1"/>
  <c r="AI1143" i="1" s="1"/>
  <c r="AI1144" i="1" s="1"/>
  <c r="AI1145" i="1" s="1"/>
  <c r="AI1146" i="1" s="1"/>
  <c r="AI1147" i="1" s="1"/>
  <c r="AI1148" i="1" s="1"/>
  <c r="AI1149" i="1" s="1"/>
  <c r="AI1150" i="1" s="1"/>
  <c r="AI1151" i="1" s="1"/>
  <c r="AI1152" i="1" s="1"/>
  <c r="AI1153" i="1" s="1"/>
  <c r="AI1154" i="1" s="1"/>
  <c r="AI1155" i="1" s="1"/>
  <c r="AI1156" i="1" s="1"/>
  <c r="AI1157" i="1" s="1"/>
  <c r="AI1158" i="1" s="1"/>
  <c r="AI1159" i="1" s="1"/>
  <c r="AI1160" i="1" s="1"/>
  <c r="AI1161" i="1" s="1"/>
  <c r="AI1162" i="1" s="1"/>
  <c r="AI1163" i="1" s="1"/>
  <c r="AI1164" i="1" s="1"/>
  <c r="AI1165" i="1" s="1"/>
  <c r="AI1166" i="1" s="1"/>
  <c r="AI1167" i="1" s="1"/>
  <c r="AI1168" i="1" s="1"/>
  <c r="AI1169" i="1" s="1"/>
  <c r="AI1170" i="1" s="1"/>
  <c r="AI1171" i="1" s="1"/>
  <c r="AI1172" i="1" s="1"/>
  <c r="AI1173" i="1" s="1"/>
  <c r="AI1174" i="1" s="1"/>
  <c r="AI1175" i="1" s="1"/>
  <c r="AI1176" i="1" s="1"/>
  <c r="AI1177" i="1" s="1"/>
  <c r="AI1178" i="1" s="1"/>
  <c r="AI1179" i="1" s="1"/>
  <c r="AI1180" i="1" s="1"/>
  <c r="AI1181" i="1" s="1"/>
  <c r="AI1182" i="1" s="1"/>
  <c r="AI1183" i="1" s="1"/>
  <c r="AI1184" i="1" s="1"/>
  <c r="AI1185" i="1" s="1"/>
  <c r="AI1186" i="1" s="1"/>
  <c r="AI1187" i="1" s="1"/>
  <c r="AI1188" i="1" s="1"/>
  <c r="AI1189" i="1" s="1"/>
  <c r="AI1190" i="1" s="1"/>
  <c r="AI1191" i="1" s="1"/>
  <c r="AI1192" i="1" s="1"/>
  <c r="AI1193" i="1" s="1"/>
  <c r="AI1194" i="1" s="1"/>
  <c r="AI1195" i="1" s="1"/>
  <c r="AI1196" i="1" s="1"/>
  <c r="AI1197" i="1" s="1"/>
  <c r="AI1198" i="1" s="1"/>
  <c r="AI1199" i="1" s="1"/>
  <c r="AI1200" i="1" s="1"/>
  <c r="AI1201" i="1" s="1"/>
  <c r="AI1202" i="1" s="1"/>
  <c r="AI1203" i="1" s="1"/>
  <c r="AI1204" i="1" s="1"/>
  <c r="AI1205" i="1" s="1"/>
  <c r="AI1206" i="1" s="1"/>
  <c r="AI1207" i="1" s="1"/>
  <c r="AI1208" i="1" s="1"/>
  <c r="AI1209" i="1" s="1"/>
  <c r="AI1210" i="1" s="1"/>
  <c r="AI1211" i="1" s="1"/>
  <c r="AI1212" i="1" s="1"/>
  <c r="AI1213" i="1" s="1"/>
  <c r="AI1214" i="1" s="1"/>
  <c r="AI1215" i="1" s="1"/>
  <c r="AI1216" i="1" s="1"/>
  <c r="AI1217" i="1" s="1"/>
  <c r="AI1218" i="1" s="1"/>
  <c r="AI1219" i="1" s="1"/>
  <c r="AI1220" i="1" s="1"/>
  <c r="AI1221" i="1" s="1"/>
  <c r="AI1222" i="1" s="1"/>
  <c r="AI1223" i="1" s="1"/>
  <c r="AI1224" i="1" s="1"/>
  <c r="AI1225" i="1" s="1"/>
  <c r="AI1226" i="1" s="1"/>
  <c r="AI1227" i="1" s="1"/>
  <c r="AI1228" i="1" s="1"/>
  <c r="AI1229" i="1" s="1"/>
  <c r="AI1230" i="1" s="1"/>
  <c r="AI1231" i="1" s="1"/>
  <c r="AI1232" i="1" s="1"/>
  <c r="AI1233" i="1" s="1"/>
  <c r="AI1234" i="1" s="1"/>
  <c r="AI1235" i="1" s="1"/>
  <c r="AI1236" i="1" s="1"/>
  <c r="AI1237" i="1" s="1"/>
  <c r="AI1238" i="1" s="1"/>
  <c r="AI1239" i="1" s="1"/>
  <c r="AI1240" i="1" s="1"/>
  <c r="AI1241" i="1" s="1"/>
  <c r="AI1242" i="1" s="1"/>
  <c r="AI1243" i="1" s="1"/>
  <c r="AI1244" i="1" s="1"/>
  <c r="AI1245" i="1" s="1"/>
  <c r="AI1246" i="1" s="1"/>
  <c r="AI1247" i="1" s="1"/>
  <c r="AI1248" i="1" s="1"/>
  <c r="AI1249" i="1" s="1"/>
  <c r="AI1250" i="1" s="1"/>
  <c r="AI1251" i="1" s="1"/>
  <c r="AI1252" i="1" s="1"/>
  <c r="AI1253" i="1" s="1"/>
  <c r="AI1254" i="1" s="1"/>
  <c r="AI1255" i="1" s="1"/>
  <c r="AI1256" i="1" s="1"/>
  <c r="AI1257" i="1" s="1"/>
  <c r="AI1258" i="1" s="1"/>
  <c r="AI1259" i="1" s="1"/>
  <c r="AI1260" i="1" s="1"/>
  <c r="AI1261" i="1" s="1"/>
  <c r="AI1262" i="1" s="1"/>
  <c r="AI1263" i="1" s="1"/>
  <c r="AI1264" i="1" s="1"/>
  <c r="AI1265" i="1" s="1"/>
  <c r="AI1266" i="1" s="1"/>
  <c r="AI1267" i="1" s="1"/>
  <c r="AI1268" i="1" s="1"/>
  <c r="AI1269" i="1" s="1"/>
  <c r="AI1270" i="1" s="1"/>
  <c r="AI1271" i="1" s="1"/>
  <c r="AI1272" i="1" s="1"/>
  <c r="AI1273" i="1" s="1"/>
  <c r="AI1274" i="1" s="1"/>
  <c r="AI1275" i="1" s="1"/>
  <c r="AI1276" i="1" s="1"/>
  <c r="AI1277" i="1" s="1"/>
  <c r="AI1278" i="1" s="1"/>
  <c r="AI1279" i="1" s="1"/>
  <c r="AI1280" i="1" s="1"/>
  <c r="AI1281" i="1" s="1"/>
  <c r="AI1282" i="1" s="1"/>
  <c r="AI1283" i="1" s="1"/>
  <c r="AI1284" i="1" s="1"/>
  <c r="AI1285" i="1" s="1"/>
  <c r="AI1286" i="1" s="1"/>
  <c r="AI1287" i="1" s="1"/>
  <c r="AI1288" i="1" s="1"/>
  <c r="AI1289" i="1" s="1"/>
  <c r="AI1290" i="1" s="1"/>
  <c r="AI1291" i="1" s="1"/>
  <c r="AI1292" i="1" s="1"/>
  <c r="AI1293" i="1" s="1"/>
  <c r="AI1294" i="1" s="1"/>
  <c r="AI1295" i="1" s="1"/>
  <c r="AI1296" i="1" s="1"/>
  <c r="AI1297" i="1" s="1"/>
  <c r="AI1298" i="1" s="1"/>
  <c r="AI1299" i="1" s="1"/>
  <c r="AI1300" i="1" s="1"/>
  <c r="AI1301" i="1" s="1"/>
  <c r="AI1302" i="1" s="1"/>
  <c r="AI1303" i="1" s="1"/>
  <c r="AI1304" i="1" s="1"/>
  <c r="AI1305" i="1" s="1"/>
  <c r="AI1306" i="1" s="1"/>
  <c r="AI1307" i="1" s="1"/>
  <c r="AI1308" i="1" s="1"/>
  <c r="AI1309" i="1" s="1"/>
  <c r="AI1310" i="1" s="1"/>
  <c r="AI1311" i="1" s="1"/>
  <c r="AI1312" i="1" s="1"/>
  <c r="AI1313" i="1" s="1"/>
  <c r="AI1314" i="1" s="1"/>
  <c r="AI1315" i="1" s="1"/>
  <c r="AI1316" i="1" s="1"/>
  <c r="AI1317" i="1" s="1"/>
  <c r="AI1318" i="1" s="1"/>
  <c r="AI1319" i="1" s="1"/>
  <c r="AI1320" i="1" s="1"/>
  <c r="AI1321" i="1" s="1"/>
  <c r="AI1322" i="1" s="1"/>
  <c r="AI1323" i="1" s="1"/>
  <c r="AI1324" i="1" s="1"/>
  <c r="AI1325" i="1" s="1"/>
  <c r="AI1326" i="1" s="1"/>
  <c r="AI1327" i="1" s="1"/>
  <c r="AI1328" i="1" s="1"/>
  <c r="AI1329" i="1" s="1"/>
  <c r="AI1330" i="1" s="1"/>
  <c r="AI1331" i="1" s="1"/>
  <c r="AI1332" i="1" s="1"/>
  <c r="AI1333" i="1" s="1"/>
  <c r="AI1334" i="1" s="1"/>
  <c r="AI1335" i="1" s="1"/>
  <c r="AI1336" i="1" s="1"/>
  <c r="AI1337" i="1" s="1"/>
  <c r="AI1338" i="1" s="1"/>
  <c r="AI1339" i="1" s="1"/>
  <c r="AI1340" i="1" s="1"/>
  <c r="AI1341" i="1" s="1"/>
  <c r="AI1342" i="1" s="1"/>
  <c r="AI1343" i="1" s="1"/>
  <c r="AI1344" i="1" s="1"/>
  <c r="AI1345" i="1" s="1"/>
  <c r="AI1346" i="1" s="1"/>
  <c r="AI1347" i="1" s="1"/>
  <c r="AI1348" i="1" s="1"/>
  <c r="AI1349" i="1" s="1"/>
  <c r="AI1350" i="1" s="1"/>
  <c r="AI1351" i="1" s="1"/>
  <c r="AI1352" i="1" s="1"/>
  <c r="AI1353" i="1" s="1"/>
  <c r="AI1354" i="1" s="1"/>
  <c r="AI1355" i="1" s="1"/>
  <c r="AI1356" i="1" s="1"/>
  <c r="AI1357" i="1" s="1"/>
  <c r="AI1358" i="1" s="1"/>
  <c r="AI1359" i="1" s="1"/>
  <c r="AI1360" i="1" s="1"/>
  <c r="AI1361" i="1" s="1"/>
  <c r="AI1362" i="1" s="1"/>
  <c r="AI1363" i="1" s="1"/>
  <c r="AI1364" i="1" s="1"/>
  <c r="AI1365" i="1" s="1"/>
  <c r="AI1366" i="1" s="1"/>
  <c r="AI1367" i="1" s="1"/>
  <c r="AI1368" i="1" s="1"/>
  <c r="AI1369" i="1" s="1"/>
  <c r="AI1370" i="1" s="1"/>
  <c r="AI1371" i="1" s="1"/>
  <c r="AI1372" i="1" s="1"/>
  <c r="AI1373" i="1" s="1"/>
  <c r="AI1374" i="1" s="1"/>
  <c r="AI1375" i="1" s="1"/>
  <c r="AI1376" i="1" s="1"/>
  <c r="AI1377" i="1" s="1"/>
  <c r="AI1378" i="1" s="1"/>
  <c r="AI1379" i="1" s="1"/>
  <c r="AI1380" i="1" s="1"/>
  <c r="AI1381" i="1" s="1"/>
  <c r="AI1382" i="1" s="1"/>
  <c r="AI1383" i="1" s="1"/>
  <c r="AI1384" i="1" s="1"/>
  <c r="AI1385" i="1" s="1"/>
  <c r="AI1386" i="1" s="1"/>
  <c r="AI1387" i="1" s="1"/>
  <c r="AI1388" i="1" s="1"/>
  <c r="AI1389" i="1" s="1"/>
  <c r="AI1390" i="1" s="1"/>
  <c r="AI1391" i="1" s="1"/>
  <c r="AI1392" i="1" s="1"/>
  <c r="AI1393" i="1" s="1"/>
  <c r="AI1394" i="1" s="1"/>
  <c r="AI1395" i="1" s="1"/>
  <c r="AI1396" i="1" s="1"/>
  <c r="AI1397" i="1" s="1"/>
  <c r="AI1398" i="1" s="1"/>
  <c r="AI1399" i="1" s="1"/>
  <c r="AI1400" i="1" s="1"/>
  <c r="AI1401" i="1" s="1"/>
  <c r="AI1402" i="1" s="1"/>
  <c r="AI1403" i="1" s="1"/>
  <c r="AI1404" i="1" s="1"/>
  <c r="AI1405" i="1" s="1"/>
  <c r="AI1406" i="1" s="1"/>
  <c r="AI1407" i="1" s="1"/>
  <c r="AI1408" i="1" s="1"/>
  <c r="AI1409" i="1" s="1"/>
  <c r="AI1410" i="1" s="1"/>
  <c r="AI1411" i="1" s="1"/>
  <c r="AI1412" i="1" s="1"/>
  <c r="AI1413" i="1" s="1"/>
  <c r="AI1414" i="1" s="1"/>
  <c r="AI1415" i="1" s="1"/>
  <c r="AI1416" i="1" s="1"/>
  <c r="AI1417" i="1" s="1"/>
  <c r="AI1418" i="1" s="1"/>
  <c r="AI1419" i="1" s="1"/>
  <c r="AI1420" i="1" s="1"/>
  <c r="AI1421" i="1" s="1"/>
  <c r="AI1422" i="1" s="1"/>
  <c r="AI1423" i="1" s="1"/>
  <c r="AI1424" i="1" s="1"/>
  <c r="AI1425" i="1" s="1"/>
  <c r="AI1426" i="1" s="1"/>
  <c r="AI1427" i="1" s="1"/>
  <c r="AI1428" i="1" s="1"/>
  <c r="AI1429" i="1" s="1"/>
  <c r="AI1430" i="1" s="1"/>
  <c r="AI1431" i="1" s="1"/>
  <c r="AI1432" i="1" s="1"/>
  <c r="AI1433" i="1" s="1"/>
  <c r="AI1434" i="1" s="1"/>
  <c r="AI1435" i="1" s="1"/>
  <c r="AI1436" i="1" s="1"/>
  <c r="AI1437" i="1" s="1"/>
  <c r="AI1438" i="1" s="1"/>
  <c r="AI1439" i="1" s="1"/>
  <c r="AI1440" i="1" s="1"/>
  <c r="AI1441" i="1" s="1"/>
  <c r="AI1442" i="1" s="1"/>
  <c r="AI1443" i="1" s="1"/>
  <c r="AI1444" i="1" s="1"/>
  <c r="AI1445" i="1" s="1"/>
  <c r="AI1446" i="1" s="1"/>
  <c r="AI1447" i="1" s="1"/>
  <c r="AI1448" i="1" s="1"/>
  <c r="AI1449" i="1" s="1"/>
  <c r="AI1450" i="1" s="1"/>
  <c r="AI1451" i="1" s="1"/>
  <c r="AI1452" i="1" s="1"/>
  <c r="AI1453" i="1" s="1"/>
  <c r="AI1454" i="1" s="1"/>
  <c r="AI1455" i="1" s="1"/>
  <c r="AI1456" i="1" s="1"/>
  <c r="AI1457" i="1" s="1"/>
  <c r="AI1458" i="1" s="1"/>
  <c r="AI1459" i="1" s="1"/>
  <c r="AI1460" i="1" s="1"/>
  <c r="AI1461" i="1" s="1"/>
  <c r="AI1462" i="1" s="1"/>
  <c r="AI1463" i="1" s="1"/>
  <c r="AI1464" i="1" s="1"/>
  <c r="AI1465" i="1" s="1"/>
  <c r="AI1466" i="1" s="1"/>
  <c r="AI1467" i="1" s="1"/>
  <c r="AI1468" i="1" s="1"/>
  <c r="AI1469" i="1" s="1"/>
  <c r="AI1470" i="1" s="1"/>
  <c r="AI1471" i="1" s="1"/>
  <c r="AI1472" i="1" s="1"/>
  <c r="AI1473" i="1" s="1"/>
  <c r="AI1474" i="1" s="1"/>
  <c r="AI1475" i="1" s="1"/>
  <c r="AI1476" i="1" s="1"/>
  <c r="AI1477" i="1" s="1"/>
  <c r="AI1478" i="1" s="1"/>
  <c r="AI1479" i="1" s="1"/>
  <c r="AI1480" i="1" s="1"/>
  <c r="AI1481" i="1" s="1"/>
  <c r="AI1482" i="1" s="1"/>
  <c r="AI1483" i="1" s="1"/>
  <c r="AI1484" i="1" s="1"/>
  <c r="AI1485" i="1" s="1"/>
  <c r="AI1486" i="1" s="1"/>
  <c r="AI1487" i="1" s="1"/>
  <c r="AI1488" i="1" s="1"/>
  <c r="AI1489" i="1" s="1"/>
  <c r="AI1490" i="1" s="1"/>
  <c r="AI1491" i="1" s="1"/>
  <c r="AI1492" i="1" s="1"/>
  <c r="AI1493" i="1" s="1"/>
  <c r="AI1494" i="1" s="1"/>
  <c r="AI1495" i="1" s="1"/>
  <c r="AI1496" i="1" s="1"/>
  <c r="AI1497" i="1" s="1"/>
  <c r="AI1498" i="1" s="1"/>
  <c r="AI1499" i="1" s="1"/>
  <c r="AI1500" i="1" s="1"/>
  <c r="AI1501" i="1" s="1"/>
  <c r="AI1502" i="1" s="1"/>
  <c r="AI1503" i="1" s="1"/>
  <c r="AI1504" i="1" s="1"/>
  <c r="AI1505" i="1" s="1"/>
  <c r="AI1506" i="1" s="1"/>
  <c r="AI1507" i="1" s="1"/>
  <c r="AI1508" i="1" s="1"/>
  <c r="AI1509" i="1" s="1"/>
  <c r="AI1510" i="1" s="1"/>
  <c r="AI1511" i="1" s="1"/>
  <c r="AI1512" i="1" s="1"/>
  <c r="AI1513" i="1" s="1"/>
  <c r="AI1514" i="1" s="1"/>
  <c r="AI1515" i="1" s="1"/>
  <c r="AI1516" i="1" s="1"/>
  <c r="AI1517" i="1" s="1"/>
  <c r="AI1518" i="1" s="1"/>
  <c r="AI1519" i="1" s="1"/>
  <c r="AI1520" i="1" s="1"/>
  <c r="AI1521" i="1" s="1"/>
  <c r="AI1522" i="1" s="1"/>
  <c r="AI1523" i="1" s="1"/>
  <c r="AI1524" i="1" s="1"/>
  <c r="AI1525" i="1" s="1"/>
  <c r="AI1526" i="1" s="1"/>
  <c r="AI1527" i="1" s="1"/>
  <c r="AI1528" i="1" s="1"/>
  <c r="AI1529" i="1" s="1"/>
  <c r="AI1530" i="1" s="1"/>
  <c r="AI1531" i="1" s="1"/>
  <c r="AI1532" i="1" s="1"/>
  <c r="AI1533" i="1" s="1"/>
  <c r="AI1534" i="1" s="1"/>
  <c r="AI1535" i="1" s="1"/>
  <c r="AI1536" i="1" s="1"/>
  <c r="AI1537" i="1" s="1"/>
  <c r="AI1538" i="1" s="1"/>
  <c r="AI1539" i="1" s="1"/>
  <c r="AI1540" i="1" s="1"/>
  <c r="AI1541" i="1" s="1"/>
  <c r="AI1542" i="1" s="1"/>
  <c r="AI1543" i="1" s="1"/>
  <c r="AI1544" i="1" s="1"/>
  <c r="AI1545" i="1" s="1"/>
  <c r="AI1546" i="1" s="1"/>
  <c r="AI1547" i="1" s="1"/>
  <c r="AI1548" i="1" s="1"/>
  <c r="AI1549" i="1" s="1"/>
  <c r="AI1550" i="1" s="1"/>
  <c r="AI1551" i="1" s="1"/>
  <c r="AI1552" i="1" s="1"/>
  <c r="AI1553" i="1" s="1"/>
  <c r="AI1554" i="1" s="1"/>
  <c r="AI1555" i="1" s="1"/>
  <c r="AI1556" i="1" s="1"/>
  <c r="AI1557" i="1" s="1"/>
  <c r="AI1558" i="1" s="1"/>
  <c r="AI1559" i="1" s="1"/>
  <c r="AI1560" i="1" s="1"/>
  <c r="AI1561" i="1" s="1"/>
  <c r="AI1562" i="1" s="1"/>
  <c r="AI1563" i="1" s="1"/>
  <c r="AI1564" i="1" s="1"/>
  <c r="AI1565" i="1" s="1"/>
  <c r="AI1566" i="1" s="1"/>
  <c r="AI1567" i="1" s="1"/>
  <c r="AI1568" i="1" s="1"/>
  <c r="AI1569" i="1" s="1"/>
  <c r="AI1570" i="1" s="1"/>
  <c r="AI1571" i="1" s="1"/>
  <c r="AI1572" i="1" s="1"/>
  <c r="AI1573" i="1" s="1"/>
  <c r="AI1574" i="1" s="1"/>
  <c r="AI1575" i="1" s="1"/>
  <c r="AI1576" i="1" s="1"/>
  <c r="AI1577" i="1" s="1"/>
  <c r="AI1578" i="1" s="1"/>
  <c r="AI1579" i="1" s="1"/>
  <c r="AI1580" i="1" s="1"/>
  <c r="AI1581" i="1" s="1"/>
  <c r="AI1582" i="1" s="1"/>
  <c r="AI1583" i="1" s="1"/>
  <c r="AI1584" i="1" s="1"/>
  <c r="AI1585" i="1" s="1"/>
  <c r="AI1586" i="1" s="1"/>
  <c r="AI1587" i="1" s="1"/>
  <c r="AI1588" i="1" s="1"/>
  <c r="AI1589" i="1" s="1"/>
  <c r="AI1590" i="1" s="1"/>
  <c r="AI1591" i="1" s="1"/>
  <c r="AI1592" i="1" s="1"/>
  <c r="AI1593" i="1" s="1"/>
  <c r="AI1594" i="1" s="1"/>
  <c r="AI1595" i="1" s="1"/>
  <c r="AI1596" i="1" s="1"/>
  <c r="AI1597" i="1" s="1"/>
  <c r="AI1598" i="1" s="1"/>
  <c r="AI1599" i="1" s="1"/>
  <c r="AI1600" i="1" s="1"/>
  <c r="AI1601" i="1" s="1"/>
  <c r="AI1602" i="1" s="1"/>
  <c r="AI1603" i="1" s="1"/>
  <c r="AI1604" i="1" s="1"/>
  <c r="AI1605" i="1" s="1"/>
  <c r="AI1606" i="1" s="1"/>
  <c r="AI1607" i="1" s="1"/>
  <c r="AI1608" i="1" s="1"/>
  <c r="AI1609" i="1" s="1"/>
  <c r="AI1610" i="1" s="1"/>
  <c r="AI1611" i="1" s="1"/>
  <c r="AI1612" i="1" s="1"/>
  <c r="AI1613" i="1" s="1"/>
  <c r="AI1614" i="1" s="1"/>
  <c r="AI1615" i="1" s="1"/>
  <c r="AI1616" i="1" s="1"/>
  <c r="AI1617" i="1" s="1"/>
  <c r="AI1618" i="1" s="1"/>
  <c r="AI1619" i="1" s="1"/>
  <c r="AI1620" i="1" s="1"/>
  <c r="AI1621" i="1" s="1"/>
  <c r="AI1622" i="1" s="1"/>
  <c r="AI1623" i="1" s="1"/>
  <c r="AI1624" i="1" s="1"/>
  <c r="AI1625" i="1" s="1"/>
  <c r="AI1626" i="1" s="1"/>
  <c r="AI1627" i="1" s="1"/>
  <c r="AI1628" i="1" s="1"/>
  <c r="AI1629" i="1" s="1"/>
  <c r="AI1630" i="1" s="1"/>
  <c r="AI1631" i="1" s="1"/>
  <c r="AI1632" i="1" s="1"/>
  <c r="AI1633" i="1" s="1"/>
  <c r="AI1634" i="1" s="1"/>
  <c r="AI1635" i="1" s="1"/>
  <c r="AI1636" i="1" s="1"/>
  <c r="AI1637" i="1" s="1"/>
  <c r="AI1638" i="1" s="1"/>
  <c r="AI1639" i="1" s="1"/>
  <c r="AI1640" i="1" s="1"/>
  <c r="AI1641" i="1" s="1"/>
  <c r="AI1642" i="1" s="1"/>
  <c r="AI1643" i="1" s="1"/>
  <c r="AI1644" i="1" s="1"/>
  <c r="AI1645" i="1" s="1"/>
  <c r="AI1646" i="1" s="1"/>
  <c r="AI1647" i="1" s="1"/>
  <c r="AI1648" i="1" s="1"/>
  <c r="AI1649" i="1" s="1"/>
  <c r="AI1650" i="1" s="1"/>
  <c r="AI1651" i="1" s="1"/>
  <c r="AI1652" i="1" s="1"/>
  <c r="AI1653" i="1" s="1"/>
  <c r="AI1654" i="1" s="1"/>
  <c r="AI1655" i="1" s="1"/>
  <c r="AI1656" i="1" s="1"/>
  <c r="AI1657" i="1" s="1"/>
  <c r="AI1658" i="1" s="1"/>
  <c r="AI1659" i="1" s="1"/>
  <c r="AI1660" i="1" s="1"/>
  <c r="AI1661" i="1" s="1"/>
  <c r="AI1662" i="1" s="1"/>
  <c r="AI1663" i="1" s="1"/>
  <c r="AI1664" i="1" s="1"/>
  <c r="AI1665" i="1" s="1"/>
  <c r="AI1666" i="1" s="1"/>
  <c r="AI1667" i="1" s="1"/>
  <c r="AI1668" i="1" s="1"/>
  <c r="AI1669" i="1" s="1"/>
  <c r="AI1670" i="1" s="1"/>
  <c r="AI1671" i="1" s="1"/>
  <c r="AI1672" i="1" s="1"/>
  <c r="AI1673" i="1" s="1"/>
  <c r="AI1674" i="1" s="1"/>
  <c r="AI1675" i="1" s="1"/>
  <c r="AI1676" i="1" s="1"/>
  <c r="AI1677" i="1" s="1"/>
  <c r="AI1678" i="1" s="1"/>
  <c r="AI1679" i="1" s="1"/>
  <c r="AI1680" i="1" s="1"/>
  <c r="AI1681" i="1" s="1"/>
  <c r="AI1682" i="1" s="1"/>
  <c r="AI1683" i="1" s="1"/>
  <c r="AI1684" i="1" s="1"/>
  <c r="AI1685" i="1" s="1"/>
  <c r="AI1686" i="1" s="1"/>
  <c r="AI1687" i="1" s="1"/>
  <c r="AI1688" i="1" s="1"/>
  <c r="AI1689" i="1" s="1"/>
  <c r="AI1690" i="1" s="1"/>
  <c r="AI1691" i="1" s="1"/>
  <c r="AI1692" i="1" s="1"/>
  <c r="AI1693" i="1" s="1"/>
  <c r="AI1694" i="1" s="1"/>
  <c r="AI1695" i="1" s="1"/>
  <c r="AI1696" i="1" s="1"/>
  <c r="AI1697" i="1" s="1"/>
  <c r="AI1698" i="1" s="1"/>
  <c r="AI1699" i="1" s="1"/>
  <c r="AI1700" i="1" s="1"/>
  <c r="AI1701" i="1" s="1"/>
  <c r="AI1702" i="1" s="1"/>
  <c r="AI1703" i="1" s="1"/>
  <c r="AI1704" i="1" s="1"/>
  <c r="AI1705" i="1" s="1"/>
  <c r="AI1706" i="1" s="1"/>
  <c r="AI1707" i="1" s="1"/>
  <c r="AI1708" i="1" s="1"/>
  <c r="AI1709" i="1" s="1"/>
  <c r="AI1710" i="1" s="1"/>
  <c r="AI1711" i="1" s="1"/>
  <c r="AI1712" i="1" s="1"/>
  <c r="AI1713" i="1" s="1"/>
  <c r="AI1714" i="1" s="1"/>
  <c r="AI1715" i="1" s="1"/>
  <c r="AI1716" i="1" s="1"/>
  <c r="AI1717" i="1" s="1"/>
  <c r="AI1718" i="1" s="1"/>
  <c r="AI1719" i="1" s="1"/>
  <c r="AI1720" i="1" s="1"/>
  <c r="AI1721" i="1" s="1"/>
  <c r="AI1722" i="1" s="1"/>
  <c r="AI1723" i="1" s="1"/>
  <c r="AI1724" i="1" s="1"/>
  <c r="AI1725" i="1" s="1"/>
  <c r="AI1726" i="1" s="1"/>
  <c r="AI1727" i="1" s="1"/>
  <c r="AI1728" i="1" s="1"/>
  <c r="AI1729" i="1" s="1"/>
  <c r="AI1730" i="1" s="1"/>
  <c r="AI1731" i="1" s="1"/>
  <c r="AI1732" i="1" s="1"/>
  <c r="AI1733" i="1" s="1"/>
  <c r="AI1734" i="1" s="1"/>
  <c r="AI1735" i="1" s="1"/>
  <c r="AI1736" i="1" s="1"/>
  <c r="AI1737" i="1" s="1"/>
  <c r="AI1738" i="1" s="1"/>
  <c r="AI1739" i="1" s="1"/>
  <c r="AI1740" i="1" s="1"/>
  <c r="AI1741" i="1" s="1"/>
  <c r="AI1742" i="1" s="1"/>
  <c r="AI1743" i="1" s="1"/>
  <c r="AI1744" i="1" s="1"/>
  <c r="AI1745" i="1" s="1"/>
  <c r="AI1746" i="1" s="1"/>
  <c r="AI1747" i="1" s="1"/>
  <c r="AI1748" i="1" s="1"/>
  <c r="AI1749" i="1" s="1"/>
  <c r="AI1750" i="1" s="1"/>
  <c r="AI1751" i="1" s="1"/>
  <c r="AI1752" i="1" s="1"/>
  <c r="AI1753" i="1" s="1"/>
  <c r="AI1754" i="1" s="1"/>
  <c r="AI1755" i="1" s="1"/>
  <c r="AI1756" i="1" s="1"/>
  <c r="AI1757" i="1" s="1"/>
  <c r="AI1758" i="1" s="1"/>
  <c r="AI1759" i="1" s="1"/>
  <c r="AI1760" i="1" s="1"/>
  <c r="AI1761" i="1" s="1"/>
  <c r="AI1762" i="1" s="1"/>
  <c r="AI1763" i="1" s="1"/>
  <c r="AI1764" i="1" s="1"/>
  <c r="AI1765" i="1" s="1"/>
  <c r="AI1766" i="1" s="1"/>
  <c r="AI1767" i="1" s="1"/>
  <c r="AI1768" i="1" s="1"/>
  <c r="AI1769" i="1" s="1"/>
  <c r="AI1770" i="1" s="1"/>
  <c r="AI1771" i="1" s="1"/>
  <c r="AI1772" i="1" s="1"/>
  <c r="AI1773" i="1" s="1"/>
  <c r="AI1774" i="1" s="1"/>
  <c r="AI1775" i="1" s="1"/>
  <c r="AI1776" i="1" s="1"/>
  <c r="AI1777" i="1" s="1"/>
  <c r="AI1778" i="1" s="1"/>
  <c r="AI1779" i="1" s="1"/>
  <c r="AI1780" i="1" s="1"/>
  <c r="AI1781" i="1" s="1"/>
  <c r="AI1782" i="1" s="1"/>
  <c r="AI1783" i="1" s="1"/>
  <c r="AI1784" i="1" s="1"/>
  <c r="AI1785" i="1" s="1"/>
  <c r="AI1786" i="1" s="1"/>
  <c r="AI1787" i="1" s="1"/>
  <c r="AI1788" i="1" s="1"/>
  <c r="AI1789" i="1" s="1"/>
  <c r="AI1790" i="1" s="1"/>
  <c r="AI1791" i="1" s="1"/>
  <c r="AI1792" i="1" s="1"/>
  <c r="AI1793" i="1" s="1"/>
  <c r="AI1794" i="1" s="1"/>
  <c r="AI1795" i="1" s="1"/>
  <c r="AI1796" i="1" s="1"/>
  <c r="AI1797" i="1" s="1"/>
  <c r="AI1798" i="1" s="1"/>
  <c r="AI1799" i="1" s="1"/>
  <c r="AI1800" i="1" s="1"/>
  <c r="AI1801" i="1" s="1"/>
  <c r="AI1802" i="1" s="1"/>
  <c r="AI1803" i="1" s="1"/>
  <c r="AI1804" i="1" s="1"/>
  <c r="AI1805" i="1" s="1"/>
  <c r="AI1806" i="1" s="1"/>
  <c r="AI1807" i="1" s="1"/>
  <c r="AI1808" i="1" s="1"/>
  <c r="AI1809" i="1" s="1"/>
  <c r="AI1810" i="1" s="1"/>
  <c r="AI1811" i="1" s="1"/>
  <c r="AI1812" i="1" s="1"/>
  <c r="AI1813" i="1" s="1"/>
  <c r="AI1814" i="1" s="1"/>
  <c r="AI1815" i="1" s="1"/>
  <c r="AI1816" i="1" s="1"/>
  <c r="AI1817" i="1" s="1"/>
  <c r="AI1818" i="1" s="1"/>
  <c r="AI1819" i="1" s="1"/>
  <c r="AI1820" i="1" s="1"/>
  <c r="AI1821" i="1" s="1"/>
  <c r="AI1822" i="1" s="1"/>
  <c r="AI1823" i="1" s="1"/>
  <c r="AI1824" i="1" s="1"/>
  <c r="AI1825" i="1" s="1"/>
  <c r="AI1826" i="1" s="1"/>
  <c r="AI1827" i="1" s="1"/>
  <c r="AI1828" i="1" s="1"/>
  <c r="AI1829" i="1" s="1"/>
  <c r="AI1830" i="1" s="1"/>
  <c r="AI1831" i="1" s="1"/>
  <c r="AI1832" i="1" s="1"/>
  <c r="AI1833" i="1" s="1"/>
  <c r="AI1834" i="1" s="1"/>
  <c r="AI1835" i="1" s="1"/>
  <c r="AI1836" i="1" s="1"/>
  <c r="AI1837" i="1" s="1"/>
  <c r="AI1838" i="1" s="1"/>
  <c r="AI1839" i="1" s="1"/>
  <c r="AI1840" i="1" s="1"/>
  <c r="AI1841" i="1" s="1"/>
  <c r="AI1842" i="1" s="1"/>
  <c r="AI1843" i="1" s="1"/>
  <c r="AI1844" i="1" s="1"/>
  <c r="AI1845" i="1" s="1"/>
  <c r="AI1846" i="1" s="1"/>
  <c r="AI1847" i="1" s="1"/>
  <c r="AI1848" i="1" s="1"/>
  <c r="AI1849" i="1" s="1"/>
  <c r="AI1850" i="1" s="1"/>
  <c r="AI1851" i="1" s="1"/>
  <c r="AI1852" i="1" s="1"/>
  <c r="AI1853" i="1" s="1"/>
  <c r="AI1854" i="1" s="1"/>
  <c r="AI1855" i="1" s="1"/>
  <c r="AI1856" i="1" s="1"/>
  <c r="AI1857" i="1" s="1"/>
  <c r="AI1858" i="1" s="1"/>
  <c r="AI1859" i="1" s="1"/>
  <c r="AI1860" i="1" s="1"/>
  <c r="AI1861" i="1" s="1"/>
  <c r="AI1862" i="1" s="1"/>
  <c r="AI1863" i="1" s="1"/>
  <c r="AI1864" i="1" s="1"/>
  <c r="AI1865" i="1" s="1"/>
  <c r="AI1866" i="1" s="1"/>
  <c r="AI1867" i="1" s="1"/>
  <c r="AI1868" i="1" s="1"/>
  <c r="AI1869" i="1" s="1"/>
  <c r="AI1870" i="1" s="1"/>
  <c r="AI1871" i="1" s="1"/>
  <c r="AI1872" i="1" s="1"/>
  <c r="AI1873" i="1" s="1"/>
  <c r="AI1874" i="1" s="1"/>
  <c r="AI1875" i="1" s="1"/>
  <c r="AI1876" i="1" s="1"/>
  <c r="AI1877" i="1" s="1"/>
  <c r="AI1878" i="1" s="1"/>
  <c r="AI1879" i="1" s="1"/>
  <c r="AI1880" i="1" s="1"/>
  <c r="AI1881" i="1" s="1"/>
  <c r="AI1882" i="1" s="1"/>
  <c r="AI1883" i="1" s="1"/>
  <c r="AI1884" i="1" s="1"/>
  <c r="AI1885" i="1" s="1"/>
  <c r="AI1886" i="1" s="1"/>
  <c r="AI1887" i="1" s="1"/>
  <c r="AI1888" i="1" s="1"/>
  <c r="AI1889" i="1" s="1"/>
  <c r="AI1890" i="1" s="1"/>
  <c r="AI1891" i="1" s="1"/>
  <c r="AI1892" i="1" s="1"/>
  <c r="AI1893" i="1" s="1"/>
  <c r="AI1894" i="1" s="1"/>
  <c r="AI1895" i="1" s="1"/>
  <c r="AI1896" i="1" s="1"/>
  <c r="AI1897" i="1" s="1"/>
  <c r="AI1898" i="1" s="1"/>
  <c r="AI1899" i="1" s="1"/>
  <c r="AI1900" i="1" s="1"/>
  <c r="AI1901" i="1" s="1"/>
  <c r="AI1902" i="1" s="1"/>
  <c r="AI1903" i="1" s="1"/>
  <c r="AI1904" i="1" s="1"/>
  <c r="AI1905" i="1" s="1"/>
  <c r="AI1906" i="1" s="1"/>
  <c r="AI1907" i="1" s="1"/>
  <c r="AI1908" i="1" s="1"/>
  <c r="AI1909" i="1" s="1"/>
  <c r="AI1910" i="1" s="1"/>
  <c r="AI1911" i="1" s="1"/>
  <c r="AI1912" i="1" s="1"/>
  <c r="AI1913" i="1" s="1"/>
  <c r="AI1914" i="1" s="1"/>
  <c r="AI1915" i="1" s="1"/>
  <c r="AI1916" i="1" s="1"/>
  <c r="AI1917" i="1" s="1"/>
  <c r="AI1918" i="1" s="1"/>
  <c r="AI1919" i="1" s="1"/>
  <c r="AI1920" i="1" s="1"/>
  <c r="AI1921" i="1" s="1"/>
  <c r="AI1922" i="1" s="1"/>
  <c r="AI1923" i="1" s="1"/>
  <c r="AI1924" i="1" s="1"/>
  <c r="AI1925" i="1" s="1"/>
  <c r="AI1926" i="1" s="1"/>
  <c r="AI1927" i="1" s="1"/>
  <c r="AI1928" i="1" s="1"/>
  <c r="AI1929" i="1" s="1"/>
  <c r="AI1930" i="1" s="1"/>
  <c r="AI1931" i="1" s="1"/>
  <c r="AI1932" i="1" s="1"/>
  <c r="AI1933" i="1" s="1"/>
  <c r="AI1934" i="1" s="1"/>
  <c r="AI1935" i="1" s="1"/>
  <c r="AI1936" i="1" s="1"/>
  <c r="AI1937" i="1" s="1"/>
  <c r="AI1938" i="1" s="1"/>
  <c r="AI1939" i="1" s="1"/>
  <c r="AI1940" i="1" s="1"/>
  <c r="AI1941" i="1" s="1"/>
  <c r="AI1942" i="1" s="1"/>
  <c r="AI1943" i="1" s="1"/>
  <c r="AI1944" i="1" s="1"/>
  <c r="AI1945" i="1" s="1"/>
  <c r="AI1946" i="1" s="1"/>
  <c r="AI1947" i="1" s="1"/>
  <c r="AI1948" i="1" s="1"/>
  <c r="AI1949" i="1" s="1"/>
  <c r="AI1950" i="1" s="1"/>
  <c r="AI1951" i="1" s="1"/>
  <c r="AI1952" i="1" s="1"/>
  <c r="AI1953" i="1" s="1"/>
  <c r="AI1954" i="1" s="1"/>
  <c r="AI1955" i="1" s="1"/>
  <c r="AI1956" i="1" s="1"/>
  <c r="AI1957" i="1" s="1"/>
  <c r="AI1958" i="1" s="1"/>
  <c r="AI1959" i="1" s="1"/>
  <c r="AI1960" i="1" s="1"/>
  <c r="AI1961" i="1" s="1"/>
  <c r="AI1962" i="1" s="1"/>
  <c r="AI1963" i="1" s="1"/>
  <c r="AI1964" i="1" s="1"/>
  <c r="AI1965" i="1" s="1"/>
  <c r="AI1966" i="1" s="1"/>
  <c r="AI1967" i="1" s="1"/>
  <c r="AI1968" i="1" s="1"/>
  <c r="AI1969" i="1" s="1"/>
  <c r="AI1970" i="1" s="1"/>
  <c r="AI1971" i="1" s="1"/>
  <c r="AI1972" i="1" s="1"/>
  <c r="AI1973" i="1" s="1"/>
  <c r="AI1974" i="1" s="1"/>
  <c r="AI1975" i="1" s="1"/>
  <c r="AI1976" i="1" s="1"/>
  <c r="AI1977" i="1" s="1"/>
  <c r="AI1978" i="1" s="1"/>
  <c r="AI1979" i="1" s="1"/>
  <c r="AI1980" i="1" s="1"/>
  <c r="AI1981" i="1" s="1"/>
  <c r="AI1982" i="1" s="1"/>
  <c r="AI1983" i="1" s="1"/>
  <c r="AI1984" i="1" s="1"/>
  <c r="AI1985" i="1" s="1"/>
  <c r="AI1986" i="1" s="1"/>
  <c r="AI1987" i="1" s="1"/>
  <c r="AI1988" i="1" s="1"/>
  <c r="AI1989" i="1" s="1"/>
  <c r="AI1990" i="1" s="1"/>
  <c r="AI1991" i="1" s="1"/>
  <c r="AI1992" i="1" s="1"/>
  <c r="AI1993" i="1" s="1"/>
  <c r="AI1994" i="1" s="1"/>
  <c r="AI1995" i="1" s="1"/>
  <c r="AI1996" i="1" s="1"/>
  <c r="AI1997" i="1" s="1"/>
  <c r="AI1998" i="1" s="1"/>
  <c r="AI1999" i="1" s="1"/>
  <c r="AI2000" i="1" s="1"/>
  <c r="AI2001" i="1" s="1"/>
  <c r="AI2002" i="1" s="1"/>
  <c r="AI2003" i="1" s="1"/>
  <c r="AI2004" i="1" s="1"/>
  <c r="AI2005" i="1" s="1"/>
  <c r="AI2006" i="1" s="1"/>
  <c r="AI2007" i="1" s="1"/>
  <c r="AI2008" i="1" s="1"/>
  <c r="AI2009" i="1" s="1"/>
  <c r="AI2010" i="1" s="1"/>
  <c r="AI2011" i="1" s="1"/>
  <c r="AI2012" i="1" s="1"/>
  <c r="AI2013" i="1" s="1"/>
  <c r="AI2014" i="1" s="1"/>
  <c r="AI2015" i="1" s="1"/>
  <c r="AI2016" i="1" s="1"/>
  <c r="AI2017" i="1" s="1"/>
  <c r="AI2018" i="1" s="1"/>
  <c r="AI2019" i="1" s="1"/>
  <c r="AI2020" i="1" s="1"/>
  <c r="AI2021" i="1" s="1"/>
  <c r="AI2022" i="1" s="1"/>
  <c r="AI2023" i="1" s="1"/>
  <c r="AI2024" i="1" s="1"/>
  <c r="AI2025" i="1" s="1"/>
  <c r="AI2026" i="1" s="1"/>
  <c r="AI2027" i="1" s="1"/>
  <c r="AI2028" i="1" s="1"/>
  <c r="AI2029" i="1" s="1"/>
  <c r="AI2030" i="1" s="1"/>
  <c r="AI2031" i="1" s="1"/>
  <c r="AI2032" i="1" s="1"/>
  <c r="AI2033" i="1" s="1"/>
  <c r="AI2034" i="1" s="1"/>
  <c r="AI2035" i="1" s="1"/>
  <c r="AI2036" i="1" s="1"/>
  <c r="AI2037" i="1" s="1"/>
  <c r="AI2038" i="1" s="1"/>
  <c r="AI2039" i="1" s="1"/>
  <c r="AI2040" i="1" s="1"/>
  <c r="AI2041" i="1" s="1"/>
  <c r="AI2042" i="1" s="1"/>
  <c r="AI2043" i="1" s="1"/>
  <c r="AI2044" i="1" s="1"/>
  <c r="AI2045" i="1" s="1"/>
  <c r="AI2046" i="1" s="1"/>
  <c r="AI2047" i="1" s="1"/>
  <c r="AI2048" i="1" s="1"/>
  <c r="AI2049" i="1" s="1"/>
  <c r="AI2050" i="1" s="1"/>
  <c r="AI2051" i="1" s="1"/>
  <c r="AI2052" i="1" s="1"/>
  <c r="AI2053" i="1" s="1"/>
  <c r="AI2054" i="1" s="1"/>
  <c r="AI2055" i="1" s="1"/>
  <c r="AI2056" i="1" s="1"/>
  <c r="AI2057" i="1" s="1"/>
  <c r="AI2058" i="1" s="1"/>
  <c r="AI2059" i="1" s="1"/>
  <c r="AI2060" i="1" s="1"/>
  <c r="AI2061" i="1" s="1"/>
  <c r="AI2062" i="1" s="1"/>
  <c r="AI2063" i="1" s="1"/>
  <c r="AI2064" i="1" s="1"/>
  <c r="AI2065" i="1" s="1"/>
  <c r="AI2066" i="1" s="1"/>
  <c r="AI2067" i="1" s="1"/>
  <c r="AI2068" i="1" s="1"/>
  <c r="AI2069" i="1" s="1"/>
  <c r="AI2070" i="1" s="1"/>
  <c r="AI2071" i="1" s="1"/>
  <c r="AI2072" i="1" s="1"/>
  <c r="AI2073" i="1" s="1"/>
  <c r="AI2074" i="1" s="1"/>
  <c r="AI2075" i="1" s="1"/>
  <c r="AI2076" i="1" s="1"/>
  <c r="AI2077" i="1" s="1"/>
  <c r="AI2078" i="1" s="1"/>
  <c r="AI2079" i="1" s="1"/>
  <c r="AI2080" i="1" s="1"/>
  <c r="AI2081" i="1" s="1"/>
  <c r="AI2082" i="1" s="1"/>
  <c r="AI2083" i="1" s="1"/>
  <c r="AI2084" i="1" s="1"/>
  <c r="AI2085" i="1" s="1"/>
  <c r="AI2086" i="1" s="1"/>
  <c r="AI2087" i="1" s="1"/>
  <c r="AI2088" i="1" s="1"/>
  <c r="AI2089" i="1" s="1"/>
  <c r="AI2090" i="1" s="1"/>
  <c r="AI2091" i="1" s="1"/>
  <c r="AI2092" i="1" s="1"/>
  <c r="AI2093" i="1" s="1"/>
  <c r="AI2094" i="1" s="1"/>
  <c r="AI2095" i="1" s="1"/>
  <c r="AI2096" i="1" s="1"/>
  <c r="AI2097" i="1" s="1"/>
  <c r="AI2098" i="1" s="1"/>
  <c r="AI2099" i="1" s="1"/>
  <c r="AI2100" i="1" s="1"/>
  <c r="AI2101" i="1" s="1"/>
  <c r="AI2102" i="1" s="1"/>
  <c r="AI2103" i="1" s="1"/>
  <c r="AI2104" i="1" s="1"/>
  <c r="AI2105" i="1" s="1"/>
  <c r="AI2106" i="1" s="1"/>
  <c r="AI2107" i="1" s="1"/>
  <c r="AI2108" i="1" s="1"/>
  <c r="AI2109" i="1" s="1"/>
  <c r="AI2110" i="1" s="1"/>
  <c r="AI2111" i="1" s="1"/>
  <c r="AI2112" i="1" s="1"/>
  <c r="AI2113" i="1" s="1"/>
  <c r="AI2114" i="1" s="1"/>
  <c r="AI2115" i="1" s="1"/>
  <c r="AI2116" i="1" s="1"/>
  <c r="AI2117" i="1" s="1"/>
  <c r="AI2118" i="1" s="1"/>
  <c r="AI2119" i="1" s="1"/>
  <c r="AI2120" i="1" s="1"/>
  <c r="AI2121" i="1" s="1"/>
  <c r="AI2122" i="1" s="1"/>
  <c r="AI2123" i="1" s="1"/>
  <c r="AI2124" i="1" s="1"/>
  <c r="AI2125" i="1" s="1"/>
  <c r="AI2126" i="1" s="1"/>
  <c r="AI2127" i="1" s="1"/>
  <c r="AI2128" i="1" s="1"/>
  <c r="AI2129" i="1" s="1"/>
  <c r="AI2130" i="1" s="1"/>
  <c r="AI2131" i="1" s="1"/>
  <c r="AI2132" i="1" s="1"/>
  <c r="AI2133" i="1" s="1"/>
  <c r="AI2134" i="1" s="1"/>
  <c r="AI2135" i="1" s="1"/>
  <c r="AI2136" i="1" s="1"/>
  <c r="AI2137" i="1" s="1"/>
  <c r="AI2138" i="1" s="1"/>
  <c r="AI2139" i="1" s="1"/>
  <c r="AI2140" i="1" s="1"/>
  <c r="AI2141" i="1" s="1"/>
  <c r="AI2142" i="1" s="1"/>
  <c r="AI2143" i="1" s="1"/>
  <c r="AI2144" i="1" s="1"/>
  <c r="AI2145" i="1" s="1"/>
  <c r="AI2146" i="1" s="1"/>
  <c r="AI2147" i="1" s="1"/>
  <c r="AI2148" i="1" s="1"/>
  <c r="AI2149" i="1" s="1"/>
  <c r="AI2150" i="1" s="1"/>
  <c r="AI2151" i="1" s="1"/>
  <c r="AI2152" i="1" s="1"/>
  <c r="AI2153" i="1" s="1"/>
  <c r="AI2154" i="1" s="1"/>
  <c r="AI2155" i="1" s="1"/>
  <c r="AI2156" i="1" s="1"/>
  <c r="AI2157" i="1" s="1"/>
  <c r="AI2158" i="1" s="1"/>
  <c r="AI2159" i="1" s="1"/>
  <c r="AI2160" i="1" s="1"/>
  <c r="AI2161" i="1" s="1"/>
  <c r="AI2162" i="1" s="1"/>
  <c r="AI2163" i="1" s="1"/>
  <c r="AI2164" i="1" s="1"/>
  <c r="AI2165" i="1" s="1"/>
  <c r="AI2166" i="1" s="1"/>
  <c r="AI2167" i="1" s="1"/>
  <c r="AI2168" i="1" s="1"/>
  <c r="AI2169" i="1" s="1"/>
  <c r="AI2170" i="1" s="1"/>
  <c r="AI2171" i="1" s="1"/>
  <c r="AI2172" i="1" s="1"/>
  <c r="AI2173" i="1" s="1"/>
  <c r="AI2174" i="1" s="1"/>
  <c r="AI2175" i="1" s="1"/>
  <c r="AI2176" i="1" s="1"/>
  <c r="AI2177" i="1" s="1"/>
  <c r="AI2178" i="1" s="1"/>
  <c r="AI2179" i="1" s="1"/>
  <c r="AI2180" i="1" s="1"/>
  <c r="AI2181" i="1" s="1"/>
  <c r="AI2182" i="1" s="1"/>
  <c r="AI2183" i="1" s="1"/>
  <c r="AI2184" i="1" s="1"/>
  <c r="AI2185" i="1" s="1"/>
  <c r="AI2186" i="1" s="1"/>
  <c r="AI2187" i="1" s="1"/>
  <c r="AI2188" i="1" s="1"/>
  <c r="AI2189" i="1" s="1"/>
  <c r="AI2190" i="1" s="1"/>
  <c r="AI2191" i="1" s="1"/>
  <c r="AI2192" i="1" s="1"/>
  <c r="AI2193" i="1" s="1"/>
  <c r="AI2194" i="1" s="1"/>
  <c r="AI2195" i="1" s="1"/>
  <c r="AI2196" i="1" s="1"/>
  <c r="AI2197" i="1" s="1"/>
  <c r="AI2198" i="1" s="1"/>
  <c r="AI2199" i="1" s="1"/>
  <c r="AI2200" i="1" s="1"/>
  <c r="AI2201" i="1" s="1"/>
  <c r="AI2202" i="1" s="1"/>
  <c r="AI2203" i="1" s="1"/>
  <c r="AI2204" i="1" s="1"/>
  <c r="AI2205" i="1" s="1"/>
  <c r="AI2206" i="1" s="1"/>
  <c r="AI2207" i="1" s="1"/>
  <c r="AI2208" i="1" s="1"/>
  <c r="AI2209" i="1" s="1"/>
  <c r="AI2210" i="1" s="1"/>
  <c r="AI2211" i="1" s="1"/>
  <c r="AI2212" i="1" s="1"/>
  <c r="AI2213" i="1" s="1"/>
  <c r="AI2214" i="1" s="1"/>
  <c r="AI2215" i="1" s="1"/>
  <c r="AI2216" i="1" s="1"/>
  <c r="AI2217" i="1" s="1"/>
  <c r="AI2218" i="1" s="1"/>
  <c r="AI2219" i="1" s="1"/>
  <c r="AI2220" i="1" s="1"/>
  <c r="AI2221" i="1" s="1"/>
  <c r="AI2222" i="1" s="1"/>
  <c r="AI2223" i="1" s="1"/>
  <c r="AI2224" i="1" s="1"/>
  <c r="AI2225" i="1" s="1"/>
  <c r="AI2226" i="1" s="1"/>
  <c r="AI2227" i="1" s="1"/>
  <c r="AI2228" i="1" s="1"/>
  <c r="AI2229" i="1" s="1"/>
  <c r="AI2230" i="1" s="1"/>
  <c r="AI2231" i="1" s="1"/>
  <c r="AI2232" i="1" s="1"/>
  <c r="AI2233" i="1" s="1"/>
  <c r="AI2234" i="1" s="1"/>
  <c r="AI2235" i="1" s="1"/>
  <c r="AI2236" i="1" s="1"/>
  <c r="AI2237" i="1" s="1"/>
  <c r="AI2238" i="1" s="1"/>
  <c r="AI2239" i="1" s="1"/>
  <c r="AI2240" i="1" s="1"/>
  <c r="AI2241" i="1" s="1"/>
  <c r="AI2242" i="1" s="1"/>
  <c r="AI2243" i="1" s="1"/>
  <c r="AI2244" i="1" s="1"/>
  <c r="AI2245" i="1" s="1"/>
  <c r="AI2246" i="1" s="1"/>
  <c r="AI2247" i="1" s="1"/>
  <c r="AI2248" i="1" s="1"/>
  <c r="AI2249" i="1" s="1"/>
  <c r="AI2250" i="1" s="1"/>
  <c r="AI2251" i="1" s="1"/>
  <c r="AI2252" i="1" s="1"/>
  <c r="AI2253" i="1" s="1"/>
  <c r="AI2254" i="1" s="1"/>
  <c r="AI2255" i="1" s="1"/>
  <c r="AI2256" i="1" s="1"/>
  <c r="AI2257" i="1" s="1"/>
  <c r="AI2258" i="1" s="1"/>
  <c r="AI2259" i="1" s="1"/>
  <c r="AI2260" i="1" s="1"/>
  <c r="AI2261" i="1" s="1"/>
  <c r="AI2262" i="1" s="1"/>
  <c r="AI2263" i="1" s="1"/>
  <c r="AI2264" i="1" s="1"/>
  <c r="AI2265" i="1" s="1"/>
  <c r="AI2266" i="1" s="1"/>
  <c r="AI2267" i="1" s="1"/>
  <c r="AI2268" i="1" s="1"/>
  <c r="AI2269" i="1" s="1"/>
  <c r="AI2270" i="1" s="1"/>
  <c r="AI2271" i="1" s="1"/>
  <c r="AI2272" i="1" s="1"/>
  <c r="AI2273" i="1" s="1"/>
  <c r="AI2274" i="1" s="1"/>
  <c r="AI2275" i="1" s="1"/>
  <c r="AI2276" i="1" s="1"/>
  <c r="AI2277" i="1" s="1"/>
  <c r="AI2278" i="1" s="1"/>
  <c r="AI2279" i="1" s="1"/>
  <c r="AI2280" i="1" s="1"/>
  <c r="AI2281" i="1" s="1"/>
  <c r="AI2282" i="1" s="1"/>
  <c r="AI2283" i="1" s="1"/>
  <c r="AI2284" i="1" s="1"/>
  <c r="AI2285" i="1" s="1"/>
  <c r="AI2286" i="1" s="1"/>
  <c r="AI2287" i="1" s="1"/>
  <c r="AI2288" i="1" s="1"/>
  <c r="AI2289" i="1" s="1"/>
  <c r="AI2290" i="1" s="1"/>
  <c r="AI2291" i="1" s="1"/>
  <c r="AI2292" i="1" s="1"/>
  <c r="AI2293" i="1" s="1"/>
  <c r="AI2294" i="1" s="1"/>
  <c r="AI2295" i="1" s="1"/>
  <c r="AI2296" i="1" s="1"/>
  <c r="AI2297" i="1" s="1"/>
  <c r="AI2298" i="1" s="1"/>
  <c r="AI2299" i="1" s="1"/>
  <c r="AI2300" i="1" s="1"/>
  <c r="AI2301" i="1" s="1"/>
  <c r="AI2302" i="1" s="1"/>
  <c r="AI2303" i="1" s="1"/>
  <c r="AI2304" i="1" s="1"/>
  <c r="AI2305" i="1" s="1"/>
  <c r="AI2306" i="1" s="1"/>
  <c r="AI2307" i="1" s="1"/>
  <c r="AI2308" i="1" s="1"/>
  <c r="AI2309" i="1" s="1"/>
  <c r="AI2310" i="1" s="1"/>
  <c r="AI2311" i="1" s="1"/>
  <c r="AI2312" i="1" s="1"/>
  <c r="AI2313" i="1" s="1"/>
  <c r="AI2314" i="1" s="1"/>
  <c r="AI2315" i="1" s="1"/>
  <c r="AI2316" i="1" s="1"/>
  <c r="AI2317" i="1" s="1"/>
  <c r="AI2318" i="1" s="1"/>
  <c r="AI2319" i="1" s="1"/>
  <c r="AI2320" i="1" s="1"/>
  <c r="AI2321" i="1" s="1"/>
  <c r="AI2322" i="1" s="1"/>
  <c r="AI2323" i="1" s="1"/>
  <c r="AI2324" i="1" s="1"/>
  <c r="AI2325" i="1" s="1"/>
  <c r="AI2326" i="1" s="1"/>
  <c r="AI2327" i="1" s="1"/>
  <c r="AI2328" i="1" s="1"/>
  <c r="AI2329" i="1" s="1"/>
  <c r="AI2330" i="1" s="1"/>
  <c r="AI2331" i="1" s="1"/>
  <c r="AI2332" i="1" s="1"/>
  <c r="AI2333" i="1" s="1"/>
  <c r="AI2334" i="1" s="1"/>
  <c r="AI2335" i="1" s="1"/>
  <c r="AI2336" i="1" s="1"/>
  <c r="AI2337" i="1" s="1"/>
  <c r="AI2338" i="1" s="1"/>
  <c r="AI2339" i="1" s="1"/>
  <c r="AI2340" i="1" s="1"/>
  <c r="AI2341" i="1" s="1"/>
  <c r="AI2342" i="1" s="1"/>
  <c r="AI2343" i="1" s="1"/>
  <c r="AI2344" i="1" s="1"/>
  <c r="AI2345" i="1" s="1"/>
  <c r="AI2346" i="1" s="1"/>
  <c r="AI2347" i="1" s="1"/>
  <c r="AI2348" i="1" s="1"/>
  <c r="AI2349" i="1" s="1"/>
  <c r="AI2350" i="1" s="1"/>
  <c r="AI2351" i="1" s="1"/>
  <c r="AI2352" i="1" s="1"/>
  <c r="AI2353" i="1" s="1"/>
  <c r="AI2354" i="1" s="1"/>
  <c r="AI2355" i="1" s="1"/>
  <c r="AI2356" i="1" s="1"/>
  <c r="AI2357" i="1" s="1"/>
  <c r="AI2358" i="1" s="1"/>
  <c r="AI2359" i="1" s="1"/>
  <c r="AI2360" i="1" s="1"/>
  <c r="AI2361" i="1" s="1"/>
  <c r="AI2362" i="1" s="1"/>
  <c r="AI2363" i="1" s="1"/>
  <c r="AI2364" i="1" s="1"/>
  <c r="AI2365" i="1" s="1"/>
  <c r="AI2366" i="1" s="1"/>
  <c r="AI2367" i="1" s="1"/>
  <c r="AI2368" i="1" s="1"/>
  <c r="AI2369" i="1" s="1"/>
  <c r="AI2370" i="1" s="1"/>
  <c r="AI2371" i="1" s="1"/>
  <c r="AI2372" i="1" s="1"/>
  <c r="AI2373" i="1" s="1"/>
  <c r="AI2374" i="1" s="1"/>
  <c r="AI2375" i="1" s="1"/>
  <c r="AI2376" i="1" s="1"/>
  <c r="AI2377" i="1" s="1"/>
  <c r="AI2378" i="1" s="1"/>
  <c r="AI2379" i="1" s="1"/>
  <c r="AI2380" i="1" s="1"/>
  <c r="AI2381" i="1" s="1"/>
  <c r="AI2382" i="1" s="1"/>
  <c r="AI2383" i="1" s="1"/>
  <c r="AI2384" i="1" s="1"/>
  <c r="AI2385" i="1" s="1"/>
  <c r="AI2386" i="1" s="1"/>
  <c r="AI2387" i="1" s="1"/>
  <c r="AI2388" i="1" s="1"/>
  <c r="AI2389" i="1" s="1"/>
  <c r="AI2390" i="1" s="1"/>
  <c r="AI2391" i="1" s="1"/>
  <c r="AI2392" i="1" s="1"/>
  <c r="AI2393" i="1" s="1"/>
  <c r="AI2394" i="1" s="1"/>
  <c r="AI2395" i="1" s="1"/>
  <c r="AI2396" i="1" s="1"/>
  <c r="AI2397" i="1" s="1"/>
  <c r="AI2398" i="1" s="1"/>
  <c r="AI2399" i="1" s="1"/>
  <c r="AI2400" i="1" s="1"/>
  <c r="AI2401" i="1" s="1"/>
  <c r="AI2402" i="1" s="1"/>
  <c r="AI2403" i="1" s="1"/>
  <c r="AI2404" i="1" s="1"/>
  <c r="AI2405" i="1" s="1"/>
  <c r="AI2406" i="1" s="1"/>
  <c r="AI2407" i="1" s="1"/>
  <c r="AI2408" i="1" s="1"/>
  <c r="AI2409" i="1" s="1"/>
  <c r="AI2410" i="1" s="1"/>
  <c r="AI2411" i="1" s="1"/>
  <c r="AI2412" i="1" s="1"/>
  <c r="AI2413" i="1" s="1"/>
  <c r="AI2414" i="1" s="1"/>
  <c r="AI2415" i="1" s="1"/>
  <c r="AI2416" i="1" s="1"/>
  <c r="AI2417" i="1" s="1"/>
  <c r="AI2418" i="1" s="1"/>
  <c r="AI2419" i="1" s="1"/>
  <c r="AI2420" i="1" s="1"/>
  <c r="AI2421" i="1" s="1"/>
  <c r="AI2422" i="1" s="1"/>
  <c r="AI2423" i="1" s="1"/>
  <c r="AI2424" i="1" s="1"/>
  <c r="AI2425" i="1" s="1"/>
  <c r="AI2426" i="1" s="1"/>
  <c r="AI2427" i="1" s="1"/>
  <c r="AI2428" i="1" s="1"/>
  <c r="AI2429" i="1" s="1"/>
  <c r="AI2430" i="1" s="1"/>
  <c r="AI2431" i="1" s="1"/>
  <c r="AI2432" i="1" s="1"/>
  <c r="AI2433" i="1" s="1"/>
  <c r="AI2434" i="1" s="1"/>
  <c r="AI2435" i="1" s="1"/>
  <c r="AI2436" i="1" s="1"/>
  <c r="AI2437" i="1" s="1"/>
  <c r="AI2438" i="1" s="1"/>
  <c r="AI2439" i="1" s="1"/>
  <c r="AI2440" i="1" s="1"/>
  <c r="AI2441" i="1" s="1"/>
  <c r="AI2442" i="1" s="1"/>
  <c r="AI2443" i="1" s="1"/>
  <c r="AI2444" i="1" s="1"/>
  <c r="AI2445" i="1" s="1"/>
  <c r="AI2446" i="1" s="1"/>
  <c r="AI2447" i="1" s="1"/>
  <c r="AI2448" i="1" s="1"/>
  <c r="AI2449" i="1" s="1"/>
  <c r="AI2450" i="1" s="1"/>
  <c r="AI2451" i="1" s="1"/>
  <c r="AI2452" i="1" s="1"/>
  <c r="AI2453" i="1" s="1"/>
  <c r="AI2454" i="1" s="1"/>
  <c r="AI2455" i="1" s="1"/>
  <c r="AI2456" i="1" s="1"/>
  <c r="AI2457" i="1" s="1"/>
  <c r="AI2458" i="1" s="1"/>
  <c r="AI2459" i="1" s="1"/>
  <c r="AI2460" i="1" s="1"/>
  <c r="AI2461" i="1" s="1"/>
  <c r="AI2462" i="1" s="1"/>
  <c r="AI2463" i="1" s="1"/>
  <c r="AI2464" i="1" s="1"/>
  <c r="AI2465" i="1" s="1"/>
  <c r="AI2466" i="1" s="1"/>
  <c r="AI2467" i="1" s="1"/>
  <c r="AI2468" i="1" s="1"/>
  <c r="AI2469" i="1" s="1"/>
  <c r="AI2470" i="1" s="1"/>
  <c r="AI2471" i="1" s="1"/>
  <c r="AI2472" i="1" s="1"/>
  <c r="AI2473" i="1" s="1"/>
  <c r="AI2474" i="1" s="1"/>
  <c r="AI2475" i="1" s="1"/>
  <c r="AI2476" i="1" s="1"/>
  <c r="AI2477" i="1" s="1"/>
  <c r="AI2478" i="1" s="1"/>
  <c r="AI2479" i="1" s="1"/>
  <c r="AI2480" i="1" s="1"/>
  <c r="AI2481" i="1" s="1"/>
  <c r="AI2482" i="1" s="1"/>
  <c r="AI2483" i="1" s="1"/>
  <c r="AI2484" i="1" s="1"/>
  <c r="AI2485" i="1" s="1"/>
  <c r="AI2486" i="1" s="1"/>
  <c r="AI2487" i="1" s="1"/>
  <c r="AI2488" i="1" s="1"/>
  <c r="AI2489" i="1" s="1"/>
  <c r="AI2490" i="1" s="1"/>
  <c r="AI2491" i="1" s="1"/>
  <c r="AI2492" i="1" s="1"/>
  <c r="AI2493" i="1" s="1"/>
  <c r="AI2494" i="1" s="1"/>
  <c r="AI2495" i="1" s="1"/>
  <c r="AI2496" i="1" s="1"/>
  <c r="AI2497" i="1" s="1"/>
  <c r="AI2498" i="1" s="1"/>
  <c r="AI2499" i="1" s="1"/>
  <c r="AI2500" i="1" s="1"/>
  <c r="AI2501" i="1" s="1"/>
  <c r="AI2502" i="1" s="1"/>
  <c r="AI2503" i="1" s="1"/>
  <c r="AI2504" i="1" s="1"/>
  <c r="AI2505" i="1" s="1"/>
  <c r="AI2506" i="1" s="1"/>
  <c r="AI2507" i="1" s="1"/>
  <c r="AI2508" i="1" s="1"/>
  <c r="AI2509" i="1" s="1"/>
  <c r="AI2510" i="1" s="1"/>
  <c r="AI2511" i="1" s="1"/>
  <c r="AI2512" i="1" s="1"/>
  <c r="AI2513" i="1" s="1"/>
  <c r="AI2514" i="1" s="1"/>
  <c r="AI2515" i="1" s="1"/>
  <c r="AI2516" i="1" s="1"/>
  <c r="AI2517" i="1" s="1"/>
  <c r="AI2518" i="1" s="1"/>
  <c r="AI2519" i="1" s="1"/>
  <c r="AI2520" i="1" s="1"/>
  <c r="AI2521" i="1" s="1"/>
  <c r="AI2522" i="1" s="1"/>
  <c r="AI2523" i="1" s="1"/>
  <c r="AI2524" i="1" s="1"/>
  <c r="AI2525" i="1" s="1"/>
  <c r="AI2526" i="1" s="1"/>
  <c r="AI2527" i="1" s="1"/>
  <c r="AI2528" i="1" s="1"/>
  <c r="AI2529" i="1" s="1"/>
  <c r="AI2530" i="1" s="1"/>
  <c r="AI2531" i="1" s="1"/>
  <c r="AI2532" i="1" s="1"/>
  <c r="AI2533" i="1" s="1"/>
  <c r="AI2534" i="1" s="1"/>
  <c r="AI2535" i="1" s="1"/>
  <c r="AI2536" i="1" s="1"/>
  <c r="AI2537" i="1" s="1"/>
  <c r="AI2538" i="1" s="1"/>
  <c r="AI2539" i="1" s="1"/>
  <c r="AI2540" i="1" s="1"/>
  <c r="AI2541" i="1" s="1"/>
  <c r="AI2542" i="1" s="1"/>
  <c r="AI2543" i="1" s="1"/>
  <c r="AI2544" i="1" s="1"/>
  <c r="AI2545" i="1" s="1"/>
  <c r="AI2546" i="1" s="1"/>
  <c r="AI2547" i="1" s="1"/>
  <c r="AI2548" i="1" s="1"/>
  <c r="AI2549" i="1" s="1"/>
  <c r="AI2550" i="1" s="1"/>
  <c r="AI2551" i="1" s="1"/>
  <c r="AI2552" i="1" s="1"/>
  <c r="AI2553" i="1" s="1"/>
  <c r="AI2554" i="1" s="1"/>
  <c r="AI2555" i="1" s="1"/>
  <c r="AI2556" i="1" s="1"/>
  <c r="AI2557" i="1" s="1"/>
  <c r="AI2558" i="1" s="1"/>
  <c r="AI2559" i="1" s="1"/>
  <c r="AI2560" i="1" s="1"/>
  <c r="AI2561" i="1" s="1"/>
  <c r="AI2562" i="1" s="1"/>
  <c r="AI2563" i="1" s="1"/>
  <c r="AI2564" i="1" s="1"/>
  <c r="AI2565" i="1" s="1"/>
  <c r="AI2566" i="1" s="1"/>
  <c r="AI2567" i="1" s="1"/>
  <c r="AI2568" i="1" s="1"/>
  <c r="AI2569" i="1" s="1"/>
  <c r="AI2570" i="1" s="1"/>
  <c r="AI2571" i="1" s="1"/>
  <c r="AI2572" i="1" s="1"/>
  <c r="AI2573" i="1" s="1"/>
  <c r="AI2574" i="1" s="1"/>
  <c r="AI2575" i="1" s="1"/>
  <c r="AI2576" i="1" s="1"/>
  <c r="AI2577" i="1" s="1"/>
  <c r="AI2578" i="1" s="1"/>
  <c r="AI2579" i="1" s="1"/>
  <c r="AI2580" i="1" s="1"/>
  <c r="AI2581" i="1" s="1"/>
  <c r="AI2582" i="1" s="1"/>
  <c r="AI2583" i="1" s="1"/>
  <c r="AI2584" i="1" s="1"/>
  <c r="AI2585" i="1" s="1"/>
  <c r="AI2586" i="1" s="1"/>
  <c r="AI2587" i="1" s="1"/>
  <c r="AI2588" i="1" s="1"/>
  <c r="AI2589" i="1" s="1"/>
  <c r="AI2590" i="1" s="1"/>
  <c r="AI2591" i="1" s="1"/>
  <c r="AI2592" i="1" s="1"/>
  <c r="AI2593" i="1" s="1"/>
  <c r="AI2594" i="1" s="1"/>
  <c r="AI2595" i="1" s="1"/>
  <c r="AI2596" i="1" s="1"/>
  <c r="AI2597" i="1" s="1"/>
  <c r="AI2598" i="1" s="1"/>
  <c r="AI2599" i="1" s="1"/>
  <c r="AI2600" i="1" s="1"/>
  <c r="AF202" i="8"/>
  <c r="AH203" i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H500" i="1" s="1"/>
  <c r="AH501" i="1" s="1"/>
  <c r="AH502" i="1" s="1"/>
  <c r="AH503" i="1" s="1"/>
  <c r="AH504" i="1" s="1"/>
  <c r="AH505" i="1" s="1"/>
  <c r="AH506" i="1" s="1"/>
  <c r="AH507" i="1" s="1"/>
  <c r="AH508" i="1" s="1"/>
  <c r="AH509" i="1" s="1"/>
  <c r="AH510" i="1" s="1"/>
  <c r="AH511" i="1" s="1"/>
  <c r="AH512" i="1" s="1"/>
  <c r="AH513" i="1" s="1"/>
  <c r="AH514" i="1" s="1"/>
  <c r="AH515" i="1" s="1"/>
  <c r="AH516" i="1" s="1"/>
  <c r="AH517" i="1" s="1"/>
  <c r="AH518" i="1" s="1"/>
  <c r="AH519" i="1" s="1"/>
  <c r="AH520" i="1" s="1"/>
  <c r="AH521" i="1" s="1"/>
  <c r="AH522" i="1" s="1"/>
  <c r="AH523" i="1" s="1"/>
  <c r="AH524" i="1" s="1"/>
  <c r="AH525" i="1" s="1"/>
  <c r="AH526" i="1" s="1"/>
  <c r="AH527" i="1" s="1"/>
  <c r="AH528" i="1" s="1"/>
  <c r="AH529" i="1" s="1"/>
  <c r="AH530" i="1" s="1"/>
  <c r="AH531" i="1" s="1"/>
  <c r="AH532" i="1" s="1"/>
  <c r="AH533" i="1" s="1"/>
  <c r="AH534" i="1" s="1"/>
  <c r="AH535" i="1" s="1"/>
  <c r="AH536" i="1" s="1"/>
  <c r="AH537" i="1" s="1"/>
  <c r="AH538" i="1" s="1"/>
  <c r="AH539" i="1" s="1"/>
  <c r="AH540" i="1" s="1"/>
  <c r="AH541" i="1" s="1"/>
  <c r="AH542" i="1" s="1"/>
  <c r="AH543" i="1" s="1"/>
  <c r="AH544" i="1" s="1"/>
  <c r="AH545" i="1" s="1"/>
  <c r="AH546" i="1" s="1"/>
  <c r="AH547" i="1" s="1"/>
  <c r="AH548" i="1" s="1"/>
  <c r="AH549" i="1" s="1"/>
  <c r="AH550" i="1" s="1"/>
  <c r="AH551" i="1" s="1"/>
  <c r="AH552" i="1" s="1"/>
  <c r="AH553" i="1" s="1"/>
  <c r="AH554" i="1" s="1"/>
  <c r="AH555" i="1" s="1"/>
  <c r="AH556" i="1" s="1"/>
  <c r="AH557" i="1" s="1"/>
  <c r="AH558" i="1" s="1"/>
  <c r="AH559" i="1" s="1"/>
  <c r="AH560" i="1" s="1"/>
  <c r="AH561" i="1" s="1"/>
  <c r="AH562" i="1" s="1"/>
  <c r="AH563" i="1" s="1"/>
  <c r="AH564" i="1" s="1"/>
  <c r="AH565" i="1" s="1"/>
  <c r="AH566" i="1" s="1"/>
  <c r="AH567" i="1" s="1"/>
  <c r="AH568" i="1" s="1"/>
  <c r="AH569" i="1" s="1"/>
  <c r="AH570" i="1" s="1"/>
  <c r="AH571" i="1" s="1"/>
  <c r="AH572" i="1" s="1"/>
  <c r="AH573" i="1" s="1"/>
  <c r="AH574" i="1" s="1"/>
  <c r="AH575" i="1" s="1"/>
  <c r="AH576" i="1" s="1"/>
  <c r="AH577" i="1" s="1"/>
  <c r="AH578" i="1" s="1"/>
  <c r="AH579" i="1" s="1"/>
  <c r="AH580" i="1" s="1"/>
  <c r="AH581" i="1" s="1"/>
  <c r="AH582" i="1" s="1"/>
  <c r="AH583" i="1" s="1"/>
  <c r="AH584" i="1" s="1"/>
  <c r="AH585" i="1" s="1"/>
  <c r="AH586" i="1" s="1"/>
  <c r="AH587" i="1" s="1"/>
  <c r="AH588" i="1" s="1"/>
  <c r="AH589" i="1" s="1"/>
  <c r="AH590" i="1" s="1"/>
  <c r="AH591" i="1" s="1"/>
  <c r="AH592" i="1" s="1"/>
  <c r="AH593" i="1" s="1"/>
  <c r="AH594" i="1" s="1"/>
  <c r="AH595" i="1" s="1"/>
  <c r="AH596" i="1" s="1"/>
  <c r="AH597" i="1" s="1"/>
  <c r="AH598" i="1" s="1"/>
  <c r="AH599" i="1" s="1"/>
  <c r="AH600" i="1" s="1"/>
  <c r="AH601" i="1" s="1"/>
  <c r="AH602" i="1" s="1"/>
  <c r="AH603" i="1" s="1"/>
  <c r="AH604" i="1" s="1"/>
  <c r="AH605" i="1" s="1"/>
  <c r="AH606" i="1" s="1"/>
  <c r="AH607" i="1" s="1"/>
  <c r="AH608" i="1" s="1"/>
  <c r="AH609" i="1" s="1"/>
  <c r="AH610" i="1" s="1"/>
  <c r="AH611" i="1" s="1"/>
  <c r="AH612" i="1" s="1"/>
  <c r="AH613" i="1" s="1"/>
  <c r="AH614" i="1" s="1"/>
  <c r="AH615" i="1" s="1"/>
  <c r="AH616" i="1" s="1"/>
  <c r="AH617" i="1" s="1"/>
  <c r="AH618" i="1" s="1"/>
  <c r="AH619" i="1" s="1"/>
  <c r="AH620" i="1" s="1"/>
  <c r="AH621" i="1" s="1"/>
  <c r="AH622" i="1" s="1"/>
  <c r="AH623" i="1" s="1"/>
  <c r="AH624" i="1" s="1"/>
  <c r="AH625" i="1" s="1"/>
  <c r="AH626" i="1" s="1"/>
  <c r="AH627" i="1" s="1"/>
  <c r="AH628" i="1" s="1"/>
  <c r="AH629" i="1" s="1"/>
  <c r="AH630" i="1" s="1"/>
  <c r="AH631" i="1" s="1"/>
  <c r="AH632" i="1" s="1"/>
  <c r="AH633" i="1" s="1"/>
  <c r="AH634" i="1" s="1"/>
  <c r="AH635" i="1" s="1"/>
  <c r="AH636" i="1" s="1"/>
  <c r="AH637" i="1" s="1"/>
  <c r="AH638" i="1" s="1"/>
  <c r="AH639" i="1" s="1"/>
  <c r="AH640" i="1" s="1"/>
  <c r="AH641" i="1" s="1"/>
  <c r="AH642" i="1" s="1"/>
  <c r="AH643" i="1" s="1"/>
  <c r="AH644" i="1" s="1"/>
  <c r="AH645" i="1" s="1"/>
  <c r="AH646" i="1" s="1"/>
  <c r="AH647" i="1" s="1"/>
  <c r="AH648" i="1" s="1"/>
  <c r="AH649" i="1" s="1"/>
  <c r="AH650" i="1" s="1"/>
  <c r="AH651" i="1" s="1"/>
  <c r="AH652" i="1" s="1"/>
  <c r="AH653" i="1" s="1"/>
  <c r="AH654" i="1" s="1"/>
  <c r="AH655" i="1" s="1"/>
  <c r="AH656" i="1" s="1"/>
  <c r="AH657" i="1" s="1"/>
  <c r="AH658" i="1" s="1"/>
  <c r="AH659" i="1" s="1"/>
  <c r="AH660" i="1" s="1"/>
  <c r="AH661" i="1" s="1"/>
  <c r="AH662" i="1" s="1"/>
  <c r="AH663" i="1" s="1"/>
  <c r="AH664" i="1" s="1"/>
  <c r="AH665" i="1" s="1"/>
  <c r="AH666" i="1" s="1"/>
  <c r="AH667" i="1" s="1"/>
  <c r="AH668" i="1" s="1"/>
  <c r="AH669" i="1" s="1"/>
  <c r="AH670" i="1" s="1"/>
  <c r="AH671" i="1" s="1"/>
  <c r="AH672" i="1" s="1"/>
  <c r="AH673" i="1" s="1"/>
  <c r="AH674" i="1" s="1"/>
  <c r="AH675" i="1" s="1"/>
  <c r="AH676" i="1" s="1"/>
  <c r="AH677" i="1" s="1"/>
  <c r="AH678" i="1" s="1"/>
  <c r="AH679" i="1" s="1"/>
  <c r="AH680" i="1" s="1"/>
  <c r="AH681" i="1" s="1"/>
  <c r="AH682" i="1" s="1"/>
  <c r="AH683" i="1" s="1"/>
  <c r="AH684" i="1" s="1"/>
  <c r="AH685" i="1" s="1"/>
  <c r="AH686" i="1" s="1"/>
  <c r="AH687" i="1" s="1"/>
  <c r="AH688" i="1" s="1"/>
  <c r="AH689" i="1" s="1"/>
  <c r="AH690" i="1" s="1"/>
  <c r="AH691" i="1" s="1"/>
  <c r="AH692" i="1" s="1"/>
  <c r="AH693" i="1" s="1"/>
  <c r="AH694" i="1" s="1"/>
  <c r="AH695" i="1" s="1"/>
  <c r="AH696" i="1" s="1"/>
  <c r="AH697" i="1" s="1"/>
  <c r="AH698" i="1" s="1"/>
  <c r="AH699" i="1" s="1"/>
  <c r="AH700" i="1" s="1"/>
  <c r="AH701" i="1" s="1"/>
  <c r="AH702" i="1" s="1"/>
  <c r="AH703" i="1" s="1"/>
  <c r="AH704" i="1" s="1"/>
  <c r="AH705" i="1" s="1"/>
  <c r="AH706" i="1" s="1"/>
  <c r="AH707" i="1" s="1"/>
  <c r="AH708" i="1" s="1"/>
  <c r="AH709" i="1" s="1"/>
  <c r="AH710" i="1" s="1"/>
  <c r="AH711" i="1" s="1"/>
  <c r="AH712" i="1" s="1"/>
  <c r="AH713" i="1" s="1"/>
  <c r="AH714" i="1" s="1"/>
  <c r="AH715" i="1" s="1"/>
  <c r="AH716" i="1" s="1"/>
  <c r="AH717" i="1" s="1"/>
  <c r="AH718" i="1" s="1"/>
  <c r="AH719" i="1" s="1"/>
  <c r="AH720" i="1" s="1"/>
  <c r="AH721" i="1" s="1"/>
  <c r="AH722" i="1" s="1"/>
  <c r="AH723" i="1" s="1"/>
  <c r="AH724" i="1" s="1"/>
  <c r="AH725" i="1" s="1"/>
  <c r="AH726" i="1" s="1"/>
  <c r="AH727" i="1" s="1"/>
  <c r="AH728" i="1" s="1"/>
  <c r="AH729" i="1" s="1"/>
  <c r="AH730" i="1" s="1"/>
  <c r="AH731" i="1" s="1"/>
  <c r="AH732" i="1" s="1"/>
  <c r="AH733" i="1" s="1"/>
  <c r="AH734" i="1" s="1"/>
  <c r="AH735" i="1" s="1"/>
  <c r="AH736" i="1" s="1"/>
  <c r="AH737" i="1" s="1"/>
  <c r="AH738" i="1" s="1"/>
  <c r="AH739" i="1" s="1"/>
  <c r="AH740" i="1" s="1"/>
  <c r="AH741" i="1" s="1"/>
  <c r="AH742" i="1" s="1"/>
  <c r="AH743" i="1" s="1"/>
  <c r="AH744" i="1" s="1"/>
  <c r="AH745" i="1" s="1"/>
  <c r="AH746" i="1" s="1"/>
  <c r="AH747" i="1" s="1"/>
  <c r="AH748" i="1" s="1"/>
  <c r="AH749" i="1" s="1"/>
  <c r="AH750" i="1" s="1"/>
  <c r="AH751" i="1" s="1"/>
  <c r="AH752" i="1" s="1"/>
  <c r="AH753" i="1" s="1"/>
  <c r="AH754" i="1" s="1"/>
  <c r="AH755" i="1" s="1"/>
  <c r="AH756" i="1" s="1"/>
  <c r="AH757" i="1" s="1"/>
  <c r="AH758" i="1" s="1"/>
  <c r="AH759" i="1" s="1"/>
  <c r="AH760" i="1" s="1"/>
  <c r="AH761" i="1" s="1"/>
  <c r="AH762" i="1" s="1"/>
  <c r="AH763" i="1" s="1"/>
  <c r="AH764" i="1" s="1"/>
  <c r="AH765" i="1" s="1"/>
  <c r="AH766" i="1" s="1"/>
  <c r="AH767" i="1" s="1"/>
  <c r="AH768" i="1" s="1"/>
  <c r="AH769" i="1" s="1"/>
  <c r="AH770" i="1" s="1"/>
  <c r="AH771" i="1" s="1"/>
  <c r="AH772" i="1" s="1"/>
  <c r="AH773" i="1" s="1"/>
  <c r="AH774" i="1" s="1"/>
  <c r="AH775" i="1" s="1"/>
  <c r="AH776" i="1" s="1"/>
  <c r="AH777" i="1" s="1"/>
  <c r="AH778" i="1" s="1"/>
  <c r="AH779" i="1" s="1"/>
  <c r="AH780" i="1" s="1"/>
  <c r="AH781" i="1" s="1"/>
  <c r="AH782" i="1" s="1"/>
  <c r="AH783" i="1" s="1"/>
  <c r="AH784" i="1" s="1"/>
  <c r="AH785" i="1" s="1"/>
  <c r="AH786" i="1" s="1"/>
  <c r="AH787" i="1" s="1"/>
  <c r="AH788" i="1" s="1"/>
  <c r="AH789" i="1" s="1"/>
  <c r="AH790" i="1" s="1"/>
  <c r="AH791" i="1" s="1"/>
  <c r="AH792" i="1" s="1"/>
  <c r="AH793" i="1" s="1"/>
  <c r="AH794" i="1" s="1"/>
  <c r="AH795" i="1" s="1"/>
  <c r="AH796" i="1" s="1"/>
  <c r="AH797" i="1" s="1"/>
  <c r="AH798" i="1" s="1"/>
  <c r="AH799" i="1" s="1"/>
  <c r="AH800" i="1" s="1"/>
  <c r="AH801" i="1" s="1"/>
  <c r="AH802" i="1" s="1"/>
  <c r="AH803" i="1" s="1"/>
  <c r="AH804" i="1" s="1"/>
  <c r="AH805" i="1" s="1"/>
  <c r="AH806" i="1" s="1"/>
  <c r="AH807" i="1" s="1"/>
  <c r="AH808" i="1" s="1"/>
  <c r="AH809" i="1" s="1"/>
  <c r="AH810" i="1" s="1"/>
  <c r="AH811" i="1" s="1"/>
  <c r="AH812" i="1" s="1"/>
  <c r="AH813" i="1" s="1"/>
  <c r="AH814" i="1" s="1"/>
  <c r="AH815" i="1" s="1"/>
  <c r="AH816" i="1" s="1"/>
  <c r="AH817" i="1" s="1"/>
  <c r="AH818" i="1" s="1"/>
  <c r="AH819" i="1" s="1"/>
  <c r="AH820" i="1" s="1"/>
  <c r="AH821" i="1" s="1"/>
  <c r="AH822" i="1" s="1"/>
  <c r="AH823" i="1" s="1"/>
  <c r="AH824" i="1" s="1"/>
  <c r="AH825" i="1" s="1"/>
  <c r="AH826" i="1" s="1"/>
  <c r="AH827" i="1" s="1"/>
  <c r="AH828" i="1" s="1"/>
  <c r="AH829" i="1" s="1"/>
  <c r="AH830" i="1" s="1"/>
  <c r="AH831" i="1" s="1"/>
  <c r="AH832" i="1" s="1"/>
  <c r="AH833" i="1" s="1"/>
  <c r="AH834" i="1" s="1"/>
  <c r="AH835" i="1" s="1"/>
  <c r="AH836" i="1" s="1"/>
  <c r="AH837" i="1" s="1"/>
  <c r="AH838" i="1" s="1"/>
  <c r="AH839" i="1" s="1"/>
  <c r="AH840" i="1" s="1"/>
  <c r="AH841" i="1" s="1"/>
  <c r="AH842" i="1" s="1"/>
  <c r="AH843" i="1" s="1"/>
  <c r="AH844" i="1" s="1"/>
  <c r="AH845" i="1" s="1"/>
  <c r="AH846" i="1" s="1"/>
  <c r="AH847" i="1" s="1"/>
  <c r="AH848" i="1" s="1"/>
  <c r="AH849" i="1" s="1"/>
  <c r="AH850" i="1" s="1"/>
  <c r="AH851" i="1" s="1"/>
  <c r="AH852" i="1" s="1"/>
  <c r="AH853" i="1" s="1"/>
  <c r="AH854" i="1" s="1"/>
  <c r="AH855" i="1" s="1"/>
  <c r="AH856" i="1" s="1"/>
  <c r="AH857" i="1" s="1"/>
  <c r="AH858" i="1" s="1"/>
  <c r="AH859" i="1" s="1"/>
  <c r="AH860" i="1" s="1"/>
  <c r="AH861" i="1" s="1"/>
  <c r="AH862" i="1" s="1"/>
  <c r="AH863" i="1" s="1"/>
  <c r="AH864" i="1" s="1"/>
  <c r="AH865" i="1" s="1"/>
  <c r="AH866" i="1" s="1"/>
  <c r="AH867" i="1" s="1"/>
  <c r="AH868" i="1" s="1"/>
  <c r="AH869" i="1" s="1"/>
  <c r="AH870" i="1" s="1"/>
  <c r="AH871" i="1" s="1"/>
  <c r="AH872" i="1" s="1"/>
  <c r="AH873" i="1" s="1"/>
  <c r="AH874" i="1" s="1"/>
  <c r="AH875" i="1" s="1"/>
  <c r="AH876" i="1" s="1"/>
  <c r="AH877" i="1" s="1"/>
  <c r="AH878" i="1" s="1"/>
  <c r="AH879" i="1" s="1"/>
  <c r="AH880" i="1" s="1"/>
  <c r="AH881" i="1" s="1"/>
  <c r="AH882" i="1" s="1"/>
  <c r="AH883" i="1" s="1"/>
  <c r="AH884" i="1" s="1"/>
  <c r="AH885" i="1" s="1"/>
  <c r="AH886" i="1" s="1"/>
  <c r="AH887" i="1" s="1"/>
  <c r="AH888" i="1" s="1"/>
  <c r="AH889" i="1" s="1"/>
  <c r="AH890" i="1" s="1"/>
  <c r="AH891" i="1" s="1"/>
  <c r="AH892" i="1" s="1"/>
  <c r="AH893" i="1" s="1"/>
  <c r="AH894" i="1" s="1"/>
  <c r="AH895" i="1" s="1"/>
  <c r="AH896" i="1" s="1"/>
  <c r="AH897" i="1" s="1"/>
  <c r="AH898" i="1" s="1"/>
  <c r="AH899" i="1" s="1"/>
  <c r="AH900" i="1" s="1"/>
  <c r="AH901" i="1" s="1"/>
  <c r="AH902" i="1" s="1"/>
  <c r="AH903" i="1" s="1"/>
  <c r="AH904" i="1" s="1"/>
  <c r="AH905" i="1" s="1"/>
  <c r="AH906" i="1" s="1"/>
  <c r="AH907" i="1" s="1"/>
  <c r="AH908" i="1" s="1"/>
  <c r="AH909" i="1" s="1"/>
  <c r="AH910" i="1" s="1"/>
  <c r="AH911" i="1" s="1"/>
  <c r="AH912" i="1" s="1"/>
  <c r="AH913" i="1" s="1"/>
  <c r="AH914" i="1" s="1"/>
  <c r="AH915" i="1" s="1"/>
  <c r="AH916" i="1" s="1"/>
  <c r="AH917" i="1" s="1"/>
  <c r="AH918" i="1" s="1"/>
  <c r="AH919" i="1" s="1"/>
  <c r="AH920" i="1" s="1"/>
  <c r="AH921" i="1" s="1"/>
  <c r="AH922" i="1" s="1"/>
  <c r="AH923" i="1" s="1"/>
  <c r="AH924" i="1" s="1"/>
  <c r="AH925" i="1" s="1"/>
  <c r="AH926" i="1" s="1"/>
  <c r="AH927" i="1" s="1"/>
  <c r="AH928" i="1" s="1"/>
  <c r="AH929" i="1" s="1"/>
  <c r="AH930" i="1" s="1"/>
  <c r="AH931" i="1" s="1"/>
  <c r="AH932" i="1" s="1"/>
  <c r="AH933" i="1" s="1"/>
  <c r="AH934" i="1" s="1"/>
  <c r="AH935" i="1" s="1"/>
  <c r="AH936" i="1" s="1"/>
  <c r="AH937" i="1" s="1"/>
  <c r="AH938" i="1" s="1"/>
  <c r="AH939" i="1" s="1"/>
  <c r="AH940" i="1" s="1"/>
  <c r="AH941" i="1" s="1"/>
  <c r="AH942" i="1" s="1"/>
  <c r="AH943" i="1" s="1"/>
  <c r="AH944" i="1" s="1"/>
  <c r="AH945" i="1" s="1"/>
  <c r="AH946" i="1" s="1"/>
  <c r="AH947" i="1" s="1"/>
  <c r="AH948" i="1" s="1"/>
  <c r="AH949" i="1" s="1"/>
  <c r="AH950" i="1" s="1"/>
  <c r="AH951" i="1" s="1"/>
  <c r="AH952" i="1" s="1"/>
  <c r="AH953" i="1" s="1"/>
  <c r="AH954" i="1" s="1"/>
  <c r="AH955" i="1" s="1"/>
  <c r="AH956" i="1" s="1"/>
  <c r="AH957" i="1" s="1"/>
  <c r="AH958" i="1" s="1"/>
  <c r="AH959" i="1" s="1"/>
  <c r="AH960" i="1" s="1"/>
  <c r="AH961" i="1" s="1"/>
  <c r="AH962" i="1" s="1"/>
  <c r="AH963" i="1" s="1"/>
  <c r="AH964" i="1" s="1"/>
  <c r="AH965" i="1" s="1"/>
  <c r="AH966" i="1" s="1"/>
  <c r="AH967" i="1" s="1"/>
  <c r="AH968" i="1" s="1"/>
  <c r="AH969" i="1" s="1"/>
  <c r="AH970" i="1" s="1"/>
  <c r="AH971" i="1" s="1"/>
  <c r="AH972" i="1" s="1"/>
  <c r="AH973" i="1" s="1"/>
  <c r="AH974" i="1" s="1"/>
  <c r="AH975" i="1" s="1"/>
  <c r="AH976" i="1" s="1"/>
  <c r="AH977" i="1" s="1"/>
  <c r="AH978" i="1" s="1"/>
  <c r="AH979" i="1" s="1"/>
  <c r="AH980" i="1" s="1"/>
  <c r="AH981" i="1" s="1"/>
  <c r="AH982" i="1" s="1"/>
  <c r="AH983" i="1" s="1"/>
  <c r="AH984" i="1" s="1"/>
  <c r="AH985" i="1" s="1"/>
  <c r="AH986" i="1" s="1"/>
  <c r="AH987" i="1" s="1"/>
  <c r="AH988" i="1" s="1"/>
  <c r="AH989" i="1" s="1"/>
  <c r="AH990" i="1" s="1"/>
  <c r="AH991" i="1" s="1"/>
  <c r="AH992" i="1" s="1"/>
  <c r="AH993" i="1" s="1"/>
  <c r="AH994" i="1" s="1"/>
  <c r="AH995" i="1" s="1"/>
  <c r="AH996" i="1" s="1"/>
  <c r="AH997" i="1" s="1"/>
  <c r="AH998" i="1" s="1"/>
  <c r="AH999" i="1" s="1"/>
  <c r="AH1000" i="1" s="1"/>
  <c r="AH1001" i="1" s="1"/>
  <c r="AH1002" i="1" s="1"/>
  <c r="AH1003" i="1" s="1"/>
  <c r="AH1004" i="1" s="1"/>
  <c r="AH1005" i="1" s="1"/>
  <c r="AH1006" i="1" s="1"/>
  <c r="AH1007" i="1" s="1"/>
  <c r="AH1008" i="1" s="1"/>
  <c r="AH1009" i="1" s="1"/>
  <c r="AH1010" i="1" s="1"/>
  <c r="AH1011" i="1" s="1"/>
  <c r="AH1012" i="1" s="1"/>
  <c r="AH1013" i="1" s="1"/>
  <c r="AH1014" i="1" s="1"/>
  <c r="AH1015" i="1" s="1"/>
  <c r="AH1016" i="1" s="1"/>
  <c r="AH1017" i="1" s="1"/>
  <c r="AH1018" i="1" s="1"/>
  <c r="AH1019" i="1" s="1"/>
  <c r="AH1020" i="1" s="1"/>
  <c r="AH1021" i="1" s="1"/>
  <c r="AH1022" i="1" s="1"/>
  <c r="AH1023" i="1" s="1"/>
  <c r="AH1024" i="1" s="1"/>
  <c r="AH1025" i="1" s="1"/>
  <c r="AH1026" i="1" s="1"/>
  <c r="AH1027" i="1" s="1"/>
  <c r="AH1028" i="1" s="1"/>
  <c r="AH1029" i="1" s="1"/>
  <c r="AH1030" i="1" s="1"/>
  <c r="AH1031" i="1" s="1"/>
  <c r="AH1032" i="1" s="1"/>
  <c r="AH1033" i="1" s="1"/>
  <c r="AH1034" i="1" s="1"/>
  <c r="AH1035" i="1" s="1"/>
  <c r="AH1036" i="1" s="1"/>
  <c r="AH1037" i="1" s="1"/>
  <c r="AH1038" i="1" s="1"/>
  <c r="AH1039" i="1" s="1"/>
  <c r="AH1040" i="1" s="1"/>
  <c r="AH1041" i="1" s="1"/>
  <c r="AH1042" i="1" s="1"/>
  <c r="AH1043" i="1" s="1"/>
  <c r="AH1044" i="1" s="1"/>
  <c r="AH1045" i="1" s="1"/>
  <c r="AH1046" i="1" s="1"/>
  <c r="AH1047" i="1" s="1"/>
  <c r="AH1048" i="1" s="1"/>
  <c r="AH1049" i="1" s="1"/>
  <c r="AH1050" i="1" s="1"/>
  <c r="AH1051" i="1" s="1"/>
  <c r="AH1052" i="1" s="1"/>
  <c r="AH1053" i="1" s="1"/>
  <c r="AH1054" i="1" s="1"/>
  <c r="AH1055" i="1" s="1"/>
  <c r="AH1056" i="1" s="1"/>
  <c r="AH1057" i="1" s="1"/>
  <c r="AH1058" i="1" s="1"/>
  <c r="AH1059" i="1" s="1"/>
  <c r="AH1060" i="1" s="1"/>
  <c r="AH1061" i="1" s="1"/>
  <c r="AH1062" i="1" s="1"/>
  <c r="AH1063" i="1" s="1"/>
  <c r="AH1064" i="1" s="1"/>
  <c r="AH1065" i="1" s="1"/>
  <c r="AH1066" i="1" s="1"/>
  <c r="AH1067" i="1" s="1"/>
  <c r="AH1068" i="1" s="1"/>
  <c r="AH1069" i="1" s="1"/>
  <c r="AH1070" i="1" s="1"/>
  <c r="AH1071" i="1" s="1"/>
  <c r="AH1072" i="1" s="1"/>
  <c r="AH1073" i="1" s="1"/>
  <c r="AH1074" i="1" s="1"/>
  <c r="AH1075" i="1" s="1"/>
  <c r="AH1076" i="1" s="1"/>
  <c r="AH1077" i="1" s="1"/>
  <c r="AH1078" i="1" s="1"/>
  <c r="AH1079" i="1" s="1"/>
  <c r="AH1080" i="1" s="1"/>
  <c r="AH1081" i="1" s="1"/>
  <c r="AH1082" i="1" s="1"/>
  <c r="AH1083" i="1" s="1"/>
  <c r="AH1084" i="1" s="1"/>
  <c r="AH1085" i="1" s="1"/>
  <c r="AH1086" i="1" s="1"/>
  <c r="AH1087" i="1" s="1"/>
  <c r="AH1088" i="1" s="1"/>
  <c r="AH1089" i="1" s="1"/>
  <c r="AH1090" i="1" s="1"/>
  <c r="AH1091" i="1" s="1"/>
  <c r="AH1092" i="1" s="1"/>
  <c r="AH1093" i="1" s="1"/>
  <c r="AH1094" i="1" s="1"/>
  <c r="AH1095" i="1" s="1"/>
  <c r="AH1096" i="1" s="1"/>
  <c r="AH1097" i="1" s="1"/>
  <c r="AH1098" i="1" s="1"/>
  <c r="AH1099" i="1" s="1"/>
  <c r="AH1100" i="1" s="1"/>
  <c r="AH1101" i="1" s="1"/>
  <c r="AH1102" i="1" s="1"/>
  <c r="AH1103" i="1" s="1"/>
  <c r="AH1104" i="1" s="1"/>
  <c r="AH1105" i="1" s="1"/>
  <c r="AH1106" i="1" s="1"/>
  <c r="AH1107" i="1" s="1"/>
  <c r="AH1108" i="1" s="1"/>
  <c r="AH1109" i="1" s="1"/>
  <c r="AH1110" i="1" s="1"/>
  <c r="AH1111" i="1" s="1"/>
  <c r="AH1112" i="1" s="1"/>
  <c r="AH1113" i="1" s="1"/>
  <c r="AH1114" i="1" s="1"/>
  <c r="AH1115" i="1" s="1"/>
  <c r="AH1116" i="1" s="1"/>
  <c r="AH1117" i="1" s="1"/>
  <c r="AH1118" i="1" s="1"/>
  <c r="AH1119" i="1" s="1"/>
  <c r="AH1120" i="1" s="1"/>
  <c r="AH1121" i="1" s="1"/>
  <c r="AH1122" i="1" s="1"/>
  <c r="AH1123" i="1" s="1"/>
  <c r="AH1124" i="1" s="1"/>
  <c r="AH1125" i="1" s="1"/>
  <c r="AH1126" i="1" s="1"/>
  <c r="AH1127" i="1" s="1"/>
  <c r="AH1128" i="1" s="1"/>
  <c r="AH1129" i="1" s="1"/>
  <c r="AH1130" i="1" s="1"/>
  <c r="AH1131" i="1" s="1"/>
  <c r="AH1132" i="1" s="1"/>
  <c r="AH1133" i="1" s="1"/>
  <c r="AH1134" i="1" s="1"/>
  <c r="AH1135" i="1" s="1"/>
  <c r="AH1136" i="1" s="1"/>
  <c r="AH1137" i="1" s="1"/>
  <c r="AH1138" i="1" s="1"/>
  <c r="AH1139" i="1" s="1"/>
  <c r="AH1140" i="1" s="1"/>
  <c r="AH1141" i="1" s="1"/>
  <c r="AH1142" i="1" s="1"/>
  <c r="AH1143" i="1" s="1"/>
  <c r="AH1144" i="1" s="1"/>
  <c r="AH1145" i="1" s="1"/>
  <c r="AH1146" i="1" s="1"/>
  <c r="AH1147" i="1" s="1"/>
  <c r="AH1148" i="1" s="1"/>
  <c r="AH1149" i="1" s="1"/>
  <c r="AH1150" i="1" s="1"/>
  <c r="AH1151" i="1" s="1"/>
  <c r="AH1152" i="1" s="1"/>
  <c r="AH1153" i="1" s="1"/>
  <c r="AH1154" i="1" s="1"/>
  <c r="AH1155" i="1" s="1"/>
  <c r="AH1156" i="1" s="1"/>
  <c r="AH1157" i="1" s="1"/>
  <c r="AH1158" i="1" s="1"/>
  <c r="AH1159" i="1" s="1"/>
  <c r="AH1160" i="1" s="1"/>
  <c r="AH1161" i="1" s="1"/>
  <c r="AH1162" i="1" s="1"/>
  <c r="AH1163" i="1" s="1"/>
  <c r="AH1164" i="1" s="1"/>
  <c r="AH1165" i="1" s="1"/>
  <c r="AH1166" i="1" s="1"/>
  <c r="AH1167" i="1" s="1"/>
  <c r="AH1168" i="1" s="1"/>
  <c r="AH1169" i="1" s="1"/>
  <c r="AH1170" i="1" s="1"/>
  <c r="AH1171" i="1" s="1"/>
  <c r="AH1172" i="1" s="1"/>
  <c r="AH1173" i="1" s="1"/>
  <c r="AH1174" i="1" s="1"/>
  <c r="AH1175" i="1" s="1"/>
  <c r="AH1176" i="1" s="1"/>
  <c r="AH1177" i="1" s="1"/>
  <c r="AH1178" i="1" s="1"/>
  <c r="AH1179" i="1" s="1"/>
  <c r="AH1180" i="1" s="1"/>
  <c r="AH1181" i="1" s="1"/>
  <c r="AH1182" i="1" s="1"/>
  <c r="AH1183" i="1" s="1"/>
  <c r="AH1184" i="1" s="1"/>
  <c r="AH1185" i="1" s="1"/>
  <c r="AH1186" i="1" s="1"/>
  <c r="AH1187" i="1" s="1"/>
  <c r="AH1188" i="1" s="1"/>
  <c r="AH1189" i="1" s="1"/>
  <c r="AH1190" i="1" s="1"/>
  <c r="AH1191" i="1" s="1"/>
  <c r="AH1192" i="1" s="1"/>
  <c r="AH1193" i="1" s="1"/>
  <c r="AH1194" i="1" s="1"/>
  <c r="AH1195" i="1" s="1"/>
  <c r="AH1196" i="1" s="1"/>
  <c r="AH1197" i="1" s="1"/>
  <c r="AH1198" i="1" s="1"/>
  <c r="AH1199" i="1" s="1"/>
  <c r="AH1200" i="1" s="1"/>
  <c r="AH1201" i="1" s="1"/>
  <c r="AH1202" i="1" s="1"/>
  <c r="AH1203" i="1" s="1"/>
  <c r="AH1204" i="1" s="1"/>
  <c r="AH1205" i="1" s="1"/>
  <c r="AH1206" i="1" s="1"/>
  <c r="AH1207" i="1" s="1"/>
  <c r="AH1208" i="1" s="1"/>
  <c r="AH1209" i="1" s="1"/>
  <c r="AH1210" i="1" s="1"/>
  <c r="AH1211" i="1" s="1"/>
  <c r="AH1212" i="1" s="1"/>
  <c r="AH1213" i="1" s="1"/>
  <c r="AH1214" i="1" s="1"/>
  <c r="AH1215" i="1" s="1"/>
  <c r="AH1216" i="1" s="1"/>
  <c r="AH1217" i="1" s="1"/>
  <c r="AH1218" i="1" s="1"/>
  <c r="AH1219" i="1" s="1"/>
  <c r="AH1220" i="1" s="1"/>
  <c r="AH1221" i="1" s="1"/>
  <c r="AH1222" i="1" s="1"/>
  <c r="AH1223" i="1" s="1"/>
  <c r="AH1224" i="1" s="1"/>
  <c r="AH1225" i="1" s="1"/>
  <c r="AH1226" i="1" s="1"/>
  <c r="AH1227" i="1" s="1"/>
  <c r="AH1228" i="1" s="1"/>
  <c r="AH1229" i="1" s="1"/>
  <c r="AH1230" i="1" s="1"/>
  <c r="AH1231" i="1" s="1"/>
  <c r="AH1232" i="1" s="1"/>
  <c r="AH1233" i="1" s="1"/>
  <c r="AH1234" i="1" s="1"/>
  <c r="AH1235" i="1" s="1"/>
  <c r="AH1236" i="1" s="1"/>
  <c r="AH1237" i="1" s="1"/>
  <c r="AH1238" i="1" s="1"/>
  <c r="AH1239" i="1" s="1"/>
  <c r="AH1240" i="1" s="1"/>
  <c r="AH1241" i="1" s="1"/>
  <c r="AH1242" i="1" s="1"/>
  <c r="AH1243" i="1" s="1"/>
  <c r="AH1244" i="1" s="1"/>
  <c r="AH1245" i="1" s="1"/>
  <c r="AH1246" i="1" s="1"/>
  <c r="AH1247" i="1" s="1"/>
  <c r="AH1248" i="1" s="1"/>
  <c r="AH1249" i="1" s="1"/>
  <c r="AH1250" i="1" s="1"/>
  <c r="AH1251" i="1" s="1"/>
  <c r="AH1252" i="1" s="1"/>
  <c r="AH1253" i="1" s="1"/>
  <c r="AH1254" i="1" s="1"/>
  <c r="AH1255" i="1" s="1"/>
  <c r="AH1256" i="1" s="1"/>
  <c r="AH1257" i="1" s="1"/>
  <c r="AH1258" i="1" s="1"/>
  <c r="AH1259" i="1" s="1"/>
  <c r="AH1260" i="1" s="1"/>
  <c r="AH1261" i="1" s="1"/>
  <c r="AH1262" i="1" s="1"/>
  <c r="AH1263" i="1" s="1"/>
  <c r="AH1264" i="1" s="1"/>
  <c r="AH1265" i="1" s="1"/>
  <c r="AH1266" i="1" s="1"/>
  <c r="AH1267" i="1" s="1"/>
  <c r="AH1268" i="1" s="1"/>
  <c r="AH1269" i="1" s="1"/>
  <c r="AH1270" i="1" s="1"/>
  <c r="AH1271" i="1" s="1"/>
  <c r="AH1272" i="1" s="1"/>
  <c r="AH1273" i="1" s="1"/>
  <c r="AH1274" i="1" s="1"/>
  <c r="AH1275" i="1" s="1"/>
  <c r="AH1276" i="1" s="1"/>
  <c r="AH1277" i="1" s="1"/>
  <c r="AH1278" i="1" s="1"/>
  <c r="AH1279" i="1" s="1"/>
  <c r="AH1280" i="1" s="1"/>
  <c r="AH1281" i="1" s="1"/>
  <c r="AH1282" i="1" s="1"/>
  <c r="AH1283" i="1" s="1"/>
  <c r="AH1284" i="1" s="1"/>
  <c r="AH1285" i="1" s="1"/>
  <c r="AH1286" i="1" s="1"/>
  <c r="AH1287" i="1" s="1"/>
  <c r="AH1288" i="1" s="1"/>
  <c r="AH1289" i="1" s="1"/>
  <c r="AH1290" i="1" s="1"/>
  <c r="AH1291" i="1" s="1"/>
  <c r="AH1292" i="1" s="1"/>
  <c r="AH1293" i="1" s="1"/>
  <c r="AH1294" i="1" s="1"/>
  <c r="AH1295" i="1" s="1"/>
  <c r="AH1296" i="1" s="1"/>
  <c r="AH1297" i="1" s="1"/>
  <c r="AH1298" i="1" s="1"/>
  <c r="AH1299" i="1" s="1"/>
  <c r="AH1300" i="1" s="1"/>
  <c r="AH1301" i="1" s="1"/>
  <c r="AH1302" i="1" s="1"/>
  <c r="AH1303" i="1" s="1"/>
  <c r="AH1304" i="1" s="1"/>
  <c r="AH1305" i="1" s="1"/>
  <c r="AH1306" i="1" s="1"/>
  <c r="AH1307" i="1" s="1"/>
  <c r="AH1308" i="1" s="1"/>
  <c r="AH1309" i="1" s="1"/>
  <c r="AH1310" i="1" s="1"/>
  <c r="AH1311" i="1" s="1"/>
  <c r="AH1312" i="1" s="1"/>
  <c r="AH1313" i="1" s="1"/>
  <c r="AH1314" i="1" s="1"/>
  <c r="AH1315" i="1" s="1"/>
  <c r="AH1316" i="1" s="1"/>
  <c r="AH1317" i="1" s="1"/>
  <c r="AH1318" i="1" s="1"/>
  <c r="AH1319" i="1" s="1"/>
  <c r="AH1320" i="1" s="1"/>
  <c r="AH1321" i="1" s="1"/>
  <c r="AH1322" i="1" s="1"/>
  <c r="AH1323" i="1" s="1"/>
  <c r="AH1324" i="1" s="1"/>
  <c r="AH1325" i="1" s="1"/>
  <c r="AH1326" i="1" s="1"/>
  <c r="AH1327" i="1" s="1"/>
  <c r="AH1328" i="1" s="1"/>
  <c r="AH1329" i="1" s="1"/>
  <c r="AH1330" i="1" s="1"/>
  <c r="AH1331" i="1" s="1"/>
  <c r="AH1332" i="1" s="1"/>
  <c r="AH1333" i="1" s="1"/>
  <c r="AH1334" i="1" s="1"/>
  <c r="AH1335" i="1" s="1"/>
  <c r="AH1336" i="1" s="1"/>
  <c r="AH1337" i="1" s="1"/>
  <c r="AH1338" i="1" s="1"/>
  <c r="AH1339" i="1" s="1"/>
  <c r="AH1340" i="1" s="1"/>
  <c r="AH1341" i="1" s="1"/>
  <c r="AH1342" i="1" s="1"/>
  <c r="AH1343" i="1" s="1"/>
  <c r="AH1344" i="1" s="1"/>
  <c r="AH1345" i="1" s="1"/>
  <c r="AH1346" i="1" s="1"/>
  <c r="AH1347" i="1" s="1"/>
  <c r="AH1348" i="1" s="1"/>
  <c r="AH1349" i="1" s="1"/>
  <c r="AH1350" i="1" s="1"/>
  <c r="AH1351" i="1" s="1"/>
  <c r="AH1352" i="1" s="1"/>
  <c r="AH1353" i="1" s="1"/>
  <c r="AH1354" i="1" s="1"/>
  <c r="AH1355" i="1" s="1"/>
  <c r="AH1356" i="1" s="1"/>
  <c r="AH1357" i="1" s="1"/>
  <c r="AH1358" i="1" s="1"/>
  <c r="AH1359" i="1" s="1"/>
  <c r="AH1360" i="1" s="1"/>
  <c r="AH1361" i="1" s="1"/>
  <c r="AH1362" i="1" s="1"/>
  <c r="AH1363" i="1" s="1"/>
  <c r="AH1364" i="1" s="1"/>
  <c r="AH1365" i="1" s="1"/>
  <c r="AH1366" i="1" s="1"/>
  <c r="AH1367" i="1" s="1"/>
  <c r="AH1368" i="1" s="1"/>
  <c r="AH1369" i="1" s="1"/>
  <c r="AH1370" i="1" s="1"/>
  <c r="AH1371" i="1" s="1"/>
  <c r="AH1372" i="1" s="1"/>
  <c r="AH1373" i="1" s="1"/>
  <c r="AH1374" i="1" s="1"/>
  <c r="AH1375" i="1" s="1"/>
  <c r="AH1376" i="1" s="1"/>
  <c r="AH1377" i="1" s="1"/>
  <c r="AH1378" i="1" s="1"/>
  <c r="AH1379" i="1" s="1"/>
  <c r="AH1380" i="1" s="1"/>
  <c r="AH1381" i="1" s="1"/>
  <c r="AH1382" i="1" s="1"/>
  <c r="AH1383" i="1" s="1"/>
  <c r="AH1384" i="1" s="1"/>
  <c r="AH1385" i="1" s="1"/>
  <c r="AH1386" i="1" s="1"/>
  <c r="AH1387" i="1" s="1"/>
  <c r="AH1388" i="1" s="1"/>
  <c r="AH1389" i="1" s="1"/>
  <c r="AH1390" i="1" s="1"/>
  <c r="AH1391" i="1" s="1"/>
  <c r="AH1392" i="1" s="1"/>
  <c r="AH1393" i="1" s="1"/>
  <c r="AH1394" i="1" s="1"/>
  <c r="AH1395" i="1" s="1"/>
  <c r="AH1396" i="1" s="1"/>
  <c r="AH1397" i="1" s="1"/>
  <c r="AH1398" i="1" s="1"/>
  <c r="AH1399" i="1" s="1"/>
  <c r="AH1400" i="1" s="1"/>
  <c r="AH1401" i="1" s="1"/>
  <c r="AH1402" i="1" s="1"/>
  <c r="AH1403" i="1" s="1"/>
  <c r="AH1404" i="1" s="1"/>
  <c r="AH1405" i="1" s="1"/>
  <c r="AH1406" i="1" s="1"/>
  <c r="AH1407" i="1" s="1"/>
  <c r="AH1408" i="1" s="1"/>
  <c r="AH1409" i="1" s="1"/>
  <c r="AH1410" i="1" s="1"/>
  <c r="AH1411" i="1" s="1"/>
  <c r="AH1412" i="1" s="1"/>
  <c r="AH1413" i="1" s="1"/>
  <c r="AH1414" i="1" s="1"/>
  <c r="AH1415" i="1" s="1"/>
  <c r="AH1416" i="1" s="1"/>
  <c r="AH1417" i="1" s="1"/>
  <c r="AH1418" i="1" s="1"/>
  <c r="AH1419" i="1" s="1"/>
  <c r="AH1420" i="1" s="1"/>
  <c r="AH1421" i="1" s="1"/>
  <c r="AH1422" i="1" s="1"/>
  <c r="AH1423" i="1" s="1"/>
  <c r="AH1424" i="1" s="1"/>
  <c r="AH1425" i="1" s="1"/>
  <c r="AH1426" i="1" s="1"/>
  <c r="AH1427" i="1" s="1"/>
  <c r="AH1428" i="1" s="1"/>
  <c r="AH1429" i="1" s="1"/>
  <c r="AH1430" i="1" s="1"/>
  <c r="AH1431" i="1" s="1"/>
  <c r="AH1432" i="1" s="1"/>
  <c r="AH1433" i="1" s="1"/>
  <c r="AH1434" i="1" s="1"/>
  <c r="AH1435" i="1" s="1"/>
  <c r="AH1436" i="1" s="1"/>
  <c r="AH1437" i="1" s="1"/>
  <c r="AH1438" i="1" s="1"/>
  <c r="AH1439" i="1" s="1"/>
  <c r="AH1440" i="1" s="1"/>
  <c r="AH1441" i="1" s="1"/>
  <c r="AH1442" i="1" s="1"/>
  <c r="AH1443" i="1" s="1"/>
  <c r="AH1444" i="1" s="1"/>
  <c r="AH1445" i="1" s="1"/>
  <c r="AH1446" i="1" s="1"/>
  <c r="AH1447" i="1" s="1"/>
  <c r="AH1448" i="1" s="1"/>
  <c r="AH1449" i="1" s="1"/>
  <c r="AH1450" i="1" s="1"/>
  <c r="AH1451" i="1" s="1"/>
  <c r="AH1452" i="1" s="1"/>
  <c r="AH1453" i="1" s="1"/>
  <c r="AH1454" i="1" s="1"/>
  <c r="AH1455" i="1" s="1"/>
  <c r="AH1456" i="1" s="1"/>
  <c r="AH1457" i="1" s="1"/>
  <c r="AH1458" i="1" s="1"/>
  <c r="AH1459" i="1" s="1"/>
  <c r="AH1460" i="1" s="1"/>
  <c r="AH1461" i="1" s="1"/>
  <c r="AH1462" i="1" s="1"/>
  <c r="AH1463" i="1" s="1"/>
  <c r="AH1464" i="1" s="1"/>
  <c r="AH1465" i="1" s="1"/>
  <c r="AH1466" i="1" s="1"/>
  <c r="AH1467" i="1" s="1"/>
  <c r="AH1468" i="1" s="1"/>
  <c r="AH1469" i="1" s="1"/>
  <c r="AH1470" i="1" s="1"/>
  <c r="AH1471" i="1" s="1"/>
  <c r="AH1472" i="1" s="1"/>
  <c r="AH1473" i="1" s="1"/>
  <c r="AH1474" i="1" s="1"/>
  <c r="AH1475" i="1" s="1"/>
  <c r="AH1476" i="1" s="1"/>
  <c r="AH1477" i="1" s="1"/>
  <c r="AH1478" i="1" s="1"/>
  <c r="AH1479" i="1" s="1"/>
  <c r="AH1480" i="1" s="1"/>
  <c r="AH1481" i="1" s="1"/>
  <c r="AH1482" i="1" s="1"/>
  <c r="AH1483" i="1" s="1"/>
  <c r="AH1484" i="1" s="1"/>
  <c r="AH1485" i="1" s="1"/>
  <c r="AH1486" i="1" s="1"/>
  <c r="AH1487" i="1" s="1"/>
  <c r="AH1488" i="1" s="1"/>
  <c r="AH1489" i="1" s="1"/>
  <c r="AH1490" i="1" s="1"/>
  <c r="AH1491" i="1" s="1"/>
  <c r="AH1492" i="1" s="1"/>
  <c r="AH1493" i="1" s="1"/>
  <c r="AH1494" i="1" s="1"/>
  <c r="AH1495" i="1" s="1"/>
  <c r="AH1496" i="1" s="1"/>
  <c r="AH1497" i="1" s="1"/>
  <c r="AH1498" i="1" s="1"/>
  <c r="AH1499" i="1" s="1"/>
  <c r="AH1500" i="1" s="1"/>
  <c r="AH1501" i="1" s="1"/>
  <c r="AH1502" i="1" s="1"/>
  <c r="AH1503" i="1" s="1"/>
  <c r="AH1504" i="1" s="1"/>
  <c r="AH1505" i="1" s="1"/>
  <c r="AH1506" i="1" s="1"/>
  <c r="AH1507" i="1" s="1"/>
  <c r="AH1508" i="1" s="1"/>
  <c r="AH1509" i="1" s="1"/>
  <c r="AH1510" i="1" s="1"/>
  <c r="AH1511" i="1" s="1"/>
  <c r="AH1512" i="1" s="1"/>
  <c r="AH1513" i="1" s="1"/>
  <c r="AH1514" i="1" s="1"/>
  <c r="AH1515" i="1" s="1"/>
  <c r="AH1516" i="1" s="1"/>
  <c r="AH1517" i="1" s="1"/>
  <c r="AH1518" i="1" s="1"/>
  <c r="AH1519" i="1" s="1"/>
  <c r="AH1520" i="1" s="1"/>
  <c r="AH1521" i="1" s="1"/>
  <c r="AH1522" i="1" s="1"/>
  <c r="AH1523" i="1" s="1"/>
  <c r="AH1524" i="1" s="1"/>
  <c r="AH1525" i="1" s="1"/>
  <c r="AH1526" i="1" s="1"/>
  <c r="AH1527" i="1" s="1"/>
  <c r="AH1528" i="1" s="1"/>
  <c r="AH1529" i="1" s="1"/>
  <c r="AH1530" i="1" s="1"/>
  <c r="AH1531" i="1" s="1"/>
  <c r="AH1532" i="1" s="1"/>
  <c r="AH1533" i="1" s="1"/>
  <c r="AH1534" i="1" s="1"/>
  <c r="AH1535" i="1" s="1"/>
  <c r="AH1536" i="1" s="1"/>
  <c r="AH1537" i="1" s="1"/>
  <c r="AH1538" i="1" s="1"/>
  <c r="AH1539" i="1" s="1"/>
  <c r="AH1540" i="1" s="1"/>
  <c r="AH1541" i="1" s="1"/>
  <c r="AH1542" i="1" s="1"/>
  <c r="AH1543" i="1" s="1"/>
  <c r="AH1544" i="1" s="1"/>
  <c r="AH1545" i="1" s="1"/>
  <c r="AH1546" i="1" s="1"/>
  <c r="AH1547" i="1" s="1"/>
  <c r="AH1548" i="1" s="1"/>
  <c r="AH1549" i="1" s="1"/>
  <c r="AH1550" i="1" s="1"/>
  <c r="AH1551" i="1" s="1"/>
  <c r="AH1552" i="1" s="1"/>
  <c r="AH1553" i="1" s="1"/>
  <c r="AH1554" i="1" s="1"/>
  <c r="AH1555" i="1" s="1"/>
  <c r="AH1556" i="1" s="1"/>
  <c r="AH1557" i="1" s="1"/>
  <c r="AH1558" i="1" s="1"/>
  <c r="AH1559" i="1" s="1"/>
  <c r="AH1560" i="1" s="1"/>
  <c r="AH1561" i="1" s="1"/>
  <c r="AH1562" i="1" s="1"/>
  <c r="AH1563" i="1" s="1"/>
  <c r="AH1564" i="1" s="1"/>
  <c r="AH1565" i="1" s="1"/>
  <c r="AH1566" i="1" s="1"/>
  <c r="AH1567" i="1" s="1"/>
  <c r="AH1568" i="1" s="1"/>
  <c r="AH1569" i="1" s="1"/>
  <c r="AH1570" i="1" s="1"/>
  <c r="AH1571" i="1" s="1"/>
  <c r="AH1572" i="1" s="1"/>
  <c r="AH1573" i="1" s="1"/>
  <c r="AH1574" i="1" s="1"/>
  <c r="AH1575" i="1" s="1"/>
  <c r="AH1576" i="1" s="1"/>
  <c r="AH1577" i="1" s="1"/>
  <c r="AH1578" i="1" s="1"/>
  <c r="AH1579" i="1" s="1"/>
  <c r="AH1580" i="1" s="1"/>
  <c r="AH1581" i="1" s="1"/>
  <c r="AH1582" i="1" s="1"/>
  <c r="AH1583" i="1" s="1"/>
  <c r="AH1584" i="1" s="1"/>
  <c r="AH1585" i="1" s="1"/>
  <c r="AH1586" i="1" s="1"/>
  <c r="AH1587" i="1" s="1"/>
  <c r="AH1588" i="1" s="1"/>
  <c r="AH1589" i="1" s="1"/>
  <c r="AH1590" i="1" s="1"/>
  <c r="AH1591" i="1" s="1"/>
  <c r="AH1592" i="1" s="1"/>
  <c r="AH1593" i="1" s="1"/>
  <c r="AH1594" i="1" s="1"/>
  <c r="AH1595" i="1" s="1"/>
  <c r="AH1596" i="1" s="1"/>
  <c r="AH1597" i="1" s="1"/>
  <c r="AH1598" i="1" s="1"/>
  <c r="AH1599" i="1" s="1"/>
  <c r="AH1600" i="1" s="1"/>
  <c r="AH1601" i="1" s="1"/>
  <c r="AH1602" i="1" s="1"/>
  <c r="AH1603" i="1" s="1"/>
  <c r="AH1604" i="1" s="1"/>
  <c r="AH1605" i="1" s="1"/>
  <c r="AH1606" i="1" s="1"/>
  <c r="AH1607" i="1" s="1"/>
  <c r="AH1608" i="1" s="1"/>
  <c r="AH1609" i="1" s="1"/>
  <c r="AH1610" i="1" s="1"/>
  <c r="AH1611" i="1" s="1"/>
  <c r="AH1612" i="1" s="1"/>
  <c r="AH1613" i="1" s="1"/>
  <c r="AH1614" i="1" s="1"/>
  <c r="AH1615" i="1" s="1"/>
  <c r="AH1616" i="1" s="1"/>
  <c r="AH1617" i="1" s="1"/>
  <c r="AH1618" i="1" s="1"/>
  <c r="AH1619" i="1" s="1"/>
  <c r="AH1620" i="1" s="1"/>
  <c r="AH1621" i="1" s="1"/>
  <c r="AH1622" i="1" s="1"/>
  <c r="AH1623" i="1" s="1"/>
  <c r="AH1624" i="1" s="1"/>
  <c r="AH1625" i="1" s="1"/>
  <c r="AH1626" i="1" s="1"/>
  <c r="AH1627" i="1" s="1"/>
  <c r="AH1628" i="1" s="1"/>
  <c r="AH1629" i="1" s="1"/>
  <c r="AH1630" i="1" s="1"/>
  <c r="AH1631" i="1" s="1"/>
  <c r="AH1632" i="1" s="1"/>
  <c r="AH1633" i="1" s="1"/>
  <c r="AH1634" i="1" s="1"/>
  <c r="AH1635" i="1" s="1"/>
  <c r="AH1636" i="1" s="1"/>
  <c r="AH1637" i="1" s="1"/>
  <c r="AH1638" i="1" s="1"/>
  <c r="AH1639" i="1" s="1"/>
  <c r="AH1640" i="1" s="1"/>
  <c r="AH1641" i="1" s="1"/>
  <c r="AH1642" i="1" s="1"/>
  <c r="AH1643" i="1" s="1"/>
  <c r="AH1644" i="1" s="1"/>
  <c r="AH1645" i="1" s="1"/>
  <c r="AH1646" i="1" s="1"/>
  <c r="AH1647" i="1" s="1"/>
  <c r="AH1648" i="1" s="1"/>
  <c r="AH1649" i="1" s="1"/>
  <c r="AH1650" i="1" s="1"/>
  <c r="AH1651" i="1" s="1"/>
  <c r="AH1652" i="1" s="1"/>
  <c r="AH1653" i="1" s="1"/>
  <c r="AH1654" i="1" s="1"/>
  <c r="AH1655" i="1" s="1"/>
  <c r="AH1656" i="1" s="1"/>
  <c r="AH1657" i="1" s="1"/>
  <c r="AH1658" i="1" s="1"/>
  <c r="AH1659" i="1" s="1"/>
  <c r="AH1660" i="1" s="1"/>
  <c r="AH1661" i="1" s="1"/>
  <c r="AH1662" i="1" s="1"/>
  <c r="AH1663" i="1" s="1"/>
  <c r="AH1664" i="1" s="1"/>
  <c r="AH1665" i="1" s="1"/>
  <c r="AH1666" i="1" s="1"/>
  <c r="AH1667" i="1" s="1"/>
  <c r="AH1668" i="1" s="1"/>
  <c r="AH1669" i="1" s="1"/>
  <c r="AH1670" i="1" s="1"/>
  <c r="AH1671" i="1" s="1"/>
  <c r="AH1672" i="1" s="1"/>
  <c r="AH1673" i="1" s="1"/>
  <c r="AH1674" i="1" s="1"/>
  <c r="AH1675" i="1" s="1"/>
  <c r="AH1676" i="1" s="1"/>
  <c r="AH1677" i="1" s="1"/>
  <c r="AH1678" i="1" s="1"/>
  <c r="AH1679" i="1" s="1"/>
  <c r="AH1680" i="1" s="1"/>
  <c r="AH1681" i="1" s="1"/>
  <c r="AH1682" i="1" s="1"/>
  <c r="AH1683" i="1" s="1"/>
  <c r="AH1684" i="1" s="1"/>
  <c r="AH1685" i="1" s="1"/>
  <c r="AH1686" i="1" s="1"/>
  <c r="AH1687" i="1" s="1"/>
  <c r="AH1688" i="1" s="1"/>
  <c r="AH1689" i="1" s="1"/>
  <c r="AH1690" i="1" s="1"/>
  <c r="AH1691" i="1" s="1"/>
  <c r="AH1692" i="1" s="1"/>
  <c r="AH1693" i="1" s="1"/>
  <c r="AH1694" i="1" s="1"/>
  <c r="AH1695" i="1" s="1"/>
  <c r="AH1696" i="1" s="1"/>
  <c r="AH1697" i="1" s="1"/>
  <c r="AH1698" i="1" s="1"/>
  <c r="AH1699" i="1" s="1"/>
  <c r="AH1700" i="1" s="1"/>
  <c r="AH1701" i="1" s="1"/>
  <c r="AH1702" i="1" s="1"/>
  <c r="AH1703" i="1" s="1"/>
  <c r="AH1704" i="1" s="1"/>
  <c r="AH1705" i="1" s="1"/>
  <c r="AH1706" i="1" s="1"/>
  <c r="AH1707" i="1" s="1"/>
  <c r="AH1708" i="1" s="1"/>
  <c r="AH1709" i="1" s="1"/>
  <c r="AH1710" i="1" s="1"/>
  <c r="AH1711" i="1" s="1"/>
  <c r="AH1712" i="1" s="1"/>
  <c r="AH1713" i="1" s="1"/>
  <c r="AH1714" i="1" s="1"/>
  <c r="AH1715" i="1" s="1"/>
  <c r="AH1716" i="1" s="1"/>
  <c r="AH1717" i="1" s="1"/>
  <c r="AH1718" i="1" s="1"/>
  <c r="AH1719" i="1" s="1"/>
  <c r="AH1720" i="1" s="1"/>
  <c r="AH1721" i="1" s="1"/>
  <c r="AH1722" i="1" s="1"/>
  <c r="AH1723" i="1" s="1"/>
  <c r="AH1724" i="1" s="1"/>
  <c r="AH1725" i="1" s="1"/>
  <c r="AH1726" i="1" s="1"/>
  <c r="AH1727" i="1" s="1"/>
  <c r="AH1728" i="1" s="1"/>
  <c r="AH1729" i="1" s="1"/>
  <c r="AH1730" i="1" s="1"/>
  <c r="AH1731" i="1" s="1"/>
  <c r="AH1732" i="1" s="1"/>
  <c r="AH1733" i="1" s="1"/>
  <c r="AH1734" i="1" s="1"/>
  <c r="AH1735" i="1" s="1"/>
  <c r="AH1736" i="1" s="1"/>
  <c r="AH1737" i="1" s="1"/>
  <c r="AH1738" i="1" s="1"/>
  <c r="AH1739" i="1" s="1"/>
  <c r="AH1740" i="1" s="1"/>
  <c r="AH1741" i="1" s="1"/>
  <c r="AH1742" i="1" s="1"/>
  <c r="AH1743" i="1" s="1"/>
  <c r="AH1744" i="1" s="1"/>
  <c r="AH1745" i="1" s="1"/>
  <c r="AH1746" i="1" s="1"/>
  <c r="AH1747" i="1" s="1"/>
  <c r="AH1748" i="1" s="1"/>
  <c r="AH1749" i="1" s="1"/>
  <c r="AH1750" i="1" s="1"/>
  <c r="AH1751" i="1" s="1"/>
  <c r="AH1752" i="1" s="1"/>
  <c r="AH1753" i="1" s="1"/>
  <c r="AH1754" i="1" s="1"/>
  <c r="AH1755" i="1" s="1"/>
  <c r="AH1756" i="1" s="1"/>
  <c r="AH1757" i="1" s="1"/>
  <c r="AH1758" i="1" s="1"/>
  <c r="AH1759" i="1" s="1"/>
  <c r="AH1760" i="1" s="1"/>
  <c r="AH1761" i="1" s="1"/>
  <c r="AH1762" i="1" s="1"/>
  <c r="AH1763" i="1" s="1"/>
  <c r="AH1764" i="1" s="1"/>
  <c r="AH1765" i="1" s="1"/>
  <c r="AH1766" i="1" s="1"/>
  <c r="AH1767" i="1" s="1"/>
  <c r="AH1768" i="1" s="1"/>
  <c r="AH1769" i="1" s="1"/>
  <c r="AH1770" i="1" s="1"/>
  <c r="AH1771" i="1" s="1"/>
  <c r="AH1772" i="1" s="1"/>
  <c r="AH1773" i="1" s="1"/>
  <c r="AH1774" i="1" s="1"/>
  <c r="AH1775" i="1" s="1"/>
  <c r="AH1776" i="1" s="1"/>
  <c r="AH1777" i="1" s="1"/>
  <c r="AH1778" i="1" s="1"/>
  <c r="AH1779" i="1" s="1"/>
  <c r="AH1780" i="1" s="1"/>
  <c r="AH1781" i="1" s="1"/>
  <c r="AH1782" i="1" s="1"/>
  <c r="AH1783" i="1" s="1"/>
  <c r="AH1784" i="1" s="1"/>
  <c r="AH1785" i="1" s="1"/>
  <c r="AH1786" i="1" s="1"/>
  <c r="AH1787" i="1" s="1"/>
  <c r="AH1788" i="1" s="1"/>
  <c r="AH1789" i="1" s="1"/>
  <c r="AH1790" i="1" s="1"/>
  <c r="AH1791" i="1" s="1"/>
  <c r="AH1792" i="1" s="1"/>
  <c r="AH1793" i="1" s="1"/>
  <c r="AH1794" i="1" s="1"/>
  <c r="AH1795" i="1" s="1"/>
  <c r="AH1796" i="1" s="1"/>
  <c r="AH1797" i="1" s="1"/>
  <c r="AH1798" i="1" s="1"/>
  <c r="AH1799" i="1" s="1"/>
  <c r="AH1800" i="1" s="1"/>
  <c r="AH1801" i="1" s="1"/>
  <c r="AH1802" i="1" s="1"/>
  <c r="AH1803" i="1" s="1"/>
  <c r="AH1804" i="1" s="1"/>
  <c r="AH1805" i="1" s="1"/>
  <c r="AH1806" i="1" s="1"/>
  <c r="AH1807" i="1" s="1"/>
  <c r="AH1808" i="1" s="1"/>
  <c r="AH1809" i="1" s="1"/>
  <c r="AH1810" i="1" s="1"/>
  <c r="AH1811" i="1" s="1"/>
  <c r="AH1812" i="1" s="1"/>
  <c r="AH1813" i="1" s="1"/>
  <c r="AH1814" i="1" s="1"/>
  <c r="AH1815" i="1" s="1"/>
  <c r="AH1816" i="1" s="1"/>
  <c r="AH1817" i="1" s="1"/>
  <c r="AH1818" i="1" s="1"/>
  <c r="AH1819" i="1" s="1"/>
  <c r="AH1820" i="1" s="1"/>
  <c r="AH1821" i="1" s="1"/>
  <c r="AH1822" i="1" s="1"/>
  <c r="AH1823" i="1" s="1"/>
  <c r="AH1824" i="1" s="1"/>
  <c r="AH1825" i="1" s="1"/>
  <c r="AH1826" i="1" s="1"/>
  <c r="AH1827" i="1" s="1"/>
  <c r="AH1828" i="1" s="1"/>
  <c r="AH1829" i="1" s="1"/>
  <c r="AH1830" i="1" s="1"/>
  <c r="AH1831" i="1" s="1"/>
  <c r="AH1832" i="1" s="1"/>
  <c r="AH1833" i="1" s="1"/>
  <c r="AH1834" i="1" s="1"/>
  <c r="AH1835" i="1" s="1"/>
  <c r="AH1836" i="1" s="1"/>
  <c r="AH1837" i="1" s="1"/>
  <c r="AH1838" i="1" s="1"/>
  <c r="AH1839" i="1" s="1"/>
  <c r="AH1840" i="1" s="1"/>
  <c r="AH1841" i="1" s="1"/>
  <c r="AH1842" i="1" s="1"/>
  <c r="AH1843" i="1" s="1"/>
  <c r="AH1844" i="1" s="1"/>
  <c r="AH1845" i="1" s="1"/>
  <c r="AH1846" i="1" s="1"/>
  <c r="AH1847" i="1" s="1"/>
  <c r="AH1848" i="1" s="1"/>
  <c r="AH1849" i="1" s="1"/>
  <c r="AH1850" i="1" s="1"/>
  <c r="AH1851" i="1" s="1"/>
  <c r="AH1852" i="1" s="1"/>
  <c r="AH1853" i="1" s="1"/>
  <c r="AH1854" i="1" s="1"/>
  <c r="AH1855" i="1" s="1"/>
  <c r="AH1856" i="1" s="1"/>
  <c r="AH1857" i="1" s="1"/>
  <c r="AH1858" i="1" s="1"/>
  <c r="AH1859" i="1" s="1"/>
  <c r="AH1860" i="1" s="1"/>
  <c r="AH1861" i="1" s="1"/>
  <c r="AH1862" i="1" s="1"/>
  <c r="AH1863" i="1" s="1"/>
  <c r="AH1864" i="1" s="1"/>
  <c r="AH1865" i="1" s="1"/>
  <c r="AH1866" i="1" s="1"/>
  <c r="AH1867" i="1" s="1"/>
  <c r="AH1868" i="1" s="1"/>
  <c r="AH1869" i="1" s="1"/>
  <c r="AH1870" i="1" s="1"/>
  <c r="AH1871" i="1" s="1"/>
  <c r="AH1872" i="1" s="1"/>
  <c r="AH1873" i="1" s="1"/>
  <c r="AH1874" i="1" s="1"/>
  <c r="AH1875" i="1" s="1"/>
  <c r="AH1876" i="1" s="1"/>
  <c r="AH1877" i="1" s="1"/>
  <c r="AH1878" i="1" s="1"/>
  <c r="AH1879" i="1" s="1"/>
  <c r="AH1880" i="1" s="1"/>
  <c r="AH1881" i="1" s="1"/>
  <c r="AH1882" i="1" s="1"/>
  <c r="AH1883" i="1" s="1"/>
  <c r="AH1884" i="1" s="1"/>
  <c r="AH1885" i="1" s="1"/>
  <c r="AH1886" i="1" s="1"/>
  <c r="AH1887" i="1" s="1"/>
  <c r="AH1888" i="1" s="1"/>
  <c r="AH1889" i="1" s="1"/>
  <c r="AH1890" i="1" s="1"/>
  <c r="AH1891" i="1" s="1"/>
  <c r="AH1892" i="1" s="1"/>
  <c r="AH1893" i="1" s="1"/>
  <c r="AH1894" i="1" s="1"/>
  <c r="AH1895" i="1" s="1"/>
  <c r="AH1896" i="1" s="1"/>
  <c r="AH1897" i="1" s="1"/>
  <c r="AH1898" i="1" s="1"/>
  <c r="AH1899" i="1" s="1"/>
  <c r="AH1900" i="1" s="1"/>
  <c r="AH1901" i="1" s="1"/>
  <c r="AH1902" i="1" s="1"/>
  <c r="AH1903" i="1" s="1"/>
  <c r="AH1904" i="1" s="1"/>
  <c r="AH1905" i="1" s="1"/>
  <c r="AH1906" i="1" s="1"/>
  <c r="AH1907" i="1" s="1"/>
  <c r="AH1908" i="1" s="1"/>
  <c r="AH1909" i="1" s="1"/>
  <c r="AH1910" i="1" s="1"/>
  <c r="AH1911" i="1" s="1"/>
  <c r="AH1912" i="1" s="1"/>
  <c r="AH1913" i="1" s="1"/>
  <c r="AH1914" i="1" s="1"/>
  <c r="AH1915" i="1" s="1"/>
  <c r="AH1916" i="1" s="1"/>
  <c r="AH1917" i="1" s="1"/>
  <c r="AH1918" i="1" s="1"/>
  <c r="AH1919" i="1" s="1"/>
  <c r="AH1920" i="1" s="1"/>
  <c r="AH1921" i="1" s="1"/>
  <c r="AH1922" i="1" s="1"/>
  <c r="AH1923" i="1" s="1"/>
  <c r="AH1924" i="1" s="1"/>
  <c r="AH1925" i="1" s="1"/>
  <c r="AH1926" i="1" s="1"/>
  <c r="AH1927" i="1" s="1"/>
  <c r="AH1928" i="1" s="1"/>
  <c r="AH1929" i="1" s="1"/>
  <c r="AH1930" i="1" s="1"/>
  <c r="AH1931" i="1" s="1"/>
  <c r="AH1932" i="1" s="1"/>
  <c r="AH1933" i="1" s="1"/>
  <c r="AH1934" i="1" s="1"/>
  <c r="AH1935" i="1" s="1"/>
  <c r="AH1936" i="1" s="1"/>
  <c r="AH1937" i="1" s="1"/>
  <c r="AH1938" i="1" s="1"/>
  <c r="AH1939" i="1" s="1"/>
  <c r="AH1940" i="1" s="1"/>
  <c r="AH1941" i="1" s="1"/>
  <c r="AH1942" i="1" s="1"/>
  <c r="AH1943" i="1" s="1"/>
  <c r="AH1944" i="1" s="1"/>
  <c r="AH1945" i="1" s="1"/>
  <c r="AH1946" i="1" s="1"/>
  <c r="AH1947" i="1" s="1"/>
  <c r="AH1948" i="1" s="1"/>
  <c r="AH1949" i="1" s="1"/>
  <c r="AH1950" i="1" s="1"/>
  <c r="AH1951" i="1" s="1"/>
  <c r="AH1952" i="1" s="1"/>
  <c r="AH1953" i="1" s="1"/>
  <c r="AH1954" i="1" s="1"/>
  <c r="AH1955" i="1" s="1"/>
  <c r="AH1956" i="1" s="1"/>
  <c r="AH1957" i="1" s="1"/>
  <c r="AH1958" i="1" s="1"/>
  <c r="AH1959" i="1" s="1"/>
  <c r="AH1960" i="1" s="1"/>
  <c r="AH1961" i="1" s="1"/>
  <c r="AH1962" i="1" s="1"/>
  <c r="AH1963" i="1" s="1"/>
  <c r="AH1964" i="1" s="1"/>
  <c r="AH1965" i="1" s="1"/>
  <c r="AH1966" i="1" s="1"/>
  <c r="AH1967" i="1" s="1"/>
  <c r="AH1968" i="1" s="1"/>
  <c r="AH1969" i="1" s="1"/>
  <c r="AH1970" i="1" s="1"/>
  <c r="AH1971" i="1" s="1"/>
  <c r="AH1972" i="1" s="1"/>
  <c r="AH1973" i="1" s="1"/>
  <c r="AH1974" i="1" s="1"/>
  <c r="AH1975" i="1" s="1"/>
  <c r="AH1976" i="1" s="1"/>
  <c r="AH1977" i="1" s="1"/>
  <c r="AH1978" i="1" s="1"/>
  <c r="AH1979" i="1" s="1"/>
  <c r="AH1980" i="1" s="1"/>
  <c r="AH1981" i="1" s="1"/>
  <c r="AH1982" i="1" s="1"/>
  <c r="AH1983" i="1" s="1"/>
  <c r="AH1984" i="1" s="1"/>
  <c r="AH1985" i="1" s="1"/>
  <c r="AH1986" i="1" s="1"/>
  <c r="AH1987" i="1" s="1"/>
  <c r="AH1988" i="1" s="1"/>
  <c r="AH1989" i="1" s="1"/>
  <c r="AH1990" i="1" s="1"/>
  <c r="AH1991" i="1" s="1"/>
  <c r="AH1992" i="1" s="1"/>
  <c r="AH1993" i="1" s="1"/>
  <c r="AH1994" i="1" s="1"/>
  <c r="AH1995" i="1" s="1"/>
  <c r="AH1996" i="1" s="1"/>
  <c r="AH1997" i="1" s="1"/>
  <c r="AH1998" i="1" s="1"/>
  <c r="AH1999" i="1" s="1"/>
  <c r="AH2000" i="1" s="1"/>
  <c r="AH2001" i="1" s="1"/>
  <c r="AH2002" i="1" s="1"/>
  <c r="AH2003" i="1" s="1"/>
  <c r="AH2004" i="1" s="1"/>
  <c r="AH2005" i="1" s="1"/>
  <c r="AH2006" i="1" s="1"/>
  <c r="AH2007" i="1" s="1"/>
  <c r="AH2008" i="1" s="1"/>
  <c r="AH2009" i="1" s="1"/>
  <c r="AH2010" i="1" s="1"/>
  <c r="AH2011" i="1" s="1"/>
  <c r="AH2012" i="1" s="1"/>
  <c r="AH2013" i="1" s="1"/>
  <c r="AH2014" i="1" s="1"/>
  <c r="AH2015" i="1" s="1"/>
  <c r="AH2016" i="1" s="1"/>
  <c r="AH2017" i="1" s="1"/>
  <c r="AH2018" i="1" s="1"/>
  <c r="AH2019" i="1" s="1"/>
  <c r="AH2020" i="1" s="1"/>
  <c r="AH2021" i="1" s="1"/>
  <c r="AH2022" i="1" s="1"/>
  <c r="AH2023" i="1" s="1"/>
  <c r="AH2024" i="1" s="1"/>
  <c r="AH2025" i="1" s="1"/>
  <c r="AH2026" i="1" s="1"/>
  <c r="AH2027" i="1" s="1"/>
  <c r="AH2028" i="1" s="1"/>
  <c r="AH2029" i="1" s="1"/>
  <c r="AH2030" i="1" s="1"/>
  <c r="AH2031" i="1" s="1"/>
  <c r="AH2032" i="1" s="1"/>
  <c r="AH2033" i="1" s="1"/>
  <c r="AH2034" i="1" s="1"/>
  <c r="AH2035" i="1" s="1"/>
  <c r="AH2036" i="1" s="1"/>
  <c r="AH2037" i="1" s="1"/>
  <c r="AH2038" i="1" s="1"/>
  <c r="AH2039" i="1" s="1"/>
  <c r="AH2040" i="1" s="1"/>
  <c r="AH2041" i="1" s="1"/>
  <c r="AH2042" i="1" s="1"/>
  <c r="AH2043" i="1" s="1"/>
  <c r="AH2044" i="1" s="1"/>
  <c r="AH2045" i="1" s="1"/>
  <c r="AH2046" i="1" s="1"/>
  <c r="AH2047" i="1" s="1"/>
  <c r="AH2048" i="1" s="1"/>
  <c r="AH2049" i="1" s="1"/>
  <c r="AH2050" i="1" s="1"/>
  <c r="AH2051" i="1" s="1"/>
  <c r="AH2052" i="1" s="1"/>
  <c r="AH2053" i="1" s="1"/>
  <c r="AH2054" i="1" s="1"/>
  <c r="AH2055" i="1" s="1"/>
  <c r="AH2056" i="1" s="1"/>
  <c r="AH2057" i="1" s="1"/>
  <c r="AH2058" i="1" s="1"/>
  <c r="AH2059" i="1" s="1"/>
  <c r="AH2060" i="1" s="1"/>
  <c r="AH2061" i="1" s="1"/>
  <c r="AH2062" i="1" s="1"/>
  <c r="AH2063" i="1" s="1"/>
  <c r="AH2064" i="1" s="1"/>
  <c r="AH2065" i="1" s="1"/>
  <c r="AH2066" i="1" s="1"/>
  <c r="AH2067" i="1" s="1"/>
  <c r="AH2068" i="1" s="1"/>
  <c r="AH2069" i="1" s="1"/>
  <c r="AH2070" i="1" s="1"/>
  <c r="AH2071" i="1" s="1"/>
  <c r="AH2072" i="1" s="1"/>
  <c r="AH2073" i="1" s="1"/>
  <c r="AH2074" i="1" s="1"/>
  <c r="AH2075" i="1" s="1"/>
  <c r="AH2076" i="1" s="1"/>
  <c r="AH2077" i="1" s="1"/>
  <c r="AH2078" i="1" s="1"/>
  <c r="AH2079" i="1" s="1"/>
  <c r="AH2080" i="1" s="1"/>
  <c r="AH2081" i="1" s="1"/>
  <c r="AH2082" i="1" s="1"/>
  <c r="AH2083" i="1" s="1"/>
  <c r="AH2084" i="1" s="1"/>
  <c r="AH2085" i="1" s="1"/>
  <c r="AH2086" i="1" s="1"/>
  <c r="AH2087" i="1" s="1"/>
  <c r="AH2088" i="1" s="1"/>
  <c r="AH2089" i="1" s="1"/>
  <c r="AH2090" i="1" s="1"/>
  <c r="AH2091" i="1" s="1"/>
  <c r="AH2092" i="1" s="1"/>
  <c r="AH2093" i="1" s="1"/>
  <c r="AH2094" i="1" s="1"/>
  <c r="AH2095" i="1" s="1"/>
  <c r="AH2096" i="1" s="1"/>
  <c r="AH2097" i="1" s="1"/>
  <c r="AH2098" i="1" s="1"/>
  <c r="AH2099" i="1" s="1"/>
  <c r="AH2100" i="1" s="1"/>
  <c r="AH2101" i="1" s="1"/>
  <c r="AH2102" i="1" s="1"/>
  <c r="AH2103" i="1" s="1"/>
  <c r="AH2104" i="1" s="1"/>
  <c r="AH2105" i="1" s="1"/>
  <c r="AH2106" i="1" s="1"/>
  <c r="AH2107" i="1" s="1"/>
  <c r="AH2108" i="1" s="1"/>
  <c r="AH2109" i="1" s="1"/>
  <c r="AH2110" i="1" s="1"/>
  <c r="AH2111" i="1" s="1"/>
  <c r="AH2112" i="1" s="1"/>
  <c r="AH2113" i="1" s="1"/>
  <c r="AH2114" i="1" s="1"/>
  <c r="AH2115" i="1" s="1"/>
  <c r="AH2116" i="1" s="1"/>
  <c r="AH2117" i="1" s="1"/>
  <c r="AH2118" i="1" s="1"/>
  <c r="AH2119" i="1" s="1"/>
  <c r="AH2120" i="1" s="1"/>
  <c r="AH2121" i="1" s="1"/>
  <c r="AH2122" i="1" s="1"/>
  <c r="AH2123" i="1" s="1"/>
  <c r="AH2124" i="1" s="1"/>
  <c r="AH2125" i="1" s="1"/>
  <c r="AH2126" i="1" s="1"/>
  <c r="AH2127" i="1" s="1"/>
  <c r="AH2128" i="1" s="1"/>
  <c r="AH2129" i="1" s="1"/>
  <c r="AH2130" i="1" s="1"/>
  <c r="AH2131" i="1" s="1"/>
  <c r="AH2132" i="1" s="1"/>
  <c r="AH2133" i="1" s="1"/>
  <c r="AH2134" i="1" s="1"/>
  <c r="AH2135" i="1" s="1"/>
  <c r="AH2136" i="1" s="1"/>
  <c r="AH2137" i="1" s="1"/>
  <c r="AH2138" i="1" s="1"/>
  <c r="AH2139" i="1" s="1"/>
  <c r="AH2140" i="1" s="1"/>
  <c r="AH2141" i="1" s="1"/>
  <c r="AH2142" i="1" s="1"/>
  <c r="AH2143" i="1" s="1"/>
  <c r="AH2144" i="1" s="1"/>
  <c r="AH2145" i="1" s="1"/>
  <c r="AH2146" i="1" s="1"/>
  <c r="AH2147" i="1" s="1"/>
  <c r="AH2148" i="1" s="1"/>
  <c r="AH2149" i="1" s="1"/>
  <c r="AH2150" i="1" s="1"/>
  <c r="AH2151" i="1" s="1"/>
  <c r="AH2152" i="1" s="1"/>
  <c r="AH2153" i="1" s="1"/>
  <c r="AH2154" i="1" s="1"/>
  <c r="AH2155" i="1" s="1"/>
  <c r="AH2156" i="1" s="1"/>
  <c r="AH2157" i="1" s="1"/>
  <c r="AH2158" i="1" s="1"/>
  <c r="AH2159" i="1" s="1"/>
  <c r="AH2160" i="1" s="1"/>
  <c r="AH2161" i="1" s="1"/>
  <c r="AH2162" i="1" s="1"/>
  <c r="AH2163" i="1" s="1"/>
  <c r="AH2164" i="1" s="1"/>
  <c r="AH2165" i="1" s="1"/>
  <c r="AH2166" i="1" s="1"/>
  <c r="AH2167" i="1" s="1"/>
  <c r="AH2168" i="1" s="1"/>
  <c r="AH2169" i="1" s="1"/>
  <c r="AH2170" i="1" s="1"/>
  <c r="AH2171" i="1" s="1"/>
  <c r="AH2172" i="1" s="1"/>
  <c r="AH2173" i="1" s="1"/>
  <c r="AH2174" i="1" s="1"/>
  <c r="AH2175" i="1" s="1"/>
  <c r="AH2176" i="1" s="1"/>
  <c r="AH2177" i="1" s="1"/>
  <c r="AH2178" i="1" s="1"/>
  <c r="AH2179" i="1" s="1"/>
  <c r="AH2180" i="1" s="1"/>
  <c r="AH2181" i="1" s="1"/>
  <c r="AH2182" i="1" s="1"/>
  <c r="AH2183" i="1" s="1"/>
  <c r="AH2184" i="1" s="1"/>
  <c r="AH2185" i="1" s="1"/>
  <c r="AH2186" i="1" s="1"/>
  <c r="AH2187" i="1" s="1"/>
  <c r="AH2188" i="1" s="1"/>
  <c r="AH2189" i="1" s="1"/>
  <c r="AH2190" i="1" s="1"/>
  <c r="AH2191" i="1" s="1"/>
  <c r="AH2192" i="1" s="1"/>
  <c r="AH2193" i="1" s="1"/>
  <c r="AH2194" i="1" s="1"/>
  <c r="AH2195" i="1" s="1"/>
  <c r="AH2196" i="1" s="1"/>
  <c r="AH2197" i="1" s="1"/>
  <c r="AH2198" i="1" s="1"/>
  <c r="AH2199" i="1" s="1"/>
  <c r="AH2200" i="1" s="1"/>
  <c r="AH2201" i="1" s="1"/>
  <c r="AH2202" i="1" s="1"/>
  <c r="AH2203" i="1" s="1"/>
  <c r="AH2204" i="1" s="1"/>
  <c r="AH2205" i="1" s="1"/>
  <c r="AH2206" i="1" s="1"/>
  <c r="AH2207" i="1" s="1"/>
  <c r="AH2208" i="1" s="1"/>
  <c r="AH2209" i="1" s="1"/>
  <c r="AH2210" i="1" s="1"/>
  <c r="AH2211" i="1" s="1"/>
  <c r="AH2212" i="1" s="1"/>
  <c r="AH2213" i="1" s="1"/>
  <c r="AH2214" i="1" s="1"/>
  <c r="AH2215" i="1" s="1"/>
  <c r="AH2216" i="1" s="1"/>
  <c r="AH2217" i="1" s="1"/>
  <c r="AH2218" i="1" s="1"/>
  <c r="AH2219" i="1" s="1"/>
  <c r="AH2220" i="1" s="1"/>
  <c r="AH2221" i="1" s="1"/>
  <c r="AH2222" i="1" s="1"/>
  <c r="AH2223" i="1" s="1"/>
  <c r="AH2224" i="1" s="1"/>
  <c r="AH2225" i="1" s="1"/>
  <c r="AH2226" i="1" s="1"/>
  <c r="AH2227" i="1" s="1"/>
  <c r="AH2228" i="1" s="1"/>
  <c r="AH2229" i="1" s="1"/>
  <c r="AH2230" i="1" s="1"/>
  <c r="AH2231" i="1" s="1"/>
  <c r="AH2232" i="1" s="1"/>
  <c r="AH2233" i="1" s="1"/>
  <c r="AH2234" i="1" s="1"/>
  <c r="AH2235" i="1" s="1"/>
  <c r="AH2236" i="1" s="1"/>
  <c r="AH2237" i="1" s="1"/>
  <c r="AH2238" i="1" s="1"/>
  <c r="AH2239" i="1" s="1"/>
  <c r="AH2240" i="1" s="1"/>
  <c r="AH2241" i="1" s="1"/>
  <c r="AH2242" i="1" s="1"/>
  <c r="AH2243" i="1" s="1"/>
  <c r="AH2244" i="1" s="1"/>
  <c r="AH2245" i="1" s="1"/>
  <c r="AH2246" i="1" s="1"/>
  <c r="AH2247" i="1" s="1"/>
  <c r="AH2248" i="1" s="1"/>
  <c r="AH2249" i="1" s="1"/>
  <c r="AH2250" i="1" s="1"/>
  <c r="AH2251" i="1" s="1"/>
  <c r="AH2252" i="1" s="1"/>
  <c r="AH2253" i="1" s="1"/>
  <c r="AH2254" i="1" s="1"/>
  <c r="AH2255" i="1" s="1"/>
  <c r="AH2256" i="1" s="1"/>
  <c r="AH2257" i="1" s="1"/>
  <c r="AH2258" i="1" s="1"/>
  <c r="AH2259" i="1" s="1"/>
  <c r="AH2260" i="1" s="1"/>
  <c r="AH2261" i="1" s="1"/>
  <c r="AH2262" i="1" s="1"/>
  <c r="AH2263" i="1" s="1"/>
  <c r="AH2264" i="1" s="1"/>
  <c r="AH2265" i="1" s="1"/>
  <c r="AH2266" i="1" s="1"/>
  <c r="AH2267" i="1" s="1"/>
  <c r="AH2268" i="1" s="1"/>
  <c r="AH2269" i="1" s="1"/>
  <c r="AH2270" i="1" s="1"/>
  <c r="AH2271" i="1" s="1"/>
  <c r="AH2272" i="1" s="1"/>
  <c r="AH2273" i="1" s="1"/>
  <c r="AH2274" i="1" s="1"/>
  <c r="AH2275" i="1" s="1"/>
  <c r="AH2276" i="1" s="1"/>
  <c r="AH2277" i="1" s="1"/>
  <c r="AH2278" i="1" s="1"/>
  <c r="AH2279" i="1" s="1"/>
  <c r="AH2280" i="1" s="1"/>
  <c r="AH2281" i="1" s="1"/>
  <c r="AH2282" i="1" s="1"/>
  <c r="AH2283" i="1" s="1"/>
  <c r="AH2284" i="1" s="1"/>
  <c r="AH2285" i="1" s="1"/>
  <c r="AH2286" i="1" s="1"/>
  <c r="AH2287" i="1" s="1"/>
  <c r="AH2288" i="1" s="1"/>
  <c r="AH2289" i="1" s="1"/>
  <c r="AH2290" i="1" s="1"/>
  <c r="AH2291" i="1" s="1"/>
  <c r="AH2292" i="1" s="1"/>
  <c r="AH2293" i="1" s="1"/>
  <c r="AH2294" i="1" s="1"/>
  <c r="AH2295" i="1" s="1"/>
  <c r="AH2296" i="1" s="1"/>
  <c r="AH2297" i="1" s="1"/>
  <c r="AH2298" i="1" s="1"/>
  <c r="AH2299" i="1" s="1"/>
  <c r="AH2300" i="1" s="1"/>
  <c r="AH2301" i="1" s="1"/>
  <c r="AH2302" i="1" s="1"/>
  <c r="AH2303" i="1" s="1"/>
  <c r="AH2304" i="1" s="1"/>
  <c r="AH2305" i="1" s="1"/>
  <c r="AH2306" i="1" s="1"/>
  <c r="AH2307" i="1" s="1"/>
  <c r="AH2308" i="1" s="1"/>
  <c r="AH2309" i="1" s="1"/>
  <c r="AH2310" i="1" s="1"/>
  <c r="AH2311" i="1" s="1"/>
  <c r="AH2312" i="1" s="1"/>
  <c r="AH2313" i="1" s="1"/>
  <c r="AH2314" i="1" s="1"/>
  <c r="AH2315" i="1" s="1"/>
  <c r="AH2316" i="1" s="1"/>
  <c r="AH2317" i="1" s="1"/>
  <c r="AH2318" i="1" s="1"/>
  <c r="AH2319" i="1" s="1"/>
  <c r="AH2320" i="1" s="1"/>
  <c r="AH2321" i="1" s="1"/>
  <c r="AH2322" i="1" s="1"/>
  <c r="AH2323" i="1" s="1"/>
  <c r="AH2324" i="1" s="1"/>
  <c r="AH2325" i="1" s="1"/>
  <c r="AH2326" i="1" s="1"/>
  <c r="AH2327" i="1" s="1"/>
  <c r="AH2328" i="1" s="1"/>
  <c r="AH2329" i="1" s="1"/>
  <c r="AH2330" i="1" s="1"/>
  <c r="AH2331" i="1" s="1"/>
  <c r="AH2332" i="1" s="1"/>
  <c r="AH2333" i="1" s="1"/>
  <c r="AH2334" i="1" s="1"/>
  <c r="AH2335" i="1" s="1"/>
  <c r="AH2336" i="1" s="1"/>
  <c r="AH2337" i="1" s="1"/>
  <c r="AH2338" i="1" s="1"/>
  <c r="AH2339" i="1" s="1"/>
  <c r="AH2340" i="1" s="1"/>
  <c r="AH2341" i="1" s="1"/>
  <c r="AH2342" i="1" s="1"/>
  <c r="AH2343" i="1" s="1"/>
  <c r="AH2344" i="1" s="1"/>
  <c r="AH2345" i="1" s="1"/>
  <c r="AH2346" i="1" s="1"/>
  <c r="AH2347" i="1" s="1"/>
  <c r="AH2348" i="1" s="1"/>
  <c r="AH2349" i="1" s="1"/>
  <c r="AH2350" i="1" s="1"/>
  <c r="AH2351" i="1" s="1"/>
  <c r="AH2352" i="1" s="1"/>
  <c r="AH2353" i="1" s="1"/>
  <c r="AH2354" i="1" s="1"/>
  <c r="AH2355" i="1" s="1"/>
  <c r="AH2356" i="1" s="1"/>
  <c r="AH2357" i="1" s="1"/>
  <c r="AH2358" i="1" s="1"/>
  <c r="AH2359" i="1" s="1"/>
  <c r="AH2360" i="1" s="1"/>
  <c r="AH2361" i="1" s="1"/>
  <c r="AH2362" i="1" s="1"/>
  <c r="AH2363" i="1" s="1"/>
  <c r="AH2364" i="1" s="1"/>
  <c r="AH2365" i="1" s="1"/>
  <c r="AH2366" i="1" s="1"/>
  <c r="AH2367" i="1" s="1"/>
  <c r="AH2368" i="1" s="1"/>
  <c r="AH2369" i="1" s="1"/>
  <c r="AH2370" i="1" s="1"/>
  <c r="AH2371" i="1" s="1"/>
  <c r="AH2372" i="1" s="1"/>
  <c r="AH2373" i="1" s="1"/>
  <c r="AH2374" i="1" s="1"/>
  <c r="AH2375" i="1" s="1"/>
  <c r="AH2376" i="1" s="1"/>
  <c r="AH2377" i="1" s="1"/>
  <c r="AH2378" i="1" s="1"/>
  <c r="AH2379" i="1" s="1"/>
  <c r="AH2380" i="1" s="1"/>
  <c r="AH2381" i="1" s="1"/>
  <c r="AH2382" i="1" s="1"/>
  <c r="AH2383" i="1" s="1"/>
  <c r="AH2384" i="1" s="1"/>
  <c r="AH2385" i="1" s="1"/>
  <c r="AH2386" i="1" s="1"/>
  <c r="AH2387" i="1" s="1"/>
  <c r="AH2388" i="1" s="1"/>
  <c r="AH2389" i="1" s="1"/>
  <c r="AH2390" i="1" s="1"/>
  <c r="AH2391" i="1" s="1"/>
  <c r="AH2392" i="1" s="1"/>
  <c r="AH2393" i="1" s="1"/>
  <c r="AH2394" i="1" s="1"/>
  <c r="AH2395" i="1" s="1"/>
  <c r="AH2396" i="1" s="1"/>
  <c r="AH2397" i="1" s="1"/>
  <c r="AH2398" i="1" s="1"/>
  <c r="AH2399" i="1" s="1"/>
  <c r="AH2400" i="1" s="1"/>
  <c r="AH2401" i="1" s="1"/>
  <c r="AH2402" i="1" s="1"/>
  <c r="AH2403" i="1" s="1"/>
  <c r="AH2404" i="1" s="1"/>
  <c r="AH2405" i="1" s="1"/>
  <c r="AH2406" i="1" s="1"/>
  <c r="AH2407" i="1" s="1"/>
  <c r="AH2408" i="1" s="1"/>
  <c r="AH2409" i="1" s="1"/>
  <c r="AH2410" i="1" s="1"/>
  <c r="AH2411" i="1" s="1"/>
  <c r="AH2412" i="1" s="1"/>
  <c r="AH2413" i="1" s="1"/>
  <c r="AH2414" i="1" s="1"/>
  <c r="AH2415" i="1" s="1"/>
  <c r="AH2416" i="1" s="1"/>
  <c r="AH2417" i="1" s="1"/>
  <c r="AH2418" i="1" s="1"/>
  <c r="AH2419" i="1" s="1"/>
  <c r="AH2420" i="1" s="1"/>
  <c r="AH2421" i="1" s="1"/>
  <c r="AH2422" i="1" s="1"/>
  <c r="AH2423" i="1" s="1"/>
  <c r="AH2424" i="1" s="1"/>
  <c r="AH2425" i="1" s="1"/>
  <c r="AH2426" i="1" s="1"/>
  <c r="AH2427" i="1" s="1"/>
  <c r="AH2428" i="1" s="1"/>
  <c r="AH2429" i="1" s="1"/>
  <c r="AH2430" i="1" s="1"/>
  <c r="AH2431" i="1" s="1"/>
  <c r="AH2432" i="1" s="1"/>
  <c r="AH2433" i="1" s="1"/>
  <c r="AH2434" i="1" s="1"/>
  <c r="AH2435" i="1" s="1"/>
  <c r="AH2436" i="1" s="1"/>
  <c r="AH2437" i="1" s="1"/>
  <c r="AH2438" i="1" s="1"/>
  <c r="AH2439" i="1" s="1"/>
  <c r="AH2440" i="1" s="1"/>
  <c r="AH2441" i="1" s="1"/>
  <c r="AH2442" i="1" s="1"/>
  <c r="AH2443" i="1" s="1"/>
  <c r="AH2444" i="1" s="1"/>
  <c r="AH2445" i="1" s="1"/>
  <c r="AH2446" i="1" s="1"/>
  <c r="AH2447" i="1" s="1"/>
  <c r="AH2448" i="1" s="1"/>
  <c r="AH2449" i="1" s="1"/>
  <c r="AH2450" i="1" s="1"/>
  <c r="AH2451" i="1" s="1"/>
  <c r="AH2452" i="1" s="1"/>
  <c r="AH2453" i="1" s="1"/>
  <c r="AH2454" i="1" s="1"/>
  <c r="AH2455" i="1" s="1"/>
  <c r="AH2456" i="1" s="1"/>
  <c r="AH2457" i="1" s="1"/>
  <c r="AH2458" i="1" s="1"/>
  <c r="AH2459" i="1" s="1"/>
  <c r="AH2460" i="1" s="1"/>
  <c r="AH2461" i="1" s="1"/>
  <c r="AH2462" i="1" s="1"/>
  <c r="AH2463" i="1" s="1"/>
  <c r="AH2464" i="1" s="1"/>
  <c r="AH2465" i="1" s="1"/>
  <c r="AH2466" i="1" s="1"/>
  <c r="AH2467" i="1" s="1"/>
  <c r="AH2468" i="1" s="1"/>
  <c r="AH2469" i="1" s="1"/>
  <c r="AH2470" i="1" s="1"/>
  <c r="AH2471" i="1" s="1"/>
  <c r="AH2472" i="1" s="1"/>
  <c r="AH2473" i="1" s="1"/>
  <c r="AH2474" i="1" s="1"/>
  <c r="AH2475" i="1" s="1"/>
  <c r="AH2476" i="1" s="1"/>
  <c r="AH2477" i="1" s="1"/>
  <c r="AH2478" i="1" s="1"/>
  <c r="AH2479" i="1" s="1"/>
  <c r="AH2480" i="1" s="1"/>
  <c r="AH2481" i="1" s="1"/>
  <c r="AH2482" i="1" s="1"/>
  <c r="AH2483" i="1" s="1"/>
  <c r="AH2484" i="1" s="1"/>
  <c r="AH2485" i="1" s="1"/>
  <c r="AH2486" i="1" s="1"/>
  <c r="AH2487" i="1" s="1"/>
  <c r="AH2488" i="1" s="1"/>
  <c r="AH2489" i="1" s="1"/>
  <c r="AH2490" i="1" s="1"/>
  <c r="AH2491" i="1" s="1"/>
  <c r="AH2492" i="1" s="1"/>
  <c r="AH2493" i="1" s="1"/>
  <c r="AH2494" i="1" s="1"/>
  <c r="AH2495" i="1" s="1"/>
  <c r="AH2496" i="1" s="1"/>
  <c r="AH2497" i="1" s="1"/>
  <c r="AH2498" i="1" s="1"/>
  <c r="AH2499" i="1" s="1"/>
  <c r="AH2500" i="1" s="1"/>
  <c r="AH2501" i="1" s="1"/>
  <c r="AH2502" i="1" s="1"/>
  <c r="AH2503" i="1" s="1"/>
  <c r="AH2504" i="1" s="1"/>
  <c r="AH2505" i="1" s="1"/>
  <c r="AH2506" i="1" s="1"/>
  <c r="AH2507" i="1" s="1"/>
  <c r="AH2508" i="1" s="1"/>
  <c r="AH2509" i="1" s="1"/>
  <c r="AH2510" i="1" s="1"/>
  <c r="AH2511" i="1" s="1"/>
  <c r="AH2512" i="1" s="1"/>
  <c r="AH2513" i="1" s="1"/>
  <c r="AH2514" i="1" s="1"/>
  <c r="AH2515" i="1" s="1"/>
  <c r="AH2516" i="1" s="1"/>
  <c r="AH2517" i="1" s="1"/>
  <c r="AH2518" i="1" s="1"/>
  <c r="AH2519" i="1" s="1"/>
  <c r="AH2520" i="1" s="1"/>
  <c r="AH2521" i="1" s="1"/>
  <c r="AH2522" i="1" s="1"/>
  <c r="AH2523" i="1" s="1"/>
  <c r="AH2524" i="1" s="1"/>
  <c r="AH2525" i="1" s="1"/>
  <c r="AH2526" i="1" s="1"/>
  <c r="AH2527" i="1" s="1"/>
  <c r="AH2528" i="1" s="1"/>
  <c r="AH2529" i="1" s="1"/>
  <c r="AH2530" i="1" s="1"/>
  <c r="AH2531" i="1" s="1"/>
  <c r="AH2532" i="1" s="1"/>
  <c r="AH2533" i="1" s="1"/>
  <c r="AH2534" i="1" s="1"/>
  <c r="AH2535" i="1" s="1"/>
  <c r="AH2536" i="1" s="1"/>
  <c r="AH2537" i="1" s="1"/>
  <c r="AH2538" i="1" s="1"/>
  <c r="AH2539" i="1" s="1"/>
  <c r="AH2540" i="1" s="1"/>
  <c r="AH2541" i="1" s="1"/>
  <c r="AH2542" i="1" s="1"/>
  <c r="AH2543" i="1" s="1"/>
  <c r="AH2544" i="1" s="1"/>
  <c r="AH2545" i="1" s="1"/>
  <c r="AH2546" i="1" s="1"/>
  <c r="AH2547" i="1" s="1"/>
  <c r="AH2548" i="1" s="1"/>
  <c r="AH2549" i="1" s="1"/>
  <c r="AH2550" i="1" s="1"/>
  <c r="AH2551" i="1" s="1"/>
  <c r="AH2552" i="1" s="1"/>
  <c r="AH2553" i="1" s="1"/>
  <c r="AH2554" i="1" s="1"/>
  <c r="AH2555" i="1" s="1"/>
  <c r="AH2556" i="1" s="1"/>
  <c r="AH2557" i="1" s="1"/>
  <c r="AH2558" i="1" s="1"/>
  <c r="AH2559" i="1" s="1"/>
  <c r="AH2560" i="1" s="1"/>
  <c r="AH2561" i="1" s="1"/>
  <c r="AH2562" i="1" s="1"/>
  <c r="AH2563" i="1" s="1"/>
  <c r="AH2564" i="1" s="1"/>
  <c r="AH2565" i="1" s="1"/>
  <c r="AH2566" i="1" s="1"/>
  <c r="AH2567" i="1" s="1"/>
  <c r="AH2568" i="1" s="1"/>
  <c r="AH2569" i="1" s="1"/>
  <c r="AH2570" i="1" s="1"/>
  <c r="AH2571" i="1" s="1"/>
  <c r="AH2572" i="1" s="1"/>
  <c r="AH2573" i="1" s="1"/>
  <c r="AH2574" i="1" s="1"/>
  <c r="AH2575" i="1" s="1"/>
  <c r="AH2576" i="1" s="1"/>
  <c r="AH2577" i="1" s="1"/>
  <c r="AH2578" i="1" s="1"/>
  <c r="AH2579" i="1" s="1"/>
  <c r="AH2580" i="1" s="1"/>
  <c r="AH2581" i="1" s="1"/>
  <c r="AH2582" i="1" s="1"/>
  <c r="AH2583" i="1" s="1"/>
  <c r="AH2584" i="1" s="1"/>
  <c r="AH2585" i="1" s="1"/>
  <c r="AH2586" i="1" s="1"/>
  <c r="AH2587" i="1" s="1"/>
  <c r="AH2588" i="1" s="1"/>
  <c r="AH2589" i="1" s="1"/>
  <c r="AH2590" i="1" s="1"/>
  <c r="AH2591" i="1" s="1"/>
  <c r="AH2592" i="1" s="1"/>
  <c r="AH2593" i="1" s="1"/>
  <c r="AH2594" i="1" s="1"/>
  <c r="AH2595" i="1" s="1"/>
  <c r="AH2596" i="1" s="1"/>
  <c r="AH2597" i="1" s="1"/>
  <c r="AH2598" i="1" s="1"/>
  <c r="AH2599" i="1" s="1"/>
  <c r="AH2600" i="1" s="1"/>
  <c r="AE202" i="8"/>
  <c r="E293" i="1"/>
  <c r="AQ292" i="1"/>
  <c r="AR292" i="1" s="1"/>
  <c r="AS292" i="1" s="1"/>
  <c r="AC204" i="1" l="1"/>
  <c r="AF203" i="1"/>
  <c r="L206" i="1"/>
  <c r="AJ205" i="1"/>
  <c r="AT205" i="1" s="1"/>
  <c r="N479" i="1"/>
  <c r="Y478" i="1"/>
  <c r="Z478" i="1"/>
  <c r="N1688" i="1"/>
  <c r="Y1685" i="1"/>
  <c r="Z1685" i="1"/>
  <c r="AG927" i="1"/>
  <c r="AG928" i="1" s="1"/>
  <c r="AG929" i="1" s="1"/>
  <c r="AG930" i="1" s="1"/>
  <c r="AG931" i="1" s="1"/>
  <c r="AG932" i="1" s="1"/>
  <c r="AG933" i="1" s="1"/>
  <c r="AG934" i="1" s="1"/>
  <c r="AG935" i="1" s="1"/>
  <c r="AG936" i="1" s="1"/>
  <c r="AG937" i="1" s="1"/>
  <c r="AG938" i="1" s="1"/>
  <c r="AG939" i="1" s="1"/>
  <c r="AG940" i="1" s="1"/>
  <c r="AG941" i="1" s="1"/>
  <c r="AG942" i="1" s="1"/>
  <c r="AG943" i="1" s="1"/>
  <c r="AG944" i="1" s="1"/>
  <c r="AG945" i="1" s="1"/>
  <c r="AG946" i="1" s="1"/>
  <c r="AG947" i="1" s="1"/>
  <c r="AG948" i="1" s="1"/>
  <c r="AG949" i="1" s="1"/>
  <c r="AG950" i="1" s="1"/>
  <c r="AG951" i="1" s="1"/>
  <c r="AG952" i="1" s="1"/>
  <c r="AG953" i="1" s="1"/>
  <c r="AG954" i="1" s="1"/>
  <c r="AG955" i="1" s="1"/>
  <c r="AG956" i="1" s="1"/>
  <c r="AG957" i="1" s="1"/>
  <c r="AG958" i="1" s="1"/>
  <c r="AG959" i="1" s="1"/>
  <c r="AG960" i="1" s="1"/>
  <c r="AG961" i="1" s="1"/>
  <c r="AG962" i="1" s="1"/>
  <c r="AG963" i="1" s="1"/>
  <c r="AG964" i="1" s="1"/>
  <c r="AG965" i="1" s="1"/>
  <c r="AG966" i="1" s="1"/>
  <c r="AG967" i="1" s="1"/>
  <c r="AG968" i="1" s="1"/>
  <c r="AG969" i="1" s="1"/>
  <c r="AG970" i="1" s="1"/>
  <c r="AG971" i="1" s="1"/>
  <c r="AG972" i="1" s="1"/>
  <c r="AG973" i="1" s="1"/>
  <c r="AG974" i="1" s="1"/>
  <c r="AG975" i="1" s="1"/>
  <c r="AG976" i="1" s="1"/>
  <c r="AG977" i="1" s="1"/>
  <c r="AG978" i="1" s="1"/>
  <c r="AG979" i="1" s="1"/>
  <c r="AG980" i="1" s="1"/>
  <c r="AG981" i="1" s="1"/>
  <c r="AG982" i="1" s="1"/>
  <c r="AG983" i="1" s="1"/>
  <c r="AG984" i="1" s="1"/>
  <c r="AG985" i="1" s="1"/>
  <c r="AG986" i="1" s="1"/>
  <c r="AG987" i="1" s="1"/>
  <c r="AG988" i="1" s="1"/>
  <c r="AG989" i="1" s="1"/>
  <c r="AG990" i="1" s="1"/>
  <c r="AG991" i="1" s="1"/>
  <c r="AG992" i="1" s="1"/>
  <c r="AG993" i="1" s="1"/>
  <c r="AG994" i="1" s="1"/>
  <c r="AG995" i="1" s="1"/>
  <c r="AG996" i="1" s="1"/>
  <c r="AG997" i="1" s="1"/>
  <c r="AG998" i="1" s="1"/>
  <c r="AG999" i="1" s="1"/>
  <c r="AG1000" i="1" s="1"/>
  <c r="AG1001" i="1" s="1"/>
  <c r="AG1002" i="1" s="1"/>
  <c r="AG1003" i="1" s="1"/>
  <c r="AG1004" i="1" s="1"/>
  <c r="AG1005" i="1" s="1"/>
  <c r="AG1006" i="1" s="1"/>
  <c r="AG1007" i="1" s="1"/>
  <c r="AG1008" i="1" s="1"/>
  <c r="AG1009" i="1" s="1"/>
  <c r="AG1010" i="1" s="1"/>
  <c r="AG1011" i="1" s="1"/>
  <c r="AG1012" i="1" s="1"/>
  <c r="AG1013" i="1" s="1"/>
  <c r="AG1014" i="1" s="1"/>
  <c r="AG1015" i="1" s="1"/>
  <c r="AG1016" i="1" s="1"/>
  <c r="AG1017" i="1" s="1"/>
  <c r="AG1018" i="1" s="1"/>
  <c r="AG1019" i="1" s="1"/>
  <c r="AG1020" i="1" s="1"/>
  <c r="AG1021" i="1" s="1"/>
  <c r="AG1022" i="1" s="1"/>
  <c r="AG1023" i="1" s="1"/>
  <c r="AG1024" i="1" s="1"/>
  <c r="AG1025" i="1" s="1"/>
  <c r="AG1026" i="1" s="1"/>
  <c r="AG1027" i="1" s="1"/>
  <c r="AG1028" i="1" s="1"/>
  <c r="AG1029" i="1" s="1"/>
  <c r="AG1030" i="1" s="1"/>
  <c r="AG1031" i="1" s="1"/>
  <c r="AG1032" i="1" s="1"/>
  <c r="AG1033" i="1" s="1"/>
  <c r="AG1034" i="1" s="1"/>
  <c r="AG1035" i="1" s="1"/>
  <c r="AG1036" i="1" s="1"/>
  <c r="AG1037" i="1" s="1"/>
  <c r="AG1038" i="1" s="1"/>
  <c r="AG1039" i="1" s="1"/>
  <c r="AG1040" i="1" s="1"/>
  <c r="AG1041" i="1" s="1"/>
  <c r="AG1042" i="1" s="1"/>
  <c r="AG1043" i="1" s="1"/>
  <c r="AG1044" i="1" s="1"/>
  <c r="AG1045" i="1" s="1"/>
  <c r="AG1046" i="1" s="1"/>
  <c r="AG1047" i="1" s="1"/>
  <c r="AG1048" i="1" s="1"/>
  <c r="AG1049" i="1" s="1"/>
  <c r="AG1050" i="1" s="1"/>
  <c r="AG1051" i="1" s="1"/>
  <c r="AG1052" i="1" s="1"/>
  <c r="AG1053" i="1" s="1"/>
  <c r="AG1054" i="1" s="1"/>
  <c r="AG1055" i="1" s="1"/>
  <c r="AG1056" i="1" s="1"/>
  <c r="AG1057" i="1" s="1"/>
  <c r="AG1058" i="1" s="1"/>
  <c r="AG1059" i="1" s="1"/>
  <c r="AG1060" i="1" s="1"/>
  <c r="AG1061" i="1" s="1"/>
  <c r="AG1062" i="1" s="1"/>
  <c r="AG1063" i="1" s="1"/>
  <c r="AG1064" i="1" s="1"/>
  <c r="AG1065" i="1" s="1"/>
  <c r="AG1066" i="1" s="1"/>
  <c r="AG1067" i="1" s="1"/>
  <c r="AG1068" i="1" s="1"/>
  <c r="AG1069" i="1" s="1"/>
  <c r="AG1070" i="1" s="1"/>
  <c r="AG1071" i="1" s="1"/>
  <c r="AG1072" i="1" s="1"/>
  <c r="AG1073" i="1" s="1"/>
  <c r="AG1074" i="1" s="1"/>
  <c r="AG1075" i="1" s="1"/>
  <c r="AG1076" i="1" s="1"/>
  <c r="AG1077" i="1" s="1"/>
  <c r="AG1078" i="1" s="1"/>
  <c r="AG1079" i="1" s="1"/>
  <c r="AG1080" i="1" s="1"/>
  <c r="AG1081" i="1" s="1"/>
  <c r="AG1082" i="1" s="1"/>
  <c r="AG1083" i="1" s="1"/>
  <c r="AG1084" i="1" s="1"/>
  <c r="AG1085" i="1" s="1"/>
  <c r="AG1086" i="1" s="1"/>
  <c r="AG1087" i="1" s="1"/>
  <c r="AG1088" i="1" s="1"/>
  <c r="AG1089" i="1" s="1"/>
  <c r="AG1090" i="1" s="1"/>
  <c r="AG1091" i="1" s="1"/>
  <c r="AG1092" i="1" s="1"/>
  <c r="AG1093" i="1" s="1"/>
  <c r="AG1094" i="1" s="1"/>
  <c r="AG1095" i="1" s="1"/>
  <c r="AG1096" i="1" s="1"/>
  <c r="AG1097" i="1" s="1"/>
  <c r="AG1098" i="1" s="1"/>
  <c r="AG1099" i="1" s="1"/>
  <c r="AG1100" i="1" s="1"/>
  <c r="AG1101" i="1" s="1"/>
  <c r="AG1102" i="1" s="1"/>
  <c r="AG1103" i="1" s="1"/>
  <c r="AG1104" i="1" s="1"/>
  <c r="AG1105" i="1" s="1"/>
  <c r="AG1106" i="1" s="1"/>
  <c r="AG1107" i="1" s="1"/>
  <c r="AG1108" i="1" s="1"/>
  <c r="AG1109" i="1" s="1"/>
  <c r="AG1110" i="1" s="1"/>
  <c r="AG1111" i="1" s="1"/>
  <c r="AG1112" i="1" s="1"/>
  <c r="AG1113" i="1" s="1"/>
  <c r="AG1114" i="1" s="1"/>
  <c r="AG1115" i="1" s="1"/>
  <c r="AG1116" i="1" s="1"/>
  <c r="AG1117" i="1" s="1"/>
  <c r="AG1118" i="1" s="1"/>
  <c r="AG1119" i="1" s="1"/>
  <c r="AG1120" i="1" s="1"/>
  <c r="AG1121" i="1" s="1"/>
  <c r="AG1122" i="1" s="1"/>
  <c r="AG1123" i="1" s="1"/>
  <c r="AG1124" i="1" s="1"/>
  <c r="AG1125" i="1" s="1"/>
  <c r="AG1126" i="1" s="1"/>
  <c r="AG1127" i="1" s="1"/>
  <c r="AG1128" i="1" s="1"/>
  <c r="AG1129" i="1" s="1"/>
  <c r="AG1130" i="1" s="1"/>
  <c r="AG1131" i="1" s="1"/>
  <c r="AG1132" i="1" s="1"/>
  <c r="AG1133" i="1" s="1"/>
  <c r="AG1134" i="1" s="1"/>
  <c r="AG1135" i="1" s="1"/>
  <c r="AG1136" i="1" s="1"/>
  <c r="AG1137" i="1" s="1"/>
  <c r="AG1138" i="1" s="1"/>
  <c r="AG1139" i="1" s="1"/>
  <c r="AG1140" i="1" s="1"/>
  <c r="AG1141" i="1" s="1"/>
  <c r="AG1142" i="1" s="1"/>
  <c r="AG1143" i="1" s="1"/>
  <c r="AG1144" i="1" s="1"/>
  <c r="AG1145" i="1" s="1"/>
  <c r="AG1146" i="1" s="1"/>
  <c r="AG1147" i="1" s="1"/>
  <c r="AG1148" i="1" s="1"/>
  <c r="AG1149" i="1" s="1"/>
  <c r="AG1150" i="1" s="1"/>
  <c r="AG1151" i="1" s="1"/>
  <c r="AG1152" i="1" s="1"/>
  <c r="AG1153" i="1" s="1"/>
  <c r="AG1154" i="1" s="1"/>
  <c r="AG1155" i="1" s="1"/>
  <c r="AG1156" i="1" s="1"/>
  <c r="AG1157" i="1" s="1"/>
  <c r="AG1158" i="1" s="1"/>
  <c r="AG1159" i="1" s="1"/>
  <c r="AG1160" i="1" s="1"/>
  <c r="AG1161" i="1" s="1"/>
  <c r="AG1162" i="1" s="1"/>
  <c r="AG1163" i="1" s="1"/>
  <c r="AG1164" i="1" s="1"/>
  <c r="AG1165" i="1" s="1"/>
  <c r="AG1166" i="1" s="1"/>
  <c r="AG1167" i="1" s="1"/>
  <c r="AG1168" i="1" s="1"/>
  <c r="AG1169" i="1" s="1"/>
  <c r="AG1170" i="1" s="1"/>
  <c r="AG1171" i="1" s="1"/>
  <c r="AG1172" i="1" s="1"/>
  <c r="AG1173" i="1" s="1"/>
  <c r="AG1174" i="1" s="1"/>
  <c r="AG1175" i="1" s="1"/>
  <c r="AG1176" i="1" s="1"/>
  <c r="AG1177" i="1" s="1"/>
  <c r="AG1178" i="1" s="1"/>
  <c r="AG1179" i="1" s="1"/>
  <c r="AG1180" i="1" s="1"/>
  <c r="AG1181" i="1" s="1"/>
  <c r="AG1182" i="1" s="1"/>
  <c r="AG1183" i="1" s="1"/>
  <c r="AG1184" i="1" s="1"/>
  <c r="AG1185" i="1" s="1"/>
  <c r="AG1186" i="1" s="1"/>
  <c r="AG1187" i="1" s="1"/>
  <c r="AG1188" i="1" s="1"/>
  <c r="AG1189" i="1" s="1"/>
  <c r="AG1190" i="1" s="1"/>
  <c r="AG1191" i="1" s="1"/>
  <c r="AG1192" i="1" s="1"/>
  <c r="AG1193" i="1" s="1"/>
  <c r="AG1194" i="1" s="1"/>
  <c r="AG1195" i="1" s="1"/>
  <c r="AG1196" i="1" s="1"/>
  <c r="AG1197" i="1" s="1"/>
  <c r="AG1198" i="1" s="1"/>
  <c r="AG1199" i="1" s="1"/>
  <c r="AG1200" i="1" s="1"/>
  <c r="AG1201" i="1" s="1"/>
  <c r="AG1202" i="1" s="1"/>
  <c r="AG1203" i="1" s="1"/>
  <c r="AG1204" i="1" s="1"/>
  <c r="AG1205" i="1" s="1"/>
  <c r="AG1206" i="1" s="1"/>
  <c r="AG1207" i="1" s="1"/>
  <c r="AG1208" i="1" s="1"/>
  <c r="AG1209" i="1" s="1"/>
  <c r="AG1210" i="1" s="1"/>
  <c r="AG1211" i="1" s="1"/>
  <c r="AG1212" i="1" s="1"/>
  <c r="AG1213" i="1" s="1"/>
  <c r="AG1214" i="1" s="1"/>
  <c r="AG1215" i="1" s="1"/>
  <c r="AG1216" i="1" s="1"/>
  <c r="AG1217" i="1" s="1"/>
  <c r="AG1218" i="1" s="1"/>
  <c r="AG1219" i="1" s="1"/>
  <c r="AG1220" i="1" s="1"/>
  <c r="AG1221" i="1" s="1"/>
  <c r="AG1222" i="1" s="1"/>
  <c r="AG1223" i="1" s="1"/>
  <c r="AG1224" i="1" s="1"/>
  <c r="AG1225" i="1" s="1"/>
  <c r="AG1226" i="1" s="1"/>
  <c r="AG1227" i="1" s="1"/>
  <c r="AG1228" i="1" s="1"/>
  <c r="AG1229" i="1" s="1"/>
  <c r="AG1230" i="1" s="1"/>
  <c r="AG1231" i="1" s="1"/>
  <c r="AG1232" i="1" s="1"/>
  <c r="AG1233" i="1" s="1"/>
  <c r="AG1234" i="1" s="1"/>
  <c r="AG1235" i="1" s="1"/>
  <c r="AG1236" i="1" s="1"/>
  <c r="AG1237" i="1" s="1"/>
  <c r="AG1238" i="1" s="1"/>
  <c r="AG1239" i="1" s="1"/>
  <c r="AG1240" i="1" s="1"/>
  <c r="AG1241" i="1" s="1"/>
  <c r="AG1242" i="1" s="1"/>
  <c r="AG1243" i="1" s="1"/>
  <c r="AG1244" i="1" s="1"/>
  <c r="AG1245" i="1" s="1"/>
  <c r="AG1246" i="1" s="1"/>
  <c r="AG1247" i="1" s="1"/>
  <c r="AG1248" i="1" s="1"/>
  <c r="AG1249" i="1" s="1"/>
  <c r="AG1250" i="1" s="1"/>
  <c r="AG1251" i="1" s="1"/>
  <c r="AG1252" i="1" s="1"/>
  <c r="AG1253" i="1" s="1"/>
  <c r="AG1254" i="1" s="1"/>
  <c r="AG1255" i="1" s="1"/>
  <c r="AG1256" i="1" s="1"/>
  <c r="AG1257" i="1" s="1"/>
  <c r="AG1258" i="1" s="1"/>
  <c r="AG1259" i="1" s="1"/>
  <c r="AG1260" i="1" s="1"/>
  <c r="AG1261" i="1" s="1"/>
  <c r="AG1262" i="1" s="1"/>
  <c r="AG1263" i="1" s="1"/>
  <c r="AG1264" i="1" s="1"/>
  <c r="AG1265" i="1" s="1"/>
  <c r="AG1266" i="1" s="1"/>
  <c r="AG1267" i="1" s="1"/>
  <c r="AG1268" i="1" s="1"/>
  <c r="AG1269" i="1" s="1"/>
  <c r="AG1270" i="1" s="1"/>
  <c r="AG1271" i="1" s="1"/>
  <c r="AG1272" i="1" s="1"/>
  <c r="AG1273" i="1" s="1"/>
  <c r="AG1274" i="1" s="1"/>
  <c r="AG1275" i="1" s="1"/>
  <c r="AG1276" i="1" s="1"/>
  <c r="AG1277" i="1" s="1"/>
  <c r="AG1278" i="1" s="1"/>
  <c r="AG1279" i="1" s="1"/>
  <c r="AG1280" i="1" s="1"/>
  <c r="AG1281" i="1" s="1"/>
  <c r="AG1282" i="1" s="1"/>
  <c r="AG1283" i="1" s="1"/>
  <c r="AG1284" i="1" s="1"/>
  <c r="AG1285" i="1" s="1"/>
  <c r="AG1286" i="1" s="1"/>
  <c r="AG1287" i="1" s="1"/>
  <c r="AG1288" i="1" s="1"/>
  <c r="AG1289" i="1" s="1"/>
  <c r="AG1290" i="1" s="1"/>
  <c r="AG1291" i="1" s="1"/>
  <c r="AG1292" i="1" s="1"/>
  <c r="AG1293" i="1" s="1"/>
  <c r="AG1294" i="1" s="1"/>
  <c r="AG1295" i="1" s="1"/>
  <c r="AG1296" i="1" s="1"/>
  <c r="AG1297" i="1" s="1"/>
  <c r="AG1298" i="1" s="1"/>
  <c r="AG1299" i="1" s="1"/>
  <c r="AG1300" i="1" s="1"/>
  <c r="AG1301" i="1" s="1"/>
  <c r="AG1302" i="1" s="1"/>
  <c r="AG1303" i="1" s="1"/>
  <c r="AG1304" i="1" s="1"/>
  <c r="AG1305" i="1" s="1"/>
  <c r="AG1306" i="1" s="1"/>
  <c r="AG1307" i="1" s="1"/>
  <c r="AG1308" i="1" s="1"/>
  <c r="AG1309" i="1" s="1"/>
  <c r="AG1310" i="1" s="1"/>
  <c r="AG1311" i="1" s="1"/>
  <c r="AG1312" i="1" s="1"/>
  <c r="AG1313" i="1" s="1"/>
  <c r="AG1314" i="1" s="1"/>
  <c r="AG1315" i="1" s="1"/>
  <c r="AG1316" i="1" s="1"/>
  <c r="AG1317" i="1" s="1"/>
  <c r="AG1318" i="1" s="1"/>
  <c r="AG1319" i="1" s="1"/>
  <c r="AG1320" i="1" s="1"/>
  <c r="AG1321" i="1" s="1"/>
  <c r="AG1322" i="1" s="1"/>
  <c r="AG1323" i="1" s="1"/>
  <c r="AG1324" i="1" s="1"/>
  <c r="AG1325" i="1" s="1"/>
  <c r="AG1326" i="1" s="1"/>
  <c r="AG1327" i="1" s="1"/>
  <c r="AG1328" i="1" s="1"/>
  <c r="AG1329" i="1" s="1"/>
  <c r="AG1330" i="1" s="1"/>
  <c r="AG1331" i="1" s="1"/>
  <c r="AG1332" i="1" s="1"/>
  <c r="AG1333" i="1" s="1"/>
  <c r="AG1334" i="1" s="1"/>
  <c r="AG1335" i="1" s="1"/>
  <c r="AG1336" i="1" s="1"/>
  <c r="AG1337" i="1" s="1"/>
  <c r="AG1338" i="1" s="1"/>
  <c r="AG1339" i="1" s="1"/>
  <c r="AG1340" i="1" s="1"/>
  <c r="AG1341" i="1" s="1"/>
  <c r="AG1342" i="1" s="1"/>
  <c r="AG1343" i="1" s="1"/>
  <c r="AG1344" i="1" s="1"/>
  <c r="AG1345" i="1" s="1"/>
  <c r="AG1346" i="1" s="1"/>
  <c r="AG1347" i="1" s="1"/>
  <c r="AG1348" i="1" s="1"/>
  <c r="AG1349" i="1" s="1"/>
  <c r="AG1350" i="1" s="1"/>
  <c r="AG1351" i="1" s="1"/>
  <c r="AG1352" i="1" s="1"/>
  <c r="AG1353" i="1" s="1"/>
  <c r="AG1354" i="1" s="1"/>
  <c r="AG1355" i="1" s="1"/>
  <c r="AG1356" i="1" s="1"/>
  <c r="AG1357" i="1" s="1"/>
  <c r="AG1358" i="1" s="1"/>
  <c r="AG1359" i="1" s="1"/>
  <c r="AG1360" i="1" s="1"/>
  <c r="AG1361" i="1" s="1"/>
  <c r="AG1362" i="1" s="1"/>
  <c r="AG1363" i="1" s="1"/>
  <c r="AG1364" i="1" s="1"/>
  <c r="AG1365" i="1" s="1"/>
  <c r="AG1366" i="1" s="1"/>
  <c r="AG1367" i="1" s="1"/>
  <c r="AG1368" i="1" s="1"/>
  <c r="AG1369" i="1" s="1"/>
  <c r="AG1370" i="1" s="1"/>
  <c r="AG1371" i="1" s="1"/>
  <c r="AG1372" i="1" s="1"/>
  <c r="AG1373" i="1" s="1"/>
  <c r="AG1374" i="1" s="1"/>
  <c r="AG1375" i="1" s="1"/>
  <c r="AG1376" i="1" s="1"/>
  <c r="AG1377" i="1" s="1"/>
  <c r="AG1378" i="1" s="1"/>
  <c r="AG1379" i="1" s="1"/>
  <c r="AG1380" i="1" s="1"/>
  <c r="AG1381" i="1" s="1"/>
  <c r="AG1382" i="1" s="1"/>
  <c r="AG1383" i="1" s="1"/>
  <c r="AG1384" i="1" s="1"/>
  <c r="AG1385" i="1" s="1"/>
  <c r="AG1386" i="1" s="1"/>
  <c r="AG1387" i="1" s="1"/>
  <c r="AG1388" i="1" s="1"/>
  <c r="AG1389" i="1" s="1"/>
  <c r="AG1390" i="1" s="1"/>
  <c r="AG1391" i="1" s="1"/>
  <c r="AG1392" i="1" s="1"/>
  <c r="AG1393" i="1" s="1"/>
  <c r="AG1394" i="1" s="1"/>
  <c r="AG1395" i="1" s="1"/>
  <c r="AG1396" i="1" s="1"/>
  <c r="AG1397" i="1" s="1"/>
  <c r="AG1398" i="1" s="1"/>
  <c r="AG1399" i="1" s="1"/>
  <c r="AG1400" i="1" s="1"/>
  <c r="AG1401" i="1" s="1"/>
  <c r="AG1402" i="1" s="1"/>
  <c r="AG1403" i="1" s="1"/>
  <c r="AG1404" i="1" s="1"/>
  <c r="AG1405" i="1" s="1"/>
  <c r="AG1406" i="1" s="1"/>
  <c r="AG1407" i="1" s="1"/>
  <c r="AG1408" i="1" s="1"/>
  <c r="AG1409" i="1" s="1"/>
  <c r="AG1410" i="1" s="1"/>
  <c r="AG1411" i="1" s="1"/>
  <c r="AG1412" i="1" s="1"/>
  <c r="AG1413" i="1" s="1"/>
  <c r="AG1414" i="1" s="1"/>
  <c r="AG1415" i="1" s="1"/>
  <c r="AG1416" i="1" s="1"/>
  <c r="AG1417" i="1" s="1"/>
  <c r="AG1418" i="1" s="1"/>
  <c r="AG1419" i="1" s="1"/>
  <c r="AG1420" i="1" s="1"/>
  <c r="AG1421" i="1" s="1"/>
  <c r="AG1422" i="1" s="1"/>
  <c r="AG1423" i="1" s="1"/>
  <c r="AG1424" i="1" s="1"/>
  <c r="AG1425" i="1" s="1"/>
  <c r="AG1426" i="1" s="1"/>
  <c r="AG1427" i="1" s="1"/>
  <c r="AG1428" i="1" s="1"/>
  <c r="AG1429" i="1" s="1"/>
  <c r="AG1430" i="1" s="1"/>
  <c r="AG1431" i="1" s="1"/>
  <c r="AG1432" i="1" s="1"/>
  <c r="AG1433" i="1" s="1"/>
  <c r="AG1434" i="1" s="1"/>
  <c r="AG1435" i="1" s="1"/>
  <c r="AG1436" i="1" s="1"/>
  <c r="AG1437" i="1" s="1"/>
  <c r="AG1438" i="1" s="1"/>
  <c r="AG1439" i="1" s="1"/>
  <c r="AG1440" i="1" s="1"/>
  <c r="AG1441" i="1" s="1"/>
  <c r="AG1442" i="1" s="1"/>
  <c r="AG1443" i="1" s="1"/>
  <c r="AG1444" i="1" s="1"/>
  <c r="AG1445" i="1" s="1"/>
  <c r="AG1446" i="1" s="1"/>
  <c r="AG1447" i="1" s="1"/>
  <c r="AG1448" i="1" s="1"/>
  <c r="AG1449" i="1" s="1"/>
  <c r="AG1450" i="1" s="1"/>
  <c r="AG1451" i="1" s="1"/>
  <c r="AG1452" i="1" s="1"/>
  <c r="AG1453" i="1" s="1"/>
  <c r="AG1454" i="1" s="1"/>
  <c r="AG1455" i="1" s="1"/>
  <c r="AG1456" i="1" s="1"/>
  <c r="AG1457" i="1" s="1"/>
  <c r="AG1458" i="1" s="1"/>
  <c r="AG1459" i="1" s="1"/>
  <c r="AG1460" i="1" s="1"/>
  <c r="AG1461" i="1" s="1"/>
  <c r="AG1462" i="1" s="1"/>
  <c r="AG1463" i="1" s="1"/>
  <c r="AG1464" i="1" s="1"/>
  <c r="AG1465" i="1" s="1"/>
  <c r="AG1466" i="1" s="1"/>
  <c r="AG1467" i="1" s="1"/>
  <c r="AG1468" i="1" s="1"/>
  <c r="AG1469" i="1" s="1"/>
  <c r="AG1470" i="1" s="1"/>
  <c r="AG1471" i="1" s="1"/>
  <c r="AG1472" i="1" s="1"/>
  <c r="AG1473" i="1" s="1"/>
  <c r="AG1474" i="1" s="1"/>
  <c r="AG1475" i="1" s="1"/>
  <c r="AG1476" i="1" s="1"/>
  <c r="AG1477" i="1" s="1"/>
  <c r="AG1478" i="1" s="1"/>
  <c r="AG1479" i="1" s="1"/>
  <c r="AG1480" i="1" s="1"/>
  <c r="AG1481" i="1" s="1"/>
  <c r="AG1482" i="1" s="1"/>
  <c r="AG1483" i="1" s="1"/>
  <c r="AG1484" i="1" s="1"/>
  <c r="AG1485" i="1" s="1"/>
  <c r="AG1486" i="1" s="1"/>
  <c r="AG1487" i="1" s="1"/>
  <c r="AG1488" i="1" s="1"/>
  <c r="AG1489" i="1" s="1"/>
  <c r="AG1490" i="1" s="1"/>
  <c r="AG1491" i="1" s="1"/>
  <c r="AG1492" i="1" s="1"/>
  <c r="AG1493" i="1" s="1"/>
  <c r="AG1494" i="1" s="1"/>
  <c r="AG1495" i="1" s="1"/>
  <c r="AG1496" i="1" s="1"/>
  <c r="AG1497" i="1" s="1"/>
  <c r="AG1498" i="1" s="1"/>
  <c r="AG1499" i="1" s="1"/>
  <c r="AG1500" i="1" s="1"/>
  <c r="AG1501" i="1" s="1"/>
  <c r="AG1502" i="1" s="1"/>
  <c r="AG1503" i="1" s="1"/>
  <c r="AG1504" i="1" s="1"/>
  <c r="AG1505" i="1" s="1"/>
  <c r="AG1506" i="1" s="1"/>
  <c r="AG1507" i="1" s="1"/>
  <c r="AG1508" i="1" s="1"/>
  <c r="AG1509" i="1" s="1"/>
  <c r="AG1510" i="1" s="1"/>
  <c r="AG1511" i="1" s="1"/>
  <c r="AG1512" i="1" s="1"/>
  <c r="AG1513" i="1" s="1"/>
  <c r="AG1514" i="1" s="1"/>
  <c r="AG1515" i="1" s="1"/>
  <c r="AG1516" i="1" s="1"/>
  <c r="AG1517" i="1" s="1"/>
  <c r="AG1518" i="1" s="1"/>
  <c r="AG1519" i="1" s="1"/>
  <c r="AG1520" i="1" s="1"/>
  <c r="AG1521" i="1" s="1"/>
  <c r="AG1522" i="1" s="1"/>
  <c r="AG1523" i="1" s="1"/>
  <c r="AG1524" i="1" s="1"/>
  <c r="AG1525" i="1" s="1"/>
  <c r="AG1526" i="1" s="1"/>
  <c r="AG1527" i="1" s="1"/>
  <c r="AG1528" i="1" s="1"/>
  <c r="AG1529" i="1" s="1"/>
  <c r="AG1530" i="1" s="1"/>
  <c r="AG1531" i="1" s="1"/>
  <c r="AG1532" i="1" s="1"/>
  <c r="AG1533" i="1" s="1"/>
  <c r="AG1534" i="1" s="1"/>
  <c r="AG1535" i="1" s="1"/>
  <c r="AG1536" i="1" s="1"/>
  <c r="AG1537" i="1" s="1"/>
  <c r="AG1538" i="1" s="1"/>
  <c r="AG1539" i="1" s="1"/>
  <c r="AG1540" i="1" s="1"/>
  <c r="AG1541" i="1" s="1"/>
  <c r="AG1542" i="1" s="1"/>
  <c r="AG1543" i="1" s="1"/>
  <c r="AG1544" i="1" s="1"/>
  <c r="AG1545" i="1" s="1"/>
  <c r="AG1546" i="1" s="1"/>
  <c r="AG1547" i="1" s="1"/>
  <c r="AG1548" i="1" s="1"/>
  <c r="AG1549" i="1" s="1"/>
  <c r="AG1550" i="1" s="1"/>
  <c r="AG1551" i="1" s="1"/>
  <c r="AG1552" i="1" s="1"/>
  <c r="AG1553" i="1" s="1"/>
  <c r="AG1554" i="1" s="1"/>
  <c r="AG1555" i="1" s="1"/>
  <c r="AG1556" i="1" s="1"/>
  <c r="AG1557" i="1" s="1"/>
  <c r="AG1558" i="1" s="1"/>
  <c r="AG1559" i="1" s="1"/>
  <c r="AG1560" i="1" s="1"/>
  <c r="AG1561" i="1" s="1"/>
  <c r="AG1562" i="1" s="1"/>
  <c r="AG1563" i="1" s="1"/>
  <c r="AG1564" i="1" s="1"/>
  <c r="AG1565" i="1" s="1"/>
  <c r="AG1566" i="1" s="1"/>
  <c r="AG1567" i="1" s="1"/>
  <c r="AG1568" i="1" s="1"/>
  <c r="AG1569" i="1" s="1"/>
  <c r="AG1570" i="1" s="1"/>
  <c r="AG1571" i="1" s="1"/>
  <c r="AG1572" i="1" s="1"/>
  <c r="AG1573" i="1" s="1"/>
  <c r="AG1574" i="1" s="1"/>
  <c r="AG1575" i="1" s="1"/>
  <c r="AG1576" i="1" s="1"/>
  <c r="AG1577" i="1" s="1"/>
  <c r="AG1578" i="1" s="1"/>
  <c r="AG1579" i="1" s="1"/>
  <c r="AG1580" i="1" s="1"/>
  <c r="AG1581" i="1" s="1"/>
  <c r="AG1582" i="1" s="1"/>
  <c r="AG1583" i="1" s="1"/>
  <c r="AG1584" i="1" s="1"/>
  <c r="AG1585" i="1" s="1"/>
  <c r="AG1586" i="1" s="1"/>
  <c r="AG1587" i="1" s="1"/>
  <c r="AG1588" i="1" s="1"/>
  <c r="AG1589" i="1" s="1"/>
  <c r="AG1590" i="1" s="1"/>
  <c r="AG1591" i="1" s="1"/>
  <c r="AG1592" i="1" s="1"/>
  <c r="AG1593" i="1" s="1"/>
  <c r="AG1594" i="1" s="1"/>
  <c r="AG1595" i="1" s="1"/>
  <c r="AG1596" i="1" s="1"/>
  <c r="AG1597" i="1" s="1"/>
  <c r="AG1598" i="1" s="1"/>
  <c r="AG1599" i="1" s="1"/>
  <c r="AG1600" i="1" s="1"/>
  <c r="AG1601" i="1" s="1"/>
  <c r="AG1602" i="1" s="1"/>
  <c r="AG1603" i="1" s="1"/>
  <c r="AG1604" i="1" s="1"/>
  <c r="AG1605" i="1" s="1"/>
  <c r="AG1606" i="1" s="1"/>
  <c r="AG1607" i="1" s="1"/>
  <c r="AG1608" i="1" s="1"/>
  <c r="AG1609" i="1" s="1"/>
  <c r="AG1610" i="1" s="1"/>
  <c r="AG1611" i="1" s="1"/>
  <c r="AG1612" i="1" s="1"/>
  <c r="AG1613" i="1" s="1"/>
  <c r="AG1614" i="1" s="1"/>
  <c r="AG1615" i="1" s="1"/>
  <c r="AG1616" i="1" s="1"/>
  <c r="AG1617" i="1" s="1"/>
  <c r="AG1618" i="1" s="1"/>
  <c r="AG1619" i="1" s="1"/>
  <c r="AG1620" i="1" s="1"/>
  <c r="AG1621" i="1" s="1"/>
  <c r="AG1622" i="1" s="1"/>
  <c r="AG1623" i="1" s="1"/>
  <c r="AG1624" i="1" s="1"/>
  <c r="AG1625" i="1" s="1"/>
  <c r="AG1626" i="1" s="1"/>
  <c r="AG1627" i="1" s="1"/>
  <c r="AG1628" i="1" s="1"/>
  <c r="AG1629" i="1" s="1"/>
  <c r="AG1630" i="1" s="1"/>
  <c r="AG1631" i="1" s="1"/>
  <c r="AG1632" i="1" s="1"/>
  <c r="AG1633" i="1" s="1"/>
  <c r="AG1634" i="1" s="1"/>
  <c r="AG1635" i="1" s="1"/>
  <c r="AG1636" i="1" s="1"/>
  <c r="AG1637" i="1" s="1"/>
  <c r="AG1638" i="1" s="1"/>
  <c r="AG1639" i="1" s="1"/>
  <c r="AG1640" i="1" s="1"/>
  <c r="AG1641" i="1" s="1"/>
  <c r="AG1642" i="1" s="1"/>
  <c r="AG1643" i="1" s="1"/>
  <c r="AG1644" i="1" s="1"/>
  <c r="AG1645" i="1" s="1"/>
  <c r="AG1646" i="1" s="1"/>
  <c r="AG1647" i="1" s="1"/>
  <c r="AG1648" i="1" s="1"/>
  <c r="AG1649" i="1" s="1"/>
  <c r="AG1650" i="1" s="1"/>
  <c r="AG1651" i="1" s="1"/>
  <c r="AG1652" i="1" s="1"/>
  <c r="AG1653" i="1" s="1"/>
  <c r="AG1654" i="1" s="1"/>
  <c r="AG1655" i="1" s="1"/>
  <c r="AG1656" i="1" s="1"/>
  <c r="AG1657" i="1" s="1"/>
  <c r="AG1658" i="1" s="1"/>
  <c r="AG1659" i="1" s="1"/>
  <c r="AG1660" i="1" s="1"/>
  <c r="AG1661" i="1" s="1"/>
  <c r="AG1662" i="1" s="1"/>
  <c r="AG1663" i="1" s="1"/>
  <c r="AG1664" i="1" s="1"/>
  <c r="AG1665" i="1" s="1"/>
  <c r="AG1666" i="1" s="1"/>
  <c r="AG1667" i="1" s="1"/>
  <c r="AG1668" i="1" s="1"/>
  <c r="AG1669" i="1" s="1"/>
  <c r="AG1670" i="1" s="1"/>
  <c r="AG1671" i="1" s="1"/>
  <c r="AG1672" i="1" s="1"/>
  <c r="AG1673" i="1" s="1"/>
  <c r="AG1674" i="1" s="1"/>
  <c r="AG1675" i="1" s="1"/>
  <c r="AG1676" i="1" s="1"/>
  <c r="AG1677" i="1" s="1"/>
  <c r="AG1678" i="1" s="1"/>
  <c r="AG1679" i="1" s="1"/>
  <c r="AG1680" i="1" s="1"/>
  <c r="AG1681" i="1" s="1"/>
  <c r="AG1682" i="1" s="1"/>
  <c r="AG1683" i="1" s="1"/>
  <c r="AG1684" i="1" s="1"/>
  <c r="AG1685" i="1" s="1"/>
  <c r="AG1686" i="1" s="1"/>
  <c r="AG1687" i="1" s="1"/>
  <c r="AG1688" i="1" s="1"/>
  <c r="AG1689" i="1" s="1"/>
  <c r="AG1690" i="1" s="1"/>
  <c r="AG1691" i="1" s="1"/>
  <c r="AG1692" i="1" s="1"/>
  <c r="AG1693" i="1" s="1"/>
  <c r="AG1694" i="1" s="1"/>
  <c r="AG1695" i="1" s="1"/>
  <c r="AG1696" i="1" s="1"/>
  <c r="AG1697" i="1" s="1"/>
  <c r="AG1698" i="1" s="1"/>
  <c r="AG1699" i="1" s="1"/>
  <c r="AG1700" i="1" s="1"/>
  <c r="AG1701" i="1" s="1"/>
  <c r="AG1702" i="1" s="1"/>
  <c r="AG1703" i="1" s="1"/>
  <c r="AG1704" i="1" s="1"/>
  <c r="AG1705" i="1" s="1"/>
  <c r="AG1706" i="1" s="1"/>
  <c r="AG1707" i="1" s="1"/>
  <c r="AG1708" i="1" s="1"/>
  <c r="AG1709" i="1" s="1"/>
  <c r="AG1710" i="1" s="1"/>
  <c r="AG1711" i="1" s="1"/>
  <c r="AG1712" i="1" s="1"/>
  <c r="AG1713" i="1" s="1"/>
  <c r="AG1714" i="1" s="1"/>
  <c r="AG1715" i="1" s="1"/>
  <c r="AG1716" i="1" s="1"/>
  <c r="AG1717" i="1" s="1"/>
  <c r="AG1718" i="1" s="1"/>
  <c r="AG1719" i="1" s="1"/>
  <c r="AG1720" i="1" s="1"/>
  <c r="AG1721" i="1" s="1"/>
  <c r="AG1722" i="1" s="1"/>
  <c r="AG1723" i="1" s="1"/>
  <c r="AG1724" i="1" s="1"/>
  <c r="AG1725" i="1" s="1"/>
  <c r="AG1726" i="1" s="1"/>
  <c r="AG1727" i="1" s="1"/>
  <c r="AG1728" i="1" s="1"/>
  <c r="AG1729" i="1" s="1"/>
  <c r="AG1730" i="1" s="1"/>
  <c r="AG1731" i="1" s="1"/>
  <c r="AG1732" i="1" s="1"/>
  <c r="AG1733" i="1" s="1"/>
  <c r="AG1734" i="1" s="1"/>
  <c r="AG1735" i="1" s="1"/>
  <c r="AG1736" i="1" s="1"/>
  <c r="AG1737" i="1" s="1"/>
  <c r="AG1738" i="1" s="1"/>
  <c r="AG1739" i="1" s="1"/>
  <c r="AG1740" i="1" s="1"/>
  <c r="AG1741" i="1" s="1"/>
  <c r="AG1742" i="1" s="1"/>
  <c r="AG1743" i="1" s="1"/>
  <c r="AG1744" i="1" s="1"/>
  <c r="AG1745" i="1" s="1"/>
  <c r="AG1746" i="1" s="1"/>
  <c r="AG1747" i="1" s="1"/>
  <c r="AG1748" i="1" s="1"/>
  <c r="AG1749" i="1" s="1"/>
  <c r="AG1750" i="1" s="1"/>
  <c r="AG1751" i="1" s="1"/>
  <c r="AG1752" i="1" s="1"/>
  <c r="AG1753" i="1" s="1"/>
  <c r="AG1754" i="1" s="1"/>
  <c r="AG1755" i="1" s="1"/>
  <c r="AG1756" i="1" s="1"/>
  <c r="AG1757" i="1" s="1"/>
  <c r="AG1758" i="1" s="1"/>
  <c r="AG1759" i="1" s="1"/>
  <c r="AG1760" i="1" s="1"/>
  <c r="AG1761" i="1" s="1"/>
  <c r="AG1762" i="1" s="1"/>
  <c r="AG1763" i="1" s="1"/>
  <c r="AG1764" i="1" s="1"/>
  <c r="AG1765" i="1" s="1"/>
  <c r="AG1766" i="1" s="1"/>
  <c r="AG1767" i="1" s="1"/>
  <c r="AG1768" i="1" s="1"/>
  <c r="AG1769" i="1" s="1"/>
  <c r="AG1770" i="1" s="1"/>
  <c r="AG1771" i="1" s="1"/>
  <c r="AG1772" i="1" s="1"/>
  <c r="AG1773" i="1" s="1"/>
  <c r="AG1774" i="1" s="1"/>
  <c r="AG1775" i="1" s="1"/>
  <c r="AG1776" i="1" s="1"/>
  <c r="AG1777" i="1" s="1"/>
  <c r="AG1778" i="1" s="1"/>
  <c r="AG1779" i="1" s="1"/>
  <c r="AG1780" i="1" s="1"/>
  <c r="AG1781" i="1" s="1"/>
  <c r="AG1782" i="1" s="1"/>
  <c r="AG1783" i="1" s="1"/>
  <c r="AG1784" i="1" s="1"/>
  <c r="AG1785" i="1" s="1"/>
  <c r="AG1786" i="1" s="1"/>
  <c r="AG1787" i="1" s="1"/>
  <c r="AG1788" i="1" s="1"/>
  <c r="AG1789" i="1" s="1"/>
  <c r="AG1790" i="1" s="1"/>
  <c r="AG1791" i="1" s="1"/>
  <c r="AG1792" i="1" s="1"/>
  <c r="AG1793" i="1" s="1"/>
  <c r="AG1794" i="1" s="1"/>
  <c r="AG1795" i="1" s="1"/>
  <c r="AG1796" i="1" s="1"/>
  <c r="AG1797" i="1" s="1"/>
  <c r="AG1798" i="1" s="1"/>
  <c r="AG1799" i="1" s="1"/>
  <c r="AG1800" i="1" s="1"/>
  <c r="AG1801" i="1" s="1"/>
  <c r="AG1802" i="1" s="1"/>
  <c r="AG1803" i="1" s="1"/>
  <c r="AG1804" i="1" s="1"/>
  <c r="AG1805" i="1" s="1"/>
  <c r="AG1806" i="1" s="1"/>
  <c r="AG1807" i="1" s="1"/>
  <c r="AG1808" i="1" s="1"/>
  <c r="AG1809" i="1" s="1"/>
  <c r="AG1810" i="1" s="1"/>
  <c r="AG1811" i="1" s="1"/>
  <c r="AG1812" i="1" s="1"/>
  <c r="AG1813" i="1" s="1"/>
  <c r="AG1814" i="1" s="1"/>
  <c r="AG1815" i="1" s="1"/>
  <c r="AG1816" i="1" s="1"/>
  <c r="AG1817" i="1" s="1"/>
  <c r="AG1818" i="1" s="1"/>
  <c r="AG1819" i="1" s="1"/>
  <c r="AG1820" i="1" s="1"/>
  <c r="AG1821" i="1" s="1"/>
  <c r="AG1822" i="1" s="1"/>
  <c r="AG1823" i="1" s="1"/>
  <c r="AG1824" i="1" s="1"/>
  <c r="AG1825" i="1" s="1"/>
  <c r="AG1826" i="1" s="1"/>
  <c r="AG1827" i="1" s="1"/>
  <c r="AG1828" i="1" s="1"/>
  <c r="AG1829" i="1" s="1"/>
  <c r="AG1830" i="1" s="1"/>
  <c r="AG1831" i="1" s="1"/>
  <c r="AG1832" i="1" s="1"/>
  <c r="AG1833" i="1" s="1"/>
  <c r="AG1834" i="1" s="1"/>
  <c r="AG1835" i="1" s="1"/>
  <c r="AG1836" i="1" s="1"/>
  <c r="AG1837" i="1" s="1"/>
  <c r="AG1838" i="1" s="1"/>
  <c r="AG1839" i="1" s="1"/>
  <c r="AG1840" i="1" s="1"/>
  <c r="AG1841" i="1" s="1"/>
  <c r="AG1842" i="1" s="1"/>
  <c r="AG1843" i="1" s="1"/>
  <c r="AG1844" i="1" s="1"/>
  <c r="AG1845" i="1" s="1"/>
  <c r="AG1846" i="1" s="1"/>
  <c r="AG1847" i="1" s="1"/>
  <c r="AG1848" i="1" s="1"/>
  <c r="AG1849" i="1" s="1"/>
  <c r="AG1850" i="1" s="1"/>
  <c r="AG1851" i="1" s="1"/>
  <c r="AG1852" i="1" s="1"/>
  <c r="AG1853" i="1" s="1"/>
  <c r="AG1854" i="1" s="1"/>
  <c r="AG1855" i="1" s="1"/>
  <c r="AG1856" i="1" s="1"/>
  <c r="AG1857" i="1" s="1"/>
  <c r="AG1858" i="1" s="1"/>
  <c r="AG1859" i="1" s="1"/>
  <c r="AG1860" i="1" s="1"/>
  <c r="AG1861" i="1" s="1"/>
  <c r="AG1862" i="1" s="1"/>
  <c r="AG1863" i="1" s="1"/>
  <c r="AG1864" i="1" s="1"/>
  <c r="AG1865" i="1" s="1"/>
  <c r="AG1866" i="1" s="1"/>
  <c r="AG1867" i="1" s="1"/>
  <c r="AG1868" i="1" s="1"/>
  <c r="AG1869" i="1" s="1"/>
  <c r="AG1870" i="1" s="1"/>
  <c r="AG1871" i="1" s="1"/>
  <c r="AG1872" i="1" s="1"/>
  <c r="AG1873" i="1" s="1"/>
  <c r="AG1874" i="1" s="1"/>
  <c r="AG1875" i="1" s="1"/>
  <c r="AG1876" i="1" s="1"/>
  <c r="AG1877" i="1" s="1"/>
  <c r="AG1878" i="1" s="1"/>
  <c r="AG1879" i="1" s="1"/>
  <c r="AG1880" i="1" s="1"/>
  <c r="AG1881" i="1" s="1"/>
  <c r="AG1882" i="1" s="1"/>
  <c r="AG1883" i="1" s="1"/>
  <c r="AG1884" i="1" s="1"/>
  <c r="AG1885" i="1" s="1"/>
  <c r="AG1886" i="1" s="1"/>
  <c r="AG1887" i="1" s="1"/>
  <c r="AG1888" i="1" s="1"/>
  <c r="AG1889" i="1" s="1"/>
  <c r="AG1890" i="1" s="1"/>
  <c r="AG1891" i="1" s="1"/>
  <c r="AG1892" i="1" s="1"/>
  <c r="AG1893" i="1" s="1"/>
  <c r="AG1894" i="1" s="1"/>
  <c r="AG1895" i="1" s="1"/>
  <c r="AG1896" i="1" s="1"/>
  <c r="AG1897" i="1" s="1"/>
  <c r="AG1898" i="1" s="1"/>
  <c r="AG1899" i="1" s="1"/>
  <c r="AG1900" i="1" s="1"/>
  <c r="AG1901" i="1" s="1"/>
  <c r="AG1902" i="1" s="1"/>
  <c r="AG1903" i="1" s="1"/>
  <c r="AG1904" i="1" s="1"/>
  <c r="AG1905" i="1" s="1"/>
  <c r="AG1906" i="1" s="1"/>
  <c r="AG1907" i="1" s="1"/>
  <c r="AG1908" i="1" s="1"/>
  <c r="AG1909" i="1" s="1"/>
  <c r="AG1910" i="1" s="1"/>
  <c r="AG1911" i="1" s="1"/>
  <c r="AG1912" i="1" s="1"/>
  <c r="AG1913" i="1" s="1"/>
  <c r="AG1914" i="1" s="1"/>
  <c r="AG1915" i="1" s="1"/>
  <c r="AG1916" i="1" s="1"/>
  <c r="AG1917" i="1" s="1"/>
  <c r="AG1918" i="1" s="1"/>
  <c r="AG1919" i="1" s="1"/>
  <c r="AG1920" i="1" s="1"/>
  <c r="AG1921" i="1" s="1"/>
  <c r="AG1922" i="1" s="1"/>
  <c r="AG1923" i="1" s="1"/>
  <c r="AG1924" i="1" s="1"/>
  <c r="AG1925" i="1" s="1"/>
  <c r="AG1926" i="1" s="1"/>
  <c r="AG1927" i="1" s="1"/>
  <c r="AG1928" i="1" s="1"/>
  <c r="AG1929" i="1" s="1"/>
  <c r="AG1930" i="1" s="1"/>
  <c r="AG1931" i="1" s="1"/>
  <c r="AG1932" i="1" s="1"/>
  <c r="AG1933" i="1" s="1"/>
  <c r="AG1934" i="1" s="1"/>
  <c r="AG1935" i="1" s="1"/>
  <c r="AG1936" i="1" s="1"/>
  <c r="AG1937" i="1" s="1"/>
  <c r="AG1938" i="1" s="1"/>
  <c r="AG1939" i="1" s="1"/>
  <c r="AG1940" i="1" s="1"/>
  <c r="AG1941" i="1" s="1"/>
  <c r="AG1942" i="1" s="1"/>
  <c r="AG1943" i="1" s="1"/>
  <c r="AG1944" i="1" s="1"/>
  <c r="AG1945" i="1" s="1"/>
  <c r="AG1946" i="1" s="1"/>
  <c r="AG1947" i="1" s="1"/>
  <c r="AG1948" i="1" s="1"/>
  <c r="AG1949" i="1" s="1"/>
  <c r="AG1950" i="1" s="1"/>
  <c r="AG1951" i="1" s="1"/>
  <c r="AG1952" i="1" s="1"/>
  <c r="AG1953" i="1" s="1"/>
  <c r="AG1954" i="1" s="1"/>
  <c r="AG1955" i="1" s="1"/>
  <c r="AG1956" i="1" s="1"/>
  <c r="AG1957" i="1" s="1"/>
  <c r="AG1958" i="1" s="1"/>
  <c r="AG1959" i="1" s="1"/>
  <c r="AG1960" i="1" s="1"/>
  <c r="AG1961" i="1" s="1"/>
  <c r="AG1962" i="1" s="1"/>
  <c r="AG1963" i="1" s="1"/>
  <c r="AG1964" i="1" s="1"/>
  <c r="AG1965" i="1" s="1"/>
  <c r="AG1966" i="1" s="1"/>
  <c r="AG1967" i="1" s="1"/>
  <c r="AG1968" i="1" s="1"/>
  <c r="AG1969" i="1" s="1"/>
  <c r="AG1970" i="1" s="1"/>
  <c r="AG1971" i="1" s="1"/>
  <c r="AG1972" i="1" s="1"/>
  <c r="AG1973" i="1" s="1"/>
  <c r="AG1974" i="1" s="1"/>
  <c r="AG1975" i="1" s="1"/>
  <c r="AG1976" i="1" s="1"/>
  <c r="AG1977" i="1" s="1"/>
  <c r="AG1978" i="1" s="1"/>
  <c r="AG1979" i="1" s="1"/>
  <c r="AG1980" i="1" s="1"/>
  <c r="AG1981" i="1" s="1"/>
  <c r="AG1982" i="1" s="1"/>
  <c r="AG1983" i="1" s="1"/>
  <c r="AG1984" i="1" s="1"/>
  <c r="AG1985" i="1" s="1"/>
  <c r="AG1986" i="1" s="1"/>
  <c r="AG1987" i="1" s="1"/>
  <c r="AG1988" i="1" s="1"/>
  <c r="AG1989" i="1" s="1"/>
  <c r="AG1990" i="1" s="1"/>
  <c r="AG1991" i="1" s="1"/>
  <c r="AG1992" i="1" s="1"/>
  <c r="AG1993" i="1" s="1"/>
  <c r="AG1994" i="1" s="1"/>
  <c r="AG1995" i="1" s="1"/>
  <c r="AG1996" i="1" s="1"/>
  <c r="AG1997" i="1" s="1"/>
  <c r="AG1998" i="1" s="1"/>
  <c r="AG1999" i="1" s="1"/>
  <c r="AG2000" i="1" s="1"/>
  <c r="AG2001" i="1" s="1"/>
  <c r="AG2002" i="1" s="1"/>
  <c r="AG2003" i="1" s="1"/>
  <c r="AG2004" i="1" s="1"/>
  <c r="AG2005" i="1" s="1"/>
  <c r="AG2006" i="1" s="1"/>
  <c r="AG2007" i="1" s="1"/>
  <c r="AG2008" i="1" s="1"/>
  <c r="AG2009" i="1" s="1"/>
  <c r="AG2010" i="1" s="1"/>
  <c r="AG2011" i="1" s="1"/>
  <c r="AG2012" i="1" s="1"/>
  <c r="AG2013" i="1" s="1"/>
  <c r="AG2014" i="1" s="1"/>
  <c r="AG2015" i="1" s="1"/>
  <c r="AG2016" i="1" s="1"/>
  <c r="AG2017" i="1" s="1"/>
  <c r="AG2018" i="1" s="1"/>
  <c r="AG2019" i="1" s="1"/>
  <c r="AG2020" i="1" s="1"/>
  <c r="AG2021" i="1" s="1"/>
  <c r="AG2022" i="1" s="1"/>
  <c r="AG2023" i="1" s="1"/>
  <c r="AG2024" i="1" s="1"/>
  <c r="AG2025" i="1" s="1"/>
  <c r="AG2026" i="1" s="1"/>
  <c r="AG2027" i="1" s="1"/>
  <c r="AG2028" i="1" s="1"/>
  <c r="AG2029" i="1" s="1"/>
  <c r="AG2030" i="1" s="1"/>
  <c r="AG2031" i="1" s="1"/>
  <c r="AG2032" i="1" s="1"/>
  <c r="AG2033" i="1" s="1"/>
  <c r="AG2034" i="1" s="1"/>
  <c r="AG2035" i="1" s="1"/>
  <c r="AG2036" i="1" s="1"/>
  <c r="AG2037" i="1" s="1"/>
  <c r="AG2038" i="1" s="1"/>
  <c r="AG2039" i="1" s="1"/>
  <c r="AG2040" i="1" s="1"/>
  <c r="AG2041" i="1" s="1"/>
  <c r="AG2042" i="1" s="1"/>
  <c r="AG2043" i="1" s="1"/>
  <c r="AG2044" i="1" s="1"/>
  <c r="AG2045" i="1" s="1"/>
  <c r="AG2046" i="1" s="1"/>
  <c r="AG2047" i="1" s="1"/>
  <c r="AG2048" i="1" s="1"/>
  <c r="AG2049" i="1" s="1"/>
  <c r="AG2050" i="1" s="1"/>
  <c r="AG2051" i="1" s="1"/>
  <c r="AG2052" i="1" s="1"/>
  <c r="AG2053" i="1" s="1"/>
  <c r="AG2054" i="1" s="1"/>
  <c r="AG2055" i="1" s="1"/>
  <c r="AG2056" i="1" s="1"/>
  <c r="AG2057" i="1" s="1"/>
  <c r="AG2058" i="1" s="1"/>
  <c r="AG2059" i="1" s="1"/>
  <c r="AG2060" i="1" s="1"/>
  <c r="AG2061" i="1" s="1"/>
  <c r="AG2062" i="1" s="1"/>
  <c r="AG2063" i="1" s="1"/>
  <c r="AG2064" i="1" s="1"/>
  <c r="AG2065" i="1" s="1"/>
  <c r="AG2066" i="1" s="1"/>
  <c r="AG2067" i="1" s="1"/>
  <c r="AG2068" i="1" s="1"/>
  <c r="AG2069" i="1" s="1"/>
  <c r="AG2070" i="1" s="1"/>
  <c r="AG2071" i="1" s="1"/>
  <c r="AG2072" i="1" s="1"/>
  <c r="AG2073" i="1" s="1"/>
  <c r="AG2074" i="1" s="1"/>
  <c r="AG2075" i="1" s="1"/>
  <c r="AG2076" i="1" s="1"/>
  <c r="AG2077" i="1" s="1"/>
  <c r="AG2078" i="1" s="1"/>
  <c r="AG2079" i="1" s="1"/>
  <c r="AG2080" i="1" s="1"/>
  <c r="AG2081" i="1" s="1"/>
  <c r="AG2082" i="1" s="1"/>
  <c r="AG2083" i="1" s="1"/>
  <c r="AG2084" i="1" s="1"/>
  <c r="AG2085" i="1" s="1"/>
  <c r="AG2086" i="1" s="1"/>
  <c r="AG2087" i="1" s="1"/>
  <c r="AG2088" i="1" s="1"/>
  <c r="AG2089" i="1" s="1"/>
  <c r="AG2090" i="1" s="1"/>
  <c r="AG2091" i="1" s="1"/>
  <c r="AG2092" i="1" s="1"/>
  <c r="AG2093" i="1" s="1"/>
  <c r="AG2094" i="1" s="1"/>
  <c r="AG2095" i="1" s="1"/>
  <c r="AG2096" i="1" s="1"/>
  <c r="AG2097" i="1" s="1"/>
  <c r="AG2098" i="1" s="1"/>
  <c r="AG2099" i="1" s="1"/>
  <c r="AG2100" i="1" s="1"/>
  <c r="AG2101" i="1" s="1"/>
  <c r="AG2102" i="1" s="1"/>
  <c r="AG2103" i="1" s="1"/>
  <c r="AG2104" i="1" s="1"/>
  <c r="AG2105" i="1" s="1"/>
  <c r="AG2106" i="1" s="1"/>
  <c r="AG2107" i="1" s="1"/>
  <c r="AG2108" i="1" s="1"/>
  <c r="AG2109" i="1" s="1"/>
  <c r="AG2110" i="1" s="1"/>
  <c r="AG2111" i="1" s="1"/>
  <c r="AG2112" i="1" s="1"/>
  <c r="AG2113" i="1" s="1"/>
  <c r="AG2114" i="1" s="1"/>
  <c r="AG2115" i="1" s="1"/>
  <c r="AG2116" i="1" s="1"/>
  <c r="AG2117" i="1" s="1"/>
  <c r="AG2118" i="1" s="1"/>
  <c r="AG2119" i="1" s="1"/>
  <c r="AG2120" i="1" s="1"/>
  <c r="AG2121" i="1" s="1"/>
  <c r="AG2122" i="1" s="1"/>
  <c r="AG2123" i="1" s="1"/>
  <c r="AG2124" i="1" s="1"/>
  <c r="AG2125" i="1" s="1"/>
  <c r="AG2126" i="1" s="1"/>
  <c r="AG2127" i="1" s="1"/>
  <c r="AG2128" i="1" s="1"/>
  <c r="AG2129" i="1" s="1"/>
  <c r="AG2130" i="1" s="1"/>
  <c r="AG2131" i="1" s="1"/>
  <c r="AG2132" i="1" s="1"/>
  <c r="AG2133" i="1" s="1"/>
  <c r="AG2134" i="1" s="1"/>
  <c r="AG2135" i="1" s="1"/>
  <c r="AG2136" i="1" s="1"/>
  <c r="AG2137" i="1" s="1"/>
  <c r="AG2138" i="1" s="1"/>
  <c r="AG2139" i="1" s="1"/>
  <c r="AG2140" i="1" s="1"/>
  <c r="AG2141" i="1" s="1"/>
  <c r="AG2142" i="1" s="1"/>
  <c r="AG2143" i="1" s="1"/>
  <c r="AG2144" i="1" s="1"/>
  <c r="AG2145" i="1" s="1"/>
  <c r="AG2146" i="1" s="1"/>
  <c r="AG2147" i="1" s="1"/>
  <c r="AG2148" i="1" s="1"/>
  <c r="AG2149" i="1" s="1"/>
  <c r="AG2150" i="1" s="1"/>
  <c r="AG2151" i="1" s="1"/>
  <c r="AG2152" i="1" s="1"/>
  <c r="AG2153" i="1" s="1"/>
  <c r="AG2154" i="1" s="1"/>
  <c r="AG2155" i="1" s="1"/>
  <c r="AG2156" i="1" s="1"/>
  <c r="AG2157" i="1" s="1"/>
  <c r="AG2158" i="1" s="1"/>
  <c r="AG2159" i="1" s="1"/>
  <c r="AG2160" i="1" s="1"/>
  <c r="AG2161" i="1" s="1"/>
  <c r="AG2162" i="1" s="1"/>
  <c r="AG2163" i="1" s="1"/>
  <c r="AG2164" i="1" s="1"/>
  <c r="AG2165" i="1" s="1"/>
  <c r="AG2166" i="1" s="1"/>
  <c r="AG2167" i="1" s="1"/>
  <c r="AG2168" i="1" s="1"/>
  <c r="AG2169" i="1" s="1"/>
  <c r="AG2170" i="1" s="1"/>
  <c r="AG2171" i="1" s="1"/>
  <c r="AG2172" i="1" s="1"/>
  <c r="AG2173" i="1" s="1"/>
  <c r="AG2174" i="1" s="1"/>
  <c r="AG2175" i="1" s="1"/>
  <c r="AG2176" i="1" s="1"/>
  <c r="AG2177" i="1" s="1"/>
  <c r="AG2178" i="1" s="1"/>
  <c r="AG2179" i="1" s="1"/>
  <c r="AG2180" i="1" s="1"/>
  <c r="AG2181" i="1" s="1"/>
  <c r="AG2182" i="1" s="1"/>
  <c r="AG2183" i="1" s="1"/>
  <c r="AG2184" i="1" s="1"/>
  <c r="AG2185" i="1" s="1"/>
  <c r="AG2186" i="1" s="1"/>
  <c r="AG2187" i="1" s="1"/>
  <c r="AG2188" i="1" s="1"/>
  <c r="AG2189" i="1" s="1"/>
  <c r="AG2190" i="1" s="1"/>
  <c r="AG2191" i="1" s="1"/>
  <c r="AG2192" i="1" s="1"/>
  <c r="AG2193" i="1" s="1"/>
  <c r="AG2194" i="1" s="1"/>
  <c r="AG2195" i="1" s="1"/>
  <c r="AG2196" i="1" s="1"/>
  <c r="AG2197" i="1" s="1"/>
  <c r="AG2198" i="1" s="1"/>
  <c r="AG2199" i="1" s="1"/>
  <c r="AG2200" i="1" s="1"/>
  <c r="AG2201" i="1" s="1"/>
  <c r="AG2202" i="1" s="1"/>
  <c r="AG2203" i="1" s="1"/>
  <c r="AG2204" i="1" s="1"/>
  <c r="AG2205" i="1" s="1"/>
  <c r="AG2206" i="1" s="1"/>
  <c r="AG2207" i="1" s="1"/>
  <c r="AG2208" i="1" s="1"/>
  <c r="AG2209" i="1" s="1"/>
  <c r="AG2210" i="1" s="1"/>
  <c r="AG2211" i="1" s="1"/>
  <c r="AG2212" i="1" s="1"/>
  <c r="AG2213" i="1" s="1"/>
  <c r="AG2214" i="1" s="1"/>
  <c r="AG2215" i="1" s="1"/>
  <c r="AG2216" i="1" s="1"/>
  <c r="AG2217" i="1" s="1"/>
  <c r="AG2218" i="1" s="1"/>
  <c r="AG2219" i="1" s="1"/>
  <c r="AG2220" i="1" s="1"/>
  <c r="AG2221" i="1" s="1"/>
  <c r="AG2222" i="1" s="1"/>
  <c r="AG2223" i="1" s="1"/>
  <c r="AG2224" i="1" s="1"/>
  <c r="AG2225" i="1" s="1"/>
  <c r="AG2226" i="1" s="1"/>
  <c r="AG2227" i="1" s="1"/>
  <c r="AG2228" i="1" s="1"/>
  <c r="AG2229" i="1" s="1"/>
  <c r="AG2230" i="1" s="1"/>
  <c r="AG2231" i="1" s="1"/>
  <c r="AG2232" i="1" s="1"/>
  <c r="AG2233" i="1" s="1"/>
  <c r="AG2234" i="1" s="1"/>
  <c r="AG2235" i="1" s="1"/>
  <c r="AG2236" i="1" s="1"/>
  <c r="AG2237" i="1" s="1"/>
  <c r="AG2238" i="1" s="1"/>
  <c r="AG2239" i="1" s="1"/>
  <c r="AG2240" i="1" s="1"/>
  <c r="AG2241" i="1" s="1"/>
  <c r="AG2242" i="1" s="1"/>
  <c r="AG2243" i="1" s="1"/>
  <c r="AG2244" i="1" s="1"/>
  <c r="AG2245" i="1" s="1"/>
  <c r="AG2246" i="1" s="1"/>
  <c r="AG2247" i="1" s="1"/>
  <c r="AG2248" i="1" s="1"/>
  <c r="AG2249" i="1" s="1"/>
  <c r="AG2250" i="1" s="1"/>
  <c r="AG2251" i="1" s="1"/>
  <c r="AG2252" i="1" s="1"/>
  <c r="AG2253" i="1" s="1"/>
  <c r="AG2254" i="1" s="1"/>
  <c r="AG2255" i="1" s="1"/>
  <c r="AG2256" i="1" s="1"/>
  <c r="AG2257" i="1" s="1"/>
  <c r="AG2258" i="1" s="1"/>
  <c r="AG2259" i="1" s="1"/>
  <c r="AG2260" i="1" s="1"/>
  <c r="AG2261" i="1" s="1"/>
  <c r="AG2262" i="1" s="1"/>
  <c r="AG2263" i="1" s="1"/>
  <c r="AG2264" i="1" s="1"/>
  <c r="AG2265" i="1" s="1"/>
  <c r="AG2266" i="1" s="1"/>
  <c r="AG2267" i="1" s="1"/>
  <c r="AG2268" i="1" s="1"/>
  <c r="AG2269" i="1" s="1"/>
  <c r="AG2270" i="1" s="1"/>
  <c r="AG2271" i="1" s="1"/>
  <c r="AG2272" i="1" s="1"/>
  <c r="AG2273" i="1" s="1"/>
  <c r="AG2274" i="1" s="1"/>
  <c r="AG2275" i="1" s="1"/>
  <c r="AG2276" i="1" s="1"/>
  <c r="AG2277" i="1" s="1"/>
  <c r="AG2278" i="1" s="1"/>
  <c r="AG2279" i="1" s="1"/>
  <c r="AG2280" i="1" s="1"/>
  <c r="AG2281" i="1" s="1"/>
  <c r="AG2282" i="1" s="1"/>
  <c r="AG2283" i="1" s="1"/>
  <c r="AG2284" i="1" s="1"/>
  <c r="AG2285" i="1" s="1"/>
  <c r="AG2286" i="1" s="1"/>
  <c r="AG2287" i="1" s="1"/>
  <c r="AG2288" i="1" s="1"/>
  <c r="AG2289" i="1" s="1"/>
  <c r="AG2290" i="1" s="1"/>
  <c r="AG2291" i="1" s="1"/>
  <c r="AG2292" i="1" s="1"/>
  <c r="AG2293" i="1" s="1"/>
  <c r="AG2294" i="1" s="1"/>
  <c r="AG2295" i="1" s="1"/>
  <c r="AG2296" i="1" s="1"/>
  <c r="AG2297" i="1" s="1"/>
  <c r="AG2298" i="1" s="1"/>
  <c r="AG2299" i="1" s="1"/>
  <c r="AG2300" i="1" s="1"/>
  <c r="AG2301" i="1" s="1"/>
  <c r="AG2302" i="1" s="1"/>
  <c r="AG2303" i="1" s="1"/>
  <c r="AG2304" i="1" s="1"/>
  <c r="AG2305" i="1" s="1"/>
  <c r="AG2306" i="1" s="1"/>
  <c r="AG2307" i="1" s="1"/>
  <c r="AG2308" i="1" s="1"/>
  <c r="AG2309" i="1" s="1"/>
  <c r="AG2310" i="1" s="1"/>
  <c r="AG2311" i="1" s="1"/>
  <c r="AG2312" i="1" s="1"/>
  <c r="AG2313" i="1" s="1"/>
  <c r="AG2314" i="1" s="1"/>
  <c r="AG2315" i="1" s="1"/>
  <c r="AG2316" i="1" s="1"/>
  <c r="AG2317" i="1" s="1"/>
  <c r="AG2318" i="1" s="1"/>
  <c r="AG2319" i="1" s="1"/>
  <c r="AG2320" i="1" s="1"/>
  <c r="AG2321" i="1" s="1"/>
  <c r="AG2322" i="1" s="1"/>
  <c r="AG2323" i="1" s="1"/>
  <c r="AG2324" i="1" s="1"/>
  <c r="AG2325" i="1" s="1"/>
  <c r="AG2326" i="1" s="1"/>
  <c r="AG2327" i="1" s="1"/>
  <c r="AG2328" i="1" s="1"/>
  <c r="AG2329" i="1" s="1"/>
  <c r="AG2330" i="1" s="1"/>
  <c r="AG2331" i="1" s="1"/>
  <c r="AG2332" i="1" s="1"/>
  <c r="AG2333" i="1" s="1"/>
  <c r="AG2334" i="1" s="1"/>
  <c r="AG2335" i="1" s="1"/>
  <c r="AG2336" i="1" s="1"/>
  <c r="AG2337" i="1" s="1"/>
  <c r="AG2338" i="1" s="1"/>
  <c r="AG2339" i="1" s="1"/>
  <c r="AG2340" i="1" s="1"/>
  <c r="AG2341" i="1" s="1"/>
  <c r="AG2342" i="1" s="1"/>
  <c r="AG2343" i="1" s="1"/>
  <c r="AG2344" i="1" s="1"/>
  <c r="AG2345" i="1" s="1"/>
  <c r="AG2346" i="1" s="1"/>
  <c r="AG2347" i="1" s="1"/>
  <c r="AG2348" i="1" s="1"/>
  <c r="AG2349" i="1" s="1"/>
  <c r="AG2350" i="1" s="1"/>
  <c r="AG2351" i="1" s="1"/>
  <c r="AG2352" i="1" s="1"/>
  <c r="AG2353" i="1" s="1"/>
  <c r="AG2354" i="1" s="1"/>
  <c r="AG2355" i="1" s="1"/>
  <c r="AG2356" i="1" s="1"/>
  <c r="AG2357" i="1" s="1"/>
  <c r="AG2358" i="1" s="1"/>
  <c r="AG2359" i="1" s="1"/>
  <c r="AG2360" i="1" s="1"/>
  <c r="AG2361" i="1" s="1"/>
  <c r="AG2362" i="1" s="1"/>
  <c r="AG2363" i="1" s="1"/>
  <c r="AG2364" i="1" s="1"/>
  <c r="AG2365" i="1" s="1"/>
  <c r="AG2366" i="1" s="1"/>
  <c r="AG2367" i="1" s="1"/>
  <c r="AG2368" i="1" s="1"/>
  <c r="AG2369" i="1" s="1"/>
  <c r="AG2370" i="1" s="1"/>
  <c r="AG2371" i="1" s="1"/>
  <c r="AG2372" i="1" s="1"/>
  <c r="AG2373" i="1" s="1"/>
  <c r="AG2374" i="1" s="1"/>
  <c r="AG2375" i="1" s="1"/>
  <c r="AG2376" i="1" s="1"/>
  <c r="AG2377" i="1" s="1"/>
  <c r="AG2378" i="1" s="1"/>
  <c r="AG2379" i="1" s="1"/>
  <c r="AG2380" i="1" s="1"/>
  <c r="AG2381" i="1" s="1"/>
  <c r="AG2382" i="1" s="1"/>
  <c r="AG2383" i="1" s="1"/>
  <c r="AG2384" i="1" s="1"/>
  <c r="AG2385" i="1" s="1"/>
  <c r="AG2386" i="1" s="1"/>
  <c r="AG2387" i="1" s="1"/>
  <c r="AG2388" i="1" s="1"/>
  <c r="AG2389" i="1" s="1"/>
  <c r="AG2390" i="1" s="1"/>
  <c r="AG2391" i="1" s="1"/>
  <c r="AG2392" i="1" s="1"/>
  <c r="AG2393" i="1" s="1"/>
  <c r="AG2394" i="1" s="1"/>
  <c r="AG2395" i="1" s="1"/>
  <c r="AG2396" i="1" s="1"/>
  <c r="AG2397" i="1" s="1"/>
  <c r="AG2398" i="1" s="1"/>
  <c r="AG2399" i="1" s="1"/>
  <c r="AG2400" i="1" s="1"/>
  <c r="AG2401" i="1" s="1"/>
  <c r="AG2402" i="1" s="1"/>
  <c r="AG2403" i="1" s="1"/>
  <c r="AG2404" i="1" s="1"/>
  <c r="AG2405" i="1" s="1"/>
  <c r="AG2406" i="1" s="1"/>
  <c r="AG2407" i="1" s="1"/>
  <c r="AG2408" i="1" s="1"/>
  <c r="AG2409" i="1" s="1"/>
  <c r="AG2410" i="1" s="1"/>
  <c r="AG2411" i="1" s="1"/>
  <c r="AG2412" i="1" s="1"/>
  <c r="AG2413" i="1" s="1"/>
  <c r="AG2414" i="1" s="1"/>
  <c r="AG2415" i="1" s="1"/>
  <c r="AG2416" i="1" s="1"/>
  <c r="AG2417" i="1" s="1"/>
  <c r="AG2418" i="1" s="1"/>
  <c r="AG2419" i="1" s="1"/>
  <c r="AG2420" i="1" s="1"/>
  <c r="AG2421" i="1" s="1"/>
  <c r="AG2422" i="1" s="1"/>
  <c r="AG2423" i="1" s="1"/>
  <c r="AG2424" i="1" s="1"/>
  <c r="AG2425" i="1" s="1"/>
  <c r="AG2426" i="1" s="1"/>
  <c r="AG2427" i="1" s="1"/>
  <c r="AG2428" i="1" s="1"/>
  <c r="AG2429" i="1" s="1"/>
  <c r="AG2430" i="1" s="1"/>
  <c r="AG2431" i="1" s="1"/>
  <c r="AG2432" i="1" s="1"/>
  <c r="AG2433" i="1" s="1"/>
  <c r="AG2434" i="1" s="1"/>
  <c r="AG2435" i="1" s="1"/>
  <c r="AG2436" i="1" s="1"/>
  <c r="AG2437" i="1" s="1"/>
  <c r="AG2438" i="1" s="1"/>
  <c r="AG2439" i="1" s="1"/>
  <c r="AG2440" i="1" s="1"/>
  <c r="AG2441" i="1" s="1"/>
  <c r="AG2442" i="1" s="1"/>
  <c r="AG2443" i="1" s="1"/>
  <c r="AG2444" i="1" s="1"/>
  <c r="AG2445" i="1" s="1"/>
  <c r="AG2446" i="1" s="1"/>
  <c r="AG2447" i="1" s="1"/>
  <c r="AG2448" i="1" s="1"/>
  <c r="AG2449" i="1" s="1"/>
  <c r="AG2450" i="1" s="1"/>
  <c r="AG2451" i="1" s="1"/>
  <c r="AG2452" i="1" s="1"/>
  <c r="AG2453" i="1" s="1"/>
  <c r="AG2454" i="1" s="1"/>
  <c r="AG2455" i="1" s="1"/>
  <c r="AG2456" i="1" s="1"/>
  <c r="AG2457" i="1" s="1"/>
  <c r="AG2458" i="1" s="1"/>
  <c r="AG2459" i="1" s="1"/>
  <c r="AG2460" i="1" s="1"/>
  <c r="AG2461" i="1" s="1"/>
  <c r="AG2462" i="1" s="1"/>
  <c r="AG2463" i="1" s="1"/>
  <c r="AG2464" i="1" s="1"/>
  <c r="AG2465" i="1" s="1"/>
  <c r="AG2466" i="1" s="1"/>
  <c r="AG2467" i="1" s="1"/>
  <c r="AG2468" i="1" s="1"/>
  <c r="AG2469" i="1" s="1"/>
  <c r="AG2470" i="1" s="1"/>
  <c r="AG2471" i="1" s="1"/>
  <c r="AG2472" i="1" s="1"/>
  <c r="AG2473" i="1" s="1"/>
  <c r="AG2474" i="1" s="1"/>
  <c r="AG2475" i="1" s="1"/>
  <c r="AG2476" i="1" s="1"/>
  <c r="AG2477" i="1" s="1"/>
  <c r="AG2478" i="1" s="1"/>
  <c r="AG2479" i="1" s="1"/>
  <c r="AG2480" i="1" s="1"/>
  <c r="AG2481" i="1" s="1"/>
  <c r="AG2482" i="1" s="1"/>
  <c r="AG2483" i="1" s="1"/>
  <c r="AG2484" i="1" s="1"/>
  <c r="AG2485" i="1" s="1"/>
  <c r="AG2486" i="1" s="1"/>
  <c r="AG2487" i="1" s="1"/>
  <c r="AG2488" i="1" s="1"/>
  <c r="AG2489" i="1" s="1"/>
  <c r="AG2490" i="1" s="1"/>
  <c r="AG2491" i="1" s="1"/>
  <c r="AG2492" i="1" s="1"/>
  <c r="AG2493" i="1" s="1"/>
  <c r="AG2494" i="1" s="1"/>
  <c r="AG2495" i="1" s="1"/>
  <c r="AG2496" i="1" s="1"/>
  <c r="AG2497" i="1" s="1"/>
  <c r="AG2498" i="1" s="1"/>
  <c r="AG2499" i="1" s="1"/>
  <c r="AG2500" i="1" s="1"/>
  <c r="AG2501" i="1" s="1"/>
  <c r="AG2502" i="1" s="1"/>
  <c r="AG2503" i="1" s="1"/>
  <c r="AG2504" i="1" s="1"/>
  <c r="AG2505" i="1" s="1"/>
  <c r="AG2506" i="1" s="1"/>
  <c r="AG2507" i="1" s="1"/>
  <c r="AG2508" i="1" s="1"/>
  <c r="AG2509" i="1" s="1"/>
  <c r="AG2510" i="1" s="1"/>
  <c r="AG2511" i="1" s="1"/>
  <c r="AG2512" i="1" s="1"/>
  <c r="AG2513" i="1" s="1"/>
  <c r="AG2514" i="1" s="1"/>
  <c r="AG2515" i="1" s="1"/>
  <c r="AG2516" i="1" s="1"/>
  <c r="AG2517" i="1" s="1"/>
  <c r="AG2518" i="1" s="1"/>
  <c r="AG2519" i="1" s="1"/>
  <c r="AG2520" i="1" s="1"/>
  <c r="AG2521" i="1" s="1"/>
  <c r="AG2522" i="1" s="1"/>
  <c r="AG2523" i="1" s="1"/>
  <c r="AG2524" i="1" s="1"/>
  <c r="AG2525" i="1" s="1"/>
  <c r="AG2526" i="1" s="1"/>
  <c r="AG2527" i="1" s="1"/>
  <c r="AG2528" i="1" s="1"/>
  <c r="AG2529" i="1" s="1"/>
  <c r="AG2530" i="1" s="1"/>
  <c r="AG2531" i="1" s="1"/>
  <c r="AG2532" i="1" s="1"/>
  <c r="AG2533" i="1" s="1"/>
  <c r="AG2534" i="1" s="1"/>
  <c r="AG2535" i="1" s="1"/>
  <c r="AG2536" i="1" s="1"/>
  <c r="AG2537" i="1" s="1"/>
  <c r="AG2538" i="1" s="1"/>
  <c r="AG2539" i="1" s="1"/>
  <c r="AG2540" i="1" s="1"/>
  <c r="AG2541" i="1" s="1"/>
  <c r="AG2542" i="1" s="1"/>
  <c r="AG2543" i="1" s="1"/>
  <c r="AG2544" i="1" s="1"/>
  <c r="AG2545" i="1" s="1"/>
  <c r="AG2546" i="1" s="1"/>
  <c r="AG2547" i="1" s="1"/>
  <c r="AG2548" i="1" s="1"/>
  <c r="AG2549" i="1" s="1"/>
  <c r="AG2550" i="1" s="1"/>
  <c r="AG2551" i="1" s="1"/>
  <c r="AG2552" i="1" s="1"/>
  <c r="AG2553" i="1" s="1"/>
  <c r="AG2554" i="1" s="1"/>
  <c r="AG2555" i="1" s="1"/>
  <c r="AG2556" i="1" s="1"/>
  <c r="AG2557" i="1" s="1"/>
  <c r="AG2558" i="1" s="1"/>
  <c r="AG2559" i="1" s="1"/>
  <c r="AG2560" i="1" s="1"/>
  <c r="AG2561" i="1" s="1"/>
  <c r="AG2562" i="1" s="1"/>
  <c r="AG2563" i="1" s="1"/>
  <c r="AG2564" i="1" s="1"/>
  <c r="AG2565" i="1" s="1"/>
  <c r="AG2566" i="1" s="1"/>
  <c r="AG2567" i="1" s="1"/>
  <c r="AG2568" i="1" s="1"/>
  <c r="AG2569" i="1" s="1"/>
  <c r="AG2570" i="1" s="1"/>
  <c r="AG2571" i="1" s="1"/>
  <c r="AG2572" i="1" s="1"/>
  <c r="AG2573" i="1" s="1"/>
  <c r="AG2574" i="1" s="1"/>
  <c r="AG2575" i="1" s="1"/>
  <c r="AG2576" i="1" s="1"/>
  <c r="AG2577" i="1" s="1"/>
  <c r="AG2578" i="1" s="1"/>
  <c r="AG2579" i="1" s="1"/>
  <c r="AG2580" i="1" s="1"/>
  <c r="AG2581" i="1" s="1"/>
  <c r="AG2582" i="1" s="1"/>
  <c r="AG2583" i="1" s="1"/>
  <c r="AG2584" i="1" s="1"/>
  <c r="AG2585" i="1" s="1"/>
  <c r="AG2586" i="1" s="1"/>
  <c r="AG2587" i="1" s="1"/>
  <c r="AG2588" i="1" s="1"/>
  <c r="AG2589" i="1" s="1"/>
  <c r="AG2590" i="1" s="1"/>
  <c r="AG2591" i="1" s="1"/>
  <c r="AG2592" i="1" s="1"/>
  <c r="AG2593" i="1" s="1"/>
  <c r="AG2594" i="1" s="1"/>
  <c r="AG2595" i="1" s="1"/>
  <c r="AG2596" i="1" s="1"/>
  <c r="AG2597" i="1" s="1"/>
  <c r="AG2598" i="1" s="1"/>
  <c r="AG2599" i="1" s="1"/>
  <c r="AG2600" i="1" s="1"/>
  <c r="E294" i="1"/>
  <c r="AQ293" i="1"/>
  <c r="AR293" i="1" s="1"/>
  <c r="AS293" i="1" s="1"/>
  <c r="AC205" i="1" l="1"/>
  <c r="AF204" i="1"/>
  <c r="L207" i="1"/>
  <c r="AJ206" i="1"/>
  <c r="AT206" i="1" s="1"/>
  <c r="N1690" i="1"/>
  <c r="Y1688" i="1"/>
  <c r="Z1688" i="1"/>
  <c r="N481" i="1"/>
  <c r="Y479" i="1"/>
  <c r="Z479" i="1"/>
  <c r="E295" i="1"/>
  <c r="AQ294" i="1"/>
  <c r="AR294" i="1" s="1"/>
  <c r="AS294" i="1" s="1"/>
  <c r="AC206" i="1" l="1"/>
  <c r="AF205" i="1"/>
  <c r="L208" i="1"/>
  <c r="AJ207" i="1"/>
  <c r="AT207" i="1" s="1"/>
  <c r="N483" i="1"/>
  <c r="Y481" i="1"/>
  <c r="Z481" i="1"/>
  <c r="N1691" i="1"/>
  <c r="Y1690" i="1"/>
  <c r="Z1690" i="1"/>
  <c r="E296" i="1"/>
  <c r="AQ295" i="1"/>
  <c r="AR295" i="1" s="1"/>
  <c r="AS295" i="1" s="1"/>
  <c r="AC207" i="1" l="1"/>
  <c r="AF206" i="1"/>
  <c r="L209" i="1"/>
  <c r="AJ208" i="1"/>
  <c r="AT208" i="1" s="1"/>
  <c r="N1692" i="1"/>
  <c r="Y1691" i="1"/>
  <c r="Z1691" i="1"/>
  <c r="N484" i="1"/>
  <c r="Y483" i="1"/>
  <c r="Z483" i="1"/>
  <c r="E297" i="1"/>
  <c r="AQ296" i="1"/>
  <c r="AR296" i="1" s="1"/>
  <c r="AS296" i="1" s="1"/>
  <c r="AC208" i="1" l="1"/>
  <c r="AF207" i="1"/>
  <c r="L210" i="1"/>
  <c r="AJ209" i="1"/>
  <c r="AT209" i="1" s="1"/>
  <c r="N485" i="1"/>
  <c r="Y484" i="1"/>
  <c r="Z484" i="1"/>
  <c r="N1694" i="1"/>
  <c r="Y1692" i="1"/>
  <c r="Z1692" i="1"/>
  <c r="E298" i="1"/>
  <c r="AQ297" i="1"/>
  <c r="AR297" i="1" s="1"/>
  <c r="AS297" i="1" s="1"/>
  <c r="AC209" i="1" l="1"/>
  <c r="AF208" i="1"/>
  <c r="L211" i="1"/>
  <c r="AJ210" i="1"/>
  <c r="AT210" i="1" s="1"/>
  <c r="N1697" i="1"/>
  <c r="Y1694" i="1"/>
  <c r="Z1694" i="1"/>
  <c r="N487" i="1"/>
  <c r="Y485" i="1"/>
  <c r="Z485" i="1"/>
  <c r="E299" i="1"/>
  <c r="AQ298" i="1"/>
  <c r="AR298" i="1" s="1"/>
  <c r="AS298" i="1" s="1"/>
  <c r="AC210" i="1" l="1"/>
  <c r="AF209" i="1"/>
  <c r="L212" i="1"/>
  <c r="AJ211" i="1"/>
  <c r="AT211" i="1" s="1"/>
  <c r="N490" i="1"/>
  <c r="Y487" i="1"/>
  <c r="Z487" i="1"/>
  <c r="N1707" i="1"/>
  <c r="Y1697" i="1"/>
  <c r="Z1697" i="1"/>
  <c r="E300" i="1"/>
  <c r="AQ299" i="1"/>
  <c r="AR299" i="1" s="1"/>
  <c r="AS299" i="1" s="1"/>
  <c r="AC211" i="1" l="1"/>
  <c r="AF210" i="1"/>
  <c r="L213" i="1"/>
  <c r="AJ212" i="1"/>
  <c r="AT212" i="1" s="1"/>
  <c r="N1708" i="1"/>
  <c r="Y1707" i="1"/>
  <c r="Z1707" i="1"/>
  <c r="N491" i="1"/>
  <c r="Y490" i="1"/>
  <c r="Z490" i="1"/>
  <c r="E301" i="1"/>
  <c r="AQ300" i="1"/>
  <c r="AR300" i="1" s="1"/>
  <c r="AS300" i="1" s="1"/>
  <c r="AC212" i="1" l="1"/>
  <c r="AF211" i="1"/>
  <c r="L214" i="1"/>
  <c r="AJ213" i="1"/>
  <c r="AT213" i="1" s="1"/>
  <c r="N492" i="1"/>
  <c r="Y491" i="1"/>
  <c r="Z491" i="1"/>
  <c r="N1709" i="1"/>
  <c r="Y1708" i="1"/>
  <c r="Z1708" i="1"/>
  <c r="E302" i="1"/>
  <c r="AQ301" i="1"/>
  <c r="AR301" i="1" s="1"/>
  <c r="AS301" i="1" s="1"/>
  <c r="AC213" i="1" l="1"/>
  <c r="AF212" i="1"/>
  <c r="L215" i="1"/>
  <c r="AJ214" i="1"/>
  <c r="AT214" i="1" s="1"/>
  <c r="N1711" i="1"/>
  <c r="Y1709" i="1"/>
  <c r="Z1709" i="1"/>
  <c r="N493" i="1"/>
  <c r="Y492" i="1"/>
  <c r="Z492" i="1"/>
  <c r="E303" i="1"/>
  <c r="AQ302" i="1"/>
  <c r="AR302" i="1" s="1"/>
  <c r="AS302" i="1" s="1"/>
  <c r="AC214" i="1" l="1"/>
  <c r="AF213" i="1"/>
  <c r="L216" i="1"/>
  <c r="AJ215" i="1"/>
  <c r="AT215" i="1" s="1"/>
  <c r="N494" i="1"/>
  <c r="Y493" i="1"/>
  <c r="Z493" i="1"/>
  <c r="N1712" i="1"/>
  <c r="Y1711" i="1"/>
  <c r="Z1711" i="1"/>
  <c r="E304" i="1"/>
  <c r="AQ303" i="1"/>
  <c r="AR303" i="1" s="1"/>
  <c r="AS303" i="1" s="1"/>
  <c r="AC215" i="1" l="1"/>
  <c r="AF214" i="1"/>
  <c r="L217" i="1"/>
  <c r="AJ216" i="1"/>
  <c r="AT216" i="1" s="1"/>
  <c r="N1715" i="1"/>
  <c r="Y1712" i="1"/>
  <c r="Z1712" i="1"/>
  <c r="N496" i="1"/>
  <c r="Y494" i="1"/>
  <c r="Z494" i="1"/>
  <c r="E305" i="1"/>
  <c r="AQ304" i="1"/>
  <c r="AR304" i="1" s="1"/>
  <c r="AS304" i="1" s="1"/>
  <c r="AC216" i="1" l="1"/>
  <c r="AF215" i="1"/>
  <c r="L218" i="1"/>
  <c r="AJ217" i="1"/>
  <c r="AT217" i="1" s="1"/>
  <c r="N498" i="1"/>
  <c r="Y496" i="1"/>
  <c r="Z496" i="1"/>
  <c r="N1717" i="1"/>
  <c r="Y1715" i="1"/>
  <c r="Z1715" i="1"/>
  <c r="E306" i="1"/>
  <c r="AQ305" i="1"/>
  <c r="AR305" i="1" s="1"/>
  <c r="AS305" i="1" s="1"/>
  <c r="AC217" i="1" l="1"/>
  <c r="AF216" i="1"/>
  <c r="L219" i="1"/>
  <c r="AJ218" i="1"/>
  <c r="AT218" i="1" s="1"/>
  <c r="N1719" i="1"/>
  <c r="Y1717" i="1"/>
  <c r="Z1717" i="1"/>
  <c r="N500" i="1"/>
  <c r="Y498" i="1"/>
  <c r="Z498" i="1"/>
  <c r="E307" i="1"/>
  <c r="AQ306" i="1"/>
  <c r="AR306" i="1" s="1"/>
  <c r="AS306" i="1" s="1"/>
  <c r="AC218" i="1" l="1"/>
  <c r="AF217" i="1"/>
  <c r="L220" i="1"/>
  <c r="AJ219" i="1"/>
  <c r="AT219" i="1" s="1"/>
  <c r="N502" i="1"/>
  <c r="Y500" i="1"/>
  <c r="Z500" i="1"/>
  <c r="N1724" i="1"/>
  <c r="Y1719" i="1"/>
  <c r="Z1719" i="1"/>
  <c r="E308" i="1"/>
  <c r="AQ307" i="1"/>
  <c r="AR307" i="1" s="1"/>
  <c r="AS307" i="1" s="1"/>
  <c r="AC219" i="1" l="1"/>
  <c r="AF218" i="1"/>
  <c r="L221" i="1"/>
  <c r="AJ220" i="1"/>
  <c r="AT220" i="1" s="1"/>
  <c r="N1725" i="1"/>
  <c r="Z1724" i="1"/>
  <c r="Y1724" i="1"/>
  <c r="N504" i="1"/>
  <c r="Y502" i="1"/>
  <c r="Z502" i="1"/>
  <c r="E309" i="1"/>
  <c r="AQ308" i="1"/>
  <c r="AR308" i="1" s="1"/>
  <c r="AS308" i="1" s="1"/>
  <c r="AC220" i="1" l="1"/>
  <c r="AF219" i="1"/>
  <c r="L222" i="1"/>
  <c r="AJ221" i="1"/>
  <c r="AT221" i="1" s="1"/>
  <c r="N506" i="1"/>
  <c r="Y504" i="1"/>
  <c r="Z504" i="1"/>
  <c r="N1727" i="1"/>
  <c r="Y1725" i="1"/>
  <c r="Z1725" i="1"/>
  <c r="E310" i="1"/>
  <c r="AQ309" i="1"/>
  <c r="AR309" i="1" s="1"/>
  <c r="AS309" i="1" s="1"/>
  <c r="AC221" i="1" l="1"/>
  <c r="AF220" i="1"/>
  <c r="L223" i="1"/>
  <c r="AJ222" i="1"/>
  <c r="AT222" i="1" s="1"/>
  <c r="N1728" i="1"/>
  <c r="Y1727" i="1"/>
  <c r="Z1727" i="1"/>
  <c r="N508" i="1"/>
  <c r="Z506" i="1"/>
  <c r="Y506" i="1"/>
  <c r="E311" i="1"/>
  <c r="AQ310" i="1"/>
  <c r="AR310" i="1" s="1"/>
  <c r="AS310" i="1" s="1"/>
  <c r="AC222" i="1" l="1"/>
  <c r="AF221" i="1"/>
  <c r="L224" i="1"/>
  <c r="AJ223" i="1"/>
  <c r="AT223" i="1" s="1"/>
  <c r="N510" i="1"/>
  <c r="Y508" i="1"/>
  <c r="Z508" i="1"/>
  <c r="N1729" i="1"/>
  <c r="Y1728" i="1"/>
  <c r="Z1728" i="1"/>
  <c r="E312" i="1"/>
  <c r="AQ311" i="1"/>
  <c r="AR311" i="1" s="1"/>
  <c r="AS311" i="1" s="1"/>
  <c r="AC223" i="1" l="1"/>
  <c r="AF222" i="1"/>
  <c r="L225" i="1"/>
  <c r="AJ224" i="1"/>
  <c r="AT224" i="1" s="1"/>
  <c r="N1731" i="1"/>
  <c r="Y1729" i="1"/>
  <c r="Z1729" i="1"/>
  <c r="N515" i="1"/>
  <c r="Y510" i="1"/>
  <c r="Z510" i="1"/>
  <c r="E313" i="1"/>
  <c r="AQ312" i="1"/>
  <c r="AR312" i="1" s="1"/>
  <c r="AS312" i="1" s="1"/>
  <c r="AC224" i="1" l="1"/>
  <c r="AF223" i="1"/>
  <c r="L226" i="1"/>
  <c r="AJ225" i="1"/>
  <c r="AT225" i="1" s="1"/>
  <c r="N517" i="1"/>
  <c r="Y515" i="1"/>
  <c r="Z515" i="1"/>
  <c r="N1732" i="1"/>
  <c r="Y1731" i="1"/>
  <c r="Z1731" i="1"/>
  <c r="E314" i="1"/>
  <c r="AQ313" i="1"/>
  <c r="AR313" i="1" s="1"/>
  <c r="AS313" i="1" s="1"/>
  <c r="AC225" i="1" l="1"/>
  <c r="AF224" i="1"/>
  <c r="L227" i="1"/>
  <c r="AJ226" i="1"/>
  <c r="AT226" i="1" s="1"/>
  <c r="N1734" i="1"/>
  <c r="Y1732" i="1"/>
  <c r="Z1732" i="1"/>
  <c r="N520" i="1"/>
  <c r="Y517" i="1"/>
  <c r="Z517" i="1"/>
  <c r="E315" i="1"/>
  <c r="AQ314" i="1"/>
  <c r="AR314" i="1" s="1"/>
  <c r="AS314" i="1" s="1"/>
  <c r="AC226" i="1" l="1"/>
  <c r="AF225" i="1"/>
  <c r="L228" i="1"/>
  <c r="AJ227" i="1"/>
  <c r="AT227" i="1" s="1"/>
  <c r="N521" i="1"/>
  <c r="Y520" i="1"/>
  <c r="Z520" i="1"/>
  <c r="N1735" i="1"/>
  <c r="Y1734" i="1"/>
  <c r="Z1734" i="1"/>
  <c r="E316" i="1"/>
  <c r="AQ315" i="1"/>
  <c r="AR315" i="1" s="1"/>
  <c r="AS315" i="1" s="1"/>
  <c r="AC227" i="1" l="1"/>
  <c r="AF226" i="1"/>
  <c r="L229" i="1"/>
  <c r="AJ228" i="1"/>
  <c r="AT228" i="1" s="1"/>
  <c r="N1736" i="1"/>
  <c r="Y1735" i="1"/>
  <c r="Z1735" i="1"/>
  <c r="N523" i="1"/>
  <c r="Y521" i="1"/>
  <c r="Z521" i="1"/>
  <c r="E317" i="1"/>
  <c r="AQ316" i="1"/>
  <c r="AR316" i="1" s="1"/>
  <c r="AS316" i="1" s="1"/>
  <c r="AC228" i="1" l="1"/>
  <c r="AF227" i="1"/>
  <c r="L230" i="1"/>
  <c r="AJ229" i="1"/>
  <c r="AT229" i="1" s="1"/>
  <c r="N528" i="1"/>
  <c r="Y523" i="1"/>
  <c r="Z523" i="1"/>
  <c r="N1739" i="1"/>
  <c r="Y1736" i="1"/>
  <c r="Z1736" i="1"/>
  <c r="E318" i="1"/>
  <c r="AQ317" i="1"/>
  <c r="AR317" i="1" s="1"/>
  <c r="AS317" i="1" s="1"/>
  <c r="AC229" i="1" l="1"/>
  <c r="AF228" i="1"/>
  <c r="L231" i="1"/>
  <c r="AJ230" i="1"/>
  <c r="AT230" i="1" s="1"/>
  <c r="N1741" i="1"/>
  <c r="Y1739" i="1"/>
  <c r="Z1739" i="1"/>
  <c r="N529" i="1"/>
  <c r="Y528" i="1"/>
  <c r="Z528" i="1"/>
  <c r="E319" i="1"/>
  <c r="AQ318" i="1"/>
  <c r="AR318" i="1" s="1"/>
  <c r="AS318" i="1" s="1"/>
  <c r="AC230" i="1" l="1"/>
  <c r="AF229" i="1"/>
  <c r="L232" i="1"/>
  <c r="AJ231" i="1"/>
  <c r="AT231" i="1" s="1"/>
  <c r="N531" i="1"/>
  <c r="Y529" i="1"/>
  <c r="Z529" i="1"/>
  <c r="N1742" i="1"/>
  <c r="Y1741" i="1"/>
  <c r="Z1741" i="1"/>
  <c r="E320" i="1"/>
  <c r="AQ319" i="1"/>
  <c r="AR319" i="1" s="1"/>
  <c r="AS319" i="1" s="1"/>
  <c r="AC231" i="1" l="1"/>
  <c r="AF230" i="1"/>
  <c r="L233" i="1"/>
  <c r="AJ232" i="1"/>
  <c r="AT232" i="1" s="1"/>
  <c r="N1744" i="1"/>
  <c r="Z1742" i="1"/>
  <c r="Y1742" i="1"/>
  <c r="N533" i="1"/>
  <c r="Y531" i="1"/>
  <c r="Z531" i="1"/>
  <c r="E321" i="1"/>
  <c r="AQ320" i="1"/>
  <c r="AR320" i="1" s="1"/>
  <c r="AS320" i="1" s="1"/>
  <c r="AC232" i="1" l="1"/>
  <c r="AF231" i="1"/>
  <c r="L234" i="1"/>
  <c r="AJ233" i="1"/>
  <c r="AT233" i="1" s="1"/>
  <c r="N534" i="1"/>
  <c r="Y533" i="1"/>
  <c r="Z533" i="1"/>
  <c r="N1746" i="1"/>
  <c r="Z1744" i="1"/>
  <c r="Y1744" i="1"/>
  <c r="E322" i="1"/>
  <c r="AQ321" i="1"/>
  <c r="AR321" i="1" s="1"/>
  <c r="AS321" i="1" s="1"/>
  <c r="AC233" i="1" l="1"/>
  <c r="AF232" i="1"/>
  <c r="L235" i="1"/>
  <c r="AJ234" i="1"/>
  <c r="AT234" i="1" s="1"/>
  <c r="N1747" i="1"/>
  <c r="Y1746" i="1"/>
  <c r="Z1746" i="1"/>
  <c r="N536" i="1"/>
  <c r="Y534" i="1"/>
  <c r="Z534" i="1"/>
  <c r="E323" i="1"/>
  <c r="AQ322" i="1"/>
  <c r="AR322" i="1" s="1"/>
  <c r="AS322" i="1" s="1"/>
  <c r="AC234" i="1" l="1"/>
  <c r="AF233" i="1"/>
  <c r="L236" i="1"/>
  <c r="AJ235" i="1"/>
  <c r="AT235" i="1" s="1"/>
  <c r="N537" i="1"/>
  <c r="Z536" i="1"/>
  <c r="Y536" i="1"/>
  <c r="N1749" i="1"/>
  <c r="Y1747" i="1"/>
  <c r="Z1747" i="1"/>
  <c r="E324" i="1"/>
  <c r="AQ323" i="1"/>
  <c r="AR323" i="1" s="1"/>
  <c r="AS323" i="1" s="1"/>
  <c r="AC235" i="1" l="1"/>
  <c r="AF234" i="1"/>
  <c r="L237" i="1"/>
  <c r="AJ236" i="1"/>
  <c r="AT236" i="1" s="1"/>
  <c r="N1751" i="1"/>
  <c r="Y1749" i="1"/>
  <c r="Z1749" i="1"/>
  <c r="N539" i="1"/>
  <c r="Y537" i="1"/>
  <c r="Z537" i="1"/>
  <c r="E325" i="1"/>
  <c r="AQ324" i="1"/>
  <c r="AR324" i="1" s="1"/>
  <c r="AS324" i="1" s="1"/>
  <c r="AC236" i="1" l="1"/>
  <c r="AF235" i="1"/>
  <c r="L238" i="1"/>
  <c r="AJ237" i="1"/>
  <c r="AT237" i="1" s="1"/>
  <c r="N541" i="1"/>
  <c r="Y539" i="1"/>
  <c r="Z539" i="1"/>
  <c r="N1753" i="1"/>
  <c r="Y1751" i="1"/>
  <c r="Z1751" i="1"/>
  <c r="E326" i="1"/>
  <c r="AQ325" i="1"/>
  <c r="AR325" i="1" s="1"/>
  <c r="AS325" i="1" s="1"/>
  <c r="AC237" i="1" l="1"/>
  <c r="AF236" i="1"/>
  <c r="L239" i="1"/>
  <c r="AJ238" i="1"/>
  <c r="AT238" i="1" s="1"/>
  <c r="N1755" i="1"/>
  <c r="Y1753" i="1"/>
  <c r="Z1753" i="1"/>
  <c r="N542" i="1"/>
  <c r="Y541" i="1"/>
  <c r="Z541" i="1"/>
  <c r="E327" i="1"/>
  <c r="AQ326" i="1"/>
  <c r="AR326" i="1" s="1"/>
  <c r="AS326" i="1" s="1"/>
  <c r="AC238" i="1" l="1"/>
  <c r="AF237" i="1"/>
  <c r="L240" i="1"/>
  <c r="AJ239" i="1"/>
  <c r="AT239" i="1" s="1"/>
  <c r="N543" i="1"/>
  <c r="Y542" i="1"/>
  <c r="Z542" i="1"/>
  <c r="N1757" i="1"/>
  <c r="Y1755" i="1"/>
  <c r="Z1755" i="1"/>
  <c r="E328" i="1"/>
  <c r="AQ327" i="1"/>
  <c r="AR327" i="1" s="1"/>
  <c r="AS327" i="1" s="1"/>
  <c r="AC239" i="1" l="1"/>
  <c r="AF238" i="1"/>
  <c r="L241" i="1"/>
  <c r="AJ240" i="1"/>
  <c r="AT240" i="1" s="1"/>
  <c r="N1759" i="1"/>
  <c r="Y1757" i="1"/>
  <c r="Z1757" i="1"/>
  <c r="N544" i="1"/>
  <c r="Y543" i="1"/>
  <c r="Z543" i="1"/>
  <c r="E329" i="1"/>
  <c r="AQ328" i="1"/>
  <c r="AR328" i="1" s="1"/>
  <c r="AS328" i="1" s="1"/>
  <c r="AC240" i="1" l="1"/>
  <c r="AF239" i="1"/>
  <c r="L242" i="1"/>
  <c r="AJ241" i="1"/>
  <c r="AT241" i="1" s="1"/>
  <c r="N545" i="1"/>
  <c r="Y544" i="1"/>
  <c r="Z544" i="1"/>
  <c r="N1762" i="1"/>
  <c r="Y1759" i="1"/>
  <c r="Z1759" i="1"/>
  <c r="E330" i="1"/>
  <c r="AQ329" i="1"/>
  <c r="AR329" i="1" s="1"/>
  <c r="AS329" i="1" s="1"/>
  <c r="AC241" i="1" l="1"/>
  <c r="AF240" i="1"/>
  <c r="L243" i="1"/>
  <c r="AJ242" i="1"/>
  <c r="AT242" i="1" s="1"/>
  <c r="N1763" i="1"/>
  <c r="Y1762" i="1"/>
  <c r="Z1762" i="1"/>
  <c r="N547" i="1"/>
  <c r="Z545" i="1"/>
  <c r="Y545" i="1"/>
  <c r="E331" i="1"/>
  <c r="AQ330" i="1"/>
  <c r="AR330" i="1" s="1"/>
  <c r="AS330" i="1" s="1"/>
  <c r="AC242" i="1" l="1"/>
  <c r="AF241" i="1"/>
  <c r="L244" i="1"/>
  <c r="AJ243" i="1"/>
  <c r="AT243" i="1" s="1"/>
  <c r="N548" i="1"/>
  <c r="Y547" i="1"/>
  <c r="Z547" i="1"/>
  <c r="N1764" i="1"/>
  <c r="Y1763" i="1"/>
  <c r="Z1763" i="1"/>
  <c r="E332" i="1"/>
  <c r="AQ331" i="1"/>
  <c r="AR331" i="1" s="1"/>
  <c r="AS331" i="1" s="1"/>
  <c r="AC243" i="1" l="1"/>
  <c r="AF242" i="1"/>
  <c r="L245" i="1"/>
  <c r="AJ244" i="1"/>
  <c r="AT244" i="1" s="1"/>
  <c r="N1766" i="1"/>
  <c r="Z1764" i="1"/>
  <c r="Y1764" i="1"/>
  <c r="N550" i="1"/>
  <c r="Y548" i="1"/>
  <c r="Z548" i="1"/>
  <c r="E333" i="1"/>
  <c r="AQ332" i="1"/>
  <c r="AR332" i="1" s="1"/>
  <c r="AS332" i="1" s="1"/>
  <c r="AC244" i="1" l="1"/>
  <c r="AF243" i="1"/>
  <c r="L246" i="1"/>
  <c r="AJ245" i="1"/>
  <c r="AT245" i="1" s="1"/>
  <c r="N551" i="1"/>
  <c r="Y550" i="1"/>
  <c r="Z550" i="1"/>
  <c r="N1772" i="1"/>
  <c r="Y1766" i="1"/>
  <c r="Z1766" i="1"/>
  <c r="E334" i="1"/>
  <c r="AQ333" i="1"/>
  <c r="AR333" i="1" s="1"/>
  <c r="AS333" i="1" s="1"/>
  <c r="AC245" i="1" l="1"/>
  <c r="AF244" i="1"/>
  <c r="L247" i="1"/>
  <c r="AJ246" i="1"/>
  <c r="AT246" i="1" s="1"/>
  <c r="N1774" i="1"/>
  <c r="Z1772" i="1"/>
  <c r="Y1772" i="1"/>
  <c r="N555" i="1"/>
  <c r="Y551" i="1"/>
  <c r="Z551" i="1"/>
  <c r="E335" i="1"/>
  <c r="AQ334" i="1"/>
  <c r="AR334" i="1" s="1"/>
  <c r="AS334" i="1" s="1"/>
  <c r="AC246" i="1" l="1"/>
  <c r="AF245" i="1"/>
  <c r="L248" i="1"/>
  <c r="AJ247" i="1"/>
  <c r="AT247" i="1" s="1"/>
  <c r="N557" i="1"/>
  <c r="Y555" i="1"/>
  <c r="Z555" i="1"/>
  <c r="N1775" i="1"/>
  <c r="Y1774" i="1"/>
  <c r="Z1774" i="1"/>
  <c r="E336" i="1"/>
  <c r="AQ335" i="1"/>
  <c r="AR335" i="1" s="1"/>
  <c r="AS335" i="1" s="1"/>
  <c r="AC247" i="1" l="1"/>
  <c r="AF246" i="1"/>
  <c r="L249" i="1"/>
  <c r="AJ248" i="1"/>
  <c r="AT248" i="1" s="1"/>
  <c r="N1777" i="1"/>
  <c r="Y1775" i="1"/>
  <c r="Z1775" i="1"/>
  <c r="N559" i="1"/>
  <c r="Y557" i="1"/>
  <c r="Z557" i="1"/>
  <c r="E337" i="1"/>
  <c r="AQ336" i="1"/>
  <c r="AR336" i="1" s="1"/>
  <c r="AS336" i="1" s="1"/>
  <c r="AC248" i="1" l="1"/>
  <c r="AF247" i="1"/>
  <c r="L250" i="1"/>
  <c r="AJ249" i="1"/>
  <c r="AT249" i="1" s="1"/>
  <c r="N560" i="1"/>
  <c r="Y559" i="1"/>
  <c r="Z559" i="1"/>
  <c r="N1779" i="1"/>
  <c r="Y1777" i="1"/>
  <c r="Z1777" i="1"/>
  <c r="E338" i="1"/>
  <c r="AQ337" i="1"/>
  <c r="AR337" i="1" s="1"/>
  <c r="AS337" i="1" s="1"/>
  <c r="AC249" i="1" l="1"/>
  <c r="AF248" i="1"/>
  <c r="L251" i="1"/>
  <c r="AJ250" i="1"/>
  <c r="AT250" i="1" s="1"/>
  <c r="N1781" i="1"/>
  <c r="Y1779" i="1"/>
  <c r="Z1779" i="1"/>
  <c r="N562" i="1"/>
  <c r="Z560" i="1"/>
  <c r="Y560" i="1"/>
  <c r="E339" i="1"/>
  <c r="AQ338" i="1"/>
  <c r="AR338" i="1" s="1"/>
  <c r="AS338" i="1" s="1"/>
  <c r="AC250" i="1" l="1"/>
  <c r="AF249" i="1"/>
  <c r="L252" i="1"/>
  <c r="AJ251" i="1"/>
  <c r="AT251" i="1" s="1"/>
  <c r="N563" i="1"/>
  <c r="Y562" i="1"/>
  <c r="Z562" i="1"/>
  <c r="N1783" i="1"/>
  <c r="Y1781" i="1"/>
  <c r="Z1781" i="1"/>
  <c r="E340" i="1"/>
  <c r="AQ339" i="1"/>
  <c r="AR339" i="1" s="1"/>
  <c r="AS339" i="1" s="1"/>
  <c r="AC251" i="1" l="1"/>
  <c r="AF250" i="1"/>
  <c r="L253" i="1"/>
  <c r="AJ252" i="1"/>
  <c r="AT252" i="1" s="1"/>
  <c r="N1786" i="1"/>
  <c r="Y1783" i="1"/>
  <c r="Z1783" i="1"/>
  <c r="N565" i="1"/>
  <c r="Z563" i="1"/>
  <c r="Y563" i="1"/>
  <c r="E341" i="1"/>
  <c r="AQ340" i="1"/>
  <c r="AR340" i="1" s="1"/>
  <c r="AS340" i="1" s="1"/>
  <c r="AC252" i="1" l="1"/>
  <c r="AF251" i="1"/>
  <c r="L254" i="1"/>
  <c r="AJ253" i="1"/>
  <c r="AT253" i="1" s="1"/>
  <c r="N566" i="1"/>
  <c r="Y565" i="1"/>
  <c r="Z565" i="1"/>
  <c r="N1788" i="1"/>
  <c r="Z1786" i="1"/>
  <c r="Y1786" i="1"/>
  <c r="E342" i="1"/>
  <c r="AQ341" i="1"/>
  <c r="AR341" i="1" s="1"/>
  <c r="AS341" i="1" s="1"/>
  <c r="AC253" i="1" l="1"/>
  <c r="AF252" i="1"/>
  <c r="L255" i="1"/>
  <c r="AJ254" i="1"/>
  <c r="AT254" i="1" s="1"/>
  <c r="N1793" i="1"/>
  <c r="Y1788" i="1"/>
  <c r="Z1788" i="1"/>
  <c r="N568" i="1"/>
  <c r="Y566" i="1"/>
  <c r="Z566" i="1"/>
  <c r="E343" i="1"/>
  <c r="AQ342" i="1"/>
  <c r="AR342" i="1" s="1"/>
  <c r="AS342" i="1" s="1"/>
  <c r="AC254" i="1" l="1"/>
  <c r="AF253" i="1"/>
  <c r="L256" i="1"/>
  <c r="AJ255" i="1"/>
  <c r="AT255" i="1" s="1"/>
  <c r="N569" i="1"/>
  <c r="Y568" i="1"/>
  <c r="Z568" i="1"/>
  <c r="N1794" i="1"/>
  <c r="Y1793" i="1"/>
  <c r="Z1793" i="1"/>
  <c r="E344" i="1"/>
  <c r="AQ343" i="1"/>
  <c r="AR343" i="1" s="1"/>
  <c r="AS343" i="1" s="1"/>
  <c r="AC255" i="1" l="1"/>
  <c r="AF254" i="1"/>
  <c r="L257" i="1"/>
  <c r="AJ256" i="1"/>
  <c r="AT256" i="1" s="1"/>
  <c r="N1797" i="1"/>
  <c r="Z1794" i="1"/>
  <c r="Y1794" i="1"/>
  <c r="N571" i="1"/>
  <c r="Z569" i="1"/>
  <c r="Y569" i="1"/>
  <c r="E345" i="1"/>
  <c r="AQ344" i="1"/>
  <c r="AR344" i="1" s="1"/>
  <c r="AS344" i="1" s="1"/>
  <c r="AC256" i="1" l="1"/>
  <c r="AF255" i="1"/>
  <c r="L258" i="1"/>
  <c r="AJ257" i="1"/>
  <c r="AT257" i="1" s="1"/>
  <c r="N573" i="1"/>
  <c r="Y571" i="1"/>
  <c r="Z571" i="1"/>
  <c r="N1801" i="1"/>
  <c r="Y1797" i="1"/>
  <c r="Z1797" i="1"/>
  <c r="E346" i="1"/>
  <c r="AQ345" i="1"/>
  <c r="AR345" i="1" s="1"/>
  <c r="AS345" i="1" s="1"/>
  <c r="AC257" i="1" l="1"/>
  <c r="AF256" i="1"/>
  <c r="L259" i="1"/>
  <c r="AJ258" i="1"/>
  <c r="AT258" i="1" s="1"/>
  <c r="N1804" i="1"/>
  <c r="Y1801" i="1"/>
  <c r="Z1801" i="1"/>
  <c r="N575" i="1"/>
  <c r="Y573" i="1"/>
  <c r="Z573" i="1"/>
  <c r="E347" i="1"/>
  <c r="AQ346" i="1"/>
  <c r="AR346" i="1" s="1"/>
  <c r="AS346" i="1" s="1"/>
  <c r="AC258" i="1" l="1"/>
  <c r="AF257" i="1"/>
  <c r="L260" i="1"/>
  <c r="AJ259" i="1"/>
  <c r="AT259" i="1" s="1"/>
  <c r="N577" i="1"/>
  <c r="Y575" i="1"/>
  <c r="Z575" i="1"/>
  <c r="N1805" i="1"/>
  <c r="Y1804" i="1"/>
  <c r="Z1804" i="1"/>
  <c r="E348" i="1"/>
  <c r="AQ347" i="1"/>
  <c r="AR347" i="1" s="1"/>
  <c r="AS347" i="1" s="1"/>
  <c r="AC259" i="1" l="1"/>
  <c r="AF258" i="1"/>
  <c r="L261" i="1"/>
  <c r="AJ260" i="1"/>
  <c r="AT260" i="1" s="1"/>
  <c r="N1806" i="1"/>
  <c r="Y1805" i="1"/>
  <c r="Z1805" i="1"/>
  <c r="N579" i="1"/>
  <c r="Y577" i="1"/>
  <c r="Z577" i="1"/>
  <c r="E349" i="1"/>
  <c r="AQ348" i="1"/>
  <c r="AR348" i="1" s="1"/>
  <c r="AS348" i="1" s="1"/>
  <c r="AC260" i="1" l="1"/>
  <c r="AF259" i="1"/>
  <c r="L262" i="1"/>
  <c r="AJ261" i="1"/>
  <c r="AT261" i="1" s="1"/>
  <c r="N581" i="1"/>
  <c r="Y579" i="1"/>
  <c r="Z579" i="1"/>
  <c r="N1808" i="1"/>
  <c r="Y1806" i="1"/>
  <c r="Z1806" i="1"/>
  <c r="E350" i="1"/>
  <c r="AQ349" i="1"/>
  <c r="AR349" i="1" s="1"/>
  <c r="AS349" i="1" s="1"/>
  <c r="AC261" i="1" l="1"/>
  <c r="AF260" i="1"/>
  <c r="L263" i="1"/>
  <c r="AJ262" i="1"/>
  <c r="AT262" i="1" s="1"/>
  <c r="N1810" i="1"/>
  <c r="Y1808" i="1"/>
  <c r="Z1808" i="1"/>
  <c r="N582" i="1"/>
  <c r="Y581" i="1"/>
  <c r="Z581" i="1"/>
  <c r="E351" i="1"/>
  <c r="AQ350" i="1"/>
  <c r="AR350" i="1" s="1"/>
  <c r="AS350" i="1" s="1"/>
  <c r="AC262" i="1" l="1"/>
  <c r="AF261" i="1"/>
  <c r="L264" i="1"/>
  <c r="AJ263" i="1"/>
  <c r="AT263" i="1" s="1"/>
  <c r="N584" i="1"/>
  <c r="Y582" i="1"/>
  <c r="Z582" i="1"/>
  <c r="N1813" i="1"/>
  <c r="Z1810" i="1"/>
  <c r="Y1810" i="1"/>
  <c r="E352" i="1"/>
  <c r="AQ351" i="1"/>
  <c r="AR351" i="1" s="1"/>
  <c r="AS351" i="1" s="1"/>
  <c r="AC263" i="1" l="1"/>
  <c r="AF262" i="1"/>
  <c r="L265" i="1"/>
  <c r="AJ264" i="1"/>
  <c r="AT264" i="1" s="1"/>
  <c r="N1817" i="1"/>
  <c r="Z1813" i="1"/>
  <c r="Y1813" i="1"/>
  <c r="N585" i="1"/>
  <c r="Y584" i="1"/>
  <c r="Z584" i="1"/>
  <c r="E353" i="1"/>
  <c r="AQ352" i="1"/>
  <c r="AR352" i="1" s="1"/>
  <c r="AS352" i="1" s="1"/>
  <c r="AC264" i="1" l="1"/>
  <c r="AF263" i="1"/>
  <c r="L266" i="1"/>
  <c r="AJ265" i="1"/>
  <c r="AT265" i="1" s="1"/>
  <c r="N589" i="1"/>
  <c r="Y585" i="1"/>
  <c r="Z585" i="1"/>
  <c r="N1819" i="1"/>
  <c r="Y1817" i="1"/>
  <c r="Z1817" i="1"/>
  <c r="E354" i="1"/>
  <c r="AQ353" i="1"/>
  <c r="AR353" i="1" s="1"/>
  <c r="AS353" i="1" s="1"/>
  <c r="AC265" i="1" l="1"/>
  <c r="AF264" i="1"/>
  <c r="L267" i="1"/>
  <c r="AJ266" i="1"/>
  <c r="AT266" i="1" s="1"/>
  <c r="N1822" i="1"/>
  <c r="Z1819" i="1"/>
  <c r="Y1819" i="1"/>
  <c r="N591" i="1"/>
  <c r="Y589" i="1"/>
  <c r="Z589" i="1"/>
  <c r="E355" i="1"/>
  <c r="AQ354" i="1"/>
  <c r="AR354" i="1" s="1"/>
  <c r="AS354" i="1" s="1"/>
  <c r="AC266" i="1" l="1"/>
  <c r="AF265" i="1"/>
  <c r="L268" i="1"/>
  <c r="AJ267" i="1"/>
  <c r="AT267" i="1" s="1"/>
  <c r="N593" i="1"/>
  <c r="Y591" i="1"/>
  <c r="Z591" i="1"/>
  <c r="N1823" i="1"/>
  <c r="Y1822" i="1"/>
  <c r="Z1822" i="1"/>
  <c r="E356" i="1"/>
  <c r="AQ355" i="1"/>
  <c r="AR355" i="1" s="1"/>
  <c r="AS355" i="1" s="1"/>
  <c r="AC267" i="1" l="1"/>
  <c r="AF266" i="1"/>
  <c r="L269" i="1"/>
  <c r="AJ268" i="1"/>
  <c r="AT268" i="1" s="1"/>
  <c r="N1828" i="1"/>
  <c r="Y1823" i="1"/>
  <c r="Z1823" i="1"/>
  <c r="N594" i="1"/>
  <c r="Y593" i="1"/>
  <c r="Z593" i="1"/>
  <c r="E357" i="1"/>
  <c r="AQ356" i="1"/>
  <c r="AR356" i="1" s="1"/>
  <c r="AS356" i="1" s="1"/>
  <c r="AC268" i="1" l="1"/>
  <c r="AF267" i="1"/>
  <c r="L270" i="1"/>
  <c r="AJ269" i="1"/>
  <c r="AT269" i="1" s="1"/>
  <c r="N597" i="1"/>
  <c r="Y594" i="1"/>
  <c r="Z594" i="1"/>
  <c r="N1830" i="1"/>
  <c r="Y1828" i="1"/>
  <c r="Z1828" i="1"/>
  <c r="E358" i="1"/>
  <c r="AQ357" i="1"/>
  <c r="AR357" i="1" s="1"/>
  <c r="AS357" i="1" s="1"/>
  <c r="AC269" i="1" l="1"/>
  <c r="AF268" i="1"/>
  <c r="L271" i="1"/>
  <c r="AJ270" i="1"/>
  <c r="AT270" i="1" s="1"/>
  <c r="N1833" i="1"/>
  <c r="Y1830" i="1"/>
  <c r="Z1830" i="1"/>
  <c r="N598" i="1"/>
  <c r="Y597" i="1"/>
  <c r="Z597" i="1"/>
  <c r="E359" i="1"/>
  <c r="AQ358" i="1"/>
  <c r="AR358" i="1" s="1"/>
  <c r="AS358" i="1" s="1"/>
  <c r="AC270" i="1" l="1"/>
  <c r="AF269" i="1"/>
  <c r="L272" i="1"/>
  <c r="AJ271" i="1"/>
  <c r="AT271" i="1" s="1"/>
  <c r="N599" i="1"/>
  <c r="Y598" i="1"/>
  <c r="Z598" i="1"/>
  <c r="N1838" i="1"/>
  <c r="Y1833" i="1"/>
  <c r="Z1833" i="1"/>
  <c r="E360" i="1"/>
  <c r="AQ359" i="1"/>
  <c r="AR359" i="1" s="1"/>
  <c r="AS359" i="1" s="1"/>
  <c r="AC271" i="1" l="1"/>
  <c r="AF270" i="1"/>
  <c r="L273" i="1"/>
  <c r="AJ272" i="1"/>
  <c r="AT272" i="1" s="1"/>
  <c r="N1840" i="1"/>
  <c r="Z1838" i="1"/>
  <c r="Y1838" i="1"/>
  <c r="N600" i="1"/>
  <c r="Z599" i="1"/>
  <c r="Y599" i="1"/>
  <c r="E361" i="1"/>
  <c r="AQ360" i="1"/>
  <c r="AR360" i="1" s="1"/>
  <c r="AS360" i="1" s="1"/>
  <c r="AC272" i="1" l="1"/>
  <c r="AF271" i="1"/>
  <c r="L274" i="1"/>
  <c r="AJ273" i="1"/>
  <c r="AT273" i="1" s="1"/>
  <c r="N601" i="1"/>
  <c r="Y600" i="1"/>
  <c r="Z600" i="1"/>
  <c r="N1842" i="1"/>
  <c r="Z1840" i="1"/>
  <c r="Y1840" i="1"/>
  <c r="E362" i="1"/>
  <c r="AQ361" i="1"/>
  <c r="AR361" i="1" s="1"/>
  <c r="AS361" i="1" s="1"/>
  <c r="AC273" i="1" l="1"/>
  <c r="AF272" i="1"/>
  <c r="L275" i="1"/>
  <c r="AJ274" i="1"/>
  <c r="AT274" i="1" s="1"/>
  <c r="N1845" i="1"/>
  <c r="Z1842" i="1"/>
  <c r="Y1842" i="1"/>
  <c r="N605" i="1"/>
  <c r="Y601" i="1"/>
  <c r="Z601" i="1"/>
  <c r="E363" i="1"/>
  <c r="AQ362" i="1"/>
  <c r="AR362" i="1" s="1"/>
  <c r="AS362" i="1" s="1"/>
  <c r="AC274" i="1" l="1"/>
  <c r="AF273" i="1"/>
  <c r="L276" i="1"/>
  <c r="AJ275" i="1"/>
  <c r="AT275" i="1" s="1"/>
  <c r="N608" i="1"/>
  <c r="Y605" i="1"/>
  <c r="Z605" i="1"/>
  <c r="N1846" i="1"/>
  <c r="Y1845" i="1"/>
  <c r="Z1845" i="1"/>
  <c r="E364" i="1"/>
  <c r="AQ363" i="1"/>
  <c r="AR363" i="1" s="1"/>
  <c r="AS363" i="1" s="1"/>
  <c r="AC275" i="1" l="1"/>
  <c r="AF274" i="1"/>
  <c r="L277" i="1"/>
  <c r="AJ276" i="1"/>
  <c r="AT276" i="1" s="1"/>
  <c r="N1848" i="1"/>
  <c r="Y1846" i="1"/>
  <c r="Z1846" i="1"/>
  <c r="N609" i="1"/>
  <c r="Y608" i="1"/>
  <c r="Z608" i="1"/>
  <c r="E365" i="1"/>
  <c r="AQ364" i="1"/>
  <c r="AR364" i="1" s="1"/>
  <c r="AS364" i="1" s="1"/>
  <c r="AC276" i="1" l="1"/>
  <c r="AF275" i="1"/>
  <c r="L278" i="1"/>
  <c r="AJ277" i="1"/>
  <c r="AT277" i="1" s="1"/>
  <c r="N610" i="1"/>
  <c r="Y609" i="1"/>
  <c r="Z609" i="1"/>
  <c r="N1849" i="1"/>
  <c r="Y1848" i="1"/>
  <c r="Z1848" i="1"/>
  <c r="E366" i="1"/>
  <c r="AQ365" i="1"/>
  <c r="AR365" i="1" s="1"/>
  <c r="AS365" i="1" s="1"/>
  <c r="AC277" i="1" l="1"/>
  <c r="AF276" i="1"/>
  <c r="L279" i="1"/>
  <c r="AJ278" i="1"/>
  <c r="AT278" i="1" s="1"/>
  <c r="N1851" i="1"/>
  <c r="Y1849" i="1"/>
  <c r="Z1849" i="1"/>
  <c r="N612" i="1"/>
  <c r="Y610" i="1"/>
  <c r="Z610" i="1"/>
  <c r="E367" i="1"/>
  <c r="AQ366" i="1"/>
  <c r="AR366" i="1" s="1"/>
  <c r="AS366" i="1" s="1"/>
  <c r="AC278" i="1" l="1"/>
  <c r="AF277" i="1"/>
  <c r="L280" i="1"/>
  <c r="AJ279" i="1"/>
  <c r="AT279" i="1" s="1"/>
  <c r="N614" i="1"/>
  <c r="Y612" i="1"/>
  <c r="Z612" i="1"/>
  <c r="N1853" i="1"/>
  <c r="Y1851" i="1"/>
  <c r="Z1851" i="1"/>
  <c r="E368" i="1"/>
  <c r="AQ367" i="1"/>
  <c r="AR367" i="1" s="1"/>
  <c r="AS367" i="1" s="1"/>
  <c r="AC279" i="1" l="1"/>
  <c r="AF278" i="1"/>
  <c r="L281" i="1"/>
  <c r="AJ280" i="1"/>
  <c r="AT280" i="1" s="1"/>
  <c r="N1855" i="1"/>
  <c r="Y1853" i="1"/>
  <c r="Z1853" i="1"/>
  <c r="N618" i="1"/>
  <c r="Y614" i="1"/>
  <c r="Z614" i="1"/>
  <c r="E369" i="1"/>
  <c r="AQ368" i="1"/>
  <c r="AR368" i="1" s="1"/>
  <c r="AS368" i="1" s="1"/>
  <c r="AC280" i="1" l="1"/>
  <c r="AF279" i="1"/>
  <c r="L282" i="1"/>
  <c r="AJ281" i="1"/>
  <c r="AT281" i="1" s="1"/>
  <c r="N620" i="1"/>
  <c r="Y618" i="1"/>
  <c r="Z618" i="1"/>
  <c r="N1857" i="1"/>
  <c r="Z1855" i="1"/>
  <c r="Y1855" i="1"/>
  <c r="E370" i="1"/>
  <c r="AQ369" i="1"/>
  <c r="AR369" i="1" s="1"/>
  <c r="AS369" i="1" s="1"/>
  <c r="AC281" i="1" l="1"/>
  <c r="AF280" i="1"/>
  <c r="L283" i="1"/>
  <c r="AJ282" i="1"/>
  <c r="AT282" i="1" s="1"/>
  <c r="N1859" i="1"/>
  <c r="Y1857" i="1"/>
  <c r="Z1857" i="1"/>
  <c r="N621" i="1"/>
  <c r="Y620" i="1"/>
  <c r="Z620" i="1"/>
  <c r="E371" i="1"/>
  <c r="AQ370" i="1"/>
  <c r="AR370" i="1" s="1"/>
  <c r="AS370" i="1" s="1"/>
  <c r="AC282" i="1" l="1"/>
  <c r="AF281" i="1"/>
  <c r="L284" i="1"/>
  <c r="AJ283" i="1"/>
  <c r="AT283" i="1" s="1"/>
  <c r="N623" i="1"/>
  <c r="Y621" i="1"/>
  <c r="Z621" i="1"/>
  <c r="N1863" i="1"/>
  <c r="Y1859" i="1"/>
  <c r="Z1859" i="1"/>
  <c r="E372" i="1"/>
  <c r="AQ371" i="1"/>
  <c r="AR371" i="1" s="1"/>
  <c r="AS371" i="1" s="1"/>
  <c r="AC283" i="1" l="1"/>
  <c r="AF282" i="1"/>
  <c r="L285" i="1"/>
  <c r="AJ284" i="1"/>
  <c r="AT284" i="1" s="1"/>
  <c r="N1864" i="1"/>
  <c r="Y1863" i="1"/>
  <c r="Z1863" i="1"/>
  <c r="N625" i="1"/>
  <c r="Y623" i="1"/>
  <c r="Z623" i="1"/>
  <c r="E373" i="1"/>
  <c r="AQ372" i="1"/>
  <c r="AR372" i="1" s="1"/>
  <c r="AS372" i="1" s="1"/>
  <c r="AC284" i="1" l="1"/>
  <c r="AF283" i="1"/>
  <c r="L286" i="1"/>
  <c r="AJ285" i="1"/>
  <c r="AT285" i="1" s="1"/>
  <c r="N629" i="1"/>
  <c r="Y625" i="1"/>
  <c r="Z625" i="1"/>
  <c r="N1865" i="1"/>
  <c r="Y1864" i="1"/>
  <c r="Z1864" i="1"/>
  <c r="E374" i="1"/>
  <c r="AQ373" i="1"/>
  <c r="AR373" i="1" s="1"/>
  <c r="AS373" i="1" s="1"/>
  <c r="AC285" i="1" l="1"/>
  <c r="AF284" i="1"/>
  <c r="L287" i="1"/>
  <c r="AJ286" i="1"/>
  <c r="AT286" i="1" s="1"/>
  <c r="N1867" i="1"/>
  <c r="Y1865" i="1"/>
  <c r="Z1865" i="1"/>
  <c r="N632" i="1"/>
  <c r="Y629" i="1"/>
  <c r="Z629" i="1"/>
  <c r="E375" i="1"/>
  <c r="AQ374" i="1"/>
  <c r="AR374" i="1" s="1"/>
  <c r="AS374" i="1" s="1"/>
  <c r="AC286" i="1" l="1"/>
  <c r="AF285" i="1"/>
  <c r="L288" i="1"/>
  <c r="AJ287" i="1"/>
  <c r="AT287" i="1" s="1"/>
  <c r="N639" i="1"/>
  <c r="Z632" i="1"/>
  <c r="Y632" i="1"/>
  <c r="N1869" i="1"/>
  <c r="Y1867" i="1"/>
  <c r="Z1867" i="1"/>
  <c r="E376" i="1"/>
  <c r="AQ375" i="1"/>
  <c r="AR375" i="1" s="1"/>
  <c r="AS375" i="1" s="1"/>
  <c r="AC287" i="1" l="1"/>
  <c r="AF286" i="1"/>
  <c r="L289" i="1"/>
  <c r="AJ288" i="1"/>
  <c r="AT288" i="1" s="1"/>
  <c r="N1872" i="1"/>
  <c r="Y1869" i="1"/>
  <c r="Z1869" i="1"/>
  <c r="N643" i="1"/>
  <c r="Y639" i="1"/>
  <c r="Z639" i="1"/>
  <c r="E377" i="1"/>
  <c r="AQ376" i="1"/>
  <c r="AR376" i="1" s="1"/>
  <c r="AS376" i="1" s="1"/>
  <c r="AC288" i="1" l="1"/>
  <c r="AF287" i="1"/>
  <c r="L290" i="1"/>
  <c r="AJ289" i="1"/>
  <c r="AT289" i="1" s="1"/>
  <c r="N645" i="1"/>
  <c r="Z643" i="1"/>
  <c r="Y643" i="1"/>
  <c r="N1874" i="1"/>
  <c r="Z1872" i="1"/>
  <c r="Y1872" i="1"/>
  <c r="E378" i="1"/>
  <c r="AQ377" i="1"/>
  <c r="AR377" i="1" s="1"/>
  <c r="AS377" i="1" s="1"/>
  <c r="AC289" i="1" l="1"/>
  <c r="AF288" i="1"/>
  <c r="L291" i="1"/>
  <c r="AJ290" i="1"/>
  <c r="AT290" i="1" s="1"/>
  <c r="N1876" i="1"/>
  <c r="Z1874" i="1"/>
  <c r="Y1874" i="1"/>
  <c r="N648" i="1"/>
  <c r="Y645" i="1"/>
  <c r="Z645" i="1"/>
  <c r="E379" i="1"/>
  <c r="AQ378" i="1"/>
  <c r="AR378" i="1" s="1"/>
  <c r="AS378" i="1" s="1"/>
  <c r="AC290" i="1" l="1"/>
  <c r="AF289" i="1"/>
  <c r="L292" i="1"/>
  <c r="AJ291" i="1"/>
  <c r="AT291" i="1" s="1"/>
  <c r="N654" i="1"/>
  <c r="Y648" i="1"/>
  <c r="Z648" i="1"/>
  <c r="N1878" i="1"/>
  <c r="Y1876" i="1"/>
  <c r="Z1876" i="1"/>
  <c r="E380" i="1"/>
  <c r="AQ379" i="1"/>
  <c r="AR379" i="1" s="1"/>
  <c r="AS379" i="1" s="1"/>
  <c r="AC291" i="1" l="1"/>
  <c r="AF290" i="1"/>
  <c r="L293" i="1"/>
  <c r="AJ292" i="1"/>
  <c r="AT292" i="1" s="1"/>
  <c r="N1880" i="1"/>
  <c r="Y1878" i="1"/>
  <c r="Z1878" i="1"/>
  <c r="N659" i="1"/>
  <c r="Y654" i="1"/>
  <c r="Z654" i="1"/>
  <c r="E381" i="1"/>
  <c r="AQ380" i="1"/>
  <c r="AR380" i="1" s="1"/>
  <c r="AS380" i="1" s="1"/>
  <c r="AC292" i="1" l="1"/>
  <c r="AF291" i="1"/>
  <c r="L294" i="1"/>
  <c r="AJ293" i="1"/>
  <c r="AT293" i="1" s="1"/>
  <c r="N660" i="1"/>
  <c r="Z659" i="1"/>
  <c r="Y659" i="1"/>
  <c r="N1881" i="1"/>
  <c r="Z1880" i="1"/>
  <c r="Y1880" i="1"/>
  <c r="E382" i="1"/>
  <c r="AQ381" i="1"/>
  <c r="AR381" i="1" s="1"/>
  <c r="AS381" i="1" s="1"/>
  <c r="AC293" i="1" l="1"/>
  <c r="AF292" i="1"/>
  <c r="L295" i="1"/>
  <c r="AJ294" i="1"/>
  <c r="AT294" i="1" s="1"/>
  <c r="N1886" i="1"/>
  <c r="Y1881" i="1"/>
  <c r="Z1881" i="1"/>
  <c r="N661" i="1"/>
  <c r="Y660" i="1"/>
  <c r="Z660" i="1"/>
  <c r="E383" i="1"/>
  <c r="AQ382" i="1"/>
  <c r="AR382" i="1" s="1"/>
  <c r="AS382" i="1" s="1"/>
  <c r="AC294" i="1" l="1"/>
  <c r="AF293" i="1"/>
  <c r="L296" i="1"/>
  <c r="AJ295" i="1"/>
  <c r="AT295" i="1" s="1"/>
  <c r="N663" i="1"/>
  <c r="Y661" i="1"/>
  <c r="Z661" i="1"/>
  <c r="N1888" i="1"/>
  <c r="Y1886" i="1"/>
  <c r="Z1886" i="1"/>
  <c r="E384" i="1"/>
  <c r="AQ383" i="1"/>
  <c r="AR383" i="1" s="1"/>
  <c r="AS383" i="1" s="1"/>
  <c r="AC295" i="1" l="1"/>
  <c r="AF294" i="1"/>
  <c r="L297" i="1"/>
  <c r="AJ296" i="1"/>
  <c r="AT296" i="1" s="1"/>
  <c r="N1890" i="1"/>
  <c r="Y1888" i="1"/>
  <c r="Z1888" i="1"/>
  <c r="N667" i="1"/>
  <c r="Y663" i="1"/>
  <c r="Z663" i="1"/>
  <c r="E385" i="1"/>
  <c r="AQ384" i="1"/>
  <c r="AR384" i="1" s="1"/>
  <c r="AS384" i="1" s="1"/>
  <c r="AC296" i="1" l="1"/>
  <c r="AF295" i="1"/>
  <c r="L298" i="1"/>
  <c r="AJ297" i="1"/>
  <c r="AT297" i="1" s="1"/>
  <c r="N669" i="1"/>
  <c r="Y667" i="1"/>
  <c r="Z667" i="1"/>
  <c r="N1891" i="1"/>
  <c r="Y1890" i="1"/>
  <c r="Z1890" i="1"/>
  <c r="E386" i="1"/>
  <c r="AQ385" i="1"/>
  <c r="AR385" i="1" s="1"/>
  <c r="AS385" i="1" s="1"/>
  <c r="AC297" i="1" l="1"/>
  <c r="AF296" i="1"/>
  <c r="L299" i="1"/>
  <c r="AJ298" i="1"/>
  <c r="AT298" i="1" s="1"/>
  <c r="N1895" i="1"/>
  <c r="Y1891" i="1"/>
  <c r="Z1891" i="1"/>
  <c r="N674" i="1"/>
  <c r="Y669" i="1"/>
  <c r="Z669" i="1"/>
  <c r="E387" i="1"/>
  <c r="AQ386" i="1"/>
  <c r="AR386" i="1" s="1"/>
  <c r="AS386" i="1" s="1"/>
  <c r="AC298" i="1" l="1"/>
  <c r="AF297" i="1"/>
  <c r="L300" i="1"/>
  <c r="AJ299" i="1"/>
  <c r="AT299" i="1" s="1"/>
  <c r="N676" i="1"/>
  <c r="Y674" i="1"/>
  <c r="Z674" i="1"/>
  <c r="N1897" i="1"/>
  <c r="Y1895" i="1"/>
  <c r="Z1895" i="1"/>
  <c r="E388" i="1"/>
  <c r="AQ387" i="1"/>
  <c r="AR387" i="1" s="1"/>
  <c r="AS387" i="1" s="1"/>
  <c r="AC299" i="1" l="1"/>
  <c r="AF298" i="1"/>
  <c r="L301" i="1"/>
  <c r="AJ300" i="1"/>
  <c r="AT300" i="1" s="1"/>
  <c r="N1902" i="1"/>
  <c r="Y1897" i="1"/>
  <c r="Z1897" i="1"/>
  <c r="N679" i="1"/>
  <c r="Y676" i="1"/>
  <c r="Z676" i="1"/>
  <c r="E389" i="1"/>
  <c r="AQ388" i="1"/>
  <c r="AR388" i="1" s="1"/>
  <c r="AS388" i="1" s="1"/>
  <c r="AC300" i="1" l="1"/>
  <c r="AF299" i="1"/>
  <c r="L302" i="1"/>
  <c r="AJ301" i="1"/>
  <c r="AT301" i="1" s="1"/>
  <c r="N681" i="1"/>
  <c r="Z679" i="1"/>
  <c r="Y679" i="1"/>
  <c r="N1903" i="1"/>
  <c r="Y1902" i="1"/>
  <c r="Z1902" i="1"/>
  <c r="E390" i="1"/>
  <c r="AQ389" i="1"/>
  <c r="AR389" i="1" s="1"/>
  <c r="AS389" i="1" s="1"/>
  <c r="AC301" i="1" l="1"/>
  <c r="AF300" i="1"/>
  <c r="L303" i="1"/>
  <c r="AJ302" i="1"/>
  <c r="AT302" i="1" s="1"/>
  <c r="N1905" i="1"/>
  <c r="Y1903" i="1"/>
  <c r="Z1903" i="1"/>
  <c r="N684" i="1"/>
  <c r="Y681" i="1"/>
  <c r="Z681" i="1"/>
  <c r="E391" i="1"/>
  <c r="AQ390" i="1"/>
  <c r="AR390" i="1" s="1"/>
  <c r="AS390" i="1" s="1"/>
  <c r="AC302" i="1" l="1"/>
  <c r="AF301" i="1"/>
  <c r="L304" i="1"/>
  <c r="AJ303" i="1"/>
  <c r="AT303" i="1" s="1"/>
  <c r="N686" i="1"/>
  <c r="Y684" i="1"/>
  <c r="Z684" i="1"/>
  <c r="N1906" i="1"/>
  <c r="Y1905" i="1"/>
  <c r="Z1905" i="1"/>
  <c r="E392" i="1"/>
  <c r="AQ391" i="1"/>
  <c r="AR391" i="1" s="1"/>
  <c r="AS391" i="1" s="1"/>
  <c r="AC303" i="1" l="1"/>
  <c r="AF302" i="1"/>
  <c r="L305" i="1"/>
  <c r="AJ304" i="1"/>
  <c r="AT304" i="1" s="1"/>
  <c r="N1908" i="1"/>
  <c r="Y1906" i="1"/>
  <c r="Z1906" i="1"/>
  <c r="N688" i="1"/>
  <c r="Y686" i="1"/>
  <c r="Z686" i="1"/>
  <c r="E393" i="1"/>
  <c r="AQ392" i="1"/>
  <c r="AR392" i="1" s="1"/>
  <c r="AS392" i="1" s="1"/>
  <c r="AC304" i="1" l="1"/>
  <c r="AF303" i="1"/>
  <c r="L306" i="1"/>
  <c r="AJ305" i="1"/>
  <c r="AT305" i="1" s="1"/>
  <c r="N689" i="1"/>
  <c r="Z688" i="1"/>
  <c r="Y688" i="1"/>
  <c r="N1909" i="1"/>
  <c r="Y1908" i="1"/>
  <c r="Z1908" i="1"/>
  <c r="E394" i="1"/>
  <c r="AQ393" i="1"/>
  <c r="AR393" i="1" s="1"/>
  <c r="AS393" i="1" s="1"/>
  <c r="AC305" i="1" l="1"/>
  <c r="AF304" i="1"/>
  <c r="L307" i="1"/>
  <c r="AJ306" i="1"/>
  <c r="AT306" i="1" s="1"/>
  <c r="N1913" i="1"/>
  <c r="Y1909" i="1"/>
  <c r="Z1909" i="1"/>
  <c r="N695" i="1"/>
  <c r="Y689" i="1"/>
  <c r="Z689" i="1"/>
  <c r="E395" i="1"/>
  <c r="AQ394" i="1"/>
  <c r="AR394" i="1" s="1"/>
  <c r="AS394" i="1" s="1"/>
  <c r="AC306" i="1" l="1"/>
  <c r="AF305" i="1"/>
  <c r="L308" i="1"/>
  <c r="AJ307" i="1"/>
  <c r="AT307" i="1" s="1"/>
  <c r="N696" i="1"/>
  <c r="Z695" i="1"/>
  <c r="Y695" i="1"/>
  <c r="N1914" i="1"/>
  <c r="Y1913" i="1"/>
  <c r="Z1913" i="1"/>
  <c r="E396" i="1"/>
  <c r="AQ395" i="1"/>
  <c r="AR395" i="1" s="1"/>
  <c r="AS395" i="1" s="1"/>
  <c r="AC307" i="1" l="1"/>
  <c r="AF306" i="1"/>
  <c r="L309" i="1"/>
  <c r="AJ308" i="1"/>
  <c r="AT308" i="1" s="1"/>
  <c r="N1917" i="1"/>
  <c r="Z1914" i="1"/>
  <c r="Y1914" i="1"/>
  <c r="N697" i="1"/>
  <c r="Z696" i="1"/>
  <c r="Y696" i="1"/>
  <c r="E397" i="1"/>
  <c r="AQ396" i="1"/>
  <c r="AR396" i="1" s="1"/>
  <c r="AS396" i="1" s="1"/>
  <c r="AC308" i="1" l="1"/>
  <c r="AF307" i="1"/>
  <c r="L310" i="1"/>
  <c r="AJ309" i="1"/>
  <c r="AT309" i="1" s="1"/>
  <c r="N698" i="1"/>
  <c r="Y697" i="1"/>
  <c r="Z697" i="1"/>
  <c r="N1918" i="1"/>
  <c r="Y1917" i="1"/>
  <c r="Z1917" i="1"/>
  <c r="E398" i="1"/>
  <c r="AQ397" i="1"/>
  <c r="AR397" i="1" s="1"/>
  <c r="AS397" i="1" s="1"/>
  <c r="AC309" i="1" l="1"/>
  <c r="AF308" i="1"/>
  <c r="L311" i="1"/>
  <c r="AJ310" i="1"/>
  <c r="AT310" i="1" s="1"/>
  <c r="N1920" i="1"/>
  <c r="Y1918" i="1"/>
  <c r="Z1918" i="1"/>
  <c r="N700" i="1"/>
  <c r="Y698" i="1"/>
  <c r="Z698" i="1"/>
  <c r="E399" i="1"/>
  <c r="AQ398" i="1"/>
  <c r="AR398" i="1" s="1"/>
  <c r="AS398" i="1" s="1"/>
  <c r="AC310" i="1" l="1"/>
  <c r="AF309" i="1"/>
  <c r="L312" i="1"/>
  <c r="AJ311" i="1"/>
  <c r="AT311" i="1" s="1"/>
  <c r="N702" i="1"/>
  <c r="Y700" i="1"/>
  <c r="Z700" i="1"/>
  <c r="N1921" i="1"/>
  <c r="Y1920" i="1"/>
  <c r="Z1920" i="1"/>
  <c r="E400" i="1"/>
  <c r="AQ399" i="1"/>
  <c r="AR399" i="1" s="1"/>
  <c r="AS399" i="1" s="1"/>
  <c r="AC311" i="1" l="1"/>
  <c r="AF310" i="1"/>
  <c r="L313" i="1"/>
  <c r="AJ312" i="1"/>
  <c r="AT312" i="1" s="1"/>
  <c r="N1925" i="1"/>
  <c r="Y1921" i="1"/>
  <c r="Z1921" i="1"/>
  <c r="N708" i="1"/>
  <c r="Y702" i="1"/>
  <c r="Z702" i="1"/>
  <c r="E401" i="1"/>
  <c r="AQ400" i="1"/>
  <c r="AR400" i="1" s="1"/>
  <c r="AS400" i="1" s="1"/>
  <c r="AC312" i="1" l="1"/>
  <c r="AF311" i="1"/>
  <c r="L314" i="1"/>
  <c r="AJ313" i="1"/>
  <c r="AT313" i="1" s="1"/>
  <c r="N710" i="1"/>
  <c r="Y708" i="1"/>
  <c r="Z708" i="1"/>
  <c r="N1931" i="1"/>
  <c r="Y1925" i="1"/>
  <c r="Z1925" i="1"/>
  <c r="E402" i="1"/>
  <c r="AQ401" i="1"/>
  <c r="AR401" i="1" s="1"/>
  <c r="AS401" i="1" s="1"/>
  <c r="AC313" i="1" l="1"/>
  <c r="AF312" i="1"/>
  <c r="L315" i="1"/>
  <c r="AJ314" i="1"/>
  <c r="AT314" i="1" s="1"/>
  <c r="N1933" i="1"/>
  <c r="Y1931" i="1"/>
  <c r="Z1931" i="1"/>
  <c r="N712" i="1"/>
  <c r="Y710" i="1"/>
  <c r="Z710" i="1"/>
  <c r="E403" i="1"/>
  <c r="AQ402" i="1"/>
  <c r="AR402" i="1" s="1"/>
  <c r="AS402" i="1" s="1"/>
  <c r="AC314" i="1" l="1"/>
  <c r="AF313" i="1"/>
  <c r="L316" i="1"/>
  <c r="AJ315" i="1"/>
  <c r="AT315" i="1" s="1"/>
  <c r="N713" i="1"/>
  <c r="Y712" i="1"/>
  <c r="Z712" i="1"/>
  <c r="N1935" i="1"/>
  <c r="Y1933" i="1"/>
  <c r="Z1933" i="1"/>
  <c r="E404" i="1"/>
  <c r="AQ403" i="1"/>
  <c r="AR403" i="1" s="1"/>
  <c r="AS403" i="1" s="1"/>
  <c r="AC315" i="1" l="1"/>
  <c r="AF314" i="1"/>
  <c r="L317" i="1"/>
  <c r="AJ316" i="1"/>
  <c r="AT316" i="1" s="1"/>
  <c r="N1939" i="1"/>
  <c r="Y1935" i="1"/>
  <c r="Z1935" i="1"/>
  <c r="N715" i="1"/>
  <c r="Y713" i="1"/>
  <c r="Z713" i="1"/>
  <c r="E405" i="1"/>
  <c r="AQ404" i="1"/>
  <c r="AR404" i="1" s="1"/>
  <c r="AS404" i="1" s="1"/>
  <c r="AC316" i="1" l="1"/>
  <c r="AF315" i="1"/>
  <c r="L318" i="1"/>
  <c r="AJ317" i="1"/>
  <c r="AT317" i="1" s="1"/>
  <c r="N717" i="1"/>
  <c r="Z715" i="1"/>
  <c r="Y715" i="1"/>
  <c r="N1940" i="1"/>
  <c r="Y1939" i="1"/>
  <c r="Z1939" i="1"/>
  <c r="E406" i="1"/>
  <c r="AQ405" i="1"/>
  <c r="AR405" i="1" s="1"/>
  <c r="AS405" i="1" s="1"/>
  <c r="AC317" i="1" l="1"/>
  <c r="AF316" i="1"/>
  <c r="L319" i="1"/>
  <c r="AJ318" i="1"/>
  <c r="AT318" i="1" s="1"/>
  <c r="N1942" i="1"/>
  <c r="Y1940" i="1"/>
  <c r="Z1940" i="1"/>
  <c r="N719" i="1"/>
  <c r="Y717" i="1"/>
  <c r="Z717" i="1"/>
  <c r="E407" i="1"/>
  <c r="AQ406" i="1"/>
  <c r="AR406" i="1" s="1"/>
  <c r="AS406" i="1" s="1"/>
  <c r="AC318" i="1" l="1"/>
  <c r="AF317" i="1"/>
  <c r="L320" i="1"/>
  <c r="AJ319" i="1"/>
  <c r="AT319" i="1" s="1"/>
  <c r="N720" i="1"/>
  <c r="Y719" i="1"/>
  <c r="Z719" i="1"/>
  <c r="N1943" i="1"/>
  <c r="Y1942" i="1"/>
  <c r="Z1942" i="1"/>
  <c r="E408" i="1"/>
  <c r="AQ407" i="1"/>
  <c r="AR407" i="1" s="1"/>
  <c r="AS407" i="1" s="1"/>
  <c r="AC319" i="1" l="1"/>
  <c r="AF318" i="1"/>
  <c r="L321" i="1"/>
  <c r="AJ320" i="1"/>
  <c r="AT320" i="1" s="1"/>
  <c r="N1946" i="1"/>
  <c r="Y1943" i="1"/>
  <c r="Z1943" i="1"/>
  <c r="N722" i="1"/>
  <c r="Y720" i="1"/>
  <c r="Z720" i="1"/>
  <c r="E409" i="1"/>
  <c r="AQ408" i="1"/>
  <c r="AR408" i="1" s="1"/>
  <c r="AS408" i="1" s="1"/>
  <c r="AC320" i="1" l="1"/>
  <c r="AF319" i="1"/>
  <c r="L322" i="1"/>
  <c r="AJ321" i="1"/>
  <c r="AT321" i="1" s="1"/>
  <c r="N723" i="1"/>
  <c r="Z722" i="1"/>
  <c r="Y722" i="1"/>
  <c r="N1947" i="1"/>
  <c r="Y1946" i="1"/>
  <c r="Z1946" i="1"/>
  <c r="E410" i="1"/>
  <c r="AQ409" i="1"/>
  <c r="AR409" i="1" s="1"/>
  <c r="AS409" i="1" s="1"/>
  <c r="AC321" i="1" l="1"/>
  <c r="AF320" i="1"/>
  <c r="L323" i="1"/>
  <c r="AJ322" i="1"/>
  <c r="AT322" i="1" s="1"/>
  <c r="N1948" i="1"/>
  <c r="Y1947" i="1"/>
  <c r="Z1947" i="1"/>
  <c r="N725" i="1"/>
  <c r="Z723" i="1"/>
  <c r="Y723" i="1"/>
  <c r="E411" i="1"/>
  <c r="AQ410" i="1"/>
  <c r="AR410" i="1" s="1"/>
  <c r="AS410" i="1" s="1"/>
  <c r="AC322" i="1" l="1"/>
  <c r="AF321" i="1"/>
  <c r="L324" i="1"/>
  <c r="AJ323" i="1"/>
  <c r="AT323" i="1" s="1"/>
  <c r="N727" i="1"/>
  <c r="Y725" i="1"/>
  <c r="Z725" i="1"/>
  <c r="N1950" i="1"/>
  <c r="Y1948" i="1"/>
  <c r="Z1948" i="1"/>
  <c r="E412" i="1"/>
  <c r="AQ411" i="1"/>
  <c r="AR411" i="1" s="1"/>
  <c r="AS411" i="1" s="1"/>
  <c r="AC323" i="1" l="1"/>
  <c r="AF322" i="1"/>
  <c r="L325" i="1"/>
  <c r="AJ324" i="1"/>
  <c r="AT324" i="1" s="1"/>
  <c r="N1952" i="1"/>
  <c r="Y1950" i="1"/>
  <c r="Z1950" i="1"/>
  <c r="N728" i="1"/>
  <c r="Y727" i="1"/>
  <c r="Z727" i="1"/>
  <c r="E413" i="1"/>
  <c r="AQ412" i="1"/>
  <c r="AR412" i="1" s="1"/>
  <c r="AS412" i="1" s="1"/>
  <c r="AC324" i="1" l="1"/>
  <c r="AF323" i="1"/>
  <c r="L326" i="1"/>
  <c r="AJ325" i="1"/>
  <c r="AT325" i="1" s="1"/>
  <c r="N730" i="1"/>
  <c r="Y728" i="1"/>
  <c r="Z728" i="1"/>
  <c r="N1953" i="1"/>
  <c r="Y1952" i="1"/>
  <c r="Z1952" i="1"/>
  <c r="E414" i="1"/>
  <c r="AQ413" i="1"/>
  <c r="AR413" i="1" s="1"/>
  <c r="AS413" i="1" s="1"/>
  <c r="AC325" i="1" l="1"/>
  <c r="AF324" i="1"/>
  <c r="L327" i="1"/>
  <c r="AJ326" i="1"/>
  <c r="AT326" i="1" s="1"/>
  <c r="N1955" i="1"/>
  <c r="Y1953" i="1"/>
  <c r="Z1953" i="1"/>
  <c r="N733" i="1"/>
  <c r="Y730" i="1"/>
  <c r="Z730" i="1"/>
  <c r="E415" i="1"/>
  <c r="AQ414" i="1"/>
  <c r="AR414" i="1" s="1"/>
  <c r="AS414" i="1" s="1"/>
  <c r="AC326" i="1" l="1"/>
  <c r="AF325" i="1"/>
  <c r="L328" i="1"/>
  <c r="AJ327" i="1"/>
  <c r="AT327" i="1" s="1"/>
  <c r="N736" i="1"/>
  <c r="Y733" i="1"/>
  <c r="Z733" i="1"/>
  <c r="N1956" i="1"/>
  <c r="Z1955" i="1"/>
  <c r="Y1955" i="1"/>
  <c r="E416" i="1"/>
  <c r="AQ415" i="1"/>
  <c r="AR415" i="1" s="1"/>
  <c r="AS415" i="1" s="1"/>
  <c r="AC327" i="1" l="1"/>
  <c r="AF326" i="1"/>
  <c r="L329" i="1"/>
  <c r="AJ328" i="1"/>
  <c r="AT328" i="1" s="1"/>
  <c r="N1959" i="1"/>
  <c r="Y1956" i="1"/>
  <c r="Z1956" i="1"/>
  <c r="N739" i="1"/>
  <c r="Y736" i="1"/>
  <c r="Z736" i="1"/>
  <c r="E417" i="1"/>
  <c r="AQ416" i="1"/>
  <c r="AR416" i="1" s="1"/>
  <c r="AS416" i="1" s="1"/>
  <c r="AC328" i="1" l="1"/>
  <c r="AF327" i="1"/>
  <c r="L330" i="1"/>
  <c r="AJ329" i="1"/>
  <c r="AT329" i="1" s="1"/>
  <c r="N741" i="1"/>
  <c r="Y739" i="1"/>
  <c r="Z739" i="1"/>
  <c r="N1960" i="1"/>
  <c r="Y1959" i="1"/>
  <c r="Z1959" i="1"/>
  <c r="E418" i="1"/>
  <c r="AQ417" i="1"/>
  <c r="AR417" i="1" s="1"/>
  <c r="AS417" i="1" s="1"/>
  <c r="AC329" i="1" l="1"/>
  <c r="AF328" i="1"/>
  <c r="L331" i="1"/>
  <c r="AJ330" i="1"/>
  <c r="AT330" i="1" s="1"/>
  <c r="N1962" i="1"/>
  <c r="Y1960" i="1"/>
  <c r="Z1960" i="1"/>
  <c r="N742" i="1"/>
  <c r="Y741" i="1"/>
  <c r="Z741" i="1"/>
  <c r="E419" i="1"/>
  <c r="AQ418" i="1"/>
  <c r="AR418" i="1" s="1"/>
  <c r="AS418" i="1" s="1"/>
  <c r="AC330" i="1" l="1"/>
  <c r="AF329" i="1"/>
  <c r="L332" i="1"/>
  <c r="AJ331" i="1"/>
  <c r="AT331" i="1" s="1"/>
  <c r="N744" i="1"/>
  <c r="Y742" i="1"/>
  <c r="Z742" i="1"/>
  <c r="N1963" i="1"/>
  <c r="Y1962" i="1"/>
  <c r="Z1962" i="1"/>
  <c r="E420" i="1"/>
  <c r="AQ419" i="1"/>
  <c r="AR419" i="1" s="1"/>
  <c r="AS419" i="1" s="1"/>
  <c r="AC331" i="1" l="1"/>
  <c r="AF330" i="1"/>
  <c r="L333" i="1"/>
  <c r="AJ332" i="1"/>
  <c r="AT332" i="1" s="1"/>
  <c r="N1965" i="1"/>
  <c r="Z1963" i="1"/>
  <c r="Y1963" i="1"/>
  <c r="N747" i="1"/>
  <c r="Y744" i="1"/>
  <c r="Z744" i="1"/>
  <c r="E421" i="1"/>
  <c r="AQ420" i="1"/>
  <c r="AR420" i="1" s="1"/>
  <c r="AS420" i="1" s="1"/>
  <c r="AC332" i="1" l="1"/>
  <c r="AF331" i="1"/>
  <c r="L334" i="1"/>
  <c r="AJ333" i="1"/>
  <c r="AT333" i="1" s="1"/>
  <c r="N751" i="1"/>
  <c r="Z747" i="1"/>
  <c r="Y747" i="1"/>
  <c r="N1966" i="1"/>
  <c r="Z1965" i="1"/>
  <c r="Y1965" i="1"/>
  <c r="E422" i="1"/>
  <c r="AQ421" i="1"/>
  <c r="AR421" i="1" s="1"/>
  <c r="AS421" i="1" s="1"/>
  <c r="AC333" i="1" l="1"/>
  <c r="AF332" i="1"/>
  <c r="L335" i="1"/>
  <c r="AJ334" i="1"/>
  <c r="AT334" i="1" s="1"/>
  <c r="N1970" i="1"/>
  <c r="Y1966" i="1"/>
  <c r="Z1966" i="1"/>
  <c r="N752" i="1"/>
  <c r="Y751" i="1"/>
  <c r="Z751" i="1"/>
  <c r="E423" i="1"/>
  <c r="AQ422" i="1"/>
  <c r="AR422" i="1" s="1"/>
  <c r="AS422" i="1" s="1"/>
  <c r="AC334" i="1" l="1"/>
  <c r="AF333" i="1"/>
  <c r="L336" i="1"/>
  <c r="AJ335" i="1"/>
  <c r="AT335" i="1" s="1"/>
  <c r="N754" i="1"/>
  <c r="Y752" i="1"/>
  <c r="Z752" i="1"/>
  <c r="N1971" i="1"/>
  <c r="Z1970" i="1"/>
  <c r="Y1970" i="1"/>
  <c r="E424" i="1"/>
  <c r="AQ423" i="1"/>
  <c r="AR423" i="1" s="1"/>
  <c r="AS423" i="1" s="1"/>
  <c r="AC335" i="1" l="1"/>
  <c r="AF334" i="1"/>
  <c r="L337" i="1"/>
  <c r="AJ336" i="1"/>
  <c r="AT336" i="1" s="1"/>
  <c r="N1973" i="1"/>
  <c r="Z1971" i="1"/>
  <c r="Y1971" i="1"/>
  <c r="N756" i="1"/>
  <c r="Y754" i="1"/>
  <c r="Z754" i="1"/>
  <c r="E425" i="1"/>
  <c r="AQ424" i="1"/>
  <c r="AR424" i="1" s="1"/>
  <c r="AS424" i="1" s="1"/>
  <c r="AC336" i="1" l="1"/>
  <c r="AF335" i="1"/>
  <c r="L338" i="1"/>
  <c r="AJ337" i="1"/>
  <c r="AT337" i="1" s="1"/>
  <c r="N758" i="1"/>
  <c r="Y756" i="1"/>
  <c r="Z756" i="1"/>
  <c r="N1975" i="1"/>
  <c r="Z1973" i="1"/>
  <c r="Y1973" i="1"/>
  <c r="E426" i="1"/>
  <c r="AQ425" i="1"/>
  <c r="AR425" i="1" s="1"/>
  <c r="AS425" i="1" s="1"/>
  <c r="AC337" i="1" l="1"/>
  <c r="AF336" i="1"/>
  <c r="L339" i="1"/>
  <c r="AJ338" i="1"/>
  <c r="AT338" i="1" s="1"/>
  <c r="N1978" i="1"/>
  <c r="Y1975" i="1"/>
  <c r="Z1975" i="1"/>
  <c r="N761" i="1"/>
  <c r="Y758" i="1"/>
  <c r="Z758" i="1"/>
  <c r="E427" i="1"/>
  <c r="AQ426" i="1"/>
  <c r="AR426" i="1" s="1"/>
  <c r="AS426" i="1" s="1"/>
  <c r="AC338" i="1" l="1"/>
  <c r="AF337" i="1"/>
  <c r="L340" i="1"/>
  <c r="AJ339" i="1"/>
  <c r="AT339" i="1" s="1"/>
  <c r="N762" i="1"/>
  <c r="Y761" i="1"/>
  <c r="Z761" i="1"/>
  <c r="N1980" i="1"/>
  <c r="Y1978" i="1"/>
  <c r="Z1978" i="1"/>
  <c r="E428" i="1"/>
  <c r="AQ427" i="1"/>
  <c r="AR427" i="1" s="1"/>
  <c r="AS427" i="1" s="1"/>
  <c r="AC339" i="1" l="1"/>
  <c r="AF338" i="1"/>
  <c r="L341" i="1"/>
  <c r="AJ340" i="1"/>
  <c r="AT340" i="1" s="1"/>
  <c r="N1981" i="1"/>
  <c r="Y1980" i="1"/>
  <c r="Z1980" i="1"/>
  <c r="N764" i="1"/>
  <c r="Y762" i="1"/>
  <c r="Z762" i="1"/>
  <c r="E429" i="1"/>
  <c r="AQ428" i="1"/>
  <c r="AR428" i="1" s="1"/>
  <c r="AS428" i="1" s="1"/>
  <c r="AC340" i="1" l="1"/>
  <c r="AF339" i="1"/>
  <c r="L342" i="1"/>
  <c r="AJ341" i="1"/>
  <c r="AT341" i="1" s="1"/>
  <c r="N765" i="1"/>
  <c r="Y764" i="1"/>
  <c r="Z764" i="1"/>
  <c r="N1982" i="1"/>
  <c r="Z1981" i="1"/>
  <c r="Y1981" i="1"/>
  <c r="E430" i="1"/>
  <c r="AQ429" i="1"/>
  <c r="AR429" i="1" s="1"/>
  <c r="AS429" i="1" s="1"/>
  <c r="AC341" i="1" l="1"/>
  <c r="AF340" i="1"/>
  <c r="L343" i="1"/>
  <c r="AJ342" i="1"/>
  <c r="AT342" i="1" s="1"/>
  <c r="N1984" i="1"/>
  <c r="Y1982" i="1"/>
  <c r="Z1982" i="1"/>
  <c r="N767" i="1"/>
  <c r="Y765" i="1"/>
  <c r="Z765" i="1"/>
  <c r="E431" i="1"/>
  <c r="AQ430" i="1"/>
  <c r="AR430" i="1" s="1"/>
  <c r="AS430" i="1" s="1"/>
  <c r="AC342" i="1" l="1"/>
  <c r="AF341" i="1"/>
  <c r="L344" i="1"/>
  <c r="AJ343" i="1"/>
  <c r="AT343" i="1" s="1"/>
  <c r="N768" i="1"/>
  <c r="Y767" i="1"/>
  <c r="Z767" i="1"/>
  <c r="N1986" i="1"/>
  <c r="Y1984" i="1"/>
  <c r="Z1984" i="1"/>
  <c r="E432" i="1"/>
  <c r="AQ431" i="1"/>
  <c r="AR431" i="1" s="1"/>
  <c r="AS431" i="1" s="1"/>
  <c r="AC343" i="1" l="1"/>
  <c r="AF342" i="1"/>
  <c r="L345" i="1"/>
  <c r="AJ344" i="1"/>
  <c r="AT344" i="1" s="1"/>
  <c r="N1990" i="1"/>
  <c r="Y1986" i="1"/>
  <c r="Z1986" i="1"/>
  <c r="N772" i="1"/>
  <c r="Y768" i="1"/>
  <c r="Z768" i="1"/>
  <c r="E433" i="1"/>
  <c r="AQ432" i="1"/>
  <c r="AR432" i="1" s="1"/>
  <c r="AS432" i="1" s="1"/>
  <c r="AC344" i="1" l="1"/>
  <c r="AF343" i="1"/>
  <c r="L346" i="1"/>
  <c r="AJ345" i="1"/>
  <c r="AT345" i="1" s="1"/>
  <c r="N774" i="1"/>
  <c r="Y772" i="1"/>
  <c r="Z772" i="1"/>
  <c r="N1992" i="1"/>
  <c r="Y1990" i="1"/>
  <c r="Z1990" i="1"/>
  <c r="E434" i="1"/>
  <c r="AQ433" i="1"/>
  <c r="AR433" i="1" s="1"/>
  <c r="AS433" i="1" s="1"/>
  <c r="AC345" i="1" l="1"/>
  <c r="AF344" i="1"/>
  <c r="L347" i="1"/>
  <c r="AJ346" i="1"/>
  <c r="AT346" i="1" s="1"/>
  <c r="N1994" i="1"/>
  <c r="Y1992" i="1"/>
  <c r="Z1992" i="1"/>
  <c r="N776" i="1"/>
  <c r="Y774" i="1"/>
  <c r="Z774" i="1"/>
  <c r="E435" i="1"/>
  <c r="AQ434" i="1"/>
  <c r="AR434" i="1" s="1"/>
  <c r="AS434" i="1" s="1"/>
  <c r="AC346" i="1" l="1"/>
  <c r="AF345" i="1"/>
  <c r="L348" i="1"/>
  <c r="AJ347" i="1"/>
  <c r="AT347" i="1" s="1"/>
  <c r="N781" i="1"/>
  <c r="Y776" i="1"/>
  <c r="Z776" i="1"/>
  <c r="N1996" i="1"/>
  <c r="Y1994" i="1"/>
  <c r="Z1994" i="1"/>
  <c r="E436" i="1"/>
  <c r="AQ435" i="1"/>
  <c r="AR435" i="1" s="1"/>
  <c r="AS435" i="1" s="1"/>
  <c r="AC347" i="1" l="1"/>
  <c r="AF346" i="1"/>
  <c r="L349" i="1"/>
  <c r="AJ348" i="1"/>
  <c r="AT348" i="1" s="1"/>
  <c r="N1998" i="1"/>
  <c r="Y1996" i="1"/>
  <c r="Z1996" i="1"/>
  <c r="N782" i="1"/>
  <c r="Y781" i="1"/>
  <c r="Z781" i="1"/>
  <c r="E437" i="1"/>
  <c r="AQ436" i="1"/>
  <c r="AR436" i="1" s="1"/>
  <c r="AS436" i="1" s="1"/>
  <c r="AC348" i="1" l="1"/>
  <c r="AF347" i="1"/>
  <c r="L350" i="1"/>
  <c r="AJ349" i="1"/>
  <c r="AT349" i="1" s="1"/>
  <c r="N783" i="1"/>
  <c r="Y782" i="1"/>
  <c r="Z782" i="1"/>
  <c r="N2000" i="1"/>
  <c r="Y1998" i="1"/>
  <c r="Z1998" i="1"/>
  <c r="E438" i="1"/>
  <c r="AQ437" i="1"/>
  <c r="AR437" i="1" s="1"/>
  <c r="AS437" i="1" s="1"/>
  <c r="AC349" i="1" l="1"/>
  <c r="AF348" i="1"/>
  <c r="L351" i="1"/>
  <c r="AJ350" i="1"/>
  <c r="AT350" i="1" s="1"/>
  <c r="N2002" i="1"/>
  <c r="Y2000" i="1"/>
  <c r="Z2000" i="1"/>
  <c r="N786" i="1"/>
  <c r="Y783" i="1"/>
  <c r="Z783" i="1"/>
  <c r="E439" i="1"/>
  <c r="AQ438" i="1"/>
  <c r="AR438" i="1" s="1"/>
  <c r="AS438" i="1" s="1"/>
  <c r="AC350" i="1" l="1"/>
  <c r="AF349" i="1"/>
  <c r="L352" i="1"/>
  <c r="AJ351" i="1"/>
  <c r="AT351" i="1" s="1"/>
  <c r="N789" i="1"/>
  <c r="Z786" i="1"/>
  <c r="Y786" i="1"/>
  <c r="N2007" i="1"/>
  <c r="Y2002" i="1"/>
  <c r="Z2002" i="1"/>
  <c r="E440" i="1"/>
  <c r="AQ439" i="1"/>
  <c r="AR439" i="1" s="1"/>
  <c r="AS439" i="1" s="1"/>
  <c r="AC351" i="1" l="1"/>
  <c r="AF350" i="1"/>
  <c r="L353" i="1"/>
  <c r="AJ352" i="1"/>
  <c r="AT352" i="1" s="1"/>
  <c r="N2009" i="1"/>
  <c r="Y2007" i="1"/>
  <c r="Z2007" i="1"/>
  <c r="N793" i="1"/>
  <c r="Y789" i="1"/>
  <c r="Z789" i="1"/>
  <c r="E441" i="1"/>
  <c r="AQ440" i="1"/>
  <c r="AR440" i="1" s="1"/>
  <c r="AS440" i="1" s="1"/>
  <c r="AC352" i="1" l="1"/>
  <c r="AF351" i="1"/>
  <c r="L354" i="1"/>
  <c r="AJ353" i="1"/>
  <c r="AT353" i="1" s="1"/>
  <c r="N794" i="1"/>
  <c r="Z793" i="1"/>
  <c r="Y793" i="1"/>
  <c r="N2012" i="1"/>
  <c r="Y2009" i="1"/>
  <c r="Z2009" i="1"/>
  <c r="E442" i="1"/>
  <c r="AQ441" i="1"/>
  <c r="AR441" i="1" s="1"/>
  <c r="AS441" i="1" s="1"/>
  <c r="AC353" i="1" l="1"/>
  <c r="AF352" i="1"/>
  <c r="L355" i="1"/>
  <c r="AJ354" i="1"/>
  <c r="AT354" i="1" s="1"/>
  <c r="N2013" i="1"/>
  <c r="Y2012" i="1"/>
  <c r="Z2012" i="1"/>
  <c r="N795" i="1"/>
  <c r="Y794" i="1"/>
  <c r="Z794" i="1"/>
  <c r="E443" i="1"/>
  <c r="AQ442" i="1"/>
  <c r="AR442" i="1" s="1"/>
  <c r="AS442" i="1" s="1"/>
  <c r="AC354" i="1" l="1"/>
  <c r="AF353" i="1"/>
  <c r="L356" i="1"/>
  <c r="AJ355" i="1"/>
  <c r="AT355" i="1" s="1"/>
  <c r="N796" i="1"/>
  <c r="Y795" i="1"/>
  <c r="Z795" i="1"/>
  <c r="N2018" i="1"/>
  <c r="Y2013" i="1"/>
  <c r="Z2013" i="1"/>
  <c r="E444" i="1"/>
  <c r="AQ443" i="1"/>
  <c r="AR443" i="1" s="1"/>
  <c r="AS443" i="1" s="1"/>
  <c r="AC355" i="1" l="1"/>
  <c r="AF354" i="1"/>
  <c r="L357" i="1"/>
  <c r="AJ356" i="1"/>
  <c r="AT356" i="1" s="1"/>
  <c r="N2022" i="1"/>
  <c r="Y2018" i="1"/>
  <c r="Z2018" i="1"/>
  <c r="N798" i="1"/>
  <c r="Y796" i="1"/>
  <c r="Z796" i="1"/>
  <c r="E445" i="1"/>
  <c r="AQ444" i="1"/>
  <c r="AR444" i="1" s="1"/>
  <c r="AS444" i="1" s="1"/>
  <c r="AC356" i="1" l="1"/>
  <c r="AF355" i="1"/>
  <c r="L358" i="1"/>
  <c r="AJ357" i="1"/>
  <c r="AT357" i="1" s="1"/>
  <c r="N802" i="1"/>
  <c r="Y798" i="1"/>
  <c r="Z798" i="1"/>
  <c r="N2023" i="1"/>
  <c r="Y2022" i="1"/>
  <c r="Z2022" i="1"/>
  <c r="E446" i="1"/>
  <c r="AQ445" i="1"/>
  <c r="AR445" i="1" s="1"/>
  <c r="AS445" i="1" s="1"/>
  <c r="AC357" i="1" l="1"/>
  <c r="AF356" i="1"/>
  <c r="L359" i="1"/>
  <c r="AJ358" i="1"/>
  <c r="AT358" i="1" s="1"/>
  <c r="N2024" i="1"/>
  <c r="Y2023" i="1"/>
  <c r="Z2023" i="1"/>
  <c r="N813" i="1"/>
  <c r="Y802" i="1"/>
  <c r="Z802" i="1"/>
  <c r="E447" i="1"/>
  <c r="AQ446" i="1"/>
  <c r="AR446" i="1" s="1"/>
  <c r="AS446" i="1" s="1"/>
  <c r="AC358" i="1" l="1"/>
  <c r="AF357" i="1"/>
  <c r="L360" i="1"/>
  <c r="AJ359" i="1"/>
  <c r="AT359" i="1" s="1"/>
  <c r="N820" i="1"/>
  <c r="Y813" i="1"/>
  <c r="Z813" i="1"/>
  <c r="N2026" i="1"/>
  <c r="Z2024" i="1"/>
  <c r="Y2024" i="1"/>
  <c r="E448" i="1"/>
  <c r="AQ447" i="1"/>
  <c r="AR447" i="1" s="1"/>
  <c r="AS447" i="1" s="1"/>
  <c r="AC359" i="1" l="1"/>
  <c r="AF358" i="1"/>
  <c r="L361" i="1"/>
  <c r="AJ360" i="1"/>
  <c r="AT360" i="1" s="1"/>
  <c r="N2027" i="1"/>
  <c r="Z2026" i="1"/>
  <c r="Y2026" i="1"/>
  <c r="N824" i="1"/>
  <c r="Y820" i="1"/>
  <c r="Z820" i="1"/>
  <c r="E449" i="1"/>
  <c r="AQ448" i="1"/>
  <c r="AR448" i="1" s="1"/>
  <c r="AS448" i="1" s="1"/>
  <c r="AC360" i="1" l="1"/>
  <c r="AF359" i="1"/>
  <c r="L362" i="1"/>
  <c r="AJ361" i="1"/>
  <c r="AT361" i="1" s="1"/>
  <c r="N826" i="1"/>
  <c r="Y824" i="1"/>
  <c r="Z824" i="1"/>
  <c r="N2031" i="1"/>
  <c r="Y2027" i="1"/>
  <c r="Z2027" i="1"/>
  <c r="E450" i="1"/>
  <c r="AQ449" i="1"/>
  <c r="AR449" i="1" s="1"/>
  <c r="AS449" i="1" s="1"/>
  <c r="AC361" i="1" l="1"/>
  <c r="AF360" i="1"/>
  <c r="L363" i="1"/>
  <c r="AJ362" i="1"/>
  <c r="AT362" i="1" s="1"/>
  <c r="N2035" i="1"/>
  <c r="Y2031" i="1"/>
  <c r="Z2031" i="1"/>
  <c r="N828" i="1"/>
  <c r="Y826" i="1"/>
  <c r="Z826" i="1"/>
  <c r="E451" i="1"/>
  <c r="AQ450" i="1"/>
  <c r="AR450" i="1" s="1"/>
  <c r="AS450" i="1" s="1"/>
  <c r="AC362" i="1" l="1"/>
  <c r="AF361" i="1"/>
  <c r="L364" i="1"/>
  <c r="AJ363" i="1"/>
  <c r="AT363" i="1" s="1"/>
  <c r="N829" i="1"/>
  <c r="Y828" i="1"/>
  <c r="Z828" i="1"/>
  <c r="N2036" i="1"/>
  <c r="Y2035" i="1"/>
  <c r="Z2035" i="1"/>
  <c r="E452" i="1"/>
  <c r="AQ451" i="1"/>
  <c r="AR451" i="1" s="1"/>
  <c r="AS451" i="1" s="1"/>
  <c r="AC363" i="1" l="1"/>
  <c r="AF362" i="1"/>
  <c r="L365" i="1"/>
  <c r="AJ364" i="1"/>
  <c r="AT364" i="1" s="1"/>
  <c r="N2038" i="1"/>
  <c r="Y2036" i="1"/>
  <c r="Z2036" i="1"/>
  <c r="N830" i="1"/>
  <c r="Y829" i="1"/>
  <c r="Z829" i="1"/>
  <c r="E453" i="1"/>
  <c r="AQ452" i="1"/>
  <c r="AR452" i="1" s="1"/>
  <c r="AS452" i="1" s="1"/>
  <c r="AC364" i="1" l="1"/>
  <c r="AF363" i="1"/>
  <c r="L366" i="1"/>
  <c r="AJ365" i="1"/>
  <c r="AT365" i="1" s="1"/>
  <c r="N832" i="1"/>
  <c r="Y830" i="1"/>
  <c r="Z830" i="1"/>
  <c r="N2040" i="1"/>
  <c r="Y2038" i="1"/>
  <c r="Z2038" i="1"/>
  <c r="E454" i="1"/>
  <c r="AQ453" i="1"/>
  <c r="AR453" i="1" s="1"/>
  <c r="AS453" i="1" s="1"/>
  <c r="AC365" i="1" l="1"/>
  <c r="AF364" i="1"/>
  <c r="L367" i="1"/>
  <c r="AJ366" i="1"/>
  <c r="AT366" i="1" s="1"/>
  <c r="N2042" i="1"/>
  <c r="Y2040" i="1"/>
  <c r="Z2040" i="1"/>
  <c r="N834" i="1"/>
  <c r="Y832" i="1"/>
  <c r="Z832" i="1"/>
  <c r="E455" i="1"/>
  <c r="AQ454" i="1"/>
  <c r="AR454" i="1" s="1"/>
  <c r="AS454" i="1" s="1"/>
  <c r="AC366" i="1" l="1"/>
  <c r="AF365" i="1"/>
  <c r="L368" i="1"/>
  <c r="AJ367" i="1"/>
  <c r="AT367" i="1" s="1"/>
  <c r="N837" i="1"/>
  <c r="Y834" i="1"/>
  <c r="Z834" i="1"/>
  <c r="N2046" i="1"/>
  <c r="Y2042" i="1"/>
  <c r="Z2042" i="1"/>
  <c r="E456" i="1"/>
  <c r="AQ455" i="1"/>
  <c r="AR455" i="1" s="1"/>
  <c r="AS455" i="1" s="1"/>
  <c r="AC367" i="1" l="1"/>
  <c r="AF366" i="1"/>
  <c r="L369" i="1"/>
  <c r="AJ368" i="1"/>
  <c r="AT368" i="1" s="1"/>
  <c r="N2048" i="1"/>
  <c r="Y2046" i="1"/>
  <c r="Z2046" i="1"/>
  <c r="N840" i="1"/>
  <c r="Y837" i="1"/>
  <c r="Z837" i="1"/>
  <c r="E457" i="1"/>
  <c r="AQ456" i="1"/>
  <c r="AR456" i="1" s="1"/>
  <c r="AS456" i="1" s="1"/>
  <c r="AC368" i="1" l="1"/>
  <c r="AF367" i="1"/>
  <c r="L370" i="1"/>
  <c r="AJ369" i="1"/>
  <c r="AT369" i="1" s="1"/>
  <c r="N846" i="1"/>
  <c r="Z840" i="1"/>
  <c r="Y840" i="1"/>
  <c r="N2050" i="1"/>
  <c r="Y2048" i="1"/>
  <c r="Z2048" i="1"/>
  <c r="E458" i="1"/>
  <c r="AQ457" i="1"/>
  <c r="AR457" i="1" s="1"/>
  <c r="AS457" i="1" s="1"/>
  <c r="AC369" i="1" l="1"/>
  <c r="AF368" i="1"/>
  <c r="L371" i="1"/>
  <c r="AJ370" i="1"/>
  <c r="AT370" i="1" s="1"/>
  <c r="N2053" i="1"/>
  <c r="Z2050" i="1"/>
  <c r="Y2050" i="1"/>
  <c r="N847" i="1"/>
  <c r="Y846" i="1"/>
  <c r="Z846" i="1"/>
  <c r="E459" i="1"/>
  <c r="AQ458" i="1"/>
  <c r="AR458" i="1" s="1"/>
  <c r="AS458" i="1" s="1"/>
  <c r="AC370" i="1" l="1"/>
  <c r="AF369" i="1"/>
  <c r="L372" i="1"/>
  <c r="AJ371" i="1"/>
  <c r="AT371" i="1" s="1"/>
  <c r="N849" i="1"/>
  <c r="Z847" i="1"/>
  <c r="Y847" i="1"/>
  <c r="N2055" i="1"/>
  <c r="Y2053" i="1"/>
  <c r="Z2053" i="1"/>
  <c r="E460" i="1"/>
  <c r="AQ459" i="1"/>
  <c r="AR459" i="1" s="1"/>
  <c r="AS459" i="1" s="1"/>
  <c r="AC371" i="1" l="1"/>
  <c r="AF370" i="1"/>
  <c r="L373" i="1"/>
  <c r="AJ372" i="1"/>
  <c r="AT372" i="1" s="1"/>
  <c r="N2060" i="1"/>
  <c r="Y2055" i="1"/>
  <c r="Z2055" i="1"/>
  <c r="N850" i="1"/>
  <c r="Y849" i="1"/>
  <c r="Z849" i="1"/>
  <c r="E461" i="1"/>
  <c r="AQ460" i="1"/>
  <c r="AR460" i="1" s="1"/>
  <c r="AS460" i="1" s="1"/>
  <c r="AC372" i="1" l="1"/>
  <c r="AF371" i="1"/>
  <c r="L374" i="1"/>
  <c r="AJ373" i="1"/>
  <c r="AT373" i="1" s="1"/>
  <c r="N852" i="1"/>
  <c r="Z850" i="1"/>
  <c r="Y850" i="1"/>
  <c r="N2061" i="1"/>
  <c r="Y2060" i="1"/>
  <c r="Z2060" i="1"/>
  <c r="E462" i="1"/>
  <c r="AQ461" i="1"/>
  <c r="AR461" i="1" s="1"/>
  <c r="AS461" i="1" s="1"/>
  <c r="AC373" i="1" l="1"/>
  <c r="AF372" i="1"/>
  <c r="L375" i="1"/>
  <c r="AJ374" i="1"/>
  <c r="AT374" i="1" s="1"/>
  <c r="N2063" i="1"/>
  <c r="Y2061" i="1"/>
  <c r="Z2061" i="1"/>
  <c r="N855" i="1"/>
  <c r="Y852" i="1"/>
  <c r="Z852" i="1"/>
  <c r="E463" i="1"/>
  <c r="AQ462" i="1"/>
  <c r="AR462" i="1" s="1"/>
  <c r="AS462" i="1" s="1"/>
  <c r="AC374" i="1" l="1"/>
  <c r="AF373" i="1"/>
  <c r="L376" i="1"/>
  <c r="AJ375" i="1"/>
  <c r="AT375" i="1" s="1"/>
  <c r="N856" i="1"/>
  <c r="Y855" i="1"/>
  <c r="Z855" i="1"/>
  <c r="N2065" i="1"/>
  <c r="Y2063" i="1"/>
  <c r="Z2063" i="1"/>
  <c r="E464" i="1"/>
  <c r="AQ463" i="1"/>
  <c r="AR463" i="1" s="1"/>
  <c r="AS463" i="1" s="1"/>
  <c r="AC375" i="1" l="1"/>
  <c r="AF374" i="1"/>
  <c r="L377" i="1"/>
  <c r="AJ376" i="1"/>
  <c r="AT376" i="1" s="1"/>
  <c r="N2068" i="1"/>
  <c r="Y2065" i="1"/>
  <c r="Z2065" i="1"/>
  <c r="N858" i="1"/>
  <c r="Z856" i="1"/>
  <c r="Y856" i="1"/>
  <c r="E465" i="1"/>
  <c r="AQ464" i="1"/>
  <c r="AR464" i="1" s="1"/>
  <c r="AS464" i="1" s="1"/>
  <c r="AC376" i="1" l="1"/>
  <c r="AF375" i="1"/>
  <c r="L378" i="1"/>
  <c r="AJ377" i="1"/>
  <c r="AT377" i="1" s="1"/>
  <c r="N862" i="1"/>
  <c r="Z858" i="1"/>
  <c r="Y858" i="1"/>
  <c r="N2071" i="1"/>
  <c r="Z2068" i="1"/>
  <c r="Y2068" i="1"/>
  <c r="E466" i="1"/>
  <c r="AQ465" i="1"/>
  <c r="AR465" i="1" s="1"/>
  <c r="AS465" i="1" s="1"/>
  <c r="AC377" i="1" l="1"/>
  <c r="AF376" i="1"/>
  <c r="L379" i="1"/>
  <c r="AJ378" i="1"/>
  <c r="AT378" i="1" s="1"/>
  <c r="N2072" i="1"/>
  <c r="Z2071" i="1"/>
  <c r="Y2071" i="1"/>
  <c r="N864" i="1"/>
  <c r="Y862" i="1"/>
  <c r="Z862" i="1"/>
  <c r="E467" i="1"/>
  <c r="AQ466" i="1"/>
  <c r="AR466" i="1" s="1"/>
  <c r="AS466" i="1" s="1"/>
  <c r="AC378" i="1" l="1"/>
  <c r="AF377" i="1"/>
  <c r="L380" i="1"/>
  <c r="AJ379" i="1"/>
  <c r="AT379" i="1" s="1"/>
  <c r="N865" i="1"/>
  <c r="Y864" i="1"/>
  <c r="Z864" i="1"/>
  <c r="N2073" i="1"/>
  <c r="Y2072" i="1"/>
  <c r="Z2072" i="1"/>
  <c r="E468" i="1"/>
  <c r="AQ467" i="1"/>
  <c r="AR467" i="1" s="1"/>
  <c r="AS467" i="1" s="1"/>
  <c r="AC379" i="1" l="1"/>
  <c r="AF378" i="1"/>
  <c r="L381" i="1"/>
  <c r="AJ380" i="1"/>
  <c r="AT380" i="1" s="1"/>
  <c r="N2075" i="1"/>
  <c r="Y2073" i="1"/>
  <c r="Z2073" i="1"/>
  <c r="N866" i="1"/>
  <c r="Y865" i="1"/>
  <c r="Z865" i="1"/>
  <c r="E469" i="1"/>
  <c r="AQ468" i="1"/>
  <c r="AR468" i="1" s="1"/>
  <c r="AS468" i="1" s="1"/>
  <c r="AC380" i="1" l="1"/>
  <c r="AF379" i="1"/>
  <c r="L382" i="1"/>
  <c r="AJ381" i="1"/>
  <c r="AT381" i="1" s="1"/>
  <c r="N868" i="1"/>
  <c r="Y866" i="1"/>
  <c r="Z866" i="1"/>
  <c r="N2077" i="1"/>
  <c r="Y2075" i="1"/>
  <c r="Z2075" i="1"/>
  <c r="E470" i="1"/>
  <c r="AQ469" i="1"/>
  <c r="AR469" i="1" s="1"/>
  <c r="AS469" i="1" s="1"/>
  <c r="AC381" i="1" l="1"/>
  <c r="AF380" i="1"/>
  <c r="L383" i="1"/>
  <c r="AJ382" i="1"/>
  <c r="AT382" i="1" s="1"/>
  <c r="N2078" i="1"/>
  <c r="Y2077" i="1"/>
  <c r="Z2077" i="1"/>
  <c r="N870" i="1"/>
  <c r="Y868" i="1"/>
  <c r="Z868" i="1"/>
  <c r="E471" i="1"/>
  <c r="AQ470" i="1"/>
  <c r="AR470" i="1" s="1"/>
  <c r="AS470" i="1" s="1"/>
  <c r="AC382" i="1" l="1"/>
  <c r="AF381" i="1"/>
  <c r="L384" i="1"/>
  <c r="AJ383" i="1"/>
  <c r="AT383" i="1" s="1"/>
  <c r="N871" i="1"/>
  <c r="Y870" i="1"/>
  <c r="Z870" i="1"/>
  <c r="N2080" i="1"/>
  <c r="Y2078" i="1"/>
  <c r="Z2078" i="1"/>
  <c r="E472" i="1"/>
  <c r="AQ471" i="1"/>
  <c r="AR471" i="1" s="1"/>
  <c r="AS471" i="1" s="1"/>
  <c r="AC383" i="1" l="1"/>
  <c r="AF382" i="1"/>
  <c r="L385" i="1"/>
  <c r="AJ384" i="1"/>
  <c r="AT384" i="1" s="1"/>
  <c r="N2081" i="1"/>
  <c r="Y2080" i="1"/>
  <c r="Z2080" i="1"/>
  <c r="N873" i="1"/>
  <c r="Y871" i="1"/>
  <c r="Z871" i="1"/>
  <c r="E473" i="1"/>
  <c r="AQ472" i="1"/>
  <c r="AR472" i="1" s="1"/>
  <c r="AS472" i="1" s="1"/>
  <c r="AC384" i="1" l="1"/>
  <c r="AF383" i="1"/>
  <c r="L386" i="1"/>
  <c r="AJ385" i="1"/>
  <c r="AT385" i="1" s="1"/>
  <c r="N877" i="1"/>
  <c r="Y873" i="1"/>
  <c r="Z873" i="1"/>
  <c r="N2083" i="1"/>
  <c r="Y2081" i="1"/>
  <c r="Z2081" i="1"/>
  <c r="E474" i="1"/>
  <c r="AQ473" i="1"/>
  <c r="AR473" i="1" s="1"/>
  <c r="AS473" i="1" s="1"/>
  <c r="AC385" i="1" l="1"/>
  <c r="AF384" i="1"/>
  <c r="L387" i="1"/>
  <c r="AJ386" i="1"/>
  <c r="AT386" i="1" s="1"/>
  <c r="N2084" i="1"/>
  <c r="Y2083" i="1"/>
  <c r="Z2083" i="1"/>
  <c r="N879" i="1"/>
  <c r="Y877" i="1"/>
  <c r="Z877" i="1"/>
  <c r="E475" i="1"/>
  <c r="AQ474" i="1"/>
  <c r="AR474" i="1" s="1"/>
  <c r="AS474" i="1" s="1"/>
  <c r="AC386" i="1" l="1"/>
  <c r="AF385" i="1"/>
  <c r="L388" i="1"/>
  <c r="AJ387" i="1"/>
  <c r="AT387" i="1" s="1"/>
  <c r="N881" i="1"/>
  <c r="Y879" i="1"/>
  <c r="Z879" i="1"/>
  <c r="N2085" i="1"/>
  <c r="Y2084" i="1"/>
  <c r="Z2084" i="1"/>
  <c r="E476" i="1"/>
  <c r="AQ475" i="1"/>
  <c r="AR475" i="1" s="1"/>
  <c r="AS475" i="1" s="1"/>
  <c r="AC387" i="1" l="1"/>
  <c r="AF386" i="1"/>
  <c r="L389" i="1"/>
  <c r="AJ388" i="1"/>
  <c r="AT388" i="1" s="1"/>
  <c r="N2087" i="1"/>
  <c r="Z2085" i="1"/>
  <c r="Y2085" i="1"/>
  <c r="N883" i="1"/>
  <c r="Y881" i="1"/>
  <c r="Z881" i="1"/>
  <c r="E477" i="1"/>
  <c r="AQ476" i="1"/>
  <c r="AR476" i="1" s="1"/>
  <c r="AS476" i="1" s="1"/>
  <c r="AC388" i="1" l="1"/>
  <c r="AF387" i="1"/>
  <c r="L390" i="1"/>
  <c r="AJ389" i="1"/>
  <c r="AT389" i="1" s="1"/>
  <c r="N885" i="1"/>
  <c r="Y883" i="1"/>
  <c r="Z883" i="1"/>
  <c r="N2088" i="1"/>
  <c r="Y2087" i="1"/>
  <c r="Z2087" i="1"/>
  <c r="E478" i="1"/>
  <c r="AQ477" i="1"/>
  <c r="AR477" i="1" s="1"/>
  <c r="AS477" i="1" s="1"/>
  <c r="AC389" i="1" l="1"/>
  <c r="AF388" i="1"/>
  <c r="L391" i="1"/>
  <c r="AJ390" i="1"/>
  <c r="AT390" i="1" s="1"/>
  <c r="N2089" i="1"/>
  <c r="Y2088" i="1"/>
  <c r="Z2088" i="1"/>
  <c r="N887" i="1"/>
  <c r="Y885" i="1"/>
  <c r="Z885" i="1"/>
  <c r="E479" i="1"/>
  <c r="AQ478" i="1"/>
  <c r="AR478" i="1" s="1"/>
  <c r="AS478" i="1" s="1"/>
  <c r="AC390" i="1" l="1"/>
  <c r="AF389" i="1"/>
  <c r="L392" i="1"/>
  <c r="AJ391" i="1"/>
  <c r="AT391" i="1" s="1"/>
  <c r="N890" i="1"/>
  <c r="Y887" i="1"/>
  <c r="Z887" i="1"/>
  <c r="N2094" i="1"/>
  <c r="Y2089" i="1"/>
  <c r="Z2089" i="1"/>
  <c r="E480" i="1"/>
  <c r="AQ479" i="1"/>
  <c r="AR479" i="1" s="1"/>
  <c r="AS479" i="1" s="1"/>
  <c r="AC391" i="1" l="1"/>
  <c r="AF390" i="1"/>
  <c r="L393" i="1"/>
  <c r="AJ392" i="1"/>
  <c r="AT392" i="1" s="1"/>
  <c r="N2095" i="1"/>
  <c r="Y2094" i="1"/>
  <c r="Z2094" i="1"/>
  <c r="N892" i="1"/>
  <c r="Y890" i="1"/>
  <c r="Z890" i="1"/>
  <c r="E481" i="1"/>
  <c r="AQ480" i="1"/>
  <c r="AR480" i="1" s="1"/>
  <c r="AS480" i="1" s="1"/>
  <c r="AC392" i="1" l="1"/>
  <c r="AF391" i="1"/>
  <c r="L394" i="1"/>
  <c r="AJ393" i="1"/>
  <c r="AT393" i="1" s="1"/>
  <c r="N897" i="1"/>
  <c r="Y892" i="1"/>
  <c r="Z892" i="1"/>
  <c r="N2096" i="1"/>
  <c r="Y2095" i="1"/>
  <c r="Z2095" i="1"/>
  <c r="E482" i="1"/>
  <c r="AQ481" i="1"/>
  <c r="AR481" i="1" s="1"/>
  <c r="AS481" i="1" s="1"/>
  <c r="AC393" i="1" l="1"/>
  <c r="AF392" i="1"/>
  <c r="L395" i="1"/>
  <c r="AJ394" i="1"/>
  <c r="AT394" i="1" s="1"/>
  <c r="N2098" i="1"/>
  <c r="Y2096" i="1"/>
  <c r="Z2096" i="1"/>
  <c r="N901" i="1"/>
  <c r="Y897" i="1"/>
  <c r="Z897" i="1"/>
  <c r="E483" i="1"/>
  <c r="AQ482" i="1"/>
  <c r="AR482" i="1" s="1"/>
  <c r="AS482" i="1" s="1"/>
  <c r="AC394" i="1" l="1"/>
  <c r="AF393" i="1"/>
  <c r="L396" i="1"/>
  <c r="AJ395" i="1"/>
  <c r="AT395" i="1" s="1"/>
  <c r="N904" i="1"/>
  <c r="Y901" i="1"/>
  <c r="Z901" i="1"/>
  <c r="N2100" i="1"/>
  <c r="Y2098" i="1"/>
  <c r="Z2098" i="1"/>
  <c r="E484" i="1"/>
  <c r="AQ483" i="1"/>
  <c r="AR483" i="1" s="1"/>
  <c r="AS483" i="1" s="1"/>
  <c r="AC395" i="1" l="1"/>
  <c r="AF394" i="1"/>
  <c r="L397" i="1"/>
  <c r="AJ396" i="1"/>
  <c r="AT396" i="1" s="1"/>
  <c r="N2103" i="1"/>
  <c r="Y2100" i="1"/>
  <c r="Z2100" i="1"/>
  <c r="N906" i="1"/>
  <c r="Y904" i="1"/>
  <c r="Z904" i="1"/>
  <c r="E485" i="1"/>
  <c r="AQ484" i="1"/>
  <c r="AR484" i="1" s="1"/>
  <c r="AS484" i="1" s="1"/>
  <c r="AC396" i="1" l="1"/>
  <c r="AF395" i="1"/>
  <c r="L398" i="1"/>
  <c r="AJ397" i="1"/>
  <c r="AT397" i="1" s="1"/>
  <c r="N908" i="1"/>
  <c r="Y906" i="1"/>
  <c r="Z906" i="1"/>
  <c r="N2104" i="1"/>
  <c r="Y2103" i="1"/>
  <c r="Z2103" i="1"/>
  <c r="E486" i="1"/>
  <c r="AQ485" i="1"/>
  <c r="AR485" i="1" s="1"/>
  <c r="AS485" i="1" s="1"/>
  <c r="AC397" i="1" l="1"/>
  <c r="AF396" i="1"/>
  <c r="L399" i="1"/>
  <c r="AJ398" i="1"/>
  <c r="AT398" i="1" s="1"/>
  <c r="N2108" i="1"/>
  <c r="Y2104" i="1"/>
  <c r="Z2104" i="1"/>
  <c r="N910" i="1"/>
  <c r="Y908" i="1"/>
  <c r="Z908" i="1"/>
  <c r="E487" i="1"/>
  <c r="AQ486" i="1"/>
  <c r="AR486" i="1" s="1"/>
  <c r="AS486" i="1" s="1"/>
  <c r="AC398" i="1" l="1"/>
  <c r="AF397" i="1"/>
  <c r="L400" i="1"/>
  <c r="AJ399" i="1"/>
  <c r="AT399" i="1" s="1"/>
  <c r="N915" i="1"/>
  <c r="Y910" i="1"/>
  <c r="Z910" i="1"/>
  <c r="N2111" i="1"/>
  <c r="Y2108" i="1"/>
  <c r="Z2108" i="1"/>
  <c r="E488" i="1"/>
  <c r="AQ487" i="1"/>
  <c r="AR487" i="1" s="1"/>
  <c r="AS487" i="1" s="1"/>
  <c r="AC399" i="1" l="1"/>
  <c r="AF398" i="1"/>
  <c r="L401" i="1"/>
  <c r="AJ400" i="1"/>
  <c r="AT400" i="1" s="1"/>
  <c r="N2115" i="1"/>
  <c r="Y2111" i="1"/>
  <c r="Z2111" i="1"/>
  <c r="N917" i="1"/>
  <c r="Y915" i="1"/>
  <c r="Z915" i="1"/>
  <c r="E489" i="1"/>
  <c r="AQ488" i="1"/>
  <c r="AR488" i="1" s="1"/>
  <c r="AS488" i="1" s="1"/>
  <c r="AC400" i="1" l="1"/>
  <c r="AF399" i="1"/>
  <c r="L402" i="1"/>
  <c r="AJ401" i="1"/>
  <c r="AT401" i="1" s="1"/>
  <c r="N918" i="1"/>
  <c r="Y917" i="1"/>
  <c r="Z917" i="1"/>
  <c r="N2117" i="1"/>
  <c r="Y2115" i="1"/>
  <c r="Z2115" i="1"/>
  <c r="E490" i="1"/>
  <c r="AQ489" i="1"/>
  <c r="AR489" i="1" s="1"/>
  <c r="AS489" i="1" s="1"/>
  <c r="AC401" i="1" l="1"/>
  <c r="AF400" i="1"/>
  <c r="L403" i="1"/>
  <c r="AJ402" i="1"/>
  <c r="AT402" i="1" s="1"/>
  <c r="N2121" i="1"/>
  <c r="Y2117" i="1"/>
  <c r="Z2117" i="1"/>
  <c r="N919" i="1"/>
  <c r="Y918" i="1"/>
  <c r="Z918" i="1"/>
  <c r="E491" i="1"/>
  <c r="AQ490" i="1"/>
  <c r="AR490" i="1" s="1"/>
  <c r="AS490" i="1" s="1"/>
  <c r="AC402" i="1" l="1"/>
  <c r="AF401" i="1"/>
  <c r="L404" i="1"/>
  <c r="AJ403" i="1"/>
  <c r="AT403" i="1" s="1"/>
  <c r="N921" i="1"/>
  <c r="Z919" i="1"/>
  <c r="Y919" i="1"/>
  <c r="N2125" i="1"/>
  <c r="Y2121" i="1"/>
  <c r="Z2121" i="1"/>
  <c r="E492" i="1"/>
  <c r="AQ491" i="1"/>
  <c r="AR491" i="1" s="1"/>
  <c r="AS491" i="1" s="1"/>
  <c r="AC403" i="1" l="1"/>
  <c r="AF402" i="1"/>
  <c r="L405" i="1"/>
  <c r="AJ404" i="1"/>
  <c r="AT404" i="1" s="1"/>
  <c r="N2127" i="1"/>
  <c r="Y2125" i="1"/>
  <c r="Z2125" i="1"/>
  <c r="N924" i="1"/>
  <c r="Z921" i="1"/>
  <c r="Y921" i="1"/>
  <c r="E493" i="1"/>
  <c r="AQ492" i="1"/>
  <c r="AR492" i="1" s="1"/>
  <c r="AS492" i="1" s="1"/>
  <c r="AC404" i="1" l="1"/>
  <c r="AF403" i="1"/>
  <c r="L406" i="1"/>
  <c r="AJ405" i="1"/>
  <c r="AT405" i="1" s="1"/>
  <c r="N925" i="1"/>
  <c r="Y924" i="1"/>
  <c r="Z924" i="1"/>
  <c r="N2129" i="1"/>
  <c r="Y2127" i="1"/>
  <c r="Z2127" i="1"/>
  <c r="E494" i="1"/>
  <c r="AQ493" i="1"/>
  <c r="AR493" i="1" s="1"/>
  <c r="AS493" i="1" s="1"/>
  <c r="AC405" i="1" l="1"/>
  <c r="AF404" i="1"/>
  <c r="L407" i="1"/>
  <c r="AJ406" i="1"/>
  <c r="AT406" i="1" s="1"/>
  <c r="N2133" i="1"/>
  <c r="Y2129" i="1"/>
  <c r="Z2129" i="1"/>
  <c r="N926" i="1"/>
  <c r="Y925" i="1"/>
  <c r="Z925" i="1"/>
  <c r="E495" i="1"/>
  <c r="AQ494" i="1"/>
  <c r="AR494" i="1" s="1"/>
  <c r="AS494" i="1" s="1"/>
  <c r="AC406" i="1" l="1"/>
  <c r="AF405" i="1"/>
  <c r="L408" i="1"/>
  <c r="AJ407" i="1"/>
  <c r="AT407" i="1" s="1"/>
  <c r="N928" i="1"/>
  <c r="Y926" i="1"/>
  <c r="Z926" i="1"/>
  <c r="N2134" i="1"/>
  <c r="Y2133" i="1"/>
  <c r="Z2133" i="1"/>
  <c r="E496" i="1"/>
  <c r="AQ495" i="1"/>
  <c r="AR495" i="1" s="1"/>
  <c r="AS495" i="1" s="1"/>
  <c r="AC407" i="1" l="1"/>
  <c r="AF406" i="1"/>
  <c r="L409" i="1"/>
  <c r="AJ408" i="1"/>
  <c r="AT408" i="1" s="1"/>
  <c r="N2135" i="1"/>
  <c r="Y2134" i="1"/>
  <c r="Z2134" i="1"/>
  <c r="N929" i="1"/>
  <c r="Y928" i="1"/>
  <c r="Z928" i="1"/>
  <c r="E497" i="1"/>
  <c r="AQ496" i="1"/>
  <c r="AR496" i="1" s="1"/>
  <c r="AS496" i="1" s="1"/>
  <c r="AC408" i="1" l="1"/>
  <c r="AF407" i="1"/>
  <c r="L410" i="1"/>
  <c r="AJ409" i="1"/>
  <c r="AT409" i="1" s="1"/>
  <c r="N930" i="1"/>
  <c r="Z929" i="1"/>
  <c r="Y929" i="1"/>
  <c r="N2137" i="1"/>
  <c r="Y2135" i="1"/>
  <c r="Z2135" i="1"/>
  <c r="E498" i="1"/>
  <c r="AQ497" i="1"/>
  <c r="AR497" i="1" s="1"/>
  <c r="AS497" i="1" s="1"/>
  <c r="AC409" i="1" l="1"/>
  <c r="AF408" i="1"/>
  <c r="L411" i="1"/>
  <c r="AJ410" i="1"/>
  <c r="AT410" i="1" s="1"/>
  <c r="N2143" i="1"/>
  <c r="Z2137" i="1"/>
  <c r="Y2137" i="1"/>
  <c r="N934" i="1"/>
  <c r="Y930" i="1"/>
  <c r="Z930" i="1"/>
  <c r="E499" i="1"/>
  <c r="AQ498" i="1"/>
  <c r="AR498" i="1" s="1"/>
  <c r="AS498" i="1" s="1"/>
  <c r="AC410" i="1" l="1"/>
  <c r="AF409" i="1"/>
  <c r="L412" i="1"/>
  <c r="AJ411" i="1"/>
  <c r="AT411" i="1" s="1"/>
  <c r="N937" i="1"/>
  <c r="Y934" i="1"/>
  <c r="Z934" i="1"/>
  <c r="N2145" i="1"/>
  <c r="Y2143" i="1"/>
  <c r="Z2143" i="1"/>
  <c r="E500" i="1"/>
  <c r="AQ499" i="1"/>
  <c r="AR499" i="1" s="1"/>
  <c r="AS499" i="1" s="1"/>
  <c r="AC411" i="1" l="1"/>
  <c r="AF410" i="1"/>
  <c r="L413" i="1"/>
  <c r="AJ412" i="1"/>
  <c r="AT412" i="1" s="1"/>
  <c r="N2152" i="1"/>
  <c r="Z2145" i="1"/>
  <c r="Y2145" i="1"/>
  <c r="N941" i="1"/>
  <c r="Y937" i="1"/>
  <c r="Z937" i="1"/>
  <c r="E501" i="1"/>
  <c r="AQ500" i="1"/>
  <c r="AR500" i="1" s="1"/>
  <c r="AS500" i="1" s="1"/>
  <c r="AC412" i="1" l="1"/>
  <c r="AF411" i="1"/>
  <c r="L414" i="1"/>
  <c r="AJ413" i="1"/>
  <c r="AT413" i="1" s="1"/>
  <c r="N942" i="1"/>
  <c r="Y941" i="1"/>
  <c r="Z941" i="1"/>
  <c r="N2155" i="1"/>
  <c r="Y2152" i="1"/>
  <c r="Z2152" i="1"/>
  <c r="E502" i="1"/>
  <c r="AQ501" i="1"/>
  <c r="AR501" i="1" s="1"/>
  <c r="AS501" i="1" s="1"/>
  <c r="AC413" i="1" l="1"/>
  <c r="AF412" i="1"/>
  <c r="L415" i="1"/>
  <c r="AJ414" i="1"/>
  <c r="AT414" i="1" s="1"/>
  <c r="N2158" i="1"/>
  <c r="Z2155" i="1"/>
  <c r="Y2155" i="1"/>
  <c r="N943" i="1"/>
  <c r="Y942" i="1"/>
  <c r="Z942" i="1"/>
  <c r="E503" i="1"/>
  <c r="AQ502" i="1"/>
  <c r="AR502" i="1" s="1"/>
  <c r="AS502" i="1" s="1"/>
  <c r="AC414" i="1" l="1"/>
  <c r="AF413" i="1"/>
  <c r="L416" i="1"/>
  <c r="AJ415" i="1"/>
  <c r="AT415" i="1" s="1"/>
  <c r="N944" i="1"/>
  <c r="Y943" i="1"/>
  <c r="Z943" i="1"/>
  <c r="N2159" i="1"/>
  <c r="Y2158" i="1"/>
  <c r="Z2158" i="1"/>
  <c r="E504" i="1"/>
  <c r="AQ503" i="1"/>
  <c r="AR503" i="1" s="1"/>
  <c r="AS503" i="1" s="1"/>
  <c r="AC415" i="1" l="1"/>
  <c r="AF414" i="1"/>
  <c r="L417" i="1"/>
  <c r="AJ416" i="1"/>
  <c r="AT416" i="1" s="1"/>
  <c r="N2161" i="1"/>
  <c r="Y2159" i="1"/>
  <c r="Z2159" i="1"/>
  <c r="N946" i="1"/>
  <c r="Y944" i="1"/>
  <c r="Z944" i="1"/>
  <c r="E505" i="1"/>
  <c r="AQ504" i="1"/>
  <c r="AR504" i="1" s="1"/>
  <c r="AS504" i="1" s="1"/>
  <c r="AC416" i="1" l="1"/>
  <c r="AF415" i="1"/>
  <c r="L418" i="1"/>
  <c r="AJ417" i="1"/>
  <c r="AT417" i="1" s="1"/>
  <c r="N948" i="1"/>
  <c r="Z946" i="1"/>
  <c r="Y946" i="1"/>
  <c r="N2163" i="1"/>
  <c r="Y2161" i="1"/>
  <c r="Z2161" i="1"/>
  <c r="E506" i="1"/>
  <c r="AQ505" i="1"/>
  <c r="AR505" i="1" s="1"/>
  <c r="AS505" i="1" s="1"/>
  <c r="AC417" i="1" l="1"/>
  <c r="AF416" i="1"/>
  <c r="L419" i="1"/>
  <c r="AJ418" i="1"/>
  <c r="AT418" i="1" s="1"/>
  <c r="N2164" i="1"/>
  <c r="Y2163" i="1"/>
  <c r="Z2163" i="1"/>
  <c r="N950" i="1"/>
  <c r="Y948" i="1"/>
  <c r="Z948" i="1"/>
  <c r="E507" i="1"/>
  <c r="AQ506" i="1"/>
  <c r="AR506" i="1" s="1"/>
  <c r="AS506" i="1" s="1"/>
  <c r="AC418" i="1" l="1"/>
  <c r="AF417" i="1"/>
  <c r="L420" i="1"/>
  <c r="AJ419" i="1"/>
  <c r="AT419" i="1" s="1"/>
  <c r="N952" i="1"/>
  <c r="Y950" i="1"/>
  <c r="Z950" i="1"/>
  <c r="N2166" i="1"/>
  <c r="Y2164" i="1"/>
  <c r="Z2164" i="1"/>
  <c r="E508" i="1"/>
  <c r="AQ507" i="1"/>
  <c r="AR507" i="1" s="1"/>
  <c r="AS507" i="1" s="1"/>
  <c r="AC419" i="1" l="1"/>
  <c r="AF418" i="1"/>
  <c r="L421" i="1"/>
  <c r="AJ420" i="1"/>
  <c r="AT420" i="1" s="1"/>
  <c r="N2167" i="1"/>
  <c r="Y2166" i="1"/>
  <c r="Z2166" i="1"/>
  <c r="N954" i="1"/>
  <c r="Y952" i="1"/>
  <c r="Z952" i="1"/>
  <c r="E509" i="1"/>
  <c r="AQ508" i="1"/>
  <c r="AR508" i="1" s="1"/>
  <c r="AS508" i="1" s="1"/>
  <c r="AC420" i="1" l="1"/>
  <c r="AF419" i="1"/>
  <c r="L422" i="1"/>
  <c r="AJ421" i="1"/>
  <c r="AT421" i="1" s="1"/>
  <c r="N958" i="1"/>
  <c r="Y954" i="1"/>
  <c r="Z954" i="1"/>
  <c r="N2171" i="1"/>
  <c r="Y2167" i="1"/>
  <c r="Z2167" i="1"/>
  <c r="E510" i="1"/>
  <c r="AQ509" i="1"/>
  <c r="AR509" i="1" s="1"/>
  <c r="AS509" i="1" s="1"/>
  <c r="AC421" i="1" l="1"/>
  <c r="AF420" i="1"/>
  <c r="L423" i="1"/>
  <c r="AJ422" i="1"/>
  <c r="AT422" i="1" s="1"/>
  <c r="N2172" i="1"/>
  <c r="Y2171" i="1"/>
  <c r="Z2171" i="1"/>
  <c r="N960" i="1"/>
  <c r="Y958" i="1"/>
  <c r="Z958" i="1"/>
  <c r="E511" i="1"/>
  <c r="AQ510" i="1"/>
  <c r="AR510" i="1" s="1"/>
  <c r="AS510" i="1" s="1"/>
  <c r="AC422" i="1" l="1"/>
  <c r="AF421" i="1"/>
  <c r="L424" i="1"/>
  <c r="AJ423" i="1"/>
  <c r="AT423" i="1" s="1"/>
  <c r="N962" i="1"/>
  <c r="Y960" i="1"/>
  <c r="Z960" i="1"/>
  <c r="N2174" i="1"/>
  <c r="Z2172" i="1"/>
  <c r="Y2172" i="1"/>
  <c r="E512" i="1"/>
  <c r="AQ511" i="1"/>
  <c r="AR511" i="1" s="1"/>
  <c r="AS511" i="1" s="1"/>
  <c r="AC423" i="1" l="1"/>
  <c r="AF422" i="1"/>
  <c r="L425" i="1"/>
  <c r="AJ424" i="1"/>
  <c r="AT424" i="1" s="1"/>
  <c r="N2175" i="1"/>
  <c r="Y2174" i="1"/>
  <c r="Z2174" i="1"/>
  <c r="N963" i="1"/>
  <c r="Y962" i="1"/>
  <c r="Z962" i="1"/>
  <c r="E513" i="1"/>
  <c r="AQ512" i="1"/>
  <c r="AR512" i="1" s="1"/>
  <c r="AS512" i="1" s="1"/>
  <c r="AC424" i="1" l="1"/>
  <c r="AF423" i="1"/>
  <c r="L426" i="1"/>
  <c r="AJ425" i="1"/>
  <c r="AT425" i="1" s="1"/>
  <c r="N965" i="1"/>
  <c r="Y963" i="1"/>
  <c r="Z963" i="1"/>
  <c r="N2177" i="1"/>
  <c r="Y2175" i="1"/>
  <c r="Z2175" i="1"/>
  <c r="E514" i="1"/>
  <c r="AQ513" i="1"/>
  <c r="AR513" i="1" s="1"/>
  <c r="AS513" i="1" s="1"/>
  <c r="AC425" i="1" l="1"/>
  <c r="AF424" i="1"/>
  <c r="L427" i="1"/>
  <c r="AJ426" i="1"/>
  <c r="AT426" i="1" s="1"/>
  <c r="N2178" i="1"/>
  <c r="Y2177" i="1"/>
  <c r="Z2177" i="1"/>
  <c r="N967" i="1"/>
  <c r="Y965" i="1"/>
  <c r="Z965" i="1"/>
  <c r="E515" i="1"/>
  <c r="AQ514" i="1"/>
  <c r="AR514" i="1" s="1"/>
  <c r="AS514" i="1" s="1"/>
  <c r="AC426" i="1" l="1"/>
  <c r="AF425" i="1"/>
  <c r="L428" i="1"/>
  <c r="AJ427" i="1"/>
  <c r="AT427" i="1" s="1"/>
  <c r="N970" i="1"/>
  <c r="Y967" i="1"/>
  <c r="Z967" i="1"/>
  <c r="N2181" i="1"/>
  <c r="Y2178" i="1"/>
  <c r="Z2178" i="1"/>
  <c r="E516" i="1"/>
  <c r="AQ515" i="1"/>
  <c r="AR515" i="1" s="1"/>
  <c r="AS515" i="1" s="1"/>
  <c r="AC427" i="1" l="1"/>
  <c r="AF426" i="1"/>
  <c r="L429" i="1"/>
  <c r="AJ428" i="1"/>
  <c r="AT428" i="1" s="1"/>
  <c r="N2183" i="1"/>
  <c r="Y2181" i="1"/>
  <c r="Z2181" i="1"/>
  <c r="N974" i="1"/>
  <c r="Y970" i="1"/>
  <c r="Z970" i="1"/>
  <c r="E517" i="1"/>
  <c r="AQ516" i="1"/>
  <c r="AR516" i="1" s="1"/>
  <c r="AS516" i="1" s="1"/>
  <c r="AC428" i="1" l="1"/>
  <c r="AF427" i="1"/>
  <c r="L430" i="1"/>
  <c r="AJ429" i="1"/>
  <c r="AT429" i="1" s="1"/>
  <c r="N975" i="1"/>
  <c r="Y974" i="1"/>
  <c r="Z974" i="1"/>
  <c r="N2194" i="1"/>
  <c r="Y2183" i="1"/>
  <c r="Z2183" i="1"/>
  <c r="E518" i="1"/>
  <c r="AQ517" i="1"/>
  <c r="AR517" i="1" s="1"/>
  <c r="AS517" i="1" s="1"/>
  <c r="AC429" i="1" l="1"/>
  <c r="AF428" i="1"/>
  <c r="L431" i="1"/>
  <c r="AJ430" i="1"/>
  <c r="AT430" i="1" s="1"/>
  <c r="N2196" i="1"/>
  <c r="Y2194" i="1"/>
  <c r="Z2194" i="1"/>
  <c r="N977" i="1"/>
  <c r="Y975" i="1"/>
  <c r="Z975" i="1"/>
  <c r="E519" i="1"/>
  <c r="AQ518" i="1"/>
  <c r="AR518" i="1" s="1"/>
  <c r="AS518" i="1" s="1"/>
  <c r="AC430" i="1" l="1"/>
  <c r="AF429" i="1"/>
  <c r="L432" i="1"/>
  <c r="AJ431" i="1"/>
  <c r="AT431" i="1" s="1"/>
  <c r="N980" i="1"/>
  <c r="Y977" i="1"/>
  <c r="Z977" i="1"/>
  <c r="N2198" i="1"/>
  <c r="Y2196" i="1"/>
  <c r="Z2196" i="1"/>
  <c r="E520" i="1"/>
  <c r="AQ519" i="1"/>
  <c r="AR519" i="1" s="1"/>
  <c r="AS519" i="1" s="1"/>
  <c r="AC431" i="1" l="1"/>
  <c r="AF430" i="1"/>
  <c r="L433" i="1"/>
  <c r="AJ432" i="1"/>
  <c r="AT432" i="1" s="1"/>
  <c r="N2201" i="1"/>
  <c r="Y2198" i="1"/>
  <c r="Z2198" i="1"/>
  <c r="N983" i="1"/>
  <c r="Y980" i="1"/>
  <c r="Z980" i="1"/>
  <c r="E521" i="1"/>
  <c r="AQ520" i="1"/>
  <c r="AR520" i="1" s="1"/>
  <c r="AS520" i="1" s="1"/>
  <c r="AC432" i="1" l="1"/>
  <c r="AF431" i="1"/>
  <c r="L434" i="1"/>
  <c r="AJ433" i="1"/>
  <c r="AT433" i="1" s="1"/>
  <c r="N985" i="1"/>
  <c r="Y983" i="1"/>
  <c r="Z983" i="1"/>
  <c r="N2202" i="1"/>
  <c r="Y2201" i="1"/>
  <c r="Z2201" i="1"/>
  <c r="E522" i="1"/>
  <c r="AQ521" i="1"/>
  <c r="AR521" i="1" s="1"/>
  <c r="AS521" i="1" s="1"/>
  <c r="AC433" i="1" l="1"/>
  <c r="AF432" i="1"/>
  <c r="L435" i="1"/>
  <c r="AJ434" i="1"/>
  <c r="AT434" i="1" s="1"/>
  <c r="N2204" i="1"/>
  <c r="Y2202" i="1"/>
  <c r="Z2202" i="1"/>
  <c r="N987" i="1"/>
  <c r="Y985" i="1"/>
  <c r="Z985" i="1"/>
  <c r="E523" i="1"/>
  <c r="AQ522" i="1"/>
  <c r="AR522" i="1" s="1"/>
  <c r="AS522" i="1" s="1"/>
  <c r="AC434" i="1" l="1"/>
  <c r="AF433" i="1"/>
  <c r="L436" i="1"/>
  <c r="AJ435" i="1"/>
  <c r="AT435" i="1" s="1"/>
  <c r="N989" i="1"/>
  <c r="Y987" i="1"/>
  <c r="Z987" i="1"/>
  <c r="N2206" i="1"/>
  <c r="Y2204" i="1"/>
  <c r="Z2204" i="1"/>
  <c r="E524" i="1"/>
  <c r="AQ523" i="1"/>
  <c r="AR523" i="1" s="1"/>
  <c r="AS523" i="1" s="1"/>
  <c r="AC435" i="1" l="1"/>
  <c r="AF434" i="1"/>
  <c r="L437" i="1"/>
  <c r="AJ436" i="1"/>
  <c r="AT436" i="1" s="1"/>
  <c r="N2210" i="1"/>
  <c r="Y2206" i="1"/>
  <c r="Z2206" i="1"/>
  <c r="N996" i="1"/>
  <c r="Y989" i="1"/>
  <c r="Z989" i="1"/>
  <c r="E525" i="1"/>
  <c r="AQ524" i="1"/>
  <c r="AR524" i="1" s="1"/>
  <c r="AS524" i="1" s="1"/>
  <c r="AC436" i="1" l="1"/>
  <c r="AF435" i="1"/>
  <c r="L438" i="1"/>
  <c r="AJ437" i="1"/>
  <c r="AT437" i="1" s="1"/>
  <c r="N997" i="1"/>
  <c r="Y996" i="1"/>
  <c r="Z996" i="1"/>
  <c r="N2211" i="1"/>
  <c r="Y2210" i="1"/>
  <c r="Z2210" i="1"/>
  <c r="E526" i="1"/>
  <c r="AQ525" i="1"/>
  <c r="AR525" i="1" s="1"/>
  <c r="AS525" i="1" s="1"/>
  <c r="AC437" i="1" l="1"/>
  <c r="AF436" i="1"/>
  <c r="L439" i="1"/>
  <c r="AJ438" i="1"/>
  <c r="AT438" i="1" s="1"/>
  <c r="N2213" i="1"/>
  <c r="Y2211" i="1"/>
  <c r="Z2211" i="1"/>
  <c r="N998" i="1"/>
  <c r="Y997" i="1"/>
  <c r="Z997" i="1"/>
  <c r="E527" i="1"/>
  <c r="AQ526" i="1"/>
  <c r="AR526" i="1" s="1"/>
  <c r="AS526" i="1" s="1"/>
  <c r="AC438" i="1" l="1"/>
  <c r="AF437" i="1"/>
  <c r="L440" i="1"/>
  <c r="AJ439" i="1"/>
  <c r="AT439" i="1" s="1"/>
  <c r="N1000" i="1"/>
  <c r="Y998" i="1"/>
  <c r="Z998" i="1"/>
  <c r="N2215" i="1"/>
  <c r="Y2213" i="1"/>
  <c r="Z2213" i="1"/>
  <c r="E528" i="1"/>
  <c r="AQ527" i="1"/>
  <c r="AR527" i="1" s="1"/>
  <c r="AS527" i="1" s="1"/>
  <c r="AC439" i="1" l="1"/>
  <c r="AF438" i="1"/>
  <c r="L441" i="1"/>
  <c r="AJ440" i="1"/>
  <c r="AT440" i="1" s="1"/>
  <c r="N2218" i="1"/>
  <c r="Y2215" i="1"/>
  <c r="Z2215" i="1"/>
  <c r="N1001" i="1"/>
  <c r="Z1000" i="1"/>
  <c r="Y1000" i="1"/>
  <c r="E529" i="1"/>
  <c r="AQ528" i="1"/>
  <c r="AR528" i="1" s="1"/>
  <c r="AS528" i="1" s="1"/>
  <c r="AC440" i="1" l="1"/>
  <c r="AF439" i="1"/>
  <c r="L442" i="1"/>
  <c r="AJ441" i="1"/>
  <c r="AT441" i="1" s="1"/>
  <c r="N1002" i="1"/>
  <c r="Z1001" i="1"/>
  <c r="Y1001" i="1"/>
  <c r="N2221" i="1"/>
  <c r="Y2218" i="1"/>
  <c r="Z2218" i="1"/>
  <c r="E530" i="1"/>
  <c r="AQ529" i="1"/>
  <c r="AR529" i="1" s="1"/>
  <c r="AS529" i="1" s="1"/>
  <c r="AC441" i="1" l="1"/>
  <c r="AF440" i="1"/>
  <c r="L443" i="1"/>
  <c r="AJ442" i="1"/>
  <c r="AT442" i="1" s="1"/>
  <c r="N2222" i="1"/>
  <c r="Y2221" i="1"/>
  <c r="Z2221" i="1"/>
  <c r="N1006" i="1"/>
  <c r="Y1002" i="1"/>
  <c r="Z1002" i="1"/>
  <c r="E531" i="1"/>
  <c r="AQ530" i="1"/>
  <c r="AR530" i="1" s="1"/>
  <c r="AS530" i="1" s="1"/>
  <c r="AC442" i="1" l="1"/>
  <c r="AF441" i="1"/>
  <c r="L444" i="1"/>
  <c r="AJ443" i="1"/>
  <c r="AT443" i="1" s="1"/>
  <c r="N1008" i="1"/>
  <c r="Y1006" i="1"/>
  <c r="Z1006" i="1"/>
  <c r="N2224" i="1"/>
  <c r="Y2222" i="1"/>
  <c r="Z2222" i="1"/>
  <c r="E532" i="1"/>
  <c r="AQ531" i="1"/>
  <c r="AR531" i="1" s="1"/>
  <c r="AS531" i="1" s="1"/>
  <c r="AC443" i="1" l="1"/>
  <c r="AF442" i="1"/>
  <c r="L445" i="1"/>
  <c r="AJ444" i="1"/>
  <c r="AT444" i="1" s="1"/>
  <c r="N2225" i="1"/>
  <c r="Y2224" i="1"/>
  <c r="Z2224" i="1"/>
  <c r="N1009" i="1"/>
  <c r="Y1008" i="1"/>
  <c r="Z1008" i="1"/>
  <c r="E533" i="1"/>
  <c r="AQ532" i="1"/>
  <c r="AR532" i="1" s="1"/>
  <c r="AS532" i="1" s="1"/>
  <c r="AC444" i="1" l="1"/>
  <c r="AF443" i="1"/>
  <c r="L446" i="1"/>
  <c r="AJ445" i="1"/>
  <c r="AT445" i="1" s="1"/>
  <c r="N1011" i="1"/>
  <c r="Z1009" i="1"/>
  <c r="Y1009" i="1"/>
  <c r="N2228" i="1"/>
  <c r="Y2225" i="1"/>
  <c r="Z2225" i="1"/>
  <c r="E534" i="1"/>
  <c r="AQ533" i="1"/>
  <c r="AR533" i="1" s="1"/>
  <c r="AS533" i="1" s="1"/>
  <c r="AC445" i="1" l="1"/>
  <c r="AF444" i="1"/>
  <c r="L447" i="1"/>
  <c r="AJ446" i="1"/>
  <c r="AT446" i="1" s="1"/>
  <c r="N2229" i="1"/>
  <c r="Z2228" i="1"/>
  <c r="Y2228" i="1"/>
  <c r="N1012" i="1"/>
  <c r="Y1011" i="1"/>
  <c r="Z1011" i="1"/>
  <c r="E535" i="1"/>
  <c r="AQ534" i="1"/>
  <c r="AR534" i="1" s="1"/>
  <c r="AS534" i="1" s="1"/>
  <c r="AC446" i="1" l="1"/>
  <c r="AF445" i="1"/>
  <c r="L448" i="1"/>
  <c r="AJ447" i="1"/>
  <c r="AT447" i="1" s="1"/>
  <c r="N1015" i="1"/>
  <c r="Y1012" i="1"/>
  <c r="Z1012" i="1"/>
  <c r="N2231" i="1"/>
  <c r="Y2229" i="1"/>
  <c r="Z2229" i="1"/>
  <c r="E536" i="1"/>
  <c r="AQ535" i="1"/>
  <c r="AR535" i="1" s="1"/>
  <c r="AS535" i="1" s="1"/>
  <c r="AC447" i="1" l="1"/>
  <c r="AF446" i="1"/>
  <c r="L449" i="1"/>
  <c r="AJ448" i="1"/>
  <c r="AT448" i="1" s="1"/>
  <c r="N2233" i="1"/>
  <c r="Y2231" i="1"/>
  <c r="Z2231" i="1"/>
  <c r="N1017" i="1"/>
  <c r="Y1015" i="1"/>
  <c r="Z1015" i="1"/>
  <c r="E537" i="1"/>
  <c r="AQ536" i="1"/>
  <c r="AR536" i="1" s="1"/>
  <c r="AS536" i="1" s="1"/>
  <c r="AC448" i="1" l="1"/>
  <c r="AF447" i="1"/>
  <c r="L450" i="1"/>
  <c r="AJ449" i="1"/>
  <c r="AT449" i="1" s="1"/>
  <c r="N1021" i="1"/>
  <c r="Y1017" i="1"/>
  <c r="Z1017" i="1"/>
  <c r="N2235" i="1"/>
  <c r="Y2233" i="1"/>
  <c r="Z2233" i="1"/>
  <c r="E538" i="1"/>
  <c r="AQ537" i="1"/>
  <c r="AR537" i="1" s="1"/>
  <c r="AS537" i="1" s="1"/>
  <c r="AC449" i="1" l="1"/>
  <c r="AF448" i="1"/>
  <c r="L451" i="1"/>
  <c r="AJ450" i="1"/>
  <c r="AT450" i="1" s="1"/>
  <c r="N2237" i="1"/>
  <c r="Y2235" i="1"/>
  <c r="Z2235" i="1"/>
  <c r="N1023" i="1"/>
  <c r="Y1021" i="1"/>
  <c r="Z1021" i="1"/>
  <c r="E539" i="1"/>
  <c r="AQ538" i="1"/>
  <c r="AR538" i="1" s="1"/>
  <c r="AS538" i="1" s="1"/>
  <c r="AC450" i="1" l="1"/>
  <c r="AF449" i="1"/>
  <c r="L452" i="1"/>
  <c r="AJ451" i="1"/>
  <c r="AT451" i="1" s="1"/>
  <c r="N1025" i="1"/>
  <c r="Y1023" i="1"/>
  <c r="Z1023" i="1"/>
  <c r="N2239" i="1"/>
  <c r="Y2237" i="1"/>
  <c r="Z2237" i="1"/>
  <c r="E540" i="1"/>
  <c r="AQ539" i="1"/>
  <c r="AR539" i="1" s="1"/>
  <c r="AS539" i="1" s="1"/>
  <c r="AC451" i="1" l="1"/>
  <c r="AF450" i="1"/>
  <c r="L453" i="1"/>
  <c r="AJ452" i="1"/>
  <c r="AT452" i="1" s="1"/>
  <c r="N2241" i="1"/>
  <c r="Y2239" i="1"/>
  <c r="Z2239" i="1"/>
  <c r="N1027" i="1"/>
  <c r="Y1025" i="1"/>
  <c r="Z1025" i="1"/>
  <c r="E541" i="1"/>
  <c r="AQ540" i="1"/>
  <c r="AR540" i="1" s="1"/>
  <c r="AS540" i="1" s="1"/>
  <c r="AC452" i="1" l="1"/>
  <c r="AF451" i="1"/>
  <c r="L454" i="1"/>
  <c r="AJ453" i="1"/>
  <c r="AT453" i="1" s="1"/>
  <c r="N1030" i="1"/>
  <c r="Y1027" i="1"/>
  <c r="Z1027" i="1"/>
  <c r="N2245" i="1"/>
  <c r="Y2241" i="1"/>
  <c r="Z2241" i="1"/>
  <c r="E542" i="1"/>
  <c r="AQ541" i="1"/>
  <c r="AR541" i="1" s="1"/>
  <c r="AS541" i="1" s="1"/>
  <c r="AC453" i="1" l="1"/>
  <c r="AF452" i="1"/>
  <c r="L455" i="1"/>
  <c r="AJ454" i="1"/>
  <c r="AT454" i="1" s="1"/>
  <c r="N2246" i="1"/>
  <c r="Y2245" i="1"/>
  <c r="Z2245" i="1"/>
  <c r="N1032" i="1"/>
  <c r="Y1030" i="1"/>
  <c r="Z1030" i="1"/>
  <c r="E543" i="1"/>
  <c r="AQ542" i="1"/>
  <c r="AR542" i="1" s="1"/>
  <c r="AS542" i="1" s="1"/>
  <c r="AC454" i="1" l="1"/>
  <c r="AF453" i="1"/>
  <c r="L456" i="1"/>
  <c r="AJ455" i="1"/>
  <c r="AT455" i="1" s="1"/>
  <c r="N1034" i="1"/>
  <c r="Y1032" i="1"/>
  <c r="Z1032" i="1"/>
  <c r="N2248" i="1"/>
  <c r="Y2246" i="1"/>
  <c r="Z2246" i="1"/>
  <c r="E544" i="1"/>
  <c r="AQ543" i="1"/>
  <c r="AR543" i="1" s="1"/>
  <c r="AS543" i="1" s="1"/>
  <c r="AC455" i="1" l="1"/>
  <c r="AF454" i="1"/>
  <c r="L457" i="1"/>
  <c r="AJ456" i="1"/>
  <c r="AT456" i="1" s="1"/>
  <c r="N2249" i="1"/>
  <c r="Y2248" i="1"/>
  <c r="Z2248" i="1"/>
  <c r="N1036" i="1"/>
  <c r="Y1034" i="1"/>
  <c r="Z1034" i="1"/>
  <c r="E545" i="1"/>
  <c r="AQ544" i="1"/>
  <c r="AR544" i="1" s="1"/>
  <c r="AS544" i="1" s="1"/>
  <c r="AC456" i="1" l="1"/>
  <c r="AF455" i="1"/>
  <c r="L458" i="1"/>
  <c r="AJ457" i="1"/>
  <c r="AT457" i="1" s="1"/>
  <c r="N1043" i="1"/>
  <c r="Y1036" i="1"/>
  <c r="Z1036" i="1"/>
  <c r="N2251" i="1"/>
  <c r="Y2249" i="1"/>
  <c r="Z2249" i="1"/>
  <c r="E546" i="1"/>
  <c r="AQ545" i="1"/>
  <c r="AR545" i="1" s="1"/>
  <c r="AS545" i="1" s="1"/>
  <c r="AC457" i="1" l="1"/>
  <c r="AF456" i="1"/>
  <c r="L459" i="1"/>
  <c r="AJ458" i="1"/>
  <c r="AT458" i="1" s="1"/>
  <c r="N2253" i="1"/>
  <c r="Y2251" i="1"/>
  <c r="Z2251" i="1"/>
  <c r="N1044" i="1"/>
  <c r="Y1043" i="1"/>
  <c r="Z1043" i="1"/>
  <c r="E547" i="1"/>
  <c r="AQ546" i="1"/>
  <c r="AR546" i="1" s="1"/>
  <c r="AS546" i="1" s="1"/>
  <c r="AC458" i="1" l="1"/>
  <c r="AF457" i="1"/>
  <c r="L460" i="1"/>
  <c r="AJ459" i="1"/>
  <c r="AT459" i="1" s="1"/>
  <c r="N1045" i="1"/>
  <c r="Y1044" i="1"/>
  <c r="Z1044" i="1"/>
  <c r="N2254" i="1"/>
  <c r="Y2253" i="1"/>
  <c r="Z2253" i="1"/>
  <c r="E548" i="1"/>
  <c r="AQ547" i="1"/>
  <c r="AR547" i="1" s="1"/>
  <c r="AS547" i="1" s="1"/>
  <c r="AC459" i="1" l="1"/>
  <c r="AF458" i="1"/>
  <c r="L461" i="1"/>
  <c r="AJ460" i="1"/>
  <c r="AT460" i="1" s="1"/>
  <c r="N2265" i="1"/>
  <c r="Y2254" i="1"/>
  <c r="Z2254" i="1"/>
  <c r="N1047" i="1"/>
  <c r="Y1045" i="1"/>
  <c r="Z1045" i="1"/>
  <c r="E549" i="1"/>
  <c r="AQ548" i="1"/>
  <c r="AR548" i="1" s="1"/>
  <c r="AS548" i="1" s="1"/>
  <c r="AC460" i="1" l="1"/>
  <c r="AF459" i="1"/>
  <c r="L462" i="1"/>
  <c r="AJ461" i="1"/>
  <c r="AT461" i="1" s="1"/>
  <c r="N1049" i="1"/>
  <c r="Y1047" i="1"/>
  <c r="Z1047" i="1"/>
  <c r="N2267" i="1"/>
  <c r="Y2265" i="1"/>
  <c r="Z2265" i="1"/>
  <c r="E550" i="1"/>
  <c r="AQ549" i="1"/>
  <c r="AR549" i="1" s="1"/>
  <c r="AS549" i="1" s="1"/>
  <c r="AC461" i="1" l="1"/>
  <c r="AF460" i="1"/>
  <c r="L463" i="1"/>
  <c r="AJ462" i="1"/>
  <c r="AT462" i="1" s="1"/>
  <c r="N2270" i="1"/>
  <c r="Y2267" i="1"/>
  <c r="Z2267" i="1"/>
  <c r="N1052" i="1"/>
  <c r="Z1049" i="1"/>
  <c r="Y1049" i="1"/>
  <c r="E551" i="1"/>
  <c r="AQ550" i="1"/>
  <c r="AR550" i="1" s="1"/>
  <c r="AS550" i="1" s="1"/>
  <c r="AC462" i="1" l="1"/>
  <c r="AF461" i="1"/>
  <c r="L464" i="1"/>
  <c r="AJ463" i="1"/>
  <c r="AT463" i="1" s="1"/>
  <c r="N1053" i="1"/>
  <c r="Y1052" i="1"/>
  <c r="Z1052" i="1"/>
  <c r="N2271" i="1"/>
  <c r="Y2270" i="1"/>
  <c r="Z2270" i="1"/>
  <c r="E552" i="1"/>
  <c r="AQ551" i="1"/>
  <c r="AR551" i="1" s="1"/>
  <c r="AS551" i="1" s="1"/>
  <c r="AC463" i="1" l="1"/>
  <c r="AF462" i="1"/>
  <c r="L465" i="1"/>
  <c r="AJ464" i="1"/>
  <c r="AT464" i="1" s="1"/>
  <c r="N2272" i="1"/>
  <c r="Y2271" i="1"/>
  <c r="Z2271" i="1"/>
  <c r="N1055" i="1"/>
  <c r="Y1053" i="1"/>
  <c r="Z1053" i="1"/>
  <c r="E553" i="1"/>
  <c r="AQ552" i="1"/>
  <c r="AR552" i="1" s="1"/>
  <c r="AS552" i="1" s="1"/>
  <c r="AC464" i="1" l="1"/>
  <c r="AF463" i="1"/>
  <c r="L466" i="1"/>
  <c r="AJ465" i="1"/>
  <c r="AT465" i="1" s="1"/>
  <c r="N1057" i="1"/>
  <c r="Y1055" i="1"/>
  <c r="Z1055" i="1"/>
  <c r="N2274" i="1"/>
  <c r="Y2272" i="1"/>
  <c r="Z2272" i="1"/>
  <c r="E554" i="1"/>
  <c r="AQ553" i="1"/>
  <c r="AR553" i="1" s="1"/>
  <c r="AS553" i="1" s="1"/>
  <c r="AC465" i="1" l="1"/>
  <c r="AF464" i="1"/>
  <c r="L467" i="1"/>
  <c r="AJ466" i="1"/>
  <c r="AT466" i="1" s="1"/>
  <c r="N2276" i="1"/>
  <c r="Y2274" i="1"/>
  <c r="Z2274" i="1"/>
  <c r="N1058" i="1"/>
  <c r="Y1057" i="1"/>
  <c r="Z1057" i="1"/>
  <c r="E555" i="1"/>
  <c r="AQ554" i="1"/>
  <c r="AR554" i="1" s="1"/>
  <c r="AS554" i="1" s="1"/>
  <c r="AC466" i="1" l="1"/>
  <c r="AF465" i="1"/>
  <c r="L468" i="1"/>
  <c r="AJ467" i="1"/>
  <c r="AT467" i="1" s="1"/>
  <c r="N1061" i="1"/>
  <c r="Y1058" i="1"/>
  <c r="Z1058" i="1"/>
  <c r="N2278" i="1"/>
  <c r="Y2276" i="1"/>
  <c r="Z2276" i="1"/>
  <c r="E556" i="1"/>
  <c r="AQ555" i="1"/>
  <c r="AR555" i="1" s="1"/>
  <c r="AS555" i="1" s="1"/>
  <c r="AC467" i="1" l="1"/>
  <c r="AF466" i="1"/>
  <c r="L469" i="1"/>
  <c r="AJ468" i="1"/>
  <c r="AT468" i="1" s="1"/>
  <c r="N2281" i="1"/>
  <c r="Y2278" i="1"/>
  <c r="Z2278" i="1"/>
  <c r="N1063" i="1"/>
  <c r="Y1061" i="1"/>
  <c r="Z1061" i="1"/>
  <c r="E557" i="1"/>
  <c r="AQ556" i="1"/>
  <c r="AR556" i="1" s="1"/>
  <c r="AS556" i="1" s="1"/>
  <c r="AC468" i="1" l="1"/>
  <c r="AF467" i="1"/>
  <c r="L470" i="1"/>
  <c r="AJ469" i="1"/>
  <c r="AT469" i="1" s="1"/>
  <c r="N1071" i="1"/>
  <c r="Y1063" i="1"/>
  <c r="Z1063" i="1"/>
  <c r="N2282" i="1"/>
  <c r="Y2281" i="1"/>
  <c r="Z2281" i="1"/>
  <c r="E558" i="1"/>
  <c r="AQ557" i="1"/>
  <c r="AR557" i="1" s="1"/>
  <c r="AS557" i="1" s="1"/>
  <c r="AC469" i="1" l="1"/>
  <c r="AF468" i="1"/>
  <c r="L471" i="1"/>
  <c r="AJ470" i="1"/>
  <c r="AT470" i="1" s="1"/>
  <c r="N2284" i="1"/>
  <c r="Y2282" i="1"/>
  <c r="Z2282" i="1"/>
  <c r="N1074" i="1"/>
  <c r="Y1071" i="1"/>
  <c r="Z1071" i="1"/>
  <c r="E559" i="1"/>
  <c r="AQ558" i="1"/>
  <c r="AR558" i="1" s="1"/>
  <c r="AS558" i="1" s="1"/>
  <c r="AC470" i="1" l="1"/>
  <c r="AF469" i="1"/>
  <c r="L472" i="1"/>
  <c r="AJ471" i="1"/>
  <c r="AT471" i="1" s="1"/>
  <c r="N1076" i="1"/>
  <c r="Y1074" i="1"/>
  <c r="Z1074" i="1"/>
  <c r="N2288" i="1"/>
  <c r="Y2284" i="1"/>
  <c r="Z2284" i="1"/>
  <c r="E560" i="1"/>
  <c r="AQ559" i="1"/>
  <c r="AR559" i="1" s="1"/>
  <c r="AS559" i="1" s="1"/>
  <c r="AC471" i="1" l="1"/>
  <c r="AF470" i="1"/>
  <c r="L473" i="1"/>
  <c r="AJ472" i="1"/>
  <c r="AT472" i="1" s="1"/>
  <c r="N2289" i="1"/>
  <c r="Z2288" i="1"/>
  <c r="Y2288" i="1"/>
  <c r="N1079" i="1"/>
  <c r="Y1076" i="1"/>
  <c r="Z1076" i="1"/>
  <c r="E561" i="1"/>
  <c r="AQ560" i="1"/>
  <c r="AR560" i="1" s="1"/>
  <c r="AS560" i="1" s="1"/>
  <c r="AC472" i="1" l="1"/>
  <c r="AF471" i="1"/>
  <c r="L474" i="1"/>
  <c r="AJ473" i="1"/>
  <c r="AT473" i="1" s="1"/>
  <c r="N1083" i="1"/>
  <c r="Y1079" i="1"/>
  <c r="Z1079" i="1"/>
  <c r="N2291" i="1"/>
  <c r="Y2289" i="1"/>
  <c r="Z2289" i="1"/>
  <c r="E562" i="1"/>
  <c r="AQ561" i="1"/>
  <c r="AR561" i="1" s="1"/>
  <c r="AS561" i="1" s="1"/>
  <c r="AC473" i="1" l="1"/>
  <c r="AF472" i="1"/>
  <c r="L475" i="1"/>
  <c r="AJ474" i="1"/>
  <c r="AT474" i="1" s="1"/>
  <c r="N2293" i="1"/>
  <c r="Y2291" i="1"/>
  <c r="Z2291" i="1"/>
  <c r="N1085" i="1"/>
  <c r="Y1083" i="1"/>
  <c r="Z1083" i="1"/>
  <c r="E563" i="1"/>
  <c r="AQ562" i="1"/>
  <c r="AR562" i="1" s="1"/>
  <c r="AS562" i="1" s="1"/>
  <c r="AC474" i="1" l="1"/>
  <c r="AF473" i="1"/>
  <c r="L476" i="1"/>
  <c r="AJ475" i="1"/>
  <c r="AT475" i="1" s="1"/>
  <c r="N1087" i="1"/>
  <c r="Y1085" i="1"/>
  <c r="Z1085" i="1"/>
  <c r="N2294" i="1"/>
  <c r="Y2293" i="1"/>
  <c r="Z2293" i="1"/>
  <c r="E564" i="1"/>
  <c r="AQ563" i="1"/>
  <c r="AR563" i="1" s="1"/>
  <c r="AS563" i="1" s="1"/>
  <c r="AC475" i="1" l="1"/>
  <c r="AF474" i="1"/>
  <c r="L477" i="1"/>
  <c r="AJ476" i="1"/>
  <c r="AT476" i="1" s="1"/>
  <c r="N2296" i="1"/>
  <c r="Y2294" i="1"/>
  <c r="Z2294" i="1"/>
  <c r="N1088" i="1"/>
  <c r="Y1087" i="1"/>
  <c r="Z1087" i="1"/>
  <c r="E565" i="1"/>
  <c r="AQ564" i="1"/>
  <c r="AR564" i="1" s="1"/>
  <c r="AS564" i="1" s="1"/>
  <c r="AC476" i="1" l="1"/>
  <c r="AF475" i="1"/>
  <c r="L478" i="1"/>
  <c r="AJ477" i="1"/>
  <c r="AT477" i="1" s="1"/>
  <c r="N1089" i="1"/>
  <c r="Z1088" i="1"/>
  <c r="Y1088" i="1"/>
  <c r="N2301" i="1"/>
  <c r="Y2296" i="1"/>
  <c r="Z2296" i="1"/>
  <c r="E566" i="1"/>
  <c r="AQ565" i="1"/>
  <c r="AR565" i="1" s="1"/>
  <c r="AS565" i="1" s="1"/>
  <c r="AC477" i="1" l="1"/>
  <c r="AF476" i="1"/>
  <c r="L479" i="1"/>
  <c r="AJ478" i="1"/>
  <c r="AT478" i="1" s="1"/>
  <c r="N2302" i="1"/>
  <c r="Y2301" i="1"/>
  <c r="Z2301" i="1"/>
  <c r="N1090" i="1"/>
  <c r="Z1089" i="1"/>
  <c r="Y1089" i="1"/>
  <c r="E567" i="1"/>
  <c r="AQ566" i="1"/>
  <c r="AR566" i="1" s="1"/>
  <c r="AS566" i="1" s="1"/>
  <c r="AC478" i="1" l="1"/>
  <c r="AF477" i="1"/>
  <c r="L480" i="1"/>
  <c r="AJ479" i="1"/>
  <c r="AT479" i="1" s="1"/>
  <c r="N1092" i="1"/>
  <c r="Y1090" i="1"/>
  <c r="Z1090" i="1"/>
  <c r="N2309" i="1"/>
  <c r="Y2302" i="1"/>
  <c r="Z2302" i="1"/>
  <c r="E568" i="1"/>
  <c r="AQ567" i="1"/>
  <c r="AR567" i="1" s="1"/>
  <c r="AS567" i="1" s="1"/>
  <c r="AC479" i="1" l="1"/>
  <c r="AF478" i="1"/>
  <c r="L481" i="1"/>
  <c r="AJ480" i="1"/>
  <c r="AT480" i="1" s="1"/>
  <c r="N2313" i="1"/>
  <c r="Y2309" i="1"/>
  <c r="Z2309" i="1"/>
  <c r="N1094" i="1"/>
  <c r="Y1092" i="1"/>
  <c r="Z1092" i="1"/>
  <c r="E569" i="1"/>
  <c r="AQ568" i="1"/>
  <c r="AR568" i="1" s="1"/>
  <c r="AS568" i="1" s="1"/>
  <c r="AC480" i="1" l="1"/>
  <c r="AF479" i="1"/>
  <c r="L482" i="1"/>
  <c r="AJ481" i="1"/>
  <c r="AT481" i="1" s="1"/>
  <c r="N1096" i="1"/>
  <c r="Y1094" i="1"/>
  <c r="Z1094" i="1"/>
  <c r="N2314" i="1"/>
  <c r="Z2313" i="1"/>
  <c r="Y2313" i="1"/>
  <c r="E570" i="1"/>
  <c r="AQ569" i="1"/>
  <c r="AR569" i="1" s="1"/>
  <c r="AS569" i="1" s="1"/>
  <c r="AC481" i="1" l="1"/>
  <c r="AF480" i="1"/>
  <c r="L483" i="1"/>
  <c r="AJ482" i="1"/>
  <c r="AT482" i="1" s="1"/>
  <c r="N2316" i="1"/>
  <c r="Y2314" i="1"/>
  <c r="Z2314" i="1"/>
  <c r="N1097" i="1"/>
  <c r="Y1096" i="1"/>
  <c r="Z1096" i="1"/>
  <c r="E571" i="1"/>
  <c r="AQ570" i="1"/>
  <c r="AR570" i="1" s="1"/>
  <c r="AS570" i="1" s="1"/>
  <c r="AC482" i="1" l="1"/>
  <c r="AF481" i="1"/>
  <c r="L484" i="1"/>
  <c r="AJ483" i="1"/>
  <c r="AT483" i="1" s="1"/>
  <c r="N1099" i="1"/>
  <c r="Y1097" i="1"/>
  <c r="Z1097" i="1"/>
  <c r="N2317" i="1"/>
  <c r="Y2316" i="1"/>
  <c r="Z2316" i="1"/>
  <c r="E572" i="1"/>
  <c r="AQ571" i="1"/>
  <c r="AR571" i="1" s="1"/>
  <c r="AS571" i="1" s="1"/>
  <c r="AC483" i="1" l="1"/>
  <c r="AF482" i="1"/>
  <c r="L485" i="1"/>
  <c r="AJ484" i="1"/>
  <c r="AT484" i="1" s="1"/>
  <c r="N2319" i="1"/>
  <c r="Y2317" i="1"/>
  <c r="Z2317" i="1"/>
  <c r="N1100" i="1"/>
  <c r="Y1099" i="1"/>
  <c r="Z1099" i="1"/>
  <c r="E573" i="1"/>
  <c r="AQ572" i="1"/>
  <c r="AR572" i="1" s="1"/>
  <c r="AS572" i="1" s="1"/>
  <c r="AC484" i="1" l="1"/>
  <c r="AF483" i="1"/>
  <c r="L486" i="1"/>
  <c r="AJ485" i="1"/>
  <c r="AT485" i="1" s="1"/>
  <c r="N1102" i="1"/>
  <c r="Y1100" i="1"/>
  <c r="Z1100" i="1"/>
  <c r="N2320" i="1"/>
  <c r="Z2319" i="1"/>
  <c r="Y2319" i="1"/>
  <c r="E574" i="1"/>
  <c r="AQ573" i="1"/>
  <c r="AR573" i="1" s="1"/>
  <c r="AS573" i="1" s="1"/>
  <c r="AC485" i="1" l="1"/>
  <c r="AF484" i="1"/>
  <c r="L487" i="1"/>
  <c r="AJ486" i="1"/>
  <c r="AT486" i="1" s="1"/>
  <c r="N2324" i="1"/>
  <c r="Y2320" i="1"/>
  <c r="Z2320" i="1"/>
  <c r="N1103" i="1"/>
  <c r="Y1102" i="1"/>
  <c r="Z1102" i="1"/>
  <c r="E575" i="1"/>
  <c r="AQ574" i="1"/>
  <c r="AR574" i="1" s="1"/>
  <c r="AS574" i="1" s="1"/>
  <c r="AC486" i="1" l="1"/>
  <c r="AF485" i="1"/>
  <c r="L488" i="1"/>
  <c r="AJ487" i="1"/>
  <c r="AT487" i="1" s="1"/>
  <c r="N1105" i="1"/>
  <c r="Y1103" i="1"/>
  <c r="Z1103" i="1"/>
  <c r="N2326" i="1"/>
  <c r="Y2324" i="1"/>
  <c r="Z2324" i="1"/>
  <c r="E576" i="1"/>
  <c r="AQ575" i="1"/>
  <c r="AR575" i="1" s="1"/>
  <c r="AS575" i="1" s="1"/>
  <c r="AC487" i="1" l="1"/>
  <c r="AF486" i="1"/>
  <c r="L489" i="1"/>
  <c r="AJ488" i="1"/>
  <c r="AT488" i="1" s="1"/>
  <c r="N2330" i="1"/>
  <c r="Y2326" i="1"/>
  <c r="Z2326" i="1"/>
  <c r="N1106" i="1"/>
  <c r="Y1105" i="1"/>
  <c r="Z1105" i="1"/>
  <c r="E577" i="1"/>
  <c r="AQ576" i="1"/>
  <c r="AR576" i="1" s="1"/>
  <c r="AS576" i="1" s="1"/>
  <c r="AC488" i="1" l="1"/>
  <c r="AF487" i="1"/>
  <c r="L490" i="1"/>
  <c r="AJ489" i="1"/>
  <c r="AT489" i="1" s="1"/>
  <c r="N1108" i="1"/>
  <c r="Y1106" i="1"/>
  <c r="Z1106" i="1"/>
  <c r="N2331" i="1"/>
  <c r="Y2330" i="1"/>
  <c r="Z2330" i="1"/>
  <c r="E578" i="1"/>
  <c r="AQ577" i="1"/>
  <c r="AR577" i="1" s="1"/>
  <c r="AS577" i="1" s="1"/>
  <c r="AC489" i="1" l="1"/>
  <c r="AF488" i="1"/>
  <c r="L491" i="1"/>
  <c r="AJ490" i="1"/>
  <c r="AT490" i="1" s="1"/>
  <c r="N2334" i="1"/>
  <c r="Y2331" i="1"/>
  <c r="Z2331" i="1"/>
  <c r="N1110" i="1"/>
  <c r="Y1108" i="1"/>
  <c r="Z1108" i="1"/>
  <c r="E579" i="1"/>
  <c r="AQ578" i="1"/>
  <c r="AR578" i="1" s="1"/>
  <c r="AS578" i="1" s="1"/>
  <c r="AC490" i="1" l="1"/>
  <c r="AF489" i="1"/>
  <c r="L492" i="1"/>
  <c r="AJ491" i="1"/>
  <c r="AT491" i="1" s="1"/>
  <c r="N1111" i="1"/>
  <c r="Y1110" i="1"/>
  <c r="Z1110" i="1"/>
  <c r="N2342" i="1"/>
  <c r="Y2334" i="1"/>
  <c r="Z2334" i="1"/>
  <c r="E580" i="1"/>
  <c r="AQ579" i="1"/>
  <c r="AR579" i="1" s="1"/>
  <c r="AS579" i="1" s="1"/>
  <c r="AC491" i="1" l="1"/>
  <c r="AF490" i="1"/>
  <c r="L493" i="1"/>
  <c r="AJ492" i="1"/>
  <c r="AT492" i="1" s="1"/>
  <c r="N2343" i="1"/>
  <c r="Y2342" i="1"/>
  <c r="Z2342" i="1"/>
  <c r="N1112" i="1"/>
  <c r="Y1111" i="1"/>
  <c r="Z1111" i="1"/>
  <c r="E581" i="1"/>
  <c r="AQ580" i="1"/>
  <c r="AR580" i="1" s="1"/>
  <c r="AS580" i="1" s="1"/>
  <c r="AC492" i="1" l="1"/>
  <c r="AF491" i="1"/>
  <c r="L494" i="1"/>
  <c r="AJ493" i="1"/>
  <c r="AT493" i="1" s="1"/>
  <c r="N1114" i="1"/>
  <c r="Y1112" i="1"/>
  <c r="Z1112" i="1"/>
  <c r="N2345" i="1"/>
  <c r="Y2343" i="1"/>
  <c r="Z2343" i="1"/>
  <c r="E582" i="1"/>
  <c r="AQ581" i="1"/>
  <c r="AR581" i="1" s="1"/>
  <c r="AS581" i="1" s="1"/>
  <c r="AC493" i="1" l="1"/>
  <c r="AF492" i="1"/>
  <c r="L495" i="1"/>
  <c r="AJ494" i="1"/>
  <c r="AT494" i="1" s="1"/>
  <c r="N2348" i="1"/>
  <c r="Y2345" i="1"/>
  <c r="Z2345" i="1"/>
  <c r="N1115" i="1"/>
  <c r="Y1114" i="1"/>
  <c r="Z1114" i="1"/>
  <c r="E583" i="1"/>
  <c r="AQ582" i="1"/>
  <c r="AR582" i="1" s="1"/>
  <c r="AS582" i="1" s="1"/>
  <c r="AC494" i="1" l="1"/>
  <c r="AF493" i="1"/>
  <c r="L496" i="1"/>
  <c r="AJ495" i="1"/>
  <c r="AT495" i="1" s="1"/>
  <c r="N1116" i="1"/>
  <c r="Y1115" i="1"/>
  <c r="Z1115" i="1"/>
  <c r="N2349" i="1"/>
  <c r="Y2348" i="1"/>
  <c r="Z2348" i="1"/>
  <c r="E584" i="1"/>
  <c r="AQ583" i="1"/>
  <c r="AR583" i="1" s="1"/>
  <c r="AS583" i="1" s="1"/>
  <c r="AC495" i="1" l="1"/>
  <c r="AF494" i="1"/>
  <c r="L497" i="1"/>
  <c r="AJ496" i="1"/>
  <c r="AT496" i="1" s="1"/>
  <c r="N2350" i="1"/>
  <c r="Y2349" i="1"/>
  <c r="Z2349" i="1"/>
  <c r="N1119" i="1"/>
  <c r="Y1116" i="1"/>
  <c r="Z1116" i="1"/>
  <c r="E585" i="1"/>
  <c r="AQ584" i="1"/>
  <c r="AR584" i="1" s="1"/>
  <c r="AS584" i="1" s="1"/>
  <c r="AC496" i="1" l="1"/>
  <c r="AF495" i="1"/>
  <c r="L498" i="1"/>
  <c r="AJ497" i="1"/>
  <c r="AT497" i="1" s="1"/>
  <c r="N1120" i="1"/>
  <c r="Y1119" i="1"/>
  <c r="Z1119" i="1"/>
  <c r="N2351" i="1"/>
  <c r="Y2350" i="1"/>
  <c r="Z2350" i="1"/>
  <c r="E586" i="1"/>
  <c r="AQ585" i="1"/>
  <c r="AR585" i="1" s="1"/>
  <c r="AS585" i="1" s="1"/>
  <c r="AC497" i="1" l="1"/>
  <c r="AF496" i="1"/>
  <c r="L499" i="1"/>
  <c r="AJ498" i="1"/>
  <c r="AT498" i="1" s="1"/>
  <c r="N2353" i="1"/>
  <c r="Y2351" i="1"/>
  <c r="Z2351" i="1"/>
  <c r="N1121" i="1"/>
  <c r="Y1120" i="1"/>
  <c r="Z1120" i="1"/>
  <c r="E587" i="1"/>
  <c r="AQ586" i="1"/>
  <c r="AR586" i="1" s="1"/>
  <c r="AS586" i="1" s="1"/>
  <c r="AC498" i="1" l="1"/>
  <c r="AF497" i="1"/>
  <c r="L500" i="1"/>
  <c r="AJ499" i="1"/>
  <c r="AT499" i="1" s="1"/>
  <c r="N1123" i="1"/>
  <c r="Y1121" i="1"/>
  <c r="Z1121" i="1"/>
  <c r="N2354" i="1"/>
  <c r="Y2353" i="1"/>
  <c r="Z2353" i="1"/>
  <c r="E588" i="1"/>
  <c r="AQ587" i="1"/>
  <c r="AR587" i="1" s="1"/>
  <c r="AS587" i="1" s="1"/>
  <c r="AC499" i="1" l="1"/>
  <c r="AF498" i="1"/>
  <c r="L501" i="1"/>
  <c r="AJ500" i="1"/>
  <c r="AT500" i="1" s="1"/>
  <c r="N2357" i="1"/>
  <c r="Y2354" i="1"/>
  <c r="Z2354" i="1"/>
  <c r="N1125" i="1"/>
  <c r="Y1123" i="1"/>
  <c r="Z1123" i="1"/>
  <c r="E589" i="1"/>
  <c r="AQ588" i="1"/>
  <c r="AR588" i="1" s="1"/>
  <c r="AS588" i="1" s="1"/>
  <c r="AC500" i="1" l="1"/>
  <c r="AF499" i="1"/>
  <c r="L502" i="1"/>
  <c r="AJ501" i="1"/>
  <c r="AT501" i="1" s="1"/>
  <c r="N1127" i="1"/>
  <c r="Y1125" i="1"/>
  <c r="Z1125" i="1"/>
  <c r="N2359" i="1"/>
  <c r="Y2357" i="1"/>
  <c r="Z2357" i="1"/>
  <c r="E590" i="1"/>
  <c r="AQ589" i="1"/>
  <c r="AR589" i="1" s="1"/>
  <c r="AS589" i="1" s="1"/>
  <c r="AC501" i="1" l="1"/>
  <c r="AF500" i="1"/>
  <c r="L503" i="1"/>
  <c r="AJ502" i="1"/>
  <c r="AT502" i="1" s="1"/>
  <c r="N2363" i="1"/>
  <c r="Y2359" i="1"/>
  <c r="Z2359" i="1"/>
  <c r="N1129" i="1"/>
  <c r="Y1127" i="1"/>
  <c r="Z1127" i="1"/>
  <c r="E591" i="1"/>
  <c r="AQ590" i="1"/>
  <c r="AR590" i="1" s="1"/>
  <c r="AS590" i="1" s="1"/>
  <c r="AC502" i="1" l="1"/>
  <c r="AF501" i="1"/>
  <c r="L504" i="1"/>
  <c r="AJ503" i="1"/>
  <c r="AT503" i="1" s="1"/>
  <c r="N1135" i="1"/>
  <c r="Y1129" i="1"/>
  <c r="Z1129" i="1"/>
  <c r="N2367" i="1"/>
  <c r="Y2363" i="1"/>
  <c r="Z2363" i="1"/>
  <c r="E592" i="1"/>
  <c r="AQ591" i="1"/>
  <c r="AR591" i="1" s="1"/>
  <c r="AS591" i="1" s="1"/>
  <c r="AC503" i="1" l="1"/>
  <c r="AF502" i="1"/>
  <c r="L505" i="1"/>
  <c r="AJ504" i="1"/>
  <c r="AT504" i="1" s="1"/>
  <c r="N2369" i="1"/>
  <c r="Y2367" i="1"/>
  <c r="Z2367" i="1"/>
  <c r="N1137" i="1"/>
  <c r="Y1135" i="1"/>
  <c r="Z1135" i="1"/>
  <c r="E593" i="1"/>
  <c r="AQ592" i="1"/>
  <c r="AR592" i="1" s="1"/>
  <c r="AS592" i="1" s="1"/>
  <c r="AC504" i="1" l="1"/>
  <c r="AF503" i="1"/>
  <c r="L506" i="1"/>
  <c r="AJ505" i="1"/>
  <c r="AT505" i="1" s="1"/>
  <c r="N1139" i="1"/>
  <c r="Y1137" i="1"/>
  <c r="Z1137" i="1"/>
  <c r="N2370" i="1"/>
  <c r="Y2369" i="1"/>
  <c r="Z2369" i="1"/>
  <c r="E594" i="1"/>
  <c r="AQ593" i="1"/>
  <c r="AR593" i="1" s="1"/>
  <c r="AS593" i="1" s="1"/>
  <c r="AC505" i="1" l="1"/>
  <c r="AF504" i="1"/>
  <c r="L507" i="1"/>
  <c r="AJ506" i="1"/>
  <c r="AT506" i="1" s="1"/>
  <c r="N2371" i="1"/>
  <c r="Y2370" i="1"/>
  <c r="Z2370" i="1"/>
  <c r="N1140" i="1"/>
  <c r="Y1139" i="1"/>
  <c r="Z1139" i="1"/>
  <c r="E595" i="1"/>
  <c r="AQ594" i="1"/>
  <c r="AR594" i="1" s="1"/>
  <c r="AS594" i="1" s="1"/>
  <c r="AC506" i="1" l="1"/>
  <c r="AF505" i="1"/>
  <c r="L508" i="1"/>
  <c r="AJ507" i="1"/>
  <c r="AT507" i="1" s="1"/>
  <c r="N1142" i="1"/>
  <c r="Y1140" i="1"/>
  <c r="Z1140" i="1"/>
  <c r="N2373" i="1"/>
  <c r="Y2371" i="1"/>
  <c r="Z2371" i="1"/>
  <c r="E596" i="1"/>
  <c r="AQ595" i="1"/>
  <c r="AR595" i="1" s="1"/>
  <c r="AS595" i="1" s="1"/>
  <c r="AC507" i="1" l="1"/>
  <c r="AF506" i="1"/>
  <c r="L509" i="1"/>
  <c r="AJ508" i="1"/>
  <c r="AT508" i="1" s="1"/>
  <c r="N2374" i="1"/>
  <c r="Y2373" i="1"/>
  <c r="Z2373" i="1"/>
  <c r="N1146" i="1"/>
  <c r="Y1142" i="1"/>
  <c r="Z1142" i="1"/>
  <c r="E597" i="1"/>
  <c r="AQ596" i="1"/>
  <c r="AR596" i="1" s="1"/>
  <c r="AS596" i="1" s="1"/>
  <c r="AC508" i="1" l="1"/>
  <c r="AF507" i="1"/>
  <c r="L510" i="1"/>
  <c r="AJ509" i="1"/>
  <c r="AT509" i="1" s="1"/>
  <c r="N1148" i="1"/>
  <c r="Y1146" i="1"/>
  <c r="Z1146" i="1"/>
  <c r="N2376" i="1"/>
  <c r="Y2374" i="1"/>
  <c r="Z2374" i="1"/>
  <c r="E598" i="1"/>
  <c r="AQ597" i="1"/>
  <c r="AR597" i="1" s="1"/>
  <c r="AS597" i="1" s="1"/>
  <c r="AC509" i="1" l="1"/>
  <c r="AF508" i="1"/>
  <c r="L511" i="1"/>
  <c r="AJ510" i="1"/>
  <c r="AT510" i="1" s="1"/>
  <c r="N2384" i="1"/>
  <c r="Y2376" i="1"/>
  <c r="Z2376" i="1"/>
  <c r="N1153" i="1"/>
  <c r="Y1148" i="1"/>
  <c r="Z1148" i="1"/>
  <c r="E599" i="1"/>
  <c r="AQ598" i="1"/>
  <c r="AR598" i="1" s="1"/>
  <c r="AS598" i="1" s="1"/>
  <c r="AC510" i="1" l="1"/>
  <c r="AF509" i="1"/>
  <c r="L512" i="1"/>
  <c r="AJ511" i="1"/>
  <c r="AT511" i="1" s="1"/>
  <c r="N1154" i="1"/>
  <c r="Y1153" i="1"/>
  <c r="Z1153" i="1"/>
  <c r="N2386" i="1"/>
  <c r="Y2384" i="1"/>
  <c r="Z2384" i="1"/>
  <c r="E600" i="1"/>
  <c r="AQ599" i="1"/>
  <c r="AR599" i="1" s="1"/>
  <c r="AS599" i="1" s="1"/>
  <c r="AC511" i="1" l="1"/>
  <c r="AF510" i="1"/>
  <c r="L513" i="1"/>
  <c r="AJ512" i="1"/>
  <c r="AT512" i="1" s="1"/>
  <c r="N2387" i="1"/>
  <c r="Y2386" i="1"/>
  <c r="Z2386" i="1"/>
  <c r="N1156" i="1"/>
  <c r="Y1154" i="1"/>
  <c r="Z1154" i="1"/>
  <c r="E601" i="1"/>
  <c r="AQ600" i="1"/>
  <c r="AR600" i="1" s="1"/>
  <c r="AS600" i="1" s="1"/>
  <c r="AC512" i="1" l="1"/>
  <c r="AF511" i="1"/>
  <c r="L514" i="1"/>
  <c r="AJ513" i="1"/>
  <c r="AT513" i="1" s="1"/>
  <c r="N1160" i="1"/>
  <c r="Y1156" i="1"/>
  <c r="Z1156" i="1"/>
  <c r="N2389" i="1"/>
  <c r="Y2387" i="1"/>
  <c r="Z2387" i="1"/>
  <c r="E602" i="1"/>
  <c r="AQ601" i="1"/>
  <c r="AR601" i="1" s="1"/>
  <c r="AS601" i="1" s="1"/>
  <c r="AC513" i="1" l="1"/>
  <c r="AF512" i="1"/>
  <c r="L515" i="1"/>
  <c r="AJ514" i="1"/>
  <c r="AT514" i="1" s="1"/>
  <c r="N2391" i="1"/>
  <c r="Y2389" i="1"/>
  <c r="Z2389" i="1"/>
  <c r="N1161" i="1"/>
  <c r="Y1160" i="1"/>
  <c r="Z1160" i="1"/>
  <c r="E603" i="1"/>
  <c r="AQ602" i="1"/>
  <c r="AR602" i="1" s="1"/>
  <c r="AS602" i="1" s="1"/>
  <c r="AC514" i="1" l="1"/>
  <c r="AF513" i="1"/>
  <c r="L516" i="1"/>
  <c r="AJ515" i="1"/>
  <c r="AT515" i="1" s="1"/>
  <c r="N1164" i="1"/>
  <c r="Y1161" i="1"/>
  <c r="Z1161" i="1"/>
  <c r="N2392" i="1"/>
  <c r="Y2391" i="1"/>
  <c r="Z2391" i="1"/>
  <c r="E604" i="1"/>
  <c r="AQ603" i="1"/>
  <c r="AR603" i="1" s="1"/>
  <c r="AS603" i="1" s="1"/>
  <c r="AC515" i="1" l="1"/>
  <c r="AF514" i="1"/>
  <c r="L517" i="1"/>
  <c r="AJ516" i="1"/>
  <c r="AT516" i="1" s="1"/>
  <c r="N2394" i="1"/>
  <c r="Y2392" i="1"/>
  <c r="Z2392" i="1"/>
  <c r="N1166" i="1"/>
  <c r="Y1164" i="1"/>
  <c r="Z1164" i="1"/>
  <c r="E605" i="1"/>
  <c r="AQ604" i="1"/>
  <c r="AR604" i="1" s="1"/>
  <c r="AS604" i="1" s="1"/>
  <c r="AC516" i="1" l="1"/>
  <c r="AF515" i="1"/>
  <c r="L518" i="1"/>
  <c r="AJ517" i="1"/>
  <c r="AT517" i="1" s="1"/>
  <c r="N1169" i="1"/>
  <c r="Y1166" i="1"/>
  <c r="Z1166" i="1"/>
  <c r="N2396" i="1"/>
  <c r="Y2394" i="1"/>
  <c r="Z2394" i="1"/>
  <c r="E606" i="1"/>
  <c r="AQ605" i="1"/>
  <c r="AR605" i="1" s="1"/>
  <c r="AS605" i="1" s="1"/>
  <c r="AC517" i="1" l="1"/>
  <c r="AF516" i="1"/>
  <c r="L519" i="1"/>
  <c r="AJ518" i="1"/>
  <c r="AT518" i="1" s="1"/>
  <c r="N2400" i="1"/>
  <c r="Y2396" i="1"/>
  <c r="Z2396" i="1"/>
  <c r="N1170" i="1"/>
  <c r="Y1169" i="1"/>
  <c r="Z1169" i="1"/>
  <c r="E607" i="1"/>
  <c r="AQ606" i="1"/>
  <c r="AR606" i="1" s="1"/>
  <c r="AS606" i="1" s="1"/>
  <c r="AC518" i="1" l="1"/>
  <c r="AF517" i="1"/>
  <c r="L520" i="1"/>
  <c r="AJ519" i="1"/>
  <c r="AT519" i="1" s="1"/>
  <c r="N1174" i="1"/>
  <c r="Y1170" i="1"/>
  <c r="Z1170" i="1"/>
  <c r="N2409" i="1"/>
  <c r="Y2400" i="1"/>
  <c r="Z2400" i="1"/>
  <c r="E608" i="1"/>
  <c r="AQ607" i="1"/>
  <c r="AR607" i="1" s="1"/>
  <c r="AS607" i="1" s="1"/>
  <c r="AC519" i="1" l="1"/>
  <c r="AF518" i="1"/>
  <c r="L521" i="1"/>
  <c r="AJ520" i="1"/>
  <c r="AT520" i="1" s="1"/>
  <c r="N2411" i="1"/>
  <c r="Y2409" i="1"/>
  <c r="Z2409" i="1"/>
  <c r="N1178" i="1"/>
  <c r="Y1174" i="1"/>
  <c r="Z1174" i="1"/>
  <c r="E609" i="1"/>
  <c r="AQ608" i="1"/>
  <c r="AR608" i="1" s="1"/>
  <c r="AS608" i="1" s="1"/>
  <c r="AC520" i="1" l="1"/>
  <c r="AF519" i="1"/>
  <c r="L522" i="1"/>
  <c r="AJ521" i="1"/>
  <c r="AT521" i="1" s="1"/>
  <c r="N1180" i="1"/>
  <c r="Y1178" i="1"/>
  <c r="Z1178" i="1"/>
  <c r="N2413" i="1"/>
  <c r="Y2411" i="1"/>
  <c r="Z2411" i="1"/>
  <c r="E610" i="1"/>
  <c r="AQ609" i="1"/>
  <c r="AR609" i="1" s="1"/>
  <c r="AS609" i="1" s="1"/>
  <c r="AC521" i="1" l="1"/>
  <c r="AF520" i="1"/>
  <c r="L523" i="1"/>
  <c r="AJ522" i="1"/>
  <c r="AT522" i="1" s="1"/>
  <c r="N2414" i="1"/>
  <c r="Y2413" i="1"/>
  <c r="Z2413" i="1"/>
  <c r="N1183" i="1"/>
  <c r="Y1180" i="1"/>
  <c r="Z1180" i="1"/>
  <c r="E611" i="1"/>
  <c r="AQ610" i="1"/>
  <c r="AR610" i="1" s="1"/>
  <c r="AS610" i="1" s="1"/>
  <c r="AC522" i="1" l="1"/>
  <c r="AF521" i="1"/>
  <c r="L524" i="1"/>
  <c r="AJ523" i="1"/>
  <c r="AT523" i="1" s="1"/>
  <c r="N1185" i="1"/>
  <c r="Y1183" i="1"/>
  <c r="Z1183" i="1"/>
  <c r="N2415" i="1"/>
  <c r="Y2414" i="1"/>
  <c r="Z2414" i="1"/>
  <c r="E612" i="1"/>
  <c r="AQ611" i="1"/>
  <c r="AR611" i="1" s="1"/>
  <c r="AS611" i="1" s="1"/>
  <c r="AC523" i="1" l="1"/>
  <c r="AF522" i="1"/>
  <c r="L525" i="1"/>
  <c r="AJ524" i="1"/>
  <c r="AT524" i="1" s="1"/>
  <c r="N2416" i="1"/>
  <c r="Y2415" i="1"/>
  <c r="Z2415" i="1"/>
  <c r="N1187" i="1"/>
  <c r="Y1185" i="1"/>
  <c r="Z1185" i="1"/>
  <c r="E613" i="1"/>
  <c r="AQ612" i="1"/>
  <c r="AR612" i="1" s="1"/>
  <c r="AS612" i="1" s="1"/>
  <c r="AC524" i="1" l="1"/>
  <c r="AF523" i="1"/>
  <c r="L526" i="1"/>
  <c r="AJ525" i="1"/>
  <c r="AT525" i="1" s="1"/>
  <c r="N1190" i="1"/>
  <c r="Y1187" i="1"/>
  <c r="Z1187" i="1"/>
  <c r="N2417" i="1"/>
  <c r="Y2416" i="1"/>
  <c r="Z2416" i="1"/>
  <c r="E614" i="1"/>
  <c r="AQ613" i="1"/>
  <c r="AR613" i="1" s="1"/>
  <c r="AS613" i="1" s="1"/>
  <c r="AC525" i="1" l="1"/>
  <c r="AF524" i="1"/>
  <c r="L527" i="1"/>
  <c r="AJ526" i="1"/>
  <c r="AT526" i="1" s="1"/>
  <c r="N2419" i="1"/>
  <c r="Y2417" i="1"/>
  <c r="Z2417" i="1"/>
  <c r="N1191" i="1"/>
  <c r="Y1190" i="1"/>
  <c r="Z1190" i="1"/>
  <c r="E615" i="1"/>
  <c r="AQ614" i="1"/>
  <c r="AR614" i="1" s="1"/>
  <c r="AS614" i="1" s="1"/>
  <c r="AC526" i="1" l="1"/>
  <c r="AF525" i="1"/>
  <c r="L528" i="1"/>
  <c r="AJ527" i="1"/>
  <c r="AT527" i="1" s="1"/>
  <c r="N1192" i="1"/>
  <c r="Y1191" i="1"/>
  <c r="Z1191" i="1"/>
  <c r="N2420" i="1"/>
  <c r="Y2419" i="1"/>
  <c r="Z2419" i="1"/>
  <c r="E616" i="1"/>
  <c r="AQ615" i="1"/>
  <c r="AR615" i="1" s="1"/>
  <c r="AS615" i="1" s="1"/>
  <c r="AC527" i="1" l="1"/>
  <c r="AF526" i="1"/>
  <c r="L529" i="1"/>
  <c r="AJ528" i="1"/>
  <c r="AT528" i="1" s="1"/>
  <c r="N2422" i="1"/>
  <c r="Y2420" i="1"/>
  <c r="Z2420" i="1"/>
  <c r="N1194" i="1"/>
  <c r="Y1192" i="1"/>
  <c r="Z1192" i="1"/>
  <c r="E617" i="1"/>
  <c r="AQ616" i="1"/>
  <c r="AR616" i="1" s="1"/>
  <c r="AS616" i="1" s="1"/>
  <c r="AC528" i="1" l="1"/>
  <c r="AF527" i="1"/>
  <c r="L530" i="1"/>
  <c r="AJ529" i="1"/>
  <c r="AT529" i="1" s="1"/>
  <c r="N1196" i="1"/>
  <c r="Y1194" i="1"/>
  <c r="Z1194" i="1"/>
  <c r="N2423" i="1"/>
  <c r="Y2422" i="1"/>
  <c r="Z2422" i="1"/>
  <c r="E618" i="1"/>
  <c r="AQ617" i="1"/>
  <c r="AR617" i="1" s="1"/>
  <c r="AS617" i="1" s="1"/>
  <c r="AC529" i="1" l="1"/>
  <c r="AF528" i="1"/>
  <c r="L531" i="1"/>
  <c r="AJ530" i="1"/>
  <c r="AT530" i="1" s="1"/>
  <c r="N2428" i="1"/>
  <c r="Y2423" i="1"/>
  <c r="Z2423" i="1"/>
  <c r="N1204" i="1"/>
  <c r="Z1196" i="1"/>
  <c r="Y1196" i="1"/>
  <c r="E619" i="1"/>
  <c r="AQ618" i="1"/>
  <c r="AR618" i="1" s="1"/>
  <c r="AS618" i="1" s="1"/>
  <c r="AC530" i="1" l="1"/>
  <c r="AF529" i="1"/>
  <c r="L532" i="1"/>
  <c r="AJ531" i="1"/>
  <c r="AT531" i="1" s="1"/>
  <c r="N1205" i="1"/>
  <c r="Z1204" i="1"/>
  <c r="Y1204" i="1"/>
  <c r="N2429" i="1"/>
  <c r="Y2428" i="1"/>
  <c r="Z2428" i="1"/>
  <c r="E620" i="1"/>
  <c r="AQ619" i="1"/>
  <c r="AR619" i="1" s="1"/>
  <c r="AS619" i="1" s="1"/>
  <c r="AC531" i="1" l="1"/>
  <c r="AF530" i="1"/>
  <c r="L533" i="1"/>
  <c r="AJ532" i="1"/>
  <c r="AT532" i="1" s="1"/>
  <c r="N2430" i="1"/>
  <c r="Y2429" i="1"/>
  <c r="Z2429" i="1"/>
  <c r="N1207" i="1"/>
  <c r="Y1205" i="1"/>
  <c r="Z1205" i="1"/>
  <c r="E621" i="1"/>
  <c r="AQ620" i="1"/>
  <c r="AR620" i="1" s="1"/>
  <c r="AS620" i="1" s="1"/>
  <c r="AC532" i="1" l="1"/>
  <c r="AF531" i="1"/>
  <c r="L534" i="1"/>
  <c r="AJ533" i="1"/>
  <c r="AT533" i="1" s="1"/>
  <c r="N1208" i="1"/>
  <c r="Y1207" i="1"/>
  <c r="Z1207" i="1"/>
  <c r="N2431" i="1"/>
  <c r="Y2430" i="1"/>
  <c r="Z2430" i="1"/>
  <c r="E622" i="1"/>
  <c r="AQ621" i="1"/>
  <c r="AR621" i="1" s="1"/>
  <c r="AS621" i="1" s="1"/>
  <c r="AC533" i="1" l="1"/>
  <c r="AF532" i="1"/>
  <c r="L535" i="1"/>
  <c r="AJ534" i="1"/>
  <c r="AT534" i="1" s="1"/>
  <c r="N2432" i="1"/>
  <c r="Y2431" i="1"/>
  <c r="Z2431" i="1"/>
  <c r="N1212" i="1"/>
  <c r="Y1208" i="1"/>
  <c r="Z1208" i="1"/>
  <c r="E623" i="1"/>
  <c r="AQ622" i="1"/>
  <c r="AR622" i="1" s="1"/>
  <c r="AS622" i="1" s="1"/>
  <c r="AC534" i="1" l="1"/>
  <c r="AF533" i="1"/>
  <c r="L536" i="1"/>
  <c r="AJ535" i="1"/>
  <c r="AT535" i="1" s="1"/>
  <c r="N1213" i="1"/>
  <c r="Z1212" i="1"/>
  <c r="Y1212" i="1"/>
  <c r="N2433" i="1"/>
  <c r="Y2432" i="1"/>
  <c r="Z2432" i="1"/>
  <c r="E624" i="1"/>
  <c r="AQ623" i="1"/>
  <c r="AR623" i="1" s="1"/>
  <c r="AS623" i="1" s="1"/>
  <c r="AC535" i="1" l="1"/>
  <c r="AF534" i="1"/>
  <c r="L537" i="1"/>
  <c r="AJ536" i="1"/>
  <c r="AT536" i="1" s="1"/>
  <c r="N2434" i="1"/>
  <c r="Y2433" i="1"/>
  <c r="Z2433" i="1"/>
  <c r="N1215" i="1"/>
  <c r="Y1213" i="1"/>
  <c r="Z1213" i="1"/>
  <c r="E625" i="1"/>
  <c r="AQ624" i="1"/>
  <c r="AR624" i="1" s="1"/>
  <c r="AS624" i="1" s="1"/>
  <c r="AC536" i="1" l="1"/>
  <c r="AF535" i="1"/>
  <c r="L538" i="1"/>
  <c r="AJ537" i="1"/>
  <c r="AT537" i="1" s="1"/>
  <c r="N1217" i="1"/>
  <c r="Y1215" i="1"/>
  <c r="Z1215" i="1"/>
  <c r="N2435" i="1"/>
  <c r="Y2434" i="1"/>
  <c r="Z2434" i="1"/>
  <c r="E626" i="1"/>
  <c r="AQ625" i="1"/>
  <c r="AR625" i="1" s="1"/>
  <c r="AS625" i="1" s="1"/>
  <c r="AC537" i="1" l="1"/>
  <c r="AF536" i="1"/>
  <c r="L539" i="1"/>
  <c r="AJ538" i="1"/>
  <c r="AT538" i="1" s="1"/>
  <c r="N2436" i="1"/>
  <c r="Y2435" i="1"/>
  <c r="Z2435" i="1"/>
  <c r="N1219" i="1"/>
  <c r="Y1217" i="1"/>
  <c r="Z1217" i="1"/>
  <c r="E627" i="1"/>
  <c r="AQ626" i="1"/>
  <c r="AR626" i="1" s="1"/>
  <c r="AS626" i="1" s="1"/>
  <c r="AC538" i="1" l="1"/>
  <c r="AF537" i="1"/>
  <c r="L540" i="1"/>
  <c r="AJ539" i="1"/>
  <c r="AT539" i="1" s="1"/>
  <c r="N1221" i="1"/>
  <c r="Y1219" i="1"/>
  <c r="Z1219" i="1"/>
  <c r="N2437" i="1"/>
  <c r="Y2436" i="1"/>
  <c r="Z2436" i="1"/>
  <c r="E628" i="1"/>
  <c r="AQ627" i="1"/>
  <c r="AR627" i="1" s="1"/>
  <c r="AS627" i="1" s="1"/>
  <c r="AC539" i="1" l="1"/>
  <c r="AF538" i="1"/>
  <c r="L541" i="1"/>
  <c r="AJ540" i="1"/>
  <c r="AT540" i="1" s="1"/>
  <c r="N2438" i="1"/>
  <c r="Y2437" i="1"/>
  <c r="Z2437" i="1"/>
  <c r="N1224" i="1"/>
  <c r="Y1221" i="1"/>
  <c r="Z1221" i="1"/>
  <c r="E629" i="1"/>
  <c r="AQ628" i="1"/>
  <c r="AR628" i="1" s="1"/>
  <c r="AS628" i="1" s="1"/>
  <c r="AC540" i="1" l="1"/>
  <c r="AF539" i="1"/>
  <c r="L542" i="1"/>
  <c r="AJ541" i="1"/>
  <c r="AT541" i="1" s="1"/>
  <c r="N1226" i="1"/>
  <c r="Y1224" i="1"/>
  <c r="Z1224" i="1"/>
  <c r="N2439" i="1"/>
  <c r="Y2438" i="1"/>
  <c r="Z2438" i="1"/>
  <c r="E630" i="1"/>
  <c r="AQ629" i="1"/>
  <c r="AR629" i="1" s="1"/>
  <c r="AS629" i="1" s="1"/>
  <c r="AC541" i="1" l="1"/>
  <c r="AF540" i="1"/>
  <c r="L543" i="1"/>
  <c r="AJ542" i="1"/>
  <c r="AT542" i="1" s="1"/>
  <c r="N2440" i="1"/>
  <c r="Y2439" i="1"/>
  <c r="Z2439" i="1"/>
  <c r="N1228" i="1"/>
  <c r="Z1226" i="1"/>
  <c r="Y1226" i="1"/>
  <c r="E631" i="1"/>
  <c r="AQ630" i="1"/>
  <c r="AR630" i="1" s="1"/>
  <c r="AS630" i="1" s="1"/>
  <c r="AC542" i="1" l="1"/>
  <c r="AF541" i="1"/>
  <c r="L544" i="1"/>
  <c r="AJ543" i="1"/>
  <c r="AT543" i="1" s="1"/>
  <c r="N1230" i="1"/>
  <c r="Z1228" i="1"/>
  <c r="Y1228" i="1"/>
  <c r="N2441" i="1"/>
  <c r="Y2440" i="1"/>
  <c r="Z2440" i="1"/>
  <c r="E632" i="1"/>
  <c r="AQ631" i="1"/>
  <c r="AR631" i="1" s="1"/>
  <c r="AS631" i="1" s="1"/>
  <c r="AC543" i="1" l="1"/>
  <c r="AF542" i="1"/>
  <c r="L545" i="1"/>
  <c r="AJ544" i="1"/>
  <c r="AT544" i="1" s="1"/>
  <c r="N2442" i="1"/>
  <c r="Y2441" i="1"/>
  <c r="Z2441" i="1"/>
  <c r="N1232" i="1"/>
  <c r="Y1230" i="1"/>
  <c r="Z1230" i="1"/>
  <c r="E633" i="1"/>
  <c r="AQ632" i="1"/>
  <c r="AR632" i="1" s="1"/>
  <c r="AS632" i="1" s="1"/>
  <c r="AC544" i="1" l="1"/>
  <c r="AF543" i="1"/>
  <c r="L546" i="1"/>
  <c r="AJ545" i="1"/>
  <c r="AT545" i="1" s="1"/>
  <c r="N1236" i="1"/>
  <c r="Z1232" i="1"/>
  <c r="Y1232" i="1"/>
  <c r="N2443" i="1"/>
  <c r="Y2442" i="1"/>
  <c r="Z2442" i="1"/>
  <c r="E634" i="1"/>
  <c r="AQ633" i="1"/>
  <c r="AR633" i="1" s="1"/>
  <c r="AS633" i="1" s="1"/>
  <c r="AC545" i="1" l="1"/>
  <c r="AF544" i="1"/>
  <c r="L547" i="1"/>
  <c r="AJ546" i="1"/>
  <c r="AT546" i="1" s="1"/>
  <c r="N2444" i="1"/>
  <c r="Y2443" i="1"/>
  <c r="Z2443" i="1"/>
  <c r="N1237" i="1"/>
  <c r="Z1236" i="1"/>
  <c r="Y1236" i="1"/>
  <c r="E635" i="1"/>
  <c r="AQ634" i="1"/>
  <c r="AR634" i="1" s="1"/>
  <c r="AS634" i="1" s="1"/>
  <c r="AC546" i="1" l="1"/>
  <c r="AF545" i="1"/>
  <c r="L548" i="1"/>
  <c r="AJ547" i="1"/>
  <c r="AT547" i="1" s="1"/>
  <c r="N1240" i="1"/>
  <c r="Y1237" i="1"/>
  <c r="Z1237" i="1"/>
  <c r="N2445" i="1"/>
  <c r="Y2444" i="1"/>
  <c r="Z2444" i="1"/>
  <c r="E636" i="1"/>
  <c r="AQ635" i="1"/>
  <c r="AR635" i="1" s="1"/>
  <c r="AS635" i="1" s="1"/>
  <c r="AC547" i="1" l="1"/>
  <c r="AF546" i="1"/>
  <c r="L549" i="1"/>
  <c r="AJ548" i="1"/>
  <c r="AT548" i="1" s="1"/>
  <c r="N2446" i="1"/>
  <c r="Y2445" i="1"/>
  <c r="Z2445" i="1"/>
  <c r="N1241" i="1"/>
  <c r="Y1240" i="1"/>
  <c r="Z1240" i="1"/>
  <c r="E637" i="1"/>
  <c r="AQ636" i="1"/>
  <c r="AR636" i="1" s="1"/>
  <c r="AS636" i="1" s="1"/>
  <c r="AC548" i="1" l="1"/>
  <c r="AF547" i="1"/>
  <c r="L550" i="1"/>
  <c r="AJ549" i="1"/>
  <c r="AT549" i="1" s="1"/>
  <c r="Z1241" i="1"/>
  <c r="Y1241" i="1"/>
  <c r="N2447" i="1"/>
  <c r="Y2446" i="1"/>
  <c r="Z2446" i="1"/>
  <c r="E638" i="1"/>
  <c r="AQ637" i="1"/>
  <c r="AR637" i="1" s="1"/>
  <c r="AS637" i="1" s="1"/>
  <c r="AC549" i="1" l="1"/>
  <c r="AF548" i="1"/>
  <c r="L551" i="1"/>
  <c r="AJ550" i="1"/>
  <c r="AT550" i="1" s="1"/>
  <c r="N2448" i="1"/>
  <c r="Y2447" i="1"/>
  <c r="Z2447" i="1"/>
  <c r="E639" i="1"/>
  <c r="AQ638" i="1"/>
  <c r="AR638" i="1" s="1"/>
  <c r="AS638" i="1" s="1"/>
  <c r="AC550" i="1" l="1"/>
  <c r="AF549" i="1"/>
  <c r="L552" i="1"/>
  <c r="AJ551" i="1"/>
  <c r="AT551" i="1" s="1"/>
  <c r="N2449" i="1"/>
  <c r="Y2448" i="1"/>
  <c r="Z2448" i="1"/>
  <c r="E640" i="1"/>
  <c r="AQ639" i="1"/>
  <c r="AR639" i="1" s="1"/>
  <c r="AS639" i="1" s="1"/>
  <c r="AC551" i="1" l="1"/>
  <c r="AF550" i="1"/>
  <c r="L553" i="1"/>
  <c r="AJ552" i="1"/>
  <c r="AT552" i="1" s="1"/>
  <c r="N2450" i="1"/>
  <c r="Y2449" i="1"/>
  <c r="Z2449" i="1"/>
  <c r="E641" i="1"/>
  <c r="AQ640" i="1"/>
  <c r="AR640" i="1" s="1"/>
  <c r="AS640" i="1" s="1"/>
  <c r="AC552" i="1" l="1"/>
  <c r="AF551" i="1"/>
  <c r="L554" i="1"/>
  <c r="AJ553" i="1"/>
  <c r="AT553" i="1" s="1"/>
  <c r="N2451" i="1"/>
  <c r="Y2450" i="1"/>
  <c r="Z2450" i="1"/>
  <c r="E642" i="1"/>
  <c r="AQ641" i="1"/>
  <c r="AR641" i="1" s="1"/>
  <c r="AS641" i="1" s="1"/>
  <c r="AC553" i="1" l="1"/>
  <c r="AF552" i="1"/>
  <c r="L555" i="1"/>
  <c r="AJ554" i="1"/>
  <c r="AT554" i="1" s="1"/>
  <c r="N2452" i="1"/>
  <c r="Y2451" i="1"/>
  <c r="Z2451" i="1"/>
  <c r="E643" i="1"/>
  <c r="AQ642" i="1"/>
  <c r="AR642" i="1" s="1"/>
  <c r="AS642" i="1" s="1"/>
  <c r="AC554" i="1" l="1"/>
  <c r="AF553" i="1"/>
  <c r="L556" i="1"/>
  <c r="AJ555" i="1"/>
  <c r="AT555" i="1" s="1"/>
  <c r="N2453" i="1"/>
  <c r="Y2452" i="1"/>
  <c r="Z2452" i="1"/>
  <c r="E644" i="1"/>
  <c r="AQ643" i="1"/>
  <c r="AR643" i="1" s="1"/>
  <c r="AS643" i="1" s="1"/>
  <c r="AC555" i="1" l="1"/>
  <c r="AF554" i="1"/>
  <c r="L557" i="1"/>
  <c r="AJ556" i="1"/>
  <c r="AT556" i="1" s="1"/>
  <c r="N2454" i="1"/>
  <c r="Y2453" i="1"/>
  <c r="Z2453" i="1"/>
  <c r="E645" i="1"/>
  <c r="AQ644" i="1"/>
  <c r="AR644" i="1" s="1"/>
  <c r="AS644" i="1" s="1"/>
  <c r="AC556" i="1" l="1"/>
  <c r="AF555" i="1"/>
  <c r="L558" i="1"/>
  <c r="AJ557" i="1"/>
  <c r="AT557" i="1" s="1"/>
  <c r="N2455" i="1"/>
  <c r="Y2454" i="1"/>
  <c r="Z2454" i="1"/>
  <c r="E646" i="1"/>
  <c r="AQ645" i="1"/>
  <c r="AR645" i="1" s="1"/>
  <c r="AS645" i="1" s="1"/>
  <c r="AC557" i="1" l="1"/>
  <c r="AF556" i="1"/>
  <c r="L559" i="1"/>
  <c r="AJ558" i="1"/>
  <c r="AT558" i="1" s="1"/>
  <c r="N2456" i="1"/>
  <c r="Y2455" i="1"/>
  <c r="Z2455" i="1"/>
  <c r="E647" i="1"/>
  <c r="AQ646" i="1"/>
  <c r="AR646" i="1" s="1"/>
  <c r="AS646" i="1" s="1"/>
  <c r="AC558" i="1" l="1"/>
  <c r="AF557" i="1"/>
  <c r="L560" i="1"/>
  <c r="AJ559" i="1"/>
  <c r="AT559" i="1" s="1"/>
  <c r="N2457" i="1"/>
  <c r="Y2456" i="1"/>
  <c r="Z2456" i="1"/>
  <c r="E648" i="1"/>
  <c r="AQ647" i="1"/>
  <c r="AR647" i="1" s="1"/>
  <c r="AS647" i="1" s="1"/>
  <c r="AC559" i="1" l="1"/>
  <c r="AF558" i="1"/>
  <c r="L561" i="1"/>
  <c r="AJ560" i="1"/>
  <c r="AT560" i="1" s="1"/>
  <c r="N2458" i="1"/>
  <c r="Y2457" i="1"/>
  <c r="Z2457" i="1"/>
  <c r="E649" i="1"/>
  <c r="AQ648" i="1"/>
  <c r="AR648" i="1" s="1"/>
  <c r="AS648" i="1" s="1"/>
  <c r="AC560" i="1" l="1"/>
  <c r="AF559" i="1"/>
  <c r="L562" i="1"/>
  <c r="AJ561" i="1"/>
  <c r="AT561" i="1" s="1"/>
  <c r="N2459" i="1"/>
  <c r="Y2458" i="1"/>
  <c r="Z2458" i="1"/>
  <c r="E650" i="1"/>
  <c r="AQ649" i="1"/>
  <c r="AR649" i="1" s="1"/>
  <c r="AS649" i="1" s="1"/>
  <c r="AC561" i="1" l="1"/>
  <c r="AF560" i="1"/>
  <c r="L563" i="1"/>
  <c r="AJ562" i="1"/>
  <c r="AT562" i="1" s="1"/>
  <c r="N2460" i="1"/>
  <c r="Y2459" i="1"/>
  <c r="Z2459" i="1"/>
  <c r="E651" i="1"/>
  <c r="AQ650" i="1"/>
  <c r="AR650" i="1" s="1"/>
  <c r="AS650" i="1" s="1"/>
  <c r="AC562" i="1" l="1"/>
  <c r="AF561" i="1"/>
  <c r="L564" i="1"/>
  <c r="AJ563" i="1"/>
  <c r="AT563" i="1" s="1"/>
  <c r="N2461" i="1"/>
  <c r="Y2460" i="1"/>
  <c r="Z2460" i="1"/>
  <c r="E652" i="1"/>
  <c r="AQ651" i="1"/>
  <c r="AR651" i="1" s="1"/>
  <c r="AS651" i="1" s="1"/>
  <c r="AC563" i="1" l="1"/>
  <c r="AF562" i="1"/>
  <c r="L565" i="1"/>
  <c r="AJ564" i="1"/>
  <c r="AT564" i="1" s="1"/>
  <c r="N2462" i="1"/>
  <c r="Y2461" i="1"/>
  <c r="Z2461" i="1"/>
  <c r="E653" i="1"/>
  <c r="AQ652" i="1"/>
  <c r="AR652" i="1" s="1"/>
  <c r="AS652" i="1" s="1"/>
  <c r="AC564" i="1" l="1"/>
  <c r="AF563" i="1"/>
  <c r="L566" i="1"/>
  <c r="AJ565" i="1"/>
  <c r="AT565" i="1" s="1"/>
  <c r="N2463" i="1"/>
  <c r="Y2462" i="1"/>
  <c r="Z2462" i="1"/>
  <c r="E654" i="1"/>
  <c r="AQ653" i="1"/>
  <c r="AR653" i="1" s="1"/>
  <c r="AS653" i="1" s="1"/>
  <c r="AC565" i="1" l="1"/>
  <c r="AF564" i="1"/>
  <c r="L567" i="1"/>
  <c r="AJ566" i="1"/>
  <c r="AT566" i="1" s="1"/>
  <c r="N2464" i="1"/>
  <c r="Y2463" i="1"/>
  <c r="Z2463" i="1"/>
  <c r="E655" i="1"/>
  <c r="AQ654" i="1"/>
  <c r="AR654" i="1" s="1"/>
  <c r="AS654" i="1" s="1"/>
  <c r="AC566" i="1" l="1"/>
  <c r="AF565" i="1"/>
  <c r="L568" i="1"/>
  <c r="AJ567" i="1"/>
  <c r="AT567" i="1" s="1"/>
  <c r="N2465" i="1"/>
  <c r="Y2464" i="1"/>
  <c r="Z2464" i="1"/>
  <c r="E656" i="1"/>
  <c r="AQ655" i="1"/>
  <c r="AR655" i="1" s="1"/>
  <c r="AS655" i="1" s="1"/>
  <c r="AC567" i="1" l="1"/>
  <c r="AF566" i="1"/>
  <c r="L569" i="1"/>
  <c r="AJ568" i="1"/>
  <c r="AT568" i="1" s="1"/>
  <c r="N2466" i="1"/>
  <c r="Y2465" i="1"/>
  <c r="Z2465" i="1"/>
  <c r="E657" i="1"/>
  <c r="AQ656" i="1"/>
  <c r="AR656" i="1" s="1"/>
  <c r="AS656" i="1" s="1"/>
  <c r="AC568" i="1" l="1"/>
  <c r="AF567" i="1"/>
  <c r="L570" i="1"/>
  <c r="AJ569" i="1"/>
  <c r="AT569" i="1" s="1"/>
  <c r="N2467" i="1"/>
  <c r="Y2466" i="1"/>
  <c r="Z2466" i="1"/>
  <c r="E658" i="1"/>
  <c r="AQ657" i="1"/>
  <c r="AR657" i="1" s="1"/>
  <c r="AS657" i="1" s="1"/>
  <c r="AC569" i="1" l="1"/>
  <c r="AF568" i="1"/>
  <c r="L571" i="1"/>
  <c r="AJ570" i="1"/>
  <c r="AT570" i="1" s="1"/>
  <c r="N2468" i="1"/>
  <c r="Y2467" i="1"/>
  <c r="Z2467" i="1"/>
  <c r="E659" i="1"/>
  <c r="AQ658" i="1"/>
  <c r="AR658" i="1" s="1"/>
  <c r="AS658" i="1" s="1"/>
  <c r="AC570" i="1" l="1"/>
  <c r="AF569" i="1"/>
  <c r="L572" i="1"/>
  <c r="AJ571" i="1"/>
  <c r="AT571" i="1" s="1"/>
  <c r="N2469" i="1"/>
  <c r="Y2468" i="1"/>
  <c r="Z2468" i="1"/>
  <c r="E660" i="1"/>
  <c r="AQ659" i="1"/>
  <c r="AR659" i="1" s="1"/>
  <c r="AS659" i="1" s="1"/>
  <c r="AC571" i="1" l="1"/>
  <c r="AF570" i="1"/>
  <c r="L573" i="1"/>
  <c r="AJ572" i="1"/>
  <c r="AT572" i="1" s="1"/>
  <c r="N2470" i="1"/>
  <c r="Y2469" i="1"/>
  <c r="Z2469" i="1"/>
  <c r="E661" i="1"/>
  <c r="AQ660" i="1"/>
  <c r="AR660" i="1" s="1"/>
  <c r="AS660" i="1" s="1"/>
  <c r="AC572" i="1" l="1"/>
  <c r="AF571" i="1"/>
  <c r="L574" i="1"/>
  <c r="AJ573" i="1"/>
  <c r="AT573" i="1" s="1"/>
  <c r="N2471" i="1"/>
  <c r="Y2470" i="1"/>
  <c r="Z2470" i="1"/>
  <c r="E662" i="1"/>
  <c r="AQ661" i="1"/>
  <c r="AR661" i="1" s="1"/>
  <c r="AS661" i="1" s="1"/>
  <c r="AC573" i="1" l="1"/>
  <c r="AF572" i="1"/>
  <c r="L575" i="1"/>
  <c r="AJ574" i="1"/>
  <c r="AT574" i="1" s="1"/>
  <c r="N2472" i="1"/>
  <c r="Y2471" i="1"/>
  <c r="Z2471" i="1"/>
  <c r="E663" i="1"/>
  <c r="AQ662" i="1"/>
  <c r="AR662" i="1" s="1"/>
  <c r="AS662" i="1" s="1"/>
  <c r="AC574" i="1" l="1"/>
  <c r="AF573" i="1"/>
  <c r="L576" i="1"/>
  <c r="AJ575" i="1"/>
  <c r="AT575" i="1" s="1"/>
  <c r="N2473" i="1"/>
  <c r="Y2472" i="1"/>
  <c r="Z2472" i="1"/>
  <c r="E664" i="1"/>
  <c r="AQ663" i="1"/>
  <c r="AR663" i="1" s="1"/>
  <c r="AS663" i="1" s="1"/>
  <c r="AC575" i="1" l="1"/>
  <c r="AF574" i="1"/>
  <c r="L577" i="1"/>
  <c r="AJ576" i="1"/>
  <c r="AT576" i="1" s="1"/>
  <c r="N2474" i="1"/>
  <c r="Y2473" i="1"/>
  <c r="Z2473" i="1"/>
  <c r="E665" i="1"/>
  <c r="AQ664" i="1"/>
  <c r="AR664" i="1" s="1"/>
  <c r="AS664" i="1" s="1"/>
  <c r="AC576" i="1" l="1"/>
  <c r="AF575" i="1"/>
  <c r="L578" i="1"/>
  <c r="AJ577" i="1"/>
  <c r="AT577" i="1" s="1"/>
  <c r="N2475" i="1"/>
  <c r="Y2474" i="1"/>
  <c r="Z2474" i="1"/>
  <c r="E666" i="1"/>
  <c r="AQ665" i="1"/>
  <c r="AR665" i="1" s="1"/>
  <c r="AS665" i="1" s="1"/>
  <c r="AC577" i="1" l="1"/>
  <c r="AF576" i="1"/>
  <c r="L579" i="1"/>
  <c r="AJ578" i="1"/>
  <c r="AT578" i="1" s="1"/>
  <c r="N2476" i="1"/>
  <c r="Y2475" i="1"/>
  <c r="Z2475" i="1"/>
  <c r="E667" i="1"/>
  <c r="AQ666" i="1"/>
  <c r="AR666" i="1" s="1"/>
  <c r="AS666" i="1" s="1"/>
  <c r="AC578" i="1" l="1"/>
  <c r="AF577" i="1"/>
  <c r="L580" i="1"/>
  <c r="AJ579" i="1"/>
  <c r="AT579" i="1" s="1"/>
  <c r="N2477" i="1"/>
  <c r="Y2476" i="1"/>
  <c r="Z2476" i="1"/>
  <c r="E668" i="1"/>
  <c r="AQ667" i="1"/>
  <c r="AR667" i="1" s="1"/>
  <c r="AS667" i="1" s="1"/>
  <c r="AC579" i="1" l="1"/>
  <c r="AF578" i="1"/>
  <c r="L581" i="1"/>
  <c r="AJ580" i="1"/>
  <c r="AT580" i="1" s="1"/>
  <c r="N2478" i="1"/>
  <c r="Y2477" i="1"/>
  <c r="Z2477" i="1"/>
  <c r="E669" i="1"/>
  <c r="AQ668" i="1"/>
  <c r="AR668" i="1" s="1"/>
  <c r="AS668" i="1" s="1"/>
  <c r="AC580" i="1" l="1"/>
  <c r="AF579" i="1"/>
  <c r="L582" i="1"/>
  <c r="AJ581" i="1"/>
  <c r="AT581" i="1" s="1"/>
  <c r="N2479" i="1"/>
  <c r="Y2478" i="1"/>
  <c r="Z2478" i="1"/>
  <c r="E670" i="1"/>
  <c r="AQ669" i="1"/>
  <c r="AR669" i="1" s="1"/>
  <c r="AS669" i="1" s="1"/>
  <c r="AC581" i="1" l="1"/>
  <c r="AF580" i="1"/>
  <c r="L583" i="1"/>
  <c r="AJ582" i="1"/>
  <c r="AT582" i="1" s="1"/>
  <c r="N2480" i="1"/>
  <c r="Y2479" i="1"/>
  <c r="Z2479" i="1"/>
  <c r="E671" i="1"/>
  <c r="AQ670" i="1"/>
  <c r="AR670" i="1" s="1"/>
  <c r="AS670" i="1" s="1"/>
  <c r="AC582" i="1" l="1"/>
  <c r="AF581" i="1"/>
  <c r="L584" i="1"/>
  <c r="AJ583" i="1"/>
  <c r="AT583" i="1" s="1"/>
  <c r="N2481" i="1"/>
  <c r="Y2480" i="1"/>
  <c r="Z2480" i="1"/>
  <c r="E672" i="1"/>
  <c r="AQ671" i="1"/>
  <c r="AR671" i="1" s="1"/>
  <c r="AS671" i="1" s="1"/>
  <c r="AC583" i="1" l="1"/>
  <c r="AF582" i="1"/>
  <c r="L585" i="1"/>
  <c r="AJ584" i="1"/>
  <c r="AT584" i="1" s="1"/>
  <c r="N2482" i="1"/>
  <c r="Y2481" i="1"/>
  <c r="Z2481" i="1"/>
  <c r="E673" i="1"/>
  <c r="AQ672" i="1"/>
  <c r="AR672" i="1" s="1"/>
  <c r="AS672" i="1" s="1"/>
  <c r="AC584" i="1" l="1"/>
  <c r="AF583" i="1"/>
  <c r="L586" i="1"/>
  <c r="AJ585" i="1"/>
  <c r="AT585" i="1" s="1"/>
  <c r="N2483" i="1"/>
  <c r="Y2482" i="1"/>
  <c r="Z2482" i="1"/>
  <c r="E674" i="1"/>
  <c r="AQ673" i="1"/>
  <c r="AR673" i="1" s="1"/>
  <c r="AS673" i="1" s="1"/>
  <c r="AC585" i="1" l="1"/>
  <c r="AF584" i="1"/>
  <c r="L587" i="1"/>
  <c r="AJ586" i="1"/>
  <c r="AT586" i="1" s="1"/>
  <c r="N2484" i="1"/>
  <c r="Y2483" i="1"/>
  <c r="Z2483" i="1"/>
  <c r="E675" i="1"/>
  <c r="AQ674" i="1"/>
  <c r="AR674" i="1" s="1"/>
  <c r="AS674" i="1" s="1"/>
  <c r="AC586" i="1" l="1"/>
  <c r="AF585" i="1"/>
  <c r="L588" i="1"/>
  <c r="AJ587" i="1"/>
  <c r="AT587" i="1" s="1"/>
  <c r="N2485" i="1"/>
  <c r="Y2484" i="1"/>
  <c r="Z2484" i="1"/>
  <c r="E676" i="1"/>
  <c r="AQ675" i="1"/>
  <c r="AR675" i="1" s="1"/>
  <c r="AS675" i="1" s="1"/>
  <c r="AC587" i="1" l="1"/>
  <c r="AF586" i="1"/>
  <c r="L589" i="1"/>
  <c r="AJ588" i="1"/>
  <c r="AT588" i="1" s="1"/>
  <c r="N2486" i="1"/>
  <c r="Y2485" i="1"/>
  <c r="Z2485" i="1"/>
  <c r="E677" i="1"/>
  <c r="AQ676" i="1"/>
  <c r="AR676" i="1" s="1"/>
  <c r="AS676" i="1" s="1"/>
  <c r="AC588" i="1" l="1"/>
  <c r="AF587" i="1"/>
  <c r="L590" i="1"/>
  <c r="AJ589" i="1"/>
  <c r="AT589" i="1" s="1"/>
  <c r="N2487" i="1"/>
  <c r="Y2486" i="1"/>
  <c r="Z2486" i="1"/>
  <c r="E678" i="1"/>
  <c r="AQ677" i="1"/>
  <c r="AR677" i="1" s="1"/>
  <c r="AS677" i="1" s="1"/>
  <c r="AC589" i="1" l="1"/>
  <c r="AF588" i="1"/>
  <c r="L591" i="1"/>
  <c r="AJ590" i="1"/>
  <c r="AT590" i="1" s="1"/>
  <c r="N2488" i="1"/>
  <c r="Y2487" i="1"/>
  <c r="Z2487" i="1"/>
  <c r="E679" i="1"/>
  <c r="AQ678" i="1"/>
  <c r="AR678" i="1" s="1"/>
  <c r="AS678" i="1" s="1"/>
  <c r="AC590" i="1" l="1"/>
  <c r="AF589" i="1"/>
  <c r="L592" i="1"/>
  <c r="AJ591" i="1"/>
  <c r="AT591" i="1" s="1"/>
  <c r="N2489" i="1"/>
  <c r="Y2488" i="1"/>
  <c r="Z2488" i="1"/>
  <c r="E680" i="1"/>
  <c r="AQ679" i="1"/>
  <c r="AR679" i="1" s="1"/>
  <c r="AS679" i="1" s="1"/>
  <c r="AC591" i="1" l="1"/>
  <c r="AF590" i="1"/>
  <c r="L593" i="1"/>
  <c r="AJ592" i="1"/>
  <c r="AT592" i="1" s="1"/>
  <c r="N2490" i="1"/>
  <c r="Y2489" i="1"/>
  <c r="Z2489" i="1"/>
  <c r="E681" i="1"/>
  <c r="AQ680" i="1"/>
  <c r="AR680" i="1" s="1"/>
  <c r="AS680" i="1" s="1"/>
  <c r="AC592" i="1" l="1"/>
  <c r="AF591" i="1"/>
  <c r="L594" i="1"/>
  <c r="AJ593" i="1"/>
  <c r="AT593" i="1" s="1"/>
  <c r="N2491" i="1"/>
  <c r="Y2490" i="1"/>
  <c r="Z2490" i="1"/>
  <c r="E682" i="1"/>
  <c r="AQ681" i="1"/>
  <c r="AR681" i="1" s="1"/>
  <c r="AS681" i="1" s="1"/>
  <c r="AC593" i="1" l="1"/>
  <c r="AF592" i="1"/>
  <c r="L595" i="1"/>
  <c r="AJ594" i="1"/>
  <c r="AT594" i="1" s="1"/>
  <c r="N2492" i="1"/>
  <c r="Y2491" i="1"/>
  <c r="Z2491" i="1"/>
  <c r="E683" i="1"/>
  <c r="AQ682" i="1"/>
  <c r="AR682" i="1" s="1"/>
  <c r="AS682" i="1" s="1"/>
  <c r="AC594" i="1" l="1"/>
  <c r="AF593" i="1"/>
  <c r="L596" i="1"/>
  <c r="AJ595" i="1"/>
  <c r="AT595" i="1" s="1"/>
  <c r="N2493" i="1"/>
  <c r="Y2492" i="1"/>
  <c r="Z2492" i="1"/>
  <c r="E684" i="1"/>
  <c r="AQ683" i="1"/>
  <c r="AR683" i="1" s="1"/>
  <c r="AS683" i="1" s="1"/>
  <c r="AC595" i="1" l="1"/>
  <c r="AF594" i="1"/>
  <c r="L597" i="1"/>
  <c r="AJ596" i="1"/>
  <c r="AT596" i="1" s="1"/>
  <c r="N2494" i="1"/>
  <c r="Y2493" i="1"/>
  <c r="Z2493" i="1"/>
  <c r="E685" i="1"/>
  <c r="AQ684" i="1"/>
  <c r="AR684" i="1" s="1"/>
  <c r="AS684" i="1" s="1"/>
  <c r="AC596" i="1" l="1"/>
  <c r="AF595" i="1"/>
  <c r="L598" i="1"/>
  <c r="AJ597" i="1"/>
  <c r="AT597" i="1" s="1"/>
  <c r="N2495" i="1"/>
  <c r="Y2494" i="1"/>
  <c r="Z2494" i="1"/>
  <c r="E686" i="1"/>
  <c r="AQ685" i="1"/>
  <c r="AR685" i="1" s="1"/>
  <c r="AS685" i="1" s="1"/>
  <c r="AC597" i="1" l="1"/>
  <c r="AF596" i="1"/>
  <c r="L599" i="1"/>
  <c r="AJ598" i="1"/>
  <c r="AT598" i="1" s="1"/>
  <c r="N2496" i="1"/>
  <c r="Y2495" i="1"/>
  <c r="Z2495" i="1"/>
  <c r="E687" i="1"/>
  <c r="AQ686" i="1"/>
  <c r="AR686" i="1" s="1"/>
  <c r="AS686" i="1" s="1"/>
  <c r="AC598" i="1" l="1"/>
  <c r="AF597" i="1"/>
  <c r="L600" i="1"/>
  <c r="AJ599" i="1"/>
  <c r="AT599" i="1" s="1"/>
  <c r="N2497" i="1"/>
  <c r="Y2496" i="1"/>
  <c r="Z2496" i="1"/>
  <c r="E688" i="1"/>
  <c r="AQ687" i="1"/>
  <c r="AR687" i="1" s="1"/>
  <c r="AS687" i="1" s="1"/>
  <c r="AC599" i="1" l="1"/>
  <c r="AF598" i="1"/>
  <c r="L601" i="1"/>
  <c r="AJ600" i="1"/>
  <c r="AT600" i="1" s="1"/>
  <c r="N2498" i="1"/>
  <c r="Y2497" i="1"/>
  <c r="Z2497" i="1"/>
  <c r="E689" i="1"/>
  <c r="AQ688" i="1"/>
  <c r="AR688" i="1" s="1"/>
  <c r="AS688" i="1" s="1"/>
  <c r="AC600" i="1" l="1"/>
  <c r="AF599" i="1"/>
  <c r="L602" i="1"/>
  <c r="AJ601" i="1"/>
  <c r="AT601" i="1" s="1"/>
  <c r="N2499" i="1"/>
  <c r="Y2498" i="1"/>
  <c r="Z2498" i="1"/>
  <c r="E690" i="1"/>
  <c r="AQ689" i="1"/>
  <c r="AR689" i="1" s="1"/>
  <c r="AS689" i="1" s="1"/>
  <c r="AC601" i="1" l="1"/>
  <c r="AF600" i="1"/>
  <c r="L603" i="1"/>
  <c r="AJ602" i="1"/>
  <c r="AT602" i="1" s="1"/>
  <c r="N2500" i="1"/>
  <c r="Y2499" i="1"/>
  <c r="Z2499" i="1"/>
  <c r="E691" i="1"/>
  <c r="AQ690" i="1"/>
  <c r="AR690" i="1" s="1"/>
  <c r="AS690" i="1" s="1"/>
  <c r="AC602" i="1" l="1"/>
  <c r="AF601" i="1"/>
  <c r="L604" i="1"/>
  <c r="AJ603" i="1"/>
  <c r="AT603" i="1" s="1"/>
  <c r="N2501" i="1"/>
  <c r="Y2500" i="1"/>
  <c r="Z2500" i="1"/>
  <c r="E692" i="1"/>
  <c r="AQ691" i="1"/>
  <c r="AR691" i="1" s="1"/>
  <c r="AS691" i="1" s="1"/>
  <c r="AC603" i="1" l="1"/>
  <c r="AF602" i="1"/>
  <c r="L605" i="1"/>
  <c r="AJ604" i="1"/>
  <c r="AT604" i="1" s="1"/>
  <c r="N2502" i="1"/>
  <c r="Y2501" i="1"/>
  <c r="Z2501" i="1"/>
  <c r="E693" i="1"/>
  <c r="AQ692" i="1"/>
  <c r="AR692" i="1" s="1"/>
  <c r="AS692" i="1" s="1"/>
  <c r="AC604" i="1" l="1"/>
  <c r="AF603" i="1"/>
  <c r="L606" i="1"/>
  <c r="AJ605" i="1"/>
  <c r="AT605" i="1" s="1"/>
  <c r="N2503" i="1"/>
  <c r="Y2502" i="1"/>
  <c r="Z2502" i="1"/>
  <c r="E694" i="1"/>
  <c r="AQ693" i="1"/>
  <c r="AR693" i="1" s="1"/>
  <c r="AS693" i="1" s="1"/>
  <c r="AC605" i="1" l="1"/>
  <c r="AF604" i="1"/>
  <c r="L607" i="1"/>
  <c r="AJ606" i="1"/>
  <c r="AT606" i="1" s="1"/>
  <c r="N2504" i="1"/>
  <c r="Y2503" i="1"/>
  <c r="Z2503" i="1"/>
  <c r="E695" i="1"/>
  <c r="AQ694" i="1"/>
  <c r="AR694" i="1" s="1"/>
  <c r="AS694" i="1" s="1"/>
  <c r="AC606" i="1" l="1"/>
  <c r="AF605" i="1"/>
  <c r="L608" i="1"/>
  <c r="AJ607" i="1"/>
  <c r="AT607" i="1" s="1"/>
  <c r="N2505" i="1"/>
  <c r="Y2504" i="1"/>
  <c r="Z2504" i="1"/>
  <c r="E696" i="1"/>
  <c r="AQ695" i="1"/>
  <c r="AR695" i="1" s="1"/>
  <c r="AS695" i="1" s="1"/>
  <c r="AC607" i="1" l="1"/>
  <c r="AF606" i="1"/>
  <c r="L609" i="1"/>
  <c r="AJ608" i="1"/>
  <c r="AT608" i="1" s="1"/>
  <c r="N2506" i="1"/>
  <c r="Y2505" i="1"/>
  <c r="Z2505" i="1"/>
  <c r="E697" i="1"/>
  <c r="AQ696" i="1"/>
  <c r="AR696" i="1" s="1"/>
  <c r="AS696" i="1" s="1"/>
  <c r="AC608" i="1" l="1"/>
  <c r="AF607" i="1"/>
  <c r="L610" i="1"/>
  <c r="AJ609" i="1"/>
  <c r="AT609" i="1" s="1"/>
  <c r="N2507" i="1"/>
  <c r="Y2506" i="1"/>
  <c r="Z2506" i="1"/>
  <c r="E698" i="1"/>
  <c r="AQ697" i="1"/>
  <c r="AR697" i="1" s="1"/>
  <c r="AS697" i="1" s="1"/>
  <c r="AC609" i="1" l="1"/>
  <c r="AF608" i="1"/>
  <c r="L611" i="1"/>
  <c r="AJ610" i="1"/>
  <c r="AT610" i="1" s="1"/>
  <c r="N2508" i="1"/>
  <c r="Y2507" i="1"/>
  <c r="Z2507" i="1"/>
  <c r="E699" i="1"/>
  <c r="AQ698" i="1"/>
  <c r="AR698" i="1" s="1"/>
  <c r="AS698" i="1" s="1"/>
  <c r="AC610" i="1" l="1"/>
  <c r="AF609" i="1"/>
  <c r="L612" i="1"/>
  <c r="AJ611" i="1"/>
  <c r="AT611" i="1" s="1"/>
  <c r="N2509" i="1"/>
  <c r="Y2508" i="1"/>
  <c r="Z2508" i="1"/>
  <c r="E700" i="1"/>
  <c r="AQ699" i="1"/>
  <c r="AR699" i="1" s="1"/>
  <c r="AS699" i="1" s="1"/>
  <c r="AC611" i="1" l="1"/>
  <c r="AF610" i="1"/>
  <c r="L613" i="1"/>
  <c r="AJ612" i="1"/>
  <c r="AT612" i="1" s="1"/>
  <c r="N2510" i="1"/>
  <c r="Y2509" i="1"/>
  <c r="Z2509" i="1"/>
  <c r="E701" i="1"/>
  <c r="AQ700" i="1"/>
  <c r="AR700" i="1" s="1"/>
  <c r="AS700" i="1" s="1"/>
  <c r="AC612" i="1" l="1"/>
  <c r="AF611" i="1"/>
  <c r="L614" i="1"/>
  <c r="AJ613" i="1"/>
  <c r="AT613" i="1" s="1"/>
  <c r="N2511" i="1"/>
  <c r="Y2510" i="1"/>
  <c r="Z2510" i="1"/>
  <c r="E702" i="1"/>
  <c r="AQ701" i="1"/>
  <c r="AR701" i="1" s="1"/>
  <c r="AS701" i="1" s="1"/>
  <c r="AC613" i="1" l="1"/>
  <c r="AF612" i="1"/>
  <c r="L615" i="1"/>
  <c r="AJ614" i="1"/>
  <c r="AT614" i="1" s="1"/>
  <c r="N2512" i="1"/>
  <c r="Y2511" i="1"/>
  <c r="Z2511" i="1"/>
  <c r="E703" i="1"/>
  <c r="AQ702" i="1"/>
  <c r="AR702" i="1" s="1"/>
  <c r="AS702" i="1" s="1"/>
  <c r="AC614" i="1" l="1"/>
  <c r="AF613" i="1"/>
  <c r="L616" i="1"/>
  <c r="AJ615" i="1"/>
  <c r="AT615" i="1" s="1"/>
  <c r="N2513" i="1"/>
  <c r="Y2512" i="1"/>
  <c r="Z2512" i="1"/>
  <c r="E704" i="1"/>
  <c r="AQ703" i="1"/>
  <c r="AR703" i="1" s="1"/>
  <c r="AS703" i="1" s="1"/>
  <c r="AC615" i="1" l="1"/>
  <c r="AF614" i="1"/>
  <c r="L617" i="1"/>
  <c r="AJ616" i="1"/>
  <c r="AT616" i="1" s="1"/>
  <c r="N2514" i="1"/>
  <c r="Y2513" i="1"/>
  <c r="Z2513" i="1"/>
  <c r="E705" i="1"/>
  <c r="AQ704" i="1"/>
  <c r="AR704" i="1" s="1"/>
  <c r="AS704" i="1" s="1"/>
  <c r="AC616" i="1" l="1"/>
  <c r="AF615" i="1"/>
  <c r="L618" i="1"/>
  <c r="AJ617" i="1"/>
  <c r="AT617" i="1" s="1"/>
  <c r="N2515" i="1"/>
  <c r="Y2514" i="1"/>
  <c r="Z2514" i="1"/>
  <c r="E706" i="1"/>
  <c r="AQ705" i="1"/>
  <c r="AR705" i="1" s="1"/>
  <c r="AS705" i="1" s="1"/>
  <c r="AC617" i="1" l="1"/>
  <c r="AF616" i="1"/>
  <c r="L619" i="1"/>
  <c r="AJ618" i="1"/>
  <c r="AT618" i="1" s="1"/>
  <c r="N2516" i="1"/>
  <c r="Y2515" i="1"/>
  <c r="Z2515" i="1"/>
  <c r="E707" i="1"/>
  <c r="AQ706" i="1"/>
  <c r="AR706" i="1" s="1"/>
  <c r="AS706" i="1" s="1"/>
  <c r="AC618" i="1" l="1"/>
  <c r="AF617" i="1"/>
  <c r="L620" i="1"/>
  <c r="AJ619" i="1"/>
  <c r="AT619" i="1" s="1"/>
  <c r="N2517" i="1"/>
  <c r="Y2516" i="1"/>
  <c r="Z2516" i="1"/>
  <c r="E708" i="1"/>
  <c r="AQ707" i="1"/>
  <c r="AR707" i="1" s="1"/>
  <c r="AS707" i="1" s="1"/>
  <c r="AC619" i="1" l="1"/>
  <c r="AF618" i="1"/>
  <c r="L621" i="1"/>
  <c r="AJ620" i="1"/>
  <c r="AT620" i="1" s="1"/>
  <c r="N2518" i="1"/>
  <c r="Y2517" i="1"/>
  <c r="Z2517" i="1"/>
  <c r="E709" i="1"/>
  <c r="AQ708" i="1"/>
  <c r="AR708" i="1" s="1"/>
  <c r="AS708" i="1" s="1"/>
  <c r="AC620" i="1" l="1"/>
  <c r="AF619" i="1"/>
  <c r="L622" i="1"/>
  <c r="AJ621" i="1"/>
  <c r="AT621" i="1" s="1"/>
  <c r="N2519" i="1"/>
  <c r="Y2518" i="1"/>
  <c r="Z2518" i="1"/>
  <c r="E710" i="1"/>
  <c r="AQ709" i="1"/>
  <c r="AR709" i="1" s="1"/>
  <c r="AS709" i="1" s="1"/>
  <c r="AC621" i="1" l="1"/>
  <c r="AF620" i="1"/>
  <c r="L623" i="1"/>
  <c r="AJ622" i="1"/>
  <c r="AT622" i="1" s="1"/>
  <c r="N2520" i="1"/>
  <c r="Y2519" i="1"/>
  <c r="Z2519" i="1"/>
  <c r="E711" i="1"/>
  <c r="AQ710" i="1"/>
  <c r="AR710" i="1" s="1"/>
  <c r="AS710" i="1" s="1"/>
  <c r="AC622" i="1" l="1"/>
  <c r="AF621" i="1"/>
  <c r="L624" i="1"/>
  <c r="AJ623" i="1"/>
  <c r="AT623" i="1" s="1"/>
  <c r="N2521" i="1"/>
  <c r="Y2520" i="1"/>
  <c r="Z2520" i="1"/>
  <c r="E712" i="1"/>
  <c r="AQ711" i="1"/>
  <c r="AR711" i="1" s="1"/>
  <c r="AS711" i="1" s="1"/>
  <c r="AC623" i="1" l="1"/>
  <c r="AF622" i="1"/>
  <c r="L625" i="1"/>
  <c r="AJ624" i="1"/>
  <c r="AT624" i="1" s="1"/>
  <c r="N2522" i="1"/>
  <c r="Y2521" i="1"/>
  <c r="Z2521" i="1"/>
  <c r="E713" i="1"/>
  <c r="AQ712" i="1"/>
  <c r="AR712" i="1" s="1"/>
  <c r="AS712" i="1" s="1"/>
  <c r="AC624" i="1" l="1"/>
  <c r="AF623" i="1"/>
  <c r="L626" i="1"/>
  <c r="AJ625" i="1"/>
  <c r="AT625" i="1" s="1"/>
  <c r="N2523" i="1"/>
  <c r="Y2522" i="1"/>
  <c r="Z2522" i="1"/>
  <c r="E714" i="1"/>
  <c r="AQ713" i="1"/>
  <c r="AR713" i="1" s="1"/>
  <c r="AS713" i="1" s="1"/>
  <c r="AC625" i="1" l="1"/>
  <c r="AF624" i="1"/>
  <c r="L627" i="1"/>
  <c r="AJ626" i="1"/>
  <c r="AT626" i="1" s="1"/>
  <c r="N2524" i="1"/>
  <c r="Y2523" i="1"/>
  <c r="Z2523" i="1"/>
  <c r="E715" i="1"/>
  <c r="AQ714" i="1"/>
  <c r="AR714" i="1" s="1"/>
  <c r="AS714" i="1" s="1"/>
  <c r="AC626" i="1" l="1"/>
  <c r="AF625" i="1"/>
  <c r="L628" i="1"/>
  <c r="AJ627" i="1"/>
  <c r="AT627" i="1" s="1"/>
  <c r="N2525" i="1"/>
  <c r="Y2524" i="1"/>
  <c r="Z2524" i="1"/>
  <c r="E716" i="1"/>
  <c r="AQ715" i="1"/>
  <c r="AR715" i="1" s="1"/>
  <c r="AS715" i="1" s="1"/>
  <c r="AC627" i="1" l="1"/>
  <c r="AF626" i="1"/>
  <c r="L629" i="1"/>
  <c r="AJ628" i="1"/>
  <c r="AT628" i="1" s="1"/>
  <c r="N2526" i="1"/>
  <c r="Y2525" i="1"/>
  <c r="Z2525" i="1"/>
  <c r="E717" i="1"/>
  <c r="AQ716" i="1"/>
  <c r="AR716" i="1" s="1"/>
  <c r="AS716" i="1" s="1"/>
  <c r="AC628" i="1" l="1"/>
  <c r="AF627" i="1"/>
  <c r="L630" i="1"/>
  <c r="AJ629" i="1"/>
  <c r="AT629" i="1" s="1"/>
  <c r="N2527" i="1"/>
  <c r="Y2526" i="1"/>
  <c r="Z2526" i="1"/>
  <c r="E718" i="1"/>
  <c r="AQ717" i="1"/>
  <c r="AR717" i="1" s="1"/>
  <c r="AS717" i="1" s="1"/>
  <c r="AC629" i="1" l="1"/>
  <c r="AF628" i="1"/>
  <c r="L631" i="1"/>
  <c r="AJ630" i="1"/>
  <c r="AT630" i="1" s="1"/>
  <c r="N2528" i="1"/>
  <c r="Y2527" i="1"/>
  <c r="Z2527" i="1"/>
  <c r="E719" i="1"/>
  <c r="AQ718" i="1"/>
  <c r="AR718" i="1" s="1"/>
  <c r="AS718" i="1" s="1"/>
  <c r="AC630" i="1" l="1"/>
  <c r="AF629" i="1"/>
  <c r="L632" i="1"/>
  <c r="AJ631" i="1"/>
  <c r="AT631" i="1" s="1"/>
  <c r="N2529" i="1"/>
  <c r="Y2528" i="1"/>
  <c r="Z2528" i="1"/>
  <c r="E720" i="1"/>
  <c r="AQ719" i="1"/>
  <c r="AR719" i="1" s="1"/>
  <c r="AS719" i="1" s="1"/>
  <c r="AC631" i="1" l="1"/>
  <c r="AF630" i="1"/>
  <c r="L633" i="1"/>
  <c r="AJ632" i="1"/>
  <c r="AT632" i="1" s="1"/>
  <c r="N2530" i="1"/>
  <c r="Y2529" i="1"/>
  <c r="Z2529" i="1"/>
  <c r="E721" i="1"/>
  <c r="AQ720" i="1"/>
  <c r="AR720" i="1" s="1"/>
  <c r="AS720" i="1" s="1"/>
  <c r="AC632" i="1" l="1"/>
  <c r="AF631" i="1"/>
  <c r="L634" i="1"/>
  <c r="AJ633" i="1"/>
  <c r="AT633" i="1" s="1"/>
  <c r="N2531" i="1"/>
  <c r="Y2530" i="1"/>
  <c r="Z2530" i="1"/>
  <c r="E722" i="1"/>
  <c r="AQ721" i="1"/>
  <c r="AR721" i="1" s="1"/>
  <c r="AS721" i="1" s="1"/>
  <c r="AC633" i="1" l="1"/>
  <c r="AF632" i="1"/>
  <c r="L635" i="1"/>
  <c r="AJ634" i="1"/>
  <c r="AT634" i="1" s="1"/>
  <c r="N2532" i="1"/>
  <c r="Y2531" i="1"/>
  <c r="Z2531" i="1"/>
  <c r="E723" i="1"/>
  <c r="AQ722" i="1"/>
  <c r="AR722" i="1" s="1"/>
  <c r="AS722" i="1" s="1"/>
  <c r="AC634" i="1" l="1"/>
  <c r="AF633" i="1"/>
  <c r="L636" i="1"/>
  <c r="AJ635" i="1"/>
  <c r="AT635" i="1" s="1"/>
  <c r="N2533" i="1"/>
  <c r="Y2532" i="1"/>
  <c r="Z2532" i="1"/>
  <c r="E724" i="1"/>
  <c r="AQ723" i="1"/>
  <c r="AR723" i="1" s="1"/>
  <c r="AS723" i="1" s="1"/>
  <c r="AC635" i="1" l="1"/>
  <c r="AF634" i="1"/>
  <c r="L637" i="1"/>
  <c r="AJ636" i="1"/>
  <c r="AT636" i="1" s="1"/>
  <c r="N2534" i="1"/>
  <c r="Y2533" i="1"/>
  <c r="Z2533" i="1"/>
  <c r="E725" i="1"/>
  <c r="AQ724" i="1"/>
  <c r="AR724" i="1" s="1"/>
  <c r="AS724" i="1" s="1"/>
  <c r="AC636" i="1" l="1"/>
  <c r="AF635" i="1"/>
  <c r="L638" i="1"/>
  <c r="AJ637" i="1"/>
  <c r="AT637" i="1" s="1"/>
  <c r="N2535" i="1"/>
  <c r="Y2534" i="1"/>
  <c r="Z2534" i="1"/>
  <c r="E726" i="1"/>
  <c r="AQ725" i="1"/>
  <c r="AR725" i="1" s="1"/>
  <c r="AS725" i="1" s="1"/>
  <c r="AC637" i="1" l="1"/>
  <c r="AF636" i="1"/>
  <c r="L639" i="1"/>
  <c r="AJ638" i="1"/>
  <c r="AT638" i="1" s="1"/>
  <c r="N2536" i="1"/>
  <c r="Y2535" i="1"/>
  <c r="Z2535" i="1"/>
  <c r="E727" i="1"/>
  <c r="AQ726" i="1"/>
  <c r="AR726" i="1" s="1"/>
  <c r="AS726" i="1" s="1"/>
  <c r="AC638" i="1" l="1"/>
  <c r="AF637" i="1"/>
  <c r="L640" i="1"/>
  <c r="AJ639" i="1"/>
  <c r="AT639" i="1" s="1"/>
  <c r="N2537" i="1"/>
  <c r="Y2536" i="1"/>
  <c r="Z2536" i="1"/>
  <c r="E728" i="1"/>
  <c r="AQ727" i="1"/>
  <c r="AR727" i="1" s="1"/>
  <c r="AS727" i="1" s="1"/>
  <c r="AC639" i="1" l="1"/>
  <c r="AF638" i="1"/>
  <c r="L641" i="1"/>
  <c r="AJ640" i="1"/>
  <c r="AT640" i="1" s="1"/>
  <c r="N2538" i="1"/>
  <c r="Y2537" i="1"/>
  <c r="Z2537" i="1"/>
  <c r="E729" i="1"/>
  <c r="AQ728" i="1"/>
  <c r="AR728" i="1" s="1"/>
  <c r="AS728" i="1" s="1"/>
  <c r="AC640" i="1" l="1"/>
  <c r="AF639" i="1"/>
  <c r="L642" i="1"/>
  <c r="AJ641" i="1"/>
  <c r="AT641" i="1" s="1"/>
  <c r="N2539" i="1"/>
  <c r="Y2538" i="1"/>
  <c r="Z2538" i="1"/>
  <c r="E730" i="1"/>
  <c r="AQ729" i="1"/>
  <c r="AR729" i="1" s="1"/>
  <c r="AS729" i="1" s="1"/>
  <c r="AC641" i="1" l="1"/>
  <c r="AF640" i="1"/>
  <c r="L643" i="1"/>
  <c r="AJ642" i="1"/>
  <c r="AT642" i="1" s="1"/>
  <c r="N2540" i="1"/>
  <c r="Y2539" i="1"/>
  <c r="Z2539" i="1"/>
  <c r="E731" i="1"/>
  <c r="AQ730" i="1"/>
  <c r="AR730" i="1" s="1"/>
  <c r="AS730" i="1" s="1"/>
  <c r="AC642" i="1" l="1"/>
  <c r="AF641" i="1"/>
  <c r="L644" i="1"/>
  <c r="AJ643" i="1"/>
  <c r="AT643" i="1" s="1"/>
  <c r="N2541" i="1"/>
  <c r="Y2540" i="1"/>
  <c r="Z2540" i="1"/>
  <c r="E732" i="1"/>
  <c r="AQ731" i="1"/>
  <c r="AR731" i="1" s="1"/>
  <c r="AS731" i="1" s="1"/>
  <c r="AC643" i="1" l="1"/>
  <c r="AF642" i="1"/>
  <c r="L645" i="1"/>
  <c r="AJ644" i="1"/>
  <c r="AT644" i="1" s="1"/>
  <c r="N2542" i="1"/>
  <c r="Y2541" i="1"/>
  <c r="Z2541" i="1"/>
  <c r="E733" i="1"/>
  <c r="AQ732" i="1"/>
  <c r="AR732" i="1" s="1"/>
  <c r="AS732" i="1" s="1"/>
  <c r="AC644" i="1" l="1"/>
  <c r="AF643" i="1"/>
  <c r="L646" i="1"/>
  <c r="AJ645" i="1"/>
  <c r="AT645" i="1" s="1"/>
  <c r="N2543" i="1"/>
  <c r="Y2542" i="1"/>
  <c r="Z2542" i="1"/>
  <c r="E734" i="1"/>
  <c r="AQ733" i="1"/>
  <c r="AR733" i="1" s="1"/>
  <c r="AS733" i="1" s="1"/>
  <c r="AC645" i="1" l="1"/>
  <c r="AF644" i="1"/>
  <c r="L647" i="1"/>
  <c r="AJ646" i="1"/>
  <c r="AT646" i="1" s="1"/>
  <c r="N2544" i="1"/>
  <c r="Y2543" i="1"/>
  <c r="Z2543" i="1"/>
  <c r="E735" i="1"/>
  <c r="AQ734" i="1"/>
  <c r="AR734" i="1" s="1"/>
  <c r="AS734" i="1" s="1"/>
  <c r="AC646" i="1" l="1"/>
  <c r="AF645" i="1"/>
  <c r="L648" i="1"/>
  <c r="AJ647" i="1"/>
  <c r="AT647" i="1" s="1"/>
  <c r="N2545" i="1"/>
  <c r="Y2544" i="1"/>
  <c r="Z2544" i="1"/>
  <c r="E736" i="1"/>
  <c r="AQ735" i="1"/>
  <c r="AR735" i="1" s="1"/>
  <c r="AS735" i="1" s="1"/>
  <c r="AC647" i="1" l="1"/>
  <c r="AF646" i="1"/>
  <c r="L649" i="1"/>
  <c r="AJ648" i="1"/>
  <c r="AT648" i="1" s="1"/>
  <c r="N2546" i="1"/>
  <c r="Y2545" i="1"/>
  <c r="Z2545" i="1"/>
  <c r="E737" i="1"/>
  <c r="AQ736" i="1"/>
  <c r="AR736" i="1" s="1"/>
  <c r="AS736" i="1" s="1"/>
  <c r="AC648" i="1" l="1"/>
  <c r="AF647" i="1"/>
  <c r="L650" i="1"/>
  <c r="AJ649" i="1"/>
  <c r="AT649" i="1" s="1"/>
  <c r="N2547" i="1"/>
  <c r="Y2546" i="1"/>
  <c r="Z2546" i="1"/>
  <c r="E738" i="1"/>
  <c r="AQ737" i="1"/>
  <c r="AR737" i="1" s="1"/>
  <c r="AS737" i="1" s="1"/>
  <c r="AC649" i="1" l="1"/>
  <c r="AF648" i="1"/>
  <c r="L651" i="1"/>
  <c r="AJ650" i="1"/>
  <c r="AT650" i="1" s="1"/>
  <c r="N2548" i="1"/>
  <c r="Y2547" i="1"/>
  <c r="Z2547" i="1"/>
  <c r="E739" i="1"/>
  <c r="AQ738" i="1"/>
  <c r="AR738" i="1" s="1"/>
  <c r="AS738" i="1" s="1"/>
  <c r="AC650" i="1" l="1"/>
  <c r="AF649" i="1"/>
  <c r="L652" i="1"/>
  <c r="AJ651" i="1"/>
  <c r="AT651" i="1" s="1"/>
  <c r="N2549" i="1"/>
  <c r="Y2548" i="1"/>
  <c r="Z2548" i="1"/>
  <c r="E740" i="1"/>
  <c r="AQ739" i="1"/>
  <c r="AR739" i="1" s="1"/>
  <c r="AS739" i="1" s="1"/>
  <c r="AC651" i="1" l="1"/>
  <c r="AF650" i="1"/>
  <c r="L653" i="1"/>
  <c r="AJ652" i="1"/>
  <c r="AT652" i="1" s="1"/>
  <c r="N2550" i="1"/>
  <c r="Y2549" i="1"/>
  <c r="Z2549" i="1"/>
  <c r="E741" i="1"/>
  <c r="AQ740" i="1"/>
  <c r="AR740" i="1" s="1"/>
  <c r="AS740" i="1" s="1"/>
  <c r="AC652" i="1" l="1"/>
  <c r="AF651" i="1"/>
  <c r="L654" i="1"/>
  <c r="AJ653" i="1"/>
  <c r="AT653" i="1" s="1"/>
  <c r="N2551" i="1"/>
  <c r="Y2550" i="1"/>
  <c r="Z2550" i="1"/>
  <c r="E742" i="1"/>
  <c r="AQ741" i="1"/>
  <c r="AR741" i="1" s="1"/>
  <c r="AS741" i="1" s="1"/>
  <c r="AC653" i="1" l="1"/>
  <c r="AF652" i="1"/>
  <c r="L655" i="1"/>
  <c r="AJ654" i="1"/>
  <c r="AT654" i="1" s="1"/>
  <c r="N2552" i="1"/>
  <c r="Y2551" i="1"/>
  <c r="Z2551" i="1"/>
  <c r="E743" i="1"/>
  <c r="AQ742" i="1"/>
  <c r="AR742" i="1" s="1"/>
  <c r="AS742" i="1" s="1"/>
  <c r="AC654" i="1" l="1"/>
  <c r="AF653" i="1"/>
  <c r="L656" i="1"/>
  <c r="AJ655" i="1"/>
  <c r="AT655" i="1" s="1"/>
  <c r="N2553" i="1"/>
  <c r="Y2552" i="1"/>
  <c r="Z2552" i="1"/>
  <c r="E744" i="1"/>
  <c r="AQ743" i="1"/>
  <c r="AR743" i="1" s="1"/>
  <c r="AS743" i="1" s="1"/>
  <c r="AC655" i="1" l="1"/>
  <c r="AF654" i="1"/>
  <c r="L657" i="1"/>
  <c r="AJ656" i="1"/>
  <c r="AT656" i="1" s="1"/>
  <c r="N2554" i="1"/>
  <c r="Y2553" i="1"/>
  <c r="Z2553" i="1"/>
  <c r="E745" i="1"/>
  <c r="AQ744" i="1"/>
  <c r="AR744" i="1" s="1"/>
  <c r="AS744" i="1" s="1"/>
  <c r="AC656" i="1" l="1"/>
  <c r="AF655" i="1"/>
  <c r="L658" i="1"/>
  <c r="AJ657" i="1"/>
  <c r="AT657" i="1" s="1"/>
  <c r="N2555" i="1"/>
  <c r="Y2554" i="1"/>
  <c r="Z2554" i="1"/>
  <c r="E746" i="1"/>
  <c r="AQ745" i="1"/>
  <c r="AR745" i="1" s="1"/>
  <c r="AS745" i="1" s="1"/>
  <c r="AC657" i="1" l="1"/>
  <c r="AF656" i="1"/>
  <c r="L659" i="1"/>
  <c r="AJ658" i="1"/>
  <c r="AT658" i="1" s="1"/>
  <c r="N2556" i="1"/>
  <c r="Y2555" i="1"/>
  <c r="Z2555" i="1"/>
  <c r="E747" i="1"/>
  <c r="AQ746" i="1"/>
  <c r="AR746" i="1" s="1"/>
  <c r="AS746" i="1" s="1"/>
  <c r="AC658" i="1" l="1"/>
  <c r="AF657" i="1"/>
  <c r="L660" i="1"/>
  <c r="AJ659" i="1"/>
  <c r="AT659" i="1" s="1"/>
  <c r="N2557" i="1"/>
  <c r="Y2556" i="1"/>
  <c r="Z2556" i="1"/>
  <c r="E748" i="1"/>
  <c r="AQ747" i="1"/>
  <c r="AR747" i="1" s="1"/>
  <c r="AS747" i="1" s="1"/>
  <c r="AC659" i="1" l="1"/>
  <c r="AF658" i="1"/>
  <c r="L661" i="1"/>
  <c r="AJ660" i="1"/>
  <c r="AT660" i="1" s="1"/>
  <c r="N2558" i="1"/>
  <c r="Y2557" i="1"/>
  <c r="Z2557" i="1"/>
  <c r="E749" i="1"/>
  <c r="AQ748" i="1"/>
  <c r="AR748" i="1" s="1"/>
  <c r="AS748" i="1" s="1"/>
  <c r="AC660" i="1" l="1"/>
  <c r="AF659" i="1"/>
  <c r="L662" i="1"/>
  <c r="AJ661" i="1"/>
  <c r="AT661" i="1" s="1"/>
  <c r="N2559" i="1"/>
  <c r="Y2558" i="1"/>
  <c r="Z2558" i="1"/>
  <c r="E750" i="1"/>
  <c r="AQ749" i="1"/>
  <c r="AR749" i="1" s="1"/>
  <c r="AS749" i="1" s="1"/>
  <c r="AC661" i="1" l="1"/>
  <c r="AF660" i="1"/>
  <c r="L663" i="1"/>
  <c r="AJ662" i="1"/>
  <c r="AT662" i="1" s="1"/>
  <c r="N2560" i="1"/>
  <c r="Y2559" i="1"/>
  <c r="Z2559" i="1"/>
  <c r="E751" i="1"/>
  <c r="AQ750" i="1"/>
  <c r="AR750" i="1" s="1"/>
  <c r="AS750" i="1" s="1"/>
  <c r="AC662" i="1" l="1"/>
  <c r="AF661" i="1"/>
  <c r="L664" i="1"/>
  <c r="AJ663" i="1"/>
  <c r="AT663" i="1" s="1"/>
  <c r="N2561" i="1"/>
  <c r="Y2560" i="1"/>
  <c r="Z2560" i="1"/>
  <c r="E752" i="1"/>
  <c r="AQ751" i="1"/>
  <c r="AR751" i="1" s="1"/>
  <c r="AS751" i="1" s="1"/>
  <c r="AC663" i="1" l="1"/>
  <c r="AF662" i="1"/>
  <c r="L665" i="1"/>
  <c r="AJ664" i="1"/>
  <c r="AT664" i="1" s="1"/>
  <c r="N2562" i="1"/>
  <c r="Y2561" i="1"/>
  <c r="Z2561" i="1"/>
  <c r="E753" i="1"/>
  <c r="AQ752" i="1"/>
  <c r="AR752" i="1" s="1"/>
  <c r="AS752" i="1" s="1"/>
  <c r="AC664" i="1" l="1"/>
  <c r="AF663" i="1"/>
  <c r="L666" i="1"/>
  <c r="AJ665" i="1"/>
  <c r="AT665" i="1" s="1"/>
  <c r="N2563" i="1"/>
  <c r="Y2562" i="1"/>
  <c r="Z2562" i="1"/>
  <c r="E754" i="1"/>
  <c r="AQ753" i="1"/>
  <c r="AR753" i="1" s="1"/>
  <c r="AS753" i="1" s="1"/>
  <c r="AC665" i="1" l="1"/>
  <c r="AF664" i="1"/>
  <c r="L667" i="1"/>
  <c r="AJ666" i="1"/>
  <c r="AT666" i="1" s="1"/>
  <c r="N2564" i="1"/>
  <c r="Y2563" i="1"/>
  <c r="Z2563" i="1"/>
  <c r="E755" i="1"/>
  <c r="AQ754" i="1"/>
  <c r="AR754" i="1" s="1"/>
  <c r="AS754" i="1" s="1"/>
  <c r="AC666" i="1" l="1"/>
  <c r="AF665" i="1"/>
  <c r="L668" i="1"/>
  <c r="AJ667" i="1"/>
  <c r="AT667" i="1" s="1"/>
  <c r="N2565" i="1"/>
  <c r="Y2564" i="1"/>
  <c r="Z2564" i="1"/>
  <c r="E756" i="1"/>
  <c r="AQ755" i="1"/>
  <c r="AR755" i="1" s="1"/>
  <c r="AS755" i="1" s="1"/>
  <c r="AC667" i="1" l="1"/>
  <c r="AF666" i="1"/>
  <c r="L669" i="1"/>
  <c r="AJ668" i="1"/>
  <c r="AT668" i="1" s="1"/>
  <c r="N2566" i="1"/>
  <c r="Y2565" i="1"/>
  <c r="Z2565" i="1"/>
  <c r="E757" i="1"/>
  <c r="AQ756" i="1"/>
  <c r="AR756" i="1" s="1"/>
  <c r="AS756" i="1" s="1"/>
  <c r="AC668" i="1" l="1"/>
  <c r="AF667" i="1"/>
  <c r="L670" i="1"/>
  <c r="AJ669" i="1"/>
  <c r="AT669" i="1" s="1"/>
  <c r="N2567" i="1"/>
  <c r="Y2566" i="1"/>
  <c r="Z2566" i="1"/>
  <c r="E758" i="1"/>
  <c r="AQ757" i="1"/>
  <c r="AR757" i="1" s="1"/>
  <c r="AS757" i="1" s="1"/>
  <c r="AC669" i="1" l="1"/>
  <c r="AF668" i="1"/>
  <c r="L671" i="1"/>
  <c r="AJ670" i="1"/>
  <c r="AT670" i="1" s="1"/>
  <c r="N2568" i="1"/>
  <c r="Y2567" i="1"/>
  <c r="Z2567" i="1"/>
  <c r="E759" i="1"/>
  <c r="AQ758" i="1"/>
  <c r="AR758" i="1" s="1"/>
  <c r="AS758" i="1" s="1"/>
  <c r="AC670" i="1" l="1"/>
  <c r="AF669" i="1"/>
  <c r="L672" i="1"/>
  <c r="AJ671" i="1"/>
  <c r="AT671" i="1" s="1"/>
  <c r="N2569" i="1"/>
  <c r="Y2568" i="1"/>
  <c r="Z2568" i="1"/>
  <c r="E760" i="1"/>
  <c r="AQ759" i="1"/>
  <c r="AR759" i="1" s="1"/>
  <c r="AS759" i="1" s="1"/>
  <c r="AC671" i="1" l="1"/>
  <c r="AF670" i="1"/>
  <c r="L673" i="1"/>
  <c r="AJ672" i="1"/>
  <c r="AT672" i="1" s="1"/>
  <c r="N2570" i="1"/>
  <c r="Y2569" i="1"/>
  <c r="Z2569" i="1"/>
  <c r="E761" i="1"/>
  <c r="AQ760" i="1"/>
  <c r="AR760" i="1" s="1"/>
  <c r="AS760" i="1" s="1"/>
  <c r="AC672" i="1" l="1"/>
  <c r="AF671" i="1"/>
  <c r="L674" i="1"/>
  <c r="AJ673" i="1"/>
  <c r="AT673" i="1" s="1"/>
  <c r="N2571" i="1"/>
  <c r="Y2570" i="1"/>
  <c r="Z2570" i="1"/>
  <c r="E762" i="1"/>
  <c r="AQ761" i="1"/>
  <c r="AR761" i="1" s="1"/>
  <c r="AS761" i="1" s="1"/>
  <c r="AC673" i="1" l="1"/>
  <c r="AF672" i="1"/>
  <c r="L675" i="1"/>
  <c r="AJ674" i="1"/>
  <c r="AT674" i="1" s="1"/>
  <c r="N2572" i="1"/>
  <c r="Y2571" i="1"/>
  <c r="Z2571" i="1"/>
  <c r="E763" i="1"/>
  <c r="AQ762" i="1"/>
  <c r="AR762" i="1" s="1"/>
  <c r="AS762" i="1" s="1"/>
  <c r="AC674" i="1" l="1"/>
  <c r="AF673" i="1"/>
  <c r="L676" i="1"/>
  <c r="AJ675" i="1"/>
  <c r="AT675" i="1" s="1"/>
  <c r="N2573" i="1"/>
  <c r="Y2572" i="1"/>
  <c r="Z2572" i="1"/>
  <c r="E764" i="1"/>
  <c r="AQ763" i="1"/>
  <c r="AR763" i="1" s="1"/>
  <c r="AS763" i="1" s="1"/>
  <c r="AC675" i="1" l="1"/>
  <c r="AF674" i="1"/>
  <c r="L677" i="1"/>
  <c r="AJ676" i="1"/>
  <c r="AT676" i="1" s="1"/>
  <c r="N2574" i="1"/>
  <c r="Y2573" i="1"/>
  <c r="Z2573" i="1"/>
  <c r="E765" i="1"/>
  <c r="AQ764" i="1"/>
  <c r="AR764" i="1" s="1"/>
  <c r="AS764" i="1" s="1"/>
  <c r="AC676" i="1" l="1"/>
  <c r="AF675" i="1"/>
  <c r="L678" i="1"/>
  <c r="AJ677" i="1"/>
  <c r="AT677" i="1" s="1"/>
  <c r="N2575" i="1"/>
  <c r="Y2574" i="1"/>
  <c r="Z2574" i="1"/>
  <c r="E766" i="1"/>
  <c r="AQ765" i="1"/>
  <c r="AR765" i="1" s="1"/>
  <c r="AS765" i="1" s="1"/>
  <c r="AC677" i="1" l="1"/>
  <c r="AF676" i="1"/>
  <c r="L679" i="1"/>
  <c r="AJ678" i="1"/>
  <c r="AT678" i="1" s="1"/>
  <c r="N2576" i="1"/>
  <c r="Y2575" i="1"/>
  <c r="Z2575" i="1"/>
  <c r="E767" i="1"/>
  <c r="AQ766" i="1"/>
  <c r="AR766" i="1" s="1"/>
  <c r="AS766" i="1" s="1"/>
  <c r="AC678" i="1" l="1"/>
  <c r="AF677" i="1"/>
  <c r="L680" i="1"/>
  <c r="AJ679" i="1"/>
  <c r="AT679" i="1" s="1"/>
  <c r="N2577" i="1"/>
  <c r="Y2576" i="1"/>
  <c r="Z2576" i="1"/>
  <c r="E768" i="1"/>
  <c r="AQ767" i="1"/>
  <c r="AR767" i="1" s="1"/>
  <c r="AS767" i="1" s="1"/>
  <c r="AC679" i="1" l="1"/>
  <c r="AF678" i="1"/>
  <c r="L681" i="1"/>
  <c r="AJ680" i="1"/>
  <c r="AT680" i="1" s="1"/>
  <c r="N2578" i="1"/>
  <c r="Y2577" i="1"/>
  <c r="Z2577" i="1"/>
  <c r="E769" i="1"/>
  <c r="AQ768" i="1"/>
  <c r="AR768" i="1" s="1"/>
  <c r="AS768" i="1" s="1"/>
  <c r="AC680" i="1" l="1"/>
  <c r="AF679" i="1"/>
  <c r="L682" i="1"/>
  <c r="AJ681" i="1"/>
  <c r="AT681" i="1" s="1"/>
  <c r="N2579" i="1"/>
  <c r="Y2578" i="1"/>
  <c r="Z2578" i="1"/>
  <c r="E770" i="1"/>
  <c r="AQ769" i="1"/>
  <c r="AR769" i="1" s="1"/>
  <c r="AS769" i="1" s="1"/>
  <c r="AC681" i="1" l="1"/>
  <c r="AF680" i="1"/>
  <c r="L683" i="1"/>
  <c r="AJ682" i="1"/>
  <c r="AT682" i="1" s="1"/>
  <c r="N2580" i="1"/>
  <c r="Y2579" i="1"/>
  <c r="Z2579" i="1"/>
  <c r="E771" i="1"/>
  <c r="AQ770" i="1"/>
  <c r="AR770" i="1" s="1"/>
  <c r="AS770" i="1" s="1"/>
  <c r="AC682" i="1" l="1"/>
  <c r="AF681" i="1"/>
  <c r="L684" i="1"/>
  <c r="AJ683" i="1"/>
  <c r="AT683" i="1" s="1"/>
  <c r="N2581" i="1"/>
  <c r="Y2580" i="1"/>
  <c r="Z2580" i="1"/>
  <c r="E772" i="1"/>
  <c r="AQ771" i="1"/>
  <c r="AR771" i="1" s="1"/>
  <c r="AS771" i="1" s="1"/>
  <c r="AC683" i="1" l="1"/>
  <c r="AF682" i="1"/>
  <c r="L685" i="1"/>
  <c r="AJ684" i="1"/>
  <c r="AT684" i="1" s="1"/>
  <c r="N2582" i="1"/>
  <c r="Y2581" i="1"/>
  <c r="Z2581" i="1"/>
  <c r="E773" i="1"/>
  <c r="AQ772" i="1"/>
  <c r="AR772" i="1" s="1"/>
  <c r="AS772" i="1" s="1"/>
  <c r="AC684" i="1" l="1"/>
  <c r="AF683" i="1"/>
  <c r="L686" i="1"/>
  <c r="AJ685" i="1"/>
  <c r="AT685" i="1" s="1"/>
  <c r="N2583" i="1"/>
  <c r="Y2582" i="1"/>
  <c r="Z2582" i="1"/>
  <c r="E774" i="1"/>
  <c r="AQ773" i="1"/>
  <c r="AR773" i="1" s="1"/>
  <c r="AS773" i="1" s="1"/>
  <c r="AC685" i="1" l="1"/>
  <c r="AF684" i="1"/>
  <c r="L687" i="1"/>
  <c r="AJ686" i="1"/>
  <c r="AT686" i="1" s="1"/>
  <c r="N2584" i="1"/>
  <c r="Y2583" i="1"/>
  <c r="Z2583" i="1"/>
  <c r="E775" i="1"/>
  <c r="AQ774" i="1"/>
  <c r="AR774" i="1" s="1"/>
  <c r="AS774" i="1" s="1"/>
  <c r="AC686" i="1" l="1"/>
  <c r="AF685" i="1"/>
  <c r="L688" i="1"/>
  <c r="AJ687" i="1"/>
  <c r="AT687" i="1" s="1"/>
  <c r="N2585" i="1"/>
  <c r="Y2584" i="1"/>
  <c r="Z2584" i="1"/>
  <c r="E776" i="1"/>
  <c r="AQ775" i="1"/>
  <c r="AR775" i="1" s="1"/>
  <c r="AS775" i="1" s="1"/>
  <c r="AC687" i="1" l="1"/>
  <c r="AF686" i="1"/>
  <c r="L689" i="1"/>
  <c r="AJ688" i="1"/>
  <c r="AT688" i="1" s="1"/>
  <c r="N2586" i="1"/>
  <c r="Y2585" i="1"/>
  <c r="Z2585" i="1"/>
  <c r="E777" i="1"/>
  <c r="AQ776" i="1"/>
  <c r="AR776" i="1" s="1"/>
  <c r="AS776" i="1" s="1"/>
  <c r="AC688" i="1" l="1"/>
  <c r="AF687" i="1"/>
  <c r="L690" i="1"/>
  <c r="AJ689" i="1"/>
  <c r="AT689" i="1" s="1"/>
  <c r="N2587" i="1"/>
  <c r="Y2586" i="1"/>
  <c r="Z2586" i="1"/>
  <c r="E778" i="1"/>
  <c r="AQ777" i="1"/>
  <c r="AR777" i="1" s="1"/>
  <c r="AS777" i="1" s="1"/>
  <c r="AC689" i="1" l="1"/>
  <c r="AF688" i="1"/>
  <c r="L691" i="1"/>
  <c r="AJ690" i="1"/>
  <c r="AT690" i="1" s="1"/>
  <c r="N2588" i="1"/>
  <c r="Y2587" i="1"/>
  <c r="Z2587" i="1"/>
  <c r="E779" i="1"/>
  <c r="AQ778" i="1"/>
  <c r="AR778" i="1" s="1"/>
  <c r="AS778" i="1" s="1"/>
  <c r="AC690" i="1" l="1"/>
  <c r="AF689" i="1"/>
  <c r="L692" i="1"/>
  <c r="AJ691" i="1"/>
  <c r="AT691" i="1" s="1"/>
  <c r="N2589" i="1"/>
  <c r="Y2588" i="1"/>
  <c r="Z2588" i="1"/>
  <c r="E780" i="1"/>
  <c r="AQ779" i="1"/>
  <c r="AR779" i="1" s="1"/>
  <c r="AS779" i="1" s="1"/>
  <c r="AC691" i="1" l="1"/>
  <c r="AF690" i="1"/>
  <c r="L693" i="1"/>
  <c r="AJ692" i="1"/>
  <c r="AT692" i="1" s="1"/>
  <c r="N2590" i="1"/>
  <c r="Y2589" i="1"/>
  <c r="Z2589" i="1"/>
  <c r="E781" i="1"/>
  <c r="AQ780" i="1"/>
  <c r="AR780" i="1" s="1"/>
  <c r="AS780" i="1" s="1"/>
  <c r="AC692" i="1" l="1"/>
  <c r="AF691" i="1"/>
  <c r="L694" i="1"/>
  <c r="AJ693" i="1"/>
  <c r="AT693" i="1" s="1"/>
  <c r="N2591" i="1"/>
  <c r="Y2590" i="1"/>
  <c r="Z2590" i="1"/>
  <c r="E782" i="1"/>
  <c r="AQ781" i="1"/>
  <c r="AR781" i="1" s="1"/>
  <c r="AS781" i="1" s="1"/>
  <c r="AC693" i="1" l="1"/>
  <c r="AF692" i="1"/>
  <c r="L695" i="1"/>
  <c r="AJ694" i="1"/>
  <c r="AT694" i="1" s="1"/>
  <c r="N2592" i="1"/>
  <c r="Y2591" i="1"/>
  <c r="Z2591" i="1"/>
  <c r="E783" i="1"/>
  <c r="AQ782" i="1"/>
  <c r="AR782" i="1" s="1"/>
  <c r="AS782" i="1" s="1"/>
  <c r="AC694" i="1" l="1"/>
  <c r="AF693" i="1"/>
  <c r="L696" i="1"/>
  <c r="AJ695" i="1"/>
  <c r="AT695" i="1" s="1"/>
  <c r="N2593" i="1"/>
  <c r="Y2592" i="1"/>
  <c r="Z2592" i="1"/>
  <c r="E784" i="1"/>
  <c r="AQ783" i="1"/>
  <c r="AR783" i="1" s="1"/>
  <c r="AS783" i="1" s="1"/>
  <c r="AC695" i="1" l="1"/>
  <c r="AF694" i="1"/>
  <c r="L697" i="1"/>
  <c r="AJ696" i="1"/>
  <c r="AT696" i="1" s="1"/>
  <c r="N2594" i="1"/>
  <c r="Y2593" i="1"/>
  <c r="Z2593" i="1"/>
  <c r="E785" i="1"/>
  <c r="AQ784" i="1"/>
  <c r="AR784" i="1" s="1"/>
  <c r="AS784" i="1" s="1"/>
  <c r="AC696" i="1" l="1"/>
  <c r="AF695" i="1"/>
  <c r="L698" i="1"/>
  <c r="AJ697" i="1"/>
  <c r="AT697" i="1" s="1"/>
  <c r="N2595" i="1"/>
  <c r="Y2594" i="1"/>
  <c r="Z2594" i="1"/>
  <c r="E786" i="1"/>
  <c r="AQ785" i="1"/>
  <c r="AR785" i="1" s="1"/>
  <c r="AS785" i="1" s="1"/>
  <c r="AC697" i="1" l="1"/>
  <c r="AF696" i="1"/>
  <c r="L699" i="1"/>
  <c r="AJ698" i="1"/>
  <c r="AT698" i="1" s="1"/>
  <c r="N2596" i="1"/>
  <c r="Y2595" i="1"/>
  <c r="Z2595" i="1"/>
  <c r="E787" i="1"/>
  <c r="AQ786" i="1"/>
  <c r="AR786" i="1" s="1"/>
  <c r="AS786" i="1" s="1"/>
  <c r="AC698" i="1" l="1"/>
  <c r="AF697" i="1"/>
  <c r="L700" i="1"/>
  <c r="AJ699" i="1"/>
  <c r="AT699" i="1" s="1"/>
  <c r="N2597" i="1"/>
  <c r="Y2596" i="1"/>
  <c r="Z2596" i="1"/>
  <c r="E788" i="1"/>
  <c r="AQ787" i="1"/>
  <c r="AR787" i="1" s="1"/>
  <c r="AS787" i="1" s="1"/>
  <c r="AC699" i="1" l="1"/>
  <c r="AF698" i="1"/>
  <c r="L701" i="1"/>
  <c r="AJ700" i="1"/>
  <c r="AT700" i="1" s="1"/>
  <c r="N2598" i="1"/>
  <c r="Y2597" i="1"/>
  <c r="Z2597" i="1"/>
  <c r="E789" i="1"/>
  <c r="AQ788" i="1"/>
  <c r="AR788" i="1" s="1"/>
  <c r="AS788" i="1" s="1"/>
  <c r="AC700" i="1" l="1"/>
  <c r="AF699" i="1"/>
  <c r="L702" i="1"/>
  <c r="AJ701" i="1"/>
  <c r="AT701" i="1" s="1"/>
  <c r="N2599" i="1"/>
  <c r="Y2598" i="1"/>
  <c r="Z2598" i="1"/>
  <c r="E790" i="1"/>
  <c r="AQ789" i="1"/>
  <c r="AR789" i="1" s="1"/>
  <c r="AS789" i="1" s="1"/>
  <c r="AC701" i="1" l="1"/>
  <c r="AF700" i="1"/>
  <c r="L703" i="1"/>
  <c r="AJ702" i="1"/>
  <c r="AT702" i="1" s="1"/>
  <c r="N2600" i="1"/>
  <c r="Y2599" i="1"/>
  <c r="Z2599" i="1"/>
  <c r="E791" i="1"/>
  <c r="AQ790" i="1"/>
  <c r="AR790" i="1" s="1"/>
  <c r="AS790" i="1" s="1"/>
  <c r="AC702" i="1" l="1"/>
  <c r="AF701" i="1"/>
  <c r="L704" i="1"/>
  <c r="AJ703" i="1"/>
  <c r="AT703" i="1" s="1"/>
  <c r="Y2600" i="1"/>
  <c r="Z2600" i="1"/>
  <c r="E792" i="1"/>
  <c r="AQ791" i="1"/>
  <c r="AR791" i="1" s="1"/>
  <c r="AS791" i="1" s="1"/>
  <c r="AC703" i="1" l="1"/>
  <c r="AF702" i="1"/>
  <c r="L705" i="1"/>
  <c r="AJ704" i="1"/>
  <c r="AT704" i="1" s="1"/>
  <c r="E793" i="1"/>
  <c r="AQ792" i="1"/>
  <c r="AR792" i="1" s="1"/>
  <c r="AS792" i="1" s="1"/>
  <c r="AC704" i="1" l="1"/>
  <c r="AF703" i="1"/>
  <c r="L706" i="1"/>
  <c r="AJ705" i="1"/>
  <c r="AT705" i="1" s="1"/>
  <c r="E794" i="1"/>
  <c r="AQ793" i="1"/>
  <c r="AR793" i="1" s="1"/>
  <c r="AS793" i="1" s="1"/>
  <c r="AC705" i="1" l="1"/>
  <c r="AF704" i="1"/>
  <c r="L707" i="1"/>
  <c r="AJ706" i="1"/>
  <c r="AT706" i="1" s="1"/>
  <c r="E795" i="1"/>
  <c r="AQ794" i="1"/>
  <c r="AR794" i="1" s="1"/>
  <c r="AS794" i="1" s="1"/>
  <c r="AC706" i="1" l="1"/>
  <c r="AF705" i="1"/>
  <c r="L708" i="1"/>
  <c r="AJ707" i="1"/>
  <c r="AT707" i="1" s="1"/>
  <c r="E796" i="1"/>
  <c r="AQ795" i="1"/>
  <c r="AR795" i="1" s="1"/>
  <c r="AS795" i="1" s="1"/>
  <c r="AC707" i="1" l="1"/>
  <c r="AF706" i="1"/>
  <c r="L709" i="1"/>
  <c r="AJ708" i="1"/>
  <c r="AT708" i="1" s="1"/>
  <c r="E797" i="1"/>
  <c r="AQ796" i="1"/>
  <c r="AR796" i="1" s="1"/>
  <c r="AS796" i="1" s="1"/>
  <c r="AC708" i="1" l="1"/>
  <c r="AF707" i="1"/>
  <c r="L710" i="1"/>
  <c r="AJ709" i="1"/>
  <c r="AT709" i="1" s="1"/>
  <c r="E798" i="1"/>
  <c r="AQ797" i="1"/>
  <c r="AR797" i="1" s="1"/>
  <c r="AS797" i="1" s="1"/>
  <c r="AC709" i="1" l="1"/>
  <c r="AF708" i="1"/>
  <c r="L711" i="1"/>
  <c r="AJ710" i="1"/>
  <c r="AT710" i="1" s="1"/>
  <c r="E799" i="1"/>
  <c r="AQ798" i="1"/>
  <c r="AR798" i="1" s="1"/>
  <c r="AS798" i="1" s="1"/>
  <c r="AC710" i="1" l="1"/>
  <c r="AF709" i="1"/>
  <c r="L712" i="1"/>
  <c r="AJ711" i="1"/>
  <c r="AT711" i="1" s="1"/>
  <c r="E800" i="1"/>
  <c r="AQ799" i="1"/>
  <c r="AR799" i="1" s="1"/>
  <c r="AS799" i="1" s="1"/>
  <c r="AC711" i="1" l="1"/>
  <c r="AF710" i="1"/>
  <c r="L713" i="1"/>
  <c r="AJ712" i="1"/>
  <c r="AT712" i="1" s="1"/>
  <c r="E801" i="1"/>
  <c r="AQ800" i="1"/>
  <c r="AR800" i="1" s="1"/>
  <c r="AS800" i="1" s="1"/>
  <c r="AC712" i="1" l="1"/>
  <c r="AF711" i="1"/>
  <c r="L714" i="1"/>
  <c r="AJ713" i="1"/>
  <c r="AT713" i="1" s="1"/>
  <c r="E802" i="1"/>
  <c r="AQ801" i="1"/>
  <c r="AR801" i="1" s="1"/>
  <c r="AS801" i="1" s="1"/>
  <c r="AC713" i="1" l="1"/>
  <c r="AF712" i="1"/>
  <c r="L715" i="1"/>
  <c r="AJ714" i="1"/>
  <c r="AT714" i="1" s="1"/>
  <c r="E803" i="1"/>
  <c r="AQ802" i="1"/>
  <c r="AR802" i="1" s="1"/>
  <c r="AS802" i="1" s="1"/>
  <c r="AC714" i="1" l="1"/>
  <c r="AF713" i="1"/>
  <c r="L716" i="1"/>
  <c r="AJ715" i="1"/>
  <c r="AT715" i="1" s="1"/>
  <c r="E804" i="1"/>
  <c r="AQ803" i="1"/>
  <c r="AR803" i="1" s="1"/>
  <c r="AS803" i="1" s="1"/>
  <c r="AC715" i="1" l="1"/>
  <c r="AF714" i="1"/>
  <c r="L717" i="1"/>
  <c r="AJ716" i="1"/>
  <c r="AT716" i="1" s="1"/>
  <c r="E805" i="1"/>
  <c r="AQ804" i="1"/>
  <c r="AR804" i="1" s="1"/>
  <c r="AS804" i="1" s="1"/>
  <c r="AC716" i="1" l="1"/>
  <c r="AF715" i="1"/>
  <c r="L718" i="1"/>
  <c r="AJ717" i="1"/>
  <c r="AT717" i="1" s="1"/>
  <c r="E806" i="1"/>
  <c r="AQ805" i="1"/>
  <c r="AR805" i="1" s="1"/>
  <c r="AS805" i="1" s="1"/>
  <c r="AC717" i="1" l="1"/>
  <c r="AF716" i="1"/>
  <c r="L719" i="1"/>
  <c r="AJ718" i="1"/>
  <c r="AT718" i="1" s="1"/>
  <c r="E807" i="1"/>
  <c r="AQ806" i="1"/>
  <c r="AR806" i="1" s="1"/>
  <c r="AS806" i="1" s="1"/>
  <c r="AC718" i="1" l="1"/>
  <c r="AF717" i="1"/>
  <c r="L720" i="1"/>
  <c r="AJ719" i="1"/>
  <c r="AT719" i="1" s="1"/>
  <c r="E808" i="1"/>
  <c r="AQ807" i="1"/>
  <c r="AR807" i="1" s="1"/>
  <c r="AS807" i="1" s="1"/>
  <c r="AC719" i="1" l="1"/>
  <c r="AF718" i="1"/>
  <c r="L721" i="1"/>
  <c r="AJ720" i="1"/>
  <c r="AT720" i="1" s="1"/>
  <c r="E809" i="1"/>
  <c r="AQ808" i="1"/>
  <c r="AR808" i="1" s="1"/>
  <c r="AS808" i="1" s="1"/>
  <c r="AC720" i="1" l="1"/>
  <c r="AF719" i="1"/>
  <c r="L722" i="1"/>
  <c r="AJ721" i="1"/>
  <c r="AT721" i="1" s="1"/>
  <c r="E810" i="1"/>
  <c r="AQ809" i="1"/>
  <c r="AR809" i="1" s="1"/>
  <c r="AS809" i="1" s="1"/>
  <c r="AC721" i="1" l="1"/>
  <c r="AF720" i="1"/>
  <c r="L723" i="1"/>
  <c r="AJ722" i="1"/>
  <c r="AT722" i="1" s="1"/>
  <c r="E811" i="1"/>
  <c r="AQ810" i="1"/>
  <c r="AR810" i="1" s="1"/>
  <c r="AS810" i="1" s="1"/>
  <c r="AC722" i="1" l="1"/>
  <c r="AF721" i="1"/>
  <c r="L724" i="1"/>
  <c r="AJ723" i="1"/>
  <c r="AT723" i="1" s="1"/>
  <c r="E812" i="1"/>
  <c r="AQ811" i="1"/>
  <c r="AR811" i="1" s="1"/>
  <c r="AS811" i="1" s="1"/>
  <c r="AC723" i="1" l="1"/>
  <c r="AF722" i="1"/>
  <c r="L725" i="1"/>
  <c r="AJ724" i="1"/>
  <c r="AT724" i="1" s="1"/>
  <c r="E813" i="1"/>
  <c r="AQ812" i="1"/>
  <c r="AR812" i="1" s="1"/>
  <c r="AS812" i="1" s="1"/>
  <c r="AC724" i="1" l="1"/>
  <c r="AF723" i="1"/>
  <c r="L726" i="1"/>
  <c r="AJ725" i="1"/>
  <c r="AT725" i="1" s="1"/>
  <c r="E814" i="1"/>
  <c r="AQ813" i="1"/>
  <c r="AR813" i="1" s="1"/>
  <c r="AS813" i="1" s="1"/>
  <c r="AC725" i="1" l="1"/>
  <c r="AF724" i="1"/>
  <c r="L727" i="1"/>
  <c r="AJ726" i="1"/>
  <c r="AT726" i="1" s="1"/>
  <c r="E815" i="1"/>
  <c r="AQ814" i="1"/>
  <c r="AR814" i="1" s="1"/>
  <c r="AS814" i="1" s="1"/>
  <c r="AC726" i="1" l="1"/>
  <c r="AF725" i="1"/>
  <c r="L728" i="1"/>
  <c r="AJ727" i="1"/>
  <c r="AT727" i="1" s="1"/>
  <c r="E816" i="1"/>
  <c r="AQ815" i="1"/>
  <c r="AR815" i="1" s="1"/>
  <c r="AS815" i="1" s="1"/>
  <c r="AC727" i="1" l="1"/>
  <c r="AF726" i="1"/>
  <c r="L729" i="1"/>
  <c r="AJ728" i="1"/>
  <c r="AT728" i="1" s="1"/>
  <c r="E817" i="1"/>
  <c r="AQ816" i="1"/>
  <c r="AR816" i="1" s="1"/>
  <c r="AS816" i="1" s="1"/>
  <c r="AC728" i="1" l="1"/>
  <c r="AF727" i="1"/>
  <c r="L730" i="1"/>
  <c r="AJ729" i="1"/>
  <c r="AT729" i="1" s="1"/>
  <c r="E818" i="1"/>
  <c r="AQ817" i="1"/>
  <c r="AR817" i="1" s="1"/>
  <c r="AS817" i="1" s="1"/>
  <c r="AC729" i="1" l="1"/>
  <c r="AF728" i="1"/>
  <c r="L731" i="1"/>
  <c r="AJ730" i="1"/>
  <c r="AT730" i="1" s="1"/>
  <c r="E819" i="1"/>
  <c r="AQ818" i="1"/>
  <c r="AR818" i="1" s="1"/>
  <c r="AS818" i="1" s="1"/>
  <c r="AC730" i="1" l="1"/>
  <c r="AF729" i="1"/>
  <c r="L732" i="1"/>
  <c r="AJ731" i="1"/>
  <c r="AT731" i="1" s="1"/>
  <c r="E820" i="1"/>
  <c r="AQ819" i="1"/>
  <c r="AR819" i="1" s="1"/>
  <c r="AS819" i="1" s="1"/>
  <c r="AC731" i="1" l="1"/>
  <c r="AF730" i="1"/>
  <c r="L733" i="1"/>
  <c r="AJ732" i="1"/>
  <c r="AT732" i="1" s="1"/>
  <c r="E821" i="1"/>
  <c r="AQ820" i="1"/>
  <c r="AR820" i="1" s="1"/>
  <c r="AS820" i="1" s="1"/>
  <c r="AC732" i="1" l="1"/>
  <c r="AF731" i="1"/>
  <c r="L734" i="1"/>
  <c r="AJ733" i="1"/>
  <c r="AT733" i="1" s="1"/>
  <c r="E822" i="1"/>
  <c r="AQ821" i="1"/>
  <c r="AR821" i="1" s="1"/>
  <c r="AC733" i="1" l="1"/>
  <c r="AF732" i="1"/>
  <c r="L735" i="1"/>
  <c r="AJ734" i="1"/>
  <c r="AT734" i="1" s="1"/>
  <c r="AR822" i="1"/>
  <c r="AS822" i="1" s="1"/>
  <c r="AS821" i="1"/>
  <c r="E823" i="1"/>
  <c r="AC734" i="1" l="1"/>
  <c r="AF733" i="1"/>
  <c r="L736" i="1"/>
  <c r="AJ735" i="1"/>
  <c r="AT735" i="1" s="1"/>
  <c r="E824" i="1"/>
  <c r="AQ823" i="1"/>
  <c r="AR823" i="1" s="1"/>
  <c r="AS823" i="1" s="1"/>
  <c r="AC735" i="1" l="1"/>
  <c r="AF734" i="1"/>
  <c r="L737" i="1"/>
  <c r="AJ736" i="1"/>
  <c r="AT736" i="1" s="1"/>
  <c r="E825" i="1"/>
  <c r="AQ824" i="1"/>
  <c r="AR824" i="1" s="1"/>
  <c r="AS824" i="1" s="1"/>
  <c r="AC736" i="1" l="1"/>
  <c r="AF735" i="1"/>
  <c r="L738" i="1"/>
  <c r="AJ737" i="1"/>
  <c r="AT737" i="1" s="1"/>
  <c r="E826" i="1"/>
  <c r="AQ825" i="1"/>
  <c r="AR825" i="1" s="1"/>
  <c r="AS825" i="1" s="1"/>
  <c r="AC737" i="1" l="1"/>
  <c r="AF736" i="1"/>
  <c r="L739" i="1"/>
  <c r="AJ738" i="1"/>
  <c r="AT738" i="1" s="1"/>
  <c r="E827" i="1"/>
  <c r="AQ826" i="1"/>
  <c r="AR826" i="1" s="1"/>
  <c r="AS826" i="1" s="1"/>
  <c r="AC738" i="1" l="1"/>
  <c r="AF737" i="1"/>
  <c r="L740" i="1"/>
  <c r="AJ739" i="1"/>
  <c r="AT739" i="1" s="1"/>
  <c r="E828" i="1"/>
  <c r="AQ827" i="1"/>
  <c r="AR827" i="1" s="1"/>
  <c r="AS827" i="1" s="1"/>
  <c r="AC739" i="1" l="1"/>
  <c r="AF738" i="1"/>
  <c r="L741" i="1"/>
  <c r="AJ740" i="1"/>
  <c r="AT740" i="1" s="1"/>
  <c r="E829" i="1"/>
  <c r="AQ828" i="1"/>
  <c r="AR828" i="1" s="1"/>
  <c r="AS828" i="1" s="1"/>
  <c r="AC740" i="1" l="1"/>
  <c r="AF739" i="1"/>
  <c r="L742" i="1"/>
  <c r="AJ741" i="1"/>
  <c r="AT741" i="1" s="1"/>
  <c r="E830" i="1"/>
  <c r="AQ829" i="1"/>
  <c r="AR829" i="1" s="1"/>
  <c r="AS829" i="1" s="1"/>
  <c r="AC741" i="1" l="1"/>
  <c r="AF740" i="1"/>
  <c r="L743" i="1"/>
  <c r="AJ742" i="1"/>
  <c r="AT742" i="1" s="1"/>
  <c r="E831" i="1"/>
  <c r="AQ830" i="1"/>
  <c r="AR830" i="1" s="1"/>
  <c r="AS830" i="1" s="1"/>
  <c r="AC742" i="1" l="1"/>
  <c r="AF741" i="1"/>
  <c r="L744" i="1"/>
  <c r="AJ743" i="1"/>
  <c r="AT743" i="1" s="1"/>
  <c r="E832" i="1"/>
  <c r="AQ831" i="1"/>
  <c r="AR831" i="1" s="1"/>
  <c r="AS831" i="1" s="1"/>
  <c r="AC743" i="1" l="1"/>
  <c r="AF742" i="1"/>
  <c r="L745" i="1"/>
  <c r="AJ744" i="1"/>
  <c r="AT744" i="1" s="1"/>
  <c r="E833" i="1"/>
  <c r="AQ832" i="1"/>
  <c r="AR832" i="1" s="1"/>
  <c r="AS832" i="1" s="1"/>
  <c r="AC744" i="1" l="1"/>
  <c r="AF743" i="1"/>
  <c r="L746" i="1"/>
  <c r="AJ745" i="1"/>
  <c r="AT745" i="1" s="1"/>
  <c r="E834" i="1"/>
  <c r="AQ833" i="1"/>
  <c r="AR833" i="1" s="1"/>
  <c r="AS833" i="1" s="1"/>
  <c r="AC745" i="1" l="1"/>
  <c r="AF744" i="1"/>
  <c r="L747" i="1"/>
  <c r="AJ746" i="1"/>
  <c r="AT746" i="1" s="1"/>
  <c r="E835" i="1"/>
  <c r="AQ834" i="1"/>
  <c r="AR834" i="1" s="1"/>
  <c r="AS834" i="1" s="1"/>
  <c r="AC746" i="1" l="1"/>
  <c r="AF745" i="1"/>
  <c r="L748" i="1"/>
  <c r="AJ747" i="1"/>
  <c r="AT747" i="1" s="1"/>
  <c r="E836" i="1"/>
  <c r="AQ835" i="1"/>
  <c r="AR835" i="1" s="1"/>
  <c r="AS835" i="1" s="1"/>
  <c r="AC747" i="1" l="1"/>
  <c r="AF746" i="1"/>
  <c r="L749" i="1"/>
  <c r="AJ748" i="1"/>
  <c r="AT748" i="1" s="1"/>
  <c r="E837" i="1"/>
  <c r="AQ836" i="1"/>
  <c r="AR836" i="1" s="1"/>
  <c r="AS836" i="1" s="1"/>
  <c r="AC748" i="1" l="1"/>
  <c r="AF747" i="1"/>
  <c r="L750" i="1"/>
  <c r="AJ749" i="1"/>
  <c r="AT749" i="1" s="1"/>
  <c r="E838" i="1"/>
  <c r="AQ837" i="1"/>
  <c r="AR837" i="1" s="1"/>
  <c r="AS837" i="1" s="1"/>
  <c r="AC749" i="1" l="1"/>
  <c r="AF748" i="1"/>
  <c r="L751" i="1"/>
  <c r="AJ750" i="1"/>
  <c r="AT750" i="1" s="1"/>
  <c r="E839" i="1"/>
  <c r="AQ838" i="1"/>
  <c r="AR838" i="1" s="1"/>
  <c r="AS838" i="1" s="1"/>
  <c r="AC750" i="1" l="1"/>
  <c r="AF749" i="1"/>
  <c r="L752" i="1"/>
  <c r="AJ751" i="1"/>
  <c r="AT751" i="1" s="1"/>
  <c r="E840" i="1"/>
  <c r="AQ839" i="1"/>
  <c r="AR839" i="1" s="1"/>
  <c r="AS839" i="1" s="1"/>
  <c r="AC751" i="1" l="1"/>
  <c r="AF750" i="1"/>
  <c r="L753" i="1"/>
  <c r="AJ752" i="1"/>
  <c r="AT752" i="1" s="1"/>
  <c r="E841" i="1"/>
  <c r="AQ840" i="1"/>
  <c r="AR840" i="1" s="1"/>
  <c r="AS840" i="1" s="1"/>
  <c r="AC752" i="1" l="1"/>
  <c r="AF751" i="1"/>
  <c r="L754" i="1"/>
  <c r="AJ753" i="1"/>
  <c r="AT753" i="1" s="1"/>
  <c r="E842" i="1"/>
  <c r="AQ841" i="1"/>
  <c r="AR841" i="1" s="1"/>
  <c r="AS841" i="1" s="1"/>
  <c r="AC753" i="1" l="1"/>
  <c r="AF752" i="1"/>
  <c r="L755" i="1"/>
  <c r="AJ754" i="1"/>
  <c r="AT754" i="1" s="1"/>
  <c r="E843" i="1"/>
  <c r="AQ842" i="1"/>
  <c r="AR842" i="1" s="1"/>
  <c r="AS842" i="1" s="1"/>
  <c r="AC754" i="1" l="1"/>
  <c r="AF753" i="1"/>
  <c r="L756" i="1"/>
  <c r="AJ755" i="1"/>
  <c r="AT755" i="1" s="1"/>
  <c r="E844" i="1"/>
  <c r="AQ843" i="1"/>
  <c r="AR843" i="1" s="1"/>
  <c r="AS843" i="1" s="1"/>
  <c r="AC755" i="1" l="1"/>
  <c r="AF754" i="1"/>
  <c r="L757" i="1"/>
  <c r="AJ756" i="1"/>
  <c r="AT756" i="1" s="1"/>
  <c r="E845" i="1"/>
  <c r="AQ844" i="1"/>
  <c r="AR844" i="1" s="1"/>
  <c r="AS844" i="1" s="1"/>
  <c r="AC756" i="1" l="1"/>
  <c r="AF755" i="1"/>
  <c r="L758" i="1"/>
  <c r="AJ757" i="1"/>
  <c r="AT757" i="1" s="1"/>
  <c r="E846" i="1"/>
  <c r="AQ845" i="1"/>
  <c r="AR845" i="1" s="1"/>
  <c r="AS845" i="1" s="1"/>
  <c r="AC757" i="1" l="1"/>
  <c r="AF756" i="1"/>
  <c r="L759" i="1"/>
  <c r="AJ758" i="1"/>
  <c r="AT758" i="1" s="1"/>
  <c r="E847" i="1"/>
  <c r="AQ846" i="1"/>
  <c r="AR846" i="1" s="1"/>
  <c r="AS846" i="1" s="1"/>
  <c r="AC758" i="1" l="1"/>
  <c r="AF757" i="1"/>
  <c r="L760" i="1"/>
  <c r="AJ759" i="1"/>
  <c r="AT759" i="1" s="1"/>
  <c r="E848" i="1"/>
  <c r="AQ847" i="1"/>
  <c r="AR847" i="1" s="1"/>
  <c r="AS847" i="1" s="1"/>
  <c r="AC759" i="1" l="1"/>
  <c r="AF758" i="1"/>
  <c r="L761" i="1"/>
  <c r="AJ760" i="1"/>
  <c r="AT760" i="1" s="1"/>
  <c r="E849" i="1"/>
  <c r="AQ848" i="1"/>
  <c r="AR848" i="1" s="1"/>
  <c r="AS848" i="1" s="1"/>
  <c r="AC760" i="1" l="1"/>
  <c r="AF759" i="1"/>
  <c r="L762" i="1"/>
  <c r="AJ761" i="1"/>
  <c r="AT761" i="1" s="1"/>
  <c r="E850" i="1"/>
  <c r="AQ849" i="1"/>
  <c r="AR849" i="1" s="1"/>
  <c r="AS849" i="1" s="1"/>
  <c r="AC761" i="1" l="1"/>
  <c r="AF760" i="1"/>
  <c r="L763" i="1"/>
  <c r="AJ762" i="1"/>
  <c r="AT762" i="1" s="1"/>
  <c r="E851" i="1"/>
  <c r="AQ850" i="1"/>
  <c r="AR850" i="1" s="1"/>
  <c r="AS850" i="1" s="1"/>
  <c r="AC762" i="1" l="1"/>
  <c r="AF761" i="1"/>
  <c r="L764" i="1"/>
  <c r="AJ763" i="1"/>
  <c r="AT763" i="1" s="1"/>
  <c r="E852" i="1"/>
  <c r="AQ851" i="1"/>
  <c r="AR851" i="1" s="1"/>
  <c r="AS851" i="1" s="1"/>
  <c r="AC763" i="1" l="1"/>
  <c r="AF762" i="1"/>
  <c r="L765" i="1"/>
  <c r="AJ764" i="1"/>
  <c r="AT764" i="1" s="1"/>
  <c r="E853" i="1"/>
  <c r="AQ852" i="1"/>
  <c r="AR852" i="1" s="1"/>
  <c r="AS852" i="1" s="1"/>
  <c r="AC764" i="1" l="1"/>
  <c r="AF763" i="1"/>
  <c r="L766" i="1"/>
  <c r="AJ765" i="1"/>
  <c r="AT765" i="1" s="1"/>
  <c r="E854" i="1"/>
  <c r="AQ853" i="1"/>
  <c r="AR853" i="1" s="1"/>
  <c r="AS853" i="1" s="1"/>
  <c r="AC765" i="1" l="1"/>
  <c r="AF764" i="1"/>
  <c r="L767" i="1"/>
  <c r="AJ766" i="1"/>
  <c r="AT766" i="1" s="1"/>
  <c r="E855" i="1"/>
  <c r="AQ854" i="1"/>
  <c r="AR854" i="1" s="1"/>
  <c r="AS854" i="1" s="1"/>
  <c r="AC766" i="1" l="1"/>
  <c r="AF765" i="1"/>
  <c r="L768" i="1"/>
  <c r="AJ767" i="1"/>
  <c r="AT767" i="1" s="1"/>
  <c r="E856" i="1"/>
  <c r="AQ855" i="1"/>
  <c r="AR855" i="1" s="1"/>
  <c r="AS855" i="1" s="1"/>
  <c r="AC767" i="1" l="1"/>
  <c r="AF766" i="1"/>
  <c r="L769" i="1"/>
  <c r="AJ768" i="1"/>
  <c r="AT768" i="1" s="1"/>
  <c r="E857" i="1"/>
  <c r="AQ856" i="1"/>
  <c r="AR856" i="1" s="1"/>
  <c r="AS856" i="1" s="1"/>
  <c r="AC768" i="1" l="1"/>
  <c r="AF767" i="1"/>
  <c r="L770" i="1"/>
  <c r="AJ769" i="1"/>
  <c r="AT769" i="1" s="1"/>
  <c r="E858" i="1"/>
  <c r="AQ857" i="1"/>
  <c r="AR857" i="1" s="1"/>
  <c r="AS857" i="1" s="1"/>
  <c r="AC769" i="1" l="1"/>
  <c r="AF768" i="1"/>
  <c r="L771" i="1"/>
  <c r="AJ770" i="1"/>
  <c r="AT770" i="1" s="1"/>
  <c r="E859" i="1"/>
  <c r="AQ858" i="1"/>
  <c r="AR858" i="1" s="1"/>
  <c r="AS858" i="1" s="1"/>
  <c r="AC770" i="1" l="1"/>
  <c r="AF769" i="1"/>
  <c r="L772" i="1"/>
  <c r="AJ771" i="1"/>
  <c r="AT771" i="1" s="1"/>
  <c r="E860" i="1"/>
  <c r="AQ859" i="1"/>
  <c r="AR859" i="1" s="1"/>
  <c r="AS859" i="1" s="1"/>
  <c r="AC771" i="1" l="1"/>
  <c r="AF770" i="1"/>
  <c r="L773" i="1"/>
  <c r="AJ772" i="1"/>
  <c r="AT772" i="1" s="1"/>
  <c r="E861" i="1"/>
  <c r="AQ860" i="1"/>
  <c r="AR860" i="1" s="1"/>
  <c r="AS860" i="1" s="1"/>
  <c r="AC772" i="1" l="1"/>
  <c r="AF771" i="1"/>
  <c r="L774" i="1"/>
  <c r="AJ773" i="1"/>
  <c r="AT773" i="1" s="1"/>
  <c r="E862" i="1"/>
  <c r="AQ861" i="1"/>
  <c r="AR861" i="1" s="1"/>
  <c r="AS861" i="1" s="1"/>
  <c r="AC773" i="1" l="1"/>
  <c r="AF772" i="1"/>
  <c r="L775" i="1"/>
  <c r="AJ774" i="1"/>
  <c r="AT774" i="1" s="1"/>
  <c r="E863" i="1"/>
  <c r="AQ862" i="1"/>
  <c r="AR862" i="1" s="1"/>
  <c r="AS862" i="1" s="1"/>
  <c r="AC774" i="1" l="1"/>
  <c r="AF773" i="1"/>
  <c r="L776" i="1"/>
  <c r="AJ775" i="1"/>
  <c r="AT775" i="1" s="1"/>
  <c r="E864" i="1"/>
  <c r="AQ863" i="1"/>
  <c r="AR863" i="1" s="1"/>
  <c r="AS863" i="1" s="1"/>
  <c r="AC775" i="1" l="1"/>
  <c r="AF774" i="1"/>
  <c r="L777" i="1"/>
  <c r="AJ776" i="1"/>
  <c r="AT776" i="1" s="1"/>
  <c r="E865" i="1"/>
  <c r="AQ864" i="1"/>
  <c r="AR864" i="1" s="1"/>
  <c r="AS864" i="1" s="1"/>
  <c r="AC776" i="1" l="1"/>
  <c r="AF775" i="1"/>
  <c r="L778" i="1"/>
  <c r="AJ777" i="1"/>
  <c r="AT777" i="1" s="1"/>
  <c r="E866" i="1"/>
  <c r="AQ865" i="1"/>
  <c r="AR865" i="1" s="1"/>
  <c r="AS865" i="1" s="1"/>
  <c r="AC777" i="1" l="1"/>
  <c r="AF776" i="1"/>
  <c r="L779" i="1"/>
  <c r="AJ778" i="1"/>
  <c r="AT778" i="1" s="1"/>
  <c r="E867" i="1"/>
  <c r="AQ866" i="1"/>
  <c r="AR866" i="1" s="1"/>
  <c r="AS866" i="1" s="1"/>
  <c r="AC778" i="1" l="1"/>
  <c r="AF777" i="1"/>
  <c r="L780" i="1"/>
  <c r="AJ779" i="1"/>
  <c r="AT779" i="1" s="1"/>
  <c r="E868" i="1"/>
  <c r="AQ867" i="1"/>
  <c r="AR867" i="1" s="1"/>
  <c r="AS867" i="1" s="1"/>
  <c r="AC779" i="1" l="1"/>
  <c r="AF778" i="1"/>
  <c r="L781" i="1"/>
  <c r="AJ780" i="1"/>
  <c r="AT780" i="1" s="1"/>
  <c r="E869" i="1"/>
  <c r="AQ868" i="1"/>
  <c r="AR868" i="1" s="1"/>
  <c r="AS868" i="1" s="1"/>
  <c r="AC780" i="1" l="1"/>
  <c r="AF779" i="1"/>
  <c r="L782" i="1"/>
  <c r="AJ781" i="1"/>
  <c r="AT781" i="1" s="1"/>
  <c r="E870" i="1"/>
  <c r="AQ869" i="1"/>
  <c r="AR869" i="1" s="1"/>
  <c r="AS869" i="1" s="1"/>
  <c r="AC781" i="1" l="1"/>
  <c r="AF780" i="1"/>
  <c r="L783" i="1"/>
  <c r="AJ782" i="1"/>
  <c r="AT782" i="1" s="1"/>
  <c r="E871" i="1"/>
  <c r="AQ870" i="1"/>
  <c r="AR870" i="1" s="1"/>
  <c r="AS870" i="1" s="1"/>
  <c r="AC782" i="1" l="1"/>
  <c r="AF781" i="1"/>
  <c r="L784" i="1"/>
  <c r="AJ783" i="1"/>
  <c r="AT783" i="1" s="1"/>
  <c r="E872" i="1"/>
  <c r="AQ871" i="1"/>
  <c r="AR871" i="1" s="1"/>
  <c r="AS871" i="1" s="1"/>
  <c r="AC783" i="1" l="1"/>
  <c r="AF782" i="1"/>
  <c r="L785" i="1"/>
  <c r="AJ784" i="1"/>
  <c r="AT784" i="1" s="1"/>
  <c r="E873" i="1"/>
  <c r="AQ872" i="1"/>
  <c r="AR872" i="1" s="1"/>
  <c r="AS872" i="1" s="1"/>
  <c r="AC784" i="1" l="1"/>
  <c r="AF783" i="1"/>
  <c r="L786" i="1"/>
  <c r="AJ785" i="1"/>
  <c r="AT785" i="1" s="1"/>
  <c r="E874" i="1"/>
  <c r="AQ873" i="1"/>
  <c r="AR873" i="1" s="1"/>
  <c r="AS873" i="1" s="1"/>
  <c r="AC785" i="1" l="1"/>
  <c r="AF784" i="1"/>
  <c r="L787" i="1"/>
  <c r="AJ786" i="1"/>
  <c r="AT786" i="1" s="1"/>
  <c r="E875" i="1"/>
  <c r="AQ874" i="1"/>
  <c r="AR874" i="1" s="1"/>
  <c r="AS874" i="1" s="1"/>
  <c r="AC786" i="1" l="1"/>
  <c r="AF785" i="1"/>
  <c r="L788" i="1"/>
  <c r="AJ787" i="1"/>
  <c r="AT787" i="1" s="1"/>
  <c r="E876" i="1"/>
  <c r="AQ875" i="1"/>
  <c r="AR875" i="1" s="1"/>
  <c r="AS875" i="1" s="1"/>
  <c r="AC787" i="1" l="1"/>
  <c r="AF786" i="1"/>
  <c r="L789" i="1"/>
  <c r="AJ788" i="1"/>
  <c r="AT788" i="1" s="1"/>
  <c r="E877" i="1"/>
  <c r="AQ876" i="1"/>
  <c r="AR876" i="1" s="1"/>
  <c r="AS876" i="1" s="1"/>
  <c r="AC788" i="1" l="1"/>
  <c r="AF787" i="1"/>
  <c r="L790" i="1"/>
  <c r="AJ789" i="1"/>
  <c r="AT789" i="1" s="1"/>
  <c r="E878" i="1"/>
  <c r="AQ877" i="1"/>
  <c r="AR877" i="1" s="1"/>
  <c r="AS877" i="1" s="1"/>
  <c r="AC789" i="1" l="1"/>
  <c r="AF788" i="1"/>
  <c r="L791" i="1"/>
  <c r="AJ790" i="1"/>
  <c r="AT790" i="1" s="1"/>
  <c r="E879" i="1"/>
  <c r="AQ878" i="1"/>
  <c r="AR878" i="1" s="1"/>
  <c r="AS878" i="1" s="1"/>
  <c r="AC790" i="1" l="1"/>
  <c r="AF789" i="1"/>
  <c r="L792" i="1"/>
  <c r="AJ791" i="1"/>
  <c r="AT791" i="1" s="1"/>
  <c r="E880" i="1"/>
  <c r="AQ879" i="1"/>
  <c r="AR879" i="1" s="1"/>
  <c r="AS879" i="1" s="1"/>
  <c r="AC791" i="1" l="1"/>
  <c r="AF790" i="1"/>
  <c r="L793" i="1"/>
  <c r="AJ792" i="1"/>
  <c r="AT792" i="1" s="1"/>
  <c r="E881" i="1"/>
  <c r="AQ880" i="1"/>
  <c r="AR880" i="1" s="1"/>
  <c r="AS880" i="1" s="1"/>
  <c r="AC792" i="1" l="1"/>
  <c r="AF791" i="1"/>
  <c r="L794" i="1"/>
  <c r="AJ793" i="1"/>
  <c r="AT793" i="1" s="1"/>
  <c r="E882" i="1"/>
  <c r="AQ881" i="1"/>
  <c r="AR881" i="1" s="1"/>
  <c r="AS881" i="1" s="1"/>
  <c r="AC793" i="1" l="1"/>
  <c r="AF792" i="1"/>
  <c r="L795" i="1"/>
  <c r="AJ794" i="1"/>
  <c r="AT794" i="1" s="1"/>
  <c r="E883" i="1"/>
  <c r="AQ882" i="1"/>
  <c r="AR882" i="1" s="1"/>
  <c r="AS882" i="1" s="1"/>
  <c r="AC794" i="1" l="1"/>
  <c r="AF793" i="1"/>
  <c r="L796" i="1"/>
  <c r="AJ795" i="1"/>
  <c r="AT795" i="1" s="1"/>
  <c r="E884" i="1"/>
  <c r="AQ883" i="1"/>
  <c r="AR883" i="1" s="1"/>
  <c r="AS883" i="1" s="1"/>
  <c r="AC795" i="1" l="1"/>
  <c r="AF794" i="1"/>
  <c r="L797" i="1"/>
  <c r="AJ796" i="1"/>
  <c r="AT796" i="1" s="1"/>
  <c r="E885" i="1"/>
  <c r="AQ884" i="1"/>
  <c r="AR884" i="1" s="1"/>
  <c r="AS884" i="1" s="1"/>
  <c r="AC796" i="1" l="1"/>
  <c r="AF795" i="1"/>
  <c r="L798" i="1"/>
  <c r="AJ797" i="1"/>
  <c r="AT797" i="1" s="1"/>
  <c r="E886" i="1"/>
  <c r="AQ885" i="1"/>
  <c r="AR885" i="1" s="1"/>
  <c r="AS885" i="1" s="1"/>
  <c r="AC797" i="1" l="1"/>
  <c r="AF796" i="1"/>
  <c r="L799" i="1"/>
  <c r="AJ798" i="1"/>
  <c r="AT798" i="1" s="1"/>
  <c r="E887" i="1"/>
  <c r="AQ886" i="1"/>
  <c r="AR886" i="1" s="1"/>
  <c r="AS886" i="1" s="1"/>
  <c r="AC798" i="1" l="1"/>
  <c r="AF797" i="1"/>
  <c r="L800" i="1"/>
  <c r="AJ799" i="1"/>
  <c r="AT799" i="1" s="1"/>
  <c r="E888" i="1"/>
  <c r="AQ887" i="1"/>
  <c r="AR887" i="1" s="1"/>
  <c r="AS887" i="1" s="1"/>
  <c r="AC799" i="1" l="1"/>
  <c r="AF798" i="1"/>
  <c r="L801" i="1"/>
  <c r="AJ800" i="1"/>
  <c r="AT800" i="1" s="1"/>
  <c r="E889" i="1"/>
  <c r="AQ888" i="1"/>
  <c r="AR888" i="1" s="1"/>
  <c r="AS888" i="1" s="1"/>
  <c r="AC800" i="1" l="1"/>
  <c r="AF799" i="1"/>
  <c r="L802" i="1"/>
  <c r="AJ801" i="1"/>
  <c r="AT801" i="1" s="1"/>
  <c r="E890" i="1"/>
  <c r="AQ889" i="1"/>
  <c r="AR889" i="1" s="1"/>
  <c r="AS889" i="1" s="1"/>
  <c r="AC801" i="1" l="1"/>
  <c r="AF800" i="1"/>
  <c r="L803" i="1"/>
  <c r="AJ802" i="1"/>
  <c r="AT802" i="1" s="1"/>
  <c r="E891" i="1"/>
  <c r="AQ890" i="1"/>
  <c r="AR890" i="1" s="1"/>
  <c r="AS890" i="1" s="1"/>
  <c r="AC802" i="1" l="1"/>
  <c r="AF801" i="1"/>
  <c r="L804" i="1"/>
  <c r="AJ803" i="1"/>
  <c r="AT803" i="1" s="1"/>
  <c r="E892" i="1"/>
  <c r="AQ891" i="1"/>
  <c r="AC803" i="1" l="1"/>
  <c r="AF802" i="1"/>
  <c r="L805" i="1"/>
  <c r="AJ804" i="1"/>
  <c r="AT804" i="1" s="1"/>
  <c r="E893" i="1"/>
  <c r="AQ892" i="1"/>
  <c r="AC804" i="1" l="1"/>
  <c r="AF803" i="1"/>
  <c r="L806" i="1"/>
  <c r="AJ805" i="1"/>
  <c r="AT805" i="1" s="1"/>
  <c r="E894" i="1"/>
  <c r="AQ893" i="1"/>
  <c r="AR893" i="1" s="1"/>
  <c r="AS893" i="1" s="1"/>
  <c r="AC805" i="1" l="1"/>
  <c r="AF804" i="1"/>
  <c r="L807" i="1"/>
  <c r="AJ806" i="1"/>
  <c r="AT806" i="1" s="1"/>
  <c r="E895" i="1"/>
  <c r="AQ894" i="1"/>
  <c r="AR894" i="1" s="1"/>
  <c r="AS894" i="1" s="1"/>
  <c r="AC806" i="1" l="1"/>
  <c r="AF805" i="1"/>
  <c r="L808" i="1"/>
  <c r="AJ807" i="1"/>
  <c r="AT807" i="1" s="1"/>
  <c r="E896" i="1"/>
  <c r="AQ895" i="1"/>
  <c r="AR895" i="1" s="1"/>
  <c r="AS895" i="1" s="1"/>
  <c r="AC807" i="1" l="1"/>
  <c r="AF806" i="1"/>
  <c r="L809" i="1"/>
  <c r="AJ808" i="1"/>
  <c r="AT808" i="1" s="1"/>
  <c r="E897" i="1"/>
  <c r="AQ896" i="1"/>
  <c r="AR896" i="1" s="1"/>
  <c r="AS896" i="1" s="1"/>
  <c r="AC808" i="1" l="1"/>
  <c r="AF807" i="1"/>
  <c r="L810" i="1"/>
  <c r="AJ809" i="1"/>
  <c r="AT809" i="1" s="1"/>
  <c r="E898" i="1"/>
  <c r="AQ897" i="1"/>
  <c r="AR897" i="1" s="1"/>
  <c r="AS897" i="1" s="1"/>
  <c r="AC809" i="1" l="1"/>
  <c r="AF808" i="1"/>
  <c r="L811" i="1"/>
  <c r="AJ810" i="1"/>
  <c r="AT810" i="1" s="1"/>
  <c r="E899" i="1"/>
  <c r="AQ898" i="1"/>
  <c r="AR898" i="1" s="1"/>
  <c r="AS898" i="1" s="1"/>
  <c r="AC810" i="1" l="1"/>
  <c r="AF809" i="1"/>
  <c r="L812" i="1"/>
  <c r="AJ811" i="1"/>
  <c r="AT811" i="1" s="1"/>
  <c r="E900" i="1"/>
  <c r="AQ899" i="1"/>
  <c r="AR899" i="1" s="1"/>
  <c r="AS899" i="1" s="1"/>
  <c r="AC811" i="1" l="1"/>
  <c r="AF810" i="1"/>
  <c r="L813" i="1"/>
  <c r="AJ812" i="1"/>
  <c r="AT812" i="1" s="1"/>
  <c r="E901" i="1"/>
  <c r="AQ900" i="1"/>
  <c r="AR900" i="1" s="1"/>
  <c r="AS900" i="1" s="1"/>
  <c r="AC812" i="1" l="1"/>
  <c r="AF811" i="1"/>
  <c r="L814" i="1"/>
  <c r="AJ813" i="1"/>
  <c r="AT813" i="1" s="1"/>
  <c r="E902" i="1"/>
  <c r="AQ901" i="1"/>
  <c r="AR901" i="1" s="1"/>
  <c r="AS901" i="1" s="1"/>
  <c r="AC813" i="1" l="1"/>
  <c r="AF812" i="1"/>
  <c r="L815" i="1"/>
  <c r="AJ814" i="1"/>
  <c r="AT814" i="1" s="1"/>
  <c r="E903" i="1"/>
  <c r="AQ902" i="1"/>
  <c r="AR902" i="1" s="1"/>
  <c r="AS902" i="1" s="1"/>
  <c r="AC814" i="1" l="1"/>
  <c r="AF813" i="1"/>
  <c r="L816" i="1"/>
  <c r="AJ815" i="1"/>
  <c r="AT815" i="1" s="1"/>
  <c r="E904" i="1"/>
  <c r="AQ903" i="1"/>
  <c r="AR903" i="1" s="1"/>
  <c r="AS903" i="1" s="1"/>
  <c r="AC815" i="1" l="1"/>
  <c r="AF814" i="1"/>
  <c r="L817" i="1"/>
  <c r="AJ816" i="1"/>
  <c r="AT816" i="1" s="1"/>
  <c r="E905" i="1"/>
  <c r="AQ904" i="1"/>
  <c r="AR904" i="1" s="1"/>
  <c r="AS904" i="1" s="1"/>
  <c r="AC816" i="1" l="1"/>
  <c r="AF815" i="1"/>
  <c r="L818" i="1"/>
  <c r="AJ817" i="1"/>
  <c r="AT817" i="1" s="1"/>
  <c r="E906" i="1"/>
  <c r="AQ905" i="1"/>
  <c r="AR905" i="1" s="1"/>
  <c r="AS905" i="1" s="1"/>
  <c r="AC817" i="1" l="1"/>
  <c r="AF816" i="1"/>
  <c r="L819" i="1"/>
  <c r="AJ818" i="1"/>
  <c r="AT818" i="1" s="1"/>
  <c r="E907" i="1"/>
  <c r="AQ906" i="1"/>
  <c r="AR906" i="1" s="1"/>
  <c r="AS906" i="1" s="1"/>
  <c r="AC818" i="1" l="1"/>
  <c r="AF817" i="1"/>
  <c r="L820" i="1"/>
  <c r="AJ819" i="1"/>
  <c r="AT819" i="1" s="1"/>
  <c r="E908" i="1"/>
  <c r="AQ907" i="1"/>
  <c r="AR907" i="1" s="1"/>
  <c r="AS907" i="1" s="1"/>
  <c r="AC819" i="1" l="1"/>
  <c r="AF818" i="1"/>
  <c r="L821" i="1"/>
  <c r="AJ820" i="1"/>
  <c r="AT820" i="1" s="1"/>
  <c r="E909" i="1"/>
  <c r="AQ908" i="1"/>
  <c r="AR908" i="1" s="1"/>
  <c r="AS908" i="1" s="1"/>
  <c r="AC820" i="1" l="1"/>
  <c r="AF819" i="1"/>
  <c r="L822" i="1"/>
  <c r="AJ821" i="1"/>
  <c r="AT821" i="1" s="1"/>
  <c r="E910" i="1"/>
  <c r="AQ909" i="1"/>
  <c r="AR909" i="1" s="1"/>
  <c r="AS909" i="1" s="1"/>
  <c r="AC821" i="1" l="1"/>
  <c r="AF820" i="1"/>
  <c r="L823" i="1"/>
  <c r="AJ822" i="1"/>
  <c r="AT822" i="1" s="1"/>
  <c r="E911" i="1"/>
  <c r="AQ910" i="1"/>
  <c r="AR910" i="1" s="1"/>
  <c r="AS910" i="1" s="1"/>
  <c r="AC822" i="1" l="1"/>
  <c r="AF821" i="1"/>
  <c r="AP822" i="1"/>
  <c r="AQ822" i="1" s="1"/>
  <c r="L824" i="1"/>
  <c r="AJ823" i="1"/>
  <c r="AT823" i="1" s="1"/>
  <c r="E912" i="1"/>
  <c r="AQ911" i="1"/>
  <c r="AR911" i="1" s="1"/>
  <c r="AS911" i="1" s="1"/>
  <c r="AC823" i="1" l="1"/>
  <c r="AF822" i="1"/>
  <c r="L825" i="1"/>
  <c r="AJ824" i="1"/>
  <c r="AT824" i="1" s="1"/>
  <c r="E913" i="1"/>
  <c r="AQ912" i="1"/>
  <c r="AR912" i="1" s="1"/>
  <c r="AS912" i="1" s="1"/>
  <c r="AC824" i="1" l="1"/>
  <c r="AF823" i="1"/>
  <c r="L826" i="1"/>
  <c r="AJ825" i="1"/>
  <c r="AT825" i="1" s="1"/>
  <c r="E914" i="1"/>
  <c r="AQ913" i="1"/>
  <c r="AR913" i="1" s="1"/>
  <c r="AS913" i="1" s="1"/>
  <c r="AC825" i="1" l="1"/>
  <c r="AF824" i="1"/>
  <c r="L827" i="1"/>
  <c r="AJ826" i="1"/>
  <c r="AT826" i="1" s="1"/>
  <c r="E915" i="1"/>
  <c r="AQ914" i="1"/>
  <c r="AR914" i="1" s="1"/>
  <c r="AS914" i="1" s="1"/>
  <c r="AC826" i="1" l="1"/>
  <c r="AF825" i="1"/>
  <c r="L828" i="1"/>
  <c r="AJ827" i="1"/>
  <c r="AT827" i="1" s="1"/>
  <c r="E916" i="1"/>
  <c r="AQ915" i="1"/>
  <c r="AR915" i="1" s="1"/>
  <c r="AS915" i="1" s="1"/>
  <c r="AC827" i="1" l="1"/>
  <c r="AF826" i="1"/>
  <c r="L829" i="1"/>
  <c r="AJ828" i="1"/>
  <c r="AT828" i="1" s="1"/>
  <c r="E917" i="1"/>
  <c r="AQ916" i="1"/>
  <c r="AR916" i="1" s="1"/>
  <c r="AS916" i="1" s="1"/>
  <c r="AC828" i="1" l="1"/>
  <c r="AF827" i="1"/>
  <c r="L830" i="1"/>
  <c r="AJ829" i="1"/>
  <c r="AT829" i="1" s="1"/>
  <c r="E918" i="1"/>
  <c r="AQ917" i="1"/>
  <c r="AR917" i="1" s="1"/>
  <c r="AS917" i="1" s="1"/>
  <c r="AC829" i="1" l="1"/>
  <c r="AF828" i="1"/>
  <c r="L831" i="1"/>
  <c r="AJ830" i="1"/>
  <c r="AT830" i="1" s="1"/>
  <c r="E919" i="1"/>
  <c r="AQ918" i="1"/>
  <c r="AR918" i="1" s="1"/>
  <c r="AS918" i="1" s="1"/>
  <c r="AC830" i="1" l="1"/>
  <c r="AF829" i="1"/>
  <c r="L832" i="1"/>
  <c r="AJ831" i="1"/>
  <c r="AT831" i="1" s="1"/>
  <c r="E920" i="1"/>
  <c r="AQ919" i="1"/>
  <c r="AR919" i="1" s="1"/>
  <c r="AS919" i="1" s="1"/>
  <c r="AC831" i="1" l="1"/>
  <c r="AF830" i="1"/>
  <c r="L833" i="1"/>
  <c r="AJ832" i="1"/>
  <c r="AT832" i="1" s="1"/>
  <c r="E921" i="1"/>
  <c r="AQ920" i="1"/>
  <c r="AR920" i="1" s="1"/>
  <c r="AS920" i="1" s="1"/>
  <c r="AC832" i="1" l="1"/>
  <c r="AF831" i="1"/>
  <c r="L834" i="1"/>
  <c r="AJ833" i="1"/>
  <c r="AT833" i="1" s="1"/>
  <c r="E922" i="1"/>
  <c r="AQ921" i="1"/>
  <c r="AR921" i="1" s="1"/>
  <c r="AS921" i="1" s="1"/>
  <c r="AC833" i="1" l="1"/>
  <c r="AF832" i="1"/>
  <c r="L835" i="1"/>
  <c r="AJ834" i="1"/>
  <c r="AT834" i="1" s="1"/>
  <c r="E923" i="1"/>
  <c r="AQ922" i="1"/>
  <c r="AR922" i="1" s="1"/>
  <c r="AS922" i="1" s="1"/>
  <c r="AC834" i="1" l="1"/>
  <c r="AF833" i="1"/>
  <c r="L836" i="1"/>
  <c r="AJ835" i="1"/>
  <c r="AT835" i="1" s="1"/>
  <c r="E924" i="1"/>
  <c r="AQ923" i="1"/>
  <c r="AR923" i="1" s="1"/>
  <c r="AS923" i="1" s="1"/>
  <c r="AC835" i="1" l="1"/>
  <c r="AF834" i="1"/>
  <c r="L837" i="1"/>
  <c r="AJ836" i="1"/>
  <c r="AT836" i="1" s="1"/>
  <c r="E925" i="1"/>
  <c r="AQ924" i="1"/>
  <c r="AR924" i="1" s="1"/>
  <c r="AS924" i="1" s="1"/>
  <c r="AC836" i="1" l="1"/>
  <c r="AF835" i="1"/>
  <c r="L838" i="1"/>
  <c r="AJ837" i="1"/>
  <c r="AT837" i="1" s="1"/>
  <c r="E926" i="1"/>
  <c r="AQ925" i="1"/>
  <c r="AR925" i="1" s="1"/>
  <c r="AS925" i="1" s="1"/>
  <c r="AC837" i="1" l="1"/>
  <c r="AF836" i="1"/>
  <c r="L839" i="1"/>
  <c r="AJ838" i="1"/>
  <c r="AT838" i="1" s="1"/>
  <c r="E927" i="1"/>
  <c r="AQ926" i="1"/>
  <c r="AR926" i="1" s="1"/>
  <c r="AS926" i="1" s="1"/>
  <c r="AC838" i="1" l="1"/>
  <c r="AF837" i="1"/>
  <c r="L840" i="1"/>
  <c r="AJ839" i="1"/>
  <c r="AT839" i="1" s="1"/>
  <c r="E928" i="1"/>
  <c r="AQ927" i="1"/>
  <c r="AR927" i="1" s="1"/>
  <c r="AS927" i="1" s="1"/>
  <c r="AC839" i="1" l="1"/>
  <c r="AF838" i="1"/>
  <c r="L841" i="1"/>
  <c r="AJ840" i="1"/>
  <c r="AT840" i="1" s="1"/>
  <c r="E929" i="1"/>
  <c r="AQ928" i="1"/>
  <c r="AR928" i="1" s="1"/>
  <c r="AS928" i="1" s="1"/>
  <c r="AC840" i="1" l="1"/>
  <c r="AF839" i="1"/>
  <c r="L842" i="1"/>
  <c r="AJ841" i="1"/>
  <c r="AT841" i="1" s="1"/>
  <c r="E930" i="1"/>
  <c r="AQ929" i="1"/>
  <c r="AR929" i="1" s="1"/>
  <c r="AS929" i="1" s="1"/>
  <c r="AC841" i="1" l="1"/>
  <c r="AF840" i="1"/>
  <c r="L843" i="1"/>
  <c r="AJ842" i="1"/>
  <c r="AT842" i="1" s="1"/>
  <c r="E931" i="1"/>
  <c r="AQ930" i="1"/>
  <c r="AR930" i="1" s="1"/>
  <c r="AS930" i="1" s="1"/>
  <c r="AC842" i="1" l="1"/>
  <c r="AF841" i="1"/>
  <c r="L844" i="1"/>
  <c r="AJ843" i="1"/>
  <c r="AT843" i="1" s="1"/>
  <c r="E932" i="1"/>
  <c r="AQ931" i="1"/>
  <c r="AR931" i="1" s="1"/>
  <c r="AS931" i="1" s="1"/>
  <c r="AC843" i="1" l="1"/>
  <c r="AF842" i="1"/>
  <c r="L845" i="1"/>
  <c r="AJ844" i="1"/>
  <c r="AT844" i="1" s="1"/>
  <c r="E933" i="1"/>
  <c r="AQ932" i="1"/>
  <c r="AR932" i="1" s="1"/>
  <c r="AS932" i="1" s="1"/>
  <c r="AC844" i="1" l="1"/>
  <c r="AF843" i="1"/>
  <c r="L846" i="1"/>
  <c r="AJ845" i="1"/>
  <c r="AT845" i="1" s="1"/>
  <c r="E934" i="1"/>
  <c r="AQ933" i="1"/>
  <c r="AR933" i="1" s="1"/>
  <c r="AS933" i="1" s="1"/>
  <c r="AC845" i="1" l="1"/>
  <c r="AF844" i="1"/>
  <c r="L847" i="1"/>
  <c r="AJ846" i="1"/>
  <c r="AT846" i="1" s="1"/>
  <c r="E935" i="1"/>
  <c r="AQ934" i="1"/>
  <c r="AR934" i="1" s="1"/>
  <c r="AS934" i="1" s="1"/>
  <c r="AC846" i="1" l="1"/>
  <c r="AF845" i="1"/>
  <c r="L848" i="1"/>
  <c r="AJ847" i="1"/>
  <c r="AT847" i="1" s="1"/>
  <c r="E936" i="1"/>
  <c r="AQ935" i="1"/>
  <c r="AR935" i="1" s="1"/>
  <c r="AS935" i="1" s="1"/>
  <c r="AC847" i="1" l="1"/>
  <c r="AF846" i="1"/>
  <c r="L849" i="1"/>
  <c r="AJ848" i="1"/>
  <c r="AT848" i="1" s="1"/>
  <c r="E937" i="1"/>
  <c r="AQ936" i="1"/>
  <c r="AR936" i="1" s="1"/>
  <c r="AS936" i="1" s="1"/>
  <c r="AC848" i="1" l="1"/>
  <c r="AF847" i="1"/>
  <c r="L850" i="1"/>
  <c r="AJ849" i="1"/>
  <c r="AT849" i="1" s="1"/>
  <c r="E938" i="1"/>
  <c r="AQ937" i="1"/>
  <c r="AR937" i="1" s="1"/>
  <c r="AS937" i="1" s="1"/>
  <c r="AC849" i="1" l="1"/>
  <c r="AF848" i="1"/>
  <c r="L851" i="1"/>
  <c r="AJ850" i="1"/>
  <c r="AT850" i="1" s="1"/>
  <c r="E939" i="1"/>
  <c r="AQ938" i="1"/>
  <c r="AR938" i="1" s="1"/>
  <c r="AS938" i="1" s="1"/>
  <c r="AC850" i="1" l="1"/>
  <c r="AF849" i="1"/>
  <c r="L852" i="1"/>
  <c r="AJ851" i="1"/>
  <c r="AT851" i="1" s="1"/>
  <c r="E940" i="1"/>
  <c r="AQ939" i="1"/>
  <c r="AR939" i="1" s="1"/>
  <c r="AS939" i="1" s="1"/>
  <c r="AC851" i="1" l="1"/>
  <c r="AF850" i="1"/>
  <c r="L853" i="1"/>
  <c r="AJ852" i="1"/>
  <c r="AT852" i="1" s="1"/>
  <c r="E941" i="1"/>
  <c r="AQ940" i="1"/>
  <c r="AR940" i="1" s="1"/>
  <c r="AS940" i="1" s="1"/>
  <c r="AC852" i="1" l="1"/>
  <c r="AF851" i="1"/>
  <c r="L854" i="1"/>
  <c r="AJ853" i="1"/>
  <c r="AT853" i="1" s="1"/>
  <c r="E942" i="1"/>
  <c r="AQ941" i="1"/>
  <c r="AR941" i="1" s="1"/>
  <c r="AS941" i="1" s="1"/>
  <c r="AC853" i="1" l="1"/>
  <c r="AF852" i="1"/>
  <c r="L855" i="1"/>
  <c r="AJ854" i="1"/>
  <c r="AT854" i="1" s="1"/>
  <c r="E943" i="1"/>
  <c r="AQ942" i="1"/>
  <c r="AR942" i="1" s="1"/>
  <c r="AS942" i="1" s="1"/>
  <c r="AC854" i="1" l="1"/>
  <c r="AF853" i="1"/>
  <c r="L856" i="1"/>
  <c r="AJ855" i="1"/>
  <c r="AT855" i="1" s="1"/>
  <c r="E944" i="1"/>
  <c r="AQ943" i="1"/>
  <c r="AR943" i="1" s="1"/>
  <c r="AS943" i="1" s="1"/>
  <c r="AC855" i="1" l="1"/>
  <c r="AF854" i="1"/>
  <c r="L857" i="1"/>
  <c r="AJ856" i="1"/>
  <c r="AT856" i="1" s="1"/>
  <c r="E945" i="1"/>
  <c r="AQ944" i="1"/>
  <c r="AR944" i="1" s="1"/>
  <c r="AS944" i="1" s="1"/>
  <c r="AC856" i="1" l="1"/>
  <c r="AF855" i="1"/>
  <c r="L858" i="1"/>
  <c r="AJ857" i="1"/>
  <c r="AT857" i="1" s="1"/>
  <c r="E946" i="1"/>
  <c r="AQ945" i="1"/>
  <c r="AR945" i="1" s="1"/>
  <c r="AS945" i="1" s="1"/>
  <c r="AC857" i="1" l="1"/>
  <c r="AF856" i="1"/>
  <c r="L859" i="1"/>
  <c r="AJ858" i="1"/>
  <c r="AT858" i="1" s="1"/>
  <c r="E947" i="1"/>
  <c r="AQ946" i="1"/>
  <c r="AR946" i="1" s="1"/>
  <c r="AS946" i="1" s="1"/>
  <c r="AC858" i="1" l="1"/>
  <c r="AF857" i="1"/>
  <c r="L860" i="1"/>
  <c r="AJ859" i="1"/>
  <c r="AT859" i="1" s="1"/>
  <c r="E948" i="1"/>
  <c r="AQ947" i="1"/>
  <c r="AR947" i="1" s="1"/>
  <c r="AS947" i="1" s="1"/>
  <c r="AC859" i="1" l="1"/>
  <c r="AF858" i="1"/>
  <c r="L861" i="1"/>
  <c r="AJ860" i="1"/>
  <c r="AT860" i="1" s="1"/>
  <c r="E949" i="1"/>
  <c r="AQ948" i="1"/>
  <c r="AR948" i="1" s="1"/>
  <c r="AS948" i="1" s="1"/>
  <c r="AC860" i="1" l="1"/>
  <c r="AF859" i="1"/>
  <c r="L862" i="1"/>
  <c r="AJ861" i="1"/>
  <c r="AT861" i="1" s="1"/>
  <c r="E950" i="1"/>
  <c r="AQ949" i="1"/>
  <c r="AR949" i="1" s="1"/>
  <c r="AS949" i="1" s="1"/>
  <c r="AC861" i="1" l="1"/>
  <c r="AF860" i="1"/>
  <c r="L863" i="1"/>
  <c r="AJ862" i="1"/>
  <c r="AT862" i="1" s="1"/>
  <c r="E951" i="1"/>
  <c r="AQ950" i="1"/>
  <c r="AR950" i="1" s="1"/>
  <c r="AS950" i="1" s="1"/>
  <c r="AC862" i="1" l="1"/>
  <c r="AF861" i="1"/>
  <c r="L864" i="1"/>
  <c r="AJ863" i="1"/>
  <c r="AT863" i="1" s="1"/>
  <c r="E952" i="1"/>
  <c r="AQ951" i="1"/>
  <c r="AR951" i="1" s="1"/>
  <c r="AS951" i="1" s="1"/>
  <c r="AC863" i="1" l="1"/>
  <c r="AF862" i="1"/>
  <c r="L865" i="1"/>
  <c r="AJ864" i="1"/>
  <c r="AT864" i="1" s="1"/>
  <c r="E953" i="1"/>
  <c r="AQ952" i="1"/>
  <c r="AR952" i="1" s="1"/>
  <c r="AS952" i="1" s="1"/>
  <c r="AC864" i="1" l="1"/>
  <c r="AF863" i="1"/>
  <c r="L866" i="1"/>
  <c r="AJ865" i="1"/>
  <c r="AT865" i="1" s="1"/>
  <c r="E954" i="1"/>
  <c r="AQ953" i="1"/>
  <c r="AR953" i="1" s="1"/>
  <c r="AS953" i="1" s="1"/>
  <c r="AC865" i="1" l="1"/>
  <c r="AF864" i="1"/>
  <c r="L867" i="1"/>
  <c r="AJ866" i="1"/>
  <c r="AT866" i="1" s="1"/>
  <c r="E955" i="1"/>
  <c r="AQ954" i="1"/>
  <c r="AR954" i="1" s="1"/>
  <c r="AS954" i="1" s="1"/>
  <c r="AC866" i="1" l="1"/>
  <c r="AF865" i="1"/>
  <c r="L868" i="1"/>
  <c r="AJ867" i="1"/>
  <c r="AT867" i="1" s="1"/>
  <c r="E956" i="1"/>
  <c r="AQ955" i="1"/>
  <c r="AR955" i="1" s="1"/>
  <c r="AS955" i="1" s="1"/>
  <c r="AC867" i="1" l="1"/>
  <c r="AF866" i="1"/>
  <c r="L869" i="1"/>
  <c r="AJ868" i="1"/>
  <c r="AT868" i="1" s="1"/>
  <c r="E957" i="1"/>
  <c r="AQ956" i="1"/>
  <c r="AR956" i="1" s="1"/>
  <c r="AS956" i="1" s="1"/>
  <c r="AC868" i="1" l="1"/>
  <c r="AF867" i="1"/>
  <c r="L870" i="1"/>
  <c r="AJ869" i="1"/>
  <c r="AT869" i="1" s="1"/>
  <c r="E958" i="1"/>
  <c r="AQ957" i="1"/>
  <c r="AR957" i="1" s="1"/>
  <c r="AS957" i="1" s="1"/>
  <c r="AC869" i="1" l="1"/>
  <c r="AF868" i="1"/>
  <c r="L871" i="1"/>
  <c r="AJ870" i="1"/>
  <c r="AT870" i="1" s="1"/>
  <c r="E959" i="1"/>
  <c r="AQ958" i="1"/>
  <c r="AR958" i="1" s="1"/>
  <c r="AS958" i="1" s="1"/>
  <c r="AC870" i="1" l="1"/>
  <c r="AF869" i="1"/>
  <c r="L872" i="1"/>
  <c r="AJ871" i="1"/>
  <c r="AT871" i="1" s="1"/>
  <c r="E960" i="1"/>
  <c r="AQ959" i="1"/>
  <c r="AR959" i="1" s="1"/>
  <c r="AS959" i="1" s="1"/>
  <c r="AC871" i="1" l="1"/>
  <c r="AF870" i="1"/>
  <c r="L873" i="1"/>
  <c r="AJ872" i="1"/>
  <c r="AT872" i="1" s="1"/>
  <c r="E961" i="1"/>
  <c r="AQ960" i="1"/>
  <c r="AR960" i="1" s="1"/>
  <c r="AS960" i="1" s="1"/>
  <c r="AC872" i="1" l="1"/>
  <c r="AF871" i="1"/>
  <c r="L874" i="1"/>
  <c r="AJ873" i="1"/>
  <c r="AT873" i="1" s="1"/>
  <c r="E962" i="1"/>
  <c r="AQ961" i="1"/>
  <c r="AR961" i="1" s="1"/>
  <c r="AS961" i="1" s="1"/>
  <c r="AC873" i="1" l="1"/>
  <c r="AF872" i="1"/>
  <c r="L875" i="1"/>
  <c r="AJ874" i="1"/>
  <c r="AT874" i="1" s="1"/>
  <c r="E963" i="1"/>
  <c r="AQ962" i="1"/>
  <c r="AR962" i="1" s="1"/>
  <c r="AS962" i="1" s="1"/>
  <c r="AC874" i="1" l="1"/>
  <c r="AF873" i="1"/>
  <c r="L876" i="1"/>
  <c r="AJ875" i="1"/>
  <c r="AT875" i="1" s="1"/>
  <c r="E964" i="1"/>
  <c r="AQ963" i="1"/>
  <c r="AR963" i="1" s="1"/>
  <c r="AS963" i="1" s="1"/>
  <c r="AC875" i="1" l="1"/>
  <c r="AF874" i="1"/>
  <c r="L877" i="1"/>
  <c r="AJ876" i="1"/>
  <c r="AT876" i="1" s="1"/>
  <c r="E965" i="1"/>
  <c r="AQ964" i="1"/>
  <c r="AR964" i="1" s="1"/>
  <c r="AS964" i="1" s="1"/>
  <c r="AC876" i="1" l="1"/>
  <c r="AF875" i="1"/>
  <c r="L878" i="1"/>
  <c r="AJ877" i="1"/>
  <c r="AT877" i="1" s="1"/>
  <c r="E966" i="1"/>
  <c r="AQ965" i="1"/>
  <c r="AR965" i="1" s="1"/>
  <c r="AS965" i="1" s="1"/>
  <c r="AC877" i="1" l="1"/>
  <c r="AF876" i="1"/>
  <c r="L879" i="1"/>
  <c r="AJ878" i="1"/>
  <c r="AT878" i="1" s="1"/>
  <c r="E967" i="1"/>
  <c r="AQ966" i="1"/>
  <c r="AR966" i="1" s="1"/>
  <c r="AS966" i="1" s="1"/>
  <c r="AC878" i="1" l="1"/>
  <c r="AF877" i="1"/>
  <c r="L880" i="1"/>
  <c r="AJ879" i="1"/>
  <c r="AT879" i="1" s="1"/>
  <c r="E968" i="1"/>
  <c r="AQ967" i="1"/>
  <c r="AR967" i="1" s="1"/>
  <c r="AS967" i="1" s="1"/>
  <c r="AC879" i="1" l="1"/>
  <c r="AF878" i="1"/>
  <c r="L881" i="1"/>
  <c r="AJ880" i="1"/>
  <c r="AT880" i="1" s="1"/>
  <c r="E969" i="1"/>
  <c r="AQ968" i="1"/>
  <c r="AR968" i="1" s="1"/>
  <c r="AS968" i="1" s="1"/>
  <c r="AC880" i="1" l="1"/>
  <c r="AF879" i="1"/>
  <c r="L882" i="1"/>
  <c r="AJ881" i="1"/>
  <c r="AT881" i="1" s="1"/>
  <c r="E970" i="1"/>
  <c r="AQ969" i="1"/>
  <c r="AR969" i="1" s="1"/>
  <c r="AS969" i="1" s="1"/>
  <c r="AC881" i="1" l="1"/>
  <c r="AF880" i="1"/>
  <c r="L883" i="1"/>
  <c r="AJ882" i="1"/>
  <c r="AT882" i="1" s="1"/>
  <c r="E971" i="1"/>
  <c r="AQ970" i="1"/>
  <c r="AR970" i="1" s="1"/>
  <c r="AS970" i="1" s="1"/>
  <c r="AC882" i="1" l="1"/>
  <c r="AF881" i="1"/>
  <c r="L884" i="1"/>
  <c r="AJ883" i="1"/>
  <c r="AT883" i="1" s="1"/>
  <c r="E972" i="1"/>
  <c r="AQ971" i="1"/>
  <c r="AR971" i="1" s="1"/>
  <c r="AS971" i="1" s="1"/>
  <c r="AC883" i="1" l="1"/>
  <c r="AF882" i="1"/>
  <c r="L885" i="1"/>
  <c r="AJ884" i="1"/>
  <c r="AT884" i="1" s="1"/>
  <c r="E973" i="1"/>
  <c r="AQ972" i="1"/>
  <c r="AR972" i="1" s="1"/>
  <c r="AS972" i="1" s="1"/>
  <c r="AC884" i="1" l="1"/>
  <c r="AF883" i="1"/>
  <c r="L886" i="1"/>
  <c r="AJ885" i="1"/>
  <c r="AT885" i="1" s="1"/>
  <c r="E974" i="1"/>
  <c r="AQ973" i="1"/>
  <c r="AR973" i="1" s="1"/>
  <c r="AS973" i="1" s="1"/>
  <c r="AC885" i="1" l="1"/>
  <c r="AF884" i="1"/>
  <c r="L887" i="1"/>
  <c r="AJ886" i="1"/>
  <c r="AT886" i="1" s="1"/>
  <c r="E975" i="1"/>
  <c r="AQ974" i="1"/>
  <c r="AR974" i="1" s="1"/>
  <c r="AS974" i="1" s="1"/>
  <c r="AC886" i="1" l="1"/>
  <c r="AF885" i="1"/>
  <c r="L888" i="1"/>
  <c r="AJ887" i="1"/>
  <c r="AT887" i="1" s="1"/>
  <c r="E976" i="1"/>
  <c r="AQ975" i="1"/>
  <c r="AR975" i="1" s="1"/>
  <c r="AS975" i="1" s="1"/>
  <c r="AC887" i="1" l="1"/>
  <c r="AF886" i="1"/>
  <c r="L889" i="1"/>
  <c r="AJ888" i="1"/>
  <c r="AT888" i="1" s="1"/>
  <c r="E977" i="1"/>
  <c r="AQ976" i="1"/>
  <c r="AR976" i="1" s="1"/>
  <c r="AS976" i="1" s="1"/>
  <c r="AC888" i="1" l="1"/>
  <c r="AF887" i="1"/>
  <c r="L890" i="1"/>
  <c r="AJ889" i="1"/>
  <c r="AT889" i="1" s="1"/>
  <c r="E978" i="1"/>
  <c r="AQ977" i="1"/>
  <c r="AR977" i="1" s="1"/>
  <c r="AS977" i="1" s="1"/>
  <c r="AC889" i="1" l="1"/>
  <c r="AF888" i="1"/>
  <c r="L891" i="1"/>
  <c r="AJ890" i="1"/>
  <c r="AT890" i="1" s="1"/>
  <c r="E979" i="1"/>
  <c r="AQ978" i="1"/>
  <c r="AR978" i="1" s="1"/>
  <c r="AS978" i="1" s="1"/>
  <c r="AC890" i="1" l="1"/>
  <c r="AF889" i="1"/>
  <c r="L892" i="1"/>
  <c r="AJ891" i="1"/>
  <c r="E980" i="1"/>
  <c r="AQ979" i="1"/>
  <c r="AR979" i="1" s="1"/>
  <c r="AS979" i="1" s="1"/>
  <c r="AC891" i="1" l="1"/>
  <c r="AF890" i="1"/>
  <c r="L893" i="1"/>
  <c r="AJ892" i="1"/>
  <c r="E981" i="1"/>
  <c r="AQ980" i="1"/>
  <c r="AR980" i="1" s="1"/>
  <c r="AS980" i="1" s="1"/>
  <c r="AC892" i="1" l="1"/>
  <c r="AF891" i="1"/>
  <c r="L894" i="1"/>
  <c r="AJ893" i="1"/>
  <c r="AT893" i="1" s="1"/>
  <c r="E982" i="1"/>
  <c r="AQ981" i="1"/>
  <c r="AR981" i="1" s="1"/>
  <c r="AS981" i="1" s="1"/>
  <c r="AC893" i="1" l="1"/>
  <c r="AF892" i="1"/>
  <c r="L895" i="1"/>
  <c r="AJ894" i="1"/>
  <c r="AT894" i="1" s="1"/>
  <c r="E983" i="1"/>
  <c r="AQ982" i="1"/>
  <c r="AR982" i="1" s="1"/>
  <c r="AS982" i="1" s="1"/>
  <c r="AC894" i="1" l="1"/>
  <c r="AF893" i="1"/>
  <c r="L896" i="1"/>
  <c r="AJ895" i="1"/>
  <c r="AT895" i="1" s="1"/>
  <c r="E984" i="1"/>
  <c r="AQ983" i="1"/>
  <c r="AR983" i="1" s="1"/>
  <c r="AS983" i="1" s="1"/>
  <c r="AC895" i="1" l="1"/>
  <c r="AF894" i="1"/>
  <c r="L897" i="1"/>
  <c r="AJ896" i="1"/>
  <c r="AT896" i="1" s="1"/>
  <c r="E985" i="1"/>
  <c r="AQ984" i="1"/>
  <c r="AR984" i="1" s="1"/>
  <c r="AS984" i="1" s="1"/>
  <c r="AC896" i="1" l="1"/>
  <c r="AF895" i="1"/>
  <c r="L898" i="1"/>
  <c r="AJ897" i="1"/>
  <c r="AT897" i="1" s="1"/>
  <c r="E986" i="1"/>
  <c r="AQ985" i="1"/>
  <c r="AR985" i="1" s="1"/>
  <c r="AS985" i="1" s="1"/>
  <c r="AC897" i="1" l="1"/>
  <c r="AF896" i="1"/>
  <c r="L899" i="1"/>
  <c r="AJ898" i="1"/>
  <c r="AT898" i="1" s="1"/>
  <c r="E987" i="1"/>
  <c r="AQ986" i="1"/>
  <c r="AR986" i="1" s="1"/>
  <c r="AS986" i="1" s="1"/>
  <c r="AC898" i="1" l="1"/>
  <c r="AF897" i="1"/>
  <c r="L900" i="1"/>
  <c r="AJ899" i="1"/>
  <c r="AT899" i="1" s="1"/>
  <c r="E988" i="1"/>
  <c r="AQ987" i="1"/>
  <c r="AR987" i="1" s="1"/>
  <c r="AS987" i="1" s="1"/>
  <c r="AC899" i="1" l="1"/>
  <c r="AF898" i="1"/>
  <c r="L901" i="1"/>
  <c r="AJ900" i="1"/>
  <c r="AT900" i="1" s="1"/>
  <c r="E989" i="1"/>
  <c r="AQ988" i="1"/>
  <c r="AR988" i="1" s="1"/>
  <c r="AS988" i="1" s="1"/>
  <c r="AC900" i="1" l="1"/>
  <c r="AF899" i="1"/>
  <c r="L902" i="1"/>
  <c r="AJ901" i="1"/>
  <c r="AT901" i="1" s="1"/>
  <c r="E990" i="1"/>
  <c r="AQ989" i="1"/>
  <c r="AR989" i="1" s="1"/>
  <c r="AS989" i="1" s="1"/>
  <c r="AC901" i="1" l="1"/>
  <c r="AF900" i="1"/>
  <c r="L903" i="1"/>
  <c r="AJ902" i="1"/>
  <c r="AT902" i="1" s="1"/>
  <c r="E991" i="1"/>
  <c r="AQ990" i="1"/>
  <c r="AR990" i="1" s="1"/>
  <c r="AS990" i="1" s="1"/>
  <c r="AC902" i="1" l="1"/>
  <c r="AF901" i="1"/>
  <c r="L904" i="1"/>
  <c r="AJ903" i="1"/>
  <c r="AT903" i="1" s="1"/>
  <c r="E992" i="1"/>
  <c r="AQ991" i="1"/>
  <c r="AR991" i="1" s="1"/>
  <c r="AS991" i="1" s="1"/>
  <c r="AC903" i="1" l="1"/>
  <c r="AF902" i="1"/>
  <c r="L905" i="1"/>
  <c r="AJ904" i="1"/>
  <c r="AT904" i="1" s="1"/>
  <c r="E993" i="1"/>
  <c r="AQ992" i="1"/>
  <c r="AR992" i="1" s="1"/>
  <c r="AS992" i="1" s="1"/>
  <c r="AC904" i="1" l="1"/>
  <c r="AF903" i="1"/>
  <c r="L906" i="1"/>
  <c r="AJ905" i="1"/>
  <c r="AT905" i="1" s="1"/>
  <c r="E994" i="1"/>
  <c r="AQ993" i="1"/>
  <c r="AR993" i="1" s="1"/>
  <c r="AS993" i="1" s="1"/>
  <c r="AC905" i="1" l="1"/>
  <c r="AF904" i="1"/>
  <c r="L907" i="1"/>
  <c r="AJ906" i="1"/>
  <c r="AT906" i="1" s="1"/>
  <c r="E995" i="1"/>
  <c r="AQ994" i="1"/>
  <c r="AR994" i="1" s="1"/>
  <c r="AS994" i="1" s="1"/>
  <c r="AC906" i="1" l="1"/>
  <c r="AF905" i="1"/>
  <c r="L908" i="1"/>
  <c r="AJ907" i="1"/>
  <c r="AT907" i="1" s="1"/>
  <c r="E996" i="1"/>
  <c r="AQ995" i="1"/>
  <c r="AR995" i="1" s="1"/>
  <c r="AS995" i="1" s="1"/>
  <c r="AC907" i="1" l="1"/>
  <c r="AF906" i="1"/>
  <c r="L909" i="1"/>
  <c r="AJ908" i="1"/>
  <c r="AT908" i="1" s="1"/>
  <c r="E997" i="1"/>
  <c r="AQ996" i="1"/>
  <c r="AR996" i="1" s="1"/>
  <c r="AS996" i="1" s="1"/>
  <c r="AC908" i="1" l="1"/>
  <c r="AF907" i="1"/>
  <c r="L910" i="1"/>
  <c r="AJ909" i="1"/>
  <c r="AT909" i="1" s="1"/>
  <c r="E998" i="1"/>
  <c r="AQ997" i="1"/>
  <c r="AR997" i="1" s="1"/>
  <c r="AS997" i="1" s="1"/>
  <c r="AC909" i="1" l="1"/>
  <c r="AF908" i="1"/>
  <c r="L911" i="1"/>
  <c r="AJ910" i="1"/>
  <c r="AT910" i="1" s="1"/>
  <c r="E999" i="1"/>
  <c r="AQ998" i="1"/>
  <c r="AR998" i="1" s="1"/>
  <c r="AS998" i="1" s="1"/>
  <c r="AC910" i="1" l="1"/>
  <c r="AF909" i="1"/>
  <c r="L912" i="1"/>
  <c r="AJ911" i="1"/>
  <c r="AT911" i="1" s="1"/>
  <c r="E1000" i="1"/>
  <c r="AQ999" i="1"/>
  <c r="AR999" i="1" s="1"/>
  <c r="AS999" i="1" s="1"/>
  <c r="AC911" i="1" l="1"/>
  <c r="AF910" i="1"/>
  <c r="L913" i="1"/>
  <c r="AJ912" i="1"/>
  <c r="AT912" i="1" s="1"/>
  <c r="E1001" i="1"/>
  <c r="AQ1000" i="1"/>
  <c r="AR1000" i="1" s="1"/>
  <c r="AS1000" i="1" s="1"/>
  <c r="AC912" i="1" l="1"/>
  <c r="AF911" i="1"/>
  <c r="L914" i="1"/>
  <c r="AJ913" i="1"/>
  <c r="AT913" i="1" s="1"/>
  <c r="E1002" i="1"/>
  <c r="AQ1001" i="1"/>
  <c r="AR1001" i="1" s="1"/>
  <c r="AS1001" i="1" s="1"/>
  <c r="AC913" i="1" l="1"/>
  <c r="AF912" i="1"/>
  <c r="L915" i="1"/>
  <c r="AJ914" i="1"/>
  <c r="AT914" i="1" s="1"/>
  <c r="E1003" i="1"/>
  <c r="AQ1002" i="1"/>
  <c r="AR1002" i="1" s="1"/>
  <c r="AS1002" i="1" s="1"/>
  <c r="AC914" i="1" l="1"/>
  <c r="AF913" i="1"/>
  <c r="L916" i="1"/>
  <c r="AJ915" i="1"/>
  <c r="AT915" i="1" s="1"/>
  <c r="E1004" i="1"/>
  <c r="AQ1003" i="1"/>
  <c r="AR1003" i="1" s="1"/>
  <c r="AS1003" i="1" s="1"/>
  <c r="AC915" i="1" l="1"/>
  <c r="AF914" i="1"/>
  <c r="L917" i="1"/>
  <c r="AJ916" i="1"/>
  <c r="AT916" i="1" s="1"/>
  <c r="E1005" i="1"/>
  <c r="AQ1004" i="1"/>
  <c r="AR1004" i="1" s="1"/>
  <c r="AS1004" i="1" s="1"/>
  <c r="AC916" i="1" l="1"/>
  <c r="AF915" i="1"/>
  <c r="L918" i="1"/>
  <c r="AJ917" i="1"/>
  <c r="AT917" i="1" s="1"/>
  <c r="E1006" i="1"/>
  <c r="AQ1005" i="1"/>
  <c r="AR1005" i="1" s="1"/>
  <c r="AS1005" i="1" s="1"/>
  <c r="AC917" i="1" l="1"/>
  <c r="AF916" i="1"/>
  <c r="L919" i="1"/>
  <c r="AJ918" i="1"/>
  <c r="AT918" i="1" s="1"/>
  <c r="E1007" i="1"/>
  <c r="AQ1006" i="1"/>
  <c r="AR1006" i="1" s="1"/>
  <c r="AS1006" i="1" s="1"/>
  <c r="AC918" i="1" l="1"/>
  <c r="AF917" i="1"/>
  <c r="L920" i="1"/>
  <c r="AJ919" i="1"/>
  <c r="AT919" i="1" s="1"/>
  <c r="E1008" i="1"/>
  <c r="AQ1007" i="1"/>
  <c r="AR1007" i="1" s="1"/>
  <c r="AS1007" i="1" s="1"/>
  <c r="AC919" i="1" l="1"/>
  <c r="AF918" i="1"/>
  <c r="L921" i="1"/>
  <c r="AJ920" i="1"/>
  <c r="AT920" i="1" s="1"/>
  <c r="E1009" i="1"/>
  <c r="AQ1008" i="1"/>
  <c r="AR1008" i="1" s="1"/>
  <c r="AS1008" i="1" s="1"/>
  <c r="AC920" i="1" l="1"/>
  <c r="AF919" i="1"/>
  <c r="L922" i="1"/>
  <c r="AJ921" i="1"/>
  <c r="AT921" i="1" s="1"/>
  <c r="E1010" i="1"/>
  <c r="AQ1009" i="1"/>
  <c r="AR1009" i="1" s="1"/>
  <c r="AS1009" i="1" s="1"/>
  <c r="AC921" i="1" l="1"/>
  <c r="AF920" i="1"/>
  <c r="L923" i="1"/>
  <c r="AJ922" i="1"/>
  <c r="AT922" i="1" s="1"/>
  <c r="E1011" i="1"/>
  <c r="AQ1010" i="1"/>
  <c r="AR1010" i="1" s="1"/>
  <c r="AS1010" i="1" s="1"/>
  <c r="AC922" i="1" l="1"/>
  <c r="AF921" i="1"/>
  <c r="L924" i="1"/>
  <c r="AJ923" i="1"/>
  <c r="AT923" i="1" s="1"/>
  <c r="E1012" i="1"/>
  <c r="AQ1011" i="1"/>
  <c r="AR1011" i="1" s="1"/>
  <c r="AS1011" i="1" s="1"/>
  <c r="AC923" i="1" l="1"/>
  <c r="AF922" i="1"/>
  <c r="L925" i="1"/>
  <c r="AJ924" i="1"/>
  <c r="AT924" i="1" s="1"/>
  <c r="E1013" i="1"/>
  <c r="AQ1012" i="1"/>
  <c r="AR1012" i="1" s="1"/>
  <c r="AS1012" i="1" s="1"/>
  <c r="AC924" i="1" l="1"/>
  <c r="AF923" i="1"/>
  <c r="L926" i="1"/>
  <c r="AJ925" i="1"/>
  <c r="AT925" i="1" s="1"/>
  <c r="E1014" i="1"/>
  <c r="AQ1013" i="1"/>
  <c r="AR1013" i="1" s="1"/>
  <c r="AS1013" i="1" s="1"/>
  <c r="AC925" i="1" l="1"/>
  <c r="AF924" i="1"/>
  <c r="L927" i="1"/>
  <c r="AJ926" i="1"/>
  <c r="AT926" i="1" s="1"/>
  <c r="E1015" i="1"/>
  <c r="AQ1014" i="1"/>
  <c r="AR1014" i="1" s="1"/>
  <c r="AS1014" i="1" s="1"/>
  <c r="AC926" i="1" l="1"/>
  <c r="AF925" i="1"/>
  <c r="L928" i="1"/>
  <c r="AJ927" i="1"/>
  <c r="AT927" i="1" s="1"/>
  <c r="E1016" i="1"/>
  <c r="AQ1015" i="1"/>
  <c r="AR1015" i="1" s="1"/>
  <c r="AS1015" i="1" s="1"/>
  <c r="AC927" i="1" l="1"/>
  <c r="AF926" i="1"/>
  <c r="L929" i="1"/>
  <c r="AJ928" i="1"/>
  <c r="AT928" i="1" s="1"/>
  <c r="E1017" i="1"/>
  <c r="AQ1016" i="1"/>
  <c r="AR1016" i="1" s="1"/>
  <c r="AS1016" i="1" s="1"/>
  <c r="AC928" i="1" l="1"/>
  <c r="AF927" i="1"/>
  <c r="L930" i="1"/>
  <c r="AJ929" i="1"/>
  <c r="AT929" i="1" s="1"/>
  <c r="E1018" i="1"/>
  <c r="AQ1017" i="1"/>
  <c r="AR1017" i="1" s="1"/>
  <c r="AS1017" i="1" s="1"/>
  <c r="AC929" i="1" l="1"/>
  <c r="AF928" i="1"/>
  <c r="L931" i="1"/>
  <c r="AJ930" i="1"/>
  <c r="AT930" i="1" s="1"/>
  <c r="E1019" i="1"/>
  <c r="AQ1018" i="1"/>
  <c r="AR1018" i="1" s="1"/>
  <c r="AS1018" i="1" s="1"/>
  <c r="AC930" i="1" l="1"/>
  <c r="AF929" i="1"/>
  <c r="L932" i="1"/>
  <c r="AJ931" i="1"/>
  <c r="AT931" i="1" s="1"/>
  <c r="E1020" i="1"/>
  <c r="AQ1019" i="1"/>
  <c r="AR1019" i="1" s="1"/>
  <c r="AS1019" i="1" s="1"/>
  <c r="AC931" i="1" l="1"/>
  <c r="AF930" i="1"/>
  <c r="L933" i="1"/>
  <c r="AJ932" i="1"/>
  <c r="AT932" i="1" s="1"/>
  <c r="E1021" i="1"/>
  <c r="AQ1020" i="1"/>
  <c r="AR1020" i="1" s="1"/>
  <c r="AS1020" i="1" s="1"/>
  <c r="AC932" i="1" l="1"/>
  <c r="AF931" i="1"/>
  <c r="L934" i="1"/>
  <c r="AJ933" i="1"/>
  <c r="AT933" i="1" s="1"/>
  <c r="E1022" i="1"/>
  <c r="AQ1021" i="1"/>
  <c r="AR1021" i="1" s="1"/>
  <c r="AS1021" i="1" s="1"/>
  <c r="AC933" i="1" l="1"/>
  <c r="AF932" i="1"/>
  <c r="L935" i="1"/>
  <c r="AJ934" i="1"/>
  <c r="AT934" i="1" s="1"/>
  <c r="E1023" i="1"/>
  <c r="AQ1022" i="1"/>
  <c r="AR1022" i="1" s="1"/>
  <c r="AS1022" i="1" s="1"/>
  <c r="AC934" i="1" l="1"/>
  <c r="AF933" i="1"/>
  <c r="L936" i="1"/>
  <c r="AJ935" i="1"/>
  <c r="AT935" i="1" s="1"/>
  <c r="E1024" i="1"/>
  <c r="AQ1023" i="1"/>
  <c r="AR1023" i="1" s="1"/>
  <c r="AS1023" i="1" s="1"/>
  <c r="AC935" i="1" l="1"/>
  <c r="AF934" i="1"/>
  <c r="L937" i="1"/>
  <c r="AJ936" i="1"/>
  <c r="AT936" i="1" s="1"/>
  <c r="E1025" i="1"/>
  <c r="AQ1024" i="1"/>
  <c r="AR1024" i="1" s="1"/>
  <c r="AS1024" i="1" s="1"/>
  <c r="AC936" i="1" l="1"/>
  <c r="AF935" i="1"/>
  <c r="L938" i="1"/>
  <c r="AJ937" i="1"/>
  <c r="AT937" i="1" s="1"/>
  <c r="E1026" i="1"/>
  <c r="AQ1025" i="1"/>
  <c r="AR1025" i="1" s="1"/>
  <c r="AS1025" i="1" s="1"/>
  <c r="AC937" i="1" l="1"/>
  <c r="AF936" i="1"/>
  <c r="L939" i="1"/>
  <c r="AJ938" i="1"/>
  <c r="AT938" i="1" s="1"/>
  <c r="E1027" i="1"/>
  <c r="AQ1026" i="1"/>
  <c r="AR1026" i="1" s="1"/>
  <c r="AS1026" i="1" s="1"/>
  <c r="AC938" i="1" l="1"/>
  <c r="AF937" i="1"/>
  <c r="L940" i="1"/>
  <c r="AJ939" i="1"/>
  <c r="AT939" i="1" s="1"/>
  <c r="E1028" i="1"/>
  <c r="AQ1027" i="1"/>
  <c r="AR1027" i="1" s="1"/>
  <c r="AS1027" i="1" s="1"/>
  <c r="AC939" i="1" l="1"/>
  <c r="AF938" i="1"/>
  <c r="L941" i="1"/>
  <c r="AJ940" i="1"/>
  <c r="AT940" i="1" s="1"/>
  <c r="E1029" i="1"/>
  <c r="AQ1028" i="1"/>
  <c r="AR1028" i="1" s="1"/>
  <c r="AS1028" i="1" s="1"/>
  <c r="AC940" i="1" l="1"/>
  <c r="AF939" i="1"/>
  <c r="L942" i="1"/>
  <c r="AJ941" i="1"/>
  <c r="AT941" i="1" s="1"/>
  <c r="E1030" i="1"/>
  <c r="AQ1029" i="1"/>
  <c r="AR1029" i="1" s="1"/>
  <c r="AS1029" i="1" s="1"/>
  <c r="AC941" i="1" l="1"/>
  <c r="AF940" i="1"/>
  <c r="L943" i="1"/>
  <c r="AJ942" i="1"/>
  <c r="AT942" i="1" s="1"/>
  <c r="E1031" i="1"/>
  <c r="AQ1030" i="1"/>
  <c r="AR1030" i="1" s="1"/>
  <c r="AS1030" i="1" s="1"/>
  <c r="AC942" i="1" l="1"/>
  <c r="AF941" i="1"/>
  <c r="L944" i="1"/>
  <c r="AJ943" i="1"/>
  <c r="AT943" i="1" s="1"/>
  <c r="E1032" i="1"/>
  <c r="AQ1031" i="1"/>
  <c r="AR1031" i="1" s="1"/>
  <c r="AS1031" i="1" s="1"/>
  <c r="AC943" i="1" l="1"/>
  <c r="AF942" i="1"/>
  <c r="L945" i="1"/>
  <c r="AJ944" i="1"/>
  <c r="AT944" i="1" s="1"/>
  <c r="E1033" i="1"/>
  <c r="AQ1032" i="1"/>
  <c r="AR1032" i="1" s="1"/>
  <c r="AS1032" i="1" s="1"/>
  <c r="AC944" i="1" l="1"/>
  <c r="AF943" i="1"/>
  <c r="L946" i="1"/>
  <c r="AJ945" i="1"/>
  <c r="AT945" i="1" s="1"/>
  <c r="E1034" i="1"/>
  <c r="AQ1033" i="1"/>
  <c r="AR1033" i="1" s="1"/>
  <c r="AS1033" i="1" s="1"/>
  <c r="AC945" i="1" l="1"/>
  <c r="AF944" i="1"/>
  <c r="L947" i="1"/>
  <c r="AJ946" i="1"/>
  <c r="AT946" i="1" s="1"/>
  <c r="E1035" i="1"/>
  <c r="AQ1034" i="1"/>
  <c r="AR1034" i="1" s="1"/>
  <c r="AS1034" i="1" s="1"/>
  <c r="AC946" i="1" l="1"/>
  <c r="AF945" i="1"/>
  <c r="L948" i="1"/>
  <c r="AJ947" i="1"/>
  <c r="AT947" i="1" s="1"/>
  <c r="E1036" i="1"/>
  <c r="AQ1035" i="1"/>
  <c r="AR1035" i="1" s="1"/>
  <c r="AS1035" i="1" s="1"/>
  <c r="AC947" i="1" l="1"/>
  <c r="AF946" i="1"/>
  <c r="L949" i="1"/>
  <c r="AJ948" i="1"/>
  <c r="AT948" i="1" s="1"/>
  <c r="E1037" i="1"/>
  <c r="AQ1036" i="1"/>
  <c r="AR1036" i="1" s="1"/>
  <c r="AS1036" i="1" s="1"/>
  <c r="AC948" i="1" l="1"/>
  <c r="AF947" i="1"/>
  <c r="L950" i="1"/>
  <c r="AJ949" i="1"/>
  <c r="AT949" i="1" s="1"/>
  <c r="E1038" i="1"/>
  <c r="AQ1037" i="1"/>
  <c r="AR1037" i="1" s="1"/>
  <c r="AS1037" i="1" s="1"/>
  <c r="AC949" i="1" l="1"/>
  <c r="AF948" i="1"/>
  <c r="L951" i="1"/>
  <c r="AJ950" i="1"/>
  <c r="AT950" i="1" s="1"/>
  <c r="E1039" i="1"/>
  <c r="AQ1038" i="1"/>
  <c r="AR1038" i="1" s="1"/>
  <c r="AS1038" i="1" s="1"/>
  <c r="AC950" i="1" l="1"/>
  <c r="AF949" i="1"/>
  <c r="L952" i="1"/>
  <c r="AJ951" i="1"/>
  <c r="AT951" i="1" s="1"/>
  <c r="E1040" i="1"/>
  <c r="AQ1039" i="1"/>
  <c r="AR1039" i="1" s="1"/>
  <c r="AS1039" i="1" s="1"/>
  <c r="AC951" i="1" l="1"/>
  <c r="AF950" i="1"/>
  <c r="L953" i="1"/>
  <c r="AJ952" i="1"/>
  <c r="AT952" i="1" s="1"/>
  <c r="E1041" i="1"/>
  <c r="AQ1040" i="1"/>
  <c r="AR1040" i="1" s="1"/>
  <c r="AS1040" i="1" s="1"/>
  <c r="AC952" i="1" l="1"/>
  <c r="AF951" i="1"/>
  <c r="L954" i="1"/>
  <c r="AJ953" i="1"/>
  <c r="AT953" i="1" s="1"/>
  <c r="E1042" i="1"/>
  <c r="AQ1041" i="1"/>
  <c r="AR1041" i="1" s="1"/>
  <c r="AS1041" i="1" s="1"/>
  <c r="AC953" i="1" l="1"/>
  <c r="AF952" i="1"/>
  <c r="L955" i="1"/>
  <c r="AJ954" i="1"/>
  <c r="AT954" i="1" s="1"/>
  <c r="E1043" i="1"/>
  <c r="AQ1042" i="1"/>
  <c r="AR1042" i="1" s="1"/>
  <c r="AS1042" i="1" s="1"/>
  <c r="AC954" i="1" l="1"/>
  <c r="AF953" i="1"/>
  <c r="L956" i="1"/>
  <c r="AJ955" i="1"/>
  <c r="AT955" i="1" s="1"/>
  <c r="E1044" i="1"/>
  <c r="AQ1043" i="1"/>
  <c r="AR1043" i="1" s="1"/>
  <c r="AS1043" i="1" s="1"/>
  <c r="AC955" i="1" l="1"/>
  <c r="AF954" i="1"/>
  <c r="L957" i="1"/>
  <c r="AJ956" i="1"/>
  <c r="AT956" i="1" s="1"/>
  <c r="E1045" i="1"/>
  <c r="AQ1044" i="1"/>
  <c r="AR1044" i="1" s="1"/>
  <c r="AS1044" i="1" s="1"/>
  <c r="AC956" i="1" l="1"/>
  <c r="AF955" i="1"/>
  <c r="L958" i="1"/>
  <c r="AJ957" i="1"/>
  <c r="AT957" i="1" s="1"/>
  <c r="E1046" i="1"/>
  <c r="AQ1045" i="1"/>
  <c r="AR1045" i="1" s="1"/>
  <c r="AS1045" i="1" s="1"/>
  <c r="AC957" i="1" l="1"/>
  <c r="AF956" i="1"/>
  <c r="L959" i="1"/>
  <c r="AJ958" i="1"/>
  <c r="AT958" i="1" s="1"/>
  <c r="E1047" i="1"/>
  <c r="AQ1046" i="1"/>
  <c r="AR1046" i="1" s="1"/>
  <c r="AS1046" i="1" s="1"/>
  <c r="AC958" i="1" l="1"/>
  <c r="AF957" i="1"/>
  <c r="L960" i="1"/>
  <c r="AJ959" i="1"/>
  <c r="AT959" i="1" s="1"/>
  <c r="E1048" i="1"/>
  <c r="AQ1047" i="1"/>
  <c r="AR1047" i="1" s="1"/>
  <c r="AS1047" i="1" s="1"/>
  <c r="AC959" i="1" l="1"/>
  <c r="AF958" i="1"/>
  <c r="L961" i="1"/>
  <c r="AJ960" i="1"/>
  <c r="AT960" i="1" s="1"/>
  <c r="E1049" i="1"/>
  <c r="AQ1048" i="1"/>
  <c r="AR1048" i="1" s="1"/>
  <c r="AS1048" i="1" s="1"/>
  <c r="AC960" i="1" l="1"/>
  <c r="AF959" i="1"/>
  <c r="L962" i="1"/>
  <c r="AJ961" i="1"/>
  <c r="AT961" i="1" s="1"/>
  <c r="E1050" i="1"/>
  <c r="AQ1049" i="1"/>
  <c r="AR1049" i="1" s="1"/>
  <c r="AS1049" i="1" s="1"/>
  <c r="AC961" i="1" l="1"/>
  <c r="AF960" i="1"/>
  <c r="L963" i="1"/>
  <c r="AJ962" i="1"/>
  <c r="AT962" i="1" s="1"/>
  <c r="E1051" i="1"/>
  <c r="AQ1050" i="1"/>
  <c r="AR1050" i="1" s="1"/>
  <c r="AS1050" i="1" s="1"/>
  <c r="AC962" i="1" l="1"/>
  <c r="AF961" i="1"/>
  <c r="L964" i="1"/>
  <c r="AJ963" i="1"/>
  <c r="AT963" i="1" s="1"/>
  <c r="E1052" i="1"/>
  <c r="AQ1051" i="1"/>
  <c r="AR1051" i="1" s="1"/>
  <c r="AS1051" i="1" s="1"/>
  <c r="AC963" i="1" l="1"/>
  <c r="AF962" i="1"/>
  <c r="L965" i="1"/>
  <c r="AJ964" i="1"/>
  <c r="AT964" i="1" s="1"/>
  <c r="E1053" i="1"/>
  <c r="AQ1052" i="1"/>
  <c r="AR1052" i="1" s="1"/>
  <c r="AS1052" i="1" s="1"/>
  <c r="AC964" i="1" l="1"/>
  <c r="AF963" i="1"/>
  <c r="L966" i="1"/>
  <c r="AJ965" i="1"/>
  <c r="AT965" i="1" s="1"/>
  <c r="E1054" i="1"/>
  <c r="AQ1053" i="1"/>
  <c r="AR1053" i="1" s="1"/>
  <c r="AS1053" i="1" s="1"/>
  <c r="AC965" i="1" l="1"/>
  <c r="AF964" i="1"/>
  <c r="L967" i="1"/>
  <c r="AJ966" i="1"/>
  <c r="AT966" i="1" s="1"/>
  <c r="E1055" i="1"/>
  <c r="AQ1054" i="1"/>
  <c r="AR1054" i="1" s="1"/>
  <c r="AS1054" i="1" s="1"/>
  <c r="AC966" i="1" l="1"/>
  <c r="AF965" i="1"/>
  <c r="L968" i="1"/>
  <c r="AJ967" i="1"/>
  <c r="AT967" i="1" s="1"/>
  <c r="E1056" i="1"/>
  <c r="AQ1055" i="1"/>
  <c r="AR1055" i="1" s="1"/>
  <c r="AS1055" i="1" s="1"/>
  <c r="AC967" i="1" l="1"/>
  <c r="AF966" i="1"/>
  <c r="L969" i="1"/>
  <c r="AJ968" i="1"/>
  <c r="AT968" i="1" s="1"/>
  <c r="E1057" i="1"/>
  <c r="AQ1056" i="1"/>
  <c r="AR1056" i="1" s="1"/>
  <c r="AS1056" i="1" s="1"/>
  <c r="AC968" i="1" l="1"/>
  <c r="AF967" i="1"/>
  <c r="L970" i="1"/>
  <c r="AJ969" i="1"/>
  <c r="AT969" i="1" s="1"/>
  <c r="E1058" i="1"/>
  <c r="AQ1057" i="1"/>
  <c r="AR1057" i="1" s="1"/>
  <c r="AS1057" i="1" s="1"/>
  <c r="AC969" i="1" l="1"/>
  <c r="AF968" i="1"/>
  <c r="L971" i="1"/>
  <c r="AJ970" i="1"/>
  <c r="AT970" i="1" s="1"/>
  <c r="E1059" i="1"/>
  <c r="AQ1058" i="1"/>
  <c r="AR1058" i="1" s="1"/>
  <c r="AS1058" i="1" s="1"/>
  <c r="AC970" i="1" l="1"/>
  <c r="AF969" i="1"/>
  <c r="L972" i="1"/>
  <c r="AJ971" i="1"/>
  <c r="AT971" i="1" s="1"/>
  <c r="E1060" i="1"/>
  <c r="AQ1059" i="1"/>
  <c r="AR1059" i="1" s="1"/>
  <c r="AS1059" i="1" s="1"/>
  <c r="AC971" i="1" l="1"/>
  <c r="AF970" i="1"/>
  <c r="L973" i="1"/>
  <c r="AJ972" i="1"/>
  <c r="AT972" i="1" s="1"/>
  <c r="E1061" i="1"/>
  <c r="AQ1060" i="1"/>
  <c r="AR1060" i="1" s="1"/>
  <c r="AS1060" i="1" s="1"/>
  <c r="AC972" i="1" l="1"/>
  <c r="AF971" i="1"/>
  <c r="L974" i="1"/>
  <c r="AJ973" i="1"/>
  <c r="AT973" i="1" s="1"/>
  <c r="E1062" i="1"/>
  <c r="AQ1061" i="1"/>
  <c r="AR1061" i="1" s="1"/>
  <c r="AS1061" i="1" s="1"/>
  <c r="AC973" i="1" l="1"/>
  <c r="AF972" i="1"/>
  <c r="L975" i="1"/>
  <c r="AJ974" i="1"/>
  <c r="AT974" i="1" s="1"/>
  <c r="E1063" i="1"/>
  <c r="AQ1062" i="1"/>
  <c r="AR1062" i="1" s="1"/>
  <c r="AS1062" i="1" s="1"/>
  <c r="AC974" i="1" l="1"/>
  <c r="AF973" i="1"/>
  <c r="L976" i="1"/>
  <c r="AJ975" i="1"/>
  <c r="AT975" i="1" s="1"/>
  <c r="E1064" i="1"/>
  <c r="AQ1063" i="1"/>
  <c r="AR1063" i="1" s="1"/>
  <c r="AS1063" i="1" s="1"/>
  <c r="AC975" i="1" l="1"/>
  <c r="AF974" i="1"/>
  <c r="L977" i="1"/>
  <c r="AJ976" i="1"/>
  <c r="AT976" i="1" s="1"/>
  <c r="E1065" i="1"/>
  <c r="AQ1064" i="1"/>
  <c r="AR1064" i="1" s="1"/>
  <c r="AS1064" i="1" s="1"/>
  <c r="AC976" i="1" l="1"/>
  <c r="AF975" i="1"/>
  <c r="L978" i="1"/>
  <c r="AJ977" i="1"/>
  <c r="AT977" i="1" s="1"/>
  <c r="E1066" i="1"/>
  <c r="AQ1065" i="1"/>
  <c r="AR1065" i="1" s="1"/>
  <c r="AS1065" i="1" s="1"/>
  <c r="AC977" i="1" l="1"/>
  <c r="AF976" i="1"/>
  <c r="L979" i="1"/>
  <c r="AJ978" i="1"/>
  <c r="AT978" i="1" s="1"/>
  <c r="E1067" i="1"/>
  <c r="AQ1066" i="1"/>
  <c r="AR1066" i="1" s="1"/>
  <c r="AS1066" i="1" s="1"/>
  <c r="AC978" i="1" l="1"/>
  <c r="AF977" i="1"/>
  <c r="L980" i="1"/>
  <c r="AJ979" i="1"/>
  <c r="AT979" i="1" s="1"/>
  <c r="E1068" i="1"/>
  <c r="AQ1067" i="1"/>
  <c r="AR1067" i="1" s="1"/>
  <c r="AS1067" i="1" s="1"/>
  <c r="AC979" i="1" l="1"/>
  <c r="AF978" i="1"/>
  <c r="L981" i="1"/>
  <c r="AJ980" i="1"/>
  <c r="AT980" i="1" s="1"/>
  <c r="E1069" i="1"/>
  <c r="AQ1068" i="1"/>
  <c r="AR1068" i="1" s="1"/>
  <c r="AS1068" i="1" s="1"/>
  <c r="AC980" i="1" l="1"/>
  <c r="AF979" i="1"/>
  <c r="L982" i="1"/>
  <c r="AJ981" i="1"/>
  <c r="AT981" i="1" s="1"/>
  <c r="E1070" i="1"/>
  <c r="AQ1069" i="1"/>
  <c r="AR1069" i="1" s="1"/>
  <c r="AS1069" i="1" s="1"/>
  <c r="AC981" i="1" l="1"/>
  <c r="AF980" i="1"/>
  <c r="L983" i="1"/>
  <c r="AJ982" i="1"/>
  <c r="AT982" i="1" s="1"/>
  <c r="E1071" i="1"/>
  <c r="AQ1070" i="1"/>
  <c r="AR1070" i="1" s="1"/>
  <c r="AS1070" i="1" s="1"/>
  <c r="AC982" i="1" l="1"/>
  <c r="AF981" i="1"/>
  <c r="L984" i="1"/>
  <c r="AJ983" i="1"/>
  <c r="AT983" i="1" s="1"/>
  <c r="E1072" i="1"/>
  <c r="AQ1071" i="1"/>
  <c r="AR1071" i="1" s="1"/>
  <c r="AS1071" i="1" s="1"/>
  <c r="AC983" i="1" l="1"/>
  <c r="AF982" i="1"/>
  <c r="L985" i="1"/>
  <c r="AJ984" i="1"/>
  <c r="AT984" i="1" s="1"/>
  <c r="E1073" i="1"/>
  <c r="AQ1072" i="1"/>
  <c r="AR1072" i="1" s="1"/>
  <c r="AS1072" i="1" s="1"/>
  <c r="AC984" i="1" l="1"/>
  <c r="AF983" i="1"/>
  <c r="L986" i="1"/>
  <c r="AJ985" i="1"/>
  <c r="AT985" i="1" s="1"/>
  <c r="E1074" i="1"/>
  <c r="AQ1073" i="1"/>
  <c r="AR1073" i="1" s="1"/>
  <c r="AS1073" i="1" s="1"/>
  <c r="AC985" i="1" l="1"/>
  <c r="AF984" i="1"/>
  <c r="L987" i="1"/>
  <c r="AJ986" i="1"/>
  <c r="AT986" i="1" s="1"/>
  <c r="E1075" i="1"/>
  <c r="AQ1074" i="1"/>
  <c r="AR1074" i="1" s="1"/>
  <c r="AS1074" i="1" s="1"/>
  <c r="AC986" i="1" l="1"/>
  <c r="AF985" i="1"/>
  <c r="L988" i="1"/>
  <c r="AJ987" i="1"/>
  <c r="AT987" i="1" s="1"/>
  <c r="E1076" i="1"/>
  <c r="AQ1075" i="1"/>
  <c r="AR1075" i="1" s="1"/>
  <c r="AS1075" i="1" s="1"/>
  <c r="AC987" i="1" l="1"/>
  <c r="AF986" i="1"/>
  <c r="L989" i="1"/>
  <c r="AJ988" i="1"/>
  <c r="AT988" i="1" s="1"/>
  <c r="E1077" i="1"/>
  <c r="AQ1076" i="1"/>
  <c r="AR1076" i="1" s="1"/>
  <c r="AS1076" i="1" s="1"/>
  <c r="AC988" i="1" l="1"/>
  <c r="AF987" i="1"/>
  <c r="L990" i="1"/>
  <c r="AJ989" i="1"/>
  <c r="AT989" i="1" s="1"/>
  <c r="E1078" i="1"/>
  <c r="AQ1077" i="1"/>
  <c r="AR1077" i="1" s="1"/>
  <c r="AS1077" i="1" s="1"/>
  <c r="AC989" i="1" l="1"/>
  <c r="AF988" i="1"/>
  <c r="L991" i="1"/>
  <c r="AJ990" i="1"/>
  <c r="AT990" i="1" s="1"/>
  <c r="E1079" i="1"/>
  <c r="AQ1078" i="1"/>
  <c r="AR1078" i="1" s="1"/>
  <c r="AS1078" i="1" s="1"/>
  <c r="AC990" i="1" l="1"/>
  <c r="AF989" i="1"/>
  <c r="L992" i="1"/>
  <c r="AJ991" i="1"/>
  <c r="AT991" i="1" s="1"/>
  <c r="E1080" i="1"/>
  <c r="AQ1079" i="1"/>
  <c r="AR1079" i="1" s="1"/>
  <c r="AS1079" i="1" s="1"/>
  <c r="AC991" i="1" l="1"/>
  <c r="AF990" i="1"/>
  <c r="L993" i="1"/>
  <c r="AJ992" i="1"/>
  <c r="AT992" i="1" s="1"/>
  <c r="E1081" i="1"/>
  <c r="AQ1080" i="1"/>
  <c r="AR1080" i="1" s="1"/>
  <c r="AS1080" i="1" s="1"/>
  <c r="AC992" i="1" l="1"/>
  <c r="AF991" i="1"/>
  <c r="L994" i="1"/>
  <c r="AJ993" i="1"/>
  <c r="AT993" i="1" s="1"/>
  <c r="E1082" i="1"/>
  <c r="AQ1081" i="1"/>
  <c r="AR1081" i="1" s="1"/>
  <c r="AS1081" i="1" s="1"/>
  <c r="AC993" i="1" l="1"/>
  <c r="AF992" i="1"/>
  <c r="L995" i="1"/>
  <c r="AJ994" i="1"/>
  <c r="AT994" i="1" s="1"/>
  <c r="E1083" i="1"/>
  <c r="AQ1082" i="1"/>
  <c r="AR1082" i="1" s="1"/>
  <c r="AS1082" i="1" s="1"/>
  <c r="AC994" i="1" l="1"/>
  <c r="AF993" i="1"/>
  <c r="L996" i="1"/>
  <c r="AJ995" i="1"/>
  <c r="AT995" i="1" s="1"/>
  <c r="E1084" i="1"/>
  <c r="AQ1083" i="1"/>
  <c r="AR1083" i="1" s="1"/>
  <c r="AS1083" i="1" s="1"/>
  <c r="AC995" i="1" l="1"/>
  <c r="AF994" i="1"/>
  <c r="L997" i="1"/>
  <c r="AJ996" i="1"/>
  <c r="AT996" i="1" s="1"/>
  <c r="E1085" i="1"/>
  <c r="AQ1084" i="1"/>
  <c r="AR1084" i="1" s="1"/>
  <c r="AS1084" i="1" s="1"/>
  <c r="AC996" i="1" l="1"/>
  <c r="AF995" i="1"/>
  <c r="L998" i="1"/>
  <c r="AJ997" i="1"/>
  <c r="AT997" i="1" s="1"/>
  <c r="E1086" i="1"/>
  <c r="AQ1085" i="1"/>
  <c r="AR1085" i="1" s="1"/>
  <c r="AS1085" i="1" s="1"/>
  <c r="AC997" i="1" l="1"/>
  <c r="AF996" i="1"/>
  <c r="L999" i="1"/>
  <c r="AJ998" i="1"/>
  <c r="AT998" i="1" s="1"/>
  <c r="E1087" i="1"/>
  <c r="AQ1086" i="1"/>
  <c r="AR1086" i="1" s="1"/>
  <c r="AS1086" i="1" s="1"/>
  <c r="AC998" i="1" l="1"/>
  <c r="AF997" i="1"/>
  <c r="L1000" i="1"/>
  <c r="AJ999" i="1"/>
  <c r="AT999" i="1" s="1"/>
  <c r="E1088" i="1"/>
  <c r="AQ1087" i="1"/>
  <c r="AR1087" i="1" s="1"/>
  <c r="AS1087" i="1" s="1"/>
  <c r="AC999" i="1" l="1"/>
  <c r="AF998" i="1"/>
  <c r="L1001" i="1"/>
  <c r="AJ1000" i="1"/>
  <c r="AT1000" i="1" s="1"/>
  <c r="E1089" i="1"/>
  <c r="AQ1088" i="1"/>
  <c r="AR1088" i="1" s="1"/>
  <c r="AS1088" i="1" s="1"/>
  <c r="AC1000" i="1" l="1"/>
  <c r="AF999" i="1"/>
  <c r="L1002" i="1"/>
  <c r="AJ1001" i="1"/>
  <c r="AT1001" i="1" s="1"/>
  <c r="E1090" i="1"/>
  <c r="AQ1089" i="1"/>
  <c r="AR1089" i="1" s="1"/>
  <c r="AS1089" i="1" s="1"/>
  <c r="AC1001" i="1" l="1"/>
  <c r="AF1000" i="1"/>
  <c r="L1003" i="1"/>
  <c r="AJ1002" i="1"/>
  <c r="AT1002" i="1" s="1"/>
  <c r="E1091" i="1"/>
  <c r="AQ1090" i="1"/>
  <c r="AR1090" i="1" s="1"/>
  <c r="AS1090" i="1" s="1"/>
  <c r="AC1002" i="1" l="1"/>
  <c r="AF1001" i="1"/>
  <c r="L1004" i="1"/>
  <c r="AJ1003" i="1"/>
  <c r="AT1003" i="1" s="1"/>
  <c r="E1092" i="1"/>
  <c r="AQ1091" i="1"/>
  <c r="AR1091" i="1" s="1"/>
  <c r="AS1091" i="1" s="1"/>
  <c r="AC1003" i="1" l="1"/>
  <c r="AF1002" i="1"/>
  <c r="L1005" i="1"/>
  <c r="AJ1004" i="1"/>
  <c r="AT1004" i="1" s="1"/>
  <c r="E1093" i="1"/>
  <c r="AQ1092" i="1"/>
  <c r="AR1092" i="1" s="1"/>
  <c r="AS1092" i="1" s="1"/>
  <c r="AC1004" i="1" l="1"/>
  <c r="AF1003" i="1"/>
  <c r="L1006" i="1"/>
  <c r="AJ1005" i="1"/>
  <c r="AT1005" i="1" s="1"/>
  <c r="E1094" i="1"/>
  <c r="AQ1093" i="1"/>
  <c r="AR1093" i="1" s="1"/>
  <c r="AS1093" i="1" s="1"/>
  <c r="AC1005" i="1" l="1"/>
  <c r="AF1004" i="1"/>
  <c r="L1007" i="1"/>
  <c r="AJ1006" i="1"/>
  <c r="AT1006" i="1" s="1"/>
  <c r="E1095" i="1"/>
  <c r="AQ1094" i="1"/>
  <c r="AR1094" i="1" s="1"/>
  <c r="AS1094" i="1" s="1"/>
  <c r="AC1006" i="1" l="1"/>
  <c r="AF1005" i="1"/>
  <c r="L1008" i="1"/>
  <c r="AJ1007" i="1"/>
  <c r="AT1007" i="1" s="1"/>
  <c r="E1096" i="1"/>
  <c r="AQ1095" i="1"/>
  <c r="AR1095" i="1" s="1"/>
  <c r="AS1095" i="1" s="1"/>
  <c r="AC1007" i="1" l="1"/>
  <c r="AF1006" i="1"/>
  <c r="L1009" i="1"/>
  <c r="AJ1008" i="1"/>
  <c r="AT1008" i="1" s="1"/>
  <c r="E1097" i="1"/>
  <c r="AQ1096" i="1"/>
  <c r="AR1096" i="1" s="1"/>
  <c r="AS1096" i="1" s="1"/>
  <c r="AC1008" i="1" l="1"/>
  <c r="AF1007" i="1"/>
  <c r="L1010" i="1"/>
  <c r="AJ1009" i="1"/>
  <c r="AT1009" i="1" s="1"/>
  <c r="E1098" i="1"/>
  <c r="AQ1097" i="1"/>
  <c r="AR1097" i="1" s="1"/>
  <c r="AS1097" i="1" s="1"/>
  <c r="AC1009" i="1" l="1"/>
  <c r="AF1008" i="1"/>
  <c r="L1011" i="1"/>
  <c r="AJ1010" i="1"/>
  <c r="AT1010" i="1" s="1"/>
  <c r="E1099" i="1"/>
  <c r="AQ1098" i="1"/>
  <c r="AR1098" i="1" s="1"/>
  <c r="AS1098" i="1" s="1"/>
  <c r="AC1010" i="1" l="1"/>
  <c r="AF1009" i="1"/>
  <c r="L1012" i="1"/>
  <c r="AJ1011" i="1"/>
  <c r="AT1011" i="1" s="1"/>
  <c r="E1100" i="1"/>
  <c r="AQ1099" i="1"/>
  <c r="AR1099" i="1" s="1"/>
  <c r="AS1099" i="1" s="1"/>
  <c r="AC1011" i="1" l="1"/>
  <c r="AF1010" i="1"/>
  <c r="L1013" i="1"/>
  <c r="AJ1012" i="1"/>
  <c r="AT1012" i="1" s="1"/>
  <c r="E1101" i="1"/>
  <c r="AQ1100" i="1"/>
  <c r="AR1100" i="1" s="1"/>
  <c r="AS1100" i="1" s="1"/>
  <c r="AC1012" i="1" l="1"/>
  <c r="AF1011" i="1"/>
  <c r="L1014" i="1"/>
  <c r="AJ1013" i="1"/>
  <c r="AT1013" i="1" s="1"/>
  <c r="E1102" i="1"/>
  <c r="AQ1101" i="1"/>
  <c r="AC1013" i="1" l="1"/>
  <c r="AF1012" i="1"/>
  <c r="L1015" i="1"/>
  <c r="AJ1014" i="1"/>
  <c r="AT1014" i="1" s="1"/>
  <c r="E1103" i="1"/>
  <c r="AQ1102" i="1"/>
  <c r="AC1014" i="1" l="1"/>
  <c r="AF1013" i="1"/>
  <c r="L1016" i="1"/>
  <c r="AJ1015" i="1"/>
  <c r="AT1015" i="1" s="1"/>
  <c r="E1104" i="1"/>
  <c r="AQ1103" i="1"/>
  <c r="AC1015" i="1" l="1"/>
  <c r="AF1014" i="1"/>
  <c r="L1017" i="1"/>
  <c r="AJ1016" i="1"/>
  <c r="AT1016" i="1" s="1"/>
  <c r="E1105" i="1"/>
  <c r="AQ1104" i="1"/>
  <c r="AR1104" i="1" s="1"/>
  <c r="AS1104" i="1" s="1"/>
  <c r="AC1016" i="1" l="1"/>
  <c r="AF1015" i="1"/>
  <c r="L1018" i="1"/>
  <c r="AJ1017" i="1"/>
  <c r="AT1017" i="1" s="1"/>
  <c r="E1106" i="1"/>
  <c r="AQ1105" i="1"/>
  <c r="AR1105" i="1" s="1"/>
  <c r="AS1105" i="1" s="1"/>
  <c r="AC1017" i="1" l="1"/>
  <c r="AF1016" i="1"/>
  <c r="L1019" i="1"/>
  <c r="AJ1018" i="1"/>
  <c r="AT1018" i="1" s="1"/>
  <c r="E1107" i="1"/>
  <c r="AQ1106" i="1"/>
  <c r="AR1106" i="1" s="1"/>
  <c r="AS1106" i="1" s="1"/>
  <c r="AC1018" i="1" l="1"/>
  <c r="AF1017" i="1"/>
  <c r="L1020" i="1"/>
  <c r="AJ1019" i="1"/>
  <c r="AT1019" i="1" s="1"/>
  <c r="E1108" i="1"/>
  <c r="AQ1107" i="1"/>
  <c r="AR1107" i="1" s="1"/>
  <c r="AS1107" i="1" s="1"/>
  <c r="AC1019" i="1" l="1"/>
  <c r="AF1018" i="1"/>
  <c r="L1021" i="1"/>
  <c r="AJ1020" i="1"/>
  <c r="AT1020" i="1" s="1"/>
  <c r="E1109" i="1"/>
  <c r="AQ1108" i="1"/>
  <c r="AR1108" i="1" s="1"/>
  <c r="AS1108" i="1" s="1"/>
  <c r="AC1020" i="1" l="1"/>
  <c r="AF1019" i="1"/>
  <c r="L1022" i="1"/>
  <c r="AJ1021" i="1"/>
  <c r="AT1021" i="1" s="1"/>
  <c r="E1110" i="1"/>
  <c r="AQ1109" i="1"/>
  <c r="AR1109" i="1" s="1"/>
  <c r="AS1109" i="1" s="1"/>
  <c r="AC1021" i="1" l="1"/>
  <c r="AF1020" i="1"/>
  <c r="L1023" i="1"/>
  <c r="AJ1022" i="1"/>
  <c r="AT1022" i="1" s="1"/>
  <c r="E1111" i="1"/>
  <c r="AQ1110" i="1"/>
  <c r="AR1110" i="1" s="1"/>
  <c r="AS1110" i="1" s="1"/>
  <c r="AC1022" i="1" l="1"/>
  <c r="AF1021" i="1"/>
  <c r="L1024" i="1"/>
  <c r="AJ1023" i="1"/>
  <c r="AT1023" i="1" s="1"/>
  <c r="E1112" i="1"/>
  <c r="AQ1111" i="1"/>
  <c r="AR1111" i="1" s="1"/>
  <c r="AS1111" i="1" s="1"/>
  <c r="AC1023" i="1" l="1"/>
  <c r="AF1022" i="1"/>
  <c r="L1025" i="1"/>
  <c r="AJ1024" i="1"/>
  <c r="AT1024" i="1" s="1"/>
  <c r="E1113" i="1"/>
  <c r="AQ1112" i="1"/>
  <c r="AR1112" i="1" s="1"/>
  <c r="AS1112" i="1" s="1"/>
  <c r="AC1024" i="1" l="1"/>
  <c r="AF1023" i="1"/>
  <c r="L1026" i="1"/>
  <c r="AJ1025" i="1"/>
  <c r="AT1025" i="1" s="1"/>
  <c r="E1114" i="1"/>
  <c r="AQ1113" i="1"/>
  <c r="AR1113" i="1" s="1"/>
  <c r="AS1113" i="1" s="1"/>
  <c r="AC1025" i="1" l="1"/>
  <c r="AF1024" i="1"/>
  <c r="L1027" i="1"/>
  <c r="AJ1026" i="1"/>
  <c r="AT1026" i="1" s="1"/>
  <c r="E1115" i="1"/>
  <c r="AQ1114" i="1"/>
  <c r="AR1114" i="1" s="1"/>
  <c r="AS1114" i="1" s="1"/>
  <c r="AC1026" i="1" l="1"/>
  <c r="AF1025" i="1"/>
  <c r="L1028" i="1"/>
  <c r="AJ1027" i="1"/>
  <c r="AT1027" i="1" s="1"/>
  <c r="E1116" i="1"/>
  <c r="AQ1115" i="1"/>
  <c r="AR1115" i="1" s="1"/>
  <c r="AS1115" i="1" s="1"/>
  <c r="AC1027" i="1" l="1"/>
  <c r="AF1026" i="1"/>
  <c r="L1029" i="1"/>
  <c r="AJ1028" i="1"/>
  <c r="AT1028" i="1" s="1"/>
  <c r="E1117" i="1"/>
  <c r="AQ1116" i="1"/>
  <c r="AR1116" i="1" s="1"/>
  <c r="AS1116" i="1" s="1"/>
  <c r="AC1028" i="1" l="1"/>
  <c r="AF1027" i="1"/>
  <c r="L1030" i="1"/>
  <c r="AJ1029" i="1"/>
  <c r="AT1029" i="1" s="1"/>
  <c r="E1118" i="1"/>
  <c r="AQ1117" i="1"/>
  <c r="AR1117" i="1" s="1"/>
  <c r="AS1117" i="1" s="1"/>
  <c r="AC1029" i="1" l="1"/>
  <c r="AF1028" i="1"/>
  <c r="L1031" i="1"/>
  <c r="AJ1030" i="1"/>
  <c r="AT1030" i="1" s="1"/>
  <c r="E1119" i="1"/>
  <c r="AQ1118" i="1"/>
  <c r="AR1118" i="1" s="1"/>
  <c r="AS1118" i="1" s="1"/>
  <c r="AC1030" i="1" l="1"/>
  <c r="AF1029" i="1"/>
  <c r="L1032" i="1"/>
  <c r="AJ1031" i="1"/>
  <c r="AT1031" i="1" s="1"/>
  <c r="E1120" i="1"/>
  <c r="AQ1119" i="1"/>
  <c r="AR1119" i="1" s="1"/>
  <c r="AS1119" i="1" s="1"/>
  <c r="AC1031" i="1" l="1"/>
  <c r="AF1030" i="1"/>
  <c r="L1033" i="1"/>
  <c r="AJ1032" i="1"/>
  <c r="AT1032" i="1" s="1"/>
  <c r="E1121" i="1"/>
  <c r="AQ1120" i="1"/>
  <c r="AR1120" i="1" s="1"/>
  <c r="AS1120" i="1" s="1"/>
  <c r="AC1032" i="1" l="1"/>
  <c r="AF1031" i="1"/>
  <c r="L1034" i="1"/>
  <c r="AJ1033" i="1"/>
  <c r="AT1033" i="1" s="1"/>
  <c r="E1122" i="1"/>
  <c r="AQ1121" i="1"/>
  <c r="AR1121" i="1" s="1"/>
  <c r="AS1121" i="1" s="1"/>
  <c r="AC1033" i="1" l="1"/>
  <c r="AF1032" i="1"/>
  <c r="L1035" i="1"/>
  <c r="AJ1034" i="1"/>
  <c r="AT1034" i="1" s="1"/>
  <c r="E1123" i="1"/>
  <c r="AQ1122" i="1"/>
  <c r="AR1122" i="1" s="1"/>
  <c r="AS1122" i="1" s="1"/>
  <c r="AC1034" i="1" l="1"/>
  <c r="AF1033" i="1"/>
  <c r="L1036" i="1"/>
  <c r="AJ1035" i="1"/>
  <c r="AT1035" i="1" s="1"/>
  <c r="E1124" i="1"/>
  <c r="AQ1123" i="1"/>
  <c r="AR1123" i="1" s="1"/>
  <c r="AS1123" i="1" s="1"/>
  <c r="AC1035" i="1" l="1"/>
  <c r="AF1034" i="1"/>
  <c r="L1037" i="1"/>
  <c r="AJ1036" i="1"/>
  <c r="AT1036" i="1" s="1"/>
  <c r="E1125" i="1"/>
  <c r="AQ1124" i="1"/>
  <c r="AR1124" i="1" s="1"/>
  <c r="AS1124" i="1" s="1"/>
  <c r="AC1036" i="1" l="1"/>
  <c r="AF1035" i="1"/>
  <c r="L1038" i="1"/>
  <c r="AJ1037" i="1"/>
  <c r="AT1037" i="1" s="1"/>
  <c r="E1126" i="1"/>
  <c r="AQ1125" i="1"/>
  <c r="AR1125" i="1" s="1"/>
  <c r="AS1125" i="1" s="1"/>
  <c r="AC1037" i="1" l="1"/>
  <c r="AF1036" i="1"/>
  <c r="L1039" i="1"/>
  <c r="AJ1038" i="1"/>
  <c r="AT1038" i="1" s="1"/>
  <c r="E1127" i="1"/>
  <c r="AQ1126" i="1"/>
  <c r="AR1126" i="1" s="1"/>
  <c r="AS1126" i="1" s="1"/>
  <c r="AC1038" i="1" l="1"/>
  <c r="AF1037" i="1"/>
  <c r="L1040" i="1"/>
  <c r="AJ1039" i="1"/>
  <c r="AT1039" i="1" s="1"/>
  <c r="E1128" i="1"/>
  <c r="AQ1127" i="1"/>
  <c r="AR1127" i="1" s="1"/>
  <c r="AS1127" i="1" s="1"/>
  <c r="AC1039" i="1" l="1"/>
  <c r="AF1038" i="1"/>
  <c r="L1041" i="1"/>
  <c r="AJ1040" i="1"/>
  <c r="AT1040" i="1" s="1"/>
  <c r="E1129" i="1"/>
  <c r="AQ1128" i="1"/>
  <c r="AR1128" i="1" s="1"/>
  <c r="AS1128" i="1" s="1"/>
  <c r="AC1040" i="1" l="1"/>
  <c r="AF1039" i="1"/>
  <c r="L1042" i="1"/>
  <c r="AJ1041" i="1"/>
  <c r="AT1041" i="1" s="1"/>
  <c r="E1130" i="1"/>
  <c r="AQ1129" i="1"/>
  <c r="AR1129" i="1" s="1"/>
  <c r="AS1129" i="1" s="1"/>
  <c r="AC1041" i="1" l="1"/>
  <c r="AF1040" i="1"/>
  <c r="L1043" i="1"/>
  <c r="AJ1042" i="1"/>
  <c r="AT1042" i="1" s="1"/>
  <c r="AQ1130" i="1"/>
  <c r="AR1130" i="1" s="1"/>
  <c r="AS1130" i="1" s="1"/>
  <c r="E1131" i="1"/>
  <c r="E1132" i="1" s="1"/>
  <c r="AC1042" i="1" l="1"/>
  <c r="AF1041" i="1"/>
  <c r="L1044" i="1"/>
  <c r="AJ1043" i="1"/>
  <c r="AT1043" i="1" s="1"/>
  <c r="AQ1131" i="1"/>
  <c r="AR1131" i="1" s="1"/>
  <c r="AS1131" i="1" s="1"/>
  <c r="E1133" i="1"/>
  <c r="AQ1132" i="1"/>
  <c r="AR1132" i="1" s="1"/>
  <c r="AS1132" i="1" s="1"/>
  <c r="AC1043" i="1" l="1"/>
  <c r="AF1042" i="1"/>
  <c r="L1045" i="1"/>
  <c r="AJ1044" i="1"/>
  <c r="AT1044" i="1" s="1"/>
  <c r="E1134" i="1"/>
  <c r="AQ1133" i="1"/>
  <c r="AR1133" i="1" s="1"/>
  <c r="AS1133" i="1" s="1"/>
  <c r="AC1044" i="1" l="1"/>
  <c r="AF1043" i="1"/>
  <c r="L1046" i="1"/>
  <c r="AJ1045" i="1"/>
  <c r="AT1045" i="1" s="1"/>
  <c r="E1135" i="1"/>
  <c r="AQ1134" i="1"/>
  <c r="AR1134" i="1" s="1"/>
  <c r="AS1134" i="1" s="1"/>
  <c r="AC1045" i="1" l="1"/>
  <c r="AF1044" i="1"/>
  <c r="L1047" i="1"/>
  <c r="AJ1046" i="1"/>
  <c r="AT1046" i="1" s="1"/>
  <c r="E1136" i="1"/>
  <c r="AQ1135" i="1"/>
  <c r="AR1135" i="1" s="1"/>
  <c r="AS1135" i="1" s="1"/>
  <c r="AC1046" i="1" l="1"/>
  <c r="AF1045" i="1"/>
  <c r="L1048" i="1"/>
  <c r="AJ1047" i="1"/>
  <c r="AT1047" i="1" s="1"/>
  <c r="E1137" i="1"/>
  <c r="AQ1136" i="1"/>
  <c r="AR1136" i="1" s="1"/>
  <c r="AS1136" i="1" s="1"/>
  <c r="AC1047" i="1" l="1"/>
  <c r="AF1046" i="1"/>
  <c r="L1049" i="1"/>
  <c r="AJ1048" i="1"/>
  <c r="AT1048" i="1" s="1"/>
  <c r="E1138" i="1"/>
  <c r="AQ1137" i="1"/>
  <c r="AR1137" i="1" s="1"/>
  <c r="AS1137" i="1" s="1"/>
  <c r="AC1048" i="1" l="1"/>
  <c r="AF1047" i="1"/>
  <c r="L1050" i="1"/>
  <c r="AJ1049" i="1"/>
  <c r="AT1049" i="1" s="1"/>
  <c r="E1139" i="1"/>
  <c r="AQ1138" i="1"/>
  <c r="AR1138" i="1" s="1"/>
  <c r="AS1138" i="1" s="1"/>
  <c r="AC1049" i="1" l="1"/>
  <c r="AF1048" i="1"/>
  <c r="L1051" i="1"/>
  <c r="AJ1050" i="1"/>
  <c r="AT1050" i="1" s="1"/>
  <c r="E1140" i="1"/>
  <c r="AQ1139" i="1"/>
  <c r="AR1139" i="1" s="1"/>
  <c r="AS1139" i="1" s="1"/>
  <c r="AC1050" i="1" l="1"/>
  <c r="AF1049" i="1"/>
  <c r="L1052" i="1"/>
  <c r="AJ1051" i="1"/>
  <c r="AT1051" i="1" s="1"/>
  <c r="E1141" i="1"/>
  <c r="AQ1140" i="1"/>
  <c r="AR1140" i="1" s="1"/>
  <c r="AS1140" i="1" s="1"/>
  <c r="AC1051" i="1" l="1"/>
  <c r="AF1050" i="1"/>
  <c r="L1053" i="1"/>
  <c r="AJ1052" i="1"/>
  <c r="AT1052" i="1" s="1"/>
  <c r="E1142" i="1"/>
  <c r="AQ1141" i="1"/>
  <c r="AR1141" i="1" s="1"/>
  <c r="AS1141" i="1" s="1"/>
  <c r="AC1052" i="1" l="1"/>
  <c r="AF1051" i="1"/>
  <c r="L1054" i="1"/>
  <c r="AJ1053" i="1"/>
  <c r="AT1053" i="1" s="1"/>
  <c r="E1143" i="1"/>
  <c r="AQ1142" i="1"/>
  <c r="AR1142" i="1" s="1"/>
  <c r="AS1142" i="1" s="1"/>
  <c r="AC1053" i="1" l="1"/>
  <c r="AF1052" i="1"/>
  <c r="L1055" i="1"/>
  <c r="AJ1054" i="1"/>
  <c r="AT1054" i="1" s="1"/>
  <c r="E1144" i="1"/>
  <c r="AQ1143" i="1"/>
  <c r="AR1143" i="1" s="1"/>
  <c r="AS1143" i="1" s="1"/>
  <c r="AC1054" i="1" l="1"/>
  <c r="AF1053" i="1"/>
  <c r="L1056" i="1"/>
  <c r="AJ1055" i="1"/>
  <c r="AT1055" i="1" s="1"/>
  <c r="E1145" i="1"/>
  <c r="AQ1144" i="1"/>
  <c r="AR1144" i="1" s="1"/>
  <c r="AS1144" i="1" s="1"/>
  <c r="AC1055" i="1" l="1"/>
  <c r="AF1054" i="1"/>
  <c r="L1057" i="1"/>
  <c r="AJ1056" i="1"/>
  <c r="AT1056" i="1" s="1"/>
  <c r="E1146" i="1"/>
  <c r="AQ1145" i="1"/>
  <c r="AR1145" i="1" s="1"/>
  <c r="AS1145" i="1" s="1"/>
  <c r="AC1056" i="1" l="1"/>
  <c r="AF1055" i="1"/>
  <c r="L1058" i="1"/>
  <c r="AJ1057" i="1"/>
  <c r="AT1057" i="1" s="1"/>
  <c r="E1147" i="1"/>
  <c r="AQ1146" i="1"/>
  <c r="AR1146" i="1" s="1"/>
  <c r="AS1146" i="1" s="1"/>
  <c r="AC1057" i="1" l="1"/>
  <c r="AF1056" i="1"/>
  <c r="L1059" i="1"/>
  <c r="AJ1058" i="1"/>
  <c r="AT1058" i="1" s="1"/>
  <c r="E1148" i="1"/>
  <c r="AQ1147" i="1"/>
  <c r="AR1147" i="1" s="1"/>
  <c r="AS1147" i="1" s="1"/>
  <c r="AC1058" i="1" l="1"/>
  <c r="AF1057" i="1"/>
  <c r="L1060" i="1"/>
  <c r="AJ1059" i="1"/>
  <c r="AT1059" i="1" s="1"/>
  <c r="E1149" i="1"/>
  <c r="AQ1148" i="1"/>
  <c r="AR1148" i="1" s="1"/>
  <c r="AS1148" i="1" s="1"/>
  <c r="AC1059" i="1" l="1"/>
  <c r="AF1058" i="1"/>
  <c r="L1061" i="1"/>
  <c r="AJ1060" i="1"/>
  <c r="AT1060" i="1" s="1"/>
  <c r="E1150" i="1"/>
  <c r="AQ1149" i="1"/>
  <c r="AR1149" i="1" s="1"/>
  <c r="AS1149" i="1" s="1"/>
  <c r="AC1060" i="1" l="1"/>
  <c r="AF1059" i="1"/>
  <c r="L1062" i="1"/>
  <c r="AJ1061" i="1"/>
  <c r="AT1061" i="1" s="1"/>
  <c r="E1151" i="1"/>
  <c r="AQ1150" i="1"/>
  <c r="AR1150" i="1" s="1"/>
  <c r="AS1150" i="1" s="1"/>
  <c r="AC1061" i="1" l="1"/>
  <c r="AF1060" i="1"/>
  <c r="L1063" i="1"/>
  <c r="AJ1062" i="1"/>
  <c r="AT1062" i="1" s="1"/>
  <c r="E1152" i="1"/>
  <c r="AQ1151" i="1"/>
  <c r="AR1151" i="1" s="1"/>
  <c r="AS1151" i="1" s="1"/>
  <c r="AC1062" i="1" l="1"/>
  <c r="AF1061" i="1"/>
  <c r="L1064" i="1"/>
  <c r="AJ1063" i="1"/>
  <c r="AT1063" i="1" s="1"/>
  <c r="E1153" i="1"/>
  <c r="AQ1152" i="1"/>
  <c r="AR1152" i="1" s="1"/>
  <c r="AS1152" i="1" s="1"/>
  <c r="AC1063" i="1" l="1"/>
  <c r="AF1062" i="1"/>
  <c r="L1065" i="1"/>
  <c r="AJ1064" i="1"/>
  <c r="AT1064" i="1" s="1"/>
  <c r="E1154" i="1"/>
  <c r="AQ1153" i="1"/>
  <c r="AR1153" i="1" s="1"/>
  <c r="AS1153" i="1" s="1"/>
  <c r="AC1064" i="1" l="1"/>
  <c r="AF1063" i="1"/>
  <c r="L1066" i="1"/>
  <c r="AJ1065" i="1"/>
  <c r="AT1065" i="1" s="1"/>
  <c r="E1155" i="1"/>
  <c r="AQ1154" i="1"/>
  <c r="AR1154" i="1" s="1"/>
  <c r="AS1154" i="1" s="1"/>
  <c r="AC1065" i="1" l="1"/>
  <c r="AF1064" i="1"/>
  <c r="L1067" i="1"/>
  <c r="AJ1066" i="1"/>
  <c r="AT1066" i="1" s="1"/>
  <c r="E1156" i="1"/>
  <c r="AQ1155" i="1"/>
  <c r="AR1155" i="1" s="1"/>
  <c r="AS1155" i="1" s="1"/>
  <c r="AC1066" i="1" l="1"/>
  <c r="AF1065" i="1"/>
  <c r="L1068" i="1"/>
  <c r="AJ1067" i="1"/>
  <c r="AT1067" i="1" s="1"/>
  <c r="E1157" i="1"/>
  <c r="AQ1156" i="1"/>
  <c r="AR1156" i="1" s="1"/>
  <c r="AS1156" i="1" s="1"/>
  <c r="AC1067" i="1" l="1"/>
  <c r="AF1066" i="1"/>
  <c r="L1069" i="1"/>
  <c r="AJ1068" i="1"/>
  <c r="AT1068" i="1" s="1"/>
  <c r="E1158" i="1"/>
  <c r="AQ1157" i="1"/>
  <c r="AR1157" i="1" s="1"/>
  <c r="AS1157" i="1" s="1"/>
  <c r="AC1068" i="1" l="1"/>
  <c r="AF1067" i="1"/>
  <c r="L1070" i="1"/>
  <c r="AJ1069" i="1"/>
  <c r="AT1069" i="1" s="1"/>
  <c r="E1159" i="1"/>
  <c r="AQ1158" i="1"/>
  <c r="AR1158" i="1" s="1"/>
  <c r="AS1158" i="1" s="1"/>
  <c r="AC1069" i="1" l="1"/>
  <c r="AF1068" i="1"/>
  <c r="L1071" i="1"/>
  <c r="AJ1070" i="1"/>
  <c r="AT1070" i="1" s="1"/>
  <c r="E1160" i="1"/>
  <c r="AQ1159" i="1"/>
  <c r="AR1159" i="1" s="1"/>
  <c r="AS1159" i="1" s="1"/>
  <c r="AC1071" i="1" l="1"/>
  <c r="AF1069" i="1"/>
  <c r="L1072" i="1"/>
  <c r="AJ1071" i="1"/>
  <c r="AT1071" i="1" s="1"/>
  <c r="E1161" i="1"/>
  <c r="AQ1160" i="1"/>
  <c r="AR1160" i="1" s="1"/>
  <c r="AS1160" i="1" s="1"/>
  <c r="AC1072" i="1" l="1"/>
  <c r="AF1071" i="1"/>
  <c r="L1073" i="1"/>
  <c r="AJ1072" i="1"/>
  <c r="AT1072" i="1" s="1"/>
  <c r="E1162" i="1"/>
  <c r="AQ1161" i="1"/>
  <c r="AR1161" i="1" s="1"/>
  <c r="AS1161" i="1" s="1"/>
  <c r="AC1073" i="1" l="1"/>
  <c r="AF1072" i="1"/>
  <c r="L1074" i="1"/>
  <c r="AJ1073" i="1"/>
  <c r="AT1073" i="1" s="1"/>
  <c r="E1163" i="1"/>
  <c r="AQ1162" i="1"/>
  <c r="AR1162" i="1" s="1"/>
  <c r="AS1162" i="1" s="1"/>
  <c r="AC1074" i="1" l="1"/>
  <c r="AF1073" i="1"/>
  <c r="L1075" i="1"/>
  <c r="AJ1074" i="1"/>
  <c r="AT1074" i="1" s="1"/>
  <c r="E1164" i="1"/>
  <c r="AQ1163" i="1"/>
  <c r="AR1163" i="1" s="1"/>
  <c r="AS1163" i="1" s="1"/>
  <c r="AC1075" i="1" l="1"/>
  <c r="AF1074" i="1"/>
  <c r="L1076" i="1"/>
  <c r="AJ1075" i="1"/>
  <c r="AT1075" i="1" s="1"/>
  <c r="E1165" i="1"/>
  <c r="AQ1164" i="1"/>
  <c r="AR1164" i="1" s="1"/>
  <c r="AS1164" i="1" s="1"/>
  <c r="AC1076" i="1" l="1"/>
  <c r="AF1075" i="1"/>
  <c r="L1077" i="1"/>
  <c r="AJ1076" i="1"/>
  <c r="AT1076" i="1" s="1"/>
  <c r="E1166" i="1"/>
  <c r="AQ1165" i="1"/>
  <c r="AR1165" i="1" s="1"/>
  <c r="AS1165" i="1" s="1"/>
  <c r="AC1077" i="1" l="1"/>
  <c r="AF1076" i="1"/>
  <c r="L1078" i="1"/>
  <c r="AJ1077" i="1"/>
  <c r="AT1077" i="1" s="1"/>
  <c r="E1167" i="1"/>
  <c r="AQ1166" i="1"/>
  <c r="AR1166" i="1" s="1"/>
  <c r="AS1166" i="1" s="1"/>
  <c r="AC1078" i="1" l="1"/>
  <c r="AF1077" i="1"/>
  <c r="L1079" i="1"/>
  <c r="AJ1078" i="1"/>
  <c r="AT1078" i="1" s="1"/>
  <c r="E1168" i="1"/>
  <c r="AQ1167" i="1"/>
  <c r="AR1167" i="1" s="1"/>
  <c r="AS1167" i="1" s="1"/>
  <c r="AC1079" i="1" l="1"/>
  <c r="AF1078" i="1"/>
  <c r="L1080" i="1"/>
  <c r="AJ1079" i="1"/>
  <c r="AT1079" i="1" s="1"/>
  <c r="E1169" i="1"/>
  <c r="AQ1168" i="1"/>
  <c r="AC1080" i="1" l="1"/>
  <c r="AF1079" i="1"/>
  <c r="L1081" i="1"/>
  <c r="AJ1080" i="1"/>
  <c r="AT1080" i="1" s="1"/>
  <c r="E1170" i="1"/>
  <c r="AQ1169" i="1"/>
  <c r="AC1081" i="1" l="1"/>
  <c r="AF1080" i="1"/>
  <c r="L1082" i="1"/>
  <c r="AJ1081" i="1"/>
  <c r="AT1081" i="1" s="1"/>
  <c r="E1171" i="1"/>
  <c r="AQ1170" i="1"/>
  <c r="AR1170" i="1" s="1"/>
  <c r="AS1170" i="1" s="1"/>
  <c r="AC1082" i="1" l="1"/>
  <c r="AF1081" i="1"/>
  <c r="L1083" i="1"/>
  <c r="AJ1082" i="1"/>
  <c r="AT1082" i="1" s="1"/>
  <c r="E1172" i="1"/>
  <c r="AQ1171" i="1"/>
  <c r="AR1171" i="1" s="1"/>
  <c r="AS1171" i="1" s="1"/>
  <c r="AC1083" i="1" l="1"/>
  <c r="AF1082" i="1"/>
  <c r="L1084" i="1"/>
  <c r="AJ1083" i="1"/>
  <c r="AT1083" i="1" s="1"/>
  <c r="E1173" i="1"/>
  <c r="AQ1172" i="1"/>
  <c r="AR1172" i="1" s="1"/>
  <c r="AS1172" i="1" s="1"/>
  <c r="AC1084" i="1" l="1"/>
  <c r="AF1083" i="1"/>
  <c r="L1085" i="1"/>
  <c r="AJ1084" i="1"/>
  <c r="AT1084" i="1" s="1"/>
  <c r="E1174" i="1"/>
  <c r="AQ1173" i="1"/>
  <c r="AR1173" i="1" s="1"/>
  <c r="AS1173" i="1" s="1"/>
  <c r="AC1085" i="1" l="1"/>
  <c r="AF1084" i="1"/>
  <c r="L1086" i="1"/>
  <c r="AJ1085" i="1"/>
  <c r="AT1085" i="1" s="1"/>
  <c r="E1175" i="1"/>
  <c r="AQ1174" i="1"/>
  <c r="AR1174" i="1" s="1"/>
  <c r="AS1174" i="1" s="1"/>
  <c r="AC1086" i="1" l="1"/>
  <c r="AF1085" i="1"/>
  <c r="L1087" i="1"/>
  <c r="AJ1086" i="1"/>
  <c r="AT1086" i="1" s="1"/>
  <c r="E1176" i="1"/>
  <c r="AQ1175" i="1"/>
  <c r="AR1175" i="1" s="1"/>
  <c r="AS1175" i="1" s="1"/>
  <c r="AC1087" i="1" l="1"/>
  <c r="AF1086" i="1"/>
  <c r="L1088" i="1"/>
  <c r="AJ1087" i="1"/>
  <c r="AT1087" i="1" s="1"/>
  <c r="E1177" i="1"/>
  <c r="AQ1176" i="1"/>
  <c r="AR1176" i="1" s="1"/>
  <c r="AS1176" i="1" s="1"/>
  <c r="AC1088" i="1" l="1"/>
  <c r="AF1087" i="1"/>
  <c r="L1089" i="1"/>
  <c r="AJ1088" i="1"/>
  <c r="AT1088" i="1" s="1"/>
  <c r="E1178" i="1"/>
  <c r="AQ1177" i="1"/>
  <c r="AR1177" i="1" s="1"/>
  <c r="AS1177" i="1" s="1"/>
  <c r="AC1089" i="1" l="1"/>
  <c r="AF1088" i="1"/>
  <c r="L1090" i="1"/>
  <c r="AJ1089" i="1"/>
  <c r="AT1089" i="1" s="1"/>
  <c r="E1179" i="1"/>
  <c r="AQ1178" i="1"/>
  <c r="AR1178" i="1" s="1"/>
  <c r="AS1178" i="1" s="1"/>
  <c r="AC1090" i="1" l="1"/>
  <c r="AF1089" i="1"/>
  <c r="L1091" i="1"/>
  <c r="AJ1090" i="1"/>
  <c r="AT1090" i="1" s="1"/>
  <c r="E1180" i="1"/>
  <c r="AQ1179" i="1"/>
  <c r="AR1179" i="1" s="1"/>
  <c r="AS1179" i="1" s="1"/>
  <c r="AC1091" i="1" l="1"/>
  <c r="AF1090" i="1"/>
  <c r="L1092" i="1"/>
  <c r="AJ1091" i="1"/>
  <c r="AT1091" i="1" s="1"/>
  <c r="E1181" i="1"/>
  <c r="AQ1180" i="1"/>
  <c r="AR1180" i="1" s="1"/>
  <c r="AS1180" i="1" s="1"/>
  <c r="AC1092" i="1" l="1"/>
  <c r="AF1091" i="1"/>
  <c r="L1093" i="1"/>
  <c r="AJ1092" i="1"/>
  <c r="AT1092" i="1" s="1"/>
  <c r="E1182" i="1"/>
  <c r="AQ1181" i="1"/>
  <c r="AR1181" i="1" s="1"/>
  <c r="AS1181" i="1" s="1"/>
  <c r="AC1093" i="1" l="1"/>
  <c r="AF1092" i="1"/>
  <c r="L1094" i="1"/>
  <c r="AJ1093" i="1"/>
  <c r="AT1093" i="1" s="1"/>
  <c r="E1183" i="1"/>
  <c r="AQ1182" i="1"/>
  <c r="AR1182" i="1" s="1"/>
  <c r="AS1182" i="1" s="1"/>
  <c r="AC1094" i="1" l="1"/>
  <c r="AF1093" i="1"/>
  <c r="L1095" i="1"/>
  <c r="AJ1094" i="1"/>
  <c r="AT1094" i="1" s="1"/>
  <c r="E1184" i="1"/>
  <c r="AQ1183" i="1"/>
  <c r="AR1183" i="1" s="1"/>
  <c r="AS1183" i="1" s="1"/>
  <c r="AC1095" i="1" l="1"/>
  <c r="AF1094" i="1"/>
  <c r="L1096" i="1"/>
  <c r="AJ1095" i="1"/>
  <c r="AT1095" i="1" s="1"/>
  <c r="E1185" i="1"/>
  <c r="AQ1184" i="1"/>
  <c r="AR1184" i="1" s="1"/>
  <c r="AS1184" i="1" s="1"/>
  <c r="AC1096" i="1" l="1"/>
  <c r="AF1095" i="1"/>
  <c r="L1097" i="1"/>
  <c r="AJ1096" i="1"/>
  <c r="AT1096" i="1" s="1"/>
  <c r="E1186" i="1"/>
  <c r="AQ1185" i="1"/>
  <c r="AR1185" i="1" s="1"/>
  <c r="AS1185" i="1" s="1"/>
  <c r="AC1097" i="1" l="1"/>
  <c r="AF1096" i="1"/>
  <c r="L1098" i="1"/>
  <c r="AJ1097" i="1"/>
  <c r="AT1097" i="1" s="1"/>
  <c r="E1187" i="1"/>
  <c r="AQ1186" i="1"/>
  <c r="AR1186" i="1" s="1"/>
  <c r="AS1186" i="1" s="1"/>
  <c r="AC1098" i="1" l="1"/>
  <c r="AF1097" i="1"/>
  <c r="L1099" i="1"/>
  <c r="AJ1098" i="1"/>
  <c r="AT1098" i="1" s="1"/>
  <c r="E1188" i="1"/>
  <c r="AQ1187" i="1"/>
  <c r="AR1187" i="1" s="1"/>
  <c r="AS1187" i="1" s="1"/>
  <c r="AC1099" i="1" l="1"/>
  <c r="AF1098" i="1"/>
  <c r="L1100" i="1"/>
  <c r="AJ1099" i="1"/>
  <c r="AT1099" i="1" s="1"/>
  <c r="E1189" i="1"/>
  <c r="AQ1188" i="1"/>
  <c r="AR1188" i="1" s="1"/>
  <c r="AS1188" i="1" s="1"/>
  <c r="AC1100" i="1" l="1"/>
  <c r="AF1099" i="1"/>
  <c r="L1101" i="1"/>
  <c r="AJ1100" i="1"/>
  <c r="AT1100" i="1" s="1"/>
  <c r="E1190" i="1"/>
  <c r="AQ1189" i="1"/>
  <c r="AR1189" i="1" s="1"/>
  <c r="AS1189" i="1" s="1"/>
  <c r="AC1101" i="1" l="1"/>
  <c r="AF1100" i="1"/>
  <c r="L1102" i="1"/>
  <c r="AJ1101" i="1"/>
  <c r="E1191" i="1"/>
  <c r="AQ1190" i="1"/>
  <c r="AR1190" i="1" s="1"/>
  <c r="AS1190" i="1" s="1"/>
  <c r="AC1102" i="1" l="1"/>
  <c r="AF1101" i="1"/>
  <c r="L1103" i="1"/>
  <c r="AJ1102" i="1"/>
  <c r="E1192" i="1"/>
  <c r="AQ1191" i="1"/>
  <c r="AR1191" i="1" s="1"/>
  <c r="AS1191" i="1" s="1"/>
  <c r="AC1103" i="1" l="1"/>
  <c r="AF1102" i="1"/>
  <c r="L1104" i="1"/>
  <c r="AJ1103" i="1"/>
  <c r="E1193" i="1"/>
  <c r="AQ1192" i="1"/>
  <c r="AR1192" i="1" s="1"/>
  <c r="AS1192" i="1" s="1"/>
  <c r="AC1104" i="1" l="1"/>
  <c r="AF1103" i="1"/>
  <c r="L1105" i="1"/>
  <c r="AJ1104" i="1"/>
  <c r="AT1104" i="1" s="1"/>
  <c r="E1194" i="1"/>
  <c r="AQ1193" i="1"/>
  <c r="AR1193" i="1" s="1"/>
  <c r="AS1193" i="1" s="1"/>
  <c r="AC1105" i="1" l="1"/>
  <c r="AF1104" i="1"/>
  <c r="L1106" i="1"/>
  <c r="AJ1105" i="1"/>
  <c r="AT1105" i="1" s="1"/>
  <c r="E1195" i="1"/>
  <c r="AQ1194" i="1"/>
  <c r="AR1194" i="1" s="1"/>
  <c r="AS1194" i="1" s="1"/>
  <c r="AC1106" i="1" l="1"/>
  <c r="AF1105" i="1"/>
  <c r="L1107" i="1"/>
  <c r="AJ1106" i="1"/>
  <c r="AT1106" i="1" s="1"/>
  <c r="E1196" i="1"/>
  <c r="AQ1195" i="1"/>
  <c r="AR1195" i="1" s="1"/>
  <c r="AS1195" i="1" s="1"/>
  <c r="AC1107" i="1" l="1"/>
  <c r="AF1106" i="1"/>
  <c r="L1108" i="1"/>
  <c r="AJ1107" i="1"/>
  <c r="AT1107" i="1" s="1"/>
  <c r="E1197" i="1"/>
  <c r="AQ1196" i="1"/>
  <c r="AR1196" i="1" s="1"/>
  <c r="AS1196" i="1" s="1"/>
  <c r="AC1108" i="1" l="1"/>
  <c r="AF1107" i="1"/>
  <c r="L1109" i="1"/>
  <c r="AJ1108" i="1"/>
  <c r="AT1108" i="1" s="1"/>
  <c r="E1198" i="1"/>
  <c r="AQ1197" i="1"/>
  <c r="AR1197" i="1" s="1"/>
  <c r="AS1197" i="1" s="1"/>
  <c r="AC1109" i="1" l="1"/>
  <c r="AF1108" i="1"/>
  <c r="L1110" i="1"/>
  <c r="AJ1109" i="1"/>
  <c r="AT1109" i="1" s="1"/>
  <c r="E1199" i="1"/>
  <c r="AQ1198" i="1"/>
  <c r="AR1198" i="1" s="1"/>
  <c r="AS1198" i="1" s="1"/>
  <c r="AC1110" i="1" l="1"/>
  <c r="AF1109" i="1"/>
  <c r="L1111" i="1"/>
  <c r="AJ1110" i="1"/>
  <c r="AT1110" i="1" s="1"/>
  <c r="E1200" i="1"/>
  <c r="AQ1199" i="1"/>
  <c r="AR1199" i="1" s="1"/>
  <c r="AS1199" i="1" s="1"/>
  <c r="AC1111" i="1" l="1"/>
  <c r="AF1110" i="1"/>
  <c r="L1112" i="1"/>
  <c r="AJ1111" i="1"/>
  <c r="AT1111" i="1" s="1"/>
  <c r="E1201" i="1"/>
  <c r="AQ1200" i="1"/>
  <c r="AR1200" i="1" s="1"/>
  <c r="AS1200" i="1" s="1"/>
  <c r="AC1112" i="1" l="1"/>
  <c r="AF1111" i="1"/>
  <c r="L1113" i="1"/>
  <c r="AJ1112" i="1"/>
  <c r="AT1112" i="1" s="1"/>
  <c r="E1202" i="1"/>
  <c r="AQ1201" i="1"/>
  <c r="AR1201" i="1" s="1"/>
  <c r="AS1201" i="1" s="1"/>
  <c r="AC1113" i="1" l="1"/>
  <c r="AF1112" i="1"/>
  <c r="L1114" i="1"/>
  <c r="AJ1113" i="1"/>
  <c r="AT1113" i="1" s="1"/>
  <c r="E1203" i="1"/>
  <c r="AQ1202" i="1"/>
  <c r="AR1202" i="1" s="1"/>
  <c r="AS1202" i="1" s="1"/>
  <c r="AC1114" i="1" l="1"/>
  <c r="AF1113" i="1"/>
  <c r="L1115" i="1"/>
  <c r="AJ1114" i="1"/>
  <c r="AT1114" i="1" s="1"/>
  <c r="E1204" i="1"/>
  <c r="AQ1203" i="1"/>
  <c r="AR1203" i="1" s="1"/>
  <c r="AS1203" i="1" s="1"/>
  <c r="AC1115" i="1" l="1"/>
  <c r="AF1114" i="1"/>
  <c r="L1116" i="1"/>
  <c r="AJ1115" i="1"/>
  <c r="AT1115" i="1" s="1"/>
  <c r="E1205" i="1"/>
  <c r="AQ1204" i="1"/>
  <c r="AR1204" i="1" s="1"/>
  <c r="AS1204" i="1" s="1"/>
  <c r="AC1116" i="1" l="1"/>
  <c r="AF1115" i="1"/>
  <c r="L1117" i="1"/>
  <c r="AJ1116" i="1"/>
  <c r="AT1116" i="1" s="1"/>
  <c r="E1206" i="1"/>
  <c r="AQ1205" i="1"/>
  <c r="AR1205" i="1" s="1"/>
  <c r="AS1205" i="1" s="1"/>
  <c r="AC1117" i="1" l="1"/>
  <c r="AF1116" i="1"/>
  <c r="L1118" i="1"/>
  <c r="AJ1117" i="1"/>
  <c r="AT1117" i="1" s="1"/>
  <c r="E1207" i="1"/>
  <c r="AQ1206" i="1"/>
  <c r="AR1206" i="1" s="1"/>
  <c r="AS1206" i="1" s="1"/>
  <c r="AC1118" i="1" l="1"/>
  <c r="AF1117" i="1"/>
  <c r="L1119" i="1"/>
  <c r="AJ1118" i="1"/>
  <c r="AT1118" i="1" s="1"/>
  <c r="E1208" i="1"/>
  <c r="AQ1207" i="1"/>
  <c r="AR1207" i="1" s="1"/>
  <c r="AS1207" i="1" s="1"/>
  <c r="AC1119" i="1" l="1"/>
  <c r="AF1118" i="1"/>
  <c r="L1120" i="1"/>
  <c r="AJ1119" i="1"/>
  <c r="AT1119" i="1" s="1"/>
  <c r="E1209" i="1"/>
  <c r="AQ1208" i="1"/>
  <c r="AR1208" i="1" s="1"/>
  <c r="AS1208" i="1" s="1"/>
  <c r="AC1120" i="1" l="1"/>
  <c r="AF1119" i="1"/>
  <c r="L1121" i="1"/>
  <c r="AJ1120" i="1"/>
  <c r="AT1120" i="1" s="1"/>
  <c r="E1210" i="1"/>
  <c r="AQ1209" i="1"/>
  <c r="AR1209" i="1" s="1"/>
  <c r="AS1209" i="1" s="1"/>
  <c r="AC1121" i="1" l="1"/>
  <c r="AF1120" i="1"/>
  <c r="L1122" i="1"/>
  <c r="AJ1121" i="1"/>
  <c r="AT1121" i="1" s="1"/>
  <c r="E1211" i="1"/>
  <c r="AQ1210" i="1"/>
  <c r="AR1210" i="1" s="1"/>
  <c r="AS1210" i="1" s="1"/>
  <c r="AC1122" i="1" l="1"/>
  <c r="AF1121" i="1"/>
  <c r="L1123" i="1"/>
  <c r="AJ1122" i="1"/>
  <c r="AT1122" i="1" s="1"/>
  <c r="E1212" i="1"/>
  <c r="AQ1211" i="1"/>
  <c r="AR1211" i="1" s="1"/>
  <c r="AS1211" i="1" s="1"/>
  <c r="AC1123" i="1" l="1"/>
  <c r="AF1122" i="1"/>
  <c r="L1124" i="1"/>
  <c r="AJ1123" i="1"/>
  <c r="AT1123" i="1" s="1"/>
  <c r="E1213" i="1"/>
  <c r="AQ1212" i="1"/>
  <c r="AR1212" i="1" s="1"/>
  <c r="AS1212" i="1" s="1"/>
  <c r="AC1124" i="1" l="1"/>
  <c r="AF1123" i="1"/>
  <c r="L1125" i="1"/>
  <c r="AJ1124" i="1"/>
  <c r="AT1124" i="1" s="1"/>
  <c r="E1214" i="1"/>
  <c r="AQ1213" i="1"/>
  <c r="AR1213" i="1" s="1"/>
  <c r="AS1213" i="1" s="1"/>
  <c r="AC1125" i="1" l="1"/>
  <c r="AF1124" i="1"/>
  <c r="L1126" i="1"/>
  <c r="AJ1125" i="1"/>
  <c r="AT1125" i="1" s="1"/>
  <c r="E1215" i="1"/>
  <c r="AQ1214" i="1"/>
  <c r="AR1214" i="1" s="1"/>
  <c r="AS1214" i="1" s="1"/>
  <c r="AC1126" i="1" l="1"/>
  <c r="AF1125" i="1"/>
  <c r="L1127" i="1"/>
  <c r="AJ1126" i="1"/>
  <c r="AT1126" i="1" s="1"/>
  <c r="E1216" i="1"/>
  <c r="AQ1215" i="1"/>
  <c r="AR1215" i="1" s="1"/>
  <c r="AS1215" i="1" s="1"/>
  <c r="AC1127" i="1" l="1"/>
  <c r="AF1126" i="1"/>
  <c r="L1128" i="1"/>
  <c r="AJ1127" i="1"/>
  <c r="AT1127" i="1" s="1"/>
  <c r="E1217" i="1"/>
  <c r="AQ1216" i="1"/>
  <c r="AR1216" i="1" s="1"/>
  <c r="AS1216" i="1" s="1"/>
  <c r="AC1128" i="1" l="1"/>
  <c r="AF1127" i="1"/>
  <c r="L1129" i="1"/>
  <c r="AJ1128" i="1"/>
  <c r="AT1128" i="1" s="1"/>
  <c r="E1218" i="1"/>
  <c r="AQ1217" i="1"/>
  <c r="AR1217" i="1" s="1"/>
  <c r="AS1217" i="1" s="1"/>
  <c r="AC1129" i="1" l="1"/>
  <c r="AF1128" i="1"/>
  <c r="L1130" i="1"/>
  <c r="AJ1129" i="1"/>
  <c r="AT1129" i="1" s="1"/>
  <c r="E1219" i="1"/>
  <c r="AQ1218" i="1"/>
  <c r="AR1218" i="1" s="1"/>
  <c r="AS1218" i="1" s="1"/>
  <c r="AC1130" i="1" l="1"/>
  <c r="AF1129" i="1"/>
  <c r="L1131" i="1"/>
  <c r="AJ1130" i="1"/>
  <c r="AT1130" i="1" s="1"/>
  <c r="E1220" i="1"/>
  <c r="AQ1219" i="1"/>
  <c r="AR1219" i="1" s="1"/>
  <c r="AS1219" i="1" s="1"/>
  <c r="AC1131" i="1" l="1"/>
  <c r="AF1130" i="1"/>
  <c r="L1132" i="1"/>
  <c r="AJ1131" i="1"/>
  <c r="AT1131" i="1" s="1"/>
  <c r="E1221" i="1"/>
  <c r="AQ1220" i="1"/>
  <c r="AR1220" i="1" s="1"/>
  <c r="AS1220" i="1" s="1"/>
  <c r="AC1132" i="1" l="1"/>
  <c r="AF1131" i="1"/>
  <c r="L1133" i="1"/>
  <c r="AJ1132" i="1"/>
  <c r="AT1132" i="1" s="1"/>
  <c r="E1222" i="1"/>
  <c r="AQ1221" i="1"/>
  <c r="AR1221" i="1" s="1"/>
  <c r="AS1221" i="1" s="1"/>
  <c r="AC1133" i="1" l="1"/>
  <c r="AF1132" i="1"/>
  <c r="L1134" i="1"/>
  <c r="AJ1133" i="1"/>
  <c r="AT1133" i="1" s="1"/>
  <c r="E1223" i="1"/>
  <c r="AQ1222" i="1"/>
  <c r="AR1222" i="1" s="1"/>
  <c r="AS1222" i="1" s="1"/>
  <c r="AC1134" i="1" l="1"/>
  <c r="AF1133" i="1"/>
  <c r="L1135" i="1"/>
  <c r="AJ1134" i="1"/>
  <c r="AT1134" i="1" s="1"/>
  <c r="E1224" i="1"/>
  <c r="AQ1223" i="1"/>
  <c r="AR1223" i="1" s="1"/>
  <c r="AS1223" i="1" s="1"/>
  <c r="AC1135" i="1" l="1"/>
  <c r="AF1134" i="1"/>
  <c r="L1136" i="1"/>
  <c r="AJ1135" i="1"/>
  <c r="AT1135" i="1" s="1"/>
  <c r="E1225" i="1"/>
  <c r="AQ1224" i="1"/>
  <c r="AR1224" i="1" s="1"/>
  <c r="AS1224" i="1" s="1"/>
  <c r="AC1136" i="1" l="1"/>
  <c r="AF1135" i="1"/>
  <c r="L1137" i="1"/>
  <c r="AJ1136" i="1"/>
  <c r="AT1136" i="1" s="1"/>
  <c r="E1226" i="1"/>
  <c r="AQ1225" i="1"/>
  <c r="AR1225" i="1" s="1"/>
  <c r="AS1225" i="1" s="1"/>
  <c r="AC1137" i="1" l="1"/>
  <c r="AF1136" i="1"/>
  <c r="L1138" i="1"/>
  <c r="AJ1137" i="1"/>
  <c r="AT1137" i="1" s="1"/>
  <c r="E1227" i="1"/>
  <c r="AQ1226" i="1"/>
  <c r="AR1226" i="1" s="1"/>
  <c r="AS1226" i="1" s="1"/>
  <c r="AC1138" i="1" l="1"/>
  <c r="AF1137" i="1"/>
  <c r="L1139" i="1"/>
  <c r="AJ1138" i="1"/>
  <c r="AT1138" i="1" s="1"/>
  <c r="E1228" i="1"/>
  <c r="AQ1227" i="1"/>
  <c r="AR1227" i="1" s="1"/>
  <c r="AS1227" i="1" s="1"/>
  <c r="AC1139" i="1" l="1"/>
  <c r="AF1138" i="1"/>
  <c r="L1140" i="1"/>
  <c r="AJ1139" i="1"/>
  <c r="AT1139" i="1" s="1"/>
  <c r="E1229" i="1"/>
  <c r="AQ1228" i="1"/>
  <c r="AR1228" i="1" s="1"/>
  <c r="AS1228" i="1" s="1"/>
  <c r="AC1140" i="1" l="1"/>
  <c r="AF1139" i="1"/>
  <c r="L1141" i="1"/>
  <c r="AJ1140" i="1"/>
  <c r="AT1140" i="1" s="1"/>
  <c r="E1230" i="1"/>
  <c r="AQ1229" i="1"/>
  <c r="AR1229" i="1" s="1"/>
  <c r="AS1229" i="1" s="1"/>
  <c r="AC1141" i="1" l="1"/>
  <c r="AF1140" i="1"/>
  <c r="L1142" i="1"/>
  <c r="AJ1141" i="1"/>
  <c r="AT1141" i="1" s="1"/>
  <c r="E1231" i="1"/>
  <c r="AQ1230" i="1"/>
  <c r="AR1230" i="1" s="1"/>
  <c r="AS1230" i="1" s="1"/>
  <c r="AC1142" i="1" l="1"/>
  <c r="AF1141" i="1"/>
  <c r="L1143" i="1"/>
  <c r="AJ1142" i="1"/>
  <c r="AT1142" i="1" s="1"/>
  <c r="E1232" i="1"/>
  <c r="AQ1231" i="1"/>
  <c r="AR1231" i="1" s="1"/>
  <c r="AS1231" i="1" s="1"/>
  <c r="AC1143" i="1" l="1"/>
  <c r="AF1142" i="1"/>
  <c r="L1144" i="1"/>
  <c r="AJ1143" i="1"/>
  <c r="AT1143" i="1" s="1"/>
  <c r="E1233" i="1"/>
  <c r="AQ1232" i="1"/>
  <c r="AR1232" i="1" s="1"/>
  <c r="AS1232" i="1" s="1"/>
  <c r="AC1144" i="1" l="1"/>
  <c r="AF1143" i="1"/>
  <c r="L1145" i="1"/>
  <c r="AJ1144" i="1"/>
  <c r="AT1144" i="1" s="1"/>
  <c r="E1234" i="1"/>
  <c r="AQ1233" i="1"/>
  <c r="AR1233" i="1" s="1"/>
  <c r="AS1233" i="1" s="1"/>
  <c r="AC1145" i="1" l="1"/>
  <c r="AF1144" i="1"/>
  <c r="L1146" i="1"/>
  <c r="AJ1145" i="1"/>
  <c r="AT1145" i="1" s="1"/>
  <c r="E1235" i="1"/>
  <c r="AQ1234" i="1"/>
  <c r="AR1234" i="1" s="1"/>
  <c r="AS1234" i="1" s="1"/>
  <c r="AC1146" i="1" l="1"/>
  <c r="AF1145" i="1"/>
  <c r="L1147" i="1"/>
  <c r="AJ1146" i="1"/>
  <c r="AT1146" i="1" s="1"/>
  <c r="E1236" i="1"/>
  <c r="AQ1235" i="1"/>
  <c r="AR1235" i="1" s="1"/>
  <c r="AS1235" i="1" s="1"/>
  <c r="AC1147" i="1" l="1"/>
  <c r="AF1146" i="1"/>
  <c r="L1148" i="1"/>
  <c r="AJ1147" i="1"/>
  <c r="AT1147" i="1" s="1"/>
  <c r="E1237" i="1"/>
  <c r="AQ1236" i="1"/>
  <c r="AR1236" i="1" s="1"/>
  <c r="AS1236" i="1" s="1"/>
  <c r="AC1148" i="1" l="1"/>
  <c r="AF1147" i="1"/>
  <c r="L1149" i="1"/>
  <c r="AJ1148" i="1"/>
  <c r="AT1148" i="1" s="1"/>
  <c r="E1238" i="1"/>
  <c r="AQ1237" i="1"/>
  <c r="AR1237" i="1" s="1"/>
  <c r="AS1237" i="1" s="1"/>
  <c r="AC1149" i="1" l="1"/>
  <c r="AF1148" i="1"/>
  <c r="L1150" i="1"/>
  <c r="AJ1149" i="1"/>
  <c r="AT1149" i="1" s="1"/>
  <c r="E1239" i="1"/>
  <c r="AQ1238" i="1"/>
  <c r="AR1238" i="1" s="1"/>
  <c r="AS1238" i="1" s="1"/>
  <c r="AC1150" i="1" l="1"/>
  <c r="AF1149" i="1"/>
  <c r="L1151" i="1"/>
  <c r="AJ1150" i="1"/>
  <c r="AT1150" i="1" s="1"/>
  <c r="E1240" i="1"/>
  <c r="AQ1239" i="1"/>
  <c r="AR1239" i="1" s="1"/>
  <c r="AS1239" i="1" s="1"/>
  <c r="AC1151" i="1" l="1"/>
  <c r="AF1150" i="1"/>
  <c r="L1152" i="1"/>
  <c r="AJ1151" i="1"/>
  <c r="AT1151" i="1" s="1"/>
  <c r="E1241" i="1"/>
  <c r="AQ1240" i="1"/>
  <c r="AR1240" i="1" s="1"/>
  <c r="AS1240" i="1" s="1"/>
  <c r="AC1152" i="1" l="1"/>
  <c r="AF1151" i="1"/>
  <c r="L1153" i="1"/>
  <c r="AJ1152" i="1"/>
  <c r="AT1152" i="1" s="1"/>
  <c r="E1242" i="1"/>
  <c r="AQ1241" i="1"/>
  <c r="AR1241" i="1" s="1"/>
  <c r="AS1241" i="1" s="1"/>
  <c r="AC1153" i="1" l="1"/>
  <c r="AF1152" i="1"/>
  <c r="L1154" i="1"/>
  <c r="AJ1153" i="1"/>
  <c r="AT1153" i="1" s="1"/>
  <c r="E1243" i="1"/>
  <c r="AQ1242" i="1"/>
  <c r="AR1242" i="1" s="1"/>
  <c r="AS1242" i="1" s="1"/>
  <c r="AC1154" i="1" l="1"/>
  <c r="AF1153" i="1"/>
  <c r="L1155" i="1"/>
  <c r="AJ1154" i="1"/>
  <c r="AT1154" i="1" s="1"/>
  <c r="E1244" i="1"/>
  <c r="AQ1243" i="1"/>
  <c r="AR1243" i="1" s="1"/>
  <c r="AS1243" i="1" s="1"/>
  <c r="AC1155" i="1" l="1"/>
  <c r="AF1154" i="1"/>
  <c r="L1156" i="1"/>
  <c r="AJ1155" i="1"/>
  <c r="AT1155" i="1" s="1"/>
  <c r="E1245" i="1"/>
  <c r="AQ1244" i="1"/>
  <c r="AR1244" i="1" s="1"/>
  <c r="AS1244" i="1" s="1"/>
  <c r="AC1156" i="1" l="1"/>
  <c r="AF1155" i="1"/>
  <c r="L1157" i="1"/>
  <c r="AJ1156" i="1"/>
  <c r="AT1156" i="1" s="1"/>
  <c r="E1246" i="1"/>
  <c r="AQ1245" i="1"/>
  <c r="AR1245" i="1" s="1"/>
  <c r="AS1245" i="1" s="1"/>
  <c r="AC1157" i="1" l="1"/>
  <c r="AF1156" i="1"/>
  <c r="L1158" i="1"/>
  <c r="AJ1157" i="1"/>
  <c r="AT1157" i="1" s="1"/>
  <c r="E1247" i="1"/>
  <c r="AQ1246" i="1"/>
  <c r="AR1246" i="1" s="1"/>
  <c r="AS1246" i="1" s="1"/>
  <c r="AC1158" i="1" l="1"/>
  <c r="AF1157" i="1"/>
  <c r="L1159" i="1"/>
  <c r="AJ1158" i="1"/>
  <c r="AT1158" i="1" s="1"/>
  <c r="E1248" i="1"/>
  <c r="AQ1247" i="1"/>
  <c r="AR1247" i="1" s="1"/>
  <c r="AS1247" i="1" s="1"/>
  <c r="AC1159" i="1" l="1"/>
  <c r="AF1158" i="1"/>
  <c r="L1160" i="1"/>
  <c r="AJ1159" i="1"/>
  <c r="AT1159" i="1" s="1"/>
  <c r="E1249" i="1"/>
  <c r="AQ1248" i="1"/>
  <c r="AR1248" i="1" s="1"/>
  <c r="AS1248" i="1" s="1"/>
  <c r="AC1160" i="1" l="1"/>
  <c r="AF1159" i="1"/>
  <c r="L1161" i="1"/>
  <c r="AJ1160" i="1"/>
  <c r="AT1160" i="1" s="1"/>
  <c r="E1250" i="1"/>
  <c r="AQ1249" i="1"/>
  <c r="AR1249" i="1" s="1"/>
  <c r="AS1249" i="1" s="1"/>
  <c r="AC1161" i="1" l="1"/>
  <c r="AF1160" i="1"/>
  <c r="L1162" i="1"/>
  <c r="AJ1161" i="1"/>
  <c r="AT1161" i="1" s="1"/>
  <c r="E1251" i="1"/>
  <c r="AQ1250" i="1"/>
  <c r="AR1250" i="1" s="1"/>
  <c r="AS1250" i="1" s="1"/>
  <c r="AC1162" i="1" l="1"/>
  <c r="AF1161" i="1"/>
  <c r="L1163" i="1"/>
  <c r="AJ1162" i="1"/>
  <c r="AT1162" i="1" s="1"/>
  <c r="E1252" i="1"/>
  <c r="AQ1251" i="1"/>
  <c r="AR1251" i="1" s="1"/>
  <c r="AS1251" i="1" s="1"/>
  <c r="AC1163" i="1" l="1"/>
  <c r="AF1162" i="1"/>
  <c r="L1164" i="1"/>
  <c r="AJ1163" i="1"/>
  <c r="AT1163" i="1" s="1"/>
  <c r="E1253" i="1"/>
  <c r="AQ1252" i="1"/>
  <c r="AR1252" i="1" s="1"/>
  <c r="AS1252" i="1" s="1"/>
  <c r="AC1164" i="1" l="1"/>
  <c r="AF1163" i="1"/>
  <c r="L1165" i="1"/>
  <c r="AJ1164" i="1"/>
  <c r="AT1164" i="1" s="1"/>
  <c r="E1254" i="1"/>
  <c r="AQ1253" i="1"/>
  <c r="AR1253" i="1" s="1"/>
  <c r="AS1253" i="1" s="1"/>
  <c r="AC1165" i="1" l="1"/>
  <c r="AF1164" i="1"/>
  <c r="L1166" i="1"/>
  <c r="AJ1165" i="1"/>
  <c r="AT1165" i="1" s="1"/>
  <c r="E1255" i="1"/>
  <c r="AQ1254" i="1"/>
  <c r="AR1254" i="1" s="1"/>
  <c r="AS1254" i="1" s="1"/>
  <c r="AC1166" i="1" l="1"/>
  <c r="AF1165" i="1"/>
  <c r="L1167" i="1"/>
  <c r="AJ1166" i="1"/>
  <c r="AT1166" i="1" s="1"/>
  <c r="E1256" i="1"/>
  <c r="AQ1255" i="1"/>
  <c r="AR1255" i="1" s="1"/>
  <c r="AS1255" i="1" s="1"/>
  <c r="AC1167" i="1" l="1"/>
  <c r="AF1166" i="1"/>
  <c r="L1168" i="1"/>
  <c r="AJ1167" i="1"/>
  <c r="AT1167" i="1" s="1"/>
  <c r="E1257" i="1"/>
  <c r="AQ1256" i="1"/>
  <c r="AR1256" i="1" s="1"/>
  <c r="AS1256" i="1" s="1"/>
  <c r="AC1168" i="1" l="1"/>
  <c r="AF1167" i="1"/>
  <c r="L1169" i="1"/>
  <c r="AJ1168" i="1"/>
  <c r="E1258" i="1"/>
  <c r="AQ1257" i="1"/>
  <c r="AR1257" i="1" s="1"/>
  <c r="AS1257" i="1" s="1"/>
  <c r="AC1169" i="1" l="1"/>
  <c r="AF1168" i="1"/>
  <c r="L1170" i="1"/>
  <c r="AJ1169" i="1"/>
  <c r="E1259" i="1"/>
  <c r="AQ1258" i="1"/>
  <c r="AR1258" i="1" s="1"/>
  <c r="AS1258" i="1" s="1"/>
  <c r="AC1170" i="1" l="1"/>
  <c r="AF1169" i="1"/>
  <c r="L1171" i="1"/>
  <c r="AJ1170" i="1"/>
  <c r="AT1170" i="1" s="1"/>
  <c r="E1260" i="1"/>
  <c r="AQ1259" i="1"/>
  <c r="AR1259" i="1" s="1"/>
  <c r="AS1259" i="1" s="1"/>
  <c r="AC1171" i="1" l="1"/>
  <c r="AF1170" i="1"/>
  <c r="L1172" i="1"/>
  <c r="AJ1171" i="1"/>
  <c r="AT1171" i="1" s="1"/>
  <c r="E1261" i="1"/>
  <c r="AQ1260" i="1"/>
  <c r="AR1260" i="1" s="1"/>
  <c r="AS1260" i="1" s="1"/>
  <c r="AC1172" i="1" l="1"/>
  <c r="AF1171" i="1"/>
  <c r="L1173" i="1"/>
  <c r="AJ1172" i="1"/>
  <c r="AT1172" i="1" s="1"/>
  <c r="E1262" i="1"/>
  <c r="AQ1261" i="1"/>
  <c r="AR1261" i="1" s="1"/>
  <c r="AS1261" i="1" s="1"/>
  <c r="AC1173" i="1" l="1"/>
  <c r="AF1172" i="1"/>
  <c r="L1174" i="1"/>
  <c r="AJ1173" i="1"/>
  <c r="AT1173" i="1" s="1"/>
  <c r="E1263" i="1"/>
  <c r="AQ1262" i="1"/>
  <c r="AR1262" i="1" s="1"/>
  <c r="AS1262" i="1" s="1"/>
  <c r="AC1174" i="1" l="1"/>
  <c r="AF1173" i="1"/>
  <c r="L1175" i="1"/>
  <c r="AJ1174" i="1"/>
  <c r="AT1174" i="1" s="1"/>
  <c r="E1264" i="1"/>
  <c r="AQ1263" i="1"/>
  <c r="AR1263" i="1" s="1"/>
  <c r="AS1263" i="1" s="1"/>
  <c r="AC1175" i="1" l="1"/>
  <c r="AF1174" i="1"/>
  <c r="L1176" i="1"/>
  <c r="AJ1175" i="1"/>
  <c r="AT1175" i="1" s="1"/>
  <c r="E1265" i="1"/>
  <c r="AQ1264" i="1"/>
  <c r="AR1264" i="1" s="1"/>
  <c r="AS1264" i="1" s="1"/>
  <c r="AC1176" i="1" l="1"/>
  <c r="AF1175" i="1"/>
  <c r="L1177" i="1"/>
  <c r="AJ1176" i="1"/>
  <c r="AT1176" i="1" s="1"/>
  <c r="E1266" i="1"/>
  <c r="AQ1265" i="1"/>
  <c r="AR1265" i="1" s="1"/>
  <c r="AS1265" i="1" s="1"/>
  <c r="AC1177" i="1" l="1"/>
  <c r="AF1176" i="1"/>
  <c r="L1178" i="1"/>
  <c r="AJ1177" i="1"/>
  <c r="AT1177" i="1" s="1"/>
  <c r="E1267" i="1"/>
  <c r="AQ1266" i="1"/>
  <c r="AR1266" i="1" s="1"/>
  <c r="AS1266" i="1" s="1"/>
  <c r="AC1178" i="1" l="1"/>
  <c r="AF1177" i="1"/>
  <c r="L1179" i="1"/>
  <c r="AJ1178" i="1"/>
  <c r="AT1178" i="1" s="1"/>
  <c r="E1268" i="1"/>
  <c r="AQ1267" i="1"/>
  <c r="AR1267" i="1" s="1"/>
  <c r="AS1267" i="1" s="1"/>
  <c r="AC1179" i="1" l="1"/>
  <c r="AF1178" i="1"/>
  <c r="L1180" i="1"/>
  <c r="AJ1179" i="1"/>
  <c r="AT1179" i="1" s="1"/>
  <c r="E1269" i="1"/>
  <c r="AQ1268" i="1"/>
  <c r="AR1268" i="1" s="1"/>
  <c r="AS1268" i="1" s="1"/>
  <c r="AC1180" i="1" l="1"/>
  <c r="AF1179" i="1"/>
  <c r="L1181" i="1"/>
  <c r="AJ1180" i="1"/>
  <c r="AT1180" i="1" s="1"/>
  <c r="E1270" i="1"/>
  <c r="AQ1269" i="1"/>
  <c r="AR1269" i="1" s="1"/>
  <c r="AS1269" i="1" s="1"/>
  <c r="AC1181" i="1" l="1"/>
  <c r="AF1180" i="1"/>
  <c r="L1182" i="1"/>
  <c r="AJ1181" i="1"/>
  <c r="AT1181" i="1" s="1"/>
  <c r="E1271" i="1"/>
  <c r="AQ1270" i="1"/>
  <c r="AR1270" i="1" s="1"/>
  <c r="AS1270" i="1" s="1"/>
  <c r="AC1182" i="1" l="1"/>
  <c r="AF1181" i="1"/>
  <c r="L1183" i="1"/>
  <c r="AJ1182" i="1"/>
  <c r="AT1182" i="1" s="1"/>
  <c r="E1272" i="1"/>
  <c r="AQ1271" i="1"/>
  <c r="AR1271" i="1" s="1"/>
  <c r="AS1271" i="1" s="1"/>
  <c r="AC1183" i="1" l="1"/>
  <c r="AF1182" i="1"/>
  <c r="L1184" i="1"/>
  <c r="AJ1183" i="1"/>
  <c r="AT1183" i="1" s="1"/>
  <c r="E1273" i="1"/>
  <c r="AQ1272" i="1"/>
  <c r="AR1272" i="1" s="1"/>
  <c r="AS1272" i="1" s="1"/>
  <c r="AC1184" i="1" l="1"/>
  <c r="AF1183" i="1"/>
  <c r="L1185" i="1"/>
  <c r="AJ1184" i="1"/>
  <c r="AT1184" i="1" s="1"/>
  <c r="E1274" i="1"/>
  <c r="AQ1273" i="1"/>
  <c r="AR1273" i="1" s="1"/>
  <c r="AS1273" i="1" s="1"/>
  <c r="AC1185" i="1" l="1"/>
  <c r="AF1184" i="1"/>
  <c r="L1186" i="1"/>
  <c r="AJ1185" i="1"/>
  <c r="AT1185" i="1" s="1"/>
  <c r="E1275" i="1"/>
  <c r="AQ1274" i="1"/>
  <c r="AR1274" i="1" s="1"/>
  <c r="AS1274" i="1" s="1"/>
  <c r="AC1186" i="1" l="1"/>
  <c r="AF1185" i="1"/>
  <c r="L1187" i="1"/>
  <c r="AJ1186" i="1"/>
  <c r="AT1186" i="1" s="1"/>
  <c r="E1276" i="1"/>
  <c r="AQ1275" i="1"/>
  <c r="AR1275" i="1" s="1"/>
  <c r="AS1275" i="1" s="1"/>
  <c r="AC1187" i="1" l="1"/>
  <c r="AF1186" i="1"/>
  <c r="L1188" i="1"/>
  <c r="AJ1187" i="1"/>
  <c r="AT1187" i="1" s="1"/>
  <c r="E1277" i="1"/>
  <c r="AQ1276" i="1"/>
  <c r="AR1276" i="1" s="1"/>
  <c r="AS1276" i="1" s="1"/>
  <c r="AC1188" i="1" l="1"/>
  <c r="AF1187" i="1"/>
  <c r="L1189" i="1"/>
  <c r="AJ1188" i="1"/>
  <c r="AT1188" i="1" s="1"/>
  <c r="E1278" i="1"/>
  <c r="AQ1277" i="1"/>
  <c r="AR1277" i="1" s="1"/>
  <c r="AS1277" i="1" s="1"/>
  <c r="AC1189" i="1" l="1"/>
  <c r="AF1188" i="1"/>
  <c r="L1190" i="1"/>
  <c r="AJ1189" i="1"/>
  <c r="AT1189" i="1" s="1"/>
  <c r="E1279" i="1"/>
  <c r="AQ1278" i="1"/>
  <c r="AR1278" i="1" s="1"/>
  <c r="AS1278" i="1" s="1"/>
  <c r="AC1190" i="1" l="1"/>
  <c r="AF1189" i="1"/>
  <c r="L1191" i="1"/>
  <c r="AJ1190" i="1"/>
  <c r="AT1190" i="1" s="1"/>
  <c r="E1280" i="1"/>
  <c r="AQ1279" i="1"/>
  <c r="AR1279" i="1" s="1"/>
  <c r="AS1279" i="1" s="1"/>
  <c r="AC1191" i="1" l="1"/>
  <c r="AF1190" i="1"/>
  <c r="L1192" i="1"/>
  <c r="AJ1191" i="1"/>
  <c r="AT1191" i="1" s="1"/>
  <c r="E1281" i="1"/>
  <c r="AQ1280" i="1"/>
  <c r="AR1280" i="1" s="1"/>
  <c r="AS1280" i="1" s="1"/>
  <c r="AC1192" i="1" l="1"/>
  <c r="AF1191" i="1"/>
  <c r="L1193" i="1"/>
  <c r="AJ1192" i="1"/>
  <c r="AT1192" i="1" s="1"/>
  <c r="E1282" i="1"/>
  <c r="AQ1281" i="1"/>
  <c r="AR1281" i="1" s="1"/>
  <c r="AS1281" i="1" s="1"/>
  <c r="AC1193" i="1" l="1"/>
  <c r="AF1192" i="1"/>
  <c r="L1194" i="1"/>
  <c r="AJ1193" i="1"/>
  <c r="AT1193" i="1" s="1"/>
  <c r="E1283" i="1"/>
  <c r="AQ1282" i="1"/>
  <c r="AR1282" i="1" s="1"/>
  <c r="AS1282" i="1" s="1"/>
  <c r="AC1194" i="1" l="1"/>
  <c r="AF1193" i="1"/>
  <c r="L1195" i="1"/>
  <c r="AJ1194" i="1"/>
  <c r="AT1194" i="1" s="1"/>
  <c r="E1284" i="1"/>
  <c r="AQ1283" i="1"/>
  <c r="AR1283" i="1" s="1"/>
  <c r="AS1283" i="1" s="1"/>
  <c r="AC1195" i="1" l="1"/>
  <c r="AF1194" i="1"/>
  <c r="L1196" i="1"/>
  <c r="AJ1195" i="1"/>
  <c r="AT1195" i="1" s="1"/>
  <c r="E1285" i="1"/>
  <c r="AQ1284" i="1"/>
  <c r="AR1284" i="1" s="1"/>
  <c r="AS1284" i="1" s="1"/>
  <c r="AC1196" i="1" l="1"/>
  <c r="AF1195" i="1"/>
  <c r="L1197" i="1"/>
  <c r="AJ1196" i="1"/>
  <c r="AT1196" i="1" s="1"/>
  <c r="E1286" i="1"/>
  <c r="AQ1285" i="1"/>
  <c r="AR1285" i="1" s="1"/>
  <c r="AS1285" i="1" s="1"/>
  <c r="AC1197" i="1" l="1"/>
  <c r="AF1196" i="1"/>
  <c r="L1198" i="1"/>
  <c r="AJ1197" i="1"/>
  <c r="AT1197" i="1" s="1"/>
  <c r="E1287" i="1"/>
  <c r="AQ1286" i="1"/>
  <c r="AR1286" i="1" s="1"/>
  <c r="AS1286" i="1" s="1"/>
  <c r="AC1198" i="1" l="1"/>
  <c r="AF1197" i="1"/>
  <c r="L1199" i="1"/>
  <c r="AJ1198" i="1"/>
  <c r="AT1198" i="1" s="1"/>
  <c r="E1288" i="1"/>
  <c r="AQ1287" i="1"/>
  <c r="AR1287" i="1" s="1"/>
  <c r="AS1287" i="1" s="1"/>
  <c r="AC1199" i="1" l="1"/>
  <c r="AF1198" i="1"/>
  <c r="L1200" i="1"/>
  <c r="AJ1199" i="1"/>
  <c r="AT1199" i="1" s="1"/>
  <c r="E1289" i="1"/>
  <c r="AQ1288" i="1"/>
  <c r="AR1288" i="1" s="1"/>
  <c r="AS1288" i="1" s="1"/>
  <c r="AC1200" i="1" l="1"/>
  <c r="AF1199" i="1"/>
  <c r="L1201" i="1"/>
  <c r="AJ1200" i="1"/>
  <c r="AT1200" i="1" s="1"/>
  <c r="E1290" i="1"/>
  <c r="AQ1289" i="1"/>
  <c r="AR1289" i="1" s="1"/>
  <c r="AS1289" i="1" s="1"/>
  <c r="AC1201" i="1" l="1"/>
  <c r="AF1200" i="1"/>
  <c r="L1202" i="1"/>
  <c r="AJ1201" i="1"/>
  <c r="AT1201" i="1" s="1"/>
  <c r="E1291" i="1"/>
  <c r="AQ1290" i="1"/>
  <c r="AR1290" i="1" s="1"/>
  <c r="AS1290" i="1" s="1"/>
  <c r="AC1202" i="1" l="1"/>
  <c r="AF1201" i="1"/>
  <c r="L1203" i="1"/>
  <c r="AJ1202" i="1"/>
  <c r="AT1202" i="1" s="1"/>
  <c r="E1292" i="1"/>
  <c r="AQ1291" i="1"/>
  <c r="AR1291" i="1" s="1"/>
  <c r="AS1291" i="1" s="1"/>
  <c r="AC1203" i="1" l="1"/>
  <c r="AF1202" i="1"/>
  <c r="L1204" i="1"/>
  <c r="AJ1203" i="1"/>
  <c r="AT1203" i="1" s="1"/>
  <c r="E1293" i="1"/>
  <c r="AQ1292" i="1"/>
  <c r="AR1292" i="1" s="1"/>
  <c r="AS1292" i="1" s="1"/>
  <c r="AC1204" i="1" l="1"/>
  <c r="AF1203" i="1"/>
  <c r="L1205" i="1"/>
  <c r="AJ1204" i="1"/>
  <c r="AT1204" i="1" s="1"/>
  <c r="E1294" i="1"/>
  <c r="AQ1293" i="1"/>
  <c r="AR1293" i="1" s="1"/>
  <c r="AS1293" i="1" s="1"/>
  <c r="AC1205" i="1" l="1"/>
  <c r="AF1204" i="1"/>
  <c r="L1206" i="1"/>
  <c r="AJ1205" i="1"/>
  <c r="AT1205" i="1" s="1"/>
  <c r="E1295" i="1"/>
  <c r="AQ1294" i="1"/>
  <c r="AR1294" i="1" s="1"/>
  <c r="AS1294" i="1" s="1"/>
  <c r="AC1206" i="1" l="1"/>
  <c r="AF1205" i="1"/>
  <c r="L1207" i="1"/>
  <c r="AJ1206" i="1"/>
  <c r="AT1206" i="1" s="1"/>
  <c r="E1296" i="1"/>
  <c r="AQ1295" i="1"/>
  <c r="AR1295" i="1" s="1"/>
  <c r="AS1295" i="1" s="1"/>
  <c r="AC1207" i="1" l="1"/>
  <c r="AF1206" i="1"/>
  <c r="L1208" i="1"/>
  <c r="AJ1207" i="1"/>
  <c r="AT1207" i="1" s="1"/>
  <c r="E1297" i="1"/>
  <c r="AQ1296" i="1"/>
  <c r="AR1296" i="1" s="1"/>
  <c r="AS1296" i="1" s="1"/>
  <c r="AC1208" i="1" l="1"/>
  <c r="AF1207" i="1"/>
  <c r="L1209" i="1"/>
  <c r="AJ1208" i="1"/>
  <c r="AT1208" i="1" s="1"/>
  <c r="E1298" i="1"/>
  <c r="AQ1297" i="1"/>
  <c r="AR1297" i="1" s="1"/>
  <c r="AS1297" i="1" s="1"/>
  <c r="AC1209" i="1" l="1"/>
  <c r="AF1208" i="1"/>
  <c r="L1210" i="1"/>
  <c r="AJ1209" i="1"/>
  <c r="AT1209" i="1" s="1"/>
  <c r="E1299" i="1"/>
  <c r="AQ1298" i="1"/>
  <c r="AR1298" i="1" s="1"/>
  <c r="AS1298" i="1" s="1"/>
  <c r="AC1210" i="1" l="1"/>
  <c r="AF1209" i="1"/>
  <c r="L1211" i="1"/>
  <c r="AJ1210" i="1"/>
  <c r="AT1210" i="1" s="1"/>
  <c r="E1300" i="1"/>
  <c r="AQ1299" i="1"/>
  <c r="AR1299" i="1" s="1"/>
  <c r="AS1299" i="1" s="1"/>
  <c r="AC1211" i="1" l="1"/>
  <c r="AF1210" i="1"/>
  <c r="L1212" i="1"/>
  <c r="AJ1211" i="1"/>
  <c r="AT1211" i="1" s="1"/>
  <c r="E1301" i="1"/>
  <c r="AQ1300" i="1"/>
  <c r="AR1300" i="1" s="1"/>
  <c r="AS1300" i="1" s="1"/>
  <c r="AC1212" i="1" l="1"/>
  <c r="AF1211" i="1"/>
  <c r="L1213" i="1"/>
  <c r="AJ1212" i="1"/>
  <c r="AT1212" i="1" s="1"/>
  <c r="E1302" i="1"/>
  <c r="AQ1301" i="1"/>
  <c r="AR1301" i="1" s="1"/>
  <c r="AS1301" i="1" s="1"/>
  <c r="AC1213" i="1" l="1"/>
  <c r="AF1212" i="1"/>
  <c r="L1214" i="1"/>
  <c r="AJ1213" i="1"/>
  <c r="AT1213" i="1" s="1"/>
  <c r="E1303" i="1"/>
  <c r="AQ1302" i="1"/>
  <c r="AR1302" i="1" s="1"/>
  <c r="AS1302" i="1" s="1"/>
  <c r="AC1214" i="1" l="1"/>
  <c r="AF1213" i="1"/>
  <c r="L1215" i="1"/>
  <c r="AJ1214" i="1"/>
  <c r="AT1214" i="1" s="1"/>
  <c r="E1304" i="1"/>
  <c r="AQ1303" i="1"/>
  <c r="AR1303" i="1" s="1"/>
  <c r="AS1303" i="1" s="1"/>
  <c r="AC1215" i="1" l="1"/>
  <c r="AF1214" i="1"/>
  <c r="L1216" i="1"/>
  <c r="AJ1215" i="1"/>
  <c r="AT1215" i="1" s="1"/>
  <c r="E1305" i="1"/>
  <c r="AQ1304" i="1"/>
  <c r="AR1304" i="1" s="1"/>
  <c r="AS1304" i="1" s="1"/>
  <c r="AC1216" i="1" l="1"/>
  <c r="AF1215" i="1"/>
  <c r="L1217" i="1"/>
  <c r="AJ1216" i="1"/>
  <c r="AT1216" i="1" s="1"/>
  <c r="E1306" i="1"/>
  <c r="AQ1305" i="1"/>
  <c r="AR1305" i="1" s="1"/>
  <c r="AS1305" i="1" s="1"/>
  <c r="AC1217" i="1" l="1"/>
  <c r="AF1216" i="1"/>
  <c r="L1218" i="1"/>
  <c r="AJ1217" i="1"/>
  <c r="AT1217" i="1" s="1"/>
  <c r="E1307" i="1"/>
  <c r="AQ1306" i="1"/>
  <c r="AR1306" i="1" s="1"/>
  <c r="AS1306" i="1" s="1"/>
  <c r="AC1218" i="1" l="1"/>
  <c r="AF1217" i="1"/>
  <c r="L1219" i="1"/>
  <c r="AJ1218" i="1"/>
  <c r="AT1218" i="1" s="1"/>
  <c r="E1308" i="1"/>
  <c r="AQ1307" i="1"/>
  <c r="AR1307" i="1" s="1"/>
  <c r="AS1307" i="1" s="1"/>
  <c r="AC1219" i="1" l="1"/>
  <c r="AF1218" i="1"/>
  <c r="L1220" i="1"/>
  <c r="AJ1219" i="1"/>
  <c r="AT1219" i="1" s="1"/>
  <c r="E1309" i="1"/>
  <c r="AQ1308" i="1"/>
  <c r="AR1308" i="1" s="1"/>
  <c r="AS1308" i="1" s="1"/>
  <c r="AC1220" i="1" l="1"/>
  <c r="AF1219" i="1"/>
  <c r="L1221" i="1"/>
  <c r="AJ1220" i="1"/>
  <c r="AT1220" i="1" s="1"/>
  <c r="E1310" i="1"/>
  <c r="AQ1309" i="1"/>
  <c r="AR1309" i="1" s="1"/>
  <c r="AS1309" i="1" s="1"/>
  <c r="AC1221" i="1" l="1"/>
  <c r="AF1220" i="1"/>
  <c r="L1222" i="1"/>
  <c r="AJ1221" i="1"/>
  <c r="AT1221" i="1" s="1"/>
  <c r="E1311" i="1"/>
  <c r="AQ1310" i="1"/>
  <c r="AR1310" i="1" s="1"/>
  <c r="AS1310" i="1" s="1"/>
  <c r="AC1222" i="1" l="1"/>
  <c r="AF1221" i="1"/>
  <c r="L1223" i="1"/>
  <c r="AJ1222" i="1"/>
  <c r="AT1222" i="1" s="1"/>
  <c r="E1312" i="1"/>
  <c r="AQ1311" i="1"/>
  <c r="AR1311" i="1" s="1"/>
  <c r="AS1311" i="1" s="1"/>
  <c r="AC1223" i="1" l="1"/>
  <c r="AF1222" i="1"/>
  <c r="L1224" i="1"/>
  <c r="AJ1223" i="1"/>
  <c r="AT1223" i="1" s="1"/>
  <c r="E1313" i="1"/>
  <c r="AQ1312" i="1"/>
  <c r="AR1312" i="1" s="1"/>
  <c r="AS1312" i="1" s="1"/>
  <c r="AC1224" i="1" l="1"/>
  <c r="AF1223" i="1"/>
  <c r="L1225" i="1"/>
  <c r="AJ1224" i="1"/>
  <c r="AT1224" i="1" s="1"/>
  <c r="E1314" i="1"/>
  <c r="AQ1313" i="1"/>
  <c r="AR1313" i="1" s="1"/>
  <c r="AS1313" i="1" s="1"/>
  <c r="AC1225" i="1" l="1"/>
  <c r="AF1224" i="1"/>
  <c r="L1226" i="1"/>
  <c r="AJ1225" i="1"/>
  <c r="AT1225" i="1" s="1"/>
  <c r="E1315" i="1"/>
  <c r="AQ1314" i="1"/>
  <c r="AR1314" i="1" s="1"/>
  <c r="AS1314" i="1" s="1"/>
  <c r="AC1226" i="1" l="1"/>
  <c r="AF1225" i="1"/>
  <c r="L1227" i="1"/>
  <c r="AJ1226" i="1"/>
  <c r="AT1226" i="1" s="1"/>
  <c r="E1316" i="1"/>
  <c r="AQ1315" i="1"/>
  <c r="AR1315" i="1" s="1"/>
  <c r="AS1315" i="1" s="1"/>
  <c r="AC1227" i="1" l="1"/>
  <c r="AF1226" i="1"/>
  <c r="L1228" i="1"/>
  <c r="AJ1227" i="1"/>
  <c r="AT1227" i="1" s="1"/>
  <c r="E1317" i="1"/>
  <c r="AQ1316" i="1"/>
  <c r="AR1316" i="1" s="1"/>
  <c r="AS1316" i="1" s="1"/>
  <c r="AC1228" i="1" l="1"/>
  <c r="AF1227" i="1"/>
  <c r="L1229" i="1"/>
  <c r="AJ1228" i="1"/>
  <c r="AT1228" i="1" s="1"/>
  <c r="E1318" i="1"/>
  <c r="AQ1317" i="1"/>
  <c r="AR1317" i="1" s="1"/>
  <c r="AS1317" i="1" s="1"/>
  <c r="AC1229" i="1" l="1"/>
  <c r="AF1228" i="1"/>
  <c r="L1230" i="1"/>
  <c r="AJ1229" i="1"/>
  <c r="AT1229" i="1" s="1"/>
  <c r="E1319" i="1"/>
  <c r="AQ1318" i="1"/>
  <c r="AR1318" i="1" s="1"/>
  <c r="AS1318" i="1" s="1"/>
  <c r="AC1230" i="1" l="1"/>
  <c r="AF1229" i="1"/>
  <c r="L1231" i="1"/>
  <c r="AJ1230" i="1"/>
  <c r="AT1230" i="1" s="1"/>
  <c r="E1320" i="1"/>
  <c r="AQ1319" i="1"/>
  <c r="AR1319" i="1" s="1"/>
  <c r="AS1319" i="1" s="1"/>
  <c r="AC1231" i="1" l="1"/>
  <c r="AF1230" i="1"/>
  <c r="L1232" i="1"/>
  <c r="AJ1231" i="1"/>
  <c r="AT1231" i="1" s="1"/>
  <c r="E1321" i="1"/>
  <c r="AQ1320" i="1"/>
  <c r="AR1320" i="1" s="1"/>
  <c r="AS1320" i="1" s="1"/>
  <c r="AC1232" i="1" l="1"/>
  <c r="AF1231" i="1"/>
  <c r="L1233" i="1"/>
  <c r="AJ1232" i="1"/>
  <c r="AT1232" i="1" s="1"/>
  <c r="E1322" i="1"/>
  <c r="AQ1321" i="1"/>
  <c r="AR1321" i="1" s="1"/>
  <c r="AS1321" i="1" s="1"/>
  <c r="AC1233" i="1" l="1"/>
  <c r="AF1232" i="1"/>
  <c r="L1234" i="1"/>
  <c r="AJ1233" i="1"/>
  <c r="AT1233" i="1" s="1"/>
  <c r="E1323" i="1"/>
  <c r="AQ1322" i="1"/>
  <c r="AR1322" i="1" s="1"/>
  <c r="AS1322" i="1" s="1"/>
  <c r="AC1234" i="1" l="1"/>
  <c r="AF1233" i="1"/>
  <c r="L1235" i="1"/>
  <c r="AJ1234" i="1"/>
  <c r="AT1234" i="1" s="1"/>
  <c r="E1324" i="1"/>
  <c r="AQ1323" i="1"/>
  <c r="AR1323" i="1" s="1"/>
  <c r="AS1323" i="1" s="1"/>
  <c r="AC1235" i="1" l="1"/>
  <c r="AF1234" i="1"/>
  <c r="L1236" i="1"/>
  <c r="AJ1235" i="1"/>
  <c r="AT1235" i="1" s="1"/>
  <c r="E1325" i="1"/>
  <c r="AQ1324" i="1"/>
  <c r="AR1324" i="1" s="1"/>
  <c r="AS1324" i="1" s="1"/>
  <c r="AC1236" i="1" l="1"/>
  <c r="AF1235" i="1"/>
  <c r="L1237" i="1"/>
  <c r="AJ1236" i="1"/>
  <c r="AT1236" i="1" s="1"/>
  <c r="E1326" i="1"/>
  <c r="AQ1325" i="1"/>
  <c r="AR1325" i="1" s="1"/>
  <c r="AS1325" i="1" s="1"/>
  <c r="AC1237" i="1" l="1"/>
  <c r="AF1236" i="1"/>
  <c r="L1238" i="1"/>
  <c r="AJ1237" i="1"/>
  <c r="AT1237" i="1" s="1"/>
  <c r="E1327" i="1"/>
  <c r="AQ1326" i="1"/>
  <c r="AR1326" i="1" s="1"/>
  <c r="AS1326" i="1" s="1"/>
  <c r="AC1238" i="1" l="1"/>
  <c r="AF1237" i="1"/>
  <c r="L1239" i="1"/>
  <c r="AJ1238" i="1"/>
  <c r="AT1238" i="1" s="1"/>
  <c r="E1328" i="1"/>
  <c r="AQ1327" i="1"/>
  <c r="AR1327" i="1" s="1"/>
  <c r="AS1327" i="1" s="1"/>
  <c r="AC1239" i="1" l="1"/>
  <c r="AF1238" i="1"/>
  <c r="L1240" i="1"/>
  <c r="AJ1239" i="1"/>
  <c r="AT1239" i="1" s="1"/>
  <c r="E1329" i="1"/>
  <c r="AQ1328" i="1"/>
  <c r="AR1328" i="1" s="1"/>
  <c r="AS1328" i="1" s="1"/>
  <c r="AC1240" i="1" l="1"/>
  <c r="AF1239" i="1"/>
  <c r="L1241" i="1"/>
  <c r="AJ1240" i="1"/>
  <c r="AT1240" i="1" s="1"/>
  <c r="E1330" i="1"/>
  <c r="AQ1329" i="1"/>
  <c r="AR1329" i="1" s="1"/>
  <c r="AS1329" i="1" s="1"/>
  <c r="AC1241" i="1" l="1"/>
  <c r="AF1240" i="1"/>
  <c r="L1242" i="1"/>
  <c r="AJ1241" i="1"/>
  <c r="AT1241" i="1" s="1"/>
  <c r="E1331" i="1"/>
  <c r="AQ1330" i="1"/>
  <c r="AR1330" i="1" s="1"/>
  <c r="AS1330" i="1" s="1"/>
  <c r="AC1242" i="1" l="1"/>
  <c r="AF1241" i="1"/>
  <c r="L1243" i="1"/>
  <c r="AJ1242" i="1"/>
  <c r="AT1242" i="1" s="1"/>
  <c r="E1332" i="1"/>
  <c r="AQ1331" i="1"/>
  <c r="AR1331" i="1" s="1"/>
  <c r="AS1331" i="1" s="1"/>
  <c r="AC1243" i="1" l="1"/>
  <c r="AF1242" i="1"/>
  <c r="L1244" i="1"/>
  <c r="AJ1243" i="1"/>
  <c r="AT1243" i="1" s="1"/>
  <c r="E1333" i="1"/>
  <c r="AQ1332" i="1"/>
  <c r="AR1332" i="1" s="1"/>
  <c r="AS1332" i="1" s="1"/>
  <c r="AC1244" i="1" l="1"/>
  <c r="AF1243" i="1"/>
  <c r="L1245" i="1"/>
  <c r="AJ1244" i="1"/>
  <c r="AT1244" i="1" s="1"/>
  <c r="E1334" i="1"/>
  <c r="AQ1333" i="1"/>
  <c r="AR1333" i="1" s="1"/>
  <c r="AS1333" i="1" s="1"/>
  <c r="AC1245" i="1" l="1"/>
  <c r="AF1244" i="1"/>
  <c r="L1246" i="1"/>
  <c r="AJ1245" i="1"/>
  <c r="AT1245" i="1" s="1"/>
  <c r="E1335" i="1"/>
  <c r="AQ1334" i="1"/>
  <c r="AR1334" i="1" s="1"/>
  <c r="AS1334" i="1" s="1"/>
  <c r="AC1246" i="1" l="1"/>
  <c r="AF1245" i="1"/>
  <c r="L1247" i="1"/>
  <c r="AJ1246" i="1"/>
  <c r="AT1246" i="1" s="1"/>
  <c r="E1336" i="1"/>
  <c r="AQ1335" i="1"/>
  <c r="AR1335" i="1" s="1"/>
  <c r="AS1335" i="1" s="1"/>
  <c r="AC1247" i="1" l="1"/>
  <c r="AF1246" i="1"/>
  <c r="L1248" i="1"/>
  <c r="AJ1247" i="1"/>
  <c r="AT1247" i="1" s="1"/>
  <c r="E1337" i="1"/>
  <c r="AQ1336" i="1"/>
  <c r="AR1336" i="1" s="1"/>
  <c r="AS1336" i="1" s="1"/>
  <c r="AC1248" i="1" l="1"/>
  <c r="AF1247" i="1"/>
  <c r="L1249" i="1"/>
  <c r="AJ1248" i="1"/>
  <c r="AT1248" i="1" s="1"/>
  <c r="E1338" i="1"/>
  <c r="AQ1337" i="1"/>
  <c r="AR1337" i="1" s="1"/>
  <c r="AS1337" i="1" s="1"/>
  <c r="AC1249" i="1" l="1"/>
  <c r="AF1248" i="1"/>
  <c r="L1250" i="1"/>
  <c r="AJ1249" i="1"/>
  <c r="AT1249" i="1" s="1"/>
  <c r="E1339" i="1"/>
  <c r="AQ1338" i="1"/>
  <c r="AR1338" i="1" s="1"/>
  <c r="AS1338" i="1" s="1"/>
  <c r="AC1250" i="1" l="1"/>
  <c r="AF1249" i="1"/>
  <c r="L1251" i="1"/>
  <c r="AJ1250" i="1"/>
  <c r="AT1250" i="1" s="1"/>
  <c r="E1340" i="1"/>
  <c r="AQ1339" i="1"/>
  <c r="AR1339" i="1" s="1"/>
  <c r="AS1339" i="1" s="1"/>
  <c r="AC1251" i="1" l="1"/>
  <c r="AF1250" i="1"/>
  <c r="L1252" i="1"/>
  <c r="AJ1251" i="1"/>
  <c r="AT1251" i="1" s="1"/>
  <c r="E1341" i="1"/>
  <c r="AQ1340" i="1"/>
  <c r="AR1340" i="1" s="1"/>
  <c r="AS1340" i="1" s="1"/>
  <c r="AC1252" i="1" l="1"/>
  <c r="AF1251" i="1"/>
  <c r="L1253" i="1"/>
  <c r="AJ1252" i="1"/>
  <c r="AT1252" i="1" s="1"/>
  <c r="E1342" i="1"/>
  <c r="AQ1341" i="1"/>
  <c r="AR1341" i="1" s="1"/>
  <c r="AS1341" i="1" s="1"/>
  <c r="AC1253" i="1" l="1"/>
  <c r="AF1252" i="1"/>
  <c r="L1254" i="1"/>
  <c r="AJ1253" i="1"/>
  <c r="AT1253" i="1" s="1"/>
  <c r="E1343" i="1"/>
  <c r="AQ1342" i="1"/>
  <c r="AR1342" i="1" s="1"/>
  <c r="AS1342" i="1" s="1"/>
  <c r="AC1254" i="1" l="1"/>
  <c r="AF1253" i="1"/>
  <c r="L1255" i="1"/>
  <c r="AJ1254" i="1"/>
  <c r="AT1254" i="1" s="1"/>
  <c r="E1344" i="1"/>
  <c r="AQ1343" i="1"/>
  <c r="AR1343" i="1" s="1"/>
  <c r="AS1343" i="1" s="1"/>
  <c r="AC1255" i="1" l="1"/>
  <c r="AF1254" i="1"/>
  <c r="L1256" i="1"/>
  <c r="AJ1255" i="1"/>
  <c r="AT1255" i="1" s="1"/>
  <c r="E1345" i="1"/>
  <c r="AQ1344" i="1"/>
  <c r="AR1344" i="1" s="1"/>
  <c r="AS1344" i="1" s="1"/>
  <c r="AC1256" i="1" l="1"/>
  <c r="AF1255" i="1"/>
  <c r="L1257" i="1"/>
  <c r="AJ1256" i="1"/>
  <c r="AT1256" i="1" s="1"/>
  <c r="E1346" i="1"/>
  <c r="AQ1345" i="1"/>
  <c r="AR1345" i="1" s="1"/>
  <c r="AS1345" i="1" s="1"/>
  <c r="AC1257" i="1" l="1"/>
  <c r="AF1256" i="1"/>
  <c r="L1258" i="1"/>
  <c r="AJ1257" i="1"/>
  <c r="AT1257" i="1" s="1"/>
  <c r="E1347" i="1"/>
  <c r="AQ1346" i="1"/>
  <c r="AR1346" i="1" s="1"/>
  <c r="AS1346" i="1" s="1"/>
  <c r="AC1258" i="1" l="1"/>
  <c r="AF1257" i="1"/>
  <c r="L1259" i="1"/>
  <c r="AJ1258" i="1"/>
  <c r="AT1258" i="1" s="1"/>
  <c r="E1348" i="1"/>
  <c r="AQ1347" i="1"/>
  <c r="AR1347" i="1" s="1"/>
  <c r="AS1347" i="1" s="1"/>
  <c r="AC1259" i="1" l="1"/>
  <c r="AF1258" i="1"/>
  <c r="L1260" i="1"/>
  <c r="AJ1259" i="1"/>
  <c r="AT1259" i="1" s="1"/>
  <c r="E1349" i="1"/>
  <c r="AQ1348" i="1"/>
  <c r="AR1348" i="1" s="1"/>
  <c r="AS1348" i="1" s="1"/>
  <c r="AC1260" i="1" l="1"/>
  <c r="AF1259" i="1"/>
  <c r="L1261" i="1"/>
  <c r="AJ1260" i="1"/>
  <c r="AT1260" i="1" s="1"/>
  <c r="E1350" i="1"/>
  <c r="AQ1349" i="1"/>
  <c r="AR1349" i="1" s="1"/>
  <c r="AS1349" i="1" s="1"/>
  <c r="AC1261" i="1" l="1"/>
  <c r="AF1260" i="1"/>
  <c r="L1262" i="1"/>
  <c r="AJ1261" i="1"/>
  <c r="AT1261" i="1" s="1"/>
  <c r="E1351" i="1"/>
  <c r="AQ1350" i="1"/>
  <c r="AR1350" i="1" s="1"/>
  <c r="AS1350" i="1" s="1"/>
  <c r="AC1262" i="1" l="1"/>
  <c r="AF1261" i="1"/>
  <c r="L1263" i="1"/>
  <c r="AJ1262" i="1"/>
  <c r="AT1262" i="1" s="1"/>
  <c r="E1352" i="1"/>
  <c r="AQ1351" i="1"/>
  <c r="AR1351" i="1" s="1"/>
  <c r="AS1351" i="1" s="1"/>
  <c r="AC1263" i="1" l="1"/>
  <c r="AF1262" i="1"/>
  <c r="L1264" i="1"/>
  <c r="AJ1263" i="1"/>
  <c r="AT1263" i="1" s="1"/>
  <c r="E1353" i="1"/>
  <c r="AQ1352" i="1"/>
  <c r="AR1352" i="1" s="1"/>
  <c r="AS1352" i="1" s="1"/>
  <c r="AC1264" i="1" l="1"/>
  <c r="AF1263" i="1"/>
  <c r="L1265" i="1"/>
  <c r="AJ1264" i="1"/>
  <c r="AT1264" i="1" s="1"/>
  <c r="E1354" i="1"/>
  <c r="AQ1353" i="1"/>
  <c r="AR1353" i="1" s="1"/>
  <c r="AS1353" i="1" s="1"/>
  <c r="AC1265" i="1" l="1"/>
  <c r="AF1264" i="1"/>
  <c r="L1266" i="1"/>
  <c r="AJ1265" i="1"/>
  <c r="AT1265" i="1" s="1"/>
  <c r="E1355" i="1"/>
  <c r="AQ1354" i="1"/>
  <c r="AR1354" i="1" s="1"/>
  <c r="AS1354" i="1" s="1"/>
  <c r="AC1266" i="1" l="1"/>
  <c r="AF1265" i="1"/>
  <c r="L1267" i="1"/>
  <c r="AJ1266" i="1"/>
  <c r="AT1266" i="1" s="1"/>
  <c r="E1356" i="1"/>
  <c r="AQ1355" i="1"/>
  <c r="AR1355" i="1" s="1"/>
  <c r="AS1355" i="1" s="1"/>
  <c r="AC1267" i="1" l="1"/>
  <c r="AF1266" i="1"/>
  <c r="L1268" i="1"/>
  <c r="AJ1267" i="1"/>
  <c r="AT1267" i="1" s="1"/>
  <c r="E1357" i="1"/>
  <c r="AQ1356" i="1"/>
  <c r="AR1356" i="1" s="1"/>
  <c r="AS1356" i="1" s="1"/>
  <c r="AC1268" i="1" l="1"/>
  <c r="AF1267" i="1"/>
  <c r="L1269" i="1"/>
  <c r="AJ1268" i="1"/>
  <c r="AT1268" i="1" s="1"/>
  <c r="E1358" i="1"/>
  <c r="AQ1357" i="1"/>
  <c r="AR1357" i="1" s="1"/>
  <c r="AS1357" i="1" s="1"/>
  <c r="AC1269" i="1" l="1"/>
  <c r="AF1268" i="1"/>
  <c r="L1270" i="1"/>
  <c r="AJ1269" i="1"/>
  <c r="AT1269" i="1" s="1"/>
  <c r="E1359" i="1"/>
  <c r="AQ1358" i="1"/>
  <c r="AR1358" i="1" s="1"/>
  <c r="AS1358" i="1" s="1"/>
  <c r="AC1270" i="1" l="1"/>
  <c r="AF1269" i="1"/>
  <c r="L1271" i="1"/>
  <c r="AJ1270" i="1"/>
  <c r="AT1270" i="1" s="1"/>
  <c r="E1360" i="1"/>
  <c r="AQ1359" i="1"/>
  <c r="AR1359" i="1" s="1"/>
  <c r="AS1359" i="1" s="1"/>
  <c r="AC1271" i="1" l="1"/>
  <c r="AF1270" i="1"/>
  <c r="L1272" i="1"/>
  <c r="AJ1271" i="1"/>
  <c r="AT1271" i="1" s="1"/>
  <c r="E1361" i="1"/>
  <c r="AQ1360" i="1"/>
  <c r="AR1360" i="1" s="1"/>
  <c r="AS1360" i="1" s="1"/>
  <c r="AC1272" i="1" l="1"/>
  <c r="AF1271" i="1"/>
  <c r="L1273" i="1"/>
  <c r="AJ1272" i="1"/>
  <c r="AT1272" i="1" s="1"/>
  <c r="E1362" i="1"/>
  <c r="AQ1361" i="1"/>
  <c r="AR1361" i="1" s="1"/>
  <c r="AS1361" i="1" s="1"/>
  <c r="AC1273" i="1" l="1"/>
  <c r="AF1272" i="1"/>
  <c r="L1274" i="1"/>
  <c r="AJ1273" i="1"/>
  <c r="AT1273" i="1" s="1"/>
  <c r="E1363" i="1"/>
  <c r="AQ1362" i="1"/>
  <c r="AR1362" i="1" s="1"/>
  <c r="AS1362" i="1" s="1"/>
  <c r="AC1274" i="1" l="1"/>
  <c r="AF1273" i="1"/>
  <c r="L1275" i="1"/>
  <c r="AJ1274" i="1"/>
  <c r="AT1274" i="1" s="1"/>
  <c r="E1364" i="1"/>
  <c r="AQ1363" i="1"/>
  <c r="AR1363" i="1" s="1"/>
  <c r="AS1363" i="1" s="1"/>
  <c r="AC1275" i="1" l="1"/>
  <c r="AF1274" i="1"/>
  <c r="L1276" i="1"/>
  <c r="AJ1275" i="1"/>
  <c r="AT1275" i="1" s="1"/>
  <c r="E1365" i="1"/>
  <c r="AQ1364" i="1"/>
  <c r="AR1364" i="1" s="1"/>
  <c r="AS1364" i="1" s="1"/>
  <c r="AC1276" i="1" l="1"/>
  <c r="AF1275" i="1"/>
  <c r="L1277" i="1"/>
  <c r="AJ1276" i="1"/>
  <c r="AT1276" i="1" s="1"/>
  <c r="E1366" i="1"/>
  <c r="AQ1365" i="1"/>
  <c r="AR1365" i="1" s="1"/>
  <c r="AS1365" i="1" s="1"/>
  <c r="AC1277" i="1" l="1"/>
  <c r="AF1276" i="1"/>
  <c r="L1278" i="1"/>
  <c r="AJ1277" i="1"/>
  <c r="AT1277" i="1" s="1"/>
  <c r="E1367" i="1"/>
  <c r="AQ1366" i="1"/>
  <c r="AR1366" i="1" s="1"/>
  <c r="AS1366" i="1" s="1"/>
  <c r="AC1278" i="1" l="1"/>
  <c r="AF1277" i="1"/>
  <c r="L1279" i="1"/>
  <c r="AJ1278" i="1"/>
  <c r="AT1278" i="1" s="1"/>
  <c r="E1368" i="1"/>
  <c r="AQ1367" i="1"/>
  <c r="AR1367" i="1" s="1"/>
  <c r="AS1367" i="1" s="1"/>
  <c r="AC1279" i="1" l="1"/>
  <c r="AF1278" i="1"/>
  <c r="L1280" i="1"/>
  <c r="AJ1279" i="1"/>
  <c r="AT1279" i="1" s="1"/>
  <c r="E1369" i="1"/>
  <c r="AQ1368" i="1"/>
  <c r="AR1368" i="1" s="1"/>
  <c r="AS1368" i="1" s="1"/>
  <c r="AC1280" i="1" l="1"/>
  <c r="AF1279" i="1"/>
  <c r="L1281" i="1"/>
  <c r="AJ1280" i="1"/>
  <c r="AT1280" i="1" s="1"/>
  <c r="E1370" i="1"/>
  <c r="AQ1369" i="1"/>
  <c r="AR1369" i="1" s="1"/>
  <c r="AS1369" i="1" s="1"/>
  <c r="AC1281" i="1" l="1"/>
  <c r="AF1280" i="1"/>
  <c r="L1282" i="1"/>
  <c r="AJ1281" i="1"/>
  <c r="AT1281" i="1" s="1"/>
  <c r="E1371" i="1"/>
  <c r="AQ1370" i="1"/>
  <c r="AR1370" i="1" s="1"/>
  <c r="AS1370" i="1" s="1"/>
  <c r="AC1282" i="1" l="1"/>
  <c r="AF1281" i="1"/>
  <c r="L1283" i="1"/>
  <c r="AJ1282" i="1"/>
  <c r="AT1282" i="1" s="1"/>
  <c r="E1372" i="1"/>
  <c r="AQ1371" i="1"/>
  <c r="AR1371" i="1" s="1"/>
  <c r="AS1371" i="1" s="1"/>
  <c r="AC1283" i="1" l="1"/>
  <c r="AF1282" i="1"/>
  <c r="L1284" i="1"/>
  <c r="AJ1283" i="1"/>
  <c r="AT1283" i="1" s="1"/>
  <c r="E1373" i="1"/>
  <c r="AQ1372" i="1"/>
  <c r="AR1372" i="1" s="1"/>
  <c r="AS1372" i="1" s="1"/>
  <c r="AC1284" i="1" l="1"/>
  <c r="AF1283" i="1"/>
  <c r="L1285" i="1"/>
  <c r="AJ1284" i="1"/>
  <c r="AT1284" i="1" s="1"/>
  <c r="E1374" i="1"/>
  <c r="AQ1373" i="1"/>
  <c r="AR1373" i="1" s="1"/>
  <c r="AS1373" i="1" s="1"/>
  <c r="AC1285" i="1" l="1"/>
  <c r="AF1284" i="1"/>
  <c r="L1286" i="1"/>
  <c r="AJ1285" i="1"/>
  <c r="AT1285" i="1" s="1"/>
  <c r="E1375" i="1"/>
  <c r="AQ1374" i="1"/>
  <c r="AR1374" i="1" s="1"/>
  <c r="AS1374" i="1" s="1"/>
  <c r="AC1286" i="1" l="1"/>
  <c r="AF1285" i="1"/>
  <c r="L1287" i="1"/>
  <c r="AJ1286" i="1"/>
  <c r="AT1286" i="1" s="1"/>
  <c r="E1376" i="1"/>
  <c r="AQ1375" i="1"/>
  <c r="AR1375" i="1" s="1"/>
  <c r="AS1375" i="1" s="1"/>
  <c r="AC1287" i="1" l="1"/>
  <c r="AF1286" i="1"/>
  <c r="L1288" i="1"/>
  <c r="AJ1287" i="1"/>
  <c r="AT1287" i="1" s="1"/>
  <c r="E1377" i="1"/>
  <c r="AQ1376" i="1"/>
  <c r="AR1376" i="1" s="1"/>
  <c r="AS1376" i="1" s="1"/>
  <c r="AC1288" i="1" l="1"/>
  <c r="AF1287" i="1"/>
  <c r="L1289" i="1"/>
  <c r="AJ1288" i="1"/>
  <c r="AT1288" i="1" s="1"/>
  <c r="E1378" i="1"/>
  <c r="AQ1377" i="1"/>
  <c r="AR1377" i="1" s="1"/>
  <c r="AS1377" i="1" s="1"/>
  <c r="AC1289" i="1" l="1"/>
  <c r="AF1288" i="1"/>
  <c r="L1290" i="1"/>
  <c r="AJ1289" i="1"/>
  <c r="AT1289" i="1" s="1"/>
  <c r="E1379" i="1"/>
  <c r="AQ1378" i="1"/>
  <c r="AR1378" i="1" s="1"/>
  <c r="AS1378" i="1" s="1"/>
  <c r="AC1290" i="1" l="1"/>
  <c r="AF1289" i="1"/>
  <c r="L1291" i="1"/>
  <c r="AJ1290" i="1"/>
  <c r="AT1290" i="1" s="1"/>
  <c r="E1380" i="1"/>
  <c r="AQ1379" i="1"/>
  <c r="AR1379" i="1" s="1"/>
  <c r="AS1379" i="1" s="1"/>
  <c r="AC1291" i="1" l="1"/>
  <c r="AF1290" i="1"/>
  <c r="L1292" i="1"/>
  <c r="AJ1291" i="1"/>
  <c r="AT1291" i="1" s="1"/>
  <c r="E1381" i="1"/>
  <c r="AQ1380" i="1"/>
  <c r="AR1380" i="1" s="1"/>
  <c r="AS1380" i="1" s="1"/>
  <c r="AC1292" i="1" l="1"/>
  <c r="AF1291" i="1"/>
  <c r="L1293" i="1"/>
  <c r="AJ1292" i="1"/>
  <c r="AT1292" i="1" s="1"/>
  <c r="E1382" i="1"/>
  <c r="AQ1381" i="1"/>
  <c r="AR1381" i="1" s="1"/>
  <c r="AS1381" i="1" s="1"/>
  <c r="AC1293" i="1" l="1"/>
  <c r="AF1292" i="1"/>
  <c r="L1294" i="1"/>
  <c r="AJ1293" i="1"/>
  <c r="AT1293" i="1" s="1"/>
  <c r="E1383" i="1"/>
  <c r="AQ1382" i="1"/>
  <c r="AR1382" i="1" s="1"/>
  <c r="AS1382" i="1" s="1"/>
  <c r="AC1294" i="1" l="1"/>
  <c r="AF1293" i="1"/>
  <c r="L1295" i="1"/>
  <c r="AJ1294" i="1"/>
  <c r="AT1294" i="1" s="1"/>
  <c r="E1384" i="1"/>
  <c r="AQ1383" i="1"/>
  <c r="AR1383" i="1" s="1"/>
  <c r="AS1383" i="1" s="1"/>
  <c r="AC1295" i="1" l="1"/>
  <c r="AF1294" i="1"/>
  <c r="L1296" i="1"/>
  <c r="AJ1295" i="1"/>
  <c r="AT1295" i="1" s="1"/>
  <c r="E1385" i="1"/>
  <c r="AQ1384" i="1"/>
  <c r="AR1384" i="1" s="1"/>
  <c r="AS1384" i="1" s="1"/>
  <c r="AC1296" i="1" l="1"/>
  <c r="AF1295" i="1"/>
  <c r="L1297" i="1"/>
  <c r="AJ1296" i="1"/>
  <c r="AT1296" i="1" s="1"/>
  <c r="E1386" i="1"/>
  <c r="AQ1385" i="1"/>
  <c r="AR1385" i="1" s="1"/>
  <c r="AS1385" i="1" s="1"/>
  <c r="AC1297" i="1" l="1"/>
  <c r="AF1296" i="1"/>
  <c r="L1298" i="1"/>
  <c r="AJ1297" i="1"/>
  <c r="AT1297" i="1" s="1"/>
  <c r="E1387" i="1"/>
  <c r="AQ1386" i="1"/>
  <c r="AR1386" i="1" s="1"/>
  <c r="AS1386" i="1" s="1"/>
  <c r="AC1298" i="1" l="1"/>
  <c r="AF1297" i="1"/>
  <c r="L1299" i="1"/>
  <c r="AJ1298" i="1"/>
  <c r="AT1298" i="1" s="1"/>
  <c r="E1388" i="1"/>
  <c r="AQ1387" i="1"/>
  <c r="AR1387" i="1" s="1"/>
  <c r="AS1387" i="1" s="1"/>
  <c r="AC1299" i="1" l="1"/>
  <c r="AF1298" i="1"/>
  <c r="L1300" i="1"/>
  <c r="AJ1299" i="1"/>
  <c r="AT1299" i="1" s="1"/>
  <c r="E1389" i="1"/>
  <c r="AQ1388" i="1"/>
  <c r="AR1388" i="1" s="1"/>
  <c r="AS1388" i="1" s="1"/>
  <c r="AC1300" i="1" l="1"/>
  <c r="AF1299" i="1"/>
  <c r="L1301" i="1"/>
  <c r="AJ1300" i="1"/>
  <c r="AT1300" i="1" s="1"/>
  <c r="E1390" i="1"/>
  <c r="AQ1389" i="1"/>
  <c r="AR1389" i="1" s="1"/>
  <c r="AS1389" i="1" s="1"/>
  <c r="AC1301" i="1" l="1"/>
  <c r="AF1300" i="1"/>
  <c r="L1302" i="1"/>
  <c r="AJ1301" i="1"/>
  <c r="AT1301" i="1" s="1"/>
  <c r="E1391" i="1"/>
  <c r="AQ1390" i="1"/>
  <c r="AR1390" i="1" s="1"/>
  <c r="AS1390" i="1" s="1"/>
  <c r="AC1302" i="1" l="1"/>
  <c r="AF1301" i="1"/>
  <c r="L1303" i="1"/>
  <c r="AJ1302" i="1"/>
  <c r="AT1302" i="1" s="1"/>
  <c r="E1392" i="1"/>
  <c r="AQ1391" i="1"/>
  <c r="AR1391" i="1" s="1"/>
  <c r="AS1391" i="1" s="1"/>
  <c r="AC1303" i="1" l="1"/>
  <c r="AF1302" i="1"/>
  <c r="L1304" i="1"/>
  <c r="AJ1303" i="1"/>
  <c r="AT1303" i="1" s="1"/>
  <c r="E1393" i="1"/>
  <c r="AQ1392" i="1"/>
  <c r="AR1392" i="1" s="1"/>
  <c r="AS1392" i="1" s="1"/>
  <c r="AC1304" i="1" l="1"/>
  <c r="AF1303" i="1"/>
  <c r="L1305" i="1"/>
  <c r="AJ1304" i="1"/>
  <c r="AT1304" i="1" s="1"/>
  <c r="E1394" i="1"/>
  <c r="AQ1393" i="1"/>
  <c r="AR1393" i="1" s="1"/>
  <c r="AS1393" i="1" s="1"/>
  <c r="AC1305" i="1" l="1"/>
  <c r="AF1304" i="1"/>
  <c r="L1306" i="1"/>
  <c r="AJ1305" i="1"/>
  <c r="AT1305" i="1" s="1"/>
  <c r="E1395" i="1"/>
  <c r="AQ1394" i="1"/>
  <c r="AR1394" i="1" s="1"/>
  <c r="AS1394" i="1" s="1"/>
  <c r="AC1306" i="1" l="1"/>
  <c r="AF1305" i="1"/>
  <c r="L1307" i="1"/>
  <c r="AJ1306" i="1"/>
  <c r="AT1306" i="1" s="1"/>
  <c r="E1396" i="1"/>
  <c r="AQ1395" i="1"/>
  <c r="AR1395" i="1" s="1"/>
  <c r="AS1395" i="1" s="1"/>
  <c r="AC1307" i="1" l="1"/>
  <c r="AF1306" i="1"/>
  <c r="L1308" i="1"/>
  <c r="AJ1307" i="1"/>
  <c r="AT1307" i="1" s="1"/>
  <c r="E1397" i="1"/>
  <c r="AQ1396" i="1"/>
  <c r="AR1396" i="1" s="1"/>
  <c r="AS1396" i="1" s="1"/>
  <c r="AC1308" i="1" l="1"/>
  <c r="AF1307" i="1"/>
  <c r="L1309" i="1"/>
  <c r="AJ1308" i="1"/>
  <c r="AT1308" i="1" s="1"/>
  <c r="E1398" i="1"/>
  <c r="AQ1397" i="1"/>
  <c r="AR1397" i="1" s="1"/>
  <c r="AS1397" i="1" s="1"/>
  <c r="AC1309" i="1" l="1"/>
  <c r="AF1308" i="1"/>
  <c r="L1310" i="1"/>
  <c r="AJ1309" i="1"/>
  <c r="AT1309" i="1" s="1"/>
  <c r="E1399" i="1"/>
  <c r="AQ1398" i="1"/>
  <c r="AR1398" i="1" s="1"/>
  <c r="AS1398" i="1" s="1"/>
  <c r="AC1310" i="1" l="1"/>
  <c r="AF1309" i="1"/>
  <c r="L1311" i="1"/>
  <c r="AJ1310" i="1"/>
  <c r="AT1310" i="1" s="1"/>
  <c r="E1400" i="1"/>
  <c r="AQ1399" i="1"/>
  <c r="AR1399" i="1" s="1"/>
  <c r="AS1399" i="1" s="1"/>
  <c r="AC1311" i="1" l="1"/>
  <c r="AF1310" i="1"/>
  <c r="L1312" i="1"/>
  <c r="AJ1311" i="1"/>
  <c r="AT1311" i="1" s="1"/>
  <c r="E1401" i="1"/>
  <c r="AQ1400" i="1"/>
  <c r="AR1400" i="1" s="1"/>
  <c r="AS1400" i="1" s="1"/>
  <c r="AC1312" i="1" l="1"/>
  <c r="AF1311" i="1"/>
  <c r="L1313" i="1"/>
  <c r="AJ1312" i="1"/>
  <c r="AT1312" i="1" s="1"/>
  <c r="E1402" i="1"/>
  <c r="AQ1401" i="1"/>
  <c r="AR1401" i="1" s="1"/>
  <c r="AS1401" i="1" s="1"/>
  <c r="AC1313" i="1" l="1"/>
  <c r="AF1312" i="1"/>
  <c r="L1314" i="1"/>
  <c r="AJ1313" i="1"/>
  <c r="AT1313" i="1" s="1"/>
  <c r="E1403" i="1"/>
  <c r="AQ1402" i="1"/>
  <c r="AR1402" i="1" s="1"/>
  <c r="AS1402" i="1" s="1"/>
  <c r="AC1314" i="1" l="1"/>
  <c r="AF1313" i="1"/>
  <c r="L1315" i="1"/>
  <c r="AJ1314" i="1"/>
  <c r="AT1314" i="1" s="1"/>
  <c r="E1404" i="1"/>
  <c r="AQ1403" i="1"/>
  <c r="AR1403" i="1" s="1"/>
  <c r="AS1403" i="1" s="1"/>
  <c r="AC1315" i="1" l="1"/>
  <c r="AF1314" i="1"/>
  <c r="L1316" i="1"/>
  <c r="AJ1315" i="1"/>
  <c r="AT1315" i="1" s="1"/>
  <c r="E1405" i="1"/>
  <c r="AQ1404" i="1"/>
  <c r="AR1404" i="1" s="1"/>
  <c r="AS1404" i="1" s="1"/>
  <c r="AC1316" i="1" l="1"/>
  <c r="AF1315" i="1"/>
  <c r="L1317" i="1"/>
  <c r="AJ1316" i="1"/>
  <c r="AT1316" i="1" s="1"/>
  <c r="E1406" i="1"/>
  <c r="AQ1405" i="1"/>
  <c r="AR1405" i="1" s="1"/>
  <c r="AS1405" i="1" s="1"/>
  <c r="AC1317" i="1" l="1"/>
  <c r="AF1316" i="1"/>
  <c r="L1318" i="1"/>
  <c r="AJ1317" i="1"/>
  <c r="AT1317" i="1" s="1"/>
  <c r="E1407" i="1"/>
  <c r="AQ1406" i="1"/>
  <c r="AR1406" i="1" s="1"/>
  <c r="AS1406" i="1" s="1"/>
  <c r="AC1318" i="1" l="1"/>
  <c r="AF1317" i="1"/>
  <c r="L1319" i="1"/>
  <c r="AJ1318" i="1"/>
  <c r="AT1318" i="1" s="1"/>
  <c r="E1408" i="1"/>
  <c r="AQ1407" i="1"/>
  <c r="AR1407" i="1" s="1"/>
  <c r="AS1407" i="1" s="1"/>
  <c r="AC1319" i="1" l="1"/>
  <c r="AF1318" i="1"/>
  <c r="L1320" i="1"/>
  <c r="AJ1319" i="1"/>
  <c r="AT1319" i="1" s="1"/>
  <c r="E1409" i="1"/>
  <c r="AQ1408" i="1"/>
  <c r="AR1408" i="1" s="1"/>
  <c r="AS1408" i="1" s="1"/>
  <c r="AC1320" i="1" l="1"/>
  <c r="AF1319" i="1"/>
  <c r="L1321" i="1"/>
  <c r="AJ1320" i="1"/>
  <c r="AT1320" i="1" s="1"/>
  <c r="E1410" i="1"/>
  <c r="AQ1409" i="1"/>
  <c r="AR1409" i="1" s="1"/>
  <c r="AS1409" i="1" s="1"/>
  <c r="AC1321" i="1" l="1"/>
  <c r="AF1320" i="1"/>
  <c r="L1322" i="1"/>
  <c r="AJ1321" i="1"/>
  <c r="AT1321" i="1" s="1"/>
  <c r="E1411" i="1"/>
  <c r="AQ1410" i="1"/>
  <c r="AR1410" i="1" s="1"/>
  <c r="AS1410" i="1" s="1"/>
  <c r="AC1322" i="1" l="1"/>
  <c r="AF1321" i="1"/>
  <c r="L1323" i="1"/>
  <c r="AJ1322" i="1"/>
  <c r="AT1322" i="1" s="1"/>
  <c r="E1412" i="1"/>
  <c r="AQ1411" i="1"/>
  <c r="AR1411" i="1" s="1"/>
  <c r="AS1411" i="1" s="1"/>
  <c r="AC1323" i="1" l="1"/>
  <c r="AF1322" i="1"/>
  <c r="L1324" i="1"/>
  <c r="AJ1323" i="1"/>
  <c r="AT1323" i="1" s="1"/>
  <c r="E1413" i="1"/>
  <c r="AQ1412" i="1"/>
  <c r="AR1412" i="1" s="1"/>
  <c r="AS1412" i="1" s="1"/>
  <c r="AC1324" i="1" l="1"/>
  <c r="AF1323" i="1"/>
  <c r="L1325" i="1"/>
  <c r="AJ1324" i="1"/>
  <c r="AT1324" i="1" s="1"/>
  <c r="E1414" i="1"/>
  <c r="AQ1413" i="1"/>
  <c r="AR1413" i="1" s="1"/>
  <c r="AS1413" i="1" s="1"/>
  <c r="AC1325" i="1" l="1"/>
  <c r="AF1324" i="1"/>
  <c r="L1326" i="1"/>
  <c r="AJ1325" i="1"/>
  <c r="AT1325" i="1" s="1"/>
  <c r="E1415" i="1"/>
  <c r="AQ1414" i="1"/>
  <c r="AR1414" i="1" s="1"/>
  <c r="AS1414" i="1" s="1"/>
  <c r="AC1326" i="1" l="1"/>
  <c r="AF1325" i="1"/>
  <c r="L1327" i="1"/>
  <c r="AJ1326" i="1"/>
  <c r="AT1326" i="1" s="1"/>
  <c r="E1416" i="1"/>
  <c r="AQ1415" i="1"/>
  <c r="AR1415" i="1" s="1"/>
  <c r="AS1415" i="1" s="1"/>
  <c r="AC1327" i="1" l="1"/>
  <c r="AF1326" i="1"/>
  <c r="L1328" i="1"/>
  <c r="AJ1327" i="1"/>
  <c r="AT1327" i="1" s="1"/>
  <c r="E1417" i="1"/>
  <c r="AQ1416" i="1"/>
  <c r="AR1416" i="1" s="1"/>
  <c r="AS1416" i="1" s="1"/>
  <c r="AC1328" i="1" l="1"/>
  <c r="AF1327" i="1"/>
  <c r="L1329" i="1"/>
  <c r="AJ1328" i="1"/>
  <c r="AT1328" i="1" s="1"/>
  <c r="E1418" i="1"/>
  <c r="AQ1417" i="1"/>
  <c r="AR1417" i="1" s="1"/>
  <c r="AS1417" i="1" s="1"/>
  <c r="AC1329" i="1" l="1"/>
  <c r="AF1328" i="1"/>
  <c r="L1330" i="1"/>
  <c r="AJ1329" i="1"/>
  <c r="AT1329" i="1" s="1"/>
  <c r="E1419" i="1"/>
  <c r="AQ1418" i="1"/>
  <c r="AR1418" i="1" s="1"/>
  <c r="AS1418" i="1" s="1"/>
  <c r="AC1330" i="1" l="1"/>
  <c r="AF1329" i="1"/>
  <c r="L1331" i="1"/>
  <c r="AJ1330" i="1"/>
  <c r="AT1330" i="1" s="1"/>
  <c r="E1420" i="1"/>
  <c r="AQ1419" i="1"/>
  <c r="AR1419" i="1" s="1"/>
  <c r="AS1419" i="1" s="1"/>
  <c r="AC1331" i="1" l="1"/>
  <c r="AF1330" i="1"/>
  <c r="L1332" i="1"/>
  <c r="AJ1331" i="1"/>
  <c r="AT1331" i="1" s="1"/>
  <c r="E1421" i="1"/>
  <c r="AQ1420" i="1"/>
  <c r="AR1420" i="1" s="1"/>
  <c r="AS1420" i="1" s="1"/>
  <c r="AC1332" i="1" l="1"/>
  <c r="AF1331" i="1"/>
  <c r="L1333" i="1"/>
  <c r="AJ1332" i="1"/>
  <c r="AT1332" i="1" s="1"/>
  <c r="E1422" i="1"/>
  <c r="AQ1421" i="1"/>
  <c r="AR1421" i="1" s="1"/>
  <c r="AS1421" i="1" s="1"/>
  <c r="AC1333" i="1" l="1"/>
  <c r="AF1332" i="1"/>
  <c r="L1334" i="1"/>
  <c r="AJ1333" i="1"/>
  <c r="AT1333" i="1" s="1"/>
  <c r="E1423" i="1"/>
  <c r="AQ1422" i="1"/>
  <c r="AR1422" i="1" s="1"/>
  <c r="AS1422" i="1" s="1"/>
  <c r="AC1334" i="1" l="1"/>
  <c r="AF1333" i="1"/>
  <c r="L1335" i="1"/>
  <c r="AJ1334" i="1"/>
  <c r="AT1334" i="1" s="1"/>
  <c r="E1424" i="1"/>
  <c r="AQ1423" i="1"/>
  <c r="AR1423" i="1" s="1"/>
  <c r="AS1423" i="1" s="1"/>
  <c r="AC1335" i="1" l="1"/>
  <c r="AF1334" i="1"/>
  <c r="L1336" i="1"/>
  <c r="AJ1335" i="1"/>
  <c r="AT1335" i="1" s="1"/>
  <c r="E1425" i="1"/>
  <c r="AQ1424" i="1"/>
  <c r="AR1424" i="1" s="1"/>
  <c r="AS1424" i="1" s="1"/>
  <c r="AC1336" i="1" l="1"/>
  <c r="AF1335" i="1"/>
  <c r="L1337" i="1"/>
  <c r="AJ1336" i="1"/>
  <c r="AT1336" i="1" s="1"/>
  <c r="E1426" i="1"/>
  <c r="AQ1425" i="1"/>
  <c r="AR1425" i="1" s="1"/>
  <c r="AS1425" i="1" s="1"/>
  <c r="AC1337" i="1" l="1"/>
  <c r="AF1336" i="1"/>
  <c r="L1338" i="1"/>
  <c r="AJ1337" i="1"/>
  <c r="AT1337" i="1" s="1"/>
  <c r="E1427" i="1"/>
  <c r="AQ1426" i="1"/>
  <c r="AR1426" i="1" s="1"/>
  <c r="AS1426" i="1" s="1"/>
  <c r="AC1338" i="1" l="1"/>
  <c r="AF1337" i="1"/>
  <c r="L1339" i="1"/>
  <c r="AJ1338" i="1"/>
  <c r="AT1338" i="1" s="1"/>
  <c r="E1428" i="1"/>
  <c r="AQ1427" i="1"/>
  <c r="AR1427" i="1" s="1"/>
  <c r="AS1427" i="1" s="1"/>
  <c r="AC1339" i="1" l="1"/>
  <c r="AF1338" i="1"/>
  <c r="L1340" i="1"/>
  <c r="AJ1339" i="1"/>
  <c r="AT1339" i="1" s="1"/>
  <c r="E1429" i="1"/>
  <c r="AQ1428" i="1"/>
  <c r="AR1428" i="1" s="1"/>
  <c r="AS1428" i="1" s="1"/>
  <c r="AC1340" i="1" l="1"/>
  <c r="AF1339" i="1"/>
  <c r="L1341" i="1"/>
  <c r="AJ1340" i="1"/>
  <c r="AT1340" i="1" s="1"/>
  <c r="E1430" i="1"/>
  <c r="AQ1429" i="1"/>
  <c r="AR1429" i="1" s="1"/>
  <c r="AS1429" i="1" s="1"/>
  <c r="AC1341" i="1" l="1"/>
  <c r="AF1340" i="1"/>
  <c r="L1342" i="1"/>
  <c r="AJ1341" i="1"/>
  <c r="AT1341" i="1" s="1"/>
  <c r="E1431" i="1"/>
  <c r="AQ1430" i="1"/>
  <c r="AR1430" i="1" s="1"/>
  <c r="AS1430" i="1" s="1"/>
  <c r="AC1342" i="1" l="1"/>
  <c r="AF1341" i="1"/>
  <c r="L1343" i="1"/>
  <c r="AJ1342" i="1"/>
  <c r="AT1342" i="1" s="1"/>
  <c r="E1432" i="1"/>
  <c r="AQ1431" i="1"/>
  <c r="AR1431" i="1" s="1"/>
  <c r="AS1431" i="1" s="1"/>
  <c r="AC1343" i="1" l="1"/>
  <c r="AF1342" i="1"/>
  <c r="L1344" i="1"/>
  <c r="AJ1343" i="1"/>
  <c r="AT1343" i="1" s="1"/>
  <c r="E1433" i="1"/>
  <c r="AQ1432" i="1"/>
  <c r="AR1432" i="1" s="1"/>
  <c r="AS1432" i="1" s="1"/>
  <c r="AC1344" i="1" l="1"/>
  <c r="AF1343" i="1"/>
  <c r="L1345" i="1"/>
  <c r="AJ1344" i="1"/>
  <c r="AT1344" i="1" s="1"/>
  <c r="E1434" i="1"/>
  <c r="AQ1433" i="1"/>
  <c r="AR1433" i="1" s="1"/>
  <c r="AS1433" i="1" s="1"/>
  <c r="AC1345" i="1" l="1"/>
  <c r="AF1344" i="1"/>
  <c r="L1346" i="1"/>
  <c r="AJ1345" i="1"/>
  <c r="AT1345" i="1" s="1"/>
  <c r="E1435" i="1"/>
  <c r="AQ1434" i="1"/>
  <c r="AR1434" i="1" s="1"/>
  <c r="AS1434" i="1" s="1"/>
  <c r="AC1346" i="1" l="1"/>
  <c r="AF1345" i="1"/>
  <c r="L1347" i="1"/>
  <c r="AJ1346" i="1"/>
  <c r="AT1346" i="1" s="1"/>
  <c r="E1436" i="1"/>
  <c r="AQ1435" i="1"/>
  <c r="AR1435" i="1" s="1"/>
  <c r="AS1435" i="1" s="1"/>
  <c r="AC1347" i="1" l="1"/>
  <c r="AF1346" i="1"/>
  <c r="L1348" i="1"/>
  <c r="AJ1347" i="1"/>
  <c r="AT1347" i="1" s="1"/>
  <c r="E1437" i="1"/>
  <c r="AQ1436" i="1"/>
  <c r="AR1436" i="1" s="1"/>
  <c r="AS1436" i="1" s="1"/>
  <c r="AC1348" i="1" l="1"/>
  <c r="AF1347" i="1"/>
  <c r="L1349" i="1"/>
  <c r="AJ1348" i="1"/>
  <c r="AT1348" i="1" s="1"/>
  <c r="E1438" i="1"/>
  <c r="AQ1437" i="1"/>
  <c r="AR1437" i="1" s="1"/>
  <c r="AS1437" i="1" s="1"/>
  <c r="AC1349" i="1" l="1"/>
  <c r="AF1348" i="1"/>
  <c r="L1350" i="1"/>
  <c r="AJ1349" i="1"/>
  <c r="AT1349" i="1" s="1"/>
  <c r="E1439" i="1"/>
  <c r="AQ1438" i="1"/>
  <c r="AR1438" i="1" s="1"/>
  <c r="AS1438" i="1" s="1"/>
  <c r="AC1350" i="1" l="1"/>
  <c r="AF1349" i="1"/>
  <c r="L1351" i="1"/>
  <c r="AJ1350" i="1"/>
  <c r="AT1350" i="1" s="1"/>
  <c r="E1440" i="1"/>
  <c r="AQ1439" i="1"/>
  <c r="AR1439" i="1" s="1"/>
  <c r="AS1439" i="1" s="1"/>
  <c r="AC1351" i="1" l="1"/>
  <c r="AF1350" i="1"/>
  <c r="L1352" i="1"/>
  <c r="AJ1351" i="1"/>
  <c r="AT1351" i="1" s="1"/>
  <c r="E1441" i="1"/>
  <c r="AQ1440" i="1"/>
  <c r="AR1440" i="1" s="1"/>
  <c r="AS1440" i="1" s="1"/>
  <c r="AC1352" i="1" l="1"/>
  <c r="AF1351" i="1"/>
  <c r="L1353" i="1"/>
  <c r="AJ1352" i="1"/>
  <c r="AT1352" i="1" s="1"/>
  <c r="E1442" i="1"/>
  <c r="AQ1441" i="1"/>
  <c r="AR1441" i="1" s="1"/>
  <c r="AS1441" i="1" s="1"/>
  <c r="AC1353" i="1" l="1"/>
  <c r="AF1352" i="1"/>
  <c r="L1354" i="1"/>
  <c r="AJ1353" i="1"/>
  <c r="AT1353" i="1" s="1"/>
  <c r="E1443" i="1"/>
  <c r="AQ1442" i="1"/>
  <c r="AR1442" i="1" s="1"/>
  <c r="AS1442" i="1" s="1"/>
  <c r="AC1354" i="1" l="1"/>
  <c r="AF1353" i="1"/>
  <c r="L1355" i="1"/>
  <c r="AJ1354" i="1"/>
  <c r="AT1354" i="1" s="1"/>
  <c r="E1444" i="1"/>
  <c r="AQ1443" i="1"/>
  <c r="AR1443" i="1" s="1"/>
  <c r="AS1443" i="1" s="1"/>
  <c r="AC1355" i="1" l="1"/>
  <c r="AF1354" i="1"/>
  <c r="L1356" i="1"/>
  <c r="AJ1355" i="1"/>
  <c r="AT1355" i="1" s="1"/>
  <c r="E1445" i="1"/>
  <c r="AQ1444" i="1"/>
  <c r="AR1444" i="1" s="1"/>
  <c r="AS1444" i="1" s="1"/>
  <c r="AC1356" i="1" l="1"/>
  <c r="AF1355" i="1"/>
  <c r="L1357" i="1"/>
  <c r="AJ1356" i="1"/>
  <c r="AT1356" i="1" s="1"/>
  <c r="E1446" i="1"/>
  <c r="AQ1445" i="1"/>
  <c r="AR1445" i="1" s="1"/>
  <c r="AS1445" i="1" s="1"/>
  <c r="AC1357" i="1" l="1"/>
  <c r="AF1356" i="1"/>
  <c r="L1358" i="1"/>
  <c r="AJ1357" i="1"/>
  <c r="AT1357" i="1" s="1"/>
  <c r="E1447" i="1"/>
  <c r="AQ1446" i="1"/>
  <c r="AR1446" i="1" s="1"/>
  <c r="AS1446" i="1" s="1"/>
  <c r="AC1358" i="1" l="1"/>
  <c r="AF1357" i="1"/>
  <c r="L1359" i="1"/>
  <c r="AJ1358" i="1"/>
  <c r="AT1358" i="1" s="1"/>
  <c r="E1448" i="1"/>
  <c r="AQ1447" i="1"/>
  <c r="AR1447" i="1" s="1"/>
  <c r="AS1447" i="1" s="1"/>
  <c r="AC1359" i="1" l="1"/>
  <c r="AF1358" i="1"/>
  <c r="L1360" i="1"/>
  <c r="AJ1359" i="1"/>
  <c r="AT1359" i="1" s="1"/>
  <c r="E1449" i="1"/>
  <c r="AQ1448" i="1"/>
  <c r="AR1448" i="1" s="1"/>
  <c r="AS1448" i="1" s="1"/>
  <c r="AC1360" i="1" l="1"/>
  <c r="AF1359" i="1"/>
  <c r="L1361" i="1"/>
  <c r="AJ1360" i="1"/>
  <c r="AT1360" i="1" s="1"/>
  <c r="E1450" i="1"/>
  <c r="AQ1449" i="1"/>
  <c r="AR1449" i="1" s="1"/>
  <c r="AS1449" i="1" s="1"/>
  <c r="AC1361" i="1" l="1"/>
  <c r="AF1360" i="1"/>
  <c r="L1362" i="1"/>
  <c r="AJ1361" i="1"/>
  <c r="AT1361" i="1" s="1"/>
  <c r="E1451" i="1"/>
  <c r="AQ1450" i="1"/>
  <c r="AR1450" i="1" s="1"/>
  <c r="AS1450" i="1" s="1"/>
  <c r="AC1362" i="1" l="1"/>
  <c r="AF1361" i="1"/>
  <c r="L1363" i="1"/>
  <c r="AJ1362" i="1"/>
  <c r="AT1362" i="1" s="1"/>
  <c r="E1452" i="1"/>
  <c r="AQ1451" i="1"/>
  <c r="AR1451" i="1" s="1"/>
  <c r="AS1451" i="1" s="1"/>
  <c r="AC1363" i="1" l="1"/>
  <c r="AF1362" i="1"/>
  <c r="L1364" i="1"/>
  <c r="AJ1363" i="1"/>
  <c r="AT1363" i="1" s="1"/>
  <c r="E1453" i="1"/>
  <c r="AQ1452" i="1"/>
  <c r="AR1452" i="1" s="1"/>
  <c r="AS1452" i="1" s="1"/>
  <c r="AC1364" i="1" l="1"/>
  <c r="AF1363" i="1"/>
  <c r="L1365" i="1"/>
  <c r="AJ1364" i="1"/>
  <c r="AT1364" i="1" s="1"/>
  <c r="E1454" i="1"/>
  <c r="AQ1453" i="1"/>
  <c r="AR1453" i="1" s="1"/>
  <c r="AS1453" i="1" s="1"/>
  <c r="AC1365" i="1" l="1"/>
  <c r="AF1364" i="1"/>
  <c r="L1366" i="1"/>
  <c r="AJ1365" i="1"/>
  <c r="AT1365" i="1" s="1"/>
  <c r="E1455" i="1"/>
  <c r="AQ1454" i="1"/>
  <c r="AR1454" i="1" s="1"/>
  <c r="AS1454" i="1" s="1"/>
  <c r="AC1366" i="1" l="1"/>
  <c r="AF1365" i="1"/>
  <c r="L1367" i="1"/>
  <c r="AJ1366" i="1"/>
  <c r="AT1366" i="1" s="1"/>
  <c r="E1456" i="1"/>
  <c r="AQ1455" i="1"/>
  <c r="AR1455" i="1" s="1"/>
  <c r="AS1455" i="1" s="1"/>
  <c r="AC1367" i="1" l="1"/>
  <c r="AF1366" i="1"/>
  <c r="L1368" i="1"/>
  <c r="AJ1367" i="1"/>
  <c r="AT1367" i="1" s="1"/>
  <c r="E1457" i="1"/>
  <c r="AQ1456" i="1"/>
  <c r="AR1456" i="1" s="1"/>
  <c r="AS1456" i="1" s="1"/>
  <c r="AC1368" i="1" l="1"/>
  <c r="AF1367" i="1"/>
  <c r="L1369" i="1"/>
  <c r="AJ1368" i="1"/>
  <c r="AT1368" i="1" s="1"/>
  <c r="E1458" i="1"/>
  <c r="AQ1457" i="1"/>
  <c r="AR1457" i="1" s="1"/>
  <c r="AS1457" i="1" s="1"/>
  <c r="AC1369" i="1" l="1"/>
  <c r="AF1368" i="1"/>
  <c r="L1370" i="1"/>
  <c r="AJ1369" i="1"/>
  <c r="AT1369" i="1" s="1"/>
  <c r="E1459" i="1"/>
  <c r="AQ1458" i="1"/>
  <c r="AR1458" i="1" s="1"/>
  <c r="AS1458" i="1" s="1"/>
  <c r="AC1370" i="1" l="1"/>
  <c r="AF1369" i="1"/>
  <c r="L1371" i="1"/>
  <c r="AJ1370" i="1"/>
  <c r="AT1370" i="1" s="1"/>
  <c r="E1460" i="1"/>
  <c r="AQ1459" i="1"/>
  <c r="AR1459" i="1" s="1"/>
  <c r="AS1459" i="1" s="1"/>
  <c r="AC1371" i="1" l="1"/>
  <c r="AF1370" i="1"/>
  <c r="L1372" i="1"/>
  <c r="AJ1371" i="1"/>
  <c r="AT1371" i="1" s="1"/>
  <c r="E1461" i="1"/>
  <c r="AQ1460" i="1"/>
  <c r="AR1460" i="1" s="1"/>
  <c r="AS1460" i="1" s="1"/>
  <c r="AC1372" i="1" l="1"/>
  <c r="AF1371" i="1"/>
  <c r="L1373" i="1"/>
  <c r="AJ1372" i="1"/>
  <c r="AT1372" i="1" s="1"/>
  <c r="E1462" i="1"/>
  <c r="AQ1461" i="1"/>
  <c r="AR1461" i="1" s="1"/>
  <c r="AS1461" i="1" s="1"/>
  <c r="AC1373" i="1" l="1"/>
  <c r="AF1372" i="1"/>
  <c r="L1374" i="1"/>
  <c r="AJ1373" i="1"/>
  <c r="AT1373" i="1" s="1"/>
  <c r="E1463" i="1"/>
  <c r="AQ1462" i="1"/>
  <c r="AR1462" i="1" s="1"/>
  <c r="AS1462" i="1" s="1"/>
  <c r="AC1374" i="1" l="1"/>
  <c r="AF1373" i="1"/>
  <c r="L1375" i="1"/>
  <c r="AJ1374" i="1"/>
  <c r="AT1374" i="1" s="1"/>
  <c r="E1464" i="1"/>
  <c r="AQ1463" i="1"/>
  <c r="AR1463" i="1" s="1"/>
  <c r="AS1463" i="1" s="1"/>
  <c r="AC1375" i="1" l="1"/>
  <c r="AF1374" i="1"/>
  <c r="L1376" i="1"/>
  <c r="AJ1375" i="1"/>
  <c r="AT1375" i="1" s="1"/>
  <c r="E1465" i="1"/>
  <c r="AQ1464" i="1"/>
  <c r="AR1464" i="1" s="1"/>
  <c r="AS1464" i="1" s="1"/>
  <c r="AC1376" i="1" l="1"/>
  <c r="AF1375" i="1"/>
  <c r="L1377" i="1"/>
  <c r="AJ1376" i="1"/>
  <c r="AT1376" i="1" s="1"/>
  <c r="E1466" i="1"/>
  <c r="AQ1465" i="1"/>
  <c r="AR1465" i="1" s="1"/>
  <c r="AS1465" i="1" s="1"/>
  <c r="AC1377" i="1" l="1"/>
  <c r="AF1376" i="1"/>
  <c r="L1378" i="1"/>
  <c r="AJ1377" i="1"/>
  <c r="AT1377" i="1" s="1"/>
  <c r="E1467" i="1"/>
  <c r="AQ1466" i="1"/>
  <c r="AR1466" i="1" s="1"/>
  <c r="AS1466" i="1" s="1"/>
  <c r="AC1378" i="1" l="1"/>
  <c r="AF1377" i="1"/>
  <c r="L1379" i="1"/>
  <c r="AJ1378" i="1"/>
  <c r="AT1378" i="1" s="1"/>
  <c r="E1468" i="1"/>
  <c r="AQ1467" i="1"/>
  <c r="AR1467" i="1" s="1"/>
  <c r="AS1467" i="1" s="1"/>
  <c r="AC1379" i="1" l="1"/>
  <c r="AF1378" i="1"/>
  <c r="L1380" i="1"/>
  <c r="AJ1379" i="1"/>
  <c r="AT1379" i="1" s="1"/>
  <c r="E1469" i="1"/>
  <c r="AQ1468" i="1"/>
  <c r="AR1468" i="1" s="1"/>
  <c r="AS1468" i="1" s="1"/>
  <c r="AC1380" i="1" l="1"/>
  <c r="AF1379" i="1"/>
  <c r="L1381" i="1"/>
  <c r="AJ1380" i="1"/>
  <c r="AT1380" i="1" s="1"/>
  <c r="E1470" i="1"/>
  <c r="AQ1469" i="1"/>
  <c r="AR1469" i="1" s="1"/>
  <c r="AS1469" i="1" s="1"/>
  <c r="AC1381" i="1" l="1"/>
  <c r="AF1380" i="1"/>
  <c r="L1382" i="1"/>
  <c r="AJ1381" i="1"/>
  <c r="AT1381" i="1" s="1"/>
  <c r="E1471" i="1"/>
  <c r="AQ1470" i="1"/>
  <c r="AR1470" i="1" s="1"/>
  <c r="AS1470" i="1" s="1"/>
  <c r="AC1382" i="1" l="1"/>
  <c r="AF1381" i="1"/>
  <c r="L1383" i="1"/>
  <c r="AJ1382" i="1"/>
  <c r="AT1382" i="1" s="1"/>
  <c r="E1472" i="1"/>
  <c r="AQ1471" i="1"/>
  <c r="AR1471" i="1" s="1"/>
  <c r="AS1471" i="1" s="1"/>
  <c r="AC1383" i="1" l="1"/>
  <c r="AF1382" i="1"/>
  <c r="L1384" i="1"/>
  <c r="AJ1383" i="1"/>
  <c r="AT1383" i="1" s="1"/>
  <c r="E1473" i="1"/>
  <c r="AQ1472" i="1"/>
  <c r="AR1472" i="1" s="1"/>
  <c r="AS1472" i="1" s="1"/>
  <c r="AC1384" i="1" l="1"/>
  <c r="AF1383" i="1"/>
  <c r="L1385" i="1"/>
  <c r="AJ1384" i="1"/>
  <c r="AT1384" i="1" s="1"/>
  <c r="E1474" i="1"/>
  <c r="AQ1473" i="1"/>
  <c r="AR1473" i="1" s="1"/>
  <c r="AS1473" i="1" s="1"/>
  <c r="AC1385" i="1" l="1"/>
  <c r="AF1384" i="1"/>
  <c r="L1386" i="1"/>
  <c r="AJ1385" i="1"/>
  <c r="AT1385" i="1" s="1"/>
  <c r="E1475" i="1"/>
  <c r="AQ1474" i="1"/>
  <c r="AR1474" i="1" s="1"/>
  <c r="AS1474" i="1" s="1"/>
  <c r="AC1386" i="1" l="1"/>
  <c r="AF1385" i="1"/>
  <c r="L1387" i="1"/>
  <c r="AJ1386" i="1"/>
  <c r="AT1386" i="1" s="1"/>
  <c r="E1476" i="1"/>
  <c r="AQ1475" i="1"/>
  <c r="AR1475" i="1" s="1"/>
  <c r="AS1475" i="1" s="1"/>
  <c r="AC1387" i="1" l="1"/>
  <c r="AF1386" i="1"/>
  <c r="L1388" i="1"/>
  <c r="AJ1387" i="1"/>
  <c r="AT1387" i="1" s="1"/>
  <c r="E1477" i="1"/>
  <c r="AQ1476" i="1"/>
  <c r="AR1476" i="1" s="1"/>
  <c r="AS1476" i="1" s="1"/>
  <c r="AC1388" i="1" l="1"/>
  <c r="AF1387" i="1"/>
  <c r="L1389" i="1"/>
  <c r="AJ1388" i="1"/>
  <c r="AT1388" i="1" s="1"/>
  <c r="E1478" i="1"/>
  <c r="AQ1477" i="1"/>
  <c r="AR1477" i="1" s="1"/>
  <c r="AS1477" i="1" s="1"/>
  <c r="AC1389" i="1" l="1"/>
  <c r="AF1388" i="1"/>
  <c r="L1390" i="1"/>
  <c r="AJ1389" i="1"/>
  <c r="AT1389" i="1" s="1"/>
  <c r="E1479" i="1"/>
  <c r="AQ1478" i="1"/>
  <c r="AR1478" i="1" s="1"/>
  <c r="AS1478" i="1" s="1"/>
  <c r="AC1390" i="1" l="1"/>
  <c r="AF1389" i="1"/>
  <c r="L1391" i="1"/>
  <c r="AJ1390" i="1"/>
  <c r="AT1390" i="1" s="1"/>
  <c r="E1480" i="1"/>
  <c r="AQ1479" i="1"/>
  <c r="AR1479" i="1" s="1"/>
  <c r="AS1479" i="1" s="1"/>
  <c r="AC1391" i="1" l="1"/>
  <c r="AF1390" i="1"/>
  <c r="L1392" i="1"/>
  <c r="AJ1391" i="1"/>
  <c r="AT1391" i="1" s="1"/>
  <c r="E1481" i="1"/>
  <c r="AQ1480" i="1"/>
  <c r="AR1480" i="1" s="1"/>
  <c r="AS1480" i="1" s="1"/>
  <c r="AC1392" i="1" l="1"/>
  <c r="AF1391" i="1"/>
  <c r="L1393" i="1"/>
  <c r="AJ1392" i="1"/>
  <c r="AT1392" i="1" s="1"/>
  <c r="E1482" i="1"/>
  <c r="AQ1481" i="1"/>
  <c r="AR1481" i="1" s="1"/>
  <c r="AS1481" i="1" s="1"/>
  <c r="AC1393" i="1" l="1"/>
  <c r="AF1392" i="1"/>
  <c r="L1394" i="1"/>
  <c r="AJ1393" i="1"/>
  <c r="AT1393" i="1" s="1"/>
  <c r="E1483" i="1"/>
  <c r="AQ1482" i="1"/>
  <c r="AR1482" i="1" s="1"/>
  <c r="AS1482" i="1" s="1"/>
  <c r="AC1394" i="1" l="1"/>
  <c r="AF1393" i="1"/>
  <c r="L1395" i="1"/>
  <c r="AJ1394" i="1"/>
  <c r="AT1394" i="1" s="1"/>
  <c r="E1484" i="1"/>
  <c r="AQ1483" i="1"/>
  <c r="AR1483" i="1" s="1"/>
  <c r="AS1483" i="1" s="1"/>
  <c r="AC1395" i="1" l="1"/>
  <c r="AF1394" i="1"/>
  <c r="L1396" i="1"/>
  <c r="AJ1395" i="1"/>
  <c r="AT1395" i="1" s="1"/>
  <c r="E1485" i="1"/>
  <c r="AQ1484" i="1"/>
  <c r="AR1484" i="1" s="1"/>
  <c r="AS1484" i="1" s="1"/>
  <c r="AC1396" i="1" l="1"/>
  <c r="AF1395" i="1"/>
  <c r="L1397" i="1"/>
  <c r="AJ1396" i="1"/>
  <c r="AT1396" i="1" s="1"/>
  <c r="E1486" i="1"/>
  <c r="AQ1485" i="1"/>
  <c r="AR1485" i="1" s="1"/>
  <c r="AS1485" i="1" s="1"/>
  <c r="AC1397" i="1" l="1"/>
  <c r="AF1396" i="1"/>
  <c r="L1398" i="1"/>
  <c r="AJ1397" i="1"/>
  <c r="AT1397" i="1" s="1"/>
  <c r="E1487" i="1"/>
  <c r="AQ1486" i="1"/>
  <c r="AR1486" i="1" s="1"/>
  <c r="AS1486" i="1" s="1"/>
  <c r="AC1398" i="1" l="1"/>
  <c r="AF1397" i="1"/>
  <c r="L1399" i="1"/>
  <c r="AJ1398" i="1"/>
  <c r="AT1398" i="1" s="1"/>
  <c r="E1488" i="1"/>
  <c r="AQ1487" i="1"/>
  <c r="AR1487" i="1" s="1"/>
  <c r="AS1487" i="1" s="1"/>
  <c r="AC1399" i="1" l="1"/>
  <c r="AF1398" i="1"/>
  <c r="L1400" i="1"/>
  <c r="AJ1399" i="1"/>
  <c r="AT1399" i="1" s="1"/>
  <c r="E1489" i="1"/>
  <c r="AQ1488" i="1"/>
  <c r="AR1488" i="1" s="1"/>
  <c r="AS1488" i="1" s="1"/>
  <c r="AC1400" i="1" l="1"/>
  <c r="AF1399" i="1"/>
  <c r="L1401" i="1"/>
  <c r="AJ1400" i="1"/>
  <c r="AT1400" i="1" s="1"/>
  <c r="E1490" i="1"/>
  <c r="AQ1489" i="1"/>
  <c r="AR1489" i="1" s="1"/>
  <c r="AS1489" i="1" s="1"/>
  <c r="AC1401" i="1" l="1"/>
  <c r="AF1400" i="1"/>
  <c r="L1402" i="1"/>
  <c r="AJ1401" i="1"/>
  <c r="AT1401" i="1" s="1"/>
  <c r="E1491" i="1"/>
  <c r="AQ1490" i="1"/>
  <c r="AR1490" i="1" s="1"/>
  <c r="AS1490" i="1" s="1"/>
  <c r="AC1402" i="1" l="1"/>
  <c r="AF1401" i="1"/>
  <c r="L1403" i="1"/>
  <c r="AJ1402" i="1"/>
  <c r="AT1402" i="1" s="1"/>
  <c r="E1492" i="1"/>
  <c r="AQ1491" i="1"/>
  <c r="AR1491" i="1" s="1"/>
  <c r="AS1491" i="1" s="1"/>
  <c r="AC1403" i="1" l="1"/>
  <c r="AF1402" i="1"/>
  <c r="L1404" i="1"/>
  <c r="AJ1403" i="1"/>
  <c r="AT1403" i="1" s="1"/>
  <c r="E1493" i="1"/>
  <c r="AQ1492" i="1"/>
  <c r="AR1492" i="1" s="1"/>
  <c r="AS1492" i="1" s="1"/>
  <c r="AC1404" i="1" l="1"/>
  <c r="AF1403" i="1"/>
  <c r="L1405" i="1"/>
  <c r="AJ1404" i="1"/>
  <c r="AT1404" i="1" s="1"/>
  <c r="E1494" i="1"/>
  <c r="AQ1493" i="1"/>
  <c r="AR1493" i="1" s="1"/>
  <c r="AS1493" i="1" s="1"/>
  <c r="AC1405" i="1" l="1"/>
  <c r="AF1404" i="1"/>
  <c r="L1406" i="1"/>
  <c r="AJ1405" i="1"/>
  <c r="AT1405" i="1" s="1"/>
  <c r="E1495" i="1"/>
  <c r="AQ1494" i="1"/>
  <c r="AR1494" i="1" s="1"/>
  <c r="AS1494" i="1" s="1"/>
  <c r="AC1406" i="1" l="1"/>
  <c r="AF1405" i="1"/>
  <c r="L1407" i="1"/>
  <c r="AJ1406" i="1"/>
  <c r="AT1406" i="1" s="1"/>
  <c r="E1496" i="1"/>
  <c r="AQ1495" i="1"/>
  <c r="AR1495" i="1" s="1"/>
  <c r="AS1495" i="1" s="1"/>
  <c r="AC1407" i="1" l="1"/>
  <c r="AF1406" i="1"/>
  <c r="L1408" i="1"/>
  <c r="AJ1407" i="1"/>
  <c r="AT1407" i="1" s="1"/>
  <c r="E1497" i="1"/>
  <c r="AQ1496" i="1"/>
  <c r="AR1496" i="1" s="1"/>
  <c r="AS1496" i="1" s="1"/>
  <c r="AC1408" i="1" l="1"/>
  <c r="AF1407" i="1"/>
  <c r="L1409" i="1"/>
  <c r="AJ1408" i="1"/>
  <c r="AT1408" i="1" s="1"/>
  <c r="E1498" i="1"/>
  <c r="AQ1497" i="1"/>
  <c r="AR1497" i="1" s="1"/>
  <c r="AS1497" i="1" s="1"/>
  <c r="AC1409" i="1" l="1"/>
  <c r="AF1408" i="1"/>
  <c r="L1410" i="1"/>
  <c r="AJ1409" i="1"/>
  <c r="AT1409" i="1" s="1"/>
  <c r="E1499" i="1"/>
  <c r="AQ1498" i="1"/>
  <c r="AR1498" i="1" s="1"/>
  <c r="AS1498" i="1" s="1"/>
  <c r="AC1410" i="1" l="1"/>
  <c r="AF1409" i="1"/>
  <c r="L1411" i="1"/>
  <c r="AJ1410" i="1"/>
  <c r="AT1410" i="1" s="1"/>
  <c r="E1500" i="1"/>
  <c r="AQ1499" i="1"/>
  <c r="AR1499" i="1" s="1"/>
  <c r="AS1499" i="1" s="1"/>
  <c r="AC1411" i="1" l="1"/>
  <c r="AF1410" i="1"/>
  <c r="L1412" i="1"/>
  <c r="AJ1411" i="1"/>
  <c r="AT1411" i="1" s="1"/>
  <c r="E1501" i="1"/>
  <c r="AQ1500" i="1"/>
  <c r="AR1500" i="1" s="1"/>
  <c r="AS1500" i="1" s="1"/>
  <c r="AC1412" i="1" l="1"/>
  <c r="AF1411" i="1"/>
  <c r="L1413" i="1"/>
  <c r="AJ1412" i="1"/>
  <c r="AT1412" i="1" s="1"/>
  <c r="E1502" i="1"/>
  <c r="AQ1501" i="1"/>
  <c r="AR1501" i="1" s="1"/>
  <c r="AS1501" i="1" s="1"/>
  <c r="AC1413" i="1" l="1"/>
  <c r="AF1412" i="1"/>
  <c r="L1414" i="1"/>
  <c r="AJ1413" i="1"/>
  <c r="AT1413" i="1" s="1"/>
  <c r="E1503" i="1"/>
  <c r="AQ1502" i="1"/>
  <c r="AR1502" i="1" s="1"/>
  <c r="AS1502" i="1" s="1"/>
  <c r="AC1414" i="1" l="1"/>
  <c r="AF1413" i="1"/>
  <c r="L1415" i="1"/>
  <c r="AJ1414" i="1"/>
  <c r="AT1414" i="1" s="1"/>
  <c r="E1504" i="1"/>
  <c r="AQ1503" i="1"/>
  <c r="AR1503" i="1" s="1"/>
  <c r="AS1503" i="1" s="1"/>
  <c r="AC1415" i="1" l="1"/>
  <c r="AF1414" i="1"/>
  <c r="L1416" i="1"/>
  <c r="AJ1415" i="1"/>
  <c r="AT1415" i="1" s="1"/>
  <c r="E1505" i="1"/>
  <c r="AQ1504" i="1"/>
  <c r="AR1504" i="1" s="1"/>
  <c r="AS1504" i="1" s="1"/>
  <c r="AC1416" i="1" l="1"/>
  <c r="AF1415" i="1"/>
  <c r="L1417" i="1"/>
  <c r="AJ1416" i="1"/>
  <c r="AT1416" i="1" s="1"/>
  <c r="E1506" i="1"/>
  <c r="AQ1505" i="1"/>
  <c r="AR1505" i="1" s="1"/>
  <c r="AS1505" i="1" s="1"/>
  <c r="AC1417" i="1" l="1"/>
  <c r="AF1416" i="1"/>
  <c r="L1418" i="1"/>
  <c r="AJ1417" i="1"/>
  <c r="AT1417" i="1" s="1"/>
  <c r="E1507" i="1"/>
  <c r="AQ1506" i="1"/>
  <c r="AR1506" i="1" s="1"/>
  <c r="AS1506" i="1" s="1"/>
  <c r="AC1418" i="1" l="1"/>
  <c r="AF1417" i="1"/>
  <c r="L1419" i="1"/>
  <c r="AJ1418" i="1"/>
  <c r="AT1418" i="1" s="1"/>
  <c r="E1508" i="1"/>
  <c r="AQ1507" i="1"/>
  <c r="AR1507" i="1" s="1"/>
  <c r="AS1507" i="1" s="1"/>
  <c r="AC1419" i="1" l="1"/>
  <c r="AF1418" i="1"/>
  <c r="L1420" i="1"/>
  <c r="AJ1419" i="1"/>
  <c r="AT1419" i="1" s="1"/>
  <c r="E1509" i="1"/>
  <c r="AQ1508" i="1"/>
  <c r="AR1508" i="1" s="1"/>
  <c r="AS1508" i="1" s="1"/>
  <c r="AC1420" i="1" l="1"/>
  <c r="AF1419" i="1"/>
  <c r="L1421" i="1"/>
  <c r="AJ1420" i="1"/>
  <c r="AT1420" i="1" s="1"/>
  <c r="E1510" i="1"/>
  <c r="AQ1509" i="1"/>
  <c r="AR1509" i="1" s="1"/>
  <c r="AS1509" i="1" s="1"/>
  <c r="AC1421" i="1" l="1"/>
  <c r="AF1420" i="1"/>
  <c r="L1422" i="1"/>
  <c r="AJ1421" i="1"/>
  <c r="AT1421" i="1" s="1"/>
  <c r="E1511" i="1"/>
  <c r="AQ1510" i="1"/>
  <c r="AR1510" i="1" s="1"/>
  <c r="AS1510" i="1" s="1"/>
  <c r="AC1422" i="1" l="1"/>
  <c r="AF1421" i="1"/>
  <c r="L1423" i="1"/>
  <c r="AJ1422" i="1"/>
  <c r="AT1422" i="1" s="1"/>
  <c r="E1512" i="1"/>
  <c r="AQ1511" i="1"/>
  <c r="AR1511" i="1" s="1"/>
  <c r="AS1511" i="1" s="1"/>
  <c r="AC1423" i="1" l="1"/>
  <c r="AF1422" i="1"/>
  <c r="L1424" i="1"/>
  <c r="AJ1423" i="1"/>
  <c r="AT1423" i="1" s="1"/>
  <c r="E1513" i="1"/>
  <c r="AQ1512" i="1"/>
  <c r="AR1512" i="1" s="1"/>
  <c r="AS1512" i="1" s="1"/>
  <c r="AC1424" i="1" l="1"/>
  <c r="AF1423" i="1"/>
  <c r="L1425" i="1"/>
  <c r="AJ1424" i="1"/>
  <c r="AT1424" i="1" s="1"/>
  <c r="E1514" i="1"/>
  <c r="AQ1513" i="1"/>
  <c r="AR1513" i="1" s="1"/>
  <c r="AS1513" i="1" s="1"/>
  <c r="AC1425" i="1" l="1"/>
  <c r="AF1424" i="1"/>
  <c r="L1426" i="1"/>
  <c r="AJ1425" i="1"/>
  <c r="AT1425" i="1" s="1"/>
  <c r="E1515" i="1"/>
  <c r="AQ1514" i="1"/>
  <c r="AR1514" i="1" s="1"/>
  <c r="AS1514" i="1" s="1"/>
  <c r="AC1426" i="1" l="1"/>
  <c r="AF1425" i="1"/>
  <c r="L1427" i="1"/>
  <c r="AJ1426" i="1"/>
  <c r="AT1426" i="1" s="1"/>
  <c r="E1516" i="1"/>
  <c r="AQ1515" i="1"/>
  <c r="AR1515" i="1" s="1"/>
  <c r="AS1515" i="1" s="1"/>
  <c r="AC1427" i="1" l="1"/>
  <c r="AF1426" i="1"/>
  <c r="L1428" i="1"/>
  <c r="AJ1427" i="1"/>
  <c r="AT1427" i="1" s="1"/>
  <c r="E1517" i="1"/>
  <c r="AQ1516" i="1"/>
  <c r="AR1516" i="1" s="1"/>
  <c r="AS1516" i="1" s="1"/>
  <c r="AC1428" i="1" l="1"/>
  <c r="AF1427" i="1"/>
  <c r="L1429" i="1"/>
  <c r="AJ1428" i="1"/>
  <c r="AT1428" i="1" s="1"/>
  <c r="E1518" i="1"/>
  <c r="AQ1517" i="1"/>
  <c r="AR1517" i="1" s="1"/>
  <c r="AS1517" i="1" s="1"/>
  <c r="AC1429" i="1" l="1"/>
  <c r="AF1428" i="1"/>
  <c r="L1430" i="1"/>
  <c r="AJ1429" i="1"/>
  <c r="AT1429" i="1" s="1"/>
  <c r="E1519" i="1"/>
  <c r="AQ1518" i="1"/>
  <c r="AR1518" i="1" s="1"/>
  <c r="AS1518" i="1" s="1"/>
  <c r="AC1430" i="1" l="1"/>
  <c r="AF1429" i="1"/>
  <c r="L1431" i="1"/>
  <c r="AJ1430" i="1"/>
  <c r="AT1430" i="1" s="1"/>
  <c r="E1520" i="1"/>
  <c r="AQ1519" i="1"/>
  <c r="AR1519" i="1" s="1"/>
  <c r="AS1519" i="1" s="1"/>
  <c r="AC1431" i="1" l="1"/>
  <c r="AF1430" i="1"/>
  <c r="L1432" i="1"/>
  <c r="AJ1431" i="1"/>
  <c r="AT1431" i="1" s="1"/>
  <c r="E1521" i="1"/>
  <c r="AQ1520" i="1"/>
  <c r="AR1520" i="1" s="1"/>
  <c r="AS1520" i="1" s="1"/>
  <c r="AC1432" i="1" l="1"/>
  <c r="AF1431" i="1"/>
  <c r="L1433" i="1"/>
  <c r="AJ1432" i="1"/>
  <c r="AT1432" i="1" s="1"/>
  <c r="E1522" i="1"/>
  <c r="AQ1521" i="1"/>
  <c r="AR1521" i="1" s="1"/>
  <c r="AS1521" i="1" s="1"/>
  <c r="AC1433" i="1" l="1"/>
  <c r="AF1432" i="1"/>
  <c r="L1434" i="1"/>
  <c r="AJ1433" i="1"/>
  <c r="AT1433" i="1" s="1"/>
  <c r="E1523" i="1"/>
  <c r="AQ1522" i="1"/>
  <c r="AR1522" i="1" s="1"/>
  <c r="AS1522" i="1" s="1"/>
  <c r="AC1434" i="1" l="1"/>
  <c r="AF1433" i="1"/>
  <c r="L1435" i="1"/>
  <c r="AJ1434" i="1"/>
  <c r="AT1434" i="1" s="1"/>
  <c r="E1524" i="1"/>
  <c r="AQ1523" i="1"/>
  <c r="AR1523" i="1" s="1"/>
  <c r="AS1523" i="1" s="1"/>
  <c r="AC1435" i="1" l="1"/>
  <c r="AF1434" i="1"/>
  <c r="L1436" i="1"/>
  <c r="AJ1435" i="1"/>
  <c r="AT1435" i="1" s="1"/>
  <c r="E1525" i="1"/>
  <c r="AQ1524" i="1"/>
  <c r="AR1524" i="1" s="1"/>
  <c r="AS1524" i="1" s="1"/>
  <c r="AC1436" i="1" l="1"/>
  <c r="AF1435" i="1"/>
  <c r="L1437" i="1"/>
  <c r="AJ1436" i="1"/>
  <c r="AT1436" i="1" s="1"/>
  <c r="E1526" i="1"/>
  <c r="AQ1525" i="1"/>
  <c r="AR1525" i="1" s="1"/>
  <c r="AS1525" i="1" s="1"/>
  <c r="AC1437" i="1" l="1"/>
  <c r="AF1436" i="1"/>
  <c r="L1438" i="1"/>
  <c r="AJ1437" i="1"/>
  <c r="AT1437" i="1" s="1"/>
  <c r="E1527" i="1"/>
  <c r="AQ1526" i="1"/>
  <c r="AR1526" i="1" s="1"/>
  <c r="AS1526" i="1" s="1"/>
  <c r="AC1438" i="1" l="1"/>
  <c r="AF1437" i="1"/>
  <c r="L1439" i="1"/>
  <c r="AJ1438" i="1"/>
  <c r="AT1438" i="1" s="1"/>
  <c r="E1528" i="1"/>
  <c r="AQ1527" i="1"/>
  <c r="AR1527" i="1" s="1"/>
  <c r="AS1527" i="1" s="1"/>
  <c r="AC1439" i="1" l="1"/>
  <c r="AF1438" i="1"/>
  <c r="L1440" i="1"/>
  <c r="AJ1439" i="1"/>
  <c r="AT1439" i="1" s="1"/>
  <c r="E1529" i="1"/>
  <c r="AQ1528" i="1"/>
  <c r="AR1528" i="1" s="1"/>
  <c r="AS1528" i="1" s="1"/>
  <c r="AC1440" i="1" l="1"/>
  <c r="AF1439" i="1"/>
  <c r="L1441" i="1"/>
  <c r="AJ1440" i="1"/>
  <c r="AT1440" i="1" s="1"/>
  <c r="E1530" i="1"/>
  <c r="AQ1529" i="1"/>
  <c r="AR1529" i="1" s="1"/>
  <c r="AS1529" i="1" s="1"/>
  <c r="AC1441" i="1" l="1"/>
  <c r="AF1440" i="1"/>
  <c r="L1442" i="1"/>
  <c r="AJ1441" i="1"/>
  <c r="AT1441" i="1" s="1"/>
  <c r="E1531" i="1"/>
  <c r="AQ1530" i="1"/>
  <c r="AR1530" i="1" s="1"/>
  <c r="AS1530" i="1" s="1"/>
  <c r="AC1442" i="1" l="1"/>
  <c r="AF1441" i="1"/>
  <c r="L1443" i="1"/>
  <c r="AJ1442" i="1"/>
  <c r="AT1442" i="1" s="1"/>
  <c r="E1532" i="1"/>
  <c r="AQ1531" i="1"/>
  <c r="AR1531" i="1" s="1"/>
  <c r="AS1531" i="1" s="1"/>
  <c r="AC1443" i="1" l="1"/>
  <c r="AF1442" i="1"/>
  <c r="L1444" i="1"/>
  <c r="AJ1443" i="1"/>
  <c r="AT1443" i="1" s="1"/>
  <c r="E1533" i="1"/>
  <c r="AQ1532" i="1"/>
  <c r="AR1532" i="1" s="1"/>
  <c r="AS1532" i="1" s="1"/>
  <c r="AC1444" i="1" l="1"/>
  <c r="AF1443" i="1"/>
  <c r="L1445" i="1"/>
  <c r="AJ1444" i="1"/>
  <c r="AT1444" i="1" s="1"/>
  <c r="E1534" i="1"/>
  <c r="AQ1533" i="1"/>
  <c r="AR1533" i="1" s="1"/>
  <c r="AS1533" i="1" s="1"/>
  <c r="AC1445" i="1" l="1"/>
  <c r="AF1444" i="1"/>
  <c r="L1446" i="1"/>
  <c r="AJ1445" i="1"/>
  <c r="AT1445" i="1" s="1"/>
  <c r="E1535" i="1"/>
  <c r="AQ1534" i="1"/>
  <c r="AR1534" i="1" s="1"/>
  <c r="AS1534" i="1" s="1"/>
  <c r="AC1446" i="1" l="1"/>
  <c r="AF1445" i="1"/>
  <c r="L1447" i="1"/>
  <c r="AJ1446" i="1"/>
  <c r="AT1446" i="1" s="1"/>
  <c r="E1536" i="1"/>
  <c r="AQ1535" i="1"/>
  <c r="AR1535" i="1" s="1"/>
  <c r="AS1535" i="1" s="1"/>
  <c r="AC1447" i="1" l="1"/>
  <c r="AF1446" i="1"/>
  <c r="L1448" i="1"/>
  <c r="AJ1447" i="1"/>
  <c r="AT1447" i="1" s="1"/>
  <c r="E1537" i="1"/>
  <c r="AQ1536" i="1"/>
  <c r="AR1536" i="1" s="1"/>
  <c r="AS1536" i="1" s="1"/>
  <c r="AC1448" i="1" l="1"/>
  <c r="AF1447" i="1"/>
  <c r="L1449" i="1"/>
  <c r="AJ1448" i="1"/>
  <c r="AT1448" i="1" s="1"/>
  <c r="E1538" i="1"/>
  <c r="AQ1537" i="1"/>
  <c r="AR1537" i="1" s="1"/>
  <c r="AS1537" i="1" s="1"/>
  <c r="AC1449" i="1" l="1"/>
  <c r="AF1448" i="1"/>
  <c r="L1450" i="1"/>
  <c r="AJ1449" i="1"/>
  <c r="AT1449" i="1" s="1"/>
  <c r="E1539" i="1"/>
  <c r="AQ1538" i="1"/>
  <c r="AR1538" i="1" s="1"/>
  <c r="AS1538" i="1" s="1"/>
  <c r="AC1450" i="1" l="1"/>
  <c r="AF1449" i="1"/>
  <c r="L1451" i="1"/>
  <c r="AJ1450" i="1"/>
  <c r="AT1450" i="1" s="1"/>
  <c r="E1540" i="1"/>
  <c r="AQ1539" i="1"/>
  <c r="AR1539" i="1" s="1"/>
  <c r="AS1539" i="1" s="1"/>
  <c r="AC1451" i="1" l="1"/>
  <c r="AF1450" i="1"/>
  <c r="L1452" i="1"/>
  <c r="AJ1451" i="1"/>
  <c r="AT1451" i="1" s="1"/>
  <c r="E1541" i="1"/>
  <c r="AQ1540" i="1"/>
  <c r="AR1540" i="1" s="1"/>
  <c r="AS1540" i="1" s="1"/>
  <c r="AC1452" i="1" l="1"/>
  <c r="AF1451" i="1"/>
  <c r="L1453" i="1"/>
  <c r="AJ1452" i="1"/>
  <c r="AT1452" i="1" s="1"/>
  <c r="E1542" i="1"/>
  <c r="AQ1541" i="1"/>
  <c r="AR1541" i="1" s="1"/>
  <c r="AS1541" i="1" s="1"/>
  <c r="AC1453" i="1" l="1"/>
  <c r="AF1452" i="1"/>
  <c r="L1454" i="1"/>
  <c r="AJ1453" i="1"/>
  <c r="AT1453" i="1" s="1"/>
  <c r="E1543" i="1"/>
  <c r="AQ1542" i="1"/>
  <c r="AR1542" i="1" s="1"/>
  <c r="AS1542" i="1" s="1"/>
  <c r="AC1454" i="1" l="1"/>
  <c r="AF1453" i="1"/>
  <c r="L1455" i="1"/>
  <c r="AJ1454" i="1"/>
  <c r="AT1454" i="1" s="1"/>
  <c r="E1544" i="1"/>
  <c r="AQ1543" i="1"/>
  <c r="AR1543" i="1" s="1"/>
  <c r="AS1543" i="1" s="1"/>
  <c r="AC1455" i="1" l="1"/>
  <c r="AF1454" i="1"/>
  <c r="L1456" i="1"/>
  <c r="AJ1455" i="1"/>
  <c r="AT1455" i="1" s="1"/>
  <c r="E1545" i="1"/>
  <c r="AQ1544" i="1"/>
  <c r="AR1544" i="1" s="1"/>
  <c r="AS1544" i="1" s="1"/>
  <c r="AC1456" i="1" l="1"/>
  <c r="AF1455" i="1"/>
  <c r="L1457" i="1"/>
  <c r="AJ1456" i="1"/>
  <c r="AT1456" i="1" s="1"/>
  <c r="E1546" i="1"/>
  <c r="AQ1545" i="1"/>
  <c r="AR1545" i="1" s="1"/>
  <c r="AS1545" i="1" s="1"/>
  <c r="AC1457" i="1" l="1"/>
  <c r="AF1456" i="1"/>
  <c r="L1458" i="1"/>
  <c r="AJ1457" i="1"/>
  <c r="AT1457" i="1" s="1"/>
  <c r="E1547" i="1"/>
  <c r="AQ1546" i="1"/>
  <c r="AR1546" i="1" s="1"/>
  <c r="AS1546" i="1" s="1"/>
  <c r="AC1458" i="1" l="1"/>
  <c r="AF1457" i="1"/>
  <c r="L1459" i="1"/>
  <c r="AJ1458" i="1"/>
  <c r="AT1458" i="1" s="1"/>
  <c r="E1548" i="1"/>
  <c r="AQ1547" i="1"/>
  <c r="AR1547" i="1" s="1"/>
  <c r="AS1547" i="1" s="1"/>
  <c r="AC1459" i="1" l="1"/>
  <c r="AF1458" i="1"/>
  <c r="L1460" i="1"/>
  <c r="AJ1459" i="1"/>
  <c r="AT1459" i="1" s="1"/>
  <c r="E1549" i="1"/>
  <c r="AQ1548" i="1"/>
  <c r="AR1548" i="1" s="1"/>
  <c r="AS1548" i="1" s="1"/>
  <c r="AC1460" i="1" l="1"/>
  <c r="AF1459" i="1"/>
  <c r="L1461" i="1"/>
  <c r="AJ1460" i="1"/>
  <c r="AT1460" i="1" s="1"/>
  <c r="E1550" i="1"/>
  <c r="AQ1549" i="1"/>
  <c r="AR1549" i="1" s="1"/>
  <c r="AS1549" i="1" s="1"/>
  <c r="AC1461" i="1" l="1"/>
  <c r="AF1460" i="1"/>
  <c r="L1462" i="1"/>
  <c r="AJ1461" i="1"/>
  <c r="AT1461" i="1" s="1"/>
  <c r="E1551" i="1"/>
  <c r="AQ1550" i="1"/>
  <c r="AR1550" i="1" s="1"/>
  <c r="AS1550" i="1" s="1"/>
  <c r="AC1462" i="1" l="1"/>
  <c r="AF1461" i="1"/>
  <c r="L1463" i="1"/>
  <c r="AJ1462" i="1"/>
  <c r="AT1462" i="1" s="1"/>
  <c r="E1552" i="1"/>
  <c r="AQ1551" i="1"/>
  <c r="AR1551" i="1" s="1"/>
  <c r="AS1551" i="1" s="1"/>
  <c r="AC1463" i="1" l="1"/>
  <c r="AF1462" i="1"/>
  <c r="L1464" i="1"/>
  <c r="AJ1463" i="1"/>
  <c r="AT1463" i="1" s="1"/>
  <c r="E1553" i="1"/>
  <c r="AQ1552" i="1"/>
  <c r="AR1552" i="1" s="1"/>
  <c r="AS1552" i="1" s="1"/>
  <c r="AC1464" i="1" l="1"/>
  <c r="AF1463" i="1"/>
  <c r="L1465" i="1"/>
  <c r="AJ1464" i="1"/>
  <c r="AT1464" i="1" s="1"/>
  <c r="E1554" i="1"/>
  <c r="AQ1553" i="1"/>
  <c r="AR1553" i="1" s="1"/>
  <c r="AS1553" i="1" s="1"/>
  <c r="AC1465" i="1" l="1"/>
  <c r="AF1464" i="1"/>
  <c r="L1466" i="1"/>
  <c r="AJ1465" i="1"/>
  <c r="AT1465" i="1" s="1"/>
  <c r="E1555" i="1"/>
  <c r="AQ1554" i="1"/>
  <c r="AR1554" i="1" s="1"/>
  <c r="AS1554" i="1" s="1"/>
  <c r="AC1466" i="1" l="1"/>
  <c r="AF1465" i="1"/>
  <c r="L1467" i="1"/>
  <c r="AJ1466" i="1"/>
  <c r="AT1466" i="1" s="1"/>
  <c r="E1556" i="1"/>
  <c r="AQ1555" i="1"/>
  <c r="AR1555" i="1" s="1"/>
  <c r="AS1555" i="1" s="1"/>
  <c r="AC1467" i="1" l="1"/>
  <c r="AF1466" i="1"/>
  <c r="L1468" i="1"/>
  <c r="AJ1467" i="1"/>
  <c r="AT1467" i="1" s="1"/>
  <c r="E1557" i="1"/>
  <c r="AQ1556" i="1"/>
  <c r="AR1556" i="1" s="1"/>
  <c r="AS1556" i="1" s="1"/>
  <c r="AC1468" i="1" l="1"/>
  <c r="AF1467" i="1"/>
  <c r="L1469" i="1"/>
  <c r="AJ1468" i="1"/>
  <c r="AT1468" i="1" s="1"/>
  <c r="E1558" i="1"/>
  <c r="AQ1557" i="1"/>
  <c r="AR1557" i="1" s="1"/>
  <c r="AS1557" i="1" s="1"/>
  <c r="AC1469" i="1" l="1"/>
  <c r="AF1468" i="1"/>
  <c r="L1470" i="1"/>
  <c r="AJ1469" i="1"/>
  <c r="AT1469" i="1" s="1"/>
  <c r="E1559" i="1"/>
  <c r="AQ1558" i="1"/>
  <c r="AR1558" i="1" s="1"/>
  <c r="AS1558" i="1" s="1"/>
  <c r="AC1470" i="1" l="1"/>
  <c r="AF1469" i="1"/>
  <c r="L1471" i="1"/>
  <c r="AJ1470" i="1"/>
  <c r="AT1470" i="1" s="1"/>
  <c r="E1560" i="1"/>
  <c r="AQ1559" i="1"/>
  <c r="AR1559" i="1" s="1"/>
  <c r="AS1559" i="1" s="1"/>
  <c r="AC1471" i="1" l="1"/>
  <c r="AF1470" i="1"/>
  <c r="L1472" i="1"/>
  <c r="AJ1471" i="1"/>
  <c r="AT1471" i="1" s="1"/>
  <c r="E1561" i="1"/>
  <c r="AQ1560" i="1"/>
  <c r="AR1560" i="1" s="1"/>
  <c r="AS1560" i="1" s="1"/>
  <c r="AC1472" i="1" l="1"/>
  <c r="AF1471" i="1"/>
  <c r="L1473" i="1"/>
  <c r="AJ1472" i="1"/>
  <c r="AT1472" i="1" s="1"/>
  <c r="E1562" i="1"/>
  <c r="AQ1561" i="1"/>
  <c r="AR1561" i="1" s="1"/>
  <c r="AS1561" i="1" s="1"/>
  <c r="AC1473" i="1" l="1"/>
  <c r="AF1472" i="1"/>
  <c r="L1474" i="1"/>
  <c r="AJ1473" i="1"/>
  <c r="AT1473" i="1" s="1"/>
  <c r="E1563" i="1"/>
  <c r="AQ1562" i="1"/>
  <c r="AR1562" i="1" s="1"/>
  <c r="AS1562" i="1" s="1"/>
  <c r="AC1474" i="1" l="1"/>
  <c r="AF1473" i="1"/>
  <c r="L1475" i="1"/>
  <c r="AJ1474" i="1"/>
  <c r="AT1474" i="1" s="1"/>
  <c r="E1564" i="1"/>
  <c r="AQ1563" i="1"/>
  <c r="AR1563" i="1" s="1"/>
  <c r="AS1563" i="1" s="1"/>
  <c r="AC1475" i="1" l="1"/>
  <c r="AF1474" i="1"/>
  <c r="L1476" i="1"/>
  <c r="AJ1475" i="1"/>
  <c r="AT1475" i="1" s="1"/>
  <c r="E1565" i="1"/>
  <c r="AQ1564" i="1"/>
  <c r="AR1564" i="1" s="1"/>
  <c r="AS1564" i="1" s="1"/>
  <c r="AC1476" i="1" l="1"/>
  <c r="AF1475" i="1"/>
  <c r="L1477" i="1"/>
  <c r="AJ1476" i="1"/>
  <c r="AT1476" i="1" s="1"/>
  <c r="E1566" i="1"/>
  <c r="AQ1565" i="1"/>
  <c r="AR1565" i="1" s="1"/>
  <c r="AS1565" i="1" s="1"/>
  <c r="AC1477" i="1" l="1"/>
  <c r="AF1476" i="1"/>
  <c r="L1478" i="1"/>
  <c r="AJ1477" i="1"/>
  <c r="AT1477" i="1" s="1"/>
  <c r="E1567" i="1"/>
  <c r="AQ1566" i="1"/>
  <c r="AR1566" i="1" s="1"/>
  <c r="AS1566" i="1" s="1"/>
  <c r="AC1478" i="1" l="1"/>
  <c r="AF1477" i="1"/>
  <c r="L1479" i="1"/>
  <c r="AJ1478" i="1"/>
  <c r="AT1478" i="1" s="1"/>
  <c r="E1568" i="1"/>
  <c r="AQ1567" i="1"/>
  <c r="AR1567" i="1" s="1"/>
  <c r="AS1567" i="1" s="1"/>
  <c r="AC1479" i="1" l="1"/>
  <c r="AF1478" i="1"/>
  <c r="L1480" i="1"/>
  <c r="AJ1479" i="1"/>
  <c r="AT1479" i="1" s="1"/>
  <c r="E1569" i="1"/>
  <c r="AQ1568" i="1"/>
  <c r="AR1568" i="1" s="1"/>
  <c r="AS1568" i="1" s="1"/>
  <c r="AC1480" i="1" l="1"/>
  <c r="AF1479" i="1"/>
  <c r="L1481" i="1"/>
  <c r="AJ1480" i="1"/>
  <c r="AT1480" i="1" s="1"/>
  <c r="E1570" i="1"/>
  <c r="AQ1569" i="1"/>
  <c r="AR1569" i="1" s="1"/>
  <c r="AS1569" i="1" s="1"/>
  <c r="AC1481" i="1" l="1"/>
  <c r="AF1480" i="1"/>
  <c r="L1482" i="1"/>
  <c r="AJ1481" i="1"/>
  <c r="AT1481" i="1" s="1"/>
  <c r="E1571" i="1"/>
  <c r="AQ1570" i="1"/>
  <c r="AR1570" i="1" s="1"/>
  <c r="AS1570" i="1" s="1"/>
  <c r="AC1482" i="1" l="1"/>
  <c r="AF1481" i="1"/>
  <c r="L1483" i="1"/>
  <c r="AJ1482" i="1"/>
  <c r="AT1482" i="1" s="1"/>
  <c r="E1572" i="1"/>
  <c r="AQ1571" i="1"/>
  <c r="AR1571" i="1" s="1"/>
  <c r="AS1571" i="1" s="1"/>
  <c r="AC1483" i="1" l="1"/>
  <c r="AF1482" i="1"/>
  <c r="L1484" i="1"/>
  <c r="AJ1483" i="1"/>
  <c r="AT1483" i="1" s="1"/>
  <c r="E1573" i="1"/>
  <c r="AQ1572" i="1"/>
  <c r="AR1572" i="1" s="1"/>
  <c r="AS1572" i="1" s="1"/>
  <c r="AC1484" i="1" l="1"/>
  <c r="AF1483" i="1"/>
  <c r="L1485" i="1"/>
  <c r="AJ1484" i="1"/>
  <c r="AT1484" i="1" s="1"/>
  <c r="E1574" i="1"/>
  <c r="AQ1573" i="1"/>
  <c r="AR1573" i="1" s="1"/>
  <c r="AS1573" i="1" s="1"/>
  <c r="AC1485" i="1" l="1"/>
  <c r="AF1484" i="1"/>
  <c r="L1486" i="1"/>
  <c r="AJ1485" i="1"/>
  <c r="AT1485" i="1" s="1"/>
  <c r="E1575" i="1"/>
  <c r="AQ1574" i="1"/>
  <c r="AR1574" i="1" s="1"/>
  <c r="AS1574" i="1" s="1"/>
  <c r="AC1486" i="1" l="1"/>
  <c r="AF1485" i="1"/>
  <c r="L1487" i="1"/>
  <c r="AJ1486" i="1"/>
  <c r="AT1486" i="1" s="1"/>
  <c r="E1576" i="1"/>
  <c r="AQ1575" i="1"/>
  <c r="AR1575" i="1" s="1"/>
  <c r="AS1575" i="1" s="1"/>
  <c r="AC1487" i="1" l="1"/>
  <c r="AF1486" i="1"/>
  <c r="L1488" i="1"/>
  <c r="AJ1487" i="1"/>
  <c r="AT1487" i="1" s="1"/>
  <c r="E1577" i="1"/>
  <c r="AQ1576" i="1"/>
  <c r="AR1576" i="1" s="1"/>
  <c r="AS1576" i="1" s="1"/>
  <c r="AC1488" i="1" l="1"/>
  <c r="AF1487" i="1"/>
  <c r="L1489" i="1"/>
  <c r="AJ1488" i="1"/>
  <c r="AT1488" i="1" s="1"/>
  <c r="E1578" i="1"/>
  <c r="AQ1577" i="1"/>
  <c r="AR1577" i="1" s="1"/>
  <c r="AS1577" i="1" s="1"/>
  <c r="AC1489" i="1" l="1"/>
  <c r="AF1488" i="1"/>
  <c r="L1490" i="1"/>
  <c r="AJ1489" i="1"/>
  <c r="AT1489" i="1" s="1"/>
  <c r="E1579" i="1"/>
  <c r="AQ1578" i="1"/>
  <c r="AR1578" i="1" s="1"/>
  <c r="AS1578" i="1" s="1"/>
  <c r="AC1490" i="1" l="1"/>
  <c r="AF1489" i="1"/>
  <c r="L1491" i="1"/>
  <c r="AJ1490" i="1"/>
  <c r="AT1490" i="1" s="1"/>
  <c r="E1580" i="1"/>
  <c r="AQ1579" i="1"/>
  <c r="AR1579" i="1" s="1"/>
  <c r="AS1579" i="1" s="1"/>
  <c r="AC1491" i="1" l="1"/>
  <c r="AF1490" i="1"/>
  <c r="L1492" i="1"/>
  <c r="AJ1491" i="1"/>
  <c r="AT1491" i="1" s="1"/>
  <c r="E1581" i="1"/>
  <c r="AQ1580" i="1"/>
  <c r="AR1580" i="1" s="1"/>
  <c r="AS1580" i="1" s="1"/>
  <c r="AC1492" i="1" l="1"/>
  <c r="AF1491" i="1"/>
  <c r="L1493" i="1"/>
  <c r="AJ1492" i="1"/>
  <c r="AT1492" i="1" s="1"/>
  <c r="E1582" i="1"/>
  <c r="AQ1581" i="1"/>
  <c r="AR1581" i="1" s="1"/>
  <c r="AS1581" i="1" s="1"/>
  <c r="AC1493" i="1" l="1"/>
  <c r="AF1492" i="1"/>
  <c r="L1494" i="1"/>
  <c r="AJ1493" i="1"/>
  <c r="AT1493" i="1" s="1"/>
  <c r="E1583" i="1"/>
  <c r="AQ1582" i="1"/>
  <c r="AR1582" i="1" s="1"/>
  <c r="AS1582" i="1" s="1"/>
  <c r="AC1494" i="1" l="1"/>
  <c r="AF1493" i="1"/>
  <c r="L1495" i="1"/>
  <c r="AJ1494" i="1"/>
  <c r="AT1494" i="1" s="1"/>
  <c r="E1584" i="1"/>
  <c r="AQ1583" i="1"/>
  <c r="AR1583" i="1" s="1"/>
  <c r="AS1583" i="1" s="1"/>
  <c r="AC1495" i="1" l="1"/>
  <c r="AF1494" i="1"/>
  <c r="L1496" i="1"/>
  <c r="AJ1495" i="1"/>
  <c r="AT1495" i="1" s="1"/>
  <c r="E1585" i="1"/>
  <c r="AQ1584" i="1"/>
  <c r="AR1584" i="1" s="1"/>
  <c r="AS1584" i="1" s="1"/>
  <c r="AC1496" i="1" l="1"/>
  <c r="AF1495" i="1"/>
  <c r="L1497" i="1"/>
  <c r="AJ1496" i="1"/>
  <c r="AT1496" i="1" s="1"/>
  <c r="E1586" i="1"/>
  <c r="AQ1585" i="1"/>
  <c r="AR1585" i="1" s="1"/>
  <c r="AS1585" i="1" s="1"/>
  <c r="AC1497" i="1" l="1"/>
  <c r="AF1496" i="1"/>
  <c r="L1498" i="1"/>
  <c r="AJ1497" i="1"/>
  <c r="AT1497" i="1" s="1"/>
  <c r="E1587" i="1"/>
  <c r="AQ1586" i="1"/>
  <c r="AR1586" i="1" s="1"/>
  <c r="AS1586" i="1" s="1"/>
  <c r="AC1498" i="1" l="1"/>
  <c r="AF1497" i="1"/>
  <c r="L1499" i="1"/>
  <c r="AJ1498" i="1"/>
  <c r="AT1498" i="1" s="1"/>
  <c r="E1588" i="1"/>
  <c r="AQ1587" i="1"/>
  <c r="AR1587" i="1" s="1"/>
  <c r="AS1587" i="1" s="1"/>
  <c r="AC1499" i="1" l="1"/>
  <c r="AF1498" i="1"/>
  <c r="L1500" i="1"/>
  <c r="AJ1499" i="1"/>
  <c r="AT1499" i="1" s="1"/>
  <c r="E1589" i="1"/>
  <c r="AQ1588" i="1"/>
  <c r="AR1588" i="1" s="1"/>
  <c r="AS1588" i="1" s="1"/>
  <c r="AC1500" i="1" l="1"/>
  <c r="AF1499" i="1"/>
  <c r="L1501" i="1"/>
  <c r="AJ1500" i="1"/>
  <c r="AT1500" i="1" s="1"/>
  <c r="E1590" i="1"/>
  <c r="AQ1589" i="1"/>
  <c r="AR1589" i="1" s="1"/>
  <c r="AS1589" i="1" s="1"/>
  <c r="AC1501" i="1" l="1"/>
  <c r="AF1500" i="1"/>
  <c r="L1502" i="1"/>
  <c r="AJ1501" i="1"/>
  <c r="AT1501" i="1" s="1"/>
  <c r="E1591" i="1"/>
  <c r="AQ1590" i="1"/>
  <c r="AR1590" i="1" s="1"/>
  <c r="AS1590" i="1" s="1"/>
  <c r="AC1502" i="1" l="1"/>
  <c r="AF1501" i="1"/>
  <c r="L1503" i="1"/>
  <c r="AJ1502" i="1"/>
  <c r="AT1502" i="1" s="1"/>
  <c r="E1592" i="1"/>
  <c r="AQ1591" i="1"/>
  <c r="AR1591" i="1" s="1"/>
  <c r="AS1591" i="1" s="1"/>
  <c r="AC1503" i="1" l="1"/>
  <c r="AF1502" i="1"/>
  <c r="L1504" i="1"/>
  <c r="AJ1503" i="1"/>
  <c r="AT1503" i="1" s="1"/>
  <c r="E1593" i="1"/>
  <c r="AQ1592" i="1"/>
  <c r="AR1592" i="1" s="1"/>
  <c r="AS1592" i="1" s="1"/>
  <c r="AC1504" i="1" l="1"/>
  <c r="AF1503" i="1"/>
  <c r="L1505" i="1"/>
  <c r="AJ1504" i="1"/>
  <c r="AT1504" i="1" s="1"/>
  <c r="E1594" i="1"/>
  <c r="AQ1593" i="1"/>
  <c r="AR1593" i="1" s="1"/>
  <c r="AS1593" i="1" s="1"/>
  <c r="AC1505" i="1" l="1"/>
  <c r="AF1504" i="1"/>
  <c r="L1506" i="1"/>
  <c r="AJ1505" i="1"/>
  <c r="AT1505" i="1" s="1"/>
  <c r="E1595" i="1"/>
  <c r="AQ1594" i="1"/>
  <c r="AR1594" i="1" s="1"/>
  <c r="AS1594" i="1" s="1"/>
  <c r="AC1506" i="1" l="1"/>
  <c r="AF1505" i="1"/>
  <c r="L1507" i="1"/>
  <c r="AJ1506" i="1"/>
  <c r="AT1506" i="1" s="1"/>
  <c r="E1596" i="1"/>
  <c r="AQ1595" i="1"/>
  <c r="AR1595" i="1" s="1"/>
  <c r="AS1595" i="1" s="1"/>
  <c r="AC1507" i="1" l="1"/>
  <c r="AF1506" i="1"/>
  <c r="L1508" i="1"/>
  <c r="AJ1507" i="1"/>
  <c r="AT1507" i="1" s="1"/>
  <c r="E1597" i="1"/>
  <c r="AQ1596" i="1"/>
  <c r="AR1596" i="1" s="1"/>
  <c r="AS1596" i="1" s="1"/>
  <c r="AC1508" i="1" l="1"/>
  <c r="AF1507" i="1"/>
  <c r="L1509" i="1"/>
  <c r="AJ1508" i="1"/>
  <c r="AT1508" i="1" s="1"/>
  <c r="E1598" i="1"/>
  <c r="AQ1597" i="1"/>
  <c r="AR1597" i="1" s="1"/>
  <c r="AS1597" i="1" s="1"/>
  <c r="AC1509" i="1" l="1"/>
  <c r="AF1508" i="1"/>
  <c r="L1510" i="1"/>
  <c r="AJ1509" i="1"/>
  <c r="AT1509" i="1" s="1"/>
  <c r="E1599" i="1"/>
  <c r="AQ1598" i="1"/>
  <c r="AR1598" i="1" s="1"/>
  <c r="AS1598" i="1" s="1"/>
  <c r="AC1510" i="1" l="1"/>
  <c r="AF1509" i="1"/>
  <c r="L1511" i="1"/>
  <c r="AJ1510" i="1"/>
  <c r="AT1510" i="1" s="1"/>
  <c r="E1600" i="1"/>
  <c r="AQ1599" i="1"/>
  <c r="AR1599" i="1" s="1"/>
  <c r="AS1599" i="1" s="1"/>
  <c r="AC1511" i="1" l="1"/>
  <c r="AF1510" i="1"/>
  <c r="L1512" i="1"/>
  <c r="AJ1511" i="1"/>
  <c r="AT1511" i="1" s="1"/>
  <c r="E1601" i="1"/>
  <c r="AQ1600" i="1"/>
  <c r="AR1600" i="1" s="1"/>
  <c r="AS1600" i="1" s="1"/>
  <c r="AC1512" i="1" l="1"/>
  <c r="AF1511" i="1"/>
  <c r="L1513" i="1"/>
  <c r="AJ1512" i="1"/>
  <c r="AT1512" i="1" s="1"/>
  <c r="E1602" i="1"/>
  <c r="AQ1601" i="1"/>
  <c r="AR1601" i="1" s="1"/>
  <c r="AS1601" i="1" s="1"/>
  <c r="AC1513" i="1" l="1"/>
  <c r="AF1512" i="1"/>
  <c r="L1514" i="1"/>
  <c r="AJ1513" i="1"/>
  <c r="AT1513" i="1" s="1"/>
  <c r="E1603" i="1"/>
  <c r="AQ1602" i="1"/>
  <c r="AR1602" i="1" s="1"/>
  <c r="AS1602" i="1" s="1"/>
  <c r="AC1514" i="1" l="1"/>
  <c r="AF1513" i="1"/>
  <c r="L1515" i="1"/>
  <c r="AJ1514" i="1"/>
  <c r="AT1514" i="1" s="1"/>
  <c r="E1604" i="1"/>
  <c r="AQ1603" i="1"/>
  <c r="AR1603" i="1" s="1"/>
  <c r="AS1603" i="1" s="1"/>
  <c r="AC1515" i="1" l="1"/>
  <c r="AF1514" i="1"/>
  <c r="L1516" i="1"/>
  <c r="AJ1515" i="1"/>
  <c r="AT1515" i="1" s="1"/>
  <c r="E1605" i="1"/>
  <c r="AQ1604" i="1"/>
  <c r="AR1604" i="1" s="1"/>
  <c r="AS1604" i="1" s="1"/>
  <c r="AC1516" i="1" l="1"/>
  <c r="AF1515" i="1"/>
  <c r="L1517" i="1"/>
  <c r="AJ1516" i="1"/>
  <c r="AT1516" i="1" s="1"/>
  <c r="E1606" i="1"/>
  <c r="AQ1605" i="1"/>
  <c r="AR1605" i="1" s="1"/>
  <c r="AS1605" i="1" s="1"/>
  <c r="AC1517" i="1" l="1"/>
  <c r="AF1516" i="1"/>
  <c r="L1518" i="1"/>
  <c r="AJ1517" i="1"/>
  <c r="AT1517" i="1" s="1"/>
  <c r="E1607" i="1"/>
  <c r="AQ1606" i="1"/>
  <c r="AR1606" i="1" s="1"/>
  <c r="AS1606" i="1" s="1"/>
  <c r="AC1518" i="1" l="1"/>
  <c r="AF1517" i="1"/>
  <c r="L1519" i="1"/>
  <c r="AJ1518" i="1"/>
  <c r="AT1518" i="1" s="1"/>
  <c r="E1608" i="1"/>
  <c r="AQ1607" i="1"/>
  <c r="AR1607" i="1" s="1"/>
  <c r="AS1607" i="1" s="1"/>
  <c r="AC1519" i="1" l="1"/>
  <c r="AF1518" i="1"/>
  <c r="L1520" i="1"/>
  <c r="AJ1519" i="1"/>
  <c r="AT1519" i="1" s="1"/>
  <c r="E1609" i="1"/>
  <c r="AQ1608" i="1"/>
  <c r="AR1608" i="1" s="1"/>
  <c r="AS1608" i="1" s="1"/>
  <c r="AC1520" i="1" l="1"/>
  <c r="AF1519" i="1"/>
  <c r="L1521" i="1"/>
  <c r="AJ1520" i="1"/>
  <c r="AT1520" i="1" s="1"/>
  <c r="E1610" i="1"/>
  <c r="AQ1609" i="1"/>
  <c r="AR1609" i="1" s="1"/>
  <c r="AS1609" i="1" s="1"/>
  <c r="AC1521" i="1" l="1"/>
  <c r="AF1520" i="1"/>
  <c r="L1522" i="1"/>
  <c r="AJ1521" i="1"/>
  <c r="AT1521" i="1" s="1"/>
  <c r="E1611" i="1"/>
  <c r="AQ1610" i="1"/>
  <c r="AR1610" i="1" s="1"/>
  <c r="AS1610" i="1" s="1"/>
  <c r="AC1522" i="1" l="1"/>
  <c r="AF1521" i="1"/>
  <c r="L1523" i="1"/>
  <c r="AJ1522" i="1"/>
  <c r="AT1522" i="1" s="1"/>
  <c r="E1612" i="1"/>
  <c r="AQ1611" i="1"/>
  <c r="AR1611" i="1" s="1"/>
  <c r="AS1611" i="1" s="1"/>
  <c r="AC1523" i="1" l="1"/>
  <c r="AF1522" i="1"/>
  <c r="L1524" i="1"/>
  <c r="AJ1523" i="1"/>
  <c r="AT1523" i="1" s="1"/>
  <c r="E1613" i="1"/>
  <c r="AQ1612" i="1"/>
  <c r="AR1612" i="1" s="1"/>
  <c r="AS1612" i="1" s="1"/>
  <c r="AC1524" i="1" l="1"/>
  <c r="AF1523" i="1"/>
  <c r="L1525" i="1"/>
  <c r="AJ1524" i="1"/>
  <c r="AT1524" i="1" s="1"/>
  <c r="E1614" i="1"/>
  <c r="AQ1613" i="1"/>
  <c r="AR1613" i="1" s="1"/>
  <c r="AS1613" i="1" s="1"/>
  <c r="AC1525" i="1" l="1"/>
  <c r="AF1524" i="1"/>
  <c r="L1526" i="1"/>
  <c r="AJ1525" i="1"/>
  <c r="AT1525" i="1" s="1"/>
  <c r="E1615" i="1"/>
  <c r="AQ1614" i="1"/>
  <c r="AR1614" i="1" s="1"/>
  <c r="AS1614" i="1" s="1"/>
  <c r="AC1526" i="1" l="1"/>
  <c r="AF1525" i="1"/>
  <c r="L1527" i="1"/>
  <c r="AJ1526" i="1"/>
  <c r="AT1526" i="1" s="1"/>
  <c r="E1616" i="1"/>
  <c r="AQ1615" i="1"/>
  <c r="AR1615" i="1" s="1"/>
  <c r="AS1615" i="1" s="1"/>
  <c r="AC1527" i="1" l="1"/>
  <c r="AF1526" i="1"/>
  <c r="L1528" i="1"/>
  <c r="AJ1527" i="1"/>
  <c r="AT1527" i="1" s="1"/>
  <c r="E1617" i="1"/>
  <c r="AQ1616" i="1"/>
  <c r="AR1616" i="1" s="1"/>
  <c r="AS1616" i="1" s="1"/>
  <c r="AC1528" i="1" l="1"/>
  <c r="AF1527" i="1"/>
  <c r="L1529" i="1"/>
  <c r="AJ1528" i="1"/>
  <c r="AT1528" i="1" s="1"/>
  <c r="E1618" i="1"/>
  <c r="AQ1617" i="1"/>
  <c r="AR1617" i="1" s="1"/>
  <c r="AS1617" i="1" s="1"/>
  <c r="AC1529" i="1" l="1"/>
  <c r="AF1528" i="1"/>
  <c r="L1530" i="1"/>
  <c r="AJ1529" i="1"/>
  <c r="AT1529" i="1" s="1"/>
  <c r="E1619" i="1"/>
  <c r="AQ1618" i="1"/>
  <c r="AR1618" i="1" s="1"/>
  <c r="AS1618" i="1" s="1"/>
  <c r="AC1530" i="1" l="1"/>
  <c r="AF1529" i="1"/>
  <c r="L1531" i="1"/>
  <c r="AJ1530" i="1"/>
  <c r="AT1530" i="1" s="1"/>
  <c r="E1620" i="1"/>
  <c r="AQ1619" i="1"/>
  <c r="AR1619" i="1" s="1"/>
  <c r="AS1619" i="1" s="1"/>
  <c r="AC1531" i="1" l="1"/>
  <c r="AF1530" i="1"/>
  <c r="L1532" i="1"/>
  <c r="AJ1531" i="1"/>
  <c r="AT1531" i="1" s="1"/>
  <c r="E1621" i="1"/>
  <c r="AQ1620" i="1"/>
  <c r="AR1620" i="1" s="1"/>
  <c r="AS1620" i="1" s="1"/>
  <c r="AC1532" i="1" l="1"/>
  <c r="AF1531" i="1"/>
  <c r="L1533" i="1"/>
  <c r="AJ1532" i="1"/>
  <c r="AT1532" i="1" s="1"/>
  <c r="E1622" i="1"/>
  <c r="AQ1621" i="1"/>
  <c r="AR1621" i="1" s="1"/>
  <c r="AS1621" i="1" s="1"/>
  <c r="AC1533" i="1" l="1"/>
  <c r="AF1532" i="1"/>
  <c r="L1534" i="1"/>
  <c r="AJ1533" i="1"/>
  <c r="AT1533" i="1" s="1"/>
  <c r="E1623" i="1"/>
  <c r="AQ1622" i="1"/>
  <c r="AR1622" i="1" s="1"/>
  <c r="AS1622" i="1" s="1"/>
  <c r="AC1534" i="1" l="1"/>
  <c r="AF1533" i="1"/>
  <c r="L1535" i="1"/>
  <c r="AJ1534" i="1"/>
  <c r="AT1534" i="1" s="1"/>
  <c r="E1624" i="1"/>
  <c r="AQ1623" i="1"/>
  <c r="AR1623" i="1" s="1"/>
  <c r="AS1623" i="1" s="1"/>
  <c r="AC1535" i="1" l="1"/>
  <c r="AF1534" i="1"/>
  <c r="L1536" i="1"/>
  <c r="AJ1535" i="1"/>
  <c r="AT1535" i="1" s="1"/>
  <c r="E1625" i="1"/>
  <c r="AQ1624" i="1"/>
  <c r="AR1624" i="1" s="1"/>
  <c r="AS1624" i="1" s="1"/>
  <c r="AC1536" i="1" l="1"/>
  <c r="AF1535" i="1"/>
  <c r="L1537" i="1"/>
  <c r="AJ1536" i="1"/>
  <c r="AT1536" i="1" s="1"/>
  <c r="E1626" i="1"/>
  <c r="AQ1625" i="1"/>
  <c r="AR1625" i="1" s="1"/>
  <c r="AS1625" i="1" s="1"/>
  <c r="AC1537" i="1" l="1"/>
  <c r="AF1536" i="1"/>
  <c r="L1538" i="1"/>
  <c r="AJ1537" i="1"/>
  <c r="AT1537" i="1" s="1"/>
  <c r="E1627" i="1"/>
  <c r="AQ1626" i="1"/>
  <c r="AR1626" i="1" s="1"/>
  <c r="AS1626" i="1" s="1"/>
  <c r="AC1538" i="1" l="1"/>
  <c r="AF1537" i="1"/>
  <c r="L1539" i="1"/>
  <c r="AJ1538" i="1"/>
  <c r="AT1538" i="1" s="1"/>
  <c r="E1628" i="1"/>
  <c r="AQ1627" i="1"/>
  <c r="AR1627" i="1" s="1"/>
  <c r="AS1627" i="1" s="1"/>
  <c r="AC1539" i="1" l="1"/>
  <c r="AF1538" i="1"/>
  <c r="L1540" i="1"/>
  <c r="AJ1539" i="1"/>
  <c r="AT1539" i="1" s="1"/>
  <c r="E1629" i="1"/>
  <c r="AQ1628" i="1"/>
  <c r="AR1628" i="1" s="1"/>
  <c r="AS1628" i="1" s="1"/>
  <c r="AC1540" i="1" l="1"/>
  <c r="AF1539" i="1"/>
  <c r="L1541" i="1"/>
  <c r="AJ1540" i="1"/>
  <c r="AT1540" i="1" s="1"/>
  <c r="E1630" i="1"/>
  <c r="AQ1629" i="1"/>
  <c r="AR1629" i="1" s="1"/>
  <c r="AS1629" i="1" s="1"/>
  <c r="AC1541" i="1" l="1"/>
  <c r="AF1540" i="1"/>
  <c r="L1542" i="1"/>
  <c r="AJ1541" i="1"/>
  <c r="AT1541" i="1" s="1"/>
  <c r="E1631" i="1"/>
  <c r="AQ1630" i="1"/>
  <c r="AR1630" i="1" s="1"/>
  <c r="AS1630" i="1" s="1"/>
  <c r="AC1542" i="1" l="1"/>
  <c r="AF1541" i="1"/>
  <c r="L1543" i="1"/>
  <c r="AJ1542" i="1"/>
  <c r="AT1542" i="1" s="1"/>
  <c r="E1632" i="1"/>
  <c r="AQ1631" i="1"/>
  <c r="AR1631" i="1" s="1"/>
  <c r="AS1631" i="1" s="1"/>
  <c r="AC1543" i="1" l="1"/>
  <c r="AF1542" i="1"/>
  <c r="L1544" i="1"/>
  <c r="AJ1543" i="1"/>
  <c r="AT1543" i="1" s="1"/>
  <c r="E1633" i="1"/>
  <c r="AQ1632" i="1"/>
  <c r="AR1632" i="1" s="1"/>
  <c r="AS1632" i="1" s="1"/>
  <c r="AC1544" i="1" l="1"/>
  <c r="AF1543" i="1"/>
  <c r="L1545" i="1"/>
  <c r="AJ1544" i="1"/>
  <c r="AT1544" i="1" s="1"/>
  <c r="E1634" i="1"/>
  <c r="AQ1633" i="1"/>
  <c r="AR1633" i="1" s="1"/>
  <c r="AS1633" i="1" s="1"/>
  <c r="AC1545" i="1" l="1"/>
  <c r="AF1544" i="1"/>
  <c r="L1546" i="1"/>
  <c r="AJ1545" i="1"/>
  <c r="AT1545" i="1" s="1"/>
  <c r="E1635" i="1"/>
  <c r="AQ1634" i="1"/>
  <c r="AR1634" i="1" s="1"/>
  <c r="AC1546" i="1" l="1"/>
  <c r="AF1545" i="1"/>
  <c r="L1547" i="1"/>
  <c r="AJ1546" i="1"/>
  <c r="AT1546" i="1" s="1"/>
  <c r="AR1635" i="1"/>
  <c r="AS1635" i="1" s="1"/>
  <c r="AS1634" i="1"/>
  <c r="E1636" i="1"/>
  <c r="AC1547" i="1" l="1"/>
  <c r="AF1546" i="1"/>
  <c r="L1548" i="1"/>
  <c r="AJ1547" i="1"/>
  <c r="AT1547" i="1" s="1"/>
  <c r="E1637" i="1"/>
  <c r="AQ1636" i="1"/>
  <c r="AR1636" i="1" s="1"/>
  <c r="AS1636" i="1" s="1"/>
  <c r="AC1548" i="1" l="1"/>
  <c r="AF1547" i="1"/>
  <c r="L1549" i="1"/>
  <c r="AJ1548" i="1"/>
  <c r="AT1548" i="1" s="1"/>
  <c r="E1638" i="1"/>
  <c r="AQ1637" i="1"/>
  <c r="AR1637" i="1" s="1"/>
  <c r="AS1637" i="1" s="1"/>
  <c r="AC1549" i="1" l="1"/>
  <c r="AF1548" i="1"/>
  <c r="L1550" i="1"/>
  <c r="AJ1549" i="1"/>
  <c r="AT1549" i="1" s="1"/>
  <c r="E1639" i="1"/>
  <c r="AQ1638" i="1"/>
  <c r="AR1638" i="1" s="1"/>
  <c r="AS1638" i="1" s="1"/>
  <c r="AC1550" i="1" l="1"/>
  <c r="AF1549" i="1"/>
  <c r="L1551" i="1"/>
  <c r="AJ1550" i="1"/>
  <c r="AT1550" i="1" s="1"/>
  <c r="E1640" i="1"/>
  <c r="AQ1639" i="1"/>
  <c r="AR1639" i="1" s="1"/>
  <c r="AS1639" i="1" s="1"/>
  <c r="AC1551" i="1" l="1"/>
  <c r="AF1550" i="1"/>
  <c r="L1552" i="1"/>
  <c r="AJ1551" i="1"/>
  <c r="AT1551" i="1" s="1"/>
  <c r="E1641" i="1"/>
  <c r="AQ1640" i="1"/>
  <c r="AR1640" i="1" s="1"/>
  <c r="AS1640" i="1" s="1"/>
  <c r="AC1552" i="1" l="1"/>
  <c r="AF1551" i="1"/>
  <c r="L1553" i="1"/>
  <c r="AJ1552" i="1"/>
  <c r="AT1552" i="1" s="1"/>
  <c r="E1642" i="1"/>
  <c r="AQ1641" i="1"/>
  <c r="AR1641" i="1" s="1"/>
  <c r="AS1641" i="1" s="1"/>
  <c r="AC1553" i="1" l="1"/>
  <c r="AF1552" i="1"/>
  <c r="L1554" i="1"/>
  <c r="AJ1553" i="1"/>
  <c r="AT1553" i="1" s="1"/>
  <c r="E1643" i="1"/>
  <c r="AQ1642" i="1"/>
  <c r="AR1642" i="1" s="1"/>
  <c r="AS1642" i="1" s="1"/>
  <c r="AC1554" i="1" l="1"/>
  <c r="AF1553" i="1"/>
  <c r="L1555" i="1"/>
  <c r="AJ1554" i="1"/>
  <c r="AT1554" i="1" s="1"/>
  <c r="E1644" i="1"/>
  <c r="AQ1643" i="1"/>
  <c r="AR1643" i="1" s="1"/>
  <c r="AS1643" i="1" s="1"/>
  <c r="AC1555" i="1" l="1"/>
  <c r="AF1554" i="1"/>
  <c r="L1556" i="1"/>
  <c r="AJ1555" i="1"/>
  <c r="AT1555" i="1" s="1"/>
  <c r="E1645" i="1"/>
  <c r="AQ1644" i="1"/>
  <c r="AR1644" i="1" s="1"/>
  <c r="AS1644" i="1" s="1"/>
  <c r="AC1556" i="1" l="1"/>
  <c r="AF1555" i="1"/>
  <c r="L1557" i="1"/>
  <c r="AJ1556" i="1"/>
  <c r="AT1556" i="1" s="1"/>
  <c r="E1646" i="1"/>
  <c r="AQ1645" i="1"/>
  <c r="AR1645" i="1" s="1"/>
  <c r="AS1645" i="1" s="1"/>
  <c r="AC1557" i="1" l="1"/>
  <c r="AF1556" i="1"/>
  <c r="L1558" i="1"/>
  <c r="AJ1557" i="1"/>
  <c r="AT1557" i="1" s="1"/>
  <c r="E1647" i="1"/>
  <c r="AQ1646" i="1"/>
  <c r="AR1646" i="1" s="1"/>
  <c r="AS1646" i="1" s="1"/>
  <c r="AC1558" i="1" l="1"/>
  <c r="AF1557" i="1"/>
  <c r="L1559" i="1"/>
  <c r="AJ1558" i="1"/>
  <c r="AT1558" i="1" s="1"/>
  <c r="E1648" i="1"/>
  <c r="AQ1647" i="1"/>
  <c r="AR1647" i="1" s="1"/>
  <c r="AS1647" i="1" s="1"/>
  <c r="AC1559" i="1" l="1"/>
  <c r="AF1558" i="1"/>
  <c r="L1560" i="1"/>
  <c r="AJ1559" i="1"/>
  <c r="AT1559" i="1" s="1"/>
  <c r="E1649" i="1"/>
  <c r="AQ1648" i="1"/>
  <c r="AR1648" i="1" s="1"/>
  <c r="AS1648" i="1" s="1"/>
  <c r="AC1560" i="1" l="1"/>
  <c r="AF1559" i="1"/>
  <c r="L1561" i="1"/>
  <c r="AJ1560" i="1"/>
  <c r="AT1560" i="1" s="1"/>
  <c r="E1650" i="1"/>
  <c r="AQ1649" i="1"/>
  <c r="AR1649" i="1" s="1"/>
  <c r="AS1649" i="1" s="1"/>
  <c r="AC1561" i="1" l="1"/>
  <c r="AF1560" i="1"/>
  <c r="L1562" i="1"/>
  <c r="AJ1561" i="1"/>
  <c r="AT1561" i="1" s="1"/>
  <c r="E1651" i="1"/>
  <c r="AQ1650" i="1"/>
  <c r="AR1650" i="1" s="1"/>
  <c r="AS1650" i="1" s="1"/>
  <c r="AC1562" i="1" l="1"/>
  <c r="AF1561" i="1"/>
  <c r="L1563" i="1"/>
  <c r="AJ1562" i="1"/>
  <c r="AT1562" i="1" s="1"/>
  <c r="E1652" i="1"/>
  <c r="AQ1651" i="1"/>
  <c r="AR1651" i="1" s="1"/>
  <c r="AS1651" i="1" s="1"/>
  <c r="AC1563" i="1" l="1"/>
  <c r="AF1562" i="1"/>
  <c r="L1564" i="1"/>
  <c r="AJ1563" i="1"/>
  <c r="AT1563" i="1" s="1"/>
  <c r="E1653" i="1"/>
  <c r="AQ1652" i="1"/>
  <c r="AR1652" i="1" s="1"/>
  <c r="AS1652" i="1" s="1"/>
  <c r="AC1564" i="1" l="1"/>
  <c r="AF1563" i="1"/>
  <c r="L1565" i="1"/>
  <c r="AJ1564" i="1"/>
  <c r="AT1564" i="1" s="1"/>
  <c r="E1654" i="1"/>
  <c r="AQ1653" i="1"/>
  <c r="AR1653" i="1" s="1"/>
  <c r="AS1653" i="1" s="1"/>
  <c r="AC1565" i="1" l="1"/>
  <c r="AF1564" i="1"/>
  <c r="L1566" i="1"/>
  <c r="AJ1565" i="1"/>
  <c r="AT1565" i="1" s="1"/>
  <c r="E1655" i="1"/>
  <c r="AQ1654" i="1"/>
  <c r="AR1654" i="1" s="1"/>
  <c r="AS1654" i="1" s="1"/>
  <c r="AC1566" i="1" l="1"/>
  <c r="AF1565" i="1"/>
  <c r="L1567" i="1"/>
  <c r="AJ1566" i="1"/>
  <c r="AT1566" i="1" s="1"/>
  <c r="E1656" i="1"/>
  <c r="AQ1655" i="1"/>
  <c r="AR1655" i="1" s="1"/>
  <c r="AS1655" i="1" s="1"/>
  <c r="AC1567" i="1" l="1"/>
  <c r="AF1566" i="1"/>
  <c r="L1568" i="1"/>
  <c r="AJ1567" i="1"/>
  <c r="AT1567" i="1" s="1"/>
  <c r="E1657" i="1"/>
  <c r="AQ1656" i="1"/>
  <c r="AR1656" i="1" s="1"/>
  <c r="AS1656" i="1" s="1"/>
  <c r="AC1568" i="1" l="1"/>
  <c r="AF1567" i="1"/>
  <c r="L1569" i="1"/>
  <c r="AJ1568" i="1"/>
  <c r="AT1568" i="1" s="1"/>
  <c r="E1658" i="1"/>
  <c r="AQ1657" i="1"/>
  <c r="AR1657" i="1" s="1"/>
  <c r="AS1657" i="1" s="1"/>
  <c r="AC1569" i="1" l="1"/>
  <c r="AF1568" i="1"/>
  <c r="L1570" i="1"/>
  <c r="AJ1569" i="1"/>
  <c r="AT1569" i="1" s="1"/>
  <c r="E1659" i="1"/>
  <c r="AQ1658" i="1"/>
  <c r="AR1658" i="1" s="1"/>
  <c r="AS1658" i="1" s="1"/>
  <c r="AC1570" i="1" l="1"/>
  <c r="AF1569" i="1"/>
  <c r="L1571" i="1"/>
  <c r="AJ1570" i="1"/>
  <c r="AT1570" i="1" s="1"/>
  <c r="E1660" i="1"/>
  <c r="AQ1659" i="1"/>
  <c r="AR1659" i="1" s="1"/>
  <c r="AS1659" i="1" s="1"/>
  <c r="AC1571" i="1" l="1"/>
  <c r="AF1570" i="1"/>
  <c r="L1572" i="1"/>
  <c r="AJ1571" i="1"/>
  <c r="AT1571" i="1" s="1"/>
  <c r="E1661" i="1"/>
  <c r="AQ1660" i="1"/>
  <c r="AR1660" i="1" s="1"/>
  <c r="AS1660" i="1" s="1"/>
  <c r="AC1572" i="1" l="1"/>
  <c r="AF1571" i="1"/>
  <c r="L1573" i="1"/>
  <c r="AJ1572" i="1"/>
  <c r="AT1572" i="1" s="1"/>
  <c r="E1662" i="1"/>
  <c r="AQ1661" i="1"/>
  <c r="AR1661" i="1" s="1"/>
  <c r="AS1661" i="1" s="1"/>
  <c r="AC1573" i="1" l="1"/>
  <c r="AF1572" i="1"/>
  <c r="L1574" i="1"/>
  <c r="AJ1573" i="1"/>
  <c r="AT1573" i="1" s="1"/>
  <c r="E1663" i="1"/>
  <c r="AQ1662" i="1"/>
  <c r="AR1662" i="1" s="1"/>
  <c r="AS1662" i="1" s="1"/>
  <c r="AC1574" i="1" l="1"/>
  <c r="AF1573" i="1"/>
  <c r="L1575" i="1"/>
  <c r="AJ1574" i="1"/>
  <c r="AT1574" i="1" s="1"/>
  <c r="E1664" i="1"/>
  <c r="AQ1663" i="1"/>
  <c r="AR1663" i="1" s="1"/>
  <c r="AS1663" i="1" s="1"/>
  <c r="AC1575" i="1" l="1"/>
  <c r="AF1574" i="1"/>
  <c r="L1576" i="1"/>
  <c r="AJ1575" i="1"/>
  <c r="AT1575" i="1" s="1"/>
  <c r="E1665" i="1"/>
  <c r="AQ1664" i="1"/>
  <c r="AR1664" i="1" s="1"/>
  <c r="AS1664" i="1" s="1"/>
  <c r="AC1576" i="1" l="1"/>
  <c r="AF1575" i="1"/>
  <c r="L1577" i="1"/>
  <c r="AJ1576" i="1"/>
  <c r="AT1576" i="1" s="1"/>
  <c r="E1666" i="1"/>
  <c r="AQ1665" i="1"/>
  <c r="AR1665" i="1" s="1"/>
  <c r="AS1665" i="1" s="1"/>
  <c r="AC1577" i="1" l="1"/>
  <c r="AF1576" i="1"/>
  <c r="L1578" i="1"/>
  <c r="AJ1577" i="1"/>
  <c r="AT1577" i="1" s="1"/>
  <c r="E1667" i="1"/>
  <c r="AQ1666" i="1"/>
  <c r="AR1666" i="1" s="1"/>
  <c r="AS1666" i="1" s="1"/>
  <c r="AC1578" i="1" l="1"/>
  <c r="AF1577" i="1"/>
  <c r="L1579" i="1"/>
  <c r="AJ1578" i="1"/>
  <c r="AT1578" i="1" s="1"/>
  <c r="E1668" i="1"/>
  <c r="AQ1667" i="1"/>
  <c r="AR1667" i="1" s="1"/>
  <c r="AS1667" i="1" s="1"/>
  <c r="AC1579" i="1" l="1"/>
  <c r="AF1578" i="1"/>
  <c r="L1580" i="1"/>
  <c r="AJ1579" i="1"/>
  <c r="AT1579" i="1" s="1"/>
  <c r="E1669" i="1"/>
  <c r="AQ1668" i="1"/>
  <c r="AR1668" i="1" s="1"/>
  <c r="AS1668" i="1" s="1"/>
  <c r="AC1580" i="1" l="1"/>
  <c r="AF1579" i="1"/>
  <c r="L1581" i="1"/>
  <c r="AJ1580" i="1"/>
  <c r="AT1580" i="1" s="1"/>
  <c r="E1670" i="1"/>
  <c r="AQ1669" i="1"/>
  <c r="AR1669" i="1" s="1"/>
  <c r="AS1669" i="1" s="1"/>
  <c r="AC1581" i="1" l="1"/>
  <c r="AF1580" i="1"/>
  <c r="L1582" i="1"/>
  <c r="AJ1581" i="1"/>
  <c r="AT1581" i="1" s="1"/>
  <c r="E1671" i="1"/>
  <c r="AQ1670" i="1"/>
  <c r="AR1670" i="1" s="1"/>
  <c r="AS1670" i="1" s="1"/>
  <c r="AC1582" i="1" l="1"/>
  <c r="AF1581" i="1"/>
  <c r="L1583" i="1"/>
  <c r="AJ1582" i="1"/>
  <c r="AT1582" i="1" s="1"/>
  <c r="E1672" i="1"/>
  <c r="AQ1671" i="1"/>
  <c r="AR1671" i="1" s="1"/>
  <c r="AS1671" i="1" s="1"/>
  <c r="AC1583" i="1" l="1"/>
  <c r="AF1582" i="1"/>
  <c r="L1584" i="1"/>
  <c r="AJ1583" i="1"/>
  <c r="AT1583" i="1" s="1"/>
  <c r="E1673" i="1"/>
  <c r="AQ1672" i="1"/>
  <c r="AR1672" i="1" s="1"/>
  <c r="AS1672" i="1" s="1"/>
  <c r="AC1584" i="1" l="1"/>
  <c r="AF1583" i="1"/>
  <c r="L1585" i="1"/>
  <c r="AJ1584" i="1"/>
  <c r="AT1584" i="1" s="1"/>
  <c r="E1674" i="1"/>
  <c r="AQ1673" i="1"/>
  <c r="AR1673" i="1" s="1"/>
  <c r="AS1673" i="1" s="1"/>
  <c r="AC1585" i="1" l="1"/>
  <c r="AF1584" i="1"/>
  <c r="L1586" i="1"/>
  <c r="AJ1585" i="1"/>
  <c r="AT1585" i="1" s="1"/>
  <c r="E1675" i="1"/>
  <c r="AQ1674" i="1"/>
  <c r="AR1674" i="1" s="1"/>
  <c r="AS1674" i="1" s="1"/>
  <c r="AC1586" i="1" l="1"/>
  <c r="AF1585" i="1"/>
  <c r="L1587" i="1"/>
  <c r="AJ1586" i="1"/>
  <c r="AT1586" i="1" s="1"/>
  <c r="E1676" i="1"/>
  <c r="AQ1675" i="1"/>
  <c r="AR1675" i="1" s="1"/>
  <c r="AS1675" i="1" s="1"/>
  <c r="AC1587" i="1" l="1"/>
  <c r="AF1586" i="1"/>
  <c r="L1588" i="1"/>
  <c r="AJ1587" i="1"/>
  <c r="AT1587" i="1" s="1"/>
  <c r="E1677" i="1"/>
  <c r="AQ1676" i="1"/>
  <c r="AR1676" i="1" s="1"/>
  <c r="AS1676" i="1" s="1"/>
  <c r="AC1588" i="1" l="1"/>
  <c r="AF1587" i="1"/>
  <c r="L1589" i="1"/>
  <c r="AJ1588" i="1"/>
  <c r="AT1588" i="1" s="1"/>
  <c r="E1678" i="1"/>
  <c r="AQ1677" i="1"/>
  <c r="AR1677" i="1" s="1"/>
  <c r="AS1677" i="1" s="1"/>
  <c r="AC1589" i="1" l="1"/>
  <c r="AF1588" i="1"/>
  <c r="L1590" i="1"/>
  <c r="AJ1589" i="1"/>
  <c r="AT1589" i="1" s="1"/>
  <c r="E1679" i="1"/>
  <c r="AQ1678" i="1"/>
  <c r="AR1678" i="1" s="1"/>
  <c r="AS1678" i="1" s="1"/>
  <c r="AC1590" i="1" l="1"/>
  <c r="AF1589" i="1"/>
  <c r="L1591" i="1"/>
  <c r="AJ1590" i="1"/>
  <c r="AT1590" i="1" s="1"/>
  <c r="E1680" i="1"/>
  <c r="AQ1679" i="1"/>
  <c r="AR1679" i="1" s="1"/>
  <c r="AS1679" i="1" s="1"/>
  <c r="AC1591" i="1" l="1"/>
  <c r="AF1590" i="1"/>
  <c r="L1592" i="1"/>
  <c r="AJ1591" i="1"/>
  <c r="AT1591" i="1" s="1"/>
  <c r="E1681" i="1"/>
  <c r="AQ1680" i="1"/>
  <c r="AR1680" i="1" s="1"/>
  <c r="AS1680" i="1" s="1"/>
  <c r="AC1592" i="1" l="1"/>
  <c r="AF1591" i="1"/>
  <c r="L1593" i="1"/>
  <c r="AJ1592" i="1"/>
  <c r="AT1592" i="1" s="1"/>
  <c r="E1682" i="1"/>
  <c r="AQ1681" i="1"/>
  <c r="AR1681" i="1" s="1"/>
  <c r="AS1681" i="1" s="1"/>
  <c r="AC1593" i="1" l="1"/>
  <c r="AF1592" i="1"/>
  <c r="L1594" i="1"/>
  <c r="AJ1593" i="1"/>
  <c r="AT1593" i="1" s="1"/>
  <c r="E1683" i="1"/>
  <c r="AQ1682" i="1"/>
  <c r="AR1682" i="1" s="1"/>
  <c r="AS1682" i="1" s="1"/>
  <c r="AC1594" i="1" l="1"/>
  <c r="AF1593" i="1"/>
  <c r="L1595" i="1"/>
  <c r="AJ1594" i="1"/>
  <c r="AT1594" i="1" s="1"/>
  <c r="E1684" i="1"/>
  <c r="AQ1683" i="1"/>
  <c r="AR1683" i="1" s="1"/>
  <c r="AS1683" i="1" s="1"/>
  <c r="AC1595" i="1" l="1"/>
  <c r="AF1594" i="1"/>
  <c r="L1596" i="1"/>
  <c r="AJ1595" i="1"/>
  <c r="AT1595" i="1" s="1"/>
  <c r="E1685" i="1"/>
  <c r="AQ1684" i="1"/>
  <c r="AR1684" i="1" s="1"/>
  <c r="AS1684" i="1" s="1"/>
  <c r="AC1596" i="1" l="1"/>
  <c r="AF1595" i="1"/>
  <c r="L1597" i="1"/>
  <c r="AJ1596" i="1"/>
  <c r="AT1596" i="1" s="1"/>
  <c r="E1686" i="1"/>
  <c r="AQ1685" i="1"/>
  <c r="AR1685" i="1" s="1"/>
  <c r="AS1685" i="1" s="1"/>
  <c r="AC1597" i="1" l="1"/>
  <c r="AF1596" i="1"/>
  <c r="L1598" i="1"/>
  <c r="AJ1597" i="1"/>
  <c r="AT1597" i="1" s="1"/>
  <c r="E1687" i="1"/>
  <c r="AQ1686" i="1"/>
  <c r="AR1686" i="1" s="1"/>
  <c r="AS1686" i="1" s="1"/>
  <c r="AC1598" i="1" l="1"/>
  <c r="AF1597" i="1"/>
  <c r="L1599" i="1"/>
  <c r="AJ1598" i="1"/>
  <c r="AT1598" i="1" s="1"/>
  <c r="E1688" i="1"/>
  <c r="AQ1687" i="1"/>
  <c r="AR1687" i="1" s="1"/>
  <c r="AS1687" i="1" s="1"/>
  <c r="AC1599" i="1" l="1"/>
  <c r="AF1598" i="1"/>
  <c r="L1600" i="1"/>
  <c r="AJ1599" i="1"/>
  <c r="AT1599" i="1" s="1"/>
  <c r="E1689" i="1"/>
  <c r="AQ1688" i="1"/>
  <c r="AR1688" i="1" s="1"/>
  <c r="AS1688" i="1" s="1"/>
  <c r="AC1600" i="1" l="1"/>
  <c r="AF1599" i="1"/>
  <c r="L1601" i="1"/>
  <c r="AJ1600" i="1"/>
  <c r="AT1600" i="1" s="1"/>
  <c r="E1690" i="1"/>
  <c r="AQ1689" i="1"/>
  <c r="AR1689" i="1" s="1"/>
  <c r="AS1689" i="1" s="1"/>
  <c r="AC1601" i="1" l="1"/>
  <c r="AF1600" i="1"/>
  <c r="L1602" i="1"/>
  <c r="AJ1601" i="1"/>
  <c r="AT1601" i="1" s="1"/>
  <c r="E1691" i="1"/>
  <c r="AQ1690" i="1"/>
  <c r="AR1690" i="1" s="1"/>
  <c r="AS1690" i="1" s="1"/>
  <c r="AC1602" i="1" l="1"/>
  <c r="AF1601" i="1"/>
  <c r="L1603" i="1"/>
  <c r="AJ1602" i="1"/>
  <c r="AT1602" i="1" s="1"/>
  <c r="E1692" i="1"/>
  <c r="AQ1691" i="1"/>
  <c r="AR1691" i="1" s="1"/>
  <c r="AS1691" i="1" s="1"/>
  <c r="AC1603" i="1" l="1"/>
  <c r="AF1602" i="1"/>
  <c r="L1604" i="1"/>
  <c r="AJ1603" i="1"/>
  <c r="AT1603" i="1" s="1"/>
  <c r="E1693" i="1"/>
  <c r="AQ1692" i="1"/>
  <c r="AR1692" i="1" s="1"/>
  <c r="AS1692" i="1" s="1"/>
  <c r="AC1604" i="1" l="1"/>
  <c r="AF1603" i="1"/>
  <c r="L1605" i="1"/>
  <c r="AJ1604" i="1"/>
  <c r="AT1604" i="1" s="1"/>
  <c r="E1694" i="1"/>
  <c r="AQ1693" i="1"/>
  <c r="AR1693" i="1" s="1"/>
  <c r="AS1693" i="1" s="1"/>
  <c r="AC1605" i="1" l="1"/>
  <c r="AF1604" i="1"/>
  <c r="L1606" i="1"/>
  <c r="AJ1605" i="1"/>
  <c r="AT1605" i="1" s="1"/>
  <c r="E1695" i="1"/>
  <c r="AQ1694" i="1"/>
  <c r="AR1694" i="1" s="1"/>
  <c r="AS1694" i="1" s="1"/>
  <c r="AC1606" i="1" l="1"/>
  <c r="AF1605" i="1"/>
  <c r="L1607" i="1"/>
  <c r="AJ1606" i="1"/>
  <c r="AT1606" i="1" s="1"/>
  <c r="E1696" i="1"/>
  <c r="AQ1695" i="1"/>
  <c r="AR1695" i="1" s="1"/>
  <c r="AS1695" i="1" s="1"/>
  <c r="AC1607" i="1" l="1"/>
  <c r="AF1606" i="1"/>
  <c r="L1608" i="1"/>
  <c r="AJ1607" i="1"/>
  <c r="AT1607" i="1" s="1"/>
  <c r="E1697" i="1"/>
  <c r="AQ1696" i="1"/>
  <c r="AR1696" i="1" s="1"/>
  <c r="AS1696" i="1" s="1"/>
  <c r="AC1608" i="1" l="1"/>
  <c r="AF1607" i="1"/>
  <c r="L1609" i="1"/>
  <c r="AJ1608" i="1"/>
  <c r="AT1608" i="1" s="1"/>
  <c r="E1698" i="1"/>
  <c r="AQ1697" i="1"/>
  <c r="AR1697" i="1" s="1"/>
  <c r="AS1697" i="1" s="1"/>
  <c r="AC1609" i="1" l="1"/>
  <c r="AF1608" i="1"/>
  <c r="L1610" i="1"/>
  <c r="AJ1609" i="1"/>
  <c r="AT1609" i="1" s="1"/>
  <c r="E1699" i="1"/>
  <c r="AQ1698" i="1"/>
  <c r="AR1698" i="1" s="1"/>
  <c r="AS1698" i="1" s="1"/>
  <c r="AC1610" i="1" l="1"/>
  <c r="AF1609" i="1"/>
  <c r="L1611" i="1"/>
  <c r="AJ1610" i="1"/>
  <c r="AT1610" i="1" s="1"/>
  <c r="E1700" i="1"/>
  <c r="AQ1699" i="1"/>
  <c r="AR1699" i="1" s="1"/>
  <c r="AS1699" i="1" s="1"/>
  <c r="AC1611" i="1" l="1"/>
  <c r="AF1610" i="1"/>
  <c r="L1612" i="1"/>
  <c r="AJ1611" i="1"/>
  <c r="AT1611" i="1" s="1"/>
  <c r="E1701" i="1"/>
  <c r="AQ1700" i="1"/>
  <c r="AR1700" i="1" s="1"/>
  <c r="AS1700" i="1" s="1"/>
  <c r="AC1612" i="1" l="1"/>
  <c r="AF1611" i="1"/>
  <c r="L1613" i="1"/>
  <c r="AJ1612" i="1"/>
  <c r="AT1612" i="1" s="1"/>
  <c r="E1702" i="1"/>
  <c r="AQ1701" i="1"/>
  <c r="AR1701" i="1" s="1"/>
  <c r="AS1701" i="1" s="1"/>
  <c r="AC1613" i="1" l="1"/>
  <c r="AF1612" i="1"/>
  <c r="L1614" i="1"/>
  <c r="AJ1613" i="1"/>
  <c r="AT1613" i="1" s="1"/>
  <c r="E1703" i="1"/>
  <c r="AQ1702" i="1"/>
  <c r="AR1702" i="1" s="1"/>
  <c r="AS1702" i="1" s="1"/>
  <c r="AC1614" i="1" l="1"/>
  <c r="AF1613" i="1"/>
  <c r="L1615" i="1"/>
  <c r="AJ1614" i="1"/>
  <c r="AT1614" i="1" s="1"/>
  <c r="E1704" i="1"/>
  <c r="AQ1703" i="1"/>
  <c r="AR1703" i="1" s="1"/>
  <c r="AS1703" i="1" s="1"/>
  <c r="AC1615" i="1" l="1"/>
  <c r="AF1614" i="1"/>
  <c r="L1616" i="1"/>
  <c r="AJ1615" i="1"/>
  <c r="AT1615" i="1" s="1"/>
  <c r="E1705" i="1"/>
  <c r="AQ1704" i="1"/>
  <c r="AR1704" i="1" s="1"/>
  <c r="AS1704" i="1" s="1"/>
  <c r="AC1616" i="1" l="1"/>
  <c r="AF1615" i="1"/>
  <c r="L1617" i="1"/>
  <c r="AJ1616" i="1"/>
  <c r="AT1616" i="1" s="1"/>
  <c r="E1706" i="1"/>
  <c r="AQ1705" i="1"/>
  <c r="AR1705" i="1" s="1"/>
  <c r="AS1705" i="1" s="1"/>
  <c r="AC1617" i="1" l="1"/>
  <c r="AF1616" i="1"/>
  <c r="L1618" i="1"/>
  <c r="AJ1617" i="1"/>
  <c r="AT1617" i="1" s="1"/>
  <c r="E1707" i="1"/>
  <c r="AQ1706" i="1"/>
  <c r="AR1706" i="1" s="1"/>
  <c r="AS1706" i="1" s="1"/>
  <c r="AC1618" i="1" l="1"/>
  <c r="AF1617" i="1"/>
  <c r="L1619" i="1"/>
  <c r="AJ1618" i="1"/>
  <c r="AT1618" i="1" s="1"/>
  <c r="E1708" i="1"/>
  <c r="AQ1707" i="1"/>
  <c r="AR1707" i="1" s="1"/>
  <c r="AS1707" i="1" s="1"/>
  <c r="AC1619" i="1" l="1"/>
  <c r="AF1618" i="1"/>
  <c r="L1620" i="1"/>
  <c r="AJ1619" i="1"/>
  <c r="AT1619" i="1" s="1"/>
  <c r="E1709" i="1"/>
  <c r="AQ1708" i="1"/>
  <c r="AR1708" i="1" s="1"/>
  <c r="AS1708" i="1" s="1"/>
  <c r="AC1620" i="1" l="1"/>
  <c r="AF1619" i="1"/>
  <c r="L1621" i="1"/>
  <c r="AJ1620" i="1"/>
  <c r="AT1620" i="1" s="1"/>
  <c r="E1710" i="1"/>
  <c r="AQ1709" i="1"/>
  <c r="AR1709" i="1" s="1"/>
  <c r="AS1709" i="1" s="1"/>
  <c r="AC1621" i="1" l="1"/>
  <c r="AF1620" i="1"/>
  <c r="L1622" i="1"/>
  <c r="AJ1621" i="1"/>
  <c r="AT1621" i="1" s="1"/>
  <c r="E1711" i="1"/>
  <c r="AQ1710" i="1"/>
  <c r="AR1710" i="1" s="1"/>
  <c r="AS1710" i="1" s="1"/>
  <c r="AC1622" i="1" l="1"/>
  <c r="AF1621" i="1"/>
  <c r="L1623" i="1"/>
  <c r="AJ1622" i="1"/>
  <c r="AT1622" i="1" s="1"/>
  <c r="E1712" i="1"/>
  <c r="AQ1711" i="1"/>
  <c r="AR1711" i="1" s="1"/>
  <c r="AS1711" i="1" s="1"/>
  <c r="AC1623" i="1" l="1"/>
  <c r="AF1622" i="1"/>
  <c r="L1624" i="1"/>
  <c r="AJ1623" i="1"/>
  <c r="AT1623" i="1" s="1"/>
  <c r="E1713" i="1"/>
  <c r="AQ1712" i="1"/>
  <c r="AR1712" i="1" s="1"/>
  <c r="AS1712" i="1" s="1"/>
  <c r="AC1624" i="1" l="1"/>
  <c r="AF1623" i="1"/>
  <c r="L1625" i="1"/>
  <c r="AJ1624" i="1"/>
  <c r="AT1624" i="1" s="1"/>
  <c r="E1714" i="1"/>
  <c r="AQ1713" i="1"/>
  <c r="AR1713" i="1" s="1"/>
  <c r="AS1713" i="1" s="1"/>
  <c r="AC1625" i="1" l="1"/>
  <c r="AF1624" i="1"/>
  <c r="L1626" i="1"/>
  <c r="AJ1625" i="1"/>
  <c r="AT1625" i="1" s="1"/>
  <c r="E1715" i="1"/>
  <c r="AQ1714" i="1"/>
  <c r="AR1714" i="1" s="1"/>
  <c r="AS1714" i="1" s="1"/>
  <c r="AC1626" i="1" l="1"/>
  <c r="AF1625" i="1"/>
  <c r="L1627" i="1"/>
  <c r="AJ1626" i="1"/>
  <c r="AT1626" i="1" s="1"/>
  <c r="E1716" i="1"/>
  <c r="AQ1715" i="1"/>
  <c r="AR1715" i="1" s="1"/>
  <c r="AS1715" i="1" s="1"/>
  <c r="AC1627" i="1" l="1"/>
  <c r="AF1626" i="1"/>
  <c r="L1628" i="1"/>
  <c r="AJ1627" i="1"/>
  <c r="AT1627" i="1" s="1"/>
  <c r="E1717" i="1"/>
  <c r="AQ1716" i="1"/>
  <c r="AR1716" i="1" s="1"/>
  <c r="AS1716" i="1" s="1"/>
  <c r="AC1628" i="1" l="1"/>
  <c r="AF1627" i="1"/>
  <c r="L1629" i="1"/>
  <c r="AJ1628" i="1"/>
  <c r="AT1628" i="1" s="1"/>
  <c r="E1718" i="1"/>
  <c r="AQ1717" i="1"/>
  <c r="AR1717" i="1" s="1"/>
  <c r="AS1717" i="1" s="1"/>
  <c r="AC1629" i="1" l="1"/>
  <c r="AF1628" i="1"/>
  <c r="L1630" i="1"/>
  <c r="AJ1629" i="1"/>
  <c r="AT1629" i="1" s="1"/>
  <c r="E1719" i="1"/>
  <c r="AQ1718" i="1"/>
  <c r="AR1718" i="1" s="1"/>
  <c r="AS1718" i="1" s="1"/>
  <c r="AC1630" i="1" l="1"/>
  <c r="AF1629" i="1"/>
  <c r="L1631" i="1"/>
  <c r="AJ1630" i="1"/>
  <c r="AT1630" i="1" s="1"/>
  <c r="E1720" i="1"/>
  <c r="AQ1719" i="1"/>
  <c r="AR1719" i="1" s="1"/>
  <c r="AS1719" i="1" s="1"/>
  <c r="AC1631" i="1" l="1"/>
  <c r="AF1630" i="1"/>
  <c r="L1632" i="1"/>
  <c r="AJ1631" i="1"/>
  <c r="AT1631" i="1" s="1"/>
  <c r="E1721" i="1"/>
  <c r="AQ1720" i="1"/>
  <c r="AR1720" i="1" s="1"/>
  <c r="AS1720" i="1" s="1"/>
  <c r="AC1632" i="1" l="1"/>
  <c r="AF1631" i="1"/>
  <c r="L1633" i="1"/>
  <c r="AJ1632" i="1"/>
  <c r="AT1632" i="1" s="1"/>
  <c r="E1722" i="1"/>
  <c r="AQ1721" i="1"/>
  <c r="AR1721" i="1" s="1"/>
  <c r="AS1721" i="1" s="1"/>
  <c r="AC1633" i="1" l="1"/>
  <c r="AF1632" i="1"/>
  <c r="L1634" i="1"/>
  <c r="AJ1633" i="1"/>
  <c r="AT1633" i="1" s="1"/>
  <c r="E1723" i="1"/>
  <c r="AQ1722" i="1"/>
  <c r="AR1722" i="1" s="1"/>
  <c r="AS1722" i="1" s="1"/>
  <c r="AC1634" i="1" l="1"/>
  <c r="AF1633" i="1"/>
  <c r="L1635" i="1"/>
  <c r="AJ1634" i="1"/>
  <c r="AT1634" i="1" s="1"/>
  <c r="E1724" i="1"/>
  <c r="AQ1723" i="1"/>
  <c r="AR1723" i="1" s="1"/>
  <c r="AS1723" i="1" s="1"/>
  <c r="AC1635" i="1" l="1"/>
  <c r="AF1634" i="1"/>
  <c r="L1636" i="1"/>
  <c r="AJ1635" i="1"/>
  <c r="E1725" i="1"/>
  <c r="AQ1724" i="1"/>
  <c r="AR1724" i="1" s="1"/>
  <c r="AS1724" i="1" s="1"/>
  <c r="AC1636" i="1" l="1"/>
  <c r="AF1635" i="1"/>
  <c r="AP1635" i="1"/>
  <c r="AQ1635" i="1" s="1"/>
  <c r="AT1635" i="1"/>
  <c r="L1637" i="1"/>
  <c r="AJ1636" i="1"/>
  <c r="AT1636" i="1" s="1"/>
  <c r="E1726" i="1"/>
  <c r="AQ1725" i="1"/>
  <c r="AR1725" i="1" s="1"/>
  <c r="AS1725" i="1" s="1"/>
  <c r="AC1637" i="1" l="1"/>
  <c r="AF1636" i="1"/>
  <c r="L1638" i="1"/>
  <c r="AJ1637" i="1"/>
  <c r="AT1637" i="1" s="1"/>
  <c r="E1727" i="1"/>
  <c r="AQ1726" i="1"/>
  <c r="AR1726" i="1" s="1"/>
  <c r="AS1726" i="1" s="1"/>
  <c r="AC1638" i="1" l="1"/>
  <c r="AF1637" i="1"/>
  <c r="L1639" i="1"/>
  <c r="AJ1638" i="1"/>
  <c r="AT1638" i="1" s="1"/>
  <c r="E1728" i="1"/>
  <c r="AQ1727" i="1"/>
  <c r="AR1727" i="1" s="1"/>
  <c r="AS1727" i="1" s="1"/>
  <c r="AC1639" i="1" l="1"/>
  <c r="AF1638" i="1"/>
  <c r="L1640" i="1"/>
  <c r="AJ1639" i="1"/>
  <c r="AT1639" i="1" s="1"/>
  <c r="E1729" i="1"/>
  <c r="AQ1728" i="1"/>
  <c r="AR1728" i="1" s="1"/>
  <c r="AS1728" i="1" s="1"/>
  <c r="AC1640" i="1" l="1"/>
  <c r="AF1639" i="1"/>
  <c r="L1641" i="1"/>
  <c r="AJ1640" i="1"/>
  <c r="AT1640" i="1" s="1"/>
  <c r="E1730" i="1"/>
  <c r="AQ1729" i="1"/>
  <c r="AR1729" i="1" s="1"/>
  <c r="AS1729" i="1" s="1"/>
  <c r="AC1641" i="1" l="1"/>
  <c r="AF1640" i="1"/>
  <c r="L1642" i="1"/>
  <c r="AJ1641" i="1"/>
  <c r="AT1641" i="1" s="1"/>
  <c r="E1731" i="1"/>
  <c r="AQ1730" i="1"/>
  <c r="AR1730" i="1" s="1"/>
  <c r="AS1730" i="1" s="1"/>
  <c r="AC1642" i="1" l="1"/>
  <c r="AF1641" i="1"/>
  <c r="L1643" i="1"/>
  <c r="AJ1642" i="1"/>
  <c r="AT1642" i="1" s="1"/>
  <c r="E1732" i="1"/>
  <c r="AQ1731" i="1"/>
  <c r="AR1731" i="1" s="1"/>
  <c r="AS1731" i="1" s="1"/>
  <c r="AC1643" i="1" l="1"/>
  <c r="AF1642" i="1"/>
  <c r="L1644" i="1"/>
  <c r="AJ1643" i="1"/>
  <c r="AT1643" i="1" s="1"/>
  <c r="E1733" i="1"/>
  <c r="AQ1732" i="1"/>
  <c r="AR1732" i="1" s="1"/>
  <c r="AS1732" i="1" s="1"/>
  <c r="AC1644" i="1" l="1"/>
  <c r="AF1643" i="1"/>
  <c r="L1645" i="1"/>
  <c r="AJ1644" i="1"/>
  <c r="AT1644" i="1" s="1"/>
  <c r="E1734" i="1"/>
  <c r="AQ1733" i="1"/>
  <c r="AR1733" i="1" s="1"/>
  <c r="AS1733" i="1" s="1"/>
  <c r="AC1645" i="1" l="1"/>
  <c r="AF1644" i="1"/>
  <c r="L1646" i="1"/>
  <c r="AJ1645" i="1"/>
  <c r="AT1645" i="1" s="1"/>
  <c r="E1735" i="1"/>
  <c r="AQ1734" i="1"/>
  <c r="AR1734" i="1" s="1"/>
  <c r="AS1734" i="1" s="1"/>
  <c r="AC1646" i="1" l="1"/>
  <c r="AF1645" i="1"/>
  <c r="L1647" i="1"/>
  <c r="AJ1646" i="1"/>
  <c r="AT1646" i="1" s="1"/>
  <c r="E1736" i="1"/>
  <c r="AQ1735" i="1"/>
  <c r="AR1735" i="1" s="1"/>
  <c r="AS1735" i="1" s="1"/>
  <c r="AC1647" i="1" l="1"/>
  <c r="AF1646" i="1"/>
  <c r="L1648" i="1"/>
  <c r="AJ1647" i="1"/>
  <c r="AT1647" i="1" s="1"/>
  <c r="E1737" i="1"/>
  <c r="AQ1736" i="1"/>
  <c r="AR1736" i="1" s="1"/>
  <c r="AS1736" i="1" s="1"/>
  <c r="AC1648" i="1" l="1"/>
  <c r="AF1647" i="1"/>
  <c r="L1649" i="1"/>
  <c r="AJ1648" i="1"/>
  <c r="AT1648" i="1" s="1"/>
  <c r="E1738" i="1"/>
  <c r="AQ1737" i="1"/>
  <c r="AR1737" i="1" s="1"/>
  <c r="AS1737" i="1" s="1"/>
  <c r="AC1649" i="1" l="1"/>
  <c r="AF1648" i="1"/>
  <c r="L1650" i="1"/>
  <c r="AJ1649" i="1"/>
  <c r="AT1649" i="1" s="1"/>
  <c r="E1739" i="1"/>
  <c r="AQ1738" i="1"/>
  <c r="AR1738" i="1" s="1"/>
  <c r="AS1738" i="1" s="1"/>
  <c r="AC1650" i="1" l="1"/>
  <c r="AF1649" i="1"/>
  <c r="L1651" i="1"/>
  <c r="AJ1650" i="1"/>
  <c r="AT1650" i="1" s="1"/>
  <c r="E1740" i="1"/>
  <c r="AQ1739" i="1"/>
  <c r="AR1739" i="1" s="1"/>
  <c r="AS1739" i="1" s="1"/>
  <c r="AC1651" i="1" l="1"/>
  <c r="AF1650" i="1"/>
  <c r="L1652" i="1"/>
  <c r="AJ1651" i="1"/>
  <c r="AT1651" i="1" s="1"/>
  <c r="E1741" i="1"/>
  <c r="AQ1740" i="1"/>
  <c r="AR1740" i="1" s="1"/>
  <c r="AS1740" i="1" s="1"/>
  <c r="AC1652" i="1" l="1"/>
  <c r="AF1651" i="1"/>
  <c r="L1653" i="1"/>
  <c r="AJ1652" i="1"/>
  <c r="AT1652" i="1" s="1"/>
  <c r="E1742" i="1"/>
  <c r="AQ1741" i="1"/>
  <c r="AR1741" i="1" s="1"/>
  <c r="AS1741" i="1" s="1"/>
  <c r="AC1653" i="1" l="1"/>
  <c r="AF1652" i="1"/>
  <c r="L1654" i="1"/>
  <c r="AJ1653" i="1"/>
  <c r="AT1653" i="1" s="1"/>
  <c r="E1743" i="1"/>
  <c r="AQ1742" i="1"/>
  <c r="AR1742" i="1" s="1"/>
  <c r="AS1742" i="1" s="1"/>
  <c r="AC1654" i="1" l="1"/>
  <c r="AF1653" i="1"/>
  <c r="L1655" i="1"/>
  <c r="AJ1654" i="1"/>
  <c r="AT1654" i="1" s="1"/>
  <c r="E1744" i="1"/>
  <c r="AQ1743" i="1"/>
  <c r="AR1743" i="1" s="1"/>
  <c r="AS1743" i="1" s="1"/>
  <c r="AC1655" i="1" l="1"/>
  <c r="AF1654" i="1"/>
  <c r="L1656" i="1"/>
  <c r="AJ1655" i="1"/>
  <c r="AT1655" i="1" s="1"/>
  <c r="E1745" i="1"/>
  <c r="AQ1744" i="1"/>
  <c r="AR1744" i="1" s="1"/>
  <c r="AS1744" i="1" s="1"/>
  <c r="AC1656" i="1" l="1"/>
  <c r="AF1655" i="1"/>
  <c r="L1657" i="1"/>
  <c r="AJ1656" i="1"/>
  <c r="AT1656" i="1" s="1"/>
  <c r="E1746" i="1"/>
  <c r="AQ1745" i="1"/>
  <c r="AR1745" i="1" s="1"/>
  <c r="AS1745" i="1" s="1"/>
  <c r="AC1657" i="1" l="1"/>
  <c r="AF1656" i="1"/>
  <c r="L1658" i="1"/>
  <c r="AJ1657" i="1"/>
  <c r="AT1657" i="1" s="1"/>
  <c r="E1747" i="1"/>
  <c r="AQ1746" i="1"/>
  <c r="AR1746" i="1" s="1"/>
  <c r="AS1746" i="1" s="1"/>
  <c r="AC1658" i="1" l="1"/>
  <c r="AF1657" i="1"/>
  <c r="L1659" i="1"/>
  <c r="AJ1658" i="1"/>
  <c r="AT1658" i="1" s="1"/>
  <c r="E1748" i="1"/>
  <c r="AQ1747" i="1"/>
  <c r="AR1747" i="1" s="1"/>
  <c r="AS1747" i="1" s="1"/>
  <c r="AC1659" i="1" l="1"/>
  <c r="AF1658" i="1"/>
  <c r="L1660" i="1"/>
  <c r="AJ1659" i="1"/>
  <c r="AT1659" i="1" s="1"/>
  <c r="E1749" i="1"/>
  <c r="AQ1748" i="1"/>
  <c r="AR1748" i="1" s="1"/>
  <c r="AS1748" i="1" s="1"/>
  <c r="AC1660" i="1" l="1"/>
  <c r="AF1659" i="1"/>
  <c r="L1661" i="1"/>
  <c r="AJ1660" i="1"/>
  <c r="AT1660" i="1" s="1"/>
  <c r="E1750" i="1"/>
  <c r="AQ1749" i="1"/>
  <c r="AR1749" i="1" s="1"/>
  <c r="AS1749" i="1" s="1"/>
  <c r="AC1661" i="1" l="1"/>
  <c r="AF1660" i="1"/>
  <c r="L1662" i="1"/>
  <c r="AJ1661" i="1"/>
  <c r="AT1661" i="1" s="1"/>
  <c r="E1751" i="1"/>
  <c r="AQ1750" i="1"/>
  <c r="AR1750" i="1" s="1"/>
  <c r="AS1750" i="1" s="1"/>
  <c r="AC1662" i="1" l="1"/>
  <c r="AF1661" i="1"/>
  <c r="L1663" i="1"/>
  <c r="AJ1662" i="1"/>
  <c r="AT1662" i="1" s="1"/>
  <c r="E1752" i="1"/>
  <c r="AQ1751" i="1"/>
  <c r="AR1751" i="1" s="1"/>
  <c r="AS1751" i="1" s="1"/>
  <c r="AC1663" i="1" l="1"/>
  <c r="AF1662" i="1"/>
  <c r="L1664" i="1"/>
  <c r="AJ1663" i="1"/>
  <c r="AT1663" i="1" s="1"/>
  <c r="E1753" i="1"/>
  <c r="AQ1752" i="1"/>
  <c r="AR1752" i="1" s="1"/>
  <c r="AS1752" i="1" s="1"/>
  <c r="AC1664" i="1" l="1"/>
  <c r="AF1663" i="1"/>
  <c r="L1665" i="1"/>
  <c r="AJ1664" i="1"/>
  <c r="AT1664" i="1" s="1"/>
  <c r="E1754" i="1"/>
  <c r="AQ1753" i="1"/>
  <c r="AR1753" i="1" s="1"/>
  <c r="AS1753" i="1" s="1"/>
  <c r="AC1665" i="1" l="1"/>
  <c r="AF1664" i="1"/>
  <c r="L1666" i="1"/>
  <c r="AJ1665" i="1"/>
  <c r="AT1665" i="1" s="1"/>
  <c r="E1755" i="1"/>
  <c r="AQ1754" i="1"/>
  <c r="AR1754" i="1" s="1"/>
  <c r="AS1754" i="1" s="1"/>
  <c r="AC1666" i="1" l="1"/>
  <c r="AF1665" i="1"/>
  <c r="L1667" i="1"/>
  <c r="AJ1666" i="1"/>
  <c r="AT1666" i="1" s="1"/>
  <c r="E1756" i="1"/>
  <c r="AQ1755" i="1"/>
  <c r="AR1755" i="1" s="1"/>
  <c r="AS1755" i="1" s="1"/>
  <c r="AC1667" i="1" l="1"/>
  <c r="AF1666" i="1"/>
  <c r="L1668" i="1"/>
  <c r="AJ1667" i="1"/>
  <c r="AT1667" i="1" s="1"/>
  <c r="E1757" i="1"/>
  <c r="AQ1756" i="1"/>
  <c r="AR1756" i="1" s="1"/>
  <c r="AS1756" i="1" s="1"/>
  <c r="AC1668" i="1" l="1"/>
  <c r="AF1667" i="1"/>
  <c r="L1669" i="1"/>
  <c r="AJ1668" i="1"/>
  <c r="AT1668" i="1" s="1"/>
  <c r="E1758" i="1"/>
  <c r="AQ1757" i="1"/>
  <c r="AR1757" i="1" s="1"/>
  <c r="AS1757" i="1" s="1"/>
  <c r="AC1669" i="1" l="1"/>
  <c r="AF1668" i="1"/>
  <c r="L1670" i="1"/>
  <c r="AJ1669" i="1"/>
  <c r="AT1669" i="1" s="1"/>
  <c r="E1759" i="1"/>
  <c r="AQ1758" i="1"/>
  <c r="AR1758" i="1" s="1"/>
  <c r="AS1758" i="1" s="1"/>
  <c r="AC1670" i="1" l="1"/>
  <c r="AF1669" i="1"/>
  <c r="L1671" i="1"/>
  <c r="AJ1670" i="1"/>
  <c r="AT1670" i="1" s="1"/>
  <c r="E1760" i="1"/>
  <c r="AQ1759" i="1"/>
  <c r="AR1759" i="1" s="1"/>
  <c r="AS1759" i="1" s="1"/>
  <c r="AC1671" i="1" l="1"/>
  <c r="AF1670" i="1"/>
  <c r="L1672" i="1"/>
  <c r="AJ1671" i="1"/>
  <c r="AT1671" i="1" s="1"/>
  <c r="E1761" i="1"/>
  <c r="AQ1760" i="1"/>
  <c r="AR1760" i="1" s="1"/>
  <c r="AS1760" i="1" s="1"/>
  <c r="AC1672" i="1" l="1"/>
  <c r="AF1671" i="1"/>
  <c r="L1673" i="1"/>
  <c r="AJ1672" i="1"/>
  <c r="AT1672" i="1" s="1"/>
  <c r="E1762" i="1"/>
  <c r="AQ1761" i="1"/>
  <c r="AR1761" i="1" s="1"/>
  <c r="AS1761" i="1" s="1"/>
  <c r="AC1673" i="1" l="1"/>
  <c r="AF1672" i="1"/>
  <c r="L1674" i="1"/>
  <c r="AJ1673" i="1"/>
  <c r="AT1673" i="1" s="1"/>
  <c r="E1763" i="1"/>
  <c r="AQ1762" i="1"/>
  <c r="AR1762" i="1" s="1"/>
  <c r="AS1762" i="1" s="1"/>
  <c r="AC1674" i="1" l="1"/>
  <c r="AF1673" i="1"/>
  <c r="L1675" i="1"/>
  <c r="AJ1674" i="1"/>
  <c r="AT1674" i="1" s="1"/>
  <c r="E1764" i="1"/>
  <c r="AQ1763" i="1"/>
  <c r="AR1763" i="1" s="1"/>
  <c r="AS1763" i="1" s="1"/>
  <c r="AC1675" i="1" l="1"/>
  <c r="AF1674" i="1"/>
  <c r="L1676" i="1"/>
  <c r="AJ1675" i="1"/>
  <c r="AT1675" i="1" s="1"/>
  <c r="E1765" i="1"/>
  <c r="AQ1764" i="1"/>
  <c r="AR1764" i="1" s="1"/>
  <c r="AS1764" i="1" s="1"/>
  <c r="AC1676" i="1" l="1"/>
  <c r="AF1675" i="1"/>
  <c r="L1677" i="1"/>
  <c r="AJ1676" i="1"/>
  <c r="AT1676" i="1" s="1"/>
  <c r="E1766" i="1"/>
  <c r="AQ1765" i="1"/>
  <c r="AR1765" i="1" s="1"/>
  <c r="AS1765" i="1" s="1"/>
  <c r="AC1677" i="1" l="1"/>
  <c r="AF1676" i="1"/>
  <c r="L1678" i="1"/>
  <c r="AJ1677" i="1"/>
  <c r="AT1677" i="1" s="1"/>
  <c r="E1767" i="1"/>
  <c r="AQ1766" i="1"/>
  <c r="AR1766" i="1" s="1"/>
  <c r="AS1766" i="1" s="1"/>
  <c r="AC1678" i="1" l="1"/>
  <c r="AF1677" i="1"/>
  <c r="L1679" i="1"/>
  <c r="AJ1678" i="1"/>
  <c r="AT1678" i="1" s="1"/>
  <c r="E1768" i="1"/>
  <c r="AQ1767" i="1"/>
  <c r="AR1767" i="1" s="1"/>
  <c r="AS1767" i="1" s="1"/>
  <c r="AC1679" i="1" l="1"/>
  <c r="AF1678" i="1"/>
  <c r="L1680" i="1"/>
  <c r="AJ1679" i="1"/>
  <c r="AT1679" i="1" s="1"/>
  <c r="E1769" i="1"/>
  <c r="AQ1768" i="1"/>
  <c r="AR1768" i="1" s="1"/>
  <c r="AS1768" i="1" s="1"/>
  <c r="AC1680" i="1" l="1"/>
  <c r="AF1679" i="1"/>
  <c r="L1681" i="1"/>
  <c r="AJ1680" i="1"/>
  <c r="AT1680" i="1" s="1"/>
  <c r="E1770" i="1"/>
  <c r="AQ1769" i="1"/>
  <c r="AR1769" i="1" s="1"/>
  <c r="AS1769" i="1" s="1"/>
  <c r="AC1681" i="1" l="1"/>
  <c r="AF1680" i="1"/>
  <c r="L1682" i="1"/>
  <c r="AJ1681" i="1"/>
  <c r="AT1681" i="1" s="1"/>
  <c r="E1771" i="1"/>
  <c r="AQ1770" i="1"/>
  <c r="AR1770" i="1" s="1"/>
  <c r="AS1770" i="1" s="1"/>
  <c r="AC1682" i="1" l="1"/>
  <c r="AF1681" i="1"/>
  <c r="L1683" i="1"/>
  <c r="AJ1682" i="1"/>
  <c r="AT1682" i="1" s="1"/>
  <c r="E1772" i="1"/>
  <c r="AQ1771" i="1"/>
  <c r="AR1771" i="1" s="1"/>
  <c r="AS1771" i="1" s="1"/>
  <c r="AC1683" i="1" l="1"/>
  <c r="AF1682" i="1"/>
  <c r="L1684" i="1"/>
  <c r="AJ1683" i="1"/>
  <c r="AT1683" i="1" s="1"/>
  <c r="E1773" i="1"/>
  <c r="AQ1772" i="1"/>
  <c r="AR1772" i="1" s="1"/>
  <c r="AS1772" i="1" s="1"/>
  <c r="AC1684" i="1" l="1"/>
  <c r="AF1683" i="1"/>
  <c r="L1685" i="1"/>
  <c r="AJ1684" i="1"/>
  <c r="AT1684" i="1" s="1"/>
  <c r="E1774" i="1"/>
  <c r="AQ1773" i="1"/>
  <c r="AR1773" i="1" s="1"/>
  <c r="AS1773" i="1" s="1"/>
  <c r="AC1685" i="1" l="1"/>
  <c r="AF1684" i="1"/>
  <c r="L1686" i="1"/>
  <c r="AJ1685" i="1"/>
  <c r="AT1685" i="1" s="1"/>
  <c r="E1775" i="1"/>
  <c r="AQ1774" i="1"/>
  <c r="AR1774" i="1" s="1"/>
  <c r="AS1774" i="1" s="1"/>
  <c r="AC1686" i="1" l="1"/>
  <c r="AF1685" i="1"/>
  <c r="L1687" i="1"/>
  <c r="AJ1686" i="1"/>
  <c r="AT1686" i="1" s="1"/>
  <c r="E1776" i="1"/>
  <c r="AQ1775" i="1"/>
  <c r="AR1775" i="1" s="1"/>
  <c r="AS1775" i="1" s="1"/>
  <c r="AC1687" i="1" l="1"/>
  <c r="AF1686" i="1"/>
  <c r="L1688" i="1"/>
  <c r="AJ1687" i="1"/>
  <c r="AT1687" i="1" s="1"/>
  <c r="E1777" i="1"/>
  <c r="AQ1776" i="1"/>
  <c r="AR1776" i="1" s="1"/>
  <c r="AS1776" i="1" s="1"/>
  <c r="AC1688" i="1" l="1"/>
  <c r="AF1687" i="1"/>
  <c r="L1689" i="1"/>
  <c r="AJ1688" i="1"/>
  <c r="AT1688" i="1" s="1"/>
  <c r="E1778" i="1"/>
  <c r="AQ1777" i="1"/>
  <c r="AR1777" i="1" s="1"/>
  <c r="AS1777" i="1" s="1"/>
  <c r="AC1689" i="1" l="1"/>
  <c r="AF1688" i="1"/>
  <c r="L1690" i="1"/>
  <c r="AJ1689" i="1"/>
  <c r="AT1689" i="1" s="1"/>
  <c r="E1779" i="1"/>
  <c r="AQ1778" i="1"/>
  <c r="AR1778" i="1" s="1"/>
  <c r="AS1778" i="1" s="1"/>
  <c r="AC1690" i="1" l="1"/>
  <c r="AF1689" i="1"/>
  <c r="L1691" i="1"/>
  <c r="AJ1690" i="1"/>
  <c r="AT1690" i="1" s="1"/>
  <c r="E1780" i="1"/>
  <c r="AQ1779" i="1"/>
  <c r="AR1779" i="1" s="1"/>
  <c r="AS1779" i="1" s="1"/>
  <c r="AC1691" i="1" l="1"/>
  <c r="AF1690" i="1"/>
  <c r="L1692" i="1"/>
  <c r="AJ1691" i="1"/>
  <c r="AT1691" i="1" s="1"/>
  <c r="E1781" i="1"/>
  <c r="AQ1780" i="1"/>
  <c r="AR1780" i="1" s="1"/>
  <c r="AS1780" i="1" s="1"/>
  <c r="AC1692" i="1" l="1"/>
  <c r="AF1691" i="1"/>
  <c r="L1693" i="1"/>
  <c r="AJ1692" i="1"/>
  <c r="AT1692" i="1" s="1"/>
  <c r="E1782" i="1"/>
  <c r="AQ1781" i="1"/>
  <c r="AR1781" i="1" s="1"/>
  <c r="AS1781" i="1" s="1"/>
  <c r="AC1693" i="1" l="1"/>
  <c r="AF1692" i="1"/>
  <c r="L1694" i="1"/>
  <c r="AJ1693" i="1"/>
  <c r="AT1693" i="1" s="1"/>
  <c r="E1783" i="1"/>
  <c r="AQ1782" i="1"/>
  <c r="AR1782" i="1" s="1"/>
  <c r="AS1782" i="1" s="1"/>
  <c r="AC1694" i="1" l="1"/>
  <c r="AF1693" i="1"/>
  <c r="L1695" i="1"/>
  <c r="AJ1694" i="1"/>
  <c r="AT1694" i="1" s="1"/>
  <c r="E1784" i="1"/>
  <c r="AQ1783" i="1"/>
  <c r="AR1783" i="1" s="1"/>
  <c r="AS1783" i="1" s="1"/>
  <c r="AC1695" i="1" l="1"/>
  <c r="AF1694" i="1"/>
  <c r="L1696" i="1"/>
  <c r="AJ1695" i="1"/>
  <c r="AT1695" i="1" s="1"/>
  <c r="E1785" i="1"/>
  <c r="AQ1784" i="1"/>
  <c r="AR1784" i="1" s="1"/>
  <c r="AS1784" i="1" s="1"/>
  <c r="AC1696" i="1" l="1"/>
  <c r="AF1695" i="1"/>
  <c r="L1697" i="1"/>
  <c r="AJ1696" i="1"/>
  <c r="AT1696" i="1" s="1"/>
  <c r="E1786" i="1"/>
  <c r="AQ1785" i="1"/>
  <c r="AR1785" i="1" s="1"/>
  <c r="AS1785" i="1" s="1"/>
  <c r="AC1697" i="1" l="1"/>
  <c r="AF1696" i="1"/>
  <c r="L1698" i="1"/>
  <c r="AJ1697" i="1"/>
  <c r="AT1697" i="1" s="1"/>
  <c r="E1787" i="1"/>
  <c r="AQ1786" i="1"/>
  <c r="AR1786" i="1" s="1"/>
  <c r="AS1786" i="1" s="1"/>
  <c r="AC1698" i="1" l="1"/>
  <c r="AF1697" i="1"/>
  <c r="L1699" i="1"/>
  <c r="AJ1698" i="1"/>
  <c r="AT1698" i="1" s="1"/>
  <c r="E1788" i="1"/>
  <c r="AQ1787" i="1"/>
  <c r="AR1787" i="1" s="1"/>
  <c r="AS1787" i="1" s="1"/>
  <c r="AC1699" i="1" l="1"/>
  <c r="AF1698" i="1"/>
  <c r="L1700" i="1"/>
  <c r="AJ1699" i="1"/>
  <c r="AT1699" i="1" s="1"/>
  <c r="E1789" i="1"/>
  <c r="AQ1788" i="1"/>
  <c r="AR1788" i="1" s="1"/>
  <c r="AS1788" i="1" s="1"/>
  <c r="AC1700" i="1" l="1"/>
  <c r="AF1699" i="1"/>
  <c r="L1701" i="1"/>
  <c r="AJ1700" i="1"/>
  <c r="AT1700" i="1" s="1"/>
  <c r="E1790" i="1"/>
  <c r="AQ1789" i="1"/>
  <c r="AR1789" i="1" s="1"/>
  <c r="AS1789" i="1" s="1"/>
  <c r="AC1701" i="1" l="1"/>
  <c r="AF1700" i="1"/>
  <c r="L1702" i="1"/>
  <c r="AJ1701" i="1"/>
  <c r="AT1701" i="1" s="1"/>
  <c r="E1791" i="1"/>
  <c r="AQ1790" i="1"/>
  <c r="AR1790" i="1" s="1"/>
  <c r="AS1790" i="1" s="1"/>
  <c r="AC1702" i="1" l="1"/>
  <c r="AF1701" i="1"/>
  <c r="L1703" i="1"/>
  <c r="AJ1702" i="1"/>
  <c r="AT1702" i="1" s="1"/>
  <c r="E1792" i="1"/>
  <c r="AQ1791" i="1"/>
  <c r="AR1791" i="1" s="1"/>
  <c r="AS1791" i="1" s="1"/>
  <c r="AC1703" i="1" l="1"/>
  <c r="AF1702" i="1"/>
  <c r="L1704" i="1"/>
  <c r="AJ1703" i="1"/>
  <c r="AT1703" i="1" s="1"/>
  <c r="E1793" i="1"/>
  <c r="AQ1792" i="1"/>
  <c r="AR1792" i="1" s="1"/>
  <c r="AS1792" i="1" s="1"/>
  <c r="AC1704" i="1" l="1"/>
  <c r="AF1703" i="1"/>
  <c r="L1705" i="1"/>
  <c r="AJ1704" i="1"/>
  <c r="AT1704" i="1" s="1"/>
  <c r="E1794" i="1"/>
  <c r="AQ1793" i="1"/>
  <c r="AR1793" i="1" s="1"/>
  <c r="AS1793" i="1" s="1"/>
  <c r="AC1705" i="1" l="1"/>
  <c r="AF1704" i="1"/>
  <c r="L1706" i="1"/>
  <c r="AJ1705" i="1"/>
  <c r="AT1705" i="1" s="1"/>
  <c r="E1795" i="1"/>
  <c r="AQ1794" i="1"/>
  <c r="AR1794" i="1" s="1"/>
  <c r="AS1794" i="1" s="1"/>
  <c r="AC1706" i="1" l="1"/>
  <c r="AF1705" i="1"/>
  <c r="L1707" i="1"/>
  <c r="AJ1706" i="1"/>
  <c r="AT1706" i="1" s="1"/>
  <c r="E1796" i="1"/>
  <c r="AQ1795" i="1"/>
  <c r="AR1795" i="1" s="1"/>
  <c r="AS1795" i="1" s="1"/>
  <c r="AC1707" i="1" l="1"/>
  <c r="AF1706" i="1"/>
  <c r="L1708" i="1"/>
  <c r="AJ1707" i="1"/>
  <c r="AT1707" i="1" s="1"/>
  <c r="E1797" i="1"/>
  <c r="AQ1796" i="1"/>
  <c r="AR1796" i="1" s="1"/>
  <c r="AS1796" i="1" s="1"/>
  <c r="AC1708" i="1" l="1"/>
  <c r="AF1707" i="1"/>
  <c r="L1709" i="1"/>
  <c r="AJ1708" i="1"/>
  <c r="AT1708" i="1" s="1"/>
  <c r="E1798" i="1"/>
  <c r="AQ1797" i="1"/>
  <c r="AR1797" i="1" s="1"/>
  <c r="AS1797" i="1" s="1"/>
  <c r="AC1709" i="1" l="1"/>
  <c r="AF1708" i="1"/>
  <c r="L1710" i="1"/>
  <c r="AJ1709" i="1"/>
  <c r="AT1709" i="1" s="1"/>
  <c r="E1799" i="1"/>
  <c r="AQ1798" i="1"/>
  <c r="AR1798" i="1" s="1"/>
  <c r="AS1798" i="1" s="1"/>
  <c r="AC1710" i="1" l="1"/>
  <c r="AF1709" i="1"/>
  <c r="L1711" i="1"/>
  <c r="AJ1710" i="1"/>
  <c r="AT1710" i="1" s="1"/>
  <c r="E1800" i="1"/>
  <c r="AQ1799" i="1"/>
  <c r="AR1799" i="1" s="1"/>
  <c r="AS1799" i="1" s="1"/>
  <c r="AC1711" i="1" l="1"/>
  <c r="AF1710" i="1"/>
  <c r="L1712" i="1"/>
  <c r="AJ1711" i="1"/>
  <c r="AT1711" i="1" s="1"/>
  <c r="E1801" i="1"/>
  <c r="AQ1800" i="1"/>
  <c r="AR1800" i="1" s="1"/>
  <c r="AS1800" i="1" s="1"/>
  <c r="AC1712" i="1" l="1"/>
  <c r="AF1711" i="1"/>
  <c r="L1713" i="1"/>
  <c r="AJ1712" i="1"/>
  <c r="AT1712" i="1" s="1"/>
  <c r="E1802" i="1"/>
  <c r="AQ1801" i="1"/>
  <c r="AR1801" i="1" s="1"/>
  <c r="AS1801" i="1" s="1"/>
  <c r="AC1713" i="1" l="1"/>
  <c r="AF1712" i="1"/>
  <c r="L1714" i="1"/>
  <c r="AJ1713" i="1"/>
  <c r="AT1713" i="1" s="1"/>
  <c r="E1803" i="1"/>
  <c r="AQ1802" i="1"/>
  <c r="AR1802" i="1" s="1"/>
  <c r="AS1802" i="1" s="1"/>
  <c r="AC1714" i="1" l="1"/>
  <c r="AF1713" i="1"/>
  <c r="L1715" i="1"/>
  <c r="AJ1714" i="1"/>
  <c r="AT1714" i="1" s="1"/>
  <c r="E1804" i="1"/>
  <c r="AQ1803" i="1"/>
  <c r="AR1803" i="1" s="1"/>
  <c r="AS1803" i="1" s="1"/>
  <c r="AC1715" i="1" l="1"/>
  <c r="AF1714" i="1"/>
  <c r="L1716" i="1"/>
  <c r="AJ1715" i="1"/>
  <c r="AT1715" i="1" s="1"/>
  <c r="E1805" i="1"/>
  <c r="AQ1804" i="1"/>
  <c r="AR1804" i="1" s="1"/>
  <c r="AS1804" i="1" s="1"/>
  <c r="AC1716" i="1" l="1"/>
  <c r="AF1715" i="1"/>
  <c r="L1717" i="1"/>
  <c r="AJ1716" i="1"/>
  <c r="AT1716" i="1" s="1"/>
  <c r="E1806" i="1"/>
  <c r="AQ1805" i="1"/>
  <c r="AR1805" i="1" s="1"/>
  <c r="AS1805" i="1" s="1"/>
  <c r="AC1717" i="1" l="1"/>
  <c r="AF1716" i="1"/>
  <c r="L1718" i="1"/>
  <c r="AJ1717" i="1"/>
  <c r="AT1717" i="1" s="1"/>
  <c r="E1807" i="1"/>
  <c r="AQ1806" i="1"/>
  <c r="AR1806" i="1" s="1"/>
  <c r="AS1806" i="1" s="1"/>
  <c r="AC1718" i="1" l="1"/>
  <c r="AF1717" i="1"/>
  <c r="L1719" i="1"/>
  <c r="AJ1718" i="1"/>
  <c r="AT1718" i="1" s="1"/>
  <c r="E1808" i="1"/>
  <c r="AQ1807" i="1"/>
  <c r="AR1807" i="1" s="1"/>
  <c r="AS1807" i="1" s="1"/>
  <c r="AC1719" i="1" l="1"/>
  <c r="AF1718" i="1"/>
  <c r="L1720" i="1"/>
  <c r="AJ1719" i="1"/>
  <c r="AT1719" i="1" s="1"/>
  <c r="E1809" i="1"/>
  <c r="AQ1808" i="1"/>
  <c r="AR1808" i="1" s="1"/>
  <c r="AS1808" i="1" s="1"/>
  <c r="AC1720" i="1" l="1"/>
  <c r="AF1719" i="1"/>
  <c r="L1721" i="1"/>
  <c r="AJ1720" i="1"/>
  <c r="AT1720" i="1" s="1"/>
  <c r="E1810" i="1"/>
  <c r="AQ1809" i="1"/>
  <c r="AR1809" i="1" s="1"/>
  <c r="AS1809" i="1" s="1"/>
  <c r="AC1721" i="1" l="1"/>
  <c r="AF1720" i="1"/>
  <c r="L1722" i="1"/>
  <c r="AJ1721" i="1"/>
  <c r="AT1721" i="1" s="1"/>
  <c r="E1811" i="1"/>
  <c r="AQ1810" i="1"/>
  <c r="AR1810" i="1" s="1"/>
  <c r="AS1810" i="1" s="1"/>
  <c r="AC1722" i="1" l="1"/>
  <c r="AF1721" i="1"/>
  <c r="L1723" i="1"/>
  <c r="AJ1722" i="1"/>
  <c r="AT1722" i="1" s="1"/>
  <c r="E1812" i="1"/>
  <c r="AQ1811" i="1"/>
  <c r="AR1811" i="1" s="1"/>
  <c r="AS1811" i="1" s="1"/>
  <c r="AC1723" i="1" l="1"/>
  <c r="AF1722" i="1"/>
  <c r="L1724" i="1"/>
  <c r="AJ1723" i="1"/>
  <c r="AT1723" i="1" s="1"/>
  <c r="E1813" i="1"/>
  <c r="AQ1812" i="1"/>
  <c r="AR1812" i="1" s="1"/>
  <c r="AS1812" i="1" s="1"/>
  <c r="AC1724" i="1" l="1"/>
  <c r="AF1723" i="1"/>
  <c r="L1725" i="1"/>
  <c r="AJ1724" i="1"/>
  <c r="AT1724" i="1" s="1"/>
  <c r="E1814" i="1"/>
  <c r="AQ1813" i="1"/>
  <c r="AR1813" i="1" s="1"/>
  <c r="AS1813" i="1" s="1"/>
  <c r="AC1725" i="1" l="1"/>
  <c r="AF1724" i="1"/>
  <c r="L1726" i="1"/>
  <c r="AJ1725" i="1"/>
  <c r="AT1725" i="1" s="1"/>
  <c r="E1815" i="1"/>
  <c r="AQ1814" i="1"/>
  <c r="AR1814" i="1" s="1"/>
  <c r="AS1814" i="1" s="1"/>
  <c r="AC1726" i="1" l="1"/>
  <c r="AF1725" i="1"/>
  <c r="L1727" i="1"/>
  <c r="AJ1726" i="1"/>
  <c r="AT1726" i="1" s="1"/>
  <c r="E1816" i="1"/>
  <c r="AQ1815" i="1"/>
  <c r="AR1815" i="1" s="1"/>
  <c r="AS1815" i="1" s="1"/>
  <c r="AC1727" i="1" l="1"/>
  <c r="AF1726" i="1"/>
  <c r="L1728" i="1"/>
  <c r="AJ1727" i="1"/>
  <c r="AT1727" i="1" s="1"/>
  <c r="E1817" i="1"/>
  <c r="AQ1816" i="1"/>
  <c r="AR1816" i="1" s="1"/>
  <c r="AS1816" i="1" s="1"/>
  <c r="AC1728" i="1" l="1"/>
  <c r="AF1727" i="1"/>
  <c r="L1729" i="1"/>
  <c r="AJ1728" i="1"/>
  <c r="AT1728" i="1" s="1"/>
  <c r="E1818" i="1"/>
  <c r="AQ1817" i="1"/>
  <c r="AR1817" i="1" s="1"/>
  <c r="AS1817" i="1" s="1"/>
  <c r="AC1729" i="1" l="1"/>
  <c r="AF1728" i="1"/>
  <c r="L1730" i="1"/>
  <c r="AJ1729" i="1"/>
  <c r="AT1729" i="1" s="1"/>
  <c r="E1819" i="1"/>
  <c r="AQ1818" i="1"/>
  <c r="AR1818" i="1" s="1"/>
  <c r="AS1818" i="1" s="1"/>
  <c r="AC1730" i="1" l="1"/>
  <c r="AF1729" i="1"/>
  <c r="L1731" i="1"/>
  <c r="AJ1730" i="1"/>
  <c r="AT1730" i="1" s="1"/>
  <c r="E1820" i="1"/>
  <c r="AQ1819" i="1"/>
  <c r="AR1819" i="1" s="1"/>
  <c r="AS1819" i="1" s="1"/>
  <c r="AC1731" i="1" l="1"/>
  <c r="AF1730" i="1"/>
  <c r="L1732" i="1"/>
  <c r="AJ1731" i="1"/>
  <c r="AT1731" i="1" s="1"/>
  <c r="E1821" i="1"/>
  <c r="AQ1820" i="1"/>
  <c r="AR1820" i="1" s="1"/>
  <c r="AS1820" i="1" s="1"/>
  <c r="AC1732" i="1" l="1"/>
  <c r="AF1731" i="1"/>
  <c r="L1733" i="1"/>
  <c r="AJ1732" i="1"/>
  <c r="AT1732" i="1" s="1"/>
  <c r="E1822" i="1"/>
  <c r="AQ1821" i="1"/>
  <c r="AR1821" i="1" s="1"/>
  <c r="AS1821" i="1" s="1"/>
  <c r="AC1733" i="1" l="1"/>
  <c r="AF1732" i="1"/>
  <c r="L1734" i="1"/>
  <c r="AJ1733" i="1"/>
  <c r="AT1733" i="1" s="1"/>
  <c r="E1823" i="1"/>
  <c r="AQ1822" i="1"/>
  <c r="AR1822" i="1" s="1"/>
  <c r="AS1822" i="1" s="1"/>
  <c r="AC1734" i="1" l="1"/>
  <c r="AF1733" i="1"/>
  <c r="L1735" i="1"/>
  <c r="AJ1734" i="1"/>
  <c r="AT1734" i="1" s="1"/>
  <c r="E1824" i="1"/>
  <c r="AQ1823" i="1"/>
  <c r="AR1823" i="1" s="1"/>
  <c r="AS1823" i="1" s="1"/>
  <c r="AC1735" i="1" l="1"/>
  <c r="AF1734" i="1"/>
  <c r="L1736" i="1"/>
  <c r="AJ1735" i="1"/>
  <c r="AT1735" i="1" s="1"/>
  <c r="E1825" i="1"/>
  <c r="AQ1824" i="1"/>
  <c r="AR1824" i="1" s="1"/>
  <c r="AS1824" i="1" s="1"/>
  <c r="AC1736" i="1" l="1"/>
  <c r="AF1735" i="1"/>
  <c r="L1737" i="1"/>
  <c r="AJ1736" i="1"/>
  <c r="AT1736" i="1" s="1"/>
  <c r="E1826" i="1"/>
  <c r="AQ1825" i="1"/>
  <c r="AR1825" i="1" s="1"/>
  <c r="AS1825" i="1" s="1"/>
  <c r="AC1737" i="1" l="1"/>
  <c r="AF1736" i="1"/>
  <c r="L1738" i="1"/>
  <c r="AJ1737" i="1"/>
  <c r="AT1737" i="1" s="1"/>
  <c r="E1827" i="1"/>
  <c r="AQ1826" i="1"/>
  <c r="AR1826" i="1" s="1"/>
  <c r="AS1826" i="1" s="1"/>
  <c r="AC1738" i="1" l="1"/>
  <c r="AF1737" i="1"/>
  <c r="L1739" i="1"/>
  <c r="AJ1738" i="1"/>
  <c r="AT1738" i="1" s="1"/>
  <c r="E1828" i="1"/>
  <c r="AQ1827" i="1"/>
  <c r="AR1827" i="1" s="1"/>
  <c r="AS1827" i="1" s="1"/>
  <c r="AC1739" i="1" l="1"/>
  <c r="AF1738" i="1"/>
  <c r="L1740" i="1"/>
  <c r="AJ1739" i="1"/>
  <c r="AT1739" i="1" s="1"/>
  <c r="E1829" i="1"/>
  <c r="AQ1828" i="1"/>
  <c r="AR1828" i="1" s="1"/>
  <c r="AS1828" i="1" s="1"/>
  <c r="AC1740" i="1" l="1"/>
  <c r="AF1739" i="1"/>
  <c r="L1741" i="1"/>
  <c r="AJ1740" i="1"/>
  <c r="AT1740" i="1" s="1"/>
  <c r="E1830" i="1"/>
  <c r="AQ1829" i="1"/>
  <c r="AR1829" i="1" s="1"/>
  <c r="AS1829" i="1" s="1"/>
  <c r="AC1741" i="1" l="1"/>
  <c r="AF1740" i="1"/>
  <c r="L1742" i="1"/>
  <c r="AJ1741" i="1"/>
  <c r="AT1741" i="1" s="1"/>
  <c r="E1831" i="1"/>
  <c r="AQ1830" i="1"/>
  <c r="AR1830" i="1" s="1"/>
  <c r="AS1830" i="1" s="1"/>
  <c r="AC1742" i="1" l="1"/>
  <c r="AF1741" i="1"/>
  <c r="L1743" i="1"/>
  <c r="AJ1742" i="1"/>
  <c r="AT1742" i="1" s="1"/>
  <c r="E1832" i="1"/>
  <c r="AQ1831" i="1"/>
  <c r="AR1831" i="1" s="1"/>
  <c r="AS1831" i="1" s="1"/>
  <c r="AC1743" i="1" l="1"/>
  <c r="AF1742" i="1"/>
  <c r="L1744" i="1"/>
  <c r="AJ1743" i="1"/>
  <c r="AT1743" i="1" s="1"/>
  <c r="E1833" i="1"/>
  <c r="AQ1832" i="1"/>
  <c r="AR1832" i="1" s="1"/>
  <c r="AS1832" i="1" s="1"/>
  <c r="AC1744" i="1" l="1"/>
  <c r="AF1743" i="1"/>
  <c r="L1745" i="1"/>
  <c r="AJ1744" i="1"/>
  <c r="AT1744" i="1" s="1"/>
  <c r="E1834" i="1"/>
  <c r="AQ1833" i="1"/>
  <c r="AR1833" i="1" s="1"/>
  <c r="AS1833" i="1" s="1"/>
  <c r="AC1745" i="1" l="1"/>
  <c r="AF1744" i="1"/>
  <c r="L1746" i="1"/>
  <c r="AJ1745" i="1"/>
  <c r="AT1745" i="1" s="1"/>
  <c r="E1835" i="1"/>
  <c r="AQ1834" i="1"/>
  <c r="AR1834" i="1" s="1"/>
  <c r="AS1834" i="1" s="1"/>
  <c r="AC1746" i="1" l="1"/>
  <c r="AF1745" i="1"/>
  <c r="L1747" i="1"/>
  <c r="AJ1746" i="1"/>
  <c r="AT1746" i="1" s="1"/>
  <c r="E1836" i="1"/>
  <c r="AQ1835" i="1"/>
  <c r="AR1835" i="1" s="1"/>
  <c r="AS1835" i="1" s="1"/>
  <c r="AC1747" i="1" l="1"/>
  <c r="AF1746" i="1"/>
  <c r="L1748" i="1"/>
  <c r="AJ1747" i="1"/>
  <c r="AT1747" i="1" s="1"/>
  <c r="E1837" i="1"/>
  <c r="AQ1836" i="1"/>
  <c r="AR1836" i="1" s="1"/>
  <c r="AS1836" i="1" s="1"/>
  <c r="AC1748" i="1" l="1"/>
  <c r="AF1747" i="1"/>
  <c r="L1749" i="1"/>
  <c r="AJ1748" i="1"/>
  <c r="AT1748" i="1" s="1"/>
  <c r="E1838" i="1"/>
  <c r="AQ1837" i="1"/>
  <c r="AR1837" i="1" s="1"/>
  <c r="AS1837" i="1" s="1"/>
  <c r="AC1749" i="1" l="1"/>
  <c r="AF1748" i="1"/>
  <c r="L1750" i="1"/>
  <c r="AJ1749" i="1"/>
  <c r="AT1749" i="1" s="1"/>
  <c r="E1839" i="1"/>
  <c r="AQ1838" i="1"/>
  <c r="AR1838" i="1" s="1"/>
  <c r="AS1838" i="1" s="1"/>
  <c r="AC1750" i="1" l="1"/>
  <c r="AF1749" i="1"/>
  <c r="L1751" i="1"/>
  <c r="AJ1750" i="1"/>
  <c r="AT1750" i="1" s="1"/>
  <c r="E1840" i="1"/>
  <c r="AQ1839" i="1"/>
  <c r="AR1839" i="1" s="1"/>
  <c r="AS1839" i="1" s="1"/>
  <c r="AC1751" i="1" l="1"/>
  <c r="AF1750" i="1"/>
  <c r="L1752" i="1"/>
  <c r="AJ1751" i="1"/>
  <c r="AT1751" i="1" s="1"/>
  <c r="E1841" i="1"/>
  <c r="AQ1840" i="1"/>
  <c r="AR1840" i="1" s="1"/>
  <c r="AS1840" i="1" s="1"/>
  <c r="AC1752" i="1" l="1"/>
  <c r="AF1751" i="1"/>
  <c r="L1753" i="1"/>
  <c r="AJ1752" i="1"/>
  <c r="AT1752" i="1" s="1"/>
  <c r="E1842" i="1"/>
  <c r="AQ1841" i="1"/>
  <c r="AR1841" i="1" s="1"/>
  <c r="AS1841" i="1" s="1"/>
  <c r="AC1753" i="1" l="1"/>
  <c r="AF1752" i="1"/>
  <c r="L1754" i="1"/>
  <c r="AJ1753" i="1"/>
  <c r="AT1753" i="1" s="1"/>
  <c r="E1843" i="1"/>
  <c r="AQ1842" i="1"/>
  <c r="AR1842" i="1" s="1"/>
  <c r="AS1842" i="1" s="1"/>
  <c r="AC1754" i="1" l="1"/>
  <c r="AF1753" i="1"/>
  <c r="L1755" i="1"/>
  <c r="AJ1754" i="1"/>
  <c r="AT1754" i="1" s="1"/>
  <c r="E1844" i="1"/>
  <c r="AQ1843" i="1"/>
  <c r="AR1843" i="1" s="1"/>
  <c r="AS1843" i="1" s="1"/>
  <c r="AC1755" i="1" l="1"/>
  <c r="AF1754" i="1"/>
  <c r="L1756" i="1"/>
  <c r="AJ1755" i="1"/>
  <c r="AT1755" i="1" s="1"/>
  <c r="E1845" i="1"/>
  <c r="AQ1844" i="1"/>
  <c r="AR1844" i="1" s="1"/>
  <c r="AS1844" i="1" s="1"/>
  <c r="AC1756" i="1" l="1"/>
  <c r="AF1755" i="1"/>
  <c r="L1757" i="1"/>
  <c r="AJ1756" i="1"/>
  <c r="AT1756" i="1" s="1"/>
  <c r="E1846" i="1"/>
  <c r="AQ1845" i="1"/>
  <c r="AR1845" i="1" s="1"/>
  <c r="AS1845" i="1" s="1"/>
  <c r="AC1757" i="1" l="1"/>
  <c r="AF1756" i="1"/>
  <c r="L1758" i="1"/>
  <c r="AJ1757" i="1"/>
  <c r="AT1757" i="1" s="1"/>
  <c r="E1847" i="1"/>
  <c r="AQ1846" i="1"/>
  <c r="AR1846" i="1" s="1"/>
  <c r="AS1846" i="1" s="1"/>
  <c r="AC1758" i="1" l="1"/>
  <c r="AF1757" i="1"/>
  <c r="L1759" i="1"/>
  <c r="AJ1758" i="1"/>
  <c r="AT1758" i="1" s="1"/>
  <c r="E1848" i="1"/>
  <c r="AQ1847" i="1"/>
  <c r="AR1847" i="1" s="1"/>
  <c r="AS1847" i="1" s="1"/>
  <c r="AC1759" i="1" l="1"/>
  <c r="AF1758" i="1"/>
  <c r="L1760" i="1"/>
  <c r="AJ1759" i="1"/>
  <c r="AT1759" i="1" s="1"/>
  <c r="E1849" i="1"/>
  <c r="AQ1848" i="1"/>
  <c r="AR1848" i="1" s="1"/>
  <c r="AS1848" i="1" s="1"/>
  <c r="AC1760" i="1" l="1"/>
  <c r="AF1759" i="1"/>
  <c r="L1761" i="1"/>
  <c r="AJ1760" i="1"/>
  <c r="AT1760" i="1" s="1"/>
  <c r="E1850" i="1"/>
  <c r="AQ1849" i="1"/>
  <c r="AR1849" i="1" s="1"/>
  <c r="AS1849" i="1" s="1"/>
  <c r="AC1761" i="1" l="1"/>
  <c r="AF1760" i="1"/>
  <c r="L1762" i="1"/>
  <c r="AJ1761" i="1"/>
  <c r="AT1761" i="1" s="1"/>
  <c r="E1851" i="1"/>
  <c r="AQ1850" i="1"/>
  <c r="AR1850" i="1" s="1"/>
  <c r="AS1850" i="1" s="1"/>
  <c r="AC1762" i="1" l="1"/>
  <c r="AF1761" i="1"/>
  <c r="L1763" i="1"/>
  <c r="AJ1762" i="1"/>
  <c r="AT1762" i="1" s="1"/>
  <c r="E1852" i="1"/>
  <c r="AQ1851" i="1"/>
  <c r="AR1851" i="1" s="1"/>
  <c r="AS1851" i="1" s="1"/>
  <c r="AC1763" i="1" l="1"/>
  <c r="AF1762" i="1"/>
  <c r="L1764" i="1"/>
  <c r="AJ1763" i="1"/>
  <c r="AT1763" i="1" s="1"/>
  <c r="E1853" i="1"/>
  <c r="AQ1852" i="1"/>
  <c r="AR1852" i="1" s="1"/>
  <c r="AS1852" i="1" s="1"/>
  <c r="AC1764" i="1" l="1"/>
  <c r="AF1763" i="1"/>
  <c r="L1765" i="1"/>
  <c r="AJ1764" i="1"/>
  <c r="AT1764" i="1" s="1"/>
  <c r="E1854" i="1"/>
  <c r="AQ1853" i="1"/>
  <c r="AR1853" i="1" s="1"/>
  <c r="AS1853" i="1" s="1"/>
  <c r="AC1765" i="1" l="1"/>
  <c r="AF1764" i="1"/>
  <c r="L1766" i="1"/>
  <c r="AJ1765" i="1"/>
  <c r="AT1765" i="1" s="1"/>
  <c r="E1855" i="1"/>
  <c r="AQ1854" i="1"/>
  <c r="AR1854" i="1" s="1"/>
  <c r="AS1854" i="1" s="1"/>
  <c r="AC1766" i="1" l="1"/>
  <c r="AF1765" i="1"/>
  <c r="L1767" i="1"/>
  <c r="AJ1766" i="1"/>
  <c r="AT1766" i="1" s="1"/>
  <c r="E1856" i="1"/>
  <c r="AQ1855" i="1"/>
  <c r="AR1855" i="1" s="1"/>
  <c r="AS1855" i="1" s="1"/>
  <c r="AC1767" i="1" l="1"/>
  <c r="AF1766" i="1"/>
  <c r="L1768" i="1"/>
  <c r="AJ1767" i="1"/>
  <c r="AT1767" i="1" s="1"/>
  <c r="E1857" i="1"/>
  <c r="AQ1856" i="1"/>
  <c r="AR1856" i="1" s="1"/>
  <c r="AS1856" i="1" s="1"/>
  <c r="AC1768" i="1" l="1"/>
  <c r="AF1767" i="1"/>
  <c r="L1769" i="1"/>
  <c r="AJ1768" i="1"/>
  <c r="AT1768" i="1" s="1"/>
  <c r="E1858" i="1"/>
  <c r="AQ1857" i="1"/>
  <c r="AR1857" i="1" s="1"/>
  <c r="AS1857" i="1" s="1"/>
  <c r="AC1769" i="1" l="1"/>
  <c r="AF1768" i="1"/>
  <c r="L1770" i="1"/>
  <c r="AJ1769" i="1"/>
  <c r="AT1769" i="1" s="1"/>
  <c r="E1859" i="1"/>
  <c r="AQ1858" i="1"/>
  <c r="AR1858" i="1" s="1"/>
  <c r="AS1858" i="1" s="1"/>
  <c r="AC1770" i="1" l="1"/>
  <c r="AF1769" i="1"/>
  <c r="L1771" i="1"/>
  <c r="AJ1770" i="1"/>
  <c r="AT1770" i="1" s="1"/>
  <c r="E1860" i="1"/>
  <c r="AQ1859" i="1"/>
  <c r="AR1859" i="1" s="1"/>
  <c r="AS1859" i="1" s="1"/>
  <c r="AC1771" i="1" l="1"/>
  <c r="AF1770" i="1"/>
  <c r="L1772" i="1"/>
  <c r="AJ1771" i="1"/>
  <c r="AT1771" i="1" s="1"/>
  <c r="E1861" i="1"/>
  <c r="AQ1860" i="1"/>
  <c r="AR1860" i="1" s="1"/>
  <c r="AS1860" i="1" s="1"/>
  <c r="AC1772" i="1" l="1"/>
  <c r="AF1771" i="1"/>
  <c r="L1773" i="1"/>
  <c r="AJ1772" i="1"/>
  <c r="AT1772" i="1" s="1"/>
  <c r="E1862" i="1"/>
  <c r="AQ1861" i="1"/>
  <c r="AR1861" i="1" s="1"/>
  <c r="AS1861" i="1" s="1"/>
  <c r="AC1773" i="1" l="1"/>
  <c r="AF1772" i="1"/>
  <c r="L1774" i="1"/>
  <c r="AJ1773" i="1"/>
  <c r="AT1773" i="1" s="1"/>
  <c r="E1863" i="1"/>
  <c r="AQ1862" i="1"/>
  <c r="AR1862" i="1" s="1"/>
  <c r="AS1862" i="1" s="1"/>
  <c r="AC1774" i="1" l="1"/>
  <c r="AF1773" i="1"/>
  <c r="L1775" i="1"/>
  <c r="AJ1774" i="1"/>
  <c r="AT1774" i="1" s="1"/>
  <c r="E1864" i="1"/>
  <c r="AQ1863" i="1"/>
  <c r="AR1863" i="1" s="1"/>
  <c r="AS1863" i="1" s="1"/>
  <c r="AC1775" i="1" l="1"/>
  <c r="AF1774" i="1"/>
  <c r="L1776" i="1"/>
  <c r="AJ1775" i="1"/>
  <c r="AT1775" i="1" s="1"/>
  <c r="E1865" i="1"/>
  <c r="AQ1864" i="1"/>
  <c r="AR1864" i="1" s="1"/>
  <c r="AS1864" i="1" s="1"/>
  <c r="AC1776" i="1" l="1"/>
  <c r="AF1775" i="1"/>
  <c r="L1777" i="1"/>
  <c r="AJ1776" i="1"/>
  <c r="AT1776" i="1" s="1"/>
  <c r="E1866" i="1"/>
  <c r="AQ1865" i="1"/>
  <c r="AR1865" i="1" s="1"/>
  <c r="AS1865" i="1" s="1"/>
  <c r="AC1777" i="1" l="1"/>
  <c r="AF1776" i="1"/>
  <c r="L1778" i="1"/>
  <c r="AJ1777" i="1"/>
  <c r="AT1777" i="1" s="1"/>
  <c r="E1867" i="1"/>
  <c r="AQ1866" i="1"/>
  <c r="AR1866" i="1" s="1"/>
  <c r="AS1866" i="1" s="1"/>
  <c r="AC1778" i="1" l="1"/>
  <c r="AF1777" i="1"/>
  <c r="L1779" i="1"/>
  <c r="AJ1778" i="1"/>
  <c r="AT1778" i="1" s="1"/>
  <c r="E1868" i="1"/>
  <c r="AQ1867" i="1"/>
  <c r="AR1867" i="1" s="1"/>
  <c r="AS1867" i="1" s="1"/>
  <c r="AC1779" i="1" l="1"/>
  <c r="AF1778" i="1"/>
  <c r="L1780" i="1"/>
  <c r="AJ1779" i="1"/>
  <c r="AT1779" i="1" s="1"/>
  <c r="E1869" i="1"/>
  <c r="AQ1868" i="1"/>
  <c r="AR1868" i="1" s="1"/>
  <c r="AS1868" i="1" s="1"/>
  <c r="AC1780" i="1" l="1"/>
  <c r="AF1779" i="1"/>
  <c r="L1781" i="1"/>
  <c r="AJ1780" i="1"/>
  <c r="AT1780" i="1" s="1"/>
  <c r="E1870" i="1"/>
  <c r="AQ1869" i="1"/>
  <c r="AR1869" i="1" s="1"/>
  <c r="AS1869" i="1" s="1"/>
  <c r="AC1781" i="1" l="1"/>
  <c r="AF1780" i="1"/>
  <c r="L1782" i="1"/>
  <c r="AJ1781" i="1"/>
  <c r="AT1781" i="1" s="1"/>
  <c r="E1871" i="1"/>
  <c r="AQ1870" i="1"/>
  <c r="AR1870" i="1" s="1"/>
  <c r="AS1870" i="1" s="1"/>
  <c r="AC1782" i="1" l="1"/>
  <c r="AF1781" i="1"/>
  <c r="L1783" i="1"/>
  <c r="AJ1782" i="1"/>
  <c r="AT1782" i="1" s="1"/>
  <c r="E1872" i="1"/>
  <c r="AQ1871" i="1"/>
  <c r="AR1871" i="1" s="1"/>
  <c r="AS1871" i="1" s="1"/>
  <c r="AC1783" i="1" l="1"/>
  <c r="AF1782" i="1"/>
  <c r="L1784" i="1"/>
  <c r="AJ1783" i="1"/>
  <c r="AT1783" i="1" s="1"/>
  <c r="E1873" i="1"/>
  <c r="AQ1872" i="1"/>
  <c r="AR1872" i="1" s="1"/>
  <c r="AS1872" i="1" s="1"/>
  <c r="AC1784" i="1" l="1"/>
  <c r="AF1783" i="1"/>
  <c r="L1785" i="1"/>
  <c r="AJ1784" i="1"/>
  <c r="AT1784" i="1" s="1"/>
  <c r="E1874" i="1"/>
  <c r="AQ1873" i="1"/>
  <c r="AR1873" i="1" s="1"/>
  <c r="AS1873" i="1" s="1"/>
  <c r="AC1785" i="1" l="1"/>
  <c r="AF1784" i="1"/>
  <c r="L1786" i="1"/>
  <c r="AJ1785" i="1"/>
  <c r="AT1785" i="1" s="1"/>
  <c r="E1875" i="1"/>
  <c r="AQ1874" i="1"/>
  <c r="AR1874" i="1" s="1"/>
  <c r="AS1874" i="1" s="1"/>
  <c r="AC1786" i="1" l="1"/>
  <c r="AF1785" i="1"/>
  <c r="L1787" i="1"/>
  <c r="AJ1786" i="1"/>
  <c r="AT1786" i="1" s="1"/>
  <c r="E1876" i="1"/>
  <c r="AQ1875" i="1"/>
  <c r="AR1875" i="1" s="1"/>
  <c r="AS1875" i="1" s="1"/>
  <c r="AC1787" i="1" l="1"/>
  <c r="AF1786" i="1"/>
  <c r="L1788" i="1"/>
  <c r="AJ1787" i="1"/>
  <c r="AT1787" i="1" s="1"/>
  <c r="E1877" i="1"/>
  <c r="AQ1876" i="1"/>
  <c r="AR1876" i="1" s="1"/>
  <c r="AS1876" i="1" s="1"/>
  <c r="AC1788" i="1" l="1"/>
  <c r="AF1787" i="1"/>
  <c r="L1789" i="1"/>
  <c r="AJ1788" i="1"/>
  <c r="AT1788" i="1" s="1"/>
  <c r="E1878" i="1"/>
  <c r="AQ1877" i="1"/>
  <c r="AR1877" i="1" s="1"/>
  <c r="AS1877" i="1" s="1"/>
  <c r="AC1789" i="1" l="1"/>
  <c r="AF1788" i="1"/>
  <c r="L1790" i="1"/>
  <c r="AJ1789" i="1"/>
  <c r="AT1789" i="1" s="1"/>
  <c r="E1879" i="1"/>
  <c r="AQ1878" i="1"/>
  <c r="AR1878" i="1" s="1"/>
  <c r="AS1878" i="1" s="1"/>
  <c r="AC1790" i="1" l="1"/>
  <c r="AF1789" i="1"/>
  <c r="L1791" i="1"/>
  <c r="AJ1790" i="1"/>
  <c r="AT1790" i="1" s="1"/>
  <c r="E1880" i="1"/>
  <c r="AQ1879" i="1"/>
  <c r="AR1879" i="1" s="1"/>
  <c r="AS1879" i="1" s="1"/>
  <c r="AC1791" i="1" l="1"/>
  <c r="AF1790" i="1"/>
  <c r="L1792" i="1"/>
  <c r="AJ1791" i="1"/>
  <c r="AT1791" i="1" s="1"/>
  <c r="E1881" i="1"/>
  <c r="AQ1880" i="1"/>
  <c r="AR1880" i="1" s="1"/>
  <c r="AS1880" i="1" s="1"/>
  <c r="AC1792" i="1" l="1"/>
  <c r="AF1791" i="1"/>
  <c r="L1793" i="1"/>
  <c r="AJ1792" i="1"/>
  <c r="AT1792" i="1" s="1"/>
  <c r="E1882" i="1"/>
  <c r="AQ1881" i="1"/>
  <c r="AR1881" i="1" s="1"/>
  <c r="AS1881" i="1" s="1"/>
  <c r="AC1793" i="1" l="1"/>
  <c r="AF1792" i="1"/>
  <c r="L1794" i="1"/>
  <c r="AJ1793" i="1"/>
  <c r="AT1793" i="1" s="1"/>
  <c r="E1883" i="1"/>
  <c r="AQ1882" i="1"/>
  <c r="AR1882" i="1" s="1"/>
  <c r="AS1882" i="1" s="1"/>
  <c r="AC1794" i="1" l="1"/>
  <c r="AF1793" i="1"/>
  <c r="L1795" i="1"/>
  <c r="AJ1794" i="1"/>
  <c r="AT1794" i="1" s="1"/>
  <c r="E1884" i="1"/>
  <c r="AQ1883" i="1"/>
  <c r="AR1883" i="1" s="1"/>
  <c r="AS1883" i="1" s="1"/>
  <c r="AC1795" i="1" l="1"/>
  <c r="AF1794" i="1"/>
  <c r="L1796" i="1"/>
  <c r="AJ1795" i="1"/>
  <c r="AT1795" i="1" s="1"/>
  <c r="E1885" i="1"/>
  <c r="AQ1884" i="1"/>
  <c r="AR1884" i="1" s="1"/>
  <c r="AS1884" i="1" s="1"/>
  <c r="AC1796" i="1" l="1"/>
  <c r="AF1795" i="1"/>
  <c r="L1797" i="1"/>
  <c r="AJ1796" i="1"/>
  <c r="AT1796" i="1" s="1"/>
  <c r="E1886" i="1"/>
  <c r="AQ1885" i="1"/>
  <c r="AR1885" i="1" s="1"/>
  <c r="AS1885" i="1" s="1"/>
  <c r="AC1797" i="1" l="1"/>
  <c r="AF1796" i="1"/>
  <c r="L1798" i="1"/>
  <c r="AJ1797" i="1"/>
  <c r="AT1797" i="1" s="1"/>
  <c r="E1887" i="1"/>
  <c r="AQ1886" i="1"/>
  <c r="AR1886" i="1" s="1"/>
  <c r="AS1886" i="1" s="1"/>
  <c r="AC1798" i="1" l="1"/>
  <c r="AF1797" i="1"/>
  <c r="L1799" i="1"/>
  <c r="AJ1798" i="1"/>
  <c r="AT1798" i="1" s="1"/>
  <c r="E1888" i="1"/>
  <c r="AQ1887" i="1"/>
  <c r="AR1887" i="1" s="1"/>
  <c r="AS1887" i="1" s="1"/>
  <c r="AC1799" i="1" l="1"/>
  <c r="AF1798" i="1"/>
  <c r="L1800" i="1"/>
  <c r="AJ1799" i="1"/>
  <c r="AT1799" i="1" s="1"/>
  <c r="E1889" i="1"/>
  <c r="AQ1888" i="1"/>
  <c r="AR1888" i="1" s="1"/>
  <c r="AS1888" i="1" s="1"/>
  <c r="AC1800" i="1" l="1"/>
  <c r="AF1799" i="1"/>
  <c r="L1801" i="1"/>
  <c r="AJ1800" i="1"/>
  <c r="AT1800" i="1" s="1"/>
  <c r="E1890" i="1"/>
  <c r="AQ1889" i="1"/>
  <c r="AR1889" i="1" s="1"/>
  <c r="AS1889" i="1" s="1"/>
  <c r="AC1801" i="1" l="1"/>
  <c r="AF1800" i="1"/>
  <c r="L1802" i="1"/>
  <c r="AJ1801" i="1"/>
  <c r="AT1801" i="1" s="1"/>
  <c r="E1891" i="1"/>
  <c r="AQ1890" i="1"/>
  <c r="AR1890" i="1" s="1"/>
  <c r="AS1890" i="1" s="1"/>
  <c r="AC1802" i="1" l="1"/>
  <c r="AF1801" i="1"/>
  <c r="L1803" i="1"/>
  <c r="AJ1802" i="1"/>
  <c r="AT1802" i="1" s="1"/>
  <c r="E1892" i="1"/>
  <c r="AQ1891" i="1"/>
  <c r="AR1891" i="1" s="1"/>
  <c r="AS1891" i="1" s="1"/>
  <c r="AC1803" i="1" l="1"/>
  <c r="AF1802" i="1"/>
  <c r="L1804" i="1"/>
  <c r="AJ1803" i="1"/>
  <c r="AT1803" i="1" s="1"/>
  <c r="E1893" i="1"/>
  <c r="AQ1892" i="1"/>
  <c r="AR1892" i="1" s="1"/>
  <c r="AS1892" i="1" s="1"/>
  <c r="AC1804" i="1" l="1"/>
  <c r="AF1803" i="1"/>
  <c r="L1805" i="1"/>
  <c r="AJ1804" i="1"/>
  <c r="AT1804" i="1" s="1"/>
  <c r="E1894" i="1"/>
  <c r="AQ1893" i="1"/>
  <c r="AR1893" i="1" s="1"/>
  <c r="AS1893" i="1" s="1"/>
  <c r="AC1805" i="1" l="1"/>
  <c r="AF1804" i="1"/>
  <c r="L1806" i="1"/>
  <c r="AJ1805" i="1"/>
  <c r="AT1805" i="1" s="1"/>
  <c r="E1895" i="1"/>
  <c r="AQ1894" i="1"/>
  <c r="AR1894" i="1" s="1"/>
  <c r="AS1894" i="1" s="1"/>
  <c r="AC1806" i="1" l="1"/>
  <c r="AF1805" i="1"/>
  <c r="L1807" i="1"/>
  <c r="AJ1806" i="1"/>
  <c r="AT1806" i="1" s="1"/>
  <c r="E1896" i="1"/>
  <c r="AQ1895" i="1"/>
  <c r="AR1895" i="1" s="1"/>
  <c r="AS1895" i="1" s="1"/>
  <c r="AC1807" i="1" l="1"/>
  <c r="AF1806" i="1"/>
  <c r="L1808" i="1"/>
  <c r="AJ1807" i="1"/>
  <c r="AT1807" i="1" s="1"/>
  <c r="E1897" i="1"/>
  <c r="AQ1896" i="1"/>
  <c r="AR1896" i="1" s="1"/>
  <c r="AS1896" i="1" s="1"/>
  <c r="AC1808" i="1" l="1"/>
  <c r="AF1807" i="1"/>
  <c r="L1809" i="1"/>
  <c r="AJ1808" i="1"/>
  <c r="AT1808" i="1" s="1"/>
  <c r="E1898" i="1"/>
  <c r="AQ1897" i="1"/>
  <c r="AR1897" i="1" s="1"/>
  <c r="AS1897" i="1" s="1"/>
  <c r="AC1809" i="1" l="1"/>
  <c r="AF1808" i="1"/>
  <c r="L1810" i="1"/>
  <c r="AJ1809" i="1"/>
  <c r="AT1809" i="1" s="1"/>
  <c r="E1899" i="1"/>
  <c r="AQ1898" i="1"/>
  <c r="AR1898" i="1" s="1"/>
  <c r="AS1898" i="1" s="1"/>
  <c r="AC1810" i="1" l="1"/>
  <c r="AF1809" i="1"/>
  <c r="L1811" i="1"/>
  <c r="AJ1810" i="1"/>
  <c r="AT1810" i="1" s="1"/>
  <c r="E1900" i="1"/>
  <c r="AQ1899" i="1"/>
  <c r="AR1899" i="1" s="1"/>
  <c r="AS1899" i="1" s="1"/>
  <c r="AC1811" i="1" l="1"/>
  <c r="AF1810" i="1"/>
  <c r="L1812" i="1"/>
  <c r="AJ1811" i="1"/>
  <c r="AT1811" i="1" s="1"/>
  <c r="E1901" i="1"/>
  <c r="AQ1900" i="1"/>
  <c r="AR1900" i="1" s="1"/>
  <c r="AS1900" i="1" s="1"/>
  <c r="AC1812" i="1" l="1"/>
  <c r="AF1811" i="1"/>
  <c r="L1813" i="1"/>
  <c r="AJ1812" i="1"/>
  <c r="AT1812" i="1" s="1"/>
  <c r="E1902" i="1"/>
  <c r="AQ1901" i="1"/>
  <c r="AR1901" i="1" s="1"/>
  <c r="AS1901" i="1" s="1"/>
  <c r="AC1813" i="1" l="1"/>
  <c r="AF1812" i="1"/>
  <c r="L1814" i="1"/>
  <c r="AJ1813" i="1"/>
  <c r="AT1813" i="1" s="1"/>
  <c r="E1903" i="1"/>
  <c r="AQ1902" i="1"/>
  <c r="AR1902" i="1" s="1"/>
  <c r="AS1902" i="1" s="1"/>
  <c r="AC1814" i="1" l="1"/>
  <c r="AF1813" i="1"/>
  <c r="L1815" i="1"/>
  <c r="AJ1814" i="1"/>
  <c r="AT1814" i="1" s="1"/>
  <c r="E1904" i="1"/>
  <c r="AQ1903" i="1"/>
  <c r="AR1903" i="1" s="1"/>
  <c r="AS1903" i="1" s="1"/>
  <c r="AC1815" i="1" l="1"/>
  <c r="AF1814" i="1"/>
  <c r="L1816" i="1"/>
  <c r="AJ1815" i="1"/>
  <c r="AT1815" i="1" s="1"/>
  <c r="E1905" i="1"/>
  <c r="AQ1904" i="1"/>
  <c r="AR1904" i="1" s="1"/>
  <c r="AS1904" i="1" s="1"/>
  <c r="AC1816" i="1" l="1"/>
  <c r="AF1815" i="1"/>
  <c r="L1817" i="1"/>
  <c r="AJ1816" i="1"/>
  <c r="AT1816" i="1" s="1"/>
  <c r="E1906" i="1"/>
  <c r="AQ1905" i="1"/>
  <c r="AR1905" i="1" s="1"/>
  <c r="AS1905" i="1" s="1"/>
  <c r="AC1817" i="1" l="1"/>
  <c r="AF1816" i="1"/>
  <c r="L1818" i="1"/>
  <c r="AJ1817" i="1"/>
  <c r="AT1817" i="1" s="1"/>
  <c r="E1907" i="1"/>
  <c r="AQ1906" i="1"/>
  <c r="AR1906" i="1" s="1"/>
  <c r="AS1906" i="1" s="1"/>
  <c r="AC1818" i="1" l="1"/>
  <c r="AF1817" i="1"/>
  <c r="L1819" i="1"/>
  <c r="AJ1818" i="1"/>
  <c r="AT1818" i="1" s="1"/>
  <c r="E1908" i="1"/>
  <c r="AQ1907" i="1"/>
  <c r="AR1907" i="1" s="1"/>
  <c r="AS1907" i="1" s="1"/>
  <c r="AC1819" i="1" l="1"/>
  <c r="AF1818" i="1"/>
  <c r="L1820" i="1"/>
  <c r="AJ1819" i="1"/>
  <c r="AT1819" i="1" s="1"/>
  <c r="E1909" i="1"/>
  <c r="AQ1908" i="1"/>
  <c r="AR1908" i="1" s="1"/>
  <c r="AS1908" i="1" s="1"/>
  <c r="AC1820" i="1" l="1"/>
  <c r="AF1819" i="1"/>
  <c r="L1821" i="1"/>
  <c r="AJ1820" i="1"/>
  <c r="AT1820" i="1" s="1"/>
  <c r="E1910" i="1"/>
  <c r="AQ1909" i="1"/>
  <c r="AR1909" i="1" s="1"/>
  <c r="AS1909" i="1" s="1"/>
  <c r="AC1821" i="1" l="1"/>
  <c r="AF1820" i="1"/>
  <c r="L1822" i="1"/>
  <c r="AJ1821" i="1"/>
  <c r="AT1821" i="1" s="1"/>
  <c r="E1911" i="1"/>
  <c r="AQ1910" i="1"/>
  <c r="AR1910" i="1" s="1"/>
  <c r="AS1910" i="1" s="1"/>
  <c r="AC1822" i="1" l="1"/>
  <c r="AF1821" i="1"/>
  <c r="L1823" i="1"/>
  <c r="AJ1822" i="1"/>
  <c r="AT1822" i="1" s="1"/>
  <c r="E1912" i="1"/>
  <c r="AQ1911" i="1"/>
  <c r="AR1911" i="1" s="1"/>
  <c r="AS1911" i="1" s="1"/>
  <c r="AC1823" i="1" l="1"/>
  <c r="AF1822" i="1"/>
  <c r="L1824" i="1"/>
  <c r="AJ1823" i="1"/>
  <c r="AT1823" i="1" s="1"/>
  <c r="E1913" i="1"/>
  <c r="AQ1912" i="1"/>
  <c r="AR1912" i="1" s="1"/>
  <c r="AS1912" i="1" s="1"/>
  <c r="AC1824" i="1" l="1"/>
  <c r="AF1823" i="1"/>
  <c r="L1825" i="1"/>
  <c r="AJ1824" i="1"/>
  <c r="AT1824" i="1" s="1"/>
  <c r="E1914" i="1"/>
  <c r="AQ1913" i="1"/>
  <c r="AR1913" i="1" s="1"/>
  <c r="AS1913" i="1" s="1"/>
  <c r="AC1825" i="1" l="1"/>
  <c r="AF1824" i="1"/>
  <c r="L1826" i="1"/>
  <c r="AJ1825" i="1"/>
  <c r="AT1825" i="1" s="1"/>
  <c r="E1915" i="1"/>
  <c r="AQ1914" i="1"/>
  <c r="AR1914" i="1" s="1"/>
  <c r="AS1914" i="1" s="1"/>
  <c r="AC1826" i="1" l="1"/>
  <c r="AF1825" i="1"/>
  <c r="L1827" i="1"/>
  <c r="AJ1826" i="1"/>
  <c r="AT1826" i="1" s="1"/>
  <c r="E1916" i="1"/>
  <c r="AQ1915" i="1"/>
  <c r="AR1915" i="1" s="1"/>
  <c r="AS1915" i="1" s="1"/>
  <c r="AC1827" i="1" l="1"/>
  <c r="AF1826" i="1"/>
  <c r="L1828" i="1"/>
  <c r="AJ1827" i="1"/>
  <c r="AT1827" i="1" s="1"/>
  <c r="E1917" i="1"/>
  <c r="AQ1916" i="1"/>
  <c r="AR1916" i="1" s="1"/>
  <c r="AS1916" i="1" s="1"/>
  <c r="AC1828" i="1" l="1"/>
  <c r="AF1827" i="1"/>
  <c r="L1829" i="1"/>
  <c r="AJ1828" i="1"/>
  <c r="AT1828" i="1" s="1"/>
  <c r="E1918" i="1"/>
  <c r="AQ1917" i="1"/>
  <c r="AR1917" i="1" s="1"/>
  <c r="AS1917" i="1" s="1"/>
  <c r="AC1829" i="1" l="1"/>
  <c r="AF1828" i="1"/>
  <c r="L1830" i="1"/>
  <c r="AJ1829" i="1"/>
  <c r="AT1829" i="1" s="1"/>
  <c r="E1919" i="1"/>
  <c r="AQ1918" i="1"/>
  <c r="AR1918" i="1" s="1"/>
  <c r="AS1918" i="1" s="1"/>
  <c r="AC1830" i="1" l="1"/>
  <c r="AF1829" i="1"/>
  <c r="L1831" i="1"/>
  <c r="AJ1830" i="1"/>
  <c r="AT1830" i="1" s="1"/>
  <c r="E1920" i="1"/>
  <c r="AQ1919" i="1"/>
  <c r="AR1919" i="1" s="1"/>
  <c r="AS1919" i="1" s="1"/>
  <c r="AC1831" i="1" l="1"/>
  <c r="AF1830" i="1"/>
  <c r="L1832" i="1"/>
  <c r="AJ1831" i="1"/>
  <c r="AT1831" i="1" s="1"/>
  <c r="E1921" i="1"/>
  <c r="AQ1920" i="1"/>
  <c r="AR1920" i="1" s="1"/>
  <c r="AS1920" i="1" s="1"/>
  <c r="AC1832" i="1" l="1"/>
  <c r="AF1831" i="1"/>
  <c r="L1833" i="1"/>
  <c r="AJ1832" i="1"/>
  <c r="AT1832" i="1" s="1"/>
  <c r="E1922" i="1"/>
  <c r="AQ1921" i="1"/>
  <c r="AR1921" i="1" s="1"/>
  <c r="AS1921" i="1" s="1"/>
  <c r="AC1833" i="1" l="1"/>
  <c r="AF1832" i="1"/>
  <c r="L1834" i="1"/>
  <c r="AJ1833" i="1"/>
  <c r="AT1833" i="1" s="1"/>
  <c r="E1923" i="1"/>
  <c r="AQ1922" i="1"/>
  <c r="AR1922" i="1" s="1"/>
  <c r="AS1922" i="1" s="1"/>
  <c r="AC1834" i="1" l="1"/>
  <c r="AF1833" i="1"/>
  <c r="L1835" i="1"/>
  <c r="AJ1834" i="1"/>
  <c r="AT1834" i="1" s="1"/>
  <c r="E1924" i="1"/>
  <c r="AQ1923" i="1"/>
  <c r="AR1923" i="1" s="1"/>
  <c r="AS1923" i="1" s="1"/>
  <c r="AC1835" i="1" l="1"/>
  <c r="AF1834" i="1"/>
  <c r="L1836" i="1"/>
  <c r="AJ1835" i="1"/>
  <c r="AT1835" i="1" s="1"/>
  <c r="E1925" i="1"/>
  <c r="AQ1924" i="1"/>
  <c r="AR1924" i="1" s="1"/>
  <c r="AS1924" i="1" s="1"/>
  <c r="AC1836" i="1" l="1"/>
  <c r="AF1835" i="1"/>
  <c r="L1837" i="1"/>
  <c r="AJ1836" i="1"/>
  <c r="AT1836" i="1" s="1"/>
  <c r="E1926" i="1"/>
  <c r="AQ1925" i="1"/>
  <c r="AR1925" i="1" s="1"/>
  <c r="AS1925" i="1" s="1"/>
  <c r="AC1837" i="1" l="1"/>
  <c r="AF1836" i="1"/>
  <c r="L1838" i="1"/>
  <c r="AJ1837" i="1"/>
  <c r="AT1837" i="1" s="1"/>
  <c r="E1927" i="1"/>
  <c r="AQ1926" i="1"/>
  <c r="AR1926" i="1" s="1"/>
  <c r="AS1926" i="1" s="1"/>
  <c r="AC1838" i="1" l="1"/>
  <c r="AF1837" i="1"/>
  <c r="L1839" i="1"/>
  <c r="AJ1838" i="1"/>
  <c r="AT1838" i="1" s="1"/>
  <c r="E1928" i="1"/>
  <c r="AQ1927" i="1"/>
  <c r="AR1927" i="1" s="1"/>
  <c r="AS1927" i="1" s="1"/>
  <c r="AC1839" i="1" l="1"/>
  <c r="AF1838" i="1"/>
  <c r="L1840" i="1"/>
  <c r="AJ1839" i="1"/>
  <c r="AT1839" i="1" s="1"/>
  <c r="E1929" i="1"/>
  <c r="AQ1928" i="1"/>
  <c r="AR1928" i="1" s="1"/>
  <c r="AS1928" i="1" s="1"/>
  <c r="AC1840" i="1" l="1"/>
  <c r="AF1839" i="1"/>
  <c r="L1841" i="1"/>
  <c r="AJ1840" i="1"/>
  <c r="AT1840" i="1" s="1"/>
  <c r="E1930" i="1"/>
  <c r="AQ1929" i="1"/>
  <c r="AR1929" i="1" s="1"/>
  <c r="AS1929" i="1" s="1"/>
  <c r="AC1841" i="1" l="1"/>
  <c r="AF1840" i="1"/>
  <c r="L1842" i="1"/>
  <c r="AJ1841" i="1"/>
  <c r="AT1841" i="1" s="1"/>
  <c r="E1931" i="1"/>
  <c r="AQ1930" i="1"/>
  <c r="AR1930" i="1" s="1"/>
  <c r="AS1930" i="1" s="1"/>
  <c r="AC1842" i="1" l="1"/>
  <c r="AF1841" i="1"/>
  <c r="L1843" i="1"/>
  <c r="AJ1842" i="1"/>
  <c r="AT1842" i="1" s="1"/>
  <c r="E1932" i="1"/>
  <c r="AQ1931" i="1"/>
  <c r="AR1931" i="1" s="1"/>
  <c r="AS1931" i="1" s="1"/>
  <c r="AC1843" i="1" l="1"/>
  <c r="AF1842" i="1"/>
  <c r="L1844" i="1"/>
  <c r="AJ1843" i="1"/>
  <c r="AT1843" i="1" s="1"/>
  <c r="E1933" i="1"/>
  <c r="AQ1932" i="1"/>
  <c r="AR1932" i="1" s="1"/>
  <c r="AS1932" i="1" s="1"/>
  <c r="AC1844" i="1" l="1"/>
  <c r="AF1843" i="1"/>
  <c r="L1845" i="1"/>
  <c r="AJ1844" i="1"/>
  <c r="AT1844" i="1" s="1"/>
  <c r="E1934" i="1"/>
  <c r="AQ1933" i="1"/>
  <c r="AR1933" i="1" s="1"/>
  <c r="AS1933" i="1" s="1"/>
  <c r="AC1845" i="1" l="1"/>
  <c r="AF1844" i="1"/>
  <c r="L1846" i="1"/>
  <c r="AJ1845" i="1"/>
  <c r="AT1845" i="1" s="1"/>
  <c r="E1935" i="1"/>
  <c r="AQ1934" i="1"/>
  <c r="AR1934" i="1" s="1"/>
  <c r="AS1934" i="1" s="1"/>
  <c r="AC1846" i="1" l="1"/>
  <c r="AF1845" i="1"/>
  <c r="L1847" i="1"/>
  <c r="AJ1846" i="1"/>
  <c r="AT1846" i="1" s="1"/>
  <c r="E1936" i="1"/>
  <c r="AQ1935" i="1"/>
  <c r="AR1935" i="1" s="1"/>
  <c r="AS1935" i="1" s="1"/>
  <c r="AC1847" i="1" l="1"/>
  <c r="AF1846" i="1"/>
  <c r="L1848" i="1"/>
  <c r="AJ1847" i="1"/>
  <c r="AT1847" i="1" s="1"/>
  <c r="E1937" i="1"/>
  <c r="AQ1936" i="1"/>
  <c r="AR1936" i="1" s="1"/>
  <c r="AS1936" i="1" s="1"/>
  <c r="AC1848" i="1" l="1"/>
  <c r="AF1847" i="1"/>
  <c r="L1849" i="1"/>
  <c r="AJ1848" i="1"/>
  <c r="AT1848" i="1" s="1"/>
  <c r="E1938" i="1"/>
  <c r="AQ1937" i="1"/>
  <c r="AR1937" i="1" s="1"/>
  <c r="AS1937" i="1" s="1"/>
  <c r="AC1849" i="1" l="1"/>
  <c r="AF1848" i="1"/>
  <c r="L1850" i="1"/>
  <c r="AJ1849" i="1"/>
  <c r="AT1849" i="1" s="1"/>
  <c r="E1939" i="1"/>
  <c r="AQ1938" i="1"/>
  <c r="AR1938" i="1" s="1"/>
  <c r="AS1938" i="1" s="1"/>
  <c r="AC1850" i="1" l="1"/>
  <c r="AF1849" i="1"/>
  <c r="L1851" i="1"/>
  <c r="AJ1850" i="1"/>
  <c r="AT1850" i="1" s="1"/>
  <c r="E1940" i="1"/>
  <c r="AQ1939" i="1"/>
  <c r="AR1939" i="1" s="1"/>
  <c r="AS1939" i="1" s="1"/>
  <c r="AC1851" i="1" l="1"/>
  <c r="AF1850" i="1"/>
  <c r="L1852" i="1"/>
  <c r="AJ1851" i="1"/>
  <c r="AT1851" i="1" s="1"/>
  <c r="E1941" i="1"/>
  <c r="AQ1940" i="1"/>
  <c r="AR1940" i="1" s="1"/>
  <c r="AS1940" i="1" s="1"/>
  <c r="AC1852" i="1" l="1"/>
  <c r="AF1851" i="1"/>
  <c r="L1853" i="1"/>
  <c r="AJ1852" i="1"/>
  <c r="AT1852" i="1" s="1"/>
  <c r="E1942" i="1"/>
  <c r="AQ1941" i="1"/>
  <c r="AR1941" i="1" s="1"/>
  <c r="AS1941" i="1" s="1"/>
  <c r="AC1853" i="1" l="1"/>
  <c r="AF1852" i="1"/>
  <c r="L1854" i="1"/>
  <c r="AJ1853" i="1"/>
  <c r="AT1853" i="1" s="1"/>
  <c r="E1943" i="1"/>
  <c r="AQ1942" i="1"/>
  <c r="AR1942" i="1" s="1"/>
  <c r="AS1942" i="1" s="1"/>
  <c r="AC1854" i="1" l="1"/>
  <c r="AF1853" i="1"/>
  <c r="L1855" i="1"/>
  <c r="AJ1854" i="1"/>
  <c r="AT1854" i="1" s="1"/>
  <c r="E1944" i="1"/>
  <c r="AQ1943" i="1"/>
  <c r="AR1943" i="1" s="1"/>
  <c r="AS1943" i="1" s="1"/>
  <c r="AC1855" i="1" l="1"/>
  <c r="AF1854" i="1"/>
  <c r="L1856" i="1"/>
  <c r="AJ1855" i="1"/>
  <c r="AT1855" i="1" s="1"/>
  <c r="E1945" i="1"/>
  <c r="AQ1944" i="1"/>
  <c r="AR1944" i="1" s="1"/>
  <c r="AS1944" i="1" s="1"/>
  <c r="AC1856" i="1" l="1"/>
  <c r="AF1855" i="1"/>
  <c r="L1857" i="1"/>
  <c r="AJ1856" i="1"/>
  <c r="AT1856" i="1" s="1"/>
  <c r="E1946" i="1"/>
  <c r="AQ1945" i="1"/>
  <c r="AR1945" i="1" s="1"/>
  <c r="AS1945" i="1" s="1"/>
  <c r="AC1857" i="1" l="1"/>
  <c r="AF1856" i="1"/>
  <c r="L1858" i="1"/>
  <c r="AJ1857" i="1"/>
  <c r="AT1857" i="1" s="1"/>
  <c r="E1947" i="1"/>
  <c r="AQ1946" i="1"/>
  <c r="AR1946" i="1" s="1"/>
  <c r="AS1946" i="1" s="1"/>
  <c r="AC1858" i="1" l="1"/>
  <c r="AF1857" i="1"/>
  <c r="L1859" i="1"/>
  <c r="AJ1858" i="1"/>
  <c r="AT1858" i="1" s="1"/>
  <c r="E1948" i="1"/>
  <c r="AQ1947" i="1"/>
  <c r="AR1947" i="1" s="1"/>
  <c r="AS1947" i="1" s="1"/>
  <c r="AC1859" i="1" l="1"/>
  <c r="AF1858" i="1"/>
  <c r="L1860" i="1"/>
  <c r="AJ1859" i="1"/>
  <c r="AT1859" i="1" s="1"/>
  <c r="E1949" i="1"/>
  <c r="AQ1948" i="1"/>
  <c r="AR1948" i="1" s="1"/>
  <c r="AS1948" i="1" s="1"/>
  <c r="AC1860" i="1" l="1"/>
  <c r="AF1859" i="1"/>
  <c r="L1861" i="1"/>
  <c r="AJ1860" i="1"/>
  <c r="AT1860" i="1" s="1"/>
  <c r="E1950" i="1"/>
  <c r="AQ1949" i="1"/>
  <c r="AR1949" i="1" s="1"/>
  <c r="AS1949" i="1" s="1"/>
  <c r="AC1861" i="1" l="1"/>
  <c r="AF1860" i="1"/>
  <c r="L1862" i="1"/>
  <c r="AJ1861" i="1"/>
  <c r="AT1861" i="1" s="1"/>
  <c r="E1951" i="1"/>
  <c r="AQ1950" i="1"/>
  <c r="AR1950" i="1" s="1"/>
  <c r="AS1950" i="1" s="1"/>
  <c r="AC1862" i="1" l="1"/>
  <c r="AF1861" i="1"/>
  <c r="L1863" i="1"/>
  <c r="AJ1862" i="1"/>
  <c r="AT1862" i="1" s="1"/>
  <c r="E1952" i="1"/>
  <c r="AQ1951" i="1"/>
  <c r="AR1951" i="1" s="1"/>
  <c r="AS1951" i="1" s="1"/>
  <c r="AC1863" i="1" l="1"/>
  <c r="AF1862" i="1"/>
  <c r="L1864" i="1"/>
  <c r="AJ1863" i="1"/>
  <c r="AT1863" i="1" s="1"/>
  <c r="E1953" i="1"/>
  <c r="AQ1952" i="1"/>
  <c r="AR1952" i="1" s="1"/>
  <c r="AS1952" i="1" s="1"/>
  <c r="AC1864" i="1" l="1"/>
  <c r="AF1863" i="1"/>
  <c r="L1865" i="1"/>
  <c r="AJ1864" i="1"/>
  <c r="AT1864" i="1" s="1"/>
  <c r="E1954" i="1"/>
  <c r="AQ1953" i="1"/>
  <c r="AR1953" i="1" s="1"/>
  <c r="AS1953" i="1" s="1"/>
  <c r="AC1865" i="1" l="1"/>
  <c r="AF1864" i="1"/>
  <c r="L1866" i="1"/>
  <c r="AJ1865" i="1"/>
  <c r="AT1865" i="1" s="1"/>
  <c r="E1955" i="1"/>
  <c r="AQ1954" i="1"/>
  <c r="AR1954" i="1" s="1"/>
  <c r="AS1954" i="1" s="1"/>
  <c r="AC1866" i="1" l="1"/>
  <c r="AF1865" i="1"/>
  <c r="L1867" i="1"/>
  <c r="AJ1866" i="1"/>
  <c r="AT1866" i="1" s="1"/>
  <c r="E1956" i="1"/>
  <c r="AQ1955" i="1"/>
  <c r="AR1955" i="1" s="1"/>
  <c r="AS1955" i="1" s="1"/>
  <c r="AC1867" i="1" l="1"/>
  <c r="AF1866" i="1"/>
  <c r="L1868" i="1"/>
  <c r="AJ1867" i="1"/>
  <c r="AT1867" i="1" s="1"/>
  <c r="E1957" i="1"/>
  <c r="AQ1956" i="1"/>
  <c r="AR1956" i="1" s="1"/>
  <c r="AS1956" i="1" s="1"/>
  <c r="AC1868" i="1" l="1"/>
  <c r="AF1867" i="1"/>
  <c r="L1869" i="1"/>
  <c r="AJ1868" i="1"/>
  <c r="AT1868" i="1" s="1"/>
  <c r="E1958" i="1"/>
  <c r="AQ1957" i="1"/>
  <c r="AR1957" i="1" s="1"/>
  <c r="AS1957" i="1" s="1"/>
  <c r="AC1869" i="1" l="1"/>
  <c r="AF1868" i="1"/>
  <c r="L1870" i="1"/>
  <c r="AJ1869" i="1"/>
  <c r="AT1869" i="1" s="1"/>
  <c r="E1959" i="1"/>
  <c r="AQ1958" i="1"/>
  <c r="AR1958" i="1" s="1"/>
  <c r="AS1958" i="1" s="1"/>
  <c r="AC1870" i="1" l="1"/>
  <c r="AF1869" i="1"/>
  <c r="L1871" i="1"/>
  <c r="AJ1870" i="1"/>
  <c r="AT1870" i="1" s="1"/>
  <c r="E1960" i="1"/>
  <c r="AQ1959" i="1"/>
  <c r="AR1959" i="1" s="1"/>
  <c r="AS1959" i="1" s="1"/>
  <c r="AC1871" i="1" l="1"/>
  <c r="AF1870" i="1"/>
  <c r="L1872" i="1"/>
  <c r="AJ1871" i="1"/>
  <c r="AT1871" i="1" s="1"/>
  <c r="E1961" i="1"/>
  <c r="AQ1960" i="1"/>
  <c r="AR1960" i="1" s="1"/>
  <c r="AS1960" i="1" s="1"/>
  <c r="AC1872" i="1" l="1"/>
  <c r="AF1871" i="1"/>
  <c r="L1873" i="1"/>
  <c r="AJ1872" i="1"/>
  <c r="AT1872" i="1" s="1"/>
  <c r="E1962" i="1"/>
  <c r="AQ1961" i="1"/>
  <c r="AR1961" i="1" s="1"/>
  <c r="AS1961" i="1" s="1"/>
  <c r="AC1873" i="1" l="1"/>
  <c r="AF1872" i="1"/>
  <c r="L1874" i="1"/>
  <c r="AJ1873" i="1"/>
  <c r="AT1873" i="1" s="1"/>
  <c r="E1963" i="1"/>
  <c r="AQ1962" i="1"/>
  <c r="AR1962" i="1" s="1"/>
  <c r="AS1962" i="1" s="1"/>
  <c r="AC1874" i="1" l="1"/>
  <c r="AF1873" i="1"/>
  <c r="L1875" i="1"/>
  <c r="AJ1874" i="1"/>
  <c r="AT1874" i="1" s="1"/>
  <c r="E1964" i="1"/>
  <c r="AQ1963" i="1"/>
  <c r="AR1963" i="1" s="1"/>
  <c r="AS1963" i="1" s="1"/>
  <c r="AC1875" i="1" l="1"/>
  <c r="AF1874" i="1"/>
  <c r="L1876" i="1"/>
  <c r="AJ1875" i="1"/>
  <c r="AT1875" i="1" s="1"/>
  <c r="E1965" i="1"/>
  <c r="AQ1964" i="1"/>
  <c r="AR1964" i="1" s="1"/>
  <c r="AS1964" i="1" s="1"/>
  <c r="AC1876" i="1" l="1"/>
  <c r="AF1875" i="1"/>
  <c r="L1877" i="1"/>
  <c r="AJ1876" i="1"/>
  <c r="AT1876" i="1" s="1"/>
  <c r="E1966" i="1"/>
  <c r="AQ1965" i="1"/>
  <c r="AR1965" i="1" s="1"/>
  <c r="AS1965" i="1" s="1"/>
  <c r="AC1877" i="1" l="1"/>
  <c r="AF1876" i="1"/>
  <c r="L1878" i="1"/>
  <c r="AJ1877" i="1"/>
  <c r="AT1877" i="1" s="1"/>
  <c r="E1967" i="1"/>
  <c r="AQ1966" i="1"/>
  <c r="AR1966" i="1" s="1"/>
  <c r="AS1966" i="1" s="1"/>
  <c r="AC1878" i="1" l="1"/>
  <c r="AF1877" i="1"/>
  <c r="L1879" i="1"/>
  <c r="AJ1878" i="1"/>
  <c r="AT1878" i="1" s="1"/>
  <c r="E1968" i="1"/>
  <c r="AQ1967" i="1"/>
  <c r="AR1967" i="1" s="1"/>
  <c r="AS1967" i="1" s="1"/>
  <c r="AC1879" i="1" l="1"/>
  <c r="AF1878" i="1"/>
  <c r="L1880" i="1"/>
  <c r="AJ1879" i="1"/>
  <c r="AT1879" i="1" s="1"/>
  <c r="E1969" i="1"/>
  <c r="AQ1968" i="1"/>
  <c r="AR1968" i="1" s="1"/>
  <c r="AS1968" i="1" s="1"/>
  <c r="AC1880" i="1" l="1"/>
  <c r="AF1879" i="1"/>
  <c r="L1881" i="1"/>
  <c r="AJ1880" i="1"/>
  <c r="AT1880" i="1" s="1"/>
  <c r="E1970" i="1"/>
  <c r="AQ1969" i="1"/>
  <c r="AR1969" i="1" s="1"/>
  <c r="AS1969" i="1" s="1"/>
  <c r="AC1881" i="1" l="1"/>
  <c r="AF1880" i="1"/>
  <c r="L1882" i="1"/>
  <c r="AJ1881" i="1"/>
  <c r="AT1881" i="1" s="1"/>
  <c r="E1971" i="1"/>
  <c r="AQ1970" i="1"/>
  <c r="AR1970" i="1" s="1"/>
  <c r="AS1970" i="1" s="1"/>
  <c r="AC1882" i="1" l="1"/>
  <c r="AF1881" i="1"/>
  <c r="L1883" i="1"/>
  <c r="AJ1882" i="1"/>
  <c r="AT1882" i="1" s="1"/>
  <c r="E1972" i="1"/>
  <c r="AQ1971" i="1"/>
  <c r="AR1971" i="1" s="1"/>
  <c r="AS1971" i="1" s="1"/>
  <c r="AC1883" i="1" l="1"/>
  <c r="AF1882" i="1"/>
  <c r="L1884" i="1"/>
  <c r="AJ1883" i="1"/>
  <c r="AT1883" i="1" s="1"/>
  <c r="E1973" i="1"/>
  <c r="AQ1972" i="1"/>
  <c r="AR1972" i="1" s="1"/>
  <c r="AS1972" i="1" s="1"/>
  <c r="AC1884" i="1" l="1"/>
  <c r="AF1883" i="1"/>
  <c r="L1885" i="1"/>
  <c r="AJ1884" i="1"/>
  <c r="AT1884" i="1" s="1"/>
  <c r="E1974" i="1"/>
  <c r="AQ1973" i="1"/>
  <c r="AR1973" i="1" s="1"/>
  <c r="AS1973" i="1" s="1"/>
  <c r="AC1885" i="1" l="1"/>
  <c r="AF1884" i="1"/>
  <c r="L1886" i="1"/>
  <c r="AJ1885" i="1"/>
  <c r="AT1885" i="1" s="1"/>
  <c r="E1975" i="1"/>
  <c r="AQ1974" i="1"/>
  <c r="AR1974" i="1" s="1"/>
  <c r="AS1974" i="1" s="1"/>
  <c r="AC1886" i="1" l="1"/>
  <c r="AF1885" i="1"/>
  <c r="L1887" i="1"/>
  <c r="AJ1886" i="1"/>
  <c r="AT1886" i="1" s="1"/>
  <c r="E1976" i="1"/>
  <c r="AQ1975" i="1"/>
  <c r="AR1975" i="1" s="1"/>
  <c r="AS1975" i="1" s="1"/>
  <c r="AC1887" i="1" l="1"/>
  <c r="AF1886" i="1"/>
  <c r="L1888" i="1"/>
  <c r="AJ1887" i="1"/>
  <c r="AT1887" i="1" s="1"/>
  <c r="E1977" i="1"/>
  <c r="AQ1976" i="1"/>
  <c r="AR1976" i="1" s="1"/>
  <c r="AS1976" i="1" s="1"/>
  <c r="AC1888" i="1" l="1"/>
  <c r="AF1887" i="1"/>
  <c r="L1889" i="1"/>
  <c r="AJ1888" i="1"/>
  <c r="AT1888" i="1" s="1"/>
  <c r="E1978" i="1"/>
  <c r="AQ1977" i="1"/>
  <c r="AR1977" i="1" s="1"/>
  <c r="AS1977" i="1" s="1"/>
  <c r="AC1889" i="1" l="1"/>
  <c r="AF1888" i="1"/>
  <c r="L1890" i="1"/>
  <c r="AJ1889" i="1"/>
  <c r="AT1889" i="1" s="1"/>
  <c r="E1979" i="1"/>
  <c r="AQ1978" i="1"/>
  <c r="AR1978" i="1" s="1"/>
  <c r="AS1978" i="1" s="1"/>
  <c r="AC1890" i="1" l="1"/>
  <c r="AF1889" i="1"/>
  <c r="L1891" i="1"/>
  <c r="AJ1890" i="1"/>
  <c r="AT1890" i="1" s="1"/>
  <c r="E1980" i="1"/>
  <c r="AQ1979" i="1"/>
  <c r="AR1979" i="1" s="1"/>
  <c r="AS1979" i="1" s="1"/>
  <c r="AC1891" i="1" l="1"/>
  <c r="AF1890" i="1"/>
  <c r="L1892" i="1"/>
  <c r="AJ1891" i="1"/>
  <c r="AT1891" i="1" s="1"/>
  <c r="E1981" i="1"/>
  <c r="AQ1980" i="1"/>
  <c r="AR1980" i="1" s="1"/>
  <c r="AS1980" i="1" s="1"/>
  <c r="AC1892" i="1" l="1"/>
  <c r="AF1891" i="1"/>
  <c r="L1893" i="1"/>
  <c r="AJ1892" i="1"/>
  <c r="AT1892" i="1" s="1"/>
  <c r="E1982" i="1"/>
  <c r="AQ1981" i="1"/>
  <c r="AR1981" i="1" s="1"/>
  <c r="AS1981" i="1" s="1"/>
  <c r="AC1893" i="1" l="1"/>
  <c r="AF1892" i="1"/>
  <c r="L1894" i="1"/>
  <c r="AJ1893" i="1"/>
  <c r="AT1893" i="1" s="1"/>
  <c r="E1983" i="1"/>
  <c r="AQ1982" i="1"/>
  <c r="AR1982" i="1" s="1"/>
  <c r="AS1982" i="1" s="1"/>
  <c r="AC1894" i="1" l="1"/>
  <c r="AF1893" i="1"/>
  <c r="L1895" i="1"/>
  <c r="AJ1894" i="1"/>
  <c r="AT1894" i="1" s="1"/>
  <c r="E1984" i="1"/>
  <c r="AQ1983" i="1"/>
  <c r="AR1983" i="1" s="1"/>
  <c r="AS1983" i="1" s="1"/>
  <c r="AC1895" i="1" l="1"/>
  <c r="AF1894" i="1"/>
  <c r="L1896" i="1"/>
  <c r="AJ1895" i="1"/>
  <c r="AT1895" i="1" s="1"/>
  <c r="E1985" i="1"/>
  <c r="AQ1984" i="1"/>
  <c r="AR1984" i="1" s="1"/>
  <c r="AS1984" i="1" s="1"/>
  <c r="AC1896" i="1" l="1"/>
  <c r="AF1895" i="1"/>
  <c r="L1897" i="1"/>
  <c r="AJ1896" i="1"/>
  <c r="AT1896" i="1" s="1"/>
  <c r="E1986" i="1"/>
  <c r="AQ1985" i="1"/>
  <c r="AR1985" i="1" s="1"/>
  <c r="AS1985" i="1" s="1"/>
  <c r="AC1897" i="1" l="1"/>
  <c r="AF1896" i="1"/>
  <c r="L1898" i="1"/>
  <c r="AJ1897" i="1"/>
  <c r="AT1897" i="1" s="1"/>
  <c r="E1987" i="1"/>
  <c r="AQ1986" i="1"/>
  <c r="AR1986" i="1" s="1"/>
  <c r="AS1986" i="1" s="1"/>
  <c r="AC1898" i="1" l="1"/>
  <c r="AF1897" i="1"/>
  <c r="L1899" i="1"/>
  <c r="AJ1898" i="1"/>
  <c r="AT1898" i="1" s="1"/>
  <c r="E1988" i="1"/>
  <c r="AQ1987" i="1"/>
  <c r="AR1987" i="1" s="1"/>
  <c r="AS1987" i="1" s="1"/>
  <c r="AC1899" i="1" l="1"/>
  <c r="AF1898" i="1"/>
  <c r="L1900" i="1"/>
  <c r="AJ1899" i="1"/>
  <c r="AT1899" i="1" s="1"/>
  <c r="E1989" i="1"/>
  <c r="AQ1988" i="1"/>
  <c r="AR1988" i="1" s="1"/>
  <c r="AS1988" i="1" s="1"/>
  <c r="AC1900" i="1" l="1"/>
  <c r="AF1899" i="1"/>
  <c r="L1901" i="1"/>
  <c r="AJ1900" i="1"/>
  <c r="AT1900" i="1" s="1"/>
  <c r="E1990" i="1"/>
  <c r="AQ1989" i="1"/>
  <c r="AR1989" i="1" s="1"/>
  <c r="AS1989" i="1" s="1"/>
  <c r="AC1901" i="1" l="1"/>
  <c r="AF1900" i="1"/>
  <c r="L1902" i="1"/>
  <c r="AJ1901" i="1"/>
  <c r="AT1901" i="1" s="1"/>
  <c r="E1991" i="1"/>
  <c r="AQ1990" i="1"/>
  <c r="AR1990" i="1" s="1"/>
  <c r="AS1990" i="1" s="1"/>
  <c r="AC1902" i="1" l="1"/>
  <c r="AF1901" i="1"/>
  <c r="L1903" i="1"/>
  <c r="AJ1902" i="1"/>
  <c r="AT1902" i="1" s="1"/>
  <c r="E1992" i="1"/>
  <c r="AQ1991" i="1"/>
  <c r="AR1991" i="1" s="1"/>
  <c r="AS1991" i="1" s="1"/>
  <c r="AC1903" i="1" l="1"/>
  <c r="AF1902" i="1"/>
  <c r="L1904" i="1"/>
  <c r="AJ1903" i="1"/>
  <c r="AT1903" i="1" s="1"/>
  <c r="E1993" i="1"/>
  <c r="AQ1992" i="1"/>
  <c r="AR1992" i="1" s="1"/>
  <c r="AS1992" i="1" s="1"/>
  <c r="AC1904" i="1" l="1"/>
  <c r="AF1903" i="1"/>
  <c r="L1905" i="1"/>
  <c r="AJ1904" i="1"/>
  <c r="AT1904" i="1" s="1"/>
  <c r="E1994" i="1"/>
  <c r="AQ1993" i="1"/>
  <c r="AR1993" i="1" s="1"/>
  <c r="AS1993" i="1" s="1"/>
  <c r="AC1905" i="1" l="1"/>
  <c r="AF1904" i="1"/>
  <c r="L1906" i="1"/>
  <c r="AJ1905" i="1"/>
  <c r="AT1905" i="1" s="1"/>
  <c r="E1995" i="1"/>
  <c r="AQ1994" i="1"/>
  <c r="AR1994" i="1" s="1"/>
  <c r="AS1994" i="1" s="1"/>
  <c r="AC1906" i="1" l="1"/>
  <c r="AF1905" i="1"/>
  <c r="L1907" i="1"/>
  <c r="AJ1906" i="1"/>
  <c r="AT1906" i="1" s="1"/>
  <c r="E1996" i="1"/>
  <c r="AQ1995" i="1"/>
  <c r="AR1995" i="1" s="1"/>
  <c r="AS1995" i="1" s="1"/>
  <c r="AC1907" i="1" l="1"/>
  <c r="AF1906" i="1"/>
  <c r="L1908" i="1"/>
  <c r="AJ1907" i="1"/>
  <c r="AT1907" i="1" s="1"/>
  <c r="E1997" i="1"/>
  <c r="AQ1996" i="1"/>
  <c r="AR1996" i="1" s="1"/>
  <c r="AS1996" i="1" s="1"/>
  <c r="AC1908" i="1" l="1"/>
  <c r="AF1907" i="1"/>
  <c r="L1909" i="1"/>
  <c r="AJ1908" i="1"/>
  <c r="AT1908" i="1" s="1"/>
  <c r="E1998" i="1"/>
  <c r="AQ1997" i="1"/>
  <c r="AR1997" i="1" s="1"/>
  <c r="AS1997" i="1" s="1"/>
  <c r="AC1909" i="1" l="1"/>
  <c r="AF1908" i="1"/>
  <c r="L1910" i="1"/>
  <c r="AJ1909" i="1"/>
  <c r="AT1909" i="1" s="1"/>
  <c r="E1999" i="1"/>
  <c r="AQ1998" i="1"/>
  <c r="AR1998" i="1" s="1"/>
  <c r="AS1998" i="1" s="1"/>
  <c r="AC1910" i="1" l="1"/>
  <c r="AF1909" i="1"/>
  <c r="L1911" i="1"/>
  <c r="AJ1910" i="1"/>
  <c r="AT1910" i="1" s="1"/>
  <c r="E2000" i="1"/>
  <c r="AQ1999" i="1"/>
  <c r="AR1999" i="1" s="1"/>
  <c r="AS1999" i="1" s="1"/>
  <c r="AC1911" i="1" l="1"/>
  <c r="AF1910" i="1"/>
  <c r="L1912" i="1"/>
  <c r="AJ1911" i="1"/>
  <c r="AT1911" i="1" s="1"/>
  <c r="E2001" i="1"/>
  <c r="AQ2000" i="1"/>
  <c r="AR2000" i="1" s="1"/>
  <c r="AS2000" i="1" s="1"/>
  <c r="AC1912" i="1" l="1"/>
  <c r="AF1911" i="1"/>
  <c r="L1913" i="1"/>
  <c r="AJ1912" i="1"/>
  <c r="AT1912" i="1" s="1"/>
  <c r="E2002" i="1"/>
  <c r="AQ2001" i="1"/>
  <c r="AR2001" i="1" s="1"/>
  <c r="AS2001" i="1" s="1"/>
  <c r="AC1913" i="1" l="1"/>
  <c r="AF1912" i="1"/>
  <c r="L1914" i="1"/>
  <c r="AJ1913" i="1"/>
  <c r="AT1913" i="1" s="1"/>
  <c r="E2003" i="1"/>
  <c r="AQ2002" i="1"/>
  <c r="AR2002" i="1" s="1"/>
  <c r="AS2002" i="1" s="1"/>
  <c r="AC1914" i="1" l="1"/>
  <c r="AF1913" i="1"/>
  <c r="L1915" i="1"/>
  <c r="AJ1914" i="1"/>
  <c r="AT1914" i="1" s="1"/>
  <c r="E2004" i="1"/>
  <c r="AQ2003" i="1"/>
  <c r="AR2003" i="1" s="1"/>
  <c r="AS2003" i="1" s="1"/>
  <c r="AC1915" i="1" l="1"/>
  <c r="AF1914" i="1"/>
  <c r="L1916" i="1"/>
  <c r="AJ1915" i="1"/>
  <c r="AT1915" i="1" s="1"/>
  <c r="E2005" i="1"/>
  <c r="AQ2004" i="1"/>
  <c r="AR2004" i="1" s="1"/>
  <c r="AS2004" i="1" s="1"/>
  <c r="AC1916" i="1" l="1"/>
  <c r="AF1915" i="1"/>
  <c r="L1917" i="1"/>
  <c r="AJ1916" i="1"/>
  <c r="AT1916" i="1" s="1"/>
  <c r="E2006" i="1"/>
  <c r="AQ2005" i="1"/>
  <c r="AR2005" i="1" s="1"/>
  <c r="AS2005" i="1" s="1"/>
  <c r="AC1917" i="1" l="1"/>
  <c r="AF1916" i="1"/>
  <c r="L1918" i="1"/>
  <c r="AJ1917" i="1"/>
  <c r="AT1917" i="1" s="1"/>
  <c r="E2007" i="1"/>
  <c r="AQ2006" i="1"/>
  <c r="AR2006" i="1" s="1"/>
  <c r="AS2006" i="1" s="1"/>
  <c r="AC1918" i="1" l="1"/>
  <c r="AF1917" i="1"/>
  <c r="L1919" i="1"/>
  <c r="AJ1918" i="1"/>
  <c r="AT1918" i="1" s="1"/>
  <c r="E2008" i="1"/>
  <c r="AQ2007" i="1"/>
  <c r="AR2007" i="1" s="1"/>
  <c r="AS2007" i="1" s="1"/>
  <c r="AC1919" i="1" l="1"/>
  <c r="AF1918" i="1"/>
  <c r="L1920" i="1"/>
  <c r="AJ1919" i="1"/>
  <c r="AT1919" i="1" s="1"/>
  <c r="E2009" i="1"/>
  <c r="AQ2008" i="1"/>
  <c r="AR2008" i="1" s="1"/>
  <c r="AS2008" i="1" s="1"/>
  <c r="AC1920" i="1" l="1"/>
  <c r="AF1919" i="1"/>
  <c r="L1921" i="1"/>
  <c r="AJ1920" i="1"/>
  <c r="AT1920" i="1" s="1"/>
  <c r="E2010" i="1"/>
  <c r="AQ2009" i="1"/>
  <c r="AR2009" i="1" s="1"/>
  <c r="AS2009" i="1" s="1"/>
  <c r="AC1921" i="1" l="1"/>
  <c r="AF1920" i="1"/>
  <c r="L1922" i="1"/>
  <c r="AJ1921" i="1"/>
  <c r="AT1921" i="1" s="1"/>
  <c r="E2011" i="1"/>
  <c r="AQ2010" i="1"/>
  <c r="AR2010" i="1" s="1"/>
  <c r="AS2010" i="1" s="1"/>
  <c r="AC1922" i="1" l="1"/>
  <c r="AF1921" i="1"/>
  <c r="L1923" i="1"/>
  <c r="AJ1922" i="1"/>
  <c r="AT1922" i="1" s="1"/>
  <c r="E2012" i="1"/>
  <c r="AQ2011" i="1"/>
  <c r="AR2011" i="1" s="1"/>
  <c r="AS2011" i="1" s="1"/>
  <c r="AC1923" i="1" l="1"/>
  <c r="AF1922" i="1"/>
  <c r="L1924" i="1"/>
  <c r="AJ1923" i="1"/>
  <c r="AT1923" i="1" s="1"/>
  <c r="E2013" i="1"/>
  <c r="AQ2012" i="1"/>
  <c r="AR2012" i="1" s="1"/>
  <c r="AS2012" i="1" s="1"/>
  <c r="AC1924" i="1" l="1"/>
  <c r="AF1923" i="1"/>
  <c r="L1925" i="1"/>
  <c r="AJ1924" i="1"/>
  <c r="AT1924" i="1" s="1"/>
  <c r="E2014" i="1"/>
  <c r="AQ2013" i="1"/>
  <c r="AR2013" i="1" s="1"/>
  <c r="AS2013" i="1" s="1"/>
  <c r="AC1925" i="1" l="1"/>
  <c r="AF1924" i="1"/>
  <c r="L1926" i="1"/>
  <c r="AJ1925" i="1"/>
  <c r="AT1925" i="1" s="1"/>
  <c r="E2015" i="1"/>
  <c r="AQ2014" i="1"/>
  <c r="AR2014" i="1" s="1"/>
  <c r="AS2014" i="1" s="1"/>
  <c r="AC1926" i="1" l="1"/>
  <c r="AF1925" i="1"/>
  <c r="L1927" i="1"/>
  <c r="AJ1926" i="1"/>
  <c r="AT1926" i="1" s="1"/>
  <c r="E2016" i="1"/>
  <c r="AQ2015" i="1"/>
  <c r="AR2015" i="1" s="1"/>
  <c r="AS2015" i="1" s="1"/>
  <c r="AC1927" i="1" l="1"/>
  <c r="AF1926" i="1"/>
  <c r="L1928" i="1"/>
  <c r="AJ1927" i="1"/>
  <c r="AT1927" i="1" s="1"/>
  <c r="E2017" i="1"/>
  <c r="AQ2016" i="1"/>
  <c r="AR2016" i="1" s="1"/>
  <c r="AS2016" i="1" s="1"/>
  <c r="AC1928" i="1" l="1"/>
  <c r="AF1927" i="1"/>
  <c r="L1929" i="1"/>
  <c r="AJ1928" i="1"/>
  <c r="AT1928" i="1" s="1"/>
  <c r="E2018" i="1"/>
  <c r="AQ2017" i="1"/>
  <c r="AR2017" i="1" s="1"/>
  <c r="AS2017" i="1" s="1"/>
  <c r="AC1929" i="1" l="1"/>
  <c r="AF1928" i="1"/>
  <c r="L1930" i="1"/>
  <c r="AJ1929" i="1"/>
  <c r="AT1929" i="1" s="1"/>
  <c r="E2019" i="1"/>
  <c r="AQ2018" i="1"/>
  <c r="AR2018" i="1" s="1"/>
  <c r="AS2018" i="1" s="1"/>
  <c r="AC1930" i="1" l="1"/>
  <c r="AF1929" i="1"/>
  <c r="L1931" i="1"/>
  <c r="AJ1930" i="1"/>
  <c r="AT1930" i="1" s="1"/>
  <c r="E2020" i="1"/>
  <c r="AQ2019" i="1"/>
  <c r="AR2019" i="1" s="1"/>
  <c r="AS2019" i="1" s="1"/>
  <c r="AC1931" i="1" l="1"/>
  <c r="AF1930" i="1"/>
  <c r="L1932" i="1"/>
  <c r="AJ1931" i="1"/>
  <c r="AT1931" i="1" s="1"/>
  <c r="E2021" i="1"/>
  <c r="AQ2020" i="1"/>
  <c r="AR2020" i="1" s="1"/>
  <c r="AS2020" i="1" s="1"/>
  <c r="AC1932" i="1" l="1"/>
  <c r="AF1931" i="1"/>
  <c r="L1933" i="1"/>
  <c r="AJ1932" i="1"/>
  <c r="AT1932" i="1" s="1"/>
  <c r="E2022" i="1"/>
  <c r="AQ2021" i="1"/>
  <c r="AR2021" i="1" s="1"/>
  <c r="AS2021" i="1" s="1"/>
  <c r="AC1933" i="1" l="1"/>
  <c r="AF1932" i="1"/>
  <c r="L1934" i="1"/>
  <c r="AJ1933" i="1"/>
  <c r="AT1933" i="1" s="1"/>
  <c r="E2023" i="1"/>
  <c r="AQ2022" i="1"/>
  <c r="AR2022" i="1" s="1"/>
  <c r="AS2022" i="1" s="1"/>
  <c r="AC1934" i="1" l="1"/>
  <c r="AF1933" i="1"/>
  <c r="L1935" i="1"/>
  <c r="AJ1934" i="1"/>
  <c r="AT1934" i="1" s="1"/>
  <c r="E2024" i="1"/>
  <c r="AQ2023" i="1"/>
  <c r="AR2023" i="1" s="1"/>
  <c r="AS2023" i="1" s="1"/>
  <c r="AC1935" i="1" l="1"/>
  <c r="AF1934" i="1"/>
  <c r="L1936" i="1"/>
  <c r="AJ1935" i="1"/>
  <c r="AT1935" i="1" s="1"/>
  <c r="E2025" i="1"/>
  <c r="AQ2024" i="1"/>
  <c r="AR2024" i="1" s="1"/>
  <c r="AS2024" i="1" s="1"/>
  <c r="AC1936" i="1" l="1"/>
  <c r="AF1935" i="1"/>
  <c r="L1937" i="1"/>
  <c r="AJ1936" i="1"/>
  <c r="AT1936" i="1" s="1"/>
  <c r="E2026" i="1"/>
  <c r="AQ2025" i="1"/>
  <c r="AR2025" i="1" s="1"/>
  <c r="AS2025" i="1" s="1"/>
  <c r="AC1937" i="1" l="1"/>
  <c r="AF1936" i="1"/>
  <c r="L1938" i="1"/>
  <c r="AJ1937" i="1"/>
  <c r="AT1937" i="1" s="1"/>
  <c r="E2027" i="1"/>
  <c r="AQ2026" i="1"/>
  <c r="AR2026" i="1" s="1"/>
  <c r="AS2026" i="1" s="1"/>
  <c r="AC1938" i="1" l="1"/>
  <c r="AF1937" i="1"/>
  <c r="L1939" i="1"/>
  <c r="AJ1938" i="1"/>
  <c r="AT1938" i="1" s="1"/>
  <c r="E2028" i="1"/>
  <c r="AQ2027" i="1"/>
  <c r="AR2027" i="1" s="1"/>
  <c r="AS2027" i="1" s="1"/>
  <c r="AC1939" i="1" l="1"/>
  <c r="AF1938" i="1"/>
  <c r="L1940" i="1"/>
  <c r="AJ1939" i="1"/>
  <c r="AT1939" i="1" s="1"/>
  <c r="E2029" i="1"/>
  <c r="AQ2028" i="1"/>
  <c r="AR2028" i="1" s="1"/>
  <c r="AS2028" i="1" s="1"/>
  <c r="AC1940" i="1" l="1"/>
  <c r="AF1939" i="1"/>
  <c r="L1941" i="1"/>
  <c r="AJ1940" i="1"/>
  <c r="AT1940" i="1" s="1"/>
  <c r="E2030" i="1"/>
  <c r="AQ2029" i="1"/>
  <c r="AR2029" i="1" s="1"/>
  <c r="AS2029" i="1" s="1"/>
  <c r="AC1941" i="1" l="1"/>
  <c r="AF1940" i="1"/>
  <c r="L1942" i="1"/>
  <c r="AJ1941" i="1"/>
  <c r="AT1941" i="1" s="1"/>
  <c r="E2031" i="1"/>
  <c r="AQ2030" i="1"/>
  <c r="AR2030" i="1" s="1"/>
  <c r="AS2030" i="1" s="1"/>
  <c r="AC1942" i="1" l="1"/>
  <c r="AF1941" i="1"/>
  <c r="L1943" i="1"/>
  <c r="AJ1942" i="1"/>
  <c r="AT1942" i="1" s="1"/>
  <c r="E2032" i="1"/>
  <c r="AQ2031" i="1"/>
  <c r="AR2031" i="1" s="1"/>
  <c r="AS2031" i="1" s="1"/>
  <c r="AC1943" i="1" l="1"/>
  <c r="AF1942" i="1"/>
  <c r="L1944" i="1"/>
  <c r="AJ1943" i="1"/>
  <c r="AT1943" i="1" s="1"/>
  <c r="E2033" i="1"/>
  <c r="AQ2032" i="1"/>
  <c r="AR2032" i="1" s="1"/>
  <c r="AS2032" i="1" s="1"/>
  <c r="AC1944" i="1" l="1"/>
  <c r="AF1943" i="1"/>
  <c r="L1945" i="1"/>
  <c r="AJ1944" i="1"/>
  <c r="AT1944" i="1" s="1"/>
  <c r="E2034" i="1"/>
  <c r="AQ2033" i="1"/>
  <c r="AR2033" i="1" s="1"/>
  <c r="AS2033" i="1" s="1"/>
  <c r="AC1945" i="1" l="1"/>
  <c r="AF1944" i="1"/>
  <c r="L1946" i="1"/>
  <c r="AJ1945" i="1"/>
  <c r="AT1945" i="1" s="1"/>
  <c r="E2035" i="1"/>
  <c r="AQ2034" i="1"/>
  <c r="AR2034" i="1" s="1"/>
  <c r="AS2034" i="1" s="1"/>
  <c r="AC1946" i="1" l="1"/>
  <c r="AF1945" i="1"/>
  <c r="L1947" i="1"/>
  <c r="AJ1946" i="1"/>
  <c r="AT1946" i="1" s="1"/>
  <c r="E2036" i="1"/>
  <c r="AQ2035" i="1"/>
  <c r="AR2035" i="1" s="1"/>
  <c r="AS2035" i="1" s="1"/>
  <c r="AC1947" i="1" l="1"/>
  <c r="AF1946" i="1"/>
  <c r="L1948" i="1"/>
  <c r="AJ1947" i="1"/>
  <c r="AT1947" i="1" s="1"/>
  <c r="E2037" i="1"/>
  <c r="AQ2036" i="1"/>
  <c r="AR2036" i="1" s="1"/>
  <c r="AS2036" i="1" s="1"/>
  <c r="AC1948" i="1" l="1"/>
  <c r="AF1947" i="1"/>
  <c r="L1949" i="1"/>
  <c r="AJ1948" i="1"/>
  <c r="AT1948" i="1" s="1"/>
  <c r="E2038" i="1"/>
  <c r="AQ2037" i="1"/>
  <c r="AR2037" i="1" s="1"/>
  <c r="AS2037" i="1" s="1"/>
  <c r="AC1949" i="1" l="1"/>
  <c r="AF1948" i="1"/>
  <c r="L1950" i="1"/>
  <c r="AJ1949" i="1"/>
  <c r="AT1949" i="1" s="1"/>
  <c r="E2039" i="1"/>
  <c r="AQ2038" i="1"/>
  <c r="AR2038" i="1" s="1"/>
  <c r="AS2038" i="1" s="1"/>
  <c r="AC1950" i="1" l="1"/>
  <c r="AF1949" i="1"/>
  <c r="L1951" i="1"/>
  <c r="AJ1950" i="1"/>
  <c r="AT1950" i="1" s="1"/>
  <c r="E2040" i="1"/>
  <c r="AQ2039" i="1"/>
  <c r="AR2039" i="1" s="1"/>
  <c r="AS2039" i="1" s="1"/>
  <c r="AC1951" i="1" l="1"/>
  <c r="AF1950" i="1"/>
  <c r="L1952" i="1"/>
  <c r="AJ1951" i="1"/>
  <c r="AT1951" i="1" s="1"/>
  <c r="E2041" i="1"/>
  <c r="AQ2040" i="1"/>
  <c r="AR2040" i="1" s="1"/>
  <c r="AS2040" i="1" s="1"/>
  <c r="AC1952" i="1" l="1"/>
  <c r="AF1951" i="1"/>
  <c r="L1953" i="1"/>
  <c r="AJ1952" i="1"/>
  <c r="AT1952" i="1" s="1"/>
  <c r="E2042" i="1"/>
  <c r="AQ2041" i="1"/>
  <c r="AR2041" i="1" s="1"/>
  <c r="AS2041" i="1" s="1"/>
  <c r="AC1953" i="1" l="1"/>
  <c r="AF1952" i="1"/>
  <c r="L1954" i="1"/>
  <c r="AJ1953" i="1"/>
  <c r="AT1953" i="1" s="1"/>
  <c r="E2043" i="1"/>
  <c r="AQ2042" i="1"/>
  <c r="AR2042" i="1" s="1"/>
  <c r="AS2042" i="1" s="1"/>
  <c r="AC1954" i="1" l="1"/>
  <c r="AF1953" i="1"/>
  <c r="L1955" i="1"/>
  <c r="AJ1954" i="1"/>
  <c r="AT1954" i="1" s="1"/>
  <c r="E2044" i="1"/>
  <c r="AQ2043" i="1"/>
  <c r="AR2043" i="1" s="1"/>
  <c r="AS2043" i="1" s="1"/>
  <c r="AC1955" i="1" l="1"/>
  <c r="AF1954" i="1"/>
  <c r="L1956" i="1"/>
  <c r="AJ1955" i="1"/>
  <c r="AT1955" i="1" s="1"/>
  <c r="E2045" i="1"/>
  <c r="AQ2044" i="1"/>
  <c r="AR2044" i="1" s="1"/>
  <c r="AS2044" i="1" s="1"/>
  <c r="AC1956" i="1" l="1"/>
  <c r="AF1955" i="1"/>
  <c r="L1957" i="1"/>
  <c r="AJ1956" i="1"/>
  <c r="AT1956" i="1" s="1"/>
  <c r="E2046" i="1"/>
  <c r="AQ2045" i="1"/>
  <c r="AR2045" i="1" s="1"/>
  <c r="AS2045" i="1" s="1"/>
  <c r="AC1957" i="1" l="1"/>
  <c r="AF1956" i="1"/>
  <c r="L1958" i="1"/>
  <c r="AJ1957" i="1"/>
  <c r="AT1957" i="1" s="1"/>
  <c r="E2047" i="1"/>
  <c r="AQ2046" i="1"/>
  <c r="AR2046" i="1" s="1"/>
  <c r="AS2046" i="1" s="1"/>
  <c r="AC1958" i="1" l="1"/>
  <c r="AF1957" i="1"/>
  <c r="L1959" i="1"/>
  <c r="AJ1958" i="1"/>
  <c r="AT1958" i="1" s="1"/>
  <c r="E2048" i="1"/>
  <c r="AQ2047" i="1"/>
  <c r="AR2047" i="1" s="1"/>
  <c r="AS2047" i="1" s="1"/>
  <c r="AC1959" i="1" l="1"/>
  <c r="AF1958" i="1"/>
  <c r="L1960" i="1"/>
  <c r="AJ1959" i="1"/>
  <c r="AT1959" i="1" s="1"/>
  <c r="E2049" i="1"/>
  <c r="AQ2048" i="1"/>
  <c r="AR2048" i="1" s="1"/>
  <c r="AS2048" i="1" s="1"/>
  <c r="AC1960" i="1" l="1"/>
  <c r="AF1959" i="1"/>
  <c r="L1961" i="1"/>
  <c r="AJ1960" i="1"/>
  <c r="AT1960" i="1" s="1"/>
  <c r="E2050" i="1"/>
  <c r="AQ2049" i="1"/>
  <c r="AC1961" i="1" l="1"/>
  <c r="AF1960" i="1"/>
  <c r="L1962" i="1"/>
  <c r="AJ1961" i="1"/>
  <c r="AT1961" i="1" s="1"/>
  <c r="E2051" i="1"/>
  <c r="AQ2050" i="1"/>
  <c r="AC1962" i="1" l="1"/>
  <c r="AF1961" i="1"/>
  <c r="L1963" i="1"/>
  <c r="AJ1962" i="1"/>
  <c r="AT1962" i="1" s="1"/>
  <c r="E2052" i="1"/>
  <c r="AQ2051" i="1"/>
  <c r="AR2051" i="1" s="1"/>
  <c r="AS2051" i="1" s="1"/>
  <c r="AC1963" i="1" l="1"/>
  <c r="AF1962" i="1"/>
  <c r="L1964" i="1"/>
  <c r="AJ1963" i="1"/>
  <c r="AT1963" i="1" s="1"/>
  <c r="E2053" i="1"/>
  <c r="AQ2052" i="1"/>
  <c r="AR2052" i="1" s="1"/>
  <c r="AS2052" i="1" s="1"/>
  <c r="AC1964" i="1" l="1"/>
  <c r="AF1963" i="1"/>
  <c r="L1965" i="1"/>
  <c r="AJ1964" i="1"/>
  <c r="AT1964" i="1" s="1"/>
  <c r="E2054" i="1"/>
  <c r="AQ2053" i="1"/>
  <c r="AR2053" i="1" s="1"/>
  <c r="AS2053" i="1" s="1"/>
  <c r="AC1965" i="1" l="1"/>
  <c r="AF1964" i="1"/>
  <c r="L1966" i="1"/>
  <c r="AJ1965" i="1"/>
  <c r="AT1965" i="1" s="1"/>
  <c r="E2055" i="1"/>
  <c r="AQ2054" i="1"/>
  <c r="AR2054" i="1" s="1"/>
  <c r="AS2054" i="1" s="1"/>
  <c r="AC1966" i="1" l="1"/>
  <c r="AF1965" i="1"/>
  <c r="L1967" i="1"/>
  <c r="AJ1966" i="1"/>
  <c r="AT1966" i="1" s="1"/>
  <c r="E2056" i="1"/>
  <c r="AQ2055" i="1"/>
  <c r="AR2055" i="1" s="1"/>
  <c r="AS2055" i="1" s="1"/>
  <c r="AC1967" i="1" l="1"/>
  <c r="AF1966" i="1"/>
  <c r="L1968" i="1"/>
  <c r="AJ1967" i="1"/>
  <c r="AT1967" i="1" s="1"/>
  <c r="E2057" i="1"/>
  <c r="AQ2056" i="1"/>
  <c r="AR2056" i="1" s="1"/>
  <c r="AS2056" i="1" s="1"/>
  <c r="AC1968" i="1" l="1"/>
  <c r="AF1967" i="1"/>
  <c r="L1969" i="1"/>
  <c r="AJ1968" i="1"/>
  <c r="AT1968" i="1" s="1"/>
  <c r="E2058" i="1"/>
  <c r="AQ2057" i="1"/>
  <c r="AR2057" i="1" s="1"/>
  <c r="AS2057" i="1" s="1"/>
  <c r="AC1969" i="1" l="1"/>
  <c r="AF1968" i="1"/>
  <c r="L1970" i="1"/>
  <c r="AJ1969" i="1"/>
  <c r="AT1969" i="1" s="1"/>
  <c r="E2059" i="1"/>
  <c r="AQ2058" i="1"/>
  <c r="AR2058" i="1" s="1"/>
  <c r="AS2058" i="1" s="1"/>
  <c r="AC1970" i="1" l="1"/>
  <c r="AF1969" i="1"/>
  <c r="L1971" i="1"/>
  <c r="AJ1970" i="1"/>
  <c r="AT1970" i="1" s="1"/>
  <c r="E2060" i="1"/>
  <c r="AQ2059" i="1"/>
  <c r="AR2059" i="1" s="1"/>
  <c r="AS2059" i="1" s="1"/>
  <c r="AC1971" i="1" l="1"/>
  <c r="AF1970" i="1"/>
  <c r="L1972" i="1"/>
  <c r="AJ1971" i="1"/>
  <c r="AT1971" i="1" s="1"/>
  <c r="E2061" i="1"/>
  <c r="AQ2060" i="1"/>
  <c r="AR2060" i="1" s="1"/>
  <c r="AS2060" i="1" s="1"/>
  <c r="AC1972" i="1" l="1"/>
  <c r="AF1971" i="1"/>
  <c r="L1973" i="1"/>
  <c r="AJ1972" i="1"/>
  <c r="AT1972" i="1" s="1"/>
  <c r="E2062" i="1"/>
  <c r="AQ2061" i="1"/>
  <c r="AR2061" i="1" s="1"/>
  <c r="AS2061" i="1" s="1"/>
  <c r="AC1973" i="1" l="1"/>
  <c r="AF1972" i="1"/>
  <c r="L1974" i="1"/>
  <c r="AJ1973" i="1"/>
  <c r="AT1973" i="1" s="1"/>
  <c r="E2063" i="1"/>
  <c r="AQ2062" i="1"/>
  <c r="AR2062" i="1" s="1"/>
  <c r="AS2062" i="1" s="1"/>
  <c r="AC1974" i="1" l="1"/>
  <c r="AF1973" i="1"/>
  <c r="L1975" i="1"/>
  <c r="AJ1974" i="1"/>
  <c r="AT1974" i="1" s="1"/>
  <c r="E2064" i="1"/>
  <c r="AQ2063" i="1"/>
  <c r="AR2063" i="1" s="1"/>
  <c r="AS2063" i="1" s="1"/>
  <c r="AC1975" i="1" l="1"/>
  <c r="AF1974" i="1"/>
  <c r="L1976" i="1"/>
  <c r="AJ1975" i="1"/>
  <c r="AT1975" i="1" s="1"/>
  <c r="E2065" i="1"/>
  <c r="AQ2064" i="1"/>
  <c r="AR2064" i="1" s="1"/>
  <c r="AS2064" i="1" s="1"/>
  <c r="AC1976" i="1" l="1"/>
  <c r="AF1975" i="1"/>
  <c r="L1977" i="1"/>
  <c r="AJ1976" i="1"/>
  <c r="AT1976" i="1" s="1"/>
  <c r="E2066" i="1"/>
  <c r="AQ2065" i="1"/>
  <c r="AR2065" i="1" s="1"/>
  <c r="AS2065" i="1" s="1"/>
  <c r="AC1977" i="1" l="1"/>
  <c r="AF1976" i="1"/>
  <c r="L1978" i="1"/>
  <c r="AJ1977" i="1"/>
  <c r="AT1977" i="1" s="1"/>
  <c r="E2067" i="1"/>
  <c r="AQ2066" i="1"/>
  <c r="AR2066" i="1" s="1"/>
  <c r="AS2066" i="1" s="1"/>
  <c r="AC1978" i="1" l="1"/>
  <c r="AF1977" i="1"/>
  <c r="L1979" i="1"/>
  <c r="AJ1978" i="1"/>
  <c r="AT1978" i="1" s="1"/>
  <c r="E2068" i="1"/>
  <c r="AQ2067" i="1"/>
  <c r="AR2067" i="1" s="1"/>
  <c r="AS2067" i="1" s="1"/>
  <c r="AC1979" i="1" l="1"/>
  <c r="AF1978" i="1"/>
  <c r="L1980" i="1"/>
  <c r="AJ1979" i="1"/>
  <c r="AT1979" i="1" s="1"/>
  <c r="E2069" i="1"/>
  <c r="AQ2068" i="1"/>
  <c r="AR2068" i="1" s="1"/>
  <c r="AS2068" i="1" s="1"/>
  <c r="AC1980" i="1" l="1"/>
  <c r="AF1979" i="1"/>
  <c r="L1981" i="1"/>
  <c r="AJ1980" i="1"/>
  <c r="AT1980" i="1" s="1"/>
  <c r="E2070" i="1"/>
  <c r="AQ2069" i="1"/>
  <c r="AR2069" i="1" s="1"/>
  <c r="AS2069" i="1" s="1"/>
  <c r="AC1981" i="1" l="1"/>
  <c r="AF1980" i="1"/>
  <c r="L1982" i="1"/>
  <c r="AJ1981" i="1"/>
  <c r="AT1981" i="1" s="1"/>
  <c r="E2071" i="1"/>
  <c r="AQ2070" i="1"/>
  <c r="AR2070" i="1" s="1"/>
  <c r="AS2070" i="1" s="1"/>
  <c r="AC1982" i="1" l="1"/>
  <c r="AF1981" i="1"/>
  <c r="L1983" i="1"/>
  <c r="AJ1982" i="1"/>
  <c r="AT1982" i="1" s="1"/>
  <c r="E2072" i="1"/>
  <c r="AQ2071" i="1"/>
  <c r="AR2071" i="1" s="1"/>
  <c r="AS2071" i="1" s="1"/>
  <c r="AC1983" i="1" l="1"/>
  <c r="AF1982" i="1"/>
  <c r="L1984" i="1"/>
  <c r="AJ1983" i="1"/>
  <c r="AT1983" i="1" s="1"/>
  <c r="E2073" i="1"/>
  <c r="AQ2072" i="1"/>
  <c r="AR2072" i="1" s="1"/>
  <c r="AS2072" i="1" s="1"/>
  <c r="AC1984" i="1" l="1"/>
  <c r="AF1983" i="1"/>
  <c r="L1985" i="1"/>
  <c r="AJ1984" i="1"/>
  <c r="AT1984" i="1" s="1"/>
  <c r="E2074" i="1"/>
  <c r="AQ2073" i="1"/>
  <c r="AR2073" i="1" s="1"/>
  <c r="AS2073" i="1" s="1"/>
  <c r="AC1985" i="1" l="1"/>
  <c r="AF1984" i="1"/>
  <c r="L1986" i="1"/>
  <c r="AJ1985" i="1"/>
  <c r="AT1985" i="1" s="1"/>
  <c r="E2075" i="1"/>
  <c r="AQ2074" i="1"/>
  <c r="AR2074" i="1" s="1"/>
  <c r="AS2074" i="1" s="1"/>
  <c r="AC1986" i="1" l="1"/>
  <c r="AF1985" i="1"/>
  <c r="L1987" i="1"/>
  <c r="AJ1986" i="1"/>
  <c r="AT1986" i="1" s="1"/>
  <c r="E2076" i="1"/>
  <c r="AQ2075" i="1"/>
  <c r="AR2075" i="1" s="1"/>
  <c r="AS2075" i="1" s="1"/>
  <c r="AC1987" i="1" l="1"/>
  <c r="AF1986" i="1"/>
  <c r="L1988" i="1"/>
  <c r="AJ1987" i="1"/>
  <c r="AT1987" i="1" s="1"/>
  <c r="E2077" i="1"/>
  <c r="AQ2076" i="1"/>
  <c r="AR2076" i="1" s="1"/>
  <c r="AS2076" i="1" s="1"/>
  <c r="AC1988" i="1" l="1"/>
  <c r="AF1987" i="1"/>
  <c r="L1989" i="1"/>
  <c r="AJ1988" i="1"/>
  <c r="AT1988" i="1" s="1"/>
  <c r="E2078" i="1"/>
  <c r="AQ2077" i="1"/>
  <c r="AR2077" i="1" s="1"/>
  <c r="AS2077" i="1" s="1"/>
  <c r="AC1989" i="1" l="1"/>
  <c r="AF1988" i="1"/>
  <c r="L1990" i="1"/>
  <c r="AJ1989" i="1"/>
  <c r="AT1989" i="1" s="1"/>
  <c r="E2079" i="1"/>
  <c r="AQ2078" i="1"/>
  <c r="AR2078" i="1" s="1"/>
  <c r="AS2078" i="1" s="1"/>
  <c r="AC1990" i="1" l="1"/>
  <c r="AF1989" i="1"/>
  <c r="L1991" i="1"/>
  <c r="AJ1990" i="1"/>
  <c r="AT1990" i="1" s="1"/>
  <c r="E2080" i="1"/>
  <c r="AQ2079" i="1"/>
  <c r="AR2079" i="1" s="1"/>
  <c r="AS2079" i="1" s="1"/>
  <c r="AC1991" i="1" l="1"/>
  <c r="AF1990" i="1"/>
  <c r="L1992" i="1"/>
  <c r="AJ1991" i="1"/>
  <c r="AT1991" i="1" s="1"/>
  <c r="E2081" i="1"/>
  <c r="AQ2080" i="1"/>
  <c r="AR2080" i="1" s="1"/>
  <c r="AS2080" i="1" s="1"/>
  <c r="AC1992" i="1" l="1"/>
  <c r="AF1991" i="1"/>
  <c r="L1993" i="1"/>
  <c r="AJ1992" i="1"/>
  <c r="AT1992" i="1" s="1"/>
  <c r="E2082" i="1"/>
  <c r="AQ2081" i="1"/>
  <c r="AR2081" i="1" s="1"/>
  <c r="AS2081" i="1" s="1"/>
  <c r="AC1993" i="1" l="1"/>
  <c r="AF1992" i="1"/>
  <c r="L1994" i="1"/>
  <c r="AJ1993" i="1"/>
  <c r="AT1993" i="1" s="1"/>
  <c r="E2083" i="1"/>
  <c r="AQ2082" i="1"/>
  <c r="AR2082" i="1" s="1"/>
  <c r="AS2082" i="1" s="1"/>
  <c r="AC1994" i="1" l="1"/>
  <c r="AF1993" i="1"/>
  <c r="L1995" i="1"/>
  <c r="AJ1994" i="1"/>
  <c r="AT1994" i="1" s="1"/>
  <c r="E2084" i="1"/>
  <c r="AQ2083" i="1"/>
  <c r="AR2083" i="1" s="1"/>
  <c r="AS2083" i="1" s="1"/>
  <c r="AC1995" i="1" l="1"/>
  <c r="AF1994" i="1"/>
  <c r="L1996" i="1"/>
  <c r="AJ1995" i="1"/>
  <c r="AT1995" i="1" s="1"/>
  <c r="E2085" i="1"/>
  <c r="AQ2084" i="1"/>
  <c r="AR2084" i="1" s="1"/>
  <c r="AS2084" i="1" s="1"/>
  <c r="AC1996" i="1" l="1"/>
  <c r="AF1995" i="1"/>
  <c r="L1997" i="1"/>
  <c r="AJ1996" i="1"/>
  <c r="AT1996" i="1" s="1"/>
  <c r="E2086" i="1"/>
  <c r="AQ2085" i="1"/>
  <c r="AR2085" i="1" s="1"/>
  <c r="AS2085" i="1" s="1"/>
  <c r="AC1997" i="1" l="1"/>
  <c r="AF1996" i="1"/>
  <c r="L1998" i="1"/>
  <c r="AJ1997" i="1"/>
  <c r="AT1997" i="1" s="1"/>
  <c r="E2087" i="1"/>
  <c r="AQ2086" i="1"/>
  <c r="AR2086" i="1" s="1"/>
  <c r="AS2086" i="1" s="1"/>
  <c r="AC1998" i="1" l="1"/>
  <c r="AF1997" i="1"/>
  <c r="L1999" i="1"/>
  <c r="AJ1998" i="1"/>
  <c r="AT1998" i="1" s="1"/>
  <c r="E2088" i="1"/>
  <c r="AQ2087" i="1"/>
  <c r="AR2087" i="1" s="1"/>
  <c r="AS2087" i="1" s="1"/>
  <c r="AC1999" i="1" l="1"/>
  <c r="AF1998" i="1"/>
  <c r="L2000" i="1"/>
  <c r="AJ1999" i="1"/>
  <c r="AT1999" i="1" s="1"/>
  <c r="E2089" i="1"/>
  <c r="AQ2088" i="1"/>
  <c r="AR2088" i="1" s="1"/>
  <c r="AS2088" i="1" s="1"/>
  <c r="AC2000" i="1" l="1"/>
  <c r="AF1999" i="1"/>
  <c r="L2001" i="1"/>
  <c r="AJ2000" i="1"/>
  <c r="AT2000" i="1" s="1"/>
  <c r="E2090" i="1"/>
  <c r="AQ2089" i="1"/>
  <c r="AR2089" i="1" s="1"/>
  <c r="AS2089" i="1" s="1"/>
  <c r="AC2001" i="1" l="1"/>
  <c r="AF2000" i="1"/>
  <c r="L2002" i="1"/>
  <c r="AJ2001" i="1"/>
  <c r="AT2001" i="1" s="1"/>
  <c r="E2091" i="1"/>
  <c r="AQ2090" i="1"/>
  <c r="AR2090" i="1" s="1"/>
  <c r="AS2090" i="1" s="1"/>
  <c r="AC2002" i="1" l="1"/>
  <c r="AF2001" i="1"/>
  <c r="L2003" i="1"/>
  <c r="AJ2002" i="1"/>
  <c r="AT2002" i="1" s="1"/>
  <c r="E2092" i="1"/>
  <c r="AQ2091" i="1"/>
  <c r="AR2091" i="1" s="1"/>
  <c r="AS2091" i="1" s="1"/>
  <c r="AC2003" i="1" l="1"/>
  <c r="AF2002" i="1"/>
  <c r="L2004" i="1"/>
  <c r="AJ2003" i="1"/>
  <c r="AT2003" i="1" s="1"/>
  <c r="E2093" i="1"/>
  <c r="AQ2092" i="1"/>
  <c r="AR2092" i="1" s="1"/>
  <c r="AS2092" i="1" s="1"/>
  <c r="AC2004" i="1" l="1"/>
  <c r="AF2003" i="1"/>
  <c r="L2005" i="1"/>
  <c r="AJ2004" i="1"/>
  <c r="AT2004" i="1" s="1"/>
  <c r="E2094" i="1"/>
  <c r="AQ2093" i="1"/>
  <c r="AR2093" i="1" s="1"/>
  <c r="AS2093" i="1" s="1"/>
  <c r="AC2005" i="1" l="1"/>
  <c r="AF2004" i="1"/>
  <c r="L2006" i="1"/>
  <c r="AJ2005" i="1"/>
  <c r="AT2005" i="1" s="1"/>
  <c r="E2095" i="1"/>
  <c r="AQ2094" i="1"/>
  <c r="AR2094" i="1" s="1"/>
  <c r="AS2094" i="1" s="1"/>
  <c r="AC2006" i="1" l="1"/>
  <c r="AF2005" i="1"/>
  <c r="L2007" i="1"/>
  <c r="AJ2006" i="1"/>
  <c r="AT2006" i="1" s="1"/>
  <c r="E2096" i="1"/>
  <c r="AQ2095" i="1"/>
  <c r="AR2095" i="1" s="1"/>
  <c r="AS2095" i="1" s="1"/>
  <c r="AC2007" i="1" l="1"/>
  <c r="AF2006" i="1"/>
  <c r="L2008" i="1"/>
  <c r="AJ2007" i="1"/>
  <c r="AT2007" i="1" s="1"/>
  <c r="E2097" i="1"/>
  <c r="AQ2096" i="1"/>
  <c r="AR2096" i="1" s="1"/>
  <c r="AS2096" i="1" s="1"/>
  <c r="AC2008" i="1" l="1"/>
  <c r="AF2007" i="1"/>
  <c r="L2009" i="1"/>
  <c r="AJ2008" i="1"/>
  <c r="AT2008" i="1" s="1"/>
  <c r="E2098" i="1"/>
  <c r="AQ2097" i="1"/>
  <c r="AR2097" i="1" s="1"/>
  <c r="AS2097" i="1" s="1"/>
  <c r="AC2009" i="1" l="1"/>
  <c r="AF2008" i="1"/>
  <c r="L2010" i="1"/>
  <c r="AJ2009" i="1"/>
  <c r="AT2009" i="1" s="1"/>
  <c r="E2099" i="1"/>
  <c r="AQ2098" i="1"/>
  <c r="AR2098" i="1" s="1"/>
  <c r="AS2098" i="1" s="1"/>
  <c r="AC2010" i="1" l="1"/>
  <c r="AF2009" i="1"/>
  <c r="L2011" i="1"/>
  <c r="AJ2010" i="1"/>
  <c r="AT2010" i="1" s="1"/>
  <c r="E2100" i="1"/>
  <c r="AQ2099" i="1"/>
  <c r="AR2099" i="1" s="1"/>
  <c r="AS2099" i="1" s="1"/>
  <c r="AC2011" i="1" l="1"/>
  <c r="AF2010" i="1"/>
  <c r="L2012" i="1"/>
  <c r="AJ2011" i="1"/>
  <c r="AT2011" i="1" s="1"/>
  <c r="E2101" i="1"/>
  <c r="AQ2100" i="1"/>
  <c r="AR2100" i="1" s="1"/>
  <c r="AS2100" i="1" s="1"/>
  <c r="AC2012" i="1" l="1"/>
  <c r="AF2011" i="1"/>
  <c r="L2013" i="1"/>
  <c r="AJ2012" i="1"/>
  <c r="AT2012" i="1" s="1"/>
  <c r="E2102" i="1"/>
  <c r="AQ2101" i="1"/>
  <c r="AR2101" i="1" s="1"/>
  <c r="AS2101" i="1" s="1"/>
  <c r="AC2013" i="1" l="1"/>
  <c r="AF2012" i="1"/>
  <c r="L2014" i="1"/>
  <c r="AJ2013" i="1"/>
  <c r="AT2013" i="1" s="1"/>
  <c r="E2103" i="1"/>
  <c r="AQ2102" i="1"/>
  <c r="AR2102" i="1" s="1"/>
  <c r="AS2102" i="1" s="1"/>
  <c r="AC2014" i="1" l="1"/>
  <c r="AF2013" i="1"/>
  <c r="L2015" i="1"/>
  <c r="AJ2014" i="1"/>
  <c r="AT2014" i="1" s="1"/>
  <c r="E2104" i="1"/>
  <c r="AQ2103" i="1"/>
  <c r="AR2103" i="1" s="1"/>
  <c r="AS2103" i="1" s="1"/>
  <c r="AC2015" i="1" l="1"/>
  <c r="AF2014" i="1"/>
  <c r="L2016" i="1"/>
  <c r="AJ2015" i="1"/>
  <c r="AT2015" i="1" s="1"/>
  <c r="E2105" i="1"/>
  <c r="AQ2104" i="1"/>
  <c r="AR2104" i="1" s="1"/>
  <c r="AS2104" i="1" s="1"/>
  <c r="AC2016" i="1" l="1"/>
  <c r="AF2015" i="1"/>
  <c r="L2017" i="1"/>
  <c r="AJ2016" i="1"/>
  <c r="AT2016" i="1" s="1"/>
  <c r="E2106" i="1"/>
  <c r="AQ2105" i="1"/>
  <c r="AR2105" i="1" s="1"/>
  <c r="AS2105" i="1" s="1"/>
  <c r="AC2017" i="1" l="1"/>
  <c r="AF2016" i="1"/>
  <c r="L2018" i="1"/>
  <c r="AJ2017" i="1"/>
  <c r="AT2017" i="1" s="1"/>
  <c r="E2107" i="1"/>
  <c r="AQ2106" i="1"/>
  <c r="AR2106" i="1" s="1"/>
  <c r="AS2106" i="1" s="1"/>
  <c r="AC2018" i="1" l="1"/>
  <c r="AF2017" i="1"/>
  <c r="L2019" i="1"/>
  <c r="AJ2018" i="1"/>
  <c r="AT2018" i="1" s="1"/>
  <c r="E2108" i="1"/>
  <c r="AQ2107" i="1"/>
  <c r="AR2107" i="1" s="1"/>
  <c r="AS2107" i="1" s="1"/>
  <c r="AC2019" i="1" l="1"/>
  <c r="AF2018" i="1"/>
  <c r="L2020" i="1"/>
  <c r="AJ2019" i="1"/>
  <c r="AT2019" i="1" s="1"/>
  <c r="E2109" i="1"/>
  <c r="AQ2108" i="1"/>
  <c r="AR2108" i="1" s="1"/>
  <c r="AS2108" i="1" s="1"/>
  <c r="AC2020" i="1" l="1"/>
  <c r="AF2019" i="1"/>
  <c r="L2021" i="1"/>
  <c r="AJ2020" i="1"/>
  <c r="AT2020" i="1" s="1"/>
  <c r="E2110" i="1"/>
  <c r="AQ2109" i="1"/>
  <c r="AR2109" i="1" s="1"/>
  <c r="AS2109" i="1" s="1"/>
  <c r="AC2021" i="1" l="1"/>
  <c r="AF2020" i="1"/>
  <c r="L2022" i="1"/>
  <c r="AJ2021" i="1"/>
  <c r="AT2021" i="1" s="1"/>
  <c r="E2111" i="1"/>
  <c r="AQ2110" i="1"/>
  <c r="AR2110" i="1" s="1"/>
  <c r="AS2110" i="1" s="1"/>
  <c r="AC2022" i="1" l="1"/>
  <c r="AF2021" i="1"/>
  <c r="L2023" i="1"/>
  <c r="AJ2022" i="1"/>
  <c r="AT2022" i="1" s="1"/>
  <c r="E2112" i="1"/>
  <c r="AQ2111" i="1"/>
  <c r="AR2111" i="1" s="1"/>
  <c r="AS2111" i="1" s="1"/>
  <c r="AC2023" i="1" l="1"/>
  <c r="AF2022" i="1"/>
  <c r="L2024" i="1"/>
  <c r="AJ2023" i="1"/>
  <c r="AT2023" i="1" s="1"/>
  <c r="E2113" i="1"/>
  <c r="AQ2112" i="1"/>
  <c r="AR2112" i="1" s="1"/>
  <c r="AS2112" i="1" s="1"/>
  <c r="AC2024" i="1" l="1"/>
  <c r="AF2023" i="1"/>
  <c r="L2025" i="1"/>
  <c r="AJ2024" i="1"/>
  <c r="AT2024" i="1" s="1"/>
  <c r="E2114" i="1"/>
  <c r="AQ2113" i="1"/>
  <c r="AR2113" i="1" s="1"/>
  <c r="AS2113" i="1" s="1"/>
  <c r="AC2025" i="1" l="1"/>
  <c r="AF2024" i="1"/>
  <c r="L2026" i="1"/>
  <c r="AJ2025" i="1"/>
  <c r="AT2025" i="1" s="1"/>
  <c r="E2115" i="1"/>
  <c r="AQ2114" i="1"/>
  <c r="AR2114" i="1" s="1"/>
  <c r="AS2114" i="1" s="1"/>
  <c r="AC2026" i="1" l="1"/>
  <c r="AF2025" i="1"/>
  <c r="L2027" i="1"/>
  <c r="AJ2026" i="1"/>
  <c r="AT2026" i="1" s="1"/>
  <c r="E2116" i="1"/>
  <c r="AQ2115" i="1"/>
  <c r="AR2115" i="1" s="1"/>
  <c r="AS2115" i="1" s="1"/>
  <c r="AC2027" i="1" l="1"/>
  <c r="AF2026" i="1"/>
  <c r="L2028" i="1"/>
  <c r="AJ2027" i="1"/>
  <c r="AT2027" i="1" s="1"/>
  <c r="E2117" i="1"/>
  <c r="AQ2116" i="1"/>
  <c r="AR2116" i="1" s="1"/>
  <c r="AS2116" i="1" s="1"/>
  <c r="AC2028" i="1" l="1"/>
  <c r="AF2027" i="1"/>
  <c r="L2029" i="1"/>
  <c r="AJ2028" i="1"/>
  <c r="AT2028" i="1" s="1"/>
  <c r="E2118" i="1"/>
  <c r="AQ2117" i="1"/>
  <c r="AR2117" i="1" s="1"/>
  <c r="AS2117" i="1" s="1"/>
  <c r="AC2029" i="1" l="1"/>
  <c r="AF2028" i="1"/>
  <c r="L2030" i="1"/>
  <c r="AJ2029" i="1"/>
  <c r="AT2029" i="1" s="1"/>
  <c r="E2119" i="1"/>
  <c r="AQ2118" i="1"/>
  <c r="AR2118" i="1" s="1"/>
  <c r="AS2118" i="1" s="1"/>
  <c r="AC2030" i="1" l="1"/>
  <c r="AF2029" i="1"/>
  <c r="L2031" i="1"/>
  <c r="AJ2030" i="1"/>
  <c r="AT2030" i="1" s="1"/>
  <c r="E2120" i="1"/>
  <c r="AQ2119" i="1"/>
  <c r="AR2119" i="1" s="1"/>
  <c r="AS2119" i="1" s="1"/>
  <c r="AC2031" i="1" l="1"/>
  <c r="AF2030" i="1"/>
  <c r="L2032" i="1"/>
  <c r="AJ2031" i="1"/>
  <c r="AT2031" i="1" s="1"/>
  <c r="E2121" i="1"/>
  <c r="AQ2120" i="1"/>
  <c r="AR2120" i="1" s="1"/>
  <c r="AS2120" i="1" s="1"/>
  <c r="AC2032" i="1" l="1"/>
  <c r="AF2031" i="1"/>
  <c r="L2033" i="1"/>
  <c r="AJ2032" i="1"/>
  <c r="AT2032" i="1" s="1"/>
  <c r="E2122" i="1"/>
  <c r="AQ2121" i="1"/>
  <c r="AR2121" i="1" s="1"/>
  <c r="AS2121" i="1" s="1"/>
  <c r="AC2033" i="1" l="1"/>
  <c r="AF2032" i="1"/>
  <c r="L2034" i="1"/>
  <c r="AJ2033" i="1"/>
  <c r="AT2033" i="1" s="1"/>
  <c r="E2123" i="1"/>
  <c r="AQ2122" i="1"/>
  <c r="AR2122" i="1" s="1"/>
  <c r="AS2122" i="1" s="1"/>
  <c r="AC2034" i="1" l="1"/>
  <c r="AF2033" i="1"/>
  <c r="L2035" i="1"/>
  <c r="AJ2034" i="1"/>
  <c r="AT2034" i="1" s="1"/>
  <c r="E2124" i="1"/>
  <c r="AQ2123" i="1"/>
  <c r="AR2123" i="1" s="1"/>
  <c r="AS2123" i="1" s="1"/>
  <c r="AC2035" i="1" l="1"/>
  <c r="AF2034" i="1"/>
  <c r="L2036" i="1"/>
  <c r="AJ2035" i="1"/>
  <c r="AT2035" i="1" s="1"/>
  <c r="E2125" i="1"/>
  <c r="AQ2124" i="1"/>
  <c r="AR2124" i="1" s="1"/>
  <c r="AS2124" i="1" s="1"/>
  <c r="AC2036" i="1" l="1"/>
  <c r="AF2035" i="1"/>
  <c r="L2037" i="1"/>
  <c r="AJ2036" i="1"/>
  <c r="AT2036" i="1" s="1"/>
  <c r="E2126" i="1"/>
  <c r="AQ2125" i="1"/>
  <c r="AR2125" i="1" s="1"/>
  <c r="AS2125" i="1" s="1"/>
  <c r="AC2037" i="1" l="1"/>
  <c r="AF2036" i="1"/>
  <c r="L2038" i="1"/>
  <c r="AJ2037" i="1"/>
  <c r="AT2037" i="1" s="1"/>
  <c r="E2127" i="1"/>
  <c r="AQ2126" i="1"/>
  <c r="AR2126" i="1" s="1"/>
  <c r="AS2126" i="1" s="1"/>
  <c r="AC2038" i="1" l="1"/>
  <c r="AF2037" i="1"/>
  <c r="L2039" i="1"/>
  <c r="AJ2038" i="1"/>
  <c r="AT2038" i="1" s="1"/>
  <c r="E2128" i="1"/>
  <c r="AQ2127" i="1"/>
  <c r="AR2127" i="1" s="1"/>
  <c r="AS2127" i="1" s="1"/>
  <c r="AC2039" i="1" l="1"/>
  <c r="AF2038" i="1"/>
  <c r="L2040" i="1"/>
  <c r="AJ2039" i="1"/>
  <c r="AT2039" i="1" s="1"/>
  <c r="E2129" i="1"/>
  <c r="AQ2128" i="1"/>
  <c r="AR2128" i="1" s="1"/>
  <c r="AS2128" i="1" s="1"/>
  <c r="AC2040" i="1" l="1"/>
  <c r="AF2039" i="1"/>
  <c r="L2041" i="1"/>
  <c r="AJ2040" i="1"/>
  <c r="AT2040" i="1" s="1"/>
  <c r="E2130" i="1"/>
  <c r="AQ2129" i="1"/>
  <c r="AR2129" i="1" s="1"/>
  <c r="AS2129" i="1" s="1"/>
  <c r="AC2041" i="1" l="1"/>
  <c r="AF2040" i="1"/>
  <c r="L2042" i="1"/>
  <c r="AJ2041" i="1"/>
  <c r="AT2041" i="1" s="1"/>
  <c r="E2131" i="1"/>
  <c r="AQ2130" i="1"/>
  <c r="AR2130" i="1" s="1"/>
  <c r="AS2130" i="1" s="1"/>
  <c r="AC2042" i="1" l="1"/>
  <c r="AF2041" i="1"/>
  <c r="L2043" i="1"/>
  <c r="AJ2042" i="1"/>
  <c r="AT2042" i="1" s="1"/>
  <c r="E2132" i="1"/>
  <c r="AQ2131" i="1"/>
  <c r="AR2131" i="1" s="1"/>
  <c r="AS2131" i="1" s="1"/>
  <c r="AC2043" i="1" l="1"/>
  <c r="AF2042" i="1"/>
  <c r="L2044" i="1"/>
  <c r="AJ2043" i="1"/>
  <c r="AT2043" i="1" s="1"/>
  <c r="E2133" i="1"/>
  <c r="AQ2132" i="1"/>
  <c r="AR2132" i="1" s="1"/>
  <c r="AS2132" i="1" s="1"/>
  <c r="AC2044" i="1" l="1"/>
  <c r="AF2043" i="1"/>
  <c r="L2045" i="1"/>
  <c r="AJ2044" i="1"/>
  <c r="AT2044" i="1" s="1"/>
  <c r="E2134" i="1"/>
  <c r="AQ2133" i="1"/>
  <c r="AR2133" i="1" s="1"/>
  <c r="AS2133" i="1" s="1"/>
  <c r="AC2045" i="1" l="1"/>
  <c r="AF2044" i="1"/>
  <c r="L2046" i="1"/>
  <c r="AJ2045" i="1"/>
  <c r="AT2045" i="1" s="1"/>
  <c r="E2135" i="1"/>
  <c r="AQ2134" i="1"/>
  <c r="AR2134" i="1" s="1"/>
  <c r="AS2134" i="1" s="1"/>
  <c r="AC2046" i="1" l="1"/>
  <c r="AF2045" i="1"/>
  <c r="L2047" i="1"/>
  <c r="AJ2046" i="1"/>
  <c r="AT2046" i="1" s="1"/>
  <c r="E2136" i="1"/>
  <c r="AQ2135" i="1"/>
  <c r="AR2135" i="1" s="1"/>
  <c r="AS2135" i="1" s="1"/>
  <c r="AC2047" i="1" l="1"/>
  <c r="AF2046" i="1"/>
  <c r="L2048" i="1"/>
  <c r="AJ2047" i="1"/>
  <c r="AT2047" i="1" s="1"/>
  <c r="E2137" i="1"/>
  <c r="AQ2136" i="1"/>
  <c r="AR2136" i="1" s="1"/>
  <c r="AS2136" i="1" s="1"/>
  <c r="AC2048" i="1" l="1"/>
  <c r="AF2047" i="1"/>
  <c r="L2049" i="1"/>
  <c r="AJ2048" i="1"/>
  <c r="AT2048" i="1" s="1"/>
  <c r="E2138" i="1"/>
  <c r="AQ2137" i="1"/>
  <c r="AR2137" i="1" s="1"/>
  <c r="AS2137" i="1" s="1"/>
  <c r="AC2049" i="1" l="1"/>
  <c r="AF2048" i="1"/>
  <c r="L2050" i="1"/>
  <c r="AJ2049" i="1"/>
  <c r="E2139" i="1"/>
  <c r="AQ2138" i="1"/>
  <c r="AR2138" i="1" s="1"/>
  <c r="AS2138" i="1" s="1"/>
  <c r="AC2050" i="1" l="1"/>
  <c r="AF2049" i="1"/>
  <c r="L2051" i="1"/>
  <c r="AJ2050" i="1"/>
  <c r="E2140" i="1"/>
  <c r="AQ2139" i="1"/>
  <c r="AR2139" i="1" s="1"/>
  <c r="AS2139" i="1" s="1"/>
  <c r="AC2051" i="1" l="1"/>
  <c r="AF2050" i="1"/>
  <c r="L2052" i="1"/>
  <c r="AJ2051" i="1"/>
  <c r="AT2051" i="1" s="1"/>
  <c r="E2141" i="1"/>
  <c r="AQ2140" i="1"/>
  <c r="AR2140" i="1" s="1"/>
  <c r="AS2140" i="1" s="1"/>
  <c r="AC2052" i="1" l="1"/>
  <c r="AF2051" i="1"/>
  <c r="L2053" i="1"/>
  <c r="AJ2052" i="1"/>
  <c r="AT2052" i="1" s="1"/>
  <c r="E2142" i="1"/>
  <c r="AQ2141" i="1"/>
  <c r="AR2141" i="1" s="1"/>
  <c r="AS2141" i="1" s="1"/>
  <c r="AC2053" i="1" l="1"/>
  <c r="AF2052" i="1"/>
  <c r="L2054" i="1"/>
  <c r="AJ2053" i="1"/>
  <c r="AT2053" i="1" s="1"/>
  <c r="E2143" i="1"/>
  <c r="AQ2142" i="1"/>
  <c r="AR2142" i="1" s="1"/>
  <c r="AS2142" i="1" s="1"/>
  <c r="AC2054" i="1" l="1"/>
  <c r="AF2053" i="1"/>
  <c r="L2055" i="1"/>
  <c r="AJ2054" i="1"/>
  <c r="AT2054" i="1" s="1"/>
  <c r="E2144" i="1"/>
  <c r="AQ2143" i="1"/>
  <c r="AR2143" i="1" s="1"/>
  <c r="AS2143" i="1" s="1"/>
  <c r="AC2055" i="1" l="1"/>
  <c r="AF2054" i="1"/>
  <c r="L2056" i="1"/>
  <c r="AJ2055" i="1"/>
  <c r="AT2055" i="1" s="1"/>
  <c r="E2145" i="1"/>
  <c r="AQ2144" i="1"/>
  <c r="AR2144" i="1" s="1"/>
  <c r="AS2144" i="1" s="1"/>
  <c r="AC2056" i="1" l="1"/>
  <c r="AF2055" i="1"/>
  <c r="L2057" i="1"/>
  <c r="AJ2056" i="1"/>
  <c r="AT2056" i="1" s="1"/>
  <c r="E2146" i="1"/>
  <c r="AQ2145" i="1"/>
  <c r="AR2145" i="1" s="1"/>
  <c r="AS2145" i="1" s="1"/>
  <c r="AC2057" i="1" l="1"/>
  <c r="AF2056" i="1"/>
  <c r="L2058" i="1"/>
  <c r="AJ2057" i="1"/>
  <c r="AT2057" i="1" s="1"/>
  <c r="E2147" i="1"/>
  <c r="AQ2146" i="1"/>
  <c r="AR2146" i="1" s="1"/>
  <c r="AS2146" i="1" s="1"/>
  <c r="AC2058" i="1" l="1"/>
  <c r="AF2057" i="1"/>
  <c r="L2059" i="1"/>
  <c r="AJ2058" i="1"/>
  <c r="AT2058" i="1" s="1"/>
  <c r="E2148" i="1"/>
  <c r="AQ2147" i="1"/>
  <c r="AR2147" i="1" s="1"/>
  <c r="AS2147" i="1" s="1"/>
  <c r="AC2059" i="1" l="1"/>
  <c r="AF2058" i="1"/>
  <c r="L2060" i="1"/>
  <c r="AJ2059" i="1"/>
  <c r="AT2059" i="1" s="1"/>
  <c r="E2149" i="1"/>
  <c r="AQ2148" i="1"/>
  <c r="AR2148" i="1" s="1"/>
  <c r="AS2148" i="1" s="1"/>
  <c r="AC2060" i="1" l="1"/>
  <c r="AF2059" i="1"/>
  <c r="L2061" i="1"/>
  <c r="AJ2060" i="1"/>
  <c r="AT2060" i="1" s="1"/>
  <c r="E2150" i="1"/>
  <c r="AQ2149" i="1"/>
  <c r="AR2149" i="1" s="1"/>
  <c r="AS2149" i="1" s="1"/>
  <c r="AC2061" i="1" l="1"/>
  <c r="AF2060" i="1"/>
  <c r="L2062" i="1"/>
  <c r="AJ2061" i="1"/>
  <c r="AT2061" i="1" s="1"/>
  <c r="E2151" i="1"/>
  <c r="AQ2150" i="1"/>
  <c r="AR2150" i="1" s="1"/>
  <c r="AS2150" i="1" s="1"/>
  <c r="AC2062" i="1" l="1"/>
  <c r="AF2061" i="1"/>
  <c r="L2063" i="1"/>
  <c r="AJ2062" i="1"/>
  <c r="AT2062" i="1" s="1"/>
  <c r="E2152" i="1"/>
  <c r="AQ2151" i="1"/>
  <c r="AR2151" i="1" s="1"/>
  <c r="AS2151" i="1" s="1"/>
  <c r="AC2063" i="1" l="1"/>
  <c r="AF2062" i="1"/>
  <c r="L2064" i="1"/>
  <c r="AJ2063" i="1"/>
  <c r="AT2063" i="1" s="1"/>
  <c r="E2153" i="1"/>
  <c r="AQ2152" i="1"/>
  <c r="AR2152" i="1" s="1"/>
  <c r="AS2152" i="1" s="1"/>
  <c r="AC2064" i="1" l="1"/>
  <c r="AF2063" i="1"/>
  <c r="L2065" i="1"/>
  <c r="AJ2064" i="1"/>
  <c r="AT2064" i="1" s="1"/>
  <c r="E2154" i="1"/>
  <c r="AQ2153" i="1"/>
  <c r="AR2153" i="1" s="1"/>
  <c r="AS2153" i="1" s="1"/>
  <c r="AC2065" i="1" l="1"/>
  <c r="AF2064" i="1"/>
  <c r="L2066" i="1"/>
  <c r="AJ2065" i="1"/>
  <c r="AT2065" i="1" s="1"/>
  <c r="E2155" i="1"/>
  <c r="AQ2154" i="1"/>
  <c r="AR2154" i="1" s="1"/>
  <c r="AS2154" i="1" s="1"/>
  <c r="AC2066" i="1" l="1"/>
  <c r="AF2065" i="1"/>
  <c r="L2067" i="1"/>
  <c r="AJ2066" i="1"/>
  <c r="AT2066" i="1" s="1"/>
  <c r="E2156" i="1"/>
  <c r="AQ2155" i="1"/>
  <c r="AR2155" i="1" s="1"/>
  <c r="AS2155" i="1" s="1"/>
  <c r="AC2067" i="1" l="1"/>
  <c r="AF2066" i="1"/>
  <c r="L2068" i="1"/>
  <c r="AJ2067" i="1"/>
  <c r="AT2067" i="1" s="1"/>
  <c r="E2157" i="1"/>
  <c r="AQ2156" i="1"/>
  <c r="AR2156" i="1" s="1"/>
  <c r="AS2156" i="1" s="1"/>
  <c r="AC2068" i="1" l="1"/>
  <c r="AF2067" i="1"/>
  <c r="L2069" i="1"/>
  <c r="AJ2068" i="1"/>
  <c r="AT2068" i="1" s="1"/>
  <c r="E2158" i="1"/>
  <c r="AQ2157" i="1"/>
  <c r="AR2157" i="1" s="1"/>
  <c r="AS2157" i="1" s="1"/>
  <c r="AC2069" i="1" l="1"/>
  <c r="AF2068" i="1"/>
  <c r="L2070" i="1"/>
  <c r="AJ2069" i="1"/>
  <c r="AT2069" i="1" s="1"/>
  <c r="E2159" i="1"/>
  <c r="AQ2158" i="1"/>
  <c r="AR2158" i="1" s="1"/>
  <c r="AS2158" i="1" s="1"/>
  <c r="AC2070" i="1" l="1"/>
  <c r="AF2069" i="1"/>
  <c r="L2071" i="1"/>
  <c r="AJ2070" i="1"/>
  <c r="AT2070" i="1" s="1"/>
  <c r="E2160" i="1"/>
  <c r="AQ2159" i="1"/>
  <c r="AR2159" i="1" s="1"/>
  <c r="AS2159" i="1" s="1"/>
  <c r="AC2071" i="1" l="1"/>
  <c r="AF2070" i="1"/>
  <c r="L2072" i="1"/>
  <c r="AJ2071" i="1"/>
  <c r="AT2071" i="1" s="1"/>
  <c r="E2161" i="1"/>
  <c r="AQ2160" i="1"/>
  <c r="AR2160" i="1" s="1"/>
  <c r="AS2160" i="1" s="1"/>
  <c r="AC2072" i="1" l="1"/>
  <c r="AF2071" i="1"/>
  <c r="L2073" i="1"/>
  <c r="AJ2072" i="1"/>
  <c r="AT2072" i="1" s="1"/>
  <c r="E2162" i="1"/>
  <c r="AQ2161" i="1"/>
  <c r="AR2161" i="1" s="1"/>
  <c r="AS2161" i="1" s="1"/>
  <c r="AC2073" i="1" l="1"/>
  <c r="AF2072" i="1"/>
  <c r="L2074" i="1"/>
  <c r="AJ2073" i="1"/>
  <c r="AT2073" i="1" s="1"/>
  <c r="E2163" i="1"/>
  <c r="AQ2162" i="1"/>
  <c r="AR2162" i="1" s="1"/>
  <c r="AS2162" i="1" s="1"/>
  <c r="AC2074" i="1" l="1"/>
  <c r="AF2073" i="1"/>
  <c r="L2075" i="1"/>
  <c r="AJ2074" i="1"/>
  <c r="AT2074" i="1" s="1"/>
  <c r="E2164" i="1"/>
  <c r="AQ2163" i="1"/>
  <c r="AR2163" i="1" s="1"/>
  <c r="AS2163" i="1" s="1"/>
  <c r="AC2075" i="1" l="1"/>
  <c r="AF2074" i="1"/>
  <c r="L2076" i="1"/>
  <c r="AJ2075" i="1"/>
  <c r="AT2075" i="1" s="1"/>
  <c r="E2165" i="1"/>
  <c r="AQ2164" i="1"/>
  <c r="AR2164" i="1" s="1"/>
  <c r="AS2164" i="1" s="1"/>
  <c r="AC2076" i="1" l="1"/>
  <c r="AF2075" i="1"/>
  <c r="L2077" i="1"/>
  <c r="AJ2076" i="1"/>
  <c r="AT2076" i="1" s="1"/>
  <c r="E2166" i="1"/>
  <c r="AQ2165" i="1"/>
  <c r="AR2165" i="1" s="1"/>
  <c r="AS2165" i="1" s="1"/>
  <c r="AC2077" i="1" l="1"/>
  <c r="AF2076" i="1"/>
  <c r="L2078" i="1"/>
  <c r="AJ2077" i="1"/>
  <c r="AT2077" i="1" s="1"/>
  <c r="E2167" i="1"/>
  <c r="AQ2166" i="1"/>
  <c r="AR2166" i="1" s="1"/>
  <c r="AS2166" i="1" s="1"/>
  <c r="AC2078" i="1" l="1"/>
  <c r="AF2077" i="1"/>
  <c r="L2079" i="1"/>
  <c r="AJ2078" i="1"/>
  <c r="AT2078" i="1" s="1"/>
  <c r="E2168" i="1"/>
  <c r="AQ2167" i="1"/>
  <c r="AR2167" i="1" s="1"/>
  <c r="AS2167" i="1" s="1"/>
  <c r="AC2079" i="1" l="1"/>
  <c r="AF2078" i="1"/>
  <c r="L2080" i="1"/>
  <c r="AJ2079" i="1"/>
  <c r="AT2079" i="1" s="1"/>
  <c r="E2169" i="1"/>
  <c r="AQ2168" i="1"/>
  <c r="AR2168" i="1" s="1"/>
  <c r="AS2168" i="1" s="1"/>
  <c r="AC2080" i="1" l="1"/>
  <c r="AF2079" i="1"/>
  <c r="L2081" i="1"/>
  <c r="AJ2080" i="1"/>
  <c r="AT2080" i="1" s="1"/>
  <c r="E2170" i="1"/>
  <c r="AQ2169" i="1"/>
  <c r="AR2169" i="1" s="1"/>
  <c r="AS2169" i="1" s="1"/>
  <c r="AC2081" i="1" l="1"/>
  <c r="AF2080" i="1"/>
  <c r="L2082" i="1"/>
  <c r="AJ2081" i="1"/>
  <c r="AT2081" i="1" s="1"/>
  <c r="E2171" i="1"/>
  <c r="AQ2170" i="1"/>
  <c r="AR2170" i="1" s="1"/>
  <c r="AS2170" i="1" s="1"/>
  <c r="AC2082" i="1" l="1"/>
  <c r="AF2081" i="1"/>
  <c r="L2083" i="1"/>
  <c r="AJ2082" i="1"/>
  <c r="AT2082" i="1" s="1"/>
  <c r="E2172" i="1"/>
  <c r="AQ2171" i="1"/>
  <c r="AR2171" i="1" s="1"/>
  <c r="AS2171" i="1" s="1"/>
  <c r="AC2083" i="1" l="1"/>
  <c r="AF2082" i="1"/>
  <c r="L2084" i="1"/>
  <c r="AJ2083" i="1"/>
  <c r="AT2083" i="1" s="1"/>
  <c r="E2173" i="1"/>
  <c r="AQ2172" i="1"/>
  <c r="AR2172" i="1" s="1"/>
  <c r="AS2172" i="1" s="1"/>
  <c r="AC2084" i="1" l="1"/>
  <c r="AF2083" i="1"/>
  <c r="L2085" i="1"/>
  <c r="AJ2084" i="1"/>
  <c r="AT2084" i="1" s="1"/>
  <c r="E2174" i="1"/>
  <c r="AQ2173" i="1"/>
  <c r="AR2173" i="1" s="1"/>
  <c r="AS2173" i="1" s="1"/>
  <c r="AC2085" i="1" l="1"/>
  <c r="AF2084" i="1"/>
  <c r="L2086" i="1"/>
  <c r="AJ2085" i="1"/>
  <c r="AT2085" i="1" s="1"/>
  <c r="E2175" i="1"/>
  <c r="AQ2174" i="1"/>
  <c r="AR2174" i="1" s="1"/>
  <c r="AS2174" i="1" s="1"/>
  <c r="AC2086" i="1" l="1"/>
  <c r="AF2085" i="1"/>
  <c r="L2087" i="1"/>
  <c r="AJ2086" i="1"/>
  <c r="AT2086" i="1" s="1"/>
  <c r="E2176" i="1"/>
  <c r="AQ2175" i="1"/>
  <c r="AR2175" i="1" s="1"/>
  <c r="AS2175" i="1" s="1"/>
  <c r="AC2087" i="1" l="1"/>
  <c r="AF2086" i="1"/>
  <c r="L2088" i="1"/>
  <c r="AJ2087" i="1"/>
  <c r="AT2087" i="1" s="1"/>
  <c r="E2177" i="1"/>
  <c r="AQ2176" i="1"/>
  <c r="AR2176" i="1" s="1"/>
  <c r="AS2176" i="1" s="1"/>
  <c r="AC2088" i="1" l="1"/>
  <c r="AF2087" i="1"/>
  <c r="L2089" i="1"/>
  <c r="AJ2088" i="1"/>
  <c r="AT2088" i="1" s="1"/>
  <c r="E2178" i="1"/>
  <c r="AQ2177" i="1"/>
  <c r="AR2177" i="1" s="1"/>
  <c r="AS2177" i="1" s="1"/>
  <c r="AC2089" i="1" l="1"/>
  <c r="AF2088" i="1"/>
  <c r="L2090" i="1"/>
  <c r="AJ2089" i="1"/>
  <c r="AT2089" i="1" s="1"/>
  <c r="E2179" i="1"/>
  <c r="AQ2178" i="1"/>
  <c r="AR2178" i="1" s="1"/>
  <c r="AS2178" i="1" s="1"/>
  <c r="AC2090" i="1" l="1"/>
  <c r="AF2089" i="1"/>
  <c r="L2091" i="1"/>
  <c r="AJ2090" i="1"/>
  <c r="AT2090" i="1" s="1"/>
  <c r="E2180" i="1"/>
  <c r="AQ2179" i="1"/>
  <c r="AR2179" i="1" s="1"/>
  <c r="AS2179" i="1" s="1"/>
  <c r="AC2091" i="1" l="1"/>
  <c r="AF2090" i="1"/>
  <c r="L2092" i="1"/>
  <c r="AJ2091" i="1"/>
  <c r="AT2091" i="1" s="1"/>
  <c r="E2181" i="1"/>
  <c r="AQ2180" i="1"/>
  <c r="AR2180" i="1" s="1"/>
  <c r="AS2180" i="1" s="1"/>
  <c r="AC2092" i="1" l="1"/>
  <c r="AF2091" i="1"/>
  <c r="L2093" i="1"/>
  <c r="AJ2092" i="1"/>
  <c r="AT2092" i="1" s="1"/>
  <c r="E2182" i="1"/>
  <c r="AQ2181" i="1"/>
  <c r="AR2181" i="1" s="1"/>
  <c r="AS2181" i="1" s="1"/>
  <c r="AC2093" i="1" l="1"/>
  <c r="AF2092" i="1"/>
  <c r="L2094" i="1"/>
  <c r="AJ2093" i="1"/>
  <c r="AT2093" i="1" s="1"/>
  <c r="E2183" i="1"/>
  <c r="AQ2182" i="1"/>
  <c r="AR2182" i="1" s="1"/>
  <c r="AS2182" i="1" s="1"/>
  <c r="AC2094" i="1" l="1"/>
  <c r="AF2093" i="1"/>
  <c r="L2095" i="1"/>
  <c r="AJ2094" i="1"/>
  <c r="AT2094" i="1" s="1"/>
  <c r="E2184" i="1"/>
  <c r="AQ2183" i="1"/>
  <c r="AR2183" i="1" s="1"/>
  <c r="AS2183" i="1" s="1"/>
  <c r="AC2095" i="1" l="1"/>
  <c r="AF2094" i="1"/>
  <c r="L2096" i="1"/>
  <c r="AJ2095" i="1"/>
  <c r="AT2095" i="1" s="1"/>
  <c r="E2185" i="1"/>
  <c r="AQ2184" i="1"/>
  <c r="AR2184" i="1" s="1"/>
  <c r="AS2184" i="1" s="1"/>
  <c r="AC2096" i="1" l="1"/>
  <c r="AF2095" i="1"/>
  <c r="L2097" i="1"/>
  <c r="AJ2096" i="1"/>
  <c r="AT2096" i="1" s="1"/>
  <c r="E2186" i="1"/>
  <c r="AQ2185" i="1"/>
  <c r="AR2185" i="1" s="1"/>
  <c r="AS2185" i="1" s="1"/>
  <c r="AC2097" i="1" l="1"/>
  <c r="AF2096" i="1"/>
  <c r="L2098" i="1"/>
  <c r="AJ2097" i="1"/>
  <c r="AT2097" i="1" s="1"/>
  <c r="E2187" i="1"/>
  <c r="AQ2186" i="1"/>
  <c r="AR2186" i="1" s="1"/>
  <c r="AS2186" i="1" s="1"/>
  <c r="AC2098" i="1" l="1"/>
  <c r="AF2097" i="1"/>
  <c r="L2099" i="1"/>
  <c r="AJ2098" i="1"/>
  <c r="AT2098" i="1" s="1"/>
  <c r="E2188" i="1"/>
  <c r="AQ2187" i="1"/>
  <c r="AR2187" i="1" s="1"/>
  <c r="AS2187" i="1" s="1"/>
  <c r="AC2099" i="1" l="1"/>
  <c r="AF2098" i="1"/>
  <c r="L2100" i="1"/>
  <c r="AJ2099" i="1"/>
  <c r="AT2099" i="1" s="1"/>
  <c r="E2189" i="1"/>
  <c r="AQ2188" i="1"/>
  <c r="AR2188" i="1" s="1"/>
  <c r="AS2188" i="1" s="1"/>
  <c r="AC2100" i="1" l="1"/>
  <c r="AF2099" i="1"/>
  <c r="L2101" i="1"/>
  <c r="AJ2100" i="1"/>
  <c r="AT2100" i="1" s="1"/>
  <c r="E2190" i="1"/>
  <c r="AQ2189" i="1"/>
  <c r="AR2189" i="1" s="1"/>
  <c r="AS2189" i="1" s="1"/>
  <c r="AC2101" i="1" l="1"/>
  <c r="AF2100" i="1"/>
  <c r="L2102" i="1"/>
  <c r="AJ2101" i="1"/>
  <c r="AT2101" i="1" s="1"/>
  <c r="E2191" i="1"/>
  <c r="AQ2190" i="1"/>
  <c r="AR2190" i="1" s="1"/>
  <c r="AS2190" i="1" s="1"/>
  <c r="AC2102" i="1" l="1"/>
  <c r="AF2101" i="1"/>
  <c r="L2103" i="1"/>
  <c r="AJ2102" i="1"/>
  <c r="AT2102" i="1" s="1"/>
  <c r="E2192" i="1"/>
  <c r="AQ2191" i="1"/>
  <c r="AR2191" i="1" s="1"/>
  <c r="AS2191" i="1" s="1"/>
  <c r="AC2103" i="1" l="1"/>
  <c r="AF2102" i="1"/>
  <c r="L2104" i="1"/>
  <c r="AJ2103" i="1"/>
  <c r="AT2103" i="1" s="1"/>
  <c r="E2193" i="1"/>
  <c r="AQ2192" i="1"/>
  <c r="AR2192" i="1" s="1"/>
  <c r="AS2192" i="1" s="1"/>
  <c r="AC2104" i="1" l="1"/>
  <c r="AF2103" i="1"/>
  <c r="L2105" i="1"/>
  <c r="AJ2104" i="1"/>
  <c r="AT2104" i="1" s="1"/>
  <c r="E2194" i="1"/>
  <c r="AQ2193" i="1"/>
  <c r="AR2193" i="1" s="1"/>
  <c r="AS2193" i="1" s="1"/>
  <c r="AC2105" i="1" l="1"/>
  <c r="AF2104" i="1"/>
  <c r="L2106" i="1"/>
  <c r="AJ2105" i="1"/>
  <c r="AT2105" i="1" s="1"/>
  <c r="E2195" i="1"/>
  <c r="AQ2194" i="1"/>
  <c r="AR2194" i="1" s="1"/>
  <c r="AS2194" i="1" s="1"/>
  <c r="AC2106" i="1" l="1"/>
  <c r="AF2105" i="1"/>
  <c r="L2107" i="1"/>
  <c r="AJ2106" i="1"/>
  <c r="AT2106" i="1" s="1"/>
  <c r="E2196" i="1"/>
  <c r="AQ2195" i="1"/>
  <c r="AR2195" i="1" s="1"/>
  <c r="AS2195" i="1" s="1"/>
  <c r="AC2107" i="1" l="1"/>
  <c r="AF2106" i="1"/>
  <c r="L2108" i="1"/>
  <c r="AJ2107" i="1"/>
  <c r="AT2107" i="1" s="1"/>
  <c r="E2197" i="1"/>
  <c r="AQ2196" i="1"/>
  <c r="AR2196" i="1" s="1"/>
  <c r="AS2196" i="1" s="1"/>
  <c r="AC2108" i="1" l="1"/>
  <c r="AF2107" i="1"/>
  <c r="L2109" i="1"/>
  <c r="AJ2108" i="1"/>
  <c r="AT2108" i="1" s="1"/>
  <c r="E2198" i="1"/>
  <c r="AQ2197" i="1"/>
  <c r="AR2197" i="1" s="1"/>
  <c r="AS2197" i="1" s="1"/>
  <c r="AC2109" i="1" l="1"/>
  <c r="AF2108" i="1"/>
  <c r="L2110" i="1"/>
  <c r="AJ2109" i="1"/>
  <c r="AT2109" i="1" s="1"/>
  <c r="E2199" i="1"/>
  <c r="AQ2198" i="1"/>
  <c r="AR2198" i="1" s="1"/>
  <c r="AS2198" i="1" s="1"/>
  <c r="AC2110" i="1" l="1"/>
  <c r="AF2109" i="1"/>
  <c r="L2111" i="1"/>
  <c r="AJ2110" i="1"/>
  <c r="AT2110" i="1" s="1"/>
  <c r="E2200" i="1"/>
  <c r="AQ2199" i="1"/>
  <c r="AR2199" i="1" s="1"/>
  <c r="AS2199" i="1" s="1"/>
  <c r="AC2111" i="1" l="1"/>
  <c r="AF2110" i="1"/>
  <c r="L2112" i="1"/>
  <c r="AJ2111" i="1"/>
  <c r="AT2111" i="1" s="1"/>
  <c r="E2201" i="1"/>
  <c r="AQ2200" i="1"/>
  <c r="AR2200" i="1" s="1"/>
  <c r="AS2200" i="1" s="1"/>
  <c r="AC2112" i="1" l="1"/>
  <c r="AF2111" i="1"/>
  <c r="L2113" i="1"/>
  <c r="AJ2112" i="1"/>
  <c r="AT2112" i="1" s="1"/>
  <c r="E2202" i="1"/>
  <c r="AQ2201" i="1"/>
  <c r="AR2201" i="1" s="1"/>
  <c r="AS2201" i="1" s="1"/>
  <c r="AC2113" i="1" l="1"/>
  <c r="AF2112" i="1"/>
  <c r="L2114" i="1"/>
  <c r="AJ2113" i="1"/>
  <c r="AT2113" i="1" s="1"/>
  <c r="E2203" i="1"/>
  <c r="AQ2202" i="1"/>
  <c r="AR2202" i="1" s="1"/>
  <c r="AS2202" i="1" s="1"/>
  <c r="AC2114" i="1" l="1"/>
  <c r="AF2113" i="1"/>
  <c r="L2115" i="1"/>
  <c r="AJ2114" i="1"/>
  <c r="AT2114" i="1" s="1"/>
  <c r="E2204" i="1"/>
  <c r="AQ2203" i="1"/>
  <c r="AR2203" i="1" s="1"/>
  <c r="AS2203" i="1" s="1"/>
  <c r="AC2115" i="1" l="1"/>
  <c r="AF2114" i="1"/>
  <c r="L2116" i="1"/>
  <c r="AJ2115" i="1"/>
  <c r="AT2115" i="1" s="1"/>
  <c r="E2205" i="1"/>
  <c r="AQ2204" i="1"/>
  <c r="AR2204" i="1" s="1"/>
  <c r="AS2204" i="1" s="1"/>
  <c r="AC2116" i="1" l="1"/>
  <c r="AF2115" i="1"/>
  <c r="L2117" i="1"/>
  <c r="AJ2116" i="1"/>
  <c r="AT2116" i="1" s="1"/>
  <c r="E2206" i="1"/>
  <c r="AQ2205" i="1"/>
  <c r="AR2205" i="1" s="1"/>
  <c r="AS2205" i="1" s="1"/>
  <c r="AC2117" i="1" l="1"/>
  <c r="AF2116" i="1"/>
  <c r="L2118" i="1"/>
  <c r="AJ2117" i="1"/>
  <c r="AT2117" i="1" s="1"/>
  <c r="E2207" i="1"/>
  <c r="AQ2206" i="1"/>
  <c r="AR2206" i="1" s="1"/>
  <c r="AS2206" i="1" s="1"/>
  <c r="AC2118" i="1" l="1"/>
  <c r="AF2117" i="1"/>
  <c r="L2119" i="1"/>
  <c r="AJ2118" i="1"/>
  <c r="AT2118" i="1" s="1"/>
  <c r="E2208" i="1"/>
  <c r="AQ2207" i="1"/>
  <c r="AR2207" i="1" s="1"/>
  <c r="AS2207" i="1" s="1"/>
  <c r="AC2119" i="1" l="1"/>
  <c r="AF2118" i="1"/>
  <c r="L2120" i="1"/>
  <c r="AJ2119" i="1"/>
  <c r="AT2119" i="1" s="1"/>
  <c r="E2209" i="1"/>
  <c r="AQ2208" i="1"/>
  <c r="AR2208" i="1" s="1"/>
  <c r="AS2208" i="1" s="1"/>
  <c r="AC2120" i="1" l="1"/>
  <c r="AF2119" i="1"/>
  <c r="L2121" i="1"/>
  <c r="AJ2120" i="1"/>
  <c r="AT2120" i="1" s="1"/>
  <c r="E2210" i="1"/>
  <c r="AQ2209" i="1"/>
  <c r="AR2209" i="1" s="1"/>
  <c r="AS2209" i="1" s="1"/>
  <c r="AC2121" i="1" l="1"/>
  <c r="AF2120" i="1"/>
  <c r="L2122" i="1"/>
  <c r="AJ2121" i="1"/>
  <c r="AT2121" i="1" s="1"/>
  <c r="E2211" i="1"/>
  <c r="AQ2210" i="1"/>
  <c r="AR2210" i="1" s="1"/>
  <c r="AS2210" i="1" s="1"/>
  <c r="AC2122" i="1" l="1"/>
  <c r="AF2121" i="1"/>
  <c r="L2123" i="1"/>
  <c r="AJ2122" i="1"/>
  <c r="AT2122" i="1" s="1"/>
  <c r="E2212" i="1"/>
  <c r="AQ2211" i="1"/>
  <c r="AR2211" i="1" s="1"/>
  <c r="AS2211" i="1" s="1"/>
  <c r="AC2123" i="1" l="1"/>
  <c r="AF2122" i="1"/>
  <c r="L2124" i="1"/>
  <c r="AJ2123" i="1"/>
  <c r="AT2123" i="1" s="1"/>
  <c r="E2213" i="1"/>
  <c r="AQ2212" i="1"/>
  <c r="AR2212" i="1" s="1"/>
  <c r="AS2212" i="1" s="1"/>
  <c r="AC2124" i="1" l="1"/>
  <c r="AF2123" i="1"/>
  <c r="L2125" i="1"/>
  <c r="AJ2124" i="1"/>
  <c r="AT2124" i="1" s="1"/>
  <c r="E2214" i="1"/>
  <c r="AQ2213" i="1"/>
  <c r="AR2213" i="1" s="1"/>
  <c r="AS2213" i="1" s="1"/>
  <c r="AC2125" i="1" l="1"/>
  <c r="AF2124" i="1"/>
  <c r="L2126" i="1"/>
  <c r="AJ2125" i="1"/>
  <c r="AT2125" i="1" s="1"/>
  <c r="E2215" i="1"/>
  <c r="AQ2214" i="1"/>
  <c r="AR2214" i="1" s="1"/>
  <c r="AS2214" i="1" s="1"/>
  <c r="AC2126" i="1" l="1"/>
  <c r="AF2125" i="1"/>
  <c r="L2127" i="1"/>
  <c r="AJ2126" i="1"/>
  <c r="AT2126" i="1" s="1"/>
  <c r="E2216" i="1"/>
  <c r="AQ2215" i="1"/>
  <c r="AR2215" i="1" s="1"/>
  <c r="AS2215" i="1" s="1"/>
  <c r="AC2127" i="1" l="1"/>
  <c r="AF2126" i="1"/>
  <c r="L2128" i="1"/>
  <c r="AJ2127" i="1"/>
  <c r="AT2127" i="1" s="1"/>
  <c r="E2217" i="1"/>
  <c r="AQ2216" i="1"/>
  <c r="AR2216" i="1" s="1"/>
  <c r="AS2216" i="1" s="1"/>
  <c r="AC2128" i="1" l="1"/>
  <c r="AF2127" i="1"/>
  <c r="L2129" i="1"/>
  <c r="AJ2128" i="1"/>
  <c r="AT2128" i="1" s="1"/>
  <c r="E2218" i="1"/>
  <c r="AQ2217" i="1"/>
  <c r="AR2217" i="1" s="1"/>
  <c r="AS2217" i="1" s="1"/>
  <c r="AC2129" i="1" l="1"/>
  <c r="AF2128" i="1"/>
  <c r="L2130" i="1"/>
  <c r="AJ2129" i="1"/>
  <c r="AT2129" i="1" s="1"/>
  <c r="E2219" i="1"/>
  <c r="AQ2218" i="1"/>
  <c r="AR2218" i="1" s="1"/>
  <c r="AS2218" i="1" s="1"/>
  <c r="AC2130" i="1" l="1"/>
  <c r="AF2129" i="1"/>
  <c r="L2131" i="1"/>
  <c r="AJ2130" i="1"/>
  <c r="AT2130" i="1" s="1"/>
  <c r="E2220" i="1"/>
  <c r="AQ2219" i="1"/>
  <c r="AR2219" i="1" s="1"/>
  <c r="AS2219" i="1" s="1"/>
  <c r="AC2131" i="1" l="1"/>
  <c r="AF2130" i="1"/>
  <c r="L2132" i="1"/>
  <c r="AJ2131" i="1"/>
  <c r="AT2131" i="1" s="1"/>
  <c r="E2221" i="1"/>
  <c r="AQ2220" i="1"/>
  <c r="AR2220" i="1" s="1"/>
  <c r="AS2220" i="1" s="1"/>
  <c r="AC2132" i="1" l="1"/>
  <c r="AF2131" i="1"/>
  <c r="L2133" i="1"/>
  <c r="AJ2132" i="1"/>
  <c r="AT2132" i="1" s="1"/>
  <c r="E2222" i="1"/>
  <c r="AQ2221" i="1"/>
  <c r="AR2221" i="1" s="1"/>
  <c r="AS2221" i="1" s="1"/>
  <c r="AC2133" i="1" l="1"/>
  <c r="AF2132" i="1"/>
  <c r="L2134" i="1"/>
  <c r="AJ2133" i="1"/>
  <c r="AT2133" i="1" s="1"/>
  <c r="E2223" i="1"/>
  <c r="AQ2222" i="1"/>
  <c r="AR2222" i="1" s="1"/>
  <c r="AS2222" i="1" s="1"/>
  <c r="AC2134" i="1" l="1"/>
  <c r="AF2133" i="1"/>
  <c r="L2135" i="1"/>
  <c r="AJ2134" i="1"/>
  <c r="AT2134" i="1" s="1"/>
  <c r="E2224" i="1"/>
  <c r="AQ2223" i="1"/>
  <c r="AR2223" i="1" s="1"/>
  <c r="AS2223" i="1" s="1"/>
  <c r="AC2135" i="1" l="1"/>
  <c r="AF2134" i="1"/>
  <c r="L2136" i="1"/>
  <c r="AJ2135" i="1"/>
  <c r="AT2135" i="1" s="1"/>
  <c r="E2225" i="1"/>
  <c r="AQ2224" i="1"/>
  <c r="AR2224" i="1" s="1"/>
  <c r="AS2224" i="1" s="1"/>
  <c r="AC2136" i="1" l="1"/>
  <c r="AF2135" i="1"/>
  <c r="L2137" i="1"/>
  <c r="AJ2136" i="1"/>
  <c r="AT2136" i="1" s="1"/>
  <c r="E2226" i="1"/>
  <c r="AQ2225" i="1"/>
  <c r="AR2225" i="1" s="1"/>
  <c r="AS2225" i="1" s="1"/>
  <c r="AC2137" i="1" l="1"/>
  <c r="AF2136" i="1"/>
  <c r="L2138" i="1"/>
  <c r="AJ2137" i="1"/>
  <c r="AT2137" i="1" s="1"/>
  <c r="E2227" i="1"/>
  <c r="AQ2226" i="1"/>
  <c r="AR2226" i="1" s="1"/>
  <c r="AS2226" i="1" s="1"/>
  <c r="AC2138" i="1" l="1"/>
  <c r="AF2137" i="1"/>
  <c r="L2139" i="1"/>
  <c r="AJ2138" i="1"/>
  <c r="AT2138" i="1" s="1"/>
  <c r="E2228" i="1"/>
  <c r="AQ2227" i="1"/>
  <c r="AR2227" i="1" s="1"/>
  <c r="AS2227" i="1" s="1"/>
  <c r="AC2139" i="1" l="1"/>
  <c r="AF2138" i="1"/>
  <c r="L2140" i="1"/>
  <c r="AJ2139" i="1"/>
  <c r="AT2139" i="1" s="1"/>
  <c r="E2229" i="1"/>
  <c r="AQ2228" i="1"/>
  <c r="AR2228" i="1" s="1"/>
  <c r="AS2228" i="1" s="1"/>
  <c r="AC2140" i="1" l="1"/>
  <c r="AF2139" i="1"/>
  <c r="L2141" i="1"/>
  <c r="AJ2140" i="1"/>
  <c r="AT2140" i="1" s="1"/>
  <c r="E2230" i="1"/>
  <c r="AQ2229" i="1"/>
  <c r="AR2229" i="1" s="1"/>
  <c r="AS2229" i="1" s="1"/>
  <c r="AC2141" i="1" l="1"/>
  <c r="AF2140" i="1"/>
  <c r="L2142" i="1"/>
  <c r="AJ2141" i="1"/>
  <c r="AT2141" i="1" s="1"/>
  <c r="E2231" i="1"/>
  <c r="AQ2230" i="1"/>
  <c r="AR2230" i="1" s="1"/>
  <c r="AS2230" i="1" s="1"/>
  <c r="AC2142" i="1" l="1"/>
  <c r="AF2141" i="1"/>
  <c r="L2143" i="1"/>
  <c r="AJ2142" i="1"/>
  <c r="AT2142" i="1" s="1"/>
  <c r="E2232" i="1"/>
  <c r="AQ2231" i="1"/>
  <c r="AR2231" i="1" s="1"/>
  <c r="AS2231" i="1" s="1"/>
  <c r="AC2143" i="1" l="1"/>
  <c r="AF2142" i="1"/>
  <c r="L2144" i="1"/>
  <c r="AJ2143" i="1"/>
  <c r="AT2143" i="1" s="1"/>
  <c r="E2233" i="1"/>
  <c r="AQ2232" i="1"/>
  <c r="AR2232" i="1" s="1"/>
  <c r="AS2232" i="1" s="1"/>
  <c r="AC2144" i="1" l="1"/>
  <c r="AF2143" i="1"/>
  <c r="L2145" i="1"/>
  <c r="AJ2144" i="1"/>
  <c r="AT2144" i="1" s="1"/>
  <c r="E2234" i="1"/>
  <c r="AQ2233" i="1"/>
  <c r="AR2233" i="1" s="1"/>
  <c r="AS2233" i="1" s="1"/>
  <c r="AC2145" i="1" l="1"/>
  <c r="AF2144" i="1"/>
  <c r="L2146" i="1"/>
  <c r="AJ2145" i="1"/>
  <c r="AT2145" i="1" s="1"/>
  <c r="E2235" i="1"/>
  <c r="AQ2234" i="1"/>
  <c r="AR2234" i="1" s="1"/>
  <c r="AS2234" i="1" s="1"/>
  <c r="AC2146" i="1" l="1"/>
  <c r="AF2145" i="1"/>
  <c r="L2147" i="1"/>
  <c r="AJ2146" i="1"/>
  <c r="AT2146" i="1" s="1"/>
  <c r="E2236" i="1"/>
  <c r="AQ2235" i="1"/>
  <c r="AR2235" i="1" s="1"/>
  <c r="AS2235" i="1" s="1"/>
  <c r="AC2147" i="1" l="1"/>
  <c r="AF2146" i="1"/>
  <c r="L2148" i="1"/>
  <c r="AJ2147" i="1"/>
  <c r="AT2147" i="1" s="1"/>
  <c r="E2237" i="1"/>
  <c r="AQ2236" i="1"/>
  <c r="AR2236" i="1" s="1"/>
  <c r="AS2236" i="1" s="1"/>
  <c r="AC2148" i="1" l="1"/>
  <c r="AF2147" i="1"/>
  <c r="L2149" i="1"/>
  <c r="AJ2148" i="1"/>
  <c r="AT2148" i="1" s="1"/>
  <c r="E2238" i="1"/>
  <c r="AQ2237" i="1"/>
  <c r="AR2237" i="1" s="1"/>
  <c r="AS2237" i="1" s="1"/>
  <c r="AC2149" i="1" l="1"/>
  <c r="AF2148" i="1"/>
  <c r="L2150" i="1"/>
  <c r="AJ2149" i="1"/>
  <c r="AT2149" i="1" s="1"/>
  <c r="E2239" i="1"/>
  <c r="AQ2238" i="1"/>
  <c r="AR2238" i="1" s="1"/>
  <c r="AS2238" i="1" s="1"/>
  <c r="AC2150" i="1" l="1"/>
  <c r="AF2149" i="1"/>
  <c r="L2151" i="1"/>
  <c r="AJ2150" i="1"/>
  <c r="AT2150" i="1" s="1"/>
  <c r="E2240" i="1"/>
  <c r="AQ2239" i="1"/>
  <c r="AR2239" i="1" s="1"/>
  <c r="AS2239" i="1" s="1"/>
  <c r="AC2151" i="1" l="1"/>
  <c r="AF2150" i="1"/>
  <c r="L2152" i="1"/>
  <c r="AJ2151" i="1"/>
  <c r="AT2151" i="1" s="1"/>
  <c r="E2241" i="1"/>
  <c r="AQ2240" i="1"/>
  <c r="AR2240" i="1" s="1"/>
  <c r="AS2240" i="1" s="1"/>
  <c r="AC2152" i="1" l="1"/>
  <c r="AF2151" i="1"/>
  <c r="L2153" i="1"/>
  <c r="AJ2152" i="1"/>
  <c r="AT2152" i="1" s="1"/>
  <c r="E2242" i="1"/>
  <c r="AQ2241" i="1"/>
  <c r="AR2241" i="1" s="1"/>
  <c r="AS2241" i="1" s="1"/>
  <c r="AC2153" i="1" l="1"/>
  <c r="AF2152" i="1"/>
  <c r="L2154" i="1"/>
  <c r="AJ2153" i="1"/>
  <c r="AT2153" i="1" s="1"/>
  <c r="E2243" i="1"/>
  <c r="AQ2242" i="1"/>
  <c r="AR2242" i="1" s="1"/>
  <c r="AS2242" i="1" s="1"/>
  <c r="AC2154" i="1" l="1"/>
  <c r="AF2153" i="1"/>
  <c r="L2155" i="1"/>
  <c r="AJ2154" i="1"/>
  <c r="AT2154" i="1" s="1"/>
  <c r="E2244" i="1"/>
  <c r="AQ2243" i="1"/>
  <c r="AR2243" i="1" s="1"/>
  <c r="AS2243" i="1" s="1"/>
  <c r="AC2155" i="1" l="1"/>
  <c r="AF2154" i="1"/>
  <c r="L2156" i="1"/>
  <c r="AJ2155" i="1"/>
  <c r="AT2155" i="1" s="1"/>
  <c r="E2245" i="1"/>
  <c r="AQ2244" i="1"/>
  <c r="AR2244" i="1" s="1"/>
  <c r="AS2244" i="1" s="1"/>
  <c r="AC2156" i="1" l="1"/>
  <c r="AF2155" i="1"/>
  <c r="L2157" i="1"/>
  <c r="AJ2156" i="1"/>
  <c r="AT2156" i="1" s="1"/>
  <c r="E2246" i="1"/>
  <c r="AQ2245" i="1"/>
  <c r="AR2245" i="1" s="1"/>
  <c r="AS2245" i="1" s="1"/>
  <c r="AC2157" i="1" l="1"/>
  <c r="AF2156" i="1"/>
  <c r="L2158" i="1"/>
  <c r="AJ2157" i="1"/>
  <c r="AT2157" i="1" s="1"/>
  <c r="E2247" i="1"/>
  <c r="AQ2246" i="1"/>
  <c r="AR2246" i="1" s="1"/>
  <c r="AS2246" i="1" s="1"/>
  <c r="AC2158" i="1" l="1"/>
  <c r="AF2157" i="1"/>
  <c r="L2159" i="1"/>
  <c r="AJ2158" i="1"/>
  <c r="AT2158" i="1" s="1"/>
  <c r="E2248" i="1"/>
  <c r="AQ2247" i="1"/>
  <c r="AR2247" i="1" s="1"/>
  <c r="AS2247" i="1" s="1"/>
  <c r="AC2159" i="1" l="1"/>
  <c r="AF2158" i="1"/>
  <c r="L2160" i="1"/>
  <c r="AJ2159" i="1"/>
  <c r="AT2159" i="1" s="1"/>
  <c r="E2249" i="1"/>
  <c r="AQ2248" i="1"/>
  <c r="AR2248" i="1" s="1"/>
  <c r="AS2248" i="1" s="1"/>
  <c r="AC2160" i="1" l="1"/>
  <c r="AF2159" i="1"/>
  <c r="L2161" i="1"/>
  <c r="AJ2160" i="1"/>
  <c r="AT2160" i="1" s="1"/>
  <c r="E2250" i="1"/>
  <c r="AQ2249" i="1"/>
  <c r="AR2249" i="1" s="1"/>
  <c r="AS2249" i="1" s="1"/>
  <c r="AC2161" i="1" l="1"/>
  <c r="AF2160" i="1"/>
  <c r="L2162" i="1"/>
  <c r="AJ2161" i="1"/>
  <c r="AT2161" i="1" s="1"/>
  <c r="E2251" i="1"/>
  <c r="AQ2250" i="1"/>
  <c r="AR2250" i="1" s="1"/>
  <c r="AS2250" i="1" s="1"/>
  <c r="AC2162" i="1" l="1"/>
  <c r="AF2161" i="1"/>
  <c r="L2163" i="1"/>
  <c r="AJ2162" i="1"/>
  <c r="AT2162" i="1" s="1"/>
  <c r="E2252" i="1"/>
  <c r="AQ2251" i="1"/>
  <c r="AR2251" i="1" s="1"/>
  <c r="AS2251" i="1" s="1"/>
  <c r="AC2163" i="1" l="1"/>
  <c r="AF2162" i="1"/>
  <c r="L2164" i="1"/>
  <c r="AJ2163" i="1"/>
  <c r="AT2163" i="1" s="1"/>
  <c r="E2253" i="1"/>
  <c r="AQ2252" i="1"/>
  <c r="AR2252" i="1" s="1"/>
  <c r="AS2252" i="1" s="1"/>
  <c r="AC2164" i="1" l="1"/>
  <c r="AF2163" i="1"/>
  <c r="L2165" i="1"/>
  <c r="AJ2164" i="1"/>
  <c r="AT2164" i="1" s="1"/>
  <c r="E2254" i="1"/>
  <c r="AQ2253" i="1"/>
  <c r="AR2253" i="1" s="1"/>
  <c r="AS2253" i="1" s="1"/>
  <c r="AC2165" i="1" l="1"/>
  <c r="AF2164" i="1"/>
  <c r="L2166" i="1"/>
  <c r="AJ2165" i="1"/>
  <c r="AT2165" i="1" s="1"/>
  <c r="E2255" i="1"/>
  <c r="AQ2254" i="1"/>
  <c r="AR2254" i="1" s="1"/>
  <c r="AS2254" i="1" s="1"/>
  <c r="AC2166" i="1" l="1"/>
  <c r="AF2165" i="1"/>
  <c r="L2167" i="1"/>
  <c r="AJ2166" i="1"/>
  <c r="AT2166" i="1" s="1"/>
  <c r="E2256" i="1"/>
  <c r="AQ2255" i="1"/>
  <c r="AR2255" i="1" s="1"/>
  <c r="AS2255" i="1" s="1"/>
  <c r="AC2167" i="1" l="1"/>
  <c r="AF2166" i="1"/>
  <c r="L2168" i="1"/>
  <c r="AJ2167" i="1"/>
  <c r="AT2167" i="1" s="1"/>
  <c r="E2257" i="1"/>
  <c r="AQ2256" i="1"/>
  <c r="AR2256" i="1" s="1"/>
  <c r="AS2256" i="1" s="1"/>
  <c r="AC2168" i="1" l="1"/>
  <c r="AF2167" i="1"/>
  <c r="L2169" i="1"/>
  <c r="AJ2168" i="1"/>
  <c r="AT2168" i="1" s="1"/>
  <c r="E2258" i="1"/>
  <c r="AQ2257" i="1"/>
  <c r="AR2257" i="1" s="1"/>
  <c r="AS2257" i="1" s="1"/>
  <c r="AC2169" i="1" l="1"/>
  <c r="AF2168" i="1"/>
  <c r="L2170" i="1"/>
  <c r="AJ2169" i="1"/>
  <c r="AT2169" i="1" s="1"/>
  <c r="E2259" i="1"/>
  <c r="AQ2258" i="1"/>
  <c r="AR2258" i="1" s="1"/>
  <c r="AS2258" i="1" s="1"/>
  <c r="AC2170" i="1" l="1"/>
  <c r="AF2169" i="1"/>
  <c r="L2171" i="1"/>
  <c r="AJ2170" i="1"/>
  <c r="AT2170" i="1" s="1"/>
  <c r="E2260" i="1"/>
  <c r="AQ2259" i="1"/>
  <c r="AR2259" i="1" s="1"/>
  <c r="AS2259" i="1" s="1"/>
  <c r="AC2171" i="1" l="1"/>
  <c r="AF2170" i="1"/>
  <c r="L2172" i="1"/>
  <c r="AJ2171" i="1"/>
  <c r="AT2171" i="1" s="1"/>
  <c r="E2261" i="1"/>
  <c r="AQ2260" i="1"/>
  <c r="AR2260" i="1" s="1"/>
  <c r="AS2260" i="1" s="1"/>
  <c r="AC2172" i="1" l="1"/>
  <c r="AF2171" i="1"/>
  <c r="L2173" i="1"/>
  <c r="AJ2172" i="1"/>
  <c r="AT2172" i="1" s="1"/>
  <c r="E2262" i="1"/>
  <c r="AQ2261" i="1"/>
  <c r="AR2261" i="1" s="1"/>
  <c r="AS2261" i="1" s="1"/>
  <c r="AC2173" i="1" l="1"/>
  <c r="AF2172" i="1"/>
  <c r="L2174" i="1"/>
  <c r="AJ2173" i="1"/>
  <c r="AT2173" i="1" s="1"/>
  <c r="E2263" i="1"/>
  <c r="AQ2262" i="1"/>
  <c r="AR2262" i="1" s="1"/>
  <c r="AS2262" i="1" s="1"/>
  <c r="AC2174" i="1" l="1"/>
  <c r="AF2173" i="1"/>
  <c r="L2175" i="1"/>
  <c r="AJ2174" i="1"/>
  <c r="AT2174" i="1" s="1"/>
  <c r="E2264" i="1"/>
  <c r="AQ2263" i="1"/>
  <c r="AR2263" i="1" s="1"/>
  <c r="AS2263" i="1" s="1"/>
  <c r="AC2175" i="1" l="1"/>
  <c r="AF2174" i="1"/>
  <c r="L2176" i="1"/>
  <c r="AJ2175" i="1"/>
  <c r="AT2175" i="1" s="1"/>
  <c r="E2265" i="1"/>
  <c r="AQ2264" i="1"/>
  <c r="AR2264" i="1" s="1"/>
  <c r="AS2264" i="1" s="1"/>
  <c r="AC2176" i="1" l="1"/>
  <c r="AF2175" i="1"/>
  <c r="L2177" i="1"/>
  <c r="AJ2176" i="1"/>
  <c r="AT2176" i="1" s="1"/>
  <c r="E2266" i="1"/>
  <c r="AQ2265" i="1"/>
  <c r="AR2265" i="1" s="1"/>
  <c r="AS2265" i="1" s="1"/>
  <c r="AC2177" i="1" l="1"/>
  <c r="AF2176" i="1"/>
  <c r="L2178" i="1"/>
  <c r="AJ2177" i="1"/>
  <c r="AT2177" i="1" s="1"/>
  <c r="E2267" i="1"/>
  <c r="AQ2266" i="1"/>
  <c r="AR2266" i="1" s="1"/>
  <c r="AS2266" i="1" s="1"/>
  <c r="AC2178" i="1" l="1"/>
  <c r="AF2177" i="1"/>
  <c r="L2179" i="1"/>
  <c r="AJ2178" i="1"/>
  <c r="AT2178" i="1" s="1"/>
  <c r="E2268" i="1"/>
  <c r="AQ2267" i="1"/>
  <c r="AR2267" i="1" s="1"/>
  <c r="AS2267" i="1" s="1"/>
  <c r="AC2179" i="1" l="1"/>
  <c r="AF2178" i="1"/>
  <c r="L2180" i="1"/>
  <c r="AJ2179" i="1"/>
  <c r="AT2179" i="1" s="1"/>
  <c r="E2269" i="1"/>
  <c r="AQ2268" i="1"/>
  <c r="AR2268" i="1" s="1"/>
  <c r="AS2268" i="1" s="1"/>
  <c r="AC2180" i="1" l="1"/>
  <c r="AF2179" i="1"/>
  <c r="L2181" i="1"/>
  <c r="AJ2180" i="1"/>
  <c r="AT2180" i="1" s="1"/>
  <c r="E2270" i="1"/>
  <c r="AQ2269" i="1"/>
  <c r="AR2269" i="1" s="1"/>
  <c r="AS2269" i="1" s="1"/>
  <c r="AC2181" i="1" l="1"/>
  <c r="AF2180" i="1"/>
  <c r="L2182" i="1"/>
  <c r="AJ2181" i="1"/>
  <c r="AT2181" i="1" s="1"/>
  <c r="E2271" i="1"/>
  <c r="AQ2270" i="1"/>
  <c r="AR2270" i="1" s="1"/>
  <c r="AS2270" i="1" s="1"/>
  <c r="AC2182" i="1" l="1"/>
  <c r="AF2181" i="1"/>
  <c r="L2183" i="1"/>
  <c r="AJ2182" i="1"/>
  <c r="AT2182" i="1" s="1"/>
  <c r="E2272" i="1"/>
  <c r="AQ2271" i="1"/>
  <c r="AR2271" i="1" s="1"/>
  <c r="AS2271" i="1" s="1"/>
  <c r="AC2183" i="1" l="1"/>
  <c r="AF2182" i="1"/>
  <c r="L2184" i="1"/>
  <c r="AJ2183" i="1"/>
  <c r="AT2183" i="1" s="1"/>
  <c r="E2273" i="1"/>
  <c r="AQ2272" i="1"/>
  <c r="AR2272" i="1" s="1"/>
  <c r="AS2272" i="1" s="1"/>
  <c r="AC2184" i="1" l="1"/>
  <c r="AF2183" i="1"/>
  <c r="L2185" i="1"/>
  <c r="AJ2184" i="1"/>
  <c r="AT2184" i="1" s="1"/>
  <c r="E2274" i="1"/>
  <c r="AQ2273" i="1"/>
  <c r="AR2273" i="1" s="1"/>
  <c r="AS2273" i="1" s="1"/>
  <c r="AC2185" i="1" l="1"/>
  <c r="AF2184" i="1"/>
  <c r="L2186" i="1"/>
  <c r="AJ2185" i="1"/>
  <c r="AT2185" i="1" s="1"/>
  <c r="E2275" i="1"/>
  <c r="AQ2274" i="1"/>
  <c r="AR2274" i="1" s="1"/>
  <c r="AS2274" i="1" s="1"/>
  <c r="AC2186" i="1" l="1"/>
  <c r="AF2185" i="1"/>
  <c r="L2187" i="1"/>
  <c r="AJ2186" i="1"/>
  <c r="AT2186" i="1" s="1"/>
  <c r="E2276" i="1"/>
  <c r="AQ2275" i="1"/>
  <c r="AR2275" i="1" s="1"/>
  <c r="AS2275" i="1" s="1"/>
  <c r="AC2187" i="1" l="1"/>
  <c r="AF2186" i="1"/>
  <c r="L2188" i="1"/>
  <c r="AJ2187" i="1"/>
  <c r="AT2187" i="1" s="1"/>
  <c r="E2277" i="1"/>
  <c r="AQ2276" i="1"/>
  <c r="AR2276" i="1" s="1"/>
  <c r="AS2276" i="1" s="1"/>
  <c r="AC2188" i="1" l="1"/>
  <c r="AF2187" i="1"/>
  <c r="L2189" i="1"/>
  <c r="AJ2188" i="1"/>
  <c r="AT2188" i="1" s="1"/>
  <c r="E2278" i="1"/>
  <c r="AQ2277" i="1"/>
  <c r="AR2277" i="1" s="1"/>
  <c r="AS2277" i="1" s="1"/>
  <c r="AC2189" i="1" l="1"/>
  <c r="AF2188" i="1"/>
  <c r="L2190" i="1"/>
  <c r="AJ2189" i="1"/>
  <c r="AT2189" i="1" s="1"/>
  <c r="E2279" i="1"/>
  <c r="AQ2278" i="1"/>
  <c r="AR2278" i="1" s="1"/>
  <c r="AS2278" i="1" s="1"/>
  <c r="AC2190" i="1" l="1"/>
  <c r="AF2189" i="1"/>
  <c r="L2191" i="1"/>
  <c r="AJ2190" i="1"/>
  <c r="AT2190" i="1" s="1"/>
  <c r="E2280" i="1"/>
  <c r="AQ2279" i="1"/>
  <c r="AR2279" i="1" s="1"/>
  <c r="AS2279" i="1" s="1"/>
  <c r="AC2191" i="1" l="1"/>
  <c r="AF2190" i="1"/>
  <c r="L2192" i="1"/>
  <c r="AJ2191" i="1"/>
  <c r="AT2191" i="1" s="1"/>
  <c r="E2281" i="1"/>
  <c r="AQ2280" i="1"/>
  <c r="AR2280" i="1" s="1"/>
  <c r="AS2280" i="1" s="1"/>
  <c r="AC2192" i="1" l="1"/>
  <c r="AF2191" i="1"/>
  <c r="L2193" i="1"/>
  <c r="AJ2192" i="1"/>
  <c r="AT2192" i="1" s="1"/>
  <c r="E2282" i="1"/>
  <c r="AQ2281" i="1"/>
  <c r="AR2281" i="1" s="1"/>
  <c r="AS2281" i="1" s="1"/>
  <c r="AC2193" i="1" l="1"/>
  <c r="AF2192" i="1"/>
  <c r="L2194" i="1"/>
  <c r="AJ2193" i="1"/>
  <c r="AT2193" i="1" s="1"/>
  <c r="E2283" i="1"/>
  <c r="AQ2282" i="1"/>
  <c r="AR2282" i="1" s="1"/>
  <c r="AS2282" i="1" s="1"/>
  <c r="AC2194" i="1" l="1"/>
  <c r="AF2193" i="1"/>
  <c r="L2195" i="1"/>
  <c r="AJ2194" i="1"/>
  <c r="AT2194" i="1" s="1"/>
  <c r="E2284" i="1"/>
  <c r="AQ2283" i="1"/>
  <c r="AR2283" i="1" s="1"/>
  <c r="AS2283" i="1" s="1"/>
  <c r="AC2195" i="1" l="1"/>
  <c r="AF2194" i="1"/>
  <c r="L2196" i="1"/>
  <c r="AJ2195" i="1"/>
  <c r="AT2195" i="1" s="1"/>
  <c r="E2285" i="1"/>
  <c r="AQ2284" i="1"/>
  <c r="AR2284" i="1" s="1"/>
  <c r="AS2284" i="1" s="1"/>
  <c r="AC2196" i="1" l="1"/>
  <c r="AF2195" i="1"/>
  <c r="L2197" i="1"/>
  <c r="AJ2196" i="1"/>
  <c r="AT2196" i="1" s="1"/>
  <c r="E2286" i="1"/>
  <c r="AQ2285" i="1"/>
  <c r="AR2285" i="1" s="1"/>
  <c r="AS2285" i="1" s="1"/>
  <c r="AC2197" i="1" l="1"/>
  <c r="AF2196" i="1"/>
  <c r="L2198" i="1"/>
  <c r="AJ2197" i="1"/>
  <c r="AT2197" i="1" s="1"/>
  <c r="E2287" i="1"/>
  <c r="AQ2286" i="1"/>
  <c r="AR2286" i="1" s="1"/>
  <c r="AS2286" i="1" s="1"/>
  <c r="AC2198" i="1" l="1"/>
  <c r="AF2197" i="1"/>
  <c r="L2199" i="1"/>
  <c r="AJ2198" i="1"/>
  <c r="AT2198" i="1" s="1"/>
  <c r="E2288" i="1"/>
  <c r="AQ2287" i="1"/>
  <c r="AR2287" i="1" s="1"/>
  <c r="AS2287" i="1" s="1"/>
  <c r="AC2199" i="1" l="1"/>
  <c r="AF2198" i="1"/>
  <c r="L2200" i="1"/>
  <c r="AJ2199" i="1"/>
  <c r="AT2199" i="1" s="1"/>
  <c r="E2289" i="1"/>
  <c r="AQ2288" i="1"/>
  <c r="AR2288" i="1" s="1"/>
  <c r="AS2288" i="1" s="1"/>
  <c r="AC2200" i="1" l="1"/>
  <c r="AF2199" i="1"/>
  <c r="L2201" i="1"/>
  <c r="AJ2200" i="1"/>
  <c r="AT2200" i="1" s="1"/>
  <c r="E2290" i="1"/>
  <c r="AQ2289" i="1"/>
  <c r="AR2289" i="1" s="1"/>
  <c r="AS2289" i="1" s="1"/>
  <c r="AC2201" i="1" l="1"/>
  <c r="AF2200" i="1"/>
  <c r="L2202" i="1"/>
  <c r="AJ2201" i="1"/>
  <c r="AT2201" i="1" s="1"/>
  <c r="E2291" i="1"/>
  <c r="AQ2290" i="1"/>
  <c r="AR2290" i="1" s="1"/>
  <c r="AS2290" i="1" s="1"/>
  <c r="AC2202" i="1" l="1"/>
  <c r="AF2201" i="1"/>
  <c r="L2203" i="1"/>
  <c r="AJ2202" i="1"/>
  <c r="AT2202" i="1" s="1"/>
  <c r="E2292" i="1"/>
  <c r="AQ2291" i="1"/>
  <c r="AR2291" i="1" s="1"/>
  <c r="AS2291" i="1" s="1"/>
  <c r="AC2203" i="1" l="1"/>
  <c r="AF2202" i="1"/>
  <c r="L2204" i="1"/>
  <c r="AJ2203" i="1"/>
  <c r="AT2203" i="1" s="1"/>
  <c r="E2293" i="1"/>
  <c r="AQ2292" i="1"/>
  <c r="AR2292" i="1" s="1"/>
  <c r="AS2292" i="1" s="1"/>
  <c r="AC2204" i="1" l="1"/>
  <c r="AF2203" i="1"/>
  <c r="L2205" i="1"/>
  <c r="AJ2204" i="1"/>
  <c r="AT2204" i="1" s="1"/>
  <c r="E2294" i="1"/>
  <c r="AQ2293" i="1"/>
  <c r="AR2293" i="1" s="1"/>
  <c r="AS2293" i="1" s="1"/>
  <c r="AC2205" i="1" l="1"/>
  <c r="AF2204" i="1"/>
  <c r="L2206" i="1"/>
  <c r="AJ2205" i="1"/>
  <c r="AT2205" i="1" s="1"/>
  <c r="E2295" i="1"/>
  <c r="AQ2294" i="1"/>
  <c r="AR2294" i="1" s="1"/>
  <c r="AS2294" i="1" s="1"/>
  <c r="AC2206" i="1" l="1"/>
  <c r="AF2205" i="1"/>
  <c r="L2207" i="1"/>
  <c r="AJ2206" i="1"/>
  <c r="AT2206" i="1" s="1"/>
  <c r="E2296" i="1"/>
  <c r="AQ2295" i="1"/>
  <c r="AR2295" i="1" s="1"/>
  <c r="AS2295" i="1" s="1"/>
  <c r="AC2207" i="1" l="1"/>
  <c r="AF2206" i="1"/>
  <c r="L2208" i="1"/>
  <c r="AJ2207" i="1"/>
  <c r="AT2207" i="1" s="1"/>
  <c r="E2297" i="1"/>
  <c r="AQ2296" i="1"/>
  <c r="AR2296" i="1" s="1"/>
  <c r="AS2296" i="1" s="1"/>
  <c r="AC2208" i="1" l="1"/>
  <c r="AF2207" i="1"/>
  <c r="L2209" i="1"/>
  <c r="AJ2208" i="1"/>
  <c r="AT2208" i="1" s="1"/>
  <c r="E2298" i="1"/>
  <c r="AQ2297" i="1"/>
  <c r="AR2297" i="1" s="1"/>
  <c r="AS2297" i="1" s="1"/>
  <c r="AC2209" i="1" l="1"/>
  <c r="AF2208" i="1"/>
  <c r="L2210" i="1"/>
  <c r="AJ2209" i="1"/>
  <c r="AT2209" i="1" s="1"/>
  <c r="E2299" i="1"/>
  <c r="AQ2298" i="1"/>
  <c r="AR2298" i="1" s="1"/>
  <c r="AS2298" i="1" s="1"/>
  <c r="AC2210" i="1" l="1"/>
  <c r="AF2209" i="1"/>
  <c r="L2211" i="1"/>
  <c r="AJ2210" i="1"/>
  <c r="AT2210" i="1" s="1"/>
  <c r="E2300" i="1"/>
  <c r="AQ2299" i="1"/>
  <c r="AR2299" i="1" s="1"/>
  <c r="AS2299" i="1" s="1"/>
  <c r="AC2211" i="1" l="1"/>
  <c r="AF2210" i="1"/>
  <c r="L2212" i="1"/>
  <c r="AJ2211" i="1"/>
  <c r="AT2211" i="1" s="1"/>
  <c r="E2301" i="1"/>
  <c r="AQ2300" i="1"/>
  <c r="AR2300" i="1" s="1"/>
  <c r="AS2300" i="1" s="1"/>
  <c r="AC2212" i="1" l="1"/>
  <c r="AF2211" i="1"/>
  <c r="L2213" i="1"/>
  <c r="AJ2212" i="1"/>
  <c r="AT2212" i="1" s="1"/>
  <c r="E2302" i="1"/>
  <c r="AQ2301" i="1"/>
  <c r="AR2301" i="1" s="1"/>
  <c r="AS2301" i="1" s="1"/>
  <c r="AC2213" i="1" l="1"/>
  <c r="AF2212" i="1"/>
  <c r="L2214" i="1"/>
  <c r="AJ2213" i="1"/>
  <c r="AT2213" i="1" s="1"/>
  <c r="E2303" i="1"/>
  <c r="AQ2302" i="1"/>
  <c r="AR2302" i="1" s="1"/>
  <c r="AS2302" i="1" s="1"/>
  <c r="AC2214" i="1" l="1"/>
  <c r="AF2213" i="1"/>
  <c r="L2215" i="1"/>
  <c r="AJ2214" i="1"/>
  <c r="AT2214" i="1" s="1"/>
  <c r="E2304" i="1"/>
  <c r="AQ2303" i="1"/>
  <c r="AR2303" i="1" s="1"/>
  <c r="AS2303" i="1" s="1"/>
  <c r="AC2215" i="1" l="1"/>
  <c r="AF2214" i="1"/>
  <c r="L2216" i="1"/>
  <c r="AJ2215" i="1"/>
  <c r="AT2215" i="1" s="1"/>
  <c r="E2305" i="1"/>
  <c r="AQ2304" i="1"/>
  <c r="AR2304" i="1" s="1"/>
  <c r="AS2304" i="1" s="1"/>
  <c r="AC2216" i="1" l="1"/>
  <c r="AF2215" i="1"/>
  <c r="L2217" i="1"/>
  <c r="AJ2216" i="1"/>
  <c r="AT2216" i="1" s="1"/>
  <c r="E2306" i="1"/>
  <c r="AQ2305" i="1"/>
  <c r="AR2305" i="1" s="1"/>
  <c r="AS2305" i="1" s="1"/>
  <c r="AC2217" i="1" l="1"/>
  <c r="AF2216" i="1"/>
  <c r="L2218" i="1"/>
  <c r="AJ2217" i="1"/>
  <c r="AT2217" i="1" s="1"/>
  <c r="E2307" i="1"/>
  <c r="AQ2306" i="1"/>
  <c r="AR2306" i="1" s="1"/>
  <c r="AS2306" i="1" s="1"/>
  <c r="AC2218" i="1" l="1"/>
  <c r="AF2217" i="1"/>
  <c r="L2219" i="1"/>
  <c r="AJ2218" i="1"/>
  <c r="AT2218" i="1" s="1"/>
  <c r="E2308" i="1"/>
  <c r="AQ2307" i="1"/>
  <c r="AR2307" i="1" s="1"/>
  <c r="AS2307" i="1" s="1"/>
  <c r="AC2219" i="1" l="1"/>
  <c r="AF2218" i="1"/>
  <c r="L2220" i="1"/>
  <c r="AJ2219" i="1"/>
  <c r="AT2219" i="1" s="1"/>
  <c r="E2309" i="1"/>
  <c r="AQ2308" i="1"/>
  <c r="AR2308" i="1" s="1"/>
  <c r="AS2308" i="1" s="1"/>
  <c r="AC2220" i="1" l="1"/>
  <c r="AF2219" i="1"/>
  <c r="L2221" i="1"/>
  <c r="AJ2220" i="1"/>
  <c r="AT2220" i="1" s="1"/>
  <c r="E2310" i="1"/>
  <c r="AQ2309" i="1"/>
  <c r="AR2309" i="1" s="1"/>
  <c r="AS2309" i="1" s="1"/>
  <c r="AC2221" i="1" l="1"/>
  <c r="AF2220" i="1"/>
  <c r="L2222" i="1"/>
  <c r="AJ2221" i="1"/>
  <c r="AT2221" i="1" s="1"/>
  <c r="E2311" i="1"/>
  <c r="AQ2310" i="1"/>
  <c r="AR2310" i="1" s="1"/>
  <c r="AS2310" i="1" s="1"/>
  <c r="AC2222" i="1" l="1"/>
  <c r="AF2221" i="1"/>
  <c r="L2223" i="1"/>
  <c r="AJ2222" i="1"/>
  <c r="AT2222" i="1" s="1"/>
  <c r="E2312" i="1"/>
  <c r="AQ2311" i="1"/>
  <c r="AR2311" i="1" s="1"/>
  <c r="AS2311" i="1" s="1"/>
  <c r="AC2223" i="1" l="1"/>
  <c r="AF2222" i="1"/>
  <c r="L2224" i="1"/>
  <c r="AJ2223" i="1"/>
  <c r="AT2223" i="1" s="1"/>
  <c r="E2313" i="1"/>
  <c r="AQ2312" i="1"/>
  <c r="AR2312" i="1" s="1"/>
  <c r="AS2312" i="1" s="1"/>
  <c r="AC2224" i="1" l="1"/>
  <c r="AF2223" i="1"/>
  <c r="L2225" i="1"/>
  <c r="AJ2224" i="1"/>
  <c r="AT2224" i="1" s="1"/>
  <c r="E2314" i="1"/>
  <c r="AQ2313" i="1"/>
  <c r="AR2313" i="1" s="1"/>
  <c r="AS2313" i="1" s="1"/>
  <c r="AC2225" i="1" l="1"/>
  <c r="AF2224" i="1"/>
  <c r="L2226" i="1"/>
  <c r="AJ2225" i="1"/>
  <c r="AT2225" i="1" s="1"/>
  <c r="E2315" i="1"/>
  <c r="AQ2314" i="1"/>
  <c r="AR2314" i="1" s="1"/>
  <c r="AS2314" i="1" s="1"/>
  <c r="AC2226" i="1" l="1"/>
  <c r="AF2225" i="1"/>
  <c r="L2227" i="1"/>
  <c r="AJ2226" i="1"/>
  <c r="AT2226" i="1" s="1"/>
  <c r="E2316" i="1"/>
  <c r="AQ2315" i="1"/>
  <c r="AR2315" i="1" s="1"/>
  <c r="AS2315" i="1" s="1"/>
  <c r="AC2227" i="1" l="1"/>
  <c r="AF2226" i="1"/>
  <c r="L2228" i="1"/>
  <c r="AJ2227" i="1"/>
  <c r="AT2227" i="1" s="1"/>
  <c r="E2317" i="1"/>
  <c r="AQ2316" i="1"/>
  <c r="AR2316" i="1" s="1"/>
  <c r="AS2316" i="1" s="1"/>
  <c r="AC2228" i="1" l="1"/>
  <c r="AF2227" i="1"/>
  <c r="L2229" i="1"/>
  <c r="AJ2228" i="1"/>
  <c r="AT2228" i="1" s="1"/>
  <c r="E2318" i="1"/>
  <c r="AQ2317" i="1"/>
  <c r="AR2317" i="1" s="1"/>
  <c r="AS2317" i="1" s="1"/>
  <c r="AC2229" i="1" l="1"/>
  <c r="AF2228" i="1"/>
  <c r="L2230" i="1"/>
  <c r="AJ2229" i="1"/>
  <c r="AT2229" i="1" s="1"/>
  <c r="E2319" i="1"/>
  <c r="AQ2318" i="1"/>
  <c r="AR2318" i="1" s="1"/>
  <c r="AS2318" i="1" s="1"/>
  <c r="AC2230" i="1" l="1"/>
  <c r="AF2229" i="1"/>
  <c r="L2231" i="1"/>
  <c r="AJ2230" i="1"/>
  <c r="AT2230" i="1" s="1"/>
  <c r="E2320" i="1"/>
  <c r="AQ2319" i="1"/>
  <c r="AR2319" i="1" s="1"/>
  <c r="AS2319" i="1" s="1"/>
  <c r="AC2231" i="1" l="1"/>
  <c r="AF2230" i="1"/>
  <c r="L2232" i="1"/>
  <c r="AJ2231" i="1"/>
  <c r="AT2231" i="1" s="1"/>
  <c r="E2321" i="1"/>
  <c r="AQ2320" i="1"/>
  <c r="AR2320" i="1" s="1"/>
  <c r="AS2320" i="1" s="1"/>
  <c r="AC2232" i="1" l="1"/>
  <c r="AF2231" i="1"/>
  <c r="L2233" i="1"/>
  <c r="AJ2232" i="1"/>
  <c r="AT2232" i="1" s="1"/>
  <c r="E2322" i="1"/>
  <c r="AQ2321" i="1"/>
  <c r="AR2321" i="1" s="1"/>
  <c r="AS2321" i="1" s="1"/>
  <c r="AC2233" i="1" l="1"/>
  <c r="AF2232" i="1"/>
  <c r="L2234" i="1"/>
  <c r="AJ2233" i="1"/>
  <c r="AT2233" i="1" s="1"/>
  <c r="E2323" i="1"/>
  <c r="AQ2322" i="1"/>
  <c r="AR2322" i="1" s="1"/>
  <c r="AS2322" i="1" s="1"/>
  <c r="AC2234" i="1" l="1"/>
  <c r="AF2233" i="1"/>
  <c r="L2235" i="1"/>
  <c r="AJ2234" i="1"/>
  <c r="AT2234" i="1" s="1"/>
  <c r="E2324" i="1"/>
  <c r="AQ2323" i="1"/>
  <c r="AR2323" i="1" s="1"/>
  <c r="AS2323" i="1" s="1"/>
  <c r="AC2235" i="1" l="1"/>
  <c r="AF2234" i="1"/>
  <c r="L2236" i="1"/>
  <c r="AJ2235" i="1"/>
  <c r="AT2235" i="1" s="1"/>
  <c r="E2325" i="1"/>
  <c r="AQ2324" i="1"/>
  <c r="AR2324" i="1" s="1"/>
  <c r="AS2324" i="1" s="1"/>
  <c r="AC2236" i="1" l="1"/>
  <c r="AF2235" i="1"/>
  <c r="L2237" i="1"/>
  <c r="AJ2236" i="1"/>
  <c r="AT2236" i="1" s="1"/>
  <c r="E2326" i="1"/>
  <c r="AQ2325" i="1"/>
  <c r="AR2325" i="1" s="1"/>
  <c r="AS2325" i="1" s="1"/>
  <c r="AC2237" i="1" l="1"/>
  <c r="AF2236" i="1"/>
  <c r="L2238" i="1"/>
  <c r="AJ2237" i="1"/>
  <c r="AT2237" i="1" s="1"/>
  <c r="E2327" i="1"/>
  <c r="AQ2326" i="1"/>
  <c r="AR2326" i="1" s="1"/>
  <c r="AS2326" i="1" s="1"/>
  <c r="AC2238" i="1" l="1"/>
  <c r="AF2237" i="1"/>
  <c r="L2239" i="1"/>
  <c r="AJ2238" i="1"/>
  <c r="AT2238" i="1" s="1"/>
  <c r="E2328" i="1"/>
  <c r="AQ2327" i="1"/>
  <c r="AR2327" i="1" s="1"/>
  <c r="AS2327" i="1" s="1"/>
  <c r="AC2239" i="1" l="1"/>
  <c r="AF2238" i="1"/>
  <c r="L2240" i="1"/>
  <c r="AJ2239" i="1"/>
  <c r="AT2239" i="1" s="1"/>
  <c r="E2329" i="1"/>
  <c r="AQ2328" i="1"/>
  <c r="AR2328" i="1" s="1"/>
  <c r="AS2328" i="1" s="1"/>
  <c r="AC2240" i="1" l="1"/>
  <c r="AF2239" i="1"/>
  <c r="L2241" i="1"/>
  <c r="AJ2240" i="1"/>
  <c r="AT2240" i="1" s="1"/>
  <c r="E2330" i="1"/>
  <c r="AQ2329" i="1"/>
  <c r="AR2329" i="1" s="1"/>
  <c r="AS2329" i="1" s="1"/>
  <c r="AC2241" i="1" l="1"/>
  <c r="AF2240" i="1"/>
  <c r="L2242" i="1"/>
  <c r="AJ2241" i="1"/>
  <c r="AT2241" i="1" s="1"/>
  <c r="E2331" i="1"/>
  <c r="AQ2330" i="1"/>
  <c r="AR2330" i="1" s="1"/>
  <c r="AS2330" i="1" s="1"/>
  <c r="AC2242" i="1" l="1"/>
  <c r="AF2241" i="1"/>
  <c r="L2243" i="1"/>
  <c r="AJ2242" i="1"/>
  <c r="AT2242" i="1" s="1"/>
  <c r="E2332" i="1"/>
  <c r="AQ2331" i="1"/>
  <c r="AR2331" i="1" s="1"/>
  <c r="AS2331" i="1" s="1"/>
  <c r="AC2243" i="1" l="1"/>
  <c r="AF2242" i="1"/>
  <c r="L2244" i="1"/>
  <c r="AJ2243" i="1"/>
  <c r="AT2243" i="1" s="1"/>
  <c r="E2333" i="1"/>
  <c r="AQ2332" i="1"/>
  <c r="AR2332" i="1" s="1"/>
  <c r="AS2332" i="1" s="1"/>
  <c r="AC2244" i="1" l="1"/>
  <c r="AF2243" i="1"/>
  <c r="L2245" i="1"/>
  <c r="AJ2244" i="1"/>
  <c r="AT2244" i="1" s="1"/>
  <c r="E2334" i="1"/>
  <c r="AQ2333" i="1"/>
  <c r="AC2245" i="1" l="1"/>
  <c r="AF2244" i="1"/>
  <c r="L2246" i="1"/>
  <c r="AJ2245" i="1"/>
  <c r="AT2245" i="1" s="1"/>
  <c r="E2335" i="1"/>
  <c r="AQ2334" i="1"/>
  <c r="AC2246" i="1" l="1"/>
  <c r="AF2245" i="1"/>
  <c r="L2247" i="1"/>
  <c r="AJ2246" i="1"/>
  <c r="AT2246" i="1" s="1"/>
  <c r="E2336" i="1"/>
  <c r="AQ2335" i="1"/>
  <c r="AR2335" i="1" s="1"/>
  <c r="AS2335" i="1" s="1"/>
  <c r="AC2247" i="1" l="1"/>
  <c r="AF2246" i="1"/>
  <c r="L2248" i="1"/>
  <c r="AJ2247" i="1"/>
  <c r="AT2247" i="1" s="1"/>
  <c r="E2337" i="1"/>
  <c r="AQ2336" i="1"/>
  <c r="AR2336" i="1" s="1"/>
  <c r="AS2336" i="1" s="1"/>
  <c r="AC2248" i="1" l="1"/>
  <c r="AF2247" i="1"/>
  <c r="L2249" i="1"/>
  <c r="AJ2248" i="1"/>
  <c r="AT2248" i="1" s="1"/>
  <c r="E2338" i="1"/>
  <c r="AQ2337" i="1"/>
  <c r="AR2337" i="1" s="1"/>
  <c r="AS2337" i="1" s="1"/>
  <c r="AC2249" i="1" l="1"/>
  <c r="AF2248" i="1"/>
  <c r="L2250" i="1"/>
  <c r="AJ2249" i="1"/>
  <c r="AT2249" i="1" s="1"/>
  <c r="E2339" i="1"/>
  <c r="AQ2338" i="1"/>
  <c r="AR2338" i="1" s="1"/>
  <c r="AS2338" i="1" s="1"/>
  <c r="AC2250" i="1" l="1"/>
  <c r="AF2249" i="1"/>
  <c r="L2251" i="1"/>
  <c r="AJ2250" i="1"/>
  <c r="AT2250" i="1" s="1"/>
  <c r="E2340" i="1"/>
  <c r="AQ2339" i="1"/>
  <c r="AR2339" i="1" s="1"/>
  <c r="AS2339" i="1" s="1"/>
  <c r="AC2251" i="1" l="1"/>
  <c r="AF2250" i="1"/>
  <c r="L2252" i="1"/>
  <c r="AJ2251" i="1"/>
  <c r="AT2251" i="1" s="1"/>
  <c r="E2341" i="1"/>
  <c r="AQ2340" i="1"/>
  <c r="AR2340" i="1" s="1"/>
  <c r="AS2340" i="1" s="1"/>
  <c r="AC2252" i="1" l="1"/>
  <c r="AF2251" i="1"/>
  <c r="L2253" i="1"/>
  <c r="AJ2252" i="1"/>
  <c r="AT2252" i="1" s="1"/>
  <c r="E2342" i="1"/>
  <c r="AQ2341" i="1"/>
  <c r="AR2341" i="1" s="1"/>
  <c r="AS2341" i="1" s="1"/>
  <c r="AC2253" i="1" l="1"/>
  <c r="AF2252" i="1"/>
  <c r="L2254" i="1"/>
  <c r="AJ2253" i="1"/>
  <c r="AT2253" i="1" s="1"/>
  <c r="E2343" i="1"/>
  <c r="AQ2342" i="1"/>
  <c r="AR2342" i="1" s="1"/>
  <c r="AS2342" i="1" s="1"/>
  <c r="AC2254" i="1" l="1"/>
  <c r="AF2253" i="1"/>
  <c r="L2255" i="1"/>
  <c r="AJ2254" i="1"/>
  <c r="AT2254" i="1" s="1"/>
  <c r="E2344" i="1"/>
  <c r="AQ2343" i="1"/>
  <c r="AR2343" i="1" s="1"/>
  <c r="AS2343" i="1" s="1"/>
  <c r="AC2255" i="1" l="1"/>
  <c r="AF2254" i="1"/>
  <c r="L2256" i="1"/>
  <c r="AJ2255" i="1"/>
  <c r="AT2255" i="1" s="1"/>
  <c r="E2345" i="1"/>
  <c r="AQ2344" i="1"/>
  <c r="AR2344" i="1" s="1"/>
  <c r="AS2344" i="1" s="1"/>
  <c r="AC2256" i="1" l="1"/>
  <c r="AF2255" i="1"/>
  <c r="L2257" i="1"/>
  <c r="AJ2256" i="1"/>
  <c r="AT2256" i="1" s="1"/>
  <c r="E2346" i="1"/>
  <c r="AQ2345" i="1"/>
  <c r="AR2345" i="1" s="1"/>
  <c r="AS2345" i="1" s="1"/>
  <c r="AC2257" i="1" l="1"/>
  <c r="AF2256" i="1"/>
  <c r="L2258" i="1"/>
  <c r="AJ2257" i="1"/>
  <c r="AT2257" i="1" s="1"/>
  <c r="E2347" i="1"/>
  <c r="AQ2346" i="1"/>
  <c r="AR2346" i="1" s="1"/>
  <c r="AS2346" i="1" s="1"/>
  <c r="AC2258" i="1" l="1"/>
  <c r="AF2257" i="1"/>
  <c r="L2259" i="1"/>
  <c r="AJ2258" i="1"/>
  <c r="AT2258" i="1" s="1"/>
  <c r="E2348" i="1"/>
  <c r="AQ2347" i="1"/>
  <c r="AR2347" i="1" s="1"/>
  <c r="AS2347" i="1" s="1"/>
  <c r="AC2259" i="1" l="1"/>
  <c r="AF2258" i="1"/>
  <c r="L2260" i="1"/>
  <c r="AJ2259" i="1"/>
  <c r="AT2259" i="1" s="1"/>
  <c r="E2349" i="1"/>
  <c r="AQ2348" i="1"/>
  <c r="AR2348" i="1" s="1"/>
  <c r="AS2348" i="1" s="1"/>
  <c r="AC2260" i="1" l="1"/>
  <c r="AF2259" i="1"/>
  <c r="L2261" i="1"/>
  <c r="AJ2260" i="1"/>
  <c r="AT2260" i="1" s="1"/>
  <c r="E2350" i="1"/>
  <c r="AQ2349" i="1"/>
  <c r="AR2349" i="1" s="1"/>
  <c r="AS2349" i="1" s="1"/>
  <c r="AC2261" i="1" l="1"/>
  <c r="AF2260" i="1"/>
  <c r="L2262" i="1"/>
  <c r="AJ2261" i="1"/>
  <c r="AT2261" i="1" s="1"/>
  <c r="E2351" i="1"/>
  <c r="AQ2350" i="1"/>
  <c r="AR2350" i="1" s="1"/>
  <c r="AS2350" i="1" s="1"/>
  <c r="AC2262" i="1" l="1"/>
  <c r="AF2261" i="1"/>
  <c r="L2263" i="1"/>
  <c r="AJ2262" i="1"/>
  <c r="AT2262" i="1" s="1"/>
  <c r="E2352" i="1"/>
  <c r="AQ2351" i="1"/>
  <c r="AR2351" i="1" s="1"/>
  <c r="AS2351" i="1" s="1"/>
  <c r="AC2263" i="1" l="1"/>
  <c r="AF2262" i="1"/>
  <c r="L2264" i="1"/>
  <c r="AJ2263" i="1"/>
  <c r="AT2263" i="1" s="1"/>
  <c r="E2353" i="1"/>
  <c r="AQ2352" i="1"/>
  <c r="AR2352" i="1" s="1"/>
  <c r="AS2352" i="1" s="1"/>
  <c r="AC2264" i="1" l="1"/>
  <c r="AF2263" i="1"/>
  <c r="L2265" i="1"/>
  <c r="AJ2264" i="1"/>
  <c r="AT2264" i="1" s="1"/>
  <c r="E2354" i="1"/>
  <c r="AQ2353" i="1"/>
  <c r="AR2353" i="1" s="1"/>
  <c r="AS2353" i="1" s="1"/>
  <c r="AC2265" i="1" l="1"/>
  <c r="AF2264" i="1"/>
  <c r="L2266" i="1"/>
  <c r="AJ2265" i="1"/>
  <c r="AT2265" i="1" s="1"/>
  <c r="E2355" i="1"/>
  <c r="AQ2354" i="1"/>
  <c r="AR2354" i="1" s="1"/>
  <c r="AS2354" i="1" s="1"/>
  <c r="AC2266" i="1" l="1"/>
  <c r="AF2265" i="1"/>
  <c r="L2267" i="1"/>
  <c r="AJ2266" i="1"/>
  <c r="AT2266" i="1" s="1"/>
  <c r="E2356" i="1"/>
  <c r="AQ2355" i="1"/>
  <c r="AR2355" i="1" s="1"/>
  <c r="AS2355" i="1" s="1"/>
  <c r="AC2267" i="1" l="1"/>
  <c r="AF2266" i="1"/>
  <c r="L2268" i="1"/>
  <c r="AJ2267" i="1"/>
  <c r="AT2267" i="1" s="1"/>
  <c r="E2357" i="1"/>
  <c r="AQ2356" i="1"/>
  <c r="AR2356" i="1" s="1"/>
  <c r="AS2356" i="1" s="1"/>
  <c r="AC2268" i="1" l="1"/>
  <c r="AF2267" i="1"/>
  <c r="L2269" i="1"/>
  <c r="AJ2268" i="1"/>
  <c r="AT2268" i="1" s="1"/>
  <c r="E2358" i="1"/>
  <c r="AQ2357" i="1"/>
  <c r="AR2357" i="1" s="1"/>
  <c r="AS2357" i="1" s="1"/>
  <c r="AC2269" i="1" l="1"/>
  <c r="AF2268" i="1"/>
  <c r="L2270" i="1"/>
  <c r="AJ2269" i="1"/>
  <c r="AT2269" i="1" s="1"/>
  <c r="E2359" i="1"/>
  <c r="AQ2358" i="1"/>
  <c r="AR2358" i="1" s="1"/>
  <c r="AS2358" i="1" s="1"/>
  <c r="AC2270" i="1" l="1"/>
  <c r="AF2269" i="1"/>
  <c r="L2271" i="1"/>
  <c r="AJ2270" i="1"/>
  <c r="AT2270" i="1" s="1"/>
  <c r="E2360" i="1"/>
  <c r="AQ2359" i="1"/>
  <c r="AR2359" i="1" s="1"/>
  <c r="AS2359" i="1" s="1"/>
  <c r="AC2271" i="1" l="1"/>
  <c r="AF2270" i="1"/>
  <c r="L2272" i="1"/>
  <c r="AJ2271" i="1"/>
  <c r="AT2271" i="1" s="1"/>
  <c r="E2361" i="1"/>
  <c r="AQ2360" i="1"/>
  <c r="AR2360" i="1" s="1"/>
  <c r="AS2360" i="1" s="1"/>
  <c r="AC2272" i="1" l="1"/>
  <c r="AF2271" i="1"/>
  <c r="L2273" i="1"/>
  <c r="AJ2272" i="1"/>
  <c r="AT2272" i="1" s="1"/>
  <c r="E2362" i="1"/>
  <c r="AQ2361" i="1"/>
  <c r="AR2361" i="1" s="1"/>
  <c r="AS2361" i="1" s="1"/>
  <c r="AC2273" i="1" l="1"/>
  <c r="AF2272" i="1"/>
  <c r="L2274" i="1"/>
  <c r="AJ2273" i="1"/>
  <c r="AT2273" i="1" s="1"/>
  <c r="E2363" i="1"/>
  <c r="AQ2362" i="1"/>
  <c r="AR2362" i="1" s="1"/>
  <c r="AS2362" i="1" s="1"/>
  <c r="AC2274" i="1" l="1"/>
  <c r="AF2273" i="1"/>
  <c r="L2275" i="1"/>
  <c r="AJ2274" i="1"/>
  <c r="AT2274" i="1" s="1"/>
  <c r="E2364" i="1"/>
  <c r="AQ2363" i="1"/>
  <c r="AR2363" i="1" s="1"/>
  <c r="AS2363" i="1" s="1"/>
  <c r="AC2275" i="1" l="1"/>
  <c r="AF2274" i="1"/>
  <c r="L2276" i="1"/>
  <c r="AJ2275" i="1"/>
  <c r="AT2275" i="1" s="1"/>
  <c r="E2365" i="1"/>
  <c r="AQ2364" i="1"/>
  <c r="AR2364" i="1" s="1"/>
  <c r="AS2364" i="1" s="1"/>
  <c r="AC2276" i="1" l="1"/>
  <c r="AF2275" i="1"/>
  <c r="L2277" i="1"/>
  <c r="AJ2276" i="1"/>
  <c r="AT2276" i="1" s="1"/>
  <c r="E2366" i="1"/>
  <c r="AQ2365" i="1"/>
  <c r="AR2365" i="1" s="1"/>
  <c r="AS2365" i="1" s="1"/>
  <c r="AC2277" i="1" l="1"/>
  <c r="AF2276" i="1"/>
  <c r="L2278" i="1"/>
  <c r="AJ2277" i="1"/>
  <c r="AT2277" i="1" s="1"/>
  <c r="E2367" i="1"/>
  <c r="AQ2366" i="1"/>
  <c r="AR2366" i="1" s="1"/>
  <c r="AS2366" i="1" s="1"/>
  <c r="AC2278" i="1" l="1"/>
  <c r="AF2277" i="1"/>
  <c r="L2279" i="1"/>
  <c r="AJ2278" i="1"/>
  <c r="AT2278" i="1" s="1"/>
  <c r="E2368" i="1"/>
  <c r="AQ2367" i="1"/>
  <c r="AR2367" i="1" s="1"/>
  <c r="AS2367" i="1" s="1"/>
  <c r="AC2279" i="1" l="1"/>
  <c r="AF2278" i="1"/>
  <c r="L2280" i="1"/>
  <c r="AJ2279" i="1"/>
  <c r="AT2279" i="1" s="1"/>
  <c r="E2369" i="1"/>
  <c r="AQ2368" i="1"/>
  <c r="AR2368" i="1" s="1"/>
  <c r="AS2368" i="1" s="1"/>
  <c r="AC2280" i="1" l="1"/>
  <c r="AF2279" i="1"/>
  <c r="L2281" i="1"/>
  <c r="AJ2280" i="1"/>
  <c r="AT2280" i="1" s="1"/>
  <c r="E2370" i="1"/>
  <c r="AQ2369" i="1"/>
  <c r="AR2369" i="1" s="1"/>
  <c r="AS2369" i="1" s="1"/>
  <c r="AC2281" i="1" l="1"/>
  <c r="AF2280" i="1"/>
  <c r="L2282" i="1"/>
  <c r="AJ2281" i="1"/>
  <c r="AT2281" i="1" s="1"/>
  <c r="E2371" i="1"/>
  <c r="AQ2370" i="1"/>
  <c r="AR2370" i="1" s="1"/>
  <c r="AS2370" i="1" s="1"/>
  <c r="AC2282" i="1" l="1"/>
  <c r="AF2281" i="1"/>
  <c r="L2283" i="1"/>
  <c r="AJ2282" i="1"/>
  <c r="AT2282" i="1" s="1"/>
  <c r="E2372" i="1"/>
  <c r="AQ2371" i="1"/>
  <c r="AR2371" i="1" s="1"/>
  <c r="AS2371" i="1" s="1"/>
  <c r="AC2283" i="1" l="1"/>
  <c r="AF2282" i="1"/>
  <c r="L2284" i="1"/>
  <c r="AJ2283" i="1"/>
  <c r="AT2283" i="1" s="1"/>
  <c r="E2373" i="1"/>
  <c r="AQ2372" i="1"/>
  <c r="AR2372" i="1" s="1"/>
  <c r="AS2372" i="1" s="1"/>
  <c r="AC2284" i="1" l="1"/>
  <c r="AF2283" i="1"/>
  <c r="L2285" i="1"/>
  <c r="AJ2284" i="1"/>
  <c r="AT2284" i="1" s="1"/>
  <c r="E2374" i="1"/>
  <c r="AQ2373" i="1"/>
  <c r="AR2373" i="1" s="1"/>
  <c r="AS2373" i="1" s="1"/>
  <c r="AC2285" i="1" l="1"/>
  <c r="AF2284" i="1"/>
  <c r="L2286" i="1"/>
  <c r="AJ2285" i="1"/>
  <c r="AT2285" i="1" s="1"/>
  <c r="E2375" i="1"/>
  <c r="AQ2374" i="1"/>
  <c r="AR2374" i="1" s="1"/>
  <c r="AS2374" i="1" s="1"/>
  <c r="AC2286" i="1" l="1"/>
  <c r="AF2285" i="1"/>
  <c r="L2287" i="1"/>
  <c r="AJ2286" i="1"/>
  <c r="AT2286" i="1" s="1"/>
  <c r="E2376" i="1"/>
  <c r="AQ2375" i="1"/>
  <c r="AR2375" i="1" s="1"/>
  <c r="AS2375" i="1" s="1"/>
  <c r="AC2287" i="1" l="1"/>
  <c r="AF2286" i="1"/>
  <c r="L2288" i="1"/>
  <c r="AJ2287" i="1"/>
  <c r="AT2287" i="1" s="1"/>
  <c r="E2377" i="1"/>
  <c r="AQ2376" i="1"/>
  <c r="AR2376" i="1" s="1"/>
  <c r="AS2376" i="1" s="1"/>
  <c r="AC2288" i="1" l="1"/>
  <c r="AF2287" i="1"/>
  <c r="L2289" i="1"/>
  <c r="AJ2288" i="1"/>
  <c r="AT2288" i="1" s="1"/>
  <c r="E2378" i="1"/>
  <c r="AQ2377" i="1"/>
  <c r="AR2377" i="1" s="1"/>
  <c r="AS2377" i="1" s="1"/>
  <c r="AC2289" i="1" l="1"/>
  <c r="AF2288" i="1"/>
  <c r="L2290" i="1"/>
  <c r="AJ2289" i="1"/>
  <c r="AT2289" i="1" s="1"/>
  <c r="E2379" i="1"/>
  <c r="AQ2378" i="1"/>
  <c r="AR2378" i="1" s="1"/>
  <c r="AS2378" i="1" s="1"/>
  <c r="AC2290" i="1" l="1"/>
  <c r="AF2289" i="1"/>
  <c r="L2291" i="1"/>
  <c r="AJ2290" i="1"/>
  <c r="AT2290" i="1" s="1"/>
  <c r="E2380" i="1"/>
  <c r="AQ2379" i="1"/>
  <c r="AR2379" i="1" s="1"/>
  <c r="AS2379" i="1" s="1"/>
  <c r="AC2291" i="1" l="1"/>
  <c r="AF2290" i="1"/>
  <c r="L2292" i="1"/>
  <c r="AJ2291" i="1"/>
  <c r="AT2291" i="1" s="1"/>
  <c r="E2381" i="1"/>
  <c r="AQ2380" i="1"/>
  <c r="AR2380" i="1" s="1"/>
  <c r="AS2380" i="1" s="1"/>
  <c r="AC2292" i="1" l="1"/>
  <c r="AF2291" i="1"/>
  <c r="L2293" i="1"/>
  <c r="AJ2292" i="1"/>
  <c r="AT2292" i="1" s="1"/>
  <c r="E2382" i="1"/>
  <c r="AQ2381" i="1"/>
  <c r="AR2381" i="1" s="1"/>
  <c r="AS2381" i="1" s="1"/>
  <c r="AC2293" i="1" l="1"/>
  <c r="AF2292" i="1"/>
  <c r="L2294" i="1"/>
  <c r="AJ2293" i="1"/>
  <c r="AT2293" i="1" s="1"/>
  <c r="E2383" i="1"/>
  <c r="AQ2382" i="1"/>
  <c r="AR2382" i="1" s="1"/>
  <c r="AS2382" i="1" s="1"/>
  <c r="AC2294" i="1" l="1"/>
  <c r="AF2293" i="1"/>
  <c r="L2295" i="1"/>
  <c r="AJ2294" i="1"/>
  <c r="AT2294" i="1" s="1"/>
  <c r="E2384" i="1"/>
  <c r="AQ2383" i="1"/>
  <c r="AR2383" i="1" s="1"/>
  <c r="AS2383" i="1" s="1"/>
  <c r="AC2295" i="1" l="1"/>
  <c r="AF2294" i="1"/>
  <c r="L2296" i="1"/>
  <c r="AJ2295" i="1"/>
  <c r="AT2295" i="1" s="1"/>
  <c r="E2385" i="1"/>
  <c r="AQ2384" i="1"/>
  <c r="AR2384" i="1" s="1"/>
  <c r="AS2384" i="1" s="1"/>
  <c r="AC2296" i="1" l="1"/>
  <c r="AF2295" i="1"/>
  <c r="L2297" i="1"/>
  <c r="AJ2296" i="1"/>
  <c r="AT2296" i="1" s="1"/>
  <c r="E2386" i="1"/>
  <c r="AQ2385" i="1"/>
  <c r="AR2385" i="1" s="1"/>
  <c r="AS2385" i="1" s="1"/>
  <c r="AC2297" i="1" l="1"/>
  <c r="AF2296" i="1"/>
  <c r="L2298" i="1"/>
  <c r="AJ2297" i="1"/>
  <c r="AT2297" i="1" s="1"/>
  <c r="E2387" i="1"/>
  <c r="AQ2386" i="1"/>
  <c r="AR2386" i="1" s="1"/>
  <c r="AS2386" i="1" s="1"/>
  <c r="AC2298" i="1" l="1"/>
  <c r="AF2297" i="1"/>
  <c r="L2299" i="1"/>
  <c r="AJ2298" i="1"/>
  <c r="AT2298" i="1" s="1"/>
  <c r="E2388" i="1"/>
  <c r="AQ2387" i="1"/>
  <c r="AR2387" i="1" s="1"/>
  <c r="AS2387" i="1" s="1"/>
  <c r="AC2299" i="1" l="1"/>
  <c r="AF2298" i="1"/>
  <c r="L2300" i="1"/>
  <c r="AJ2299" i="1"/>
  <c r="AT2299" i="1" s="1"/>
  <c r="E2389" i="1"/>
  <c r="AQ2388" i="1"/>
  <c r="AR2388" i="1" s="1"/>
  <c r="AS2388" i="1" s="1"/>
  <c r="AC2300" i="1" l="1"/>
  <c r="AF2299" i="1"/>
  <c r="L2301" i="1"/>
  <c r="AJ2300" i="1"/>
  <c r="AT2300" i="1" s="1"/>
  <c r="E2390" i="1"/>
  <c r="AQ2389" i="1"/>
  <c r="AR2389" i="1" s="1"/>
  <c r="AS2389" i="1" s="1"/>
  <c r="AC2301" i="1" l="1"/>
  <c r="AF2300" i="1"/>
  <c r="L2302" i="1"/>
  <c r="AJ2301" i="1"/>
  <c r="AT2301" i="1" s="1"/>
  <c r="E2391" i="1"/>
  <c r="AQ2390" i="1"/>
  <c r="AR2390" i="1" s="1"/>
  <c r="AS2390" i="1" s="1"/>
  <c r="AC2302" i="1" l="1"/>
  <c r="AF2301" i="1"/>
  <c r="L2303" i="1"/>
  <c r="AJ2302" i="1"/>
  <c r="AT2302" i="1" s="1"/>
  <c r="E2392" i="1"/>
  <c r="AQ2391" i="1"/>
  <c r="AR2391" i="1" s="1"/>
  <c r="AS2391" i="1" s="1"/>
  <c r="AC2303" i="1" l="1"/>
  <c r="AF2302" i="1"/>
  <c r="L2304" i="1"/>
  <c r="AJ2303" i="1"/>
  <c r="AT2303" i="1" s="1"/>
  <c r="E2393" i="1"/>
  <c r="AQ2392" i="1"/>
  <c r="AR2392" i="1" s="1"/>
  <c r="AS2392" i="1" s="1"/>
  <c r="AC2304" i="1" l="1"/>
  <c r="AF2303" i="1"/>
  <c r="L2305" i="1"/>
  <c r="AJ2304" i="1"/>
  <c r="AT2304" i="1" s="1"/>
  <c r="E2394" i="1"/>
  <c r="AQ2393" i="1"/>
  <c r="AR2393" i="1" s="1"/>
  <c r="AS2393" i="1" s="1"/>
  <c r="AC2305" i="1" l="1"/>
  <c r="AF2304" i="1"/>
  <c r="L2306" i="1"/>
  <c r="AJ2305" i="1"/>
  <c r="AT2305" i="1" s="1"/>
  <c r="E2395" i="1"/>
  <c r="AQ2394" i="1"/>
  <c r="AR2394" i="1" s="1"/>
  <c r="AS2394" i="1" s="1"/>
  <c r="AC2306" i="1" l="1"/>
  <c r="AF2305" i="1"/>
  <c r="L2307" i="1"/>
  <c r="AJ2306" i="1"/>
  <c r="AT2306" i="1" s="1"/>
  <c r="E2396" i="1"/>
  <c r="AQ2395" i="1"/>
  <c r="AR2395" i="1" s="1"/>
  <c r="AS2395" i="1" s="1"/>
  <c r="AC2307" i="1" l="1"/>
  <c r="AF2306" i="1"/>
  <c r="L2308" i="1"/>
  <c r="AJ2307" i="1"/>
  <c r="AT2307" i="1" s="1"/>
  <c r="E2397" i="1"/>
  <c r="AQ2396" i="1"/>
  <c r="AR2396" i="1" s="1"/>
  <c r="AS2396" i="1" s="1"/>
  <c r="AC2308" i="1" l="1"/>
  <c r="AF2307" i="1"/>
  <c r="L2309" i="1"/>
  <c r="AJ2308" i="1"/>
  <c r="AT2308" i="1" s="1"/>
  <c r="E2398" i="1"/>
  <c r="AQ2397" i="1"/>
  <c r="AR2397" i="1" s="1"/>
  <c r="AS2397" i="1" s="1"/>
  <c r="AC2309" i="1" l="1"/>
  <c r="AF2308" i="1"/>
  <c r="L2310" i="1"/>
  <c r="AJ2309" i="1"/>
  <c r="AT2309" i="1" s="1"/>
  <c r="E2399" i="1"/>
  <c r="AQ2398" i="1"/>
  <c r="AR2398" i="1" s="1"/>
  <c r="AS2398" i="1" s="1"/>
  <c r="AC2310" i="1" l="1"/>
  <c r="AF2309" i="1"/>
  <c r="L2311" i="1"/>
  <c r="AJ2310" i="1"/>
  <c r="AT2310" i="1" s="1"/>
  <c r="E2400" i="1"/>
  <c r="AQ2399" i="1"/>
  <c r="AR2399" i="1" s="1"/>
  <c r="AS2399" i="1" s="1"/>
  <c r="AC2311" i="1" l="1"/>
  <c r="AF2310" i="1"/>
  <c r="L2312" i="1"/>
  <c r="AJ2311" i="1"/>
  <c r="AT2311" i="1" s="1"/>
  <c r="E2401" i="1"/>
  <c r="AQ2400" i="1"/>
  <c r="AR2400" i="1" s="1"/>
  <c r="AS2400" i="1" s="1"/>
  <c r="AC2312" i="1" l="1"/>
  <c r="AF2311" i="1"/>
  <c r="L2313" i="1"/>
  <c r="AJ2312" i="1"/>
  <c r="AT2312" i="1" s="1"/>
  <c r="E2402" i="1"/>
  <c r="AQ2401" i="1"/>
  <c r="AR2401" i="1" s="1"/>
  <c r="AS2401" i="1" s="1"/>
  <c r="AC2313" i="1" l="1"/>
  <c r="AF2312" i="1"/>
  <c r="L2314" i="1"/>
  <c r="AJ2313" i="1"/>
  <c r="AT2313" i="1" s="1"/>
  <c r="E2403" i="1"/>
  <c r="AQ2402" i="1"/>
  <c r="AR2402" i="1" s="1"/>
  <c r="AS2402" i="1" s="1"/>
  <c r="AC2314" i="1" l="1"/>
  <c r="AF2313" i="1"/>
  <c r="L2315" i="1"/>
  <c r="AJ2314" i="1"/>
  <c r="AT2314" i="1" s="1"/>
  <c r="E2404" i="1"/>
  <c r="AQ2403" i="1"/>
  <c r="AR2403" i="1" s="1"/>
  <c r="AS2403" i="1" s="1"/>
  <c r="AC2315" i="1" l="1"/>
  <c r="AF2314" i="1"/>
  <c r="L2316" i="1"/>
  <c r="AJ2315" i="1"/>
  <c r="AT2315" i="1" s="1"/>
  <c r="E2405" i="1"/>
  <c r="AQ2404" i="1"/>
  <c r="AR2404" i="1" s="1"/>
  <c r="AS2404" i="1" s="1"/>
  <c r="AC2316" i="1" l="1"/>
  <c r="AF2315" i="1"/>
  <c r="L2317" i="1"/>
  <c r="AJ2316" i="1"/>
  <c r="AT2316" i="1" s="1"/>
  <c r="E2406" i="1"/>
  <c r="AQ2405" i="1"/>
  <c r="AR2405" i="1" s="1"/>
  <c r="AS2405" i="1" s="1"/>
  <c r="AC2317" i="1" l="1"/>
  <c r="AF2316" i="1"/>
  <c r="L2318" i="1"/>
  <c r="AJ2317" i="1"/>
  <c r="AT2317" i="1" s="1"/>
  <c r="E2407" i="1"/>
  <c r="AQ2406" i="1"/>
  <c r="AR2406" i="1" s="1"/>
  <c r="AS2406" i="1" s="1"/>
  <c r="AC2318" i="1" l="1"/>
  <c r="AF2317" i="1"/>
  <c r="L2319" i="1"/>
  <c r="AJ2318" i="1"/>
  <c r="AT2318" i="1" s="1"/>
  <c r="E2408" i="1"/>
  <c r="AQ2407" i="1"/>
  <c r="AR2407" i="1" s="1"/>
  <c r="AS2407" i="1" s="1"/>
  <c r="AC2319" i="1" l="1"/>
  <c r="AF2318" i="1"/>
  <c r="L2320" i="1"/>
  <c r="AJ2319" i="1"/>
  <c r="AT2319" i="1" s="1"/>
  <c r="E2409" i="1"/>
  <c r="AQ2408" i="1"/>
  <c r="AR2408" i="1" s="1"/>
  <c r="AS2408" i="1" s="1"/>
  <c r="AC2320" i="1" l="1"/>
  <c r="AF2319" i="1"/>
  <c r="L2321" i="1"/>
  <c r="AJ2320" i="1"/>
  <c r="AT2320" i="1" s="1"/>
  <c r="E2410" i="1"/>
  <c r="AQ2409" i="1"/>
  <c r="AR2409" i="1" s="1"/>
  <c r="AS2409" i="1" s="1"/>
  <c r="AC2321" i="1" l="1"/>
  <c r="AF2320" i="1"/>
  <c r="L2322" i="1"/>
  <c r="AJ2321" i="1"/>
  <c r="AT2321" i="1" s="1"/>
  <c r="E2411" i="1"/>
  <c r="AQ2410" i="1"/>
  <c r="AR2410" i="1" s="1"/>
  <c r="AS2410" i="1" s="1"/>
  <c r="AC2322" i="1" l="1"/>
  <c r="AF2321" i="1"/>
  <c r="L2323" i="1"/>
  <c r="AJ2322" i="1"/>
  <c r="AT2322" i="1" s="1"/>
  <c r="E2412" i="1"/>
  <c r="AQ2411" i="1"/>
  <c r="AR2411" i="1" s="1"/>
  <c r="AS2411" i="1" s="1"/>
  <c r="AC2323" i="1" l="1"/>
  <c r="AF2322" i="1"/>
  <c r="L2324" i="1"/>
  <c r="AJ2323" i="1"/>
  <c r="AT2323" i="1" s="1"/>
  <c r="E2413" i="1"/>
  <c r="AQ2412" i="1"/>
  <c r="AR2412" i="1" s="1"/>
  <c r="AS2412" i="1" s="1"/>
  <c r="AC2324" i="1" l="1"/>
  <c r="AF2323" i="1"/>
  <c r="L2325" i="1"/>
  <c r="AJ2324" i="1"/>
  <c r="AT2324" i="1" s="1"/>
  <c r="E2414" i="1"/>
  <c r="AQ2413" i="1"/>
  <c r="AR2413" i="1" s="1"/>
  <c r="AS2413" i="1" s="1"/>
  <c r="AC2325" i="1" l="1"/>
  <c r="AF2324" i="1"/>
  <c r="L2326" i="1"/>
  <c r="AJ2325" i="1"/>
  <c r="AT2325" i="1" s="1"/>
  <c r="E2415" i="1"/>
  <c r="AQ2414" i="1"/>
  <c r="AR2414" i="1" s="1"/>
  <c r="AS2414" i="1" s="1"/>
  <c r="AC2326" i="1" l="1"/>
  <c r="AF2325" i="1"/>
  <c r="L2327" i="1"/>
  <c r="AJ2326" i="1"/>
  <c r="AT2326" i="1" s="1"/>
  <c r="E2416" i="1"/>
  <c r="AQ2415" i="1"/>
  <c r="AR2415" i="1" s="1"/>
  <c r="AS2415" i="1" s="1"/>
  <c r="AC2327" i="1" l="1"/>
  <c r="AF2326" i="1"/>
  <c r="L2328" i="1"/>
  <c r="AJ2327" i="1"/>
  <c r="AT2327" i="1" s="1"/>
  <c r="E2417" i="1"/>
  <c r="AQ2416" i="1"/>
  <c r="AR2416" i="1" s="1"/>
  <c r="AS2416" i="1" s="1"/>
  <c r="AC2328" i="1" l="1"/>
  <c r="AF2327" i="1"/>
  <c r="L2329" i="1"/>
  <c r="AJ2328" i="1"/>
  <c r="AT2328" i="1" s="1"/>
  <c r="E2418" i="1"/>
  <c r="AQ2417" i="1"/>
  <c r="AR2417" i="1" s="1"/>
  <c r="AS2417" i="1" s="1"/>
  <c r="AC2329" i="1" l="1"/>
  <c r="AF2328" i="1"/>
  <c r="L2330" i="1"/>
  <c r="AJ2329" i="1"/>
  <c r="AT2329" i="1" s="1"/>
  <c r="E2419" i="1"/>
  <c r="AQ2418" i="1"/>
  <c r="AR2418" i="1" s="1"/>
  <c r="AS2418" i="1" s="1"/>
  <c r="AC2330" i="1" l="1"/>
  <c r="AF2329" i="1"/>
  <c r="L2331" i="1"/>
  <c r="AJ2330" i="1"/>
  <c r="AT2330" i="1" s="1"/>
  <c r="E2420" i="1"/>
  <c r="AQ2419" i="1"/>
  <c r="AR2419" i="1" s="1"/>
  <c r="AS2419" i="1" s="1"/>
  <c r="AC2331" i="1" l="1"/>
  <c r="AF2330" i="1"/>
  <c r="L2332" i="1"/>
  <c r="AJ2331" i="1"/>
  <c r="AT2331" i="1" s="1"/>
  <c r="E2421" i="1"/>
  <c r="AQ2420" i="1"/>
  <c r="AR2420" i="1" s="1"/>
  <c r="AS2420" i="1" s="1"/>
  <c r="AC2332" i="1" l="1"/>
  <c r="AF2331" i="1"/>
  <c r="L2333" i="1"/>
  <c r="AJ2332" i="1"/>
  <c r="AT2332" i="1" s="1"/>
  <c r="E2422" i="1"/>
  <c r="AQ2421" i="1"/>
  <c r="AR2421" i="1" s="1"/>
  <c r="AS2421" i="1" s="1"/>
  <c r="AC2333" i="1" l="1"/>
  <c r="AF2332" i="1"/>
  <c r="L2334" i="1"/>
  <c r="AJ2333" i="1"/>
  <c r="E2423" i="1"/>
  <c r="AQ2422" i="1"/>
  <c r="AR2422" i="1" s="1"/>
  <c r="AS2422" i="1" s="1"/>
  <c r="AC2334" i="1" l="1"/>
  <c r="AF2333" i="1"/>
  <c r="L2335" i="1"/>
  <c r="AJ2334" i="1"/>
  <c r="E2424" i="1"/>
  <c r="AQ2423" i="1"/>
  <c r="AR2423" i="1" s="1"/>
  <c r="AS2423" i="1" s="1"/>
  <c r="AC2335" i="1" l="1"/>
  <c r="AF2334" i="1"/>
  <c r="L2336" i="1"/>
  <c r="AJ2335" i="1"/>
  <c r="AT2335" i="1" s="1"/>
  <c r="E2425" i="1"/>
  <c r="AQ2424" i="1"/>
  <c r="AR2424" i="1" s="1"/>
  <c r="AS2424" i="1" s="1"/>
  <c r="AC2336" i="1" l="1"/>
  <c r="AF2335" i="1"/>
  <c r="L2337" i="1"/>
  <c r="AJ2336" i="1"/>
  <c r="AT2336" i="1" s="1"/>
  <c r="E2426" i="1"/>
  <c r="AQ2425" i="1"/>
  <c r="AR2425" i="1" s="1"/>
  <c r="AS2425" i="1" s="1"/>
  <c r="AC2337" i="1" l="1"/>
  <c r="AF2336" i="1"/>
  <c r="L2338" i="1"/>
  <c r="AJ2337" i="1"/>
  <c r="AT2337" i="1" s="1"/>
  <c r="E2427" i="1"/>
  <c r="AQ2426" i="1"/>
  <c r="AR2426" i="1" s="1"/>
  <c r="AS2426" i="1" s="1"/>
  <c r="AC2338" i="1" l="1"/>
  <c r="AF2337" i="1"/>
  <c r="L2339" i="1"/>
  <c r="AJ2338" i="1"/>
  <c r="AT2338" i="1" s="1"/>
  <c r="E2428" i="1"/>
  <c r="AQ2427" i="1"/>
  <c r="AR2427" i="1" s="1"/>
  <c r="AS2427" i="1" s="1"/>
  <c r="AC2339" i="1" l="1"/>
  <c r="AF2338" i="1"/>
  <c r="L2340" i="1"/>
  <c r="AJ2339" i="1"/>
  <c r="AT2339" i="1" s="1"/>
  <c r="E2429" i="1"/>
  <c r="AQ2428" i="1"/>
  <c r="AR2428" i="1" s="1"/>
  <c r="AS2428" i="1" s="1"/>
  <c r="AC2340" i="1" l="1"/>
  <c r="AF2339" i="1"/>
  <c r="L2341" i="1"/>
  <c r="AJ2340" i="1"/>
  <c r="AT2340" i="1" s="1"/>
  <c r="E2430" i="1"/>
  <c r="AQ2429" i="1"/>
  <c r="AR2429" i="1" s="1"/>
  <c r="AS2429" i="1" s="1"/>
  <c r="AC2341" i="1" l="1"/>
  <c r="AF2340" i="1"/>
  <c r="L2342" i="1"/>
  <c r="AJ2341" i="1"/>
  <c r="AT2341" i="1" s="1"/>
  <c r="E2431" i="1"/>
  <c r="AQ2430" i="1"/>
  <c r="AC2342" i="1" l="1"/>
  <c r="AF2341" i="1"/>
  <c r="L2343" i="1"/>
  <c r="AJ2342" i="1"/>
  <c r="AT2342" i="1" s="1"/>
  <c r="E2432" i="1"/>
  <c r="AQ2431" i="1"/>
  <c r="AC2343" i="1" l="1"/>
  <c r="AF2342" i="1"/>
  <c r="L2344" i="1"/>
  <c r="AJ2343" i="1"/>
  <c r="AT2343" i="1" s="1"/>
  <c r="E2433" i="1"/>
  <c r="AQ2432" i="1"/>
  <c r="AC2344" i="1" l="1"/>
  <c r="AF2343" i="1"/>
  <c r="L2345" i="1"/>
  <c r="AJ2344" i="1"/>
  <c r="AT2344" i="1" s="1"/>
  <c r="E2434" i="1"/>
  <c r="AQ2433" i="1"/>
  <c r="AC2345" i="1" l="1"/>
  <c r="AF2344" i="1"/>
  <c r="L2346" i="1"/>
  <c r="AJ2345" i="1"/>
  <c r="AT2345" i="1" s="1"/>
  <c r="E2435" i="1"/>
  <c r="AQ2434" i="1"/>
  <c r="AC2346" i="1" l="1"/>
  <c r="AF2345" i="1"/>
  <c r="L2347" i="1"/>
  <c r="AJ2346" i="1"/>
  <c r="AT2346" i="1" s="1"/>
  <c r="E2436" i="1"/>
  <c r="AQ2435" i="1"/>
  <c r="AC2347" i="1" l="1"/>
  <c r="AF2346" i="1"/>
  <c r="L2348" i="1"/>
  <c r="AJ2347" i="1"/>
  <c r="AT2347" i="1" s="1"/>
  <c r="E2437" i="1"/>
  <c r="AQ2436" i="1"/>
  <c r="AC2348" i="1" l="1"/>
  <c r="AF2347" i="1"/>
  <c r="L2349" i="1"/>
  <c r="AJ2348" i="1"/>
  <c r="AT2348" i="1" s="1"/>
  <c r="E2438" i="1"/>
  <c r="AQ2437" i="1"/>
  <c r="AC2349" i="1" l="1"/>
  <c r="AF2348" i="1"/>
  <c r="L2350" i="1"/>
  <c r="AJ2349" i="1"/>
  <c r="AT2349" i="1" s="1"/>
  <c r="E2439" i="1"/>
  <c r="AQ2438" i="1"/>
  <c r="AC2350" i="1" l="1"/>
  <c r="AF2349" i="1"/>
  <c r="L2351" i="1"/>
  <c r="AJ2350" i="1"/>
  <c r="AT2350" i="1" s="1"/>
  <c r="E2440" i="1"/>
  <c r="AQ2439" i="1"/>
  <c r="AC2351" i="1" l="1"/>
  <c r="AF2350" i="1"/>
  <c r="L2352" i="1"/>
  <c r="AJ2351" i="1"/>
  <c r="AT2351" i="1" s="1"/>
  <c r="E2441" i="1"/>
  <c r="AQ2440" i="1"/>
  <c r="AC2352" i="1" l="1"/>
  <c r="AF2351" i="1"/>
  <c r="L2353" i="1"/>
  <c r="AJ2352" i="1"/>
  <c r="AT2352" i="1" s="1"/>
  <c r="E2442" i="1"/>
  <c r="AQ2441" i="1"/>
  <c r="AC2353" i="1" l="1"/>
  <c r="AF2352" i="1"/>
  <c r="L2354" i="1"/>
  <c r="AJ2353" i="1"/>
  <c r="AT2353" i="1" s="1"/>
  <c r="E2443" i="1"/>
  <c r="AQ2442" i="1"/>
  <c r="AC2354" i="1" l="1"/>
  <c r="AF2353" i="1"/>
  <c r="L2355" i="1"/>
  <c r="AJ2354" i="1"/>
  <c r="AT2354" i="1" s="1"/>
  <c r="E2444" i="1"/>
  <c r="AQ2443" i="1"/>
  <c r="AC2355" i="1" l="1"/>
  <c r="AF2354" i="1"/>
  <c r="L2356" i="1"/>
  <c r="AJ2355" i="1"/>
  <c r="AT2355" i="1" s="1"/>
  <c r="E2445" i="1"/>
  <c r="AQ2444" i="1"/>
  <c r="AC2356" i="1" l="1"/>
  <c r="AF2355" i="1"/>
  <c r="L2357" i="1"/>
  <c r="AJ2356" i="1"/>
  <c r="AT2356" i="1" s="1"/>
  <c r="E2446" i="1"/>
  <c r="AQ2445" i="1"/>
  <c r="AC2357" i="1" l="1"/>
  <c r="AF2356" i="1"/>
  <c r="L2358" i="1"/>
  <c r="AJ2357" i="1"/>
  <c r="AT2357" i="1" s="1"/>
  <c r="E2447" i="1"/>
  <c r="AQ2446" i="1"/>
  <c r="AC2358" i="1" l="1"/>
  <c r="AF2357" i="1"/>
  <c r="L2359" i="1"/>
  <c r="AJ2358" i="1"/>
  <c r="AT2358" i="1" s="1"/>
  <c r="E2448" i="1"/>
  <c r="AQ2447" i="1"/>
  <c r="AC2359" i="1" l="1"/>
  <c r="AF2358" i="1"/>
  <c r="L2360" i="1"/>
  <c r="AJ2359" i="1"/>
  <c r="AT2359" i="1" s="1"/>
  <c r="E2449" i="1"/>
  <c r="AQ2448" i="1"/>
  <c r="AC2360" i="1" l="1"/>
  <c r="AF2359" i="1"/>
  <c r="L2361" i="1"/>
  <c r="AJ2360" i="1"/>
  <c r="AT2360" i="1" s="1"/>
  <c r="E2450" i="1"/>
  <c r="AQ2449" i="1"/>
  <c r="AC2361" i="1" l="1"/>
  <c r="AF2360" i="1"/>
  <c r="L2362" i="1"/>
  <c r="AJ2361" i="1"/>
  <c r="AT2361" i="1" s="1"/>
  <c r="E2451" i="1"/>
  <c r="AQ2450" i="1"/>
  <c r="AC2362" i="1" l="1"/>
  <c r="AF2361" i="1"/>
  <c r="L2363" i="1"/>
  <c r="AJ2362" i="1"/>
  <c r="AT2362" i="1" s="1"/>
  <c r="E2452" i="1"/>
  <c r="AQ2451" i="1"/>
  <c r="AC2363" i="1" l="1"/>
  <c r="AF2362" i="1"/>
  <c r="L2364" i="1"/>
  <c r="AJ2363" i="1"/>
  <c r="AT2363" i="1" s="1"/>
  <c r="E2453" i="1"/>
  <c r="AQ2452" i="1"/>
  <c r="AC2364" i="1" l="1"/>
  <c r="AF2363" i="1"/>
  <c r="L2365" i="1"/>
  <c r="AJ2364" i="1"/>
  <c r="AT2364" i="1" s="1"/>
  <c r="E2454" i="1"/>
  <c r="AQ2453" i="1"/>
  <c r="AC2365" i="1" l="1"/>
  <c r="AF2364" i="1"/>
  <c r="L2366" i="1"/>
  <c r="AJ2365" i="1"/>
  <c r="AT2365" i="1" s="1"/>
  <c r="E2455" i="1"/>
  <c r="AQ2454" i="1"/>
  <c r="AC2366" i="1" l="1"/>
  <c r="AF2365" i="1"/>
  <c r="L2367" i="1"/>
  <c r="AJ2366" i="1"/>
  <c r="AT2366" i="1" s="1"/>
  <c r="E2456" i="1"/>
  <c r="AQ2455" i="1"/>
  <c r="AC2367" i="1" l="1"/>
  <c r="AF2366" i="1"/>
  <c r="L2368" i="1"/>
  <c r="AJ2367" i="1"/>
  <c r="AT2367" i="1" s="1"/>
  <c r="E2457" i="1"/>
  <c r="AQ2456" i="1"/>
  <c r="AC2368" i="1" l="1"/>
  <c r="AF2367" i="1"/>
  <c r="L2369" i="1"/>
  <c r="AJ2368" i="1"/>
  <c r="AT2368" i="1" s="1"/>
  <c r="E2458" i="1"/>
  <c r="AQ2457" i="1"/>
  <c r="AC2369" i="1" l="1"/>
  <c r="AF2368" i="1"/>
  <c r="L2370" i="1"/>
  <c r="AJ2369" i="1"/>
  <c r="AT2369" i="1" s="1"/>
  <c r="E2459" i="1"/>
  <c r="AQ2458" i="1"/>
  <c r="AC2370" i="1" l="1"/>
  <c r="AF2369" i="1"/>
  <c r="L2371" i="1"/>
  <c r="AJ2370" i="1"/>
  <c r="AT2370" i="1" s="1"/>
  <c r="E2460" i="1"/>
  <c r="AQ2459" i="1"/>
  <c r="AC2371" i="1" l="1"/>
  <c r="AF2370" i="1"/>
  <c r="L2372" i="1"/>
  <c r="AJ2371" i="1"/>
  <c r="AT2371" i="1" s="1"/>
  <c r="E2461" i="1"/>
  <c r="AQ2460" i="1"/>
  <c r="AC2372" i="1" l="1"/>
  <c r="AF2371" i="1"/>
  <c r="L2373" i="1"/>
  <c r="AJ2372" i="1"/>
  <c r="AT2372" i="1" s="1"/>
  <c r="E2462" i="1"/>
  <c r="AQ2461" i="1"/>
  <c r="AC2373" i="1" l="1"/>
  <c r="AF2372" i="1"/>
  <c r="L2374" i="1"/>
  <c r="AJ2373" i="1"/>
  <c r="AT2373" i="1" s="1"/>
  <c r="E2463" i="1"/>
  <c r="AQ2462" i="1"/>
  <c r="AC2374" i="1" l="1"/>
  <c r="AF2373" i="1"/>
  <c r="L2375" i="1"/>
  <c r="AJ2374" i="1"/>
  <c r="AT2374" i="1" s="1"/>
  <c r="E2464" i="1"/>
  <c r="AQ2463" i="1"/>
  <c r="AC2375" i="1" l="1"/>
  <c r="AF2374" i="1"/>
  <c r="L2376" i="1"/>
  <c r="AJ2375" i="1"/>
  <c r="AT2375" i="1" s="1"/>
  <c r="E2465" i="1"/>
  <c r="AQ2464" i="1"/>
  <c r="AC2376" i="1" l="1"/>
  <c r="AF2375" i="1"/>
  <c r="L2377" i="1"/>
  <c r="AJ2376" i="1"/>
  <c r="AT2376" i="1" s="1"/>
  <c r="E2466" i="1"/>
  <c r="AQ2465" i="1"/>
  <c r="AC2377" i="1" l="1"/>
  <c r="AF2376" i="1"/>
  <c r="L2378" i="1"/>
  <c r="AJ2377" i="1"/>
  <c r="AT2377" i="1" s="1"/>
  <c r="E2467" i="1"/>
  <c r="AQ2466" i="1"/>
  <c r="AC2378" i="1" l="1"/>
  <c r="AF2377" i="1"/>
  <c r="L2379" i="1"/>
  <c r="AJ2378" i="1"/>
  <c r="AT2378" i="1" s="1"/>
  <c r="E2468" i="1"/>
  <c r="AQ2467" i="1"/>
  <c r="AC2379" i="1" l="1"/>
  <c r="AF2378" i="1"/>
  <c r="L2380" i="1"/>
  <c r="AJ2379" i="1"/>
  <c r="AT2379" i="1" s="1"/>
  <c r="E2469" i="1"/>
  <c r="AQ2468" i="1"/>
  <c r="AC2380" i="1" l="1"/>
  <c r="AF2379" i="1"/>
  <c r="L2381" i="1"/>
  <c r="AJ2380" i="1"/>
  <c r="AT2380" i="1" s="1"/>
  <c r="E2470" i="1"/>
  <c r="AQ2469" i="1"/>
  <c r="AC2381" i="1" l="1"/>
  <c r="AF2380" i="1"/>
  <c r="L2382" i="1"/>
  <c r="AJ2381" i="1"/>
  <c r="AT2381" i="1" s="1"/>
  <c r="E2471" i="1"/>
  <c r="AQ2470" i="1"/>
  <c r="AC2382" i="1" l="1"/>
  <c r="AF2381" i="1"/>
  <c r="L2383" i="1"/>
  <c r="AJ2382" i="1"/>
  <c r="AT2382" i="1" s="1"/>
  <c r="E2472" i="1"/>
  <c r="AQ2471" i="1"/>
  <c r="AC2383" i="1" l="1"/>
  <c r="AF2382" i="1"/>
  <c r="L2384" i="1"/>
  <c r="AJ2383" i="1"/>
  <c r="AT2383" i="1" s="1"/>
  <c r="E2473" i="1"/>
  <c r="AQ2472" i="1"/>
  <c r="AC2384" i="1" l="1"/>
  <c r="AF2383" i="1"/>
  <c r="L2385" i="1"/>
  <c r="AJ2384" i="1"/>
  <c r="E2474" i="1"/>
  <c r="AQ2473" i="1"/>
  <c r="AC2385" i="1" l="1"/>
  <c r="AF2384" i="1"/>
  <c r="AP2548" i="1"/>
  <c r="AP2531" i="1"/>
  <c r="AP2625" i="1"/>
  <c r="AP2618" i="1"/>
  <c r="AP2613" i="1"/>
  <c r="AP2627" i="1"/>
  <c r="AP2574" i="1"/>
  <c r="AP2541" i="1"/>
  <c r="AP2583" i="1"/>
  <c r="AP2595" i="1"/>
  <c r="AP2610" i="1"/>
  <c r="AP2611" i="1"/>
  <c r="AP2584" i="1"/>
  <c r="AP2547" i="1"/>
  <c r="AP2560" i="1"/>
  <c r="AP2557" i="1"/>
  <c r="AP2542" i="1"/>
  <c r="AP2597" i="1"/>
  <c r="AP2537" i="1"/>
  <c r="AP2596" i="1"/>
  <c r="AP2638" i="1"/>
  <c r="AP2569" i="1"/>
  <c r="AP2549" i="1"/>
  <c r="AP2540" i="1"/>
  <c r="AP2578" i="1"/>
  <c r="AP2538" i="1"/>
  <c r="AP2546" i="1"/>
  <c r="AP2632" i="1"/>
  <c r="AP2545" i="1"/>
  <c r="AP2598" i="1"/>
  <c r="AP2636" i="1"/>
  <c r="AP2572" i="1"/>
  <c r="AP2582" i="1"/>
  <c r="AP2633" i="1"/>
  <c r="AP2606" i="1"/>
  <c r="AP2562" i="1"/>
  <c r="AP2626" i="1"/>
  <c r="AP2634" i="1"/>
  <c r="AP2605" i="1"/>
  <c r="AP2561" i="1"/>
  <c r="AP2635" i="1"/>
  <c r="AP2567" i="1"/>
  <c r="AP2553" i="1"/>
  <c r="AP2543" i="1"/>
  <c r="AP2614" i="1"/>
  <c r="AP2534" i="1"/>
  <c r="AP2603" i="1"/>
  <c r="AP2628" i="1"/>
  <c r="AP2566" i="1"/>
  <c r="AP2617" i="1"/>
  <c r="AP2624" i="1"/>
  <c r="AP2629" i="1"/>
  <c r="AP2555" i="1"/>
  <c r="AP2609" i="1"/>
  <c r="AP2591" i="1"/>
  <c r="AP2559" i="1"/>
  <c r="AP2630" i="1"/>
  <c r="AP2622" i="1"/>
  <c r="AP2592" i="1"/>
  <c r="AP2550" i="1"/>
  <c r="AP2589" i="1"/>
  <c r="AP2563" i="1"/>
  <c r="AP2590" i="1"/>
  <c r="AP2539" i="1"/>
  <c r="AP2602" i="1"/>
  <c r="AP2612" i="1"/>
  <c r="AP2619" i="1"/>
  <c r="AP2565" i="1"/>
  <c r="AP2608" i="1"/>
  <c r="AP2575" i="1"/>
  <c r="AP2568" i="1"/>
  <c r="AP2615" i="1"/>
  <c r="AP2621" i="1"/>
  <c r="AP2551" i="1"/>
  <c r="AP2533" i="1"/>
  <c r="AP2576" i="1"/>
  <c r="AP2577" i="1"/>
  <c r="AP2604" i="1"/>
  <c r="AP2631" i="1"/>
  <c r="AP2544" i="1"/>
  <c r="AP2571" i="1"/>
  <c r="AP2556" i="1"/>
  <c r="AP2570" i="1"/>
  <c r="AP2530" i="1"/>
  <c r="AP2623" i="1"/>
  <c r="AP2593" i="1"/>
  <c r="AP2587" i="1"/>
  <c r="AP2554" i="1"/>
  <c r="AP2580" i="1"/>
  <c r="AP2558" i="1"/>
  <c r="AP2599" i="1"/>
  <c r="AP2581" i="1"/>
  <c r="AP2564" i="1"/>
  <c r="AP2579" i="1"/>
  <c r="AP2585" i="1"/>
  <c r="AP2532" i="1"/>
  <c r="AP2600" i="1"/>
  <c r="AP2536" i="1"/>
  <c r="AP2637" i="1"/>
  <c r="AP2601" i="1"/>
  <c r="AP2607" i="1"/>
  <c r="AP2620" i="1"/>
  <c r="AP2552" i="1"/>
  <c r="AP2616" i="1"/>
  <c r="AP2535" i="1"/>
  <c r="AP2594" i="1"/>
  <c r="AP2586" i="1"/>
  <c r="AP2529" i="1"/>
  <c r="AP2573" i="1"/>
  <c r="AP2588" i="1"/>
  <c r="AT2384" i="1"/>
  <c r="L2386" i="1"/>
  <c r="AJ2385" i="1"/>
  <c r="AT2385" i="1" s="1"/>
  <c r="E2475" i="1"/>
  <c r="AQ2474" i="1"/>
  <c r="AC2386" i="1" l="1"/>
  <c r="AF2385" i="1"/>
  <c r="L2387" i="1"/>
  <c r="AJ2386" i="1"/>
  <c r="AT2386" i="1" s="1"/>
  <c r="E2476" i="1"/>
  <c r="AQ2475" i="1"/>
  <c r="AC2387" i="1" l="1"/>
  <c r="AF2386" i="1"/>
  <c r="L2388" i="1"/>
  <c r="AJ2387" i="1"/>
  <c r="AT2387" i="1" s="1"/>
  <c r="E2477" i="1"/>
  <c r="AQ2476" i="1"/>
  <c r="AC2388" i="1" l="1"/>
  <c r="AF2387" i="1"/>
  <c r="L2389" i="1"/>
  <c r="AJ2388" i="1"/>
  <c r="AT2388" i="1" s="1"/>
  <c r="E2478" i="1"/>
  <c r="AQ2477" i="1"/>
  <c r="AC2389" i="1" l="1"/>
  <c r="AF2388" i="1"/>
  <c r="L2390" i="1"/>
  <c r="AJ2389" i="1"/>
  <c r="AT2389" i="1" s="1"/>
  <c r="E2479" i="1"/>
  <c r="AQ2478" i="1"/>
  <c r="AC2390" i="1" l="1"/>
  <c r="AF2389" i="1"/>
  <c r="L2391" i="1"/>
  <c r="AJ2390" i="1"/>
  <c r="AT2390" i="1" s="1"/>
  <c r="E2480" i="1"/>
  <c r="AQ2479" i="1"/>
  <c r="AC2391" i="1" l="1"/>
  <c r="AF2390" i="1"/>
  <c r="L2392" i="1"/>
  <c r="AJ2391" i="1"/>
  <c r="AT2391" i="1" s="1"/>
  <c r="E2481" i="1"/>
  <c r="AQ2480" i="1"/>
  <c r="AC2392" i="1" l="1"/>
  <c r="AF2391" i="1"/>
  <c r="L2393" i="1"/>
  <c r="AJ2392" i="1"/>
  <c r="AT2392" i="1" s="1"/>
  <c r="E2482" i="1"/>
  <c r="AQ2481" i="1"/>
  <c r="AC2393" i="1" l="1"/>
  <c r="AF2392" i="1"/>
  <c r="L2394" i="1"/>
  <c r="AJ2393" i="1"/>
  <c r="AT2393" i="1" s="1"/>
  <c r="E2483" i="1"/>
  <c r="AQ2482" i="1"/>
  <c r="AC2394" i="1" l="1"/>
  <c r="AF2393" i="1"/>
  <c r="L2395" i="1"/>
  <c r="AJ2394" i="1"/>
  <c r="AT2394" i="1" s="1"/>
  <c r="E2484" i="1"/>
  <c r="AQ2483" i="1"/>
  <c r="AC2395" i="1" l="1"/>
  <c r="AF2394" i="1"/>
  <c r="L2396" i="1"/>
  <c r="AJ2395" i="1"/>
  <c r="AT2395" i="1" s="1"/>
  <c r="E2485" i="1"/>
  <c r="AQ2484" i="1"/>
  <c r="AC2396" i="1" l="1"/>
  <c r="AF2395" i="1"/>
  <c r="L2397" i="1"/>
  <c r="AJ2396" i="1"/>
  <c r="AT2396" i="1" s="1"/>
  <c r="E2486" i="1"/>
  <c r="AQ2485" i="1"/>
  <c r="AC2397" i="1" l="1"/>
  <c r="AF2396" i="1"/>
  <c r="L2398" i="1"/>
  <c r="AJ2397" i="1"/>
  <c r="AT2397" i="1" s="1"/>
  <c r="E2487" i="1"/>
  <c r="AQ2486" i="1"/>
  <c r="AC2398" i="1" l="1"/>
  <c r="AF2397" i="1"/>
  <c r="L2399" i="1"/>
  <c r="AJ2398" i="1"/>
  <c r="AT2398" i="1" s="1"/>
  <c r="E2488" i="1"/>
  <c r="AQ2487" i="1"/>
  <c r="AC2399" i="1" l="1"/>
  <c r="AF2398" i="1"/>
  <c r="L2400" i="1"/>
  <c r="AJ2399" i="1"/>
  <c r="AT2399" i="1" s="1"/>
  <c r="E2489" i="1"/>
  <c r="AQ2488" i="1"/>
  <c r="AC2400" i="1" l="1"/>
  <c r="AF2399" i="1"/>
  <c r="L2401" i="1"/>
  <c r="AJ2400" i="1"/>
  <c r="AT2400" i="1" s="1"/>
  <c r="E2490" i="1"/>
  <c r="AQ2489" i="1"/>
  <c r="AC2401" i="1" l="1"/>
  <c r="AF2400" i="1"/>
  <c r="L2402" i="1"/>
  <c r="AJ2401" i="1"/>
  <c r="AT2401" i="1" s="1"/>
  <c r="E2491" i="1"/>
  <c r="AQ2490" i="1"/>
  <c r="AC2402" i="1" l="1"/>
  <c r="AF2401" i="1"/>
  <c r="L2403" i="1"/>
  <c r="AJ2402" i="1"/>
  <c r="AT2402" i="1" s="1"/>
  <c r="E2492" i="1"/>
  <c r="AQ2491" i="1"/>
  <c r="AC2403" i="1" l="1"/>
  <c r="AF2402" i="1"/>
  <c r="L2404" i="1"/>
  <c r="AJ2403" i="1"/>
  <c r="AT2403" i="1" s="1"/>
  <c r="E2493" i="1"/>
  <c r="AQ2492" i="1"/>
  <c r="AC2404" i="1" l="1"/>
  <c r="AF2403" i="1"/>
  <c r="L2405" i="1"/>
  <c r="AJ2404" i="1"/>
  <c r="AT2404" i="1" s="1"/>
  <c r="E2494" i="1"/>
  <c r="AQ2493" i="1"/>
  <c r="AC2405" i="1" l="1"/>
  <c r="AF2404" i="1"/>
  <c r="L2406" i="1"/>
  <c r="AJ2405" i="1"/>
  <c r="AT2405" i="1" s="1"/>
  <c r="E2495" i="1"/>
  <c r="AQ2494" i="1"/>
  <c r="AC2406" i="1" l="1"/>
  <c r="AF2405" i="1"/>
  <c r="L2407" i="1"/>
  <c r="AJ2406" i="1"/>
  <c r="AT2406" i="1" s="1"/>
  <c r="E2496" i="1"/>
  <c r="AQ2495" i="1"/>
  <c r="AC2407" i="1" l="1"/>
  <c r="AF2406" i="1"/>
  <c r="L2408" i="1"/>
  <c r="AJ2407" i="1"/>
  <c r="AT2407" i="1" s="1"/>
  <c r="E2497" i="1"/>
  <c r="AQ2496" i="1"/>
  <c r="AC2408" i="1" l="1"/>
  <c r="AF2407" i="1"/>
  <c r="L2409" i="1"/>
  <c r="AJ2408" i="1"/>
  <c r="AT2408" i="1" s="1"/>
  <c r="E2498" i="1"/>
  <c r="AQ2497" i="1"/>
  <c r="AC2409" i="1" l="1"/>
  <c r="AF2408" i="1"/>
  <c r="L2410" i="1"/>
  <c r="AJ2409" i="1"/>
  <c r="AT2409" i="1" s="1"/>
  <c r="E2499" i="1"/>
  <c r="AQ2498" i="1"/>
  <c r="AC2410" i="1" l="1"/>
  <c r="AF2409" i="1"/>
  <c r="L2411" i="1"/>
  <c r="AJ2410" i="1"/>
  <c r="AT2410" i="1" s="1"/>
  <c r="E2500" i="1"/>
  <c r="AQ2499" i="1"/>
  <c r="AC2411" i="1" l="1"/>
  <c r="AF2410" i="1"/>
  <c r="L2412" i="1"/>
  <c r="AJ2411" i="1"/>
  <c r="AT2411" i="1" s="1"/>
  <c r="E2501" i="1"/>
  <c r="AQ2500" i="1"/>
  <c r="AC2412" i="1" l="1"/>
  <c r="AF2411" i="1"/>
  <c r="L2413" i="1"/>
  <c r="AJ2412" i="1"/>
  <c r="AT2412" i="1" s="1"/>
  <c r="E2502" i="1"/>
  <c r="AQ2501" i="1"/>
  <c r="AC2413" i="1" l="1"/>
  <c r="AF2412" i="1"/>
  <c r="L2414" i="1"/>
  <c r="AJ2413" i="1"/>
  <c r="AT2413" i="1" s="1"/>
  <c r="E2503" i="1"/>
  <c r="AQ2502" i="1"/>
  <c r="AC2414" i="1" l="1"/>
  <c r="AF2413" i="1"/>
  <c r="L2415" i="1"/>
  <c r="AJ2414" i="1"/>
  <c r="AT2414" i="1" s="1"/>
  <c r="E2504" i="1"/>
  <c r="AQ2503" i="1"/>
  <c r="AC2415" i="1" l="1"/>
  <c r="AF2414" i="1"/>
  <c r="L2416" i="1"/>
  <c r="AJ2415" i="1"/>
  <c r="AT2415" i="1" s="1"/>
  <c r="E2505" i="1"/>
  <c r="AQ2504" i="1"/>
  <c r="AC2416" i="1" l="1"/>
  <c r="AF2415" i="1"/>
  <c r="L2417" i="1"/>
  <c r="AJ2416" i="1"/>
  <c r="AT2416" i="1" s="1"/>
  <c r="E2506" i="1"/>
  <c r="AQ2505" i="1"/>
  <c r="AC2417" i="1" l="1"/>
  <c r="AF2416" i="1"/>
  <c r="L2418" i="1"/>
  <c r="AJ2417" i="1"/>
  <c r="AT2417" i="1" s="1"/>
  <c r="E2507" i="1"/>
  <c r="AQ2506" i="1"/>
  <c r="AC2418" i="1" l="1"/>
  <c r="AF2417" i="1"/>
  <c r="L2419" i="1"/>
  <c r="AJ2418" i="1"/>
  <c r="AT2418" i="1" s="1"/>
  <c r="E2508" i="1"/>
  <c r="AQ2507" i="1"/>
  <c r="AC2419" i="1" l="1"/>
  <c r="AF2418" i="1"/>
  <c r="L2420" i="1"/>
  <c r="AJ2419" i="1"/>
  <c r="AT2419" i="1" s="1"/>
  <c r="E2509" i="1"/>
  <c r="AQ2508" i="1"/>
  <c r="AC2420" i="1" l="1"/>
  <c r="AF2419" i="1"/>
  <c r="L2421" i="1"/>
  <c r="AJ2420" i="1"/>
  <c r="AT2420" i="1" s="1"/>
  <c r="E2510" i="1"/>
  <c r="AQ2509" i="1"/>
  <c r="AC2421" i="1" l="1"/>
  <c r="AF2420" i="1"/>
  <c r="L2422" i="1"/>
  <c r="AJ2421" i="1"/>
  <c r="AT2421" i="1" s="1"/>
  <c r="E2511" i="1"/>
  <c r="AQ2510" i="1"/>
  <c r="AC2422" i="1" l="1"/>
  <c r="AF2421" i="1"/>
  <c r="L2423" i="1"/>
  <c r="AJ2422" i="1"/>
  <c r="AT2422" i="1" s="1"/>
  <c r="E2512" i="1"/>
  <c r="AQ2511" i="1"/>
  <c r="AC2423" i="1" l="1"/>
  <c r="AF2422" i="1"/>
  <c r="L2424" i="1"/>
  <c r="AJ2423" i="1"/>
  <c r="AT2423" i="1" s="1"/>
  <c r="E2513" i="1"/>
  <c r="AQ2512" i="1"/>
  <c r="AC2424" i="1" l="1"/>
  <c r="AF2423" i="1"/>
  <c r="L2425" i="1"/>
  <c r="AJ2424" i="1"/>
  <c r="AT2424" i="1" s="1"/>
  <c r="E2514" i="1"/>
  <c r="AQ2513" i="1"/>
  <c r="AC2425" i="1" l="1"/>
  <c r="AF2424" i="1"/>
  <c r="L2426" i="1"/>
  <c r="AJ2425" i="1"/>
  <c r="AT2425" i="1" s="1"/>
  <c r="E2515" i="1"/>
  <c r="AQ2514" i="1"/>
  <c r="AC2426" i="1" l="1"/>
  <c r="AF2425" i="1"/>
  <c r="L2427" i="1"/>
  <c r="AJ2426" i="1"/>
  <c r="AT2426" i="1" s="1"/>
  <c r="E2516" i="1"/>
  <c r="AQ2515" i="1"/>
  <c r="AC2427" i="1" l="1"/>
  <c r="AF2426" i="1"/>
  <c r="L2428" i="1"/>
  <c r="AJ2427" i="1"/>
  <c r="AT2427" i="1" s="1"/>
  <c r="E2517" i="1"/>
  <c r="AQ2516" i="1"/>
  <c r="AC2428" i="1" l="1"/>
  <c r="AF2427" i="1"/>
  <c r="L2429" i="1"/>
  <c r="AJ2428" i="1"/>
  <c r="AT2428" i="1" s="1"/>
  <c r="E2518" i="1"/>
  <c r="AQ2517" i="1"/>
  <c r="AC2429" i="1" l="1"/>
  <c r="AF2428" i="1"/>
  <c r="L2430" i="1"/>
  <c r="AJ2429" i="1"/>
  <c r="AT2429" i="1" s="1"/>
  <c r="E2519" i="1"/>
  <c r="AQ2518" i="1"/>
  <c r="AC2430" i="1" l="1"/>
  <c r="AF2429" i="1"/>
  <c r="L2431" i="1"/>
  <c r="AJ2430" i="1"/>
  <c r="E2520" i="1"/>
  <c r="AQ2519" i="1"/>
  <c r="AC2431" i="1" l="1"/>
  <c r="AF2430" i="1"/>
  <c r="L2432" i="1"/>
  <c r="AJ2431" i="1"/>
  <c r="E2521" i="1"/>
  <c r="AQ2520" i="1"/>
  <c r="AC2432" i="1" l="1"/>
  <c r="AF2431" i="1"/>
  <c r="L2433" i="1"/>
  <c r="AJ2432" i="1"/>
  <c r="E2522" i="1"/>
  <c r="AQ2521" i="1"/>
  <c r="AC2433" i="1" l="1"/>
  <c r="AF2432" i="1"/>
  <c r="L2434" i="1"/>
  <c r="AJ2433" i="1"/>
  <c r="E2523" i="1"/>
  <c r="AQ2522" i="1"/>
  <c r="AC2434" i="1" l="1"/>
  <c r="AF2433" i="1"/>
  <c r="L2435" i="1"/>
  <c r="AJ2434" i="1"/>
  <c r="E2524" i="1"/>
  <c r="AQ2523" i="1"/>
  <c r="AC2435" i="1" l="1"/>
  <c r="AF2434" i="1"/>
  <c r="L2436" i="1"/>
  <c r="AJ2435" i="1"/>
  <c r="E2525" i="1"/>
  <c r="AQ2524" i="1"/>
  <c r="AC2436" i="1" l="1"/>
  <c r="AF2435" i="1"/>
  <c r="L2437" i="1"/>
  <c r="AJ2436" i="1"/>
  <c r="E2526" i="1"/>
  <c r="AQ2525" i="1"/>
  <c r="AC2437" i="1" l="1"/>
  <c r="AF2436" i="1"/>
  <c r="L2438" i="1"/>
  <c r="AJ2437" i="1"/>
  <c r="E2527" i="1"/>
  <c r="AQ2526" i="1"/>
  <c r="AC2438" i="1" l="1"/>
  <c r="AF2437" i="1"/>
  <c r="L2439" i="1"/>
  <c r="AJ2438" i="1"/>
  <c r="E2528" i="1"/>
  <c r="AQ2527" i="1"/>
  <c r="AC2439" i="1" l="1"/>
  <c r="AF2438" i="1"/>
  <c r="L2440" i="1"/>
  <c r="AJ2439" i="1"/>
  <c r="E2529" i="1"/>
  <c r="AQ2528" i="1"/>
  <c r="AC2440" i="1" l="1"/>
  <c r="AF2439" i="1"/>
  <c r="L2441" i="1"/>
  <c r="AJ2440" i="1"/>
  <c r="E2530" i="1"/>
  <c r="AQ2529" i="1"/>
  <c r="AC2441" i="1" l="1"/>
  <c r="AF2440" i="1"/>
  <c r="L2442" i="1"/>
  <c r="AJ2441" i="1"/>
  <c r="E2531" i="1"/>
  <c r="AQ2530" i="1"/>
  <c r="AC2442" i="1" l="1"/>
  <c r="AF2441" i="1"/>
  <c r="L2443" i="1"/>
  <c r="AJ2442" i="1"/>
  <c r="E2532" i="1"/>
  <c r="AQ2531" i="1"/>
  <c r="AC2443" i="1" l="1"/>
  <c r="AF2442" i="1"/>
  <c r="L2444" i="1"/>
  <c r="AJ2443" i="1"/>
  <c r="E2533" i="1"/>
  <c r="AQ2532" i="1"/>
  <c r="AC2444" i="1" l="1"/>
  <c r="AF2443" i="1"/>
  <c r="L2445" i="1"/>
  <c r="AJ2444" i="1"/>
  <c r="E2534" i="1"/>
  <c r="AQ2533" i="1"/>
  <c r="AC2445" i="1" l="1"/>
  <c r="AF2444" i="1"/>
  <c r="L2446" i="1"/>
  <c r="AJ2445" i="1"/>
  <c r="E2535" i="1"/>
  <c r="AQ2534" i="1"/>
  <c r="AC2446" i="1" l="1"/>
  <c r="AF2445" i="1"/>
  <c r="L2447" i="1"/>
  <c r="AJ2446" i="1"/>
  <c r="AQ2535" i="1"/>
  <c r="E2536" i="1"/>
  <c r="AC2447" i="1" l="1"/>
  <c r="AF2446" i="1"/>
  <c r="L2448" i="1"/>
  <c r="AJ2447" i="1"/>
  <c r="E2537" i="1"/>
  <c r="AQ2536" i="1"/>
  <c r="AC2448" i="1" l="1"/>
  <c r="AF2447" i="1"/>
  <c r="L2449" i="1"/>
  <c r="AJ2448" i="1"/>
  <c r="AQ2537" i="1"/>
  <c r="E2538" i="1"/>
  <c r="AC2449" i="1" l="1"/>
  <c r="AF2448" i="1"/>
  <c r="L2450" i="1"/>
  <c r="AJ2449" i="1"/>
  <c r="E2539" i="1"/>
  <c r="AQ2538" i="1"/>
  <c r="AC2450" i="1" l="1"/>
  <c r="AF2449" i="1"/>
  <c r="L2451" i="1"/>
  <c r="AJ2450" i="1"/>
  <c r="AQ2539" i="1"/>
  <c r="E2540" i="1"/>
  <c r="AC2451" i="1" l="1"/>
  <c r="AF2450" i="1"/>
  <c r="L2452" i="1"/>
  <c r="AJ2451" i="1"/>
  <c r="E2541" i="1"/>
  <c r="AQ2540" i="1"/>
  <c r="AC2452" i="1" l="1"/>
  <c r="AF2451" i="1"/>
  <c r="L2453" i="1"/>
  <c r="AJ2452" i="1"/>
  <c r="AQ2541" i="1"/>
  <c r="E2542" i="1"/>
  <c r="AC2453" i="1" l="1"/>
  <c r="AF2452" i="1"/>
  <c r="L2454" i="1"/>
  <c r="AJ2453" i="1"/>
  <c r="AQ2542" i="1"/>
  <c r="E2543" i="1"/>
  <c r="AC2454" i="1" l="1"/>
  <c r="AF2453" i="1"/>
  <c r="L2455" i="1"/>
  <c r="AJ2454" i="1"/>
  <c r="AQ2543" i="1"/>
  <c r="E2544" i="1"/>
  <c r="AC2455" i="1" l="1"/>
  <c r="AF2454" i="1"/>
  <c r="L2456" i="1"/>
  <c r="AJ2455" i="1"/>
  <c r="E2545" i="1"/>
  <c r="AQ2544" i="1"/>
  <c r="AC2456" i="1" l="1"/>
  <c r="AF2455" i="1"/>
  <c r="L2457" i="1"/>
  <c r="AJ2456" i="1"/>
  <c r="E2546" i="1"/>
  <c r="AQ2545" i="1"/>
  <c r="AC2457" i="1" l="1"/>
  <c r="AF2456" i="1"/>
  <c r="L2458" i="1"/>
  <c r="AJ2457" i="1"/>
  <c r="E2547" i="1"/>
  <c r="AQ2546" i="1"/>
  <c r="AC2458" i="1" l="1"/>
  <c r="AF2457" i="1"/>
  <c r="L2459" i="1"/>
  <c r="AJ2458" i="1"/>
  <c r="E2548" i="1"/>
  <c r="AQ2547" i="1"/>
  <c r="AC2459" i="1" l="1"/>
  <c r="AF2458" i="1"/>
  <c r="L2460" i="1"/>
  <c r="AJ2459" i="1"/>
  <c r="AQ2548" i="1"/>
  <c r="E2549" i="1"/>
  <c r="AC2460" i="1" l="1"/>
  <c r="AF2459" i="1"/>
  <c r="L2461" i="1"/>
  <c r="AJ2460" i="1"/>
  <c r="E2550" i="1"/>
  <c r="AQ2549" i="1"/>
  <c r="AC2461" i="1" l="1"/>
  <c r="AF2460" i="1"/>
  <c r="L2462" i="1"/>
  <c r="AJ2461" i="1"/>
  <c r="AQ2550" i="1"/>
  <c r="E2551" i="1"/>
  <c r="AC2462" i="1" l="1"/>
  <c r="AF2461" i="1"/>
  <c r="L2463" i="1"/>
  <c r="AJ2462" i="1"/>
  <c r="AQ2551" i="1"/>
  <c r="E2552" i="1"/>
  <c r="AC2463" i="1" l="1"/>
  <c r="AF2462" i="1"/>
  <c r="L2464" i="1"/>
  <c r="AJ2463" i="1"/>
  <c r="AQ2552" i="1"/>
  <c r="E2553" i="1"/>
  <c r="AC2464" i="1" l="1"/>
  <c r="AF2463" i="1"/>
  <c r="L2465" i="1"/>
  <c r="AJ2464" i="1"/>
  <c r="AQ2553" i="1"/>
  <c r="E2554" i="1"/>
  <c r="AC2465" i="1" l="1"/>
  <c r="AF2464" i="1"/>
  <c r="L2466" i="1"/>
  <c r="AJ2465" i="1"/>
  <c r="E2555" i="1"/>
  <c r="AQ2554" i="1"/>
  <c r="AC2466" i="1" l="1"/>
  <c r="AF2465" i="1"/>
  <c r="L2467" i="1"/>
  <c r="AJ2466" i="1"/>
  <c r="AQ2555" i="1"/>
  <c r="E2556" i="1"/>
  <c r="AC2467" i="1" l="1"/>
  <c r="AF2466" i="1"/>
  <c r="L2468" i="1"/>
  <c r="AJ2467" i="1"/>
  <c r="AQ2556" i="1"/>
  <c r="E2557" i="1"/>
  <c r="AC2468" i="1" l="1"/>
  <c r="AF2467" i="1"/>
  <c r="L2469" i="1"/>
  <c r="AJ2468" i="1"/>
  <c r="AQ2557" i="1"/>
  <c r="E2558" i="1"/>
  <c r="AC2469" i="1" l="1"/>
  <c r="AF2468" i="1"/>
  <c r="L2470" i="1"/>
  <c r="AJ2469" i="1"/>
  <c r="E2559" i="1"/>
  <c r="AQ2558" i="1"/>
  <c r="AC2470" i="1" l="1"/>
  <c r="AF2469" i="1"/>
  <c r="L2471" i="1"/>
  <c r="AJ2470" i="1"/>
  <c r="AQ2559" i="1"/>
  <c r="E2560" i="1"/>
  <c r="AC2471" i="1" l="1"/>
  <c r="AF2470" i="1"/>
  <c r="L2472" i="1"/>
  <c r="AJ2471" i="1"/>
  <c r="AQ2560" i="1"/>
  <c r="E2561" i="1"/>
  <c r="AC2472" i="1" l="1"/>
  <c r="AF2471" i="1"/>
  <c r="L2473" i="1"/>
  <c r="AJ2472" i="1"/>
  <c r="E2562" i="1"/>
  <c r="AQ2561" i="1"/>
  <c r="AC2473" i="1" l="1"/>
  <c r="AF2472" i="1"/>
  <c r="L2474" i="1"/>
  <c r="AJ2473" i="1"/>
  <c r="E2563" i="1"/>
  <c r="AQ2562" i="1"/>
  <c r="AC2474" i="1" l="1"/>
  <c r="AF2473" i="1"/>
  <c r="L2475" i="1"/>
  <c r="AJ2474" i="1"/>
  <c r="E2564" i="1"/>
  <c r="AQ2563" i="1"/>
  <c r="AC2475" i="1" l="1"/>
  <c r="AF2474" i="1"/>
  <c r="L2476" i="1"/>
  <c r="AJ2475" i="1"/>
  <c r="E2565" i="1"/>
  <c r="AQ2564" i="1"/>
  <c r="AC2476" i="1" l="1"/>
  <c r="AF2475" i="1"/>
  <c r="L2477" i="1"/>
  <c r="AJ2476" i="1"/>
  <c r="E2566" i="1"/>
  <c r="AQ2565" i="1"/>
  <c r="AC2477" i="1" l="1"/>
  <c r="AF2476" i="1"/>
  <c r="L2478" i="1"/>
  <c r="AJ2477" i="1"/>
  <c r="AQ2566" i="1"/>
  <c r="E2567" i="1"/>
  <c r="AC2478" i="1" l="1"/>
  <c r="AF2477" i="1"/>
  <c r="L2479" i="1"/>
  <c r="AJ2478" i="1"/>
  <c r="E2568" i="1"/>
  <c r="AQ2567" i="1"/>
  <c r="AC2479" i="1" l="1"/>
  <c r="AF2478" i="1"/>
  <c r="L2480" i="1"/>
  <c r="AJ2479" i="1"/>
  <c r="AQ2568" i="1"/>
  <c r="E2569" i="1"/>
  <c r="AC2480" i="1" l="1"/>
  <c r="AF2479" i="1"/>
  <c r="L2481" i="1"/>
  <c r="AJ2480" i="1"/>
  <c r="AQ2569" i="1"/>
  <c r="E2570" i="1"/>
  <c r="AC2481" i="1" l="1"/>
  <c r="AF2480" i="1"/>
  <c r="L2482" i="1"/>
  <c r="AJ2481" i="1"/>
  <c r="E2571" i="1"/>
  <c r="AQ2570" i="1"/>
  <c r="AC2482" i="1" l="1"/>
  <c r="AF2481" i="1"/>
  <c r="L2483" i="1"/>
  <c r="AJ2482" i="1"/>
  <c r="AQ2571" i="1"/>
  <c r="E2572" i="1"/>
  <c r="AC2483" i="1" l="1"/>
  <c r="AF2482" i="1"/>
  <c r="L2484" i="1"/>
  <c r="AJ2483" i="1"/>
  <c r="E2573" i="1"/>
  <c r="AQ2572" i="1"/>
  <c r="AC2484" i="1" l="1"/>
  <c r="AF2483" i="1"/>
  <c r="L2485" i="1"/>
  <c r="AJ2484" i="1"/>
  <c r="AQ2573" i="1"/>
  <c r="E2574" i="1"/>
  <c r="AC2485" i="1" l="1"/>
  <c r="AF2484" i="1"/>
  <c r="L2486" i="1"/>
  <c r="AJ2485" i="1"/>
  <c r="AQ2574" i="1"/>
  <c r="E2575" i="1"/>
  <c r="AC2486" i="1" l="1"/>
  <c r="AF2485" i="1"/>
  <c r="L2487" i="1"/>
  <c r="AJ2486" i="1"/>
  <c r="E2576" i="1"/>
  <c r="AQ2575" i="1"/>
  <c r="AC2487" i="1" l="1"/>
  <c r="AF2486" i="1"/>
  <c r="L2488" i="1"/>
  <c r="AJ2487" i="1"/>
  <c r="E2577" i="1"/>
  <c r="AQ2576" i="1"/>
  <c r="AC2488" i="1" l="1"/>
  <c r="AF2487" i="1"/>
  <c r="L2489" i="1"/>
  <c r="AJ2488" i="1"/>
  <c r="E2578" i="1"/>
  <c r="AQ2577" i="1"/>
  <c r="AC2489" i="1" l="1"/>
  <c r="AF2488" i="1"/>
  <c r="L2490" i="1"/>
  <c r="AJ2489" i="1"/>
  <c r="AQ2578" i="1"/>
  <c r="E2579" i="1"/>
  <c r="AC2490" i="1" l="1"/>
  <c r="AF2489" i="1"/>
  <c r="L2491" i="1"/>
  <c r="AJ2490" i="1"/>
  <c r="AQ2579" i="1"/>
  <c r="E2580" i="1"/>
  <c r="AC2491" i="1" l="1"/>
  <c r="AF2490" i="1"/>
  <c r="L2492" i="1"/>
  <c r="AJ2491" i="1"/>
  <c r="AQ2580" i="1"/>
  <c r="E2581" i="1"/>
  <c r="AC2492" i="1" l="1"/>
  <c r="AF2491" i="1"/>
  <c r="L2493" i="1"/>
  <c r="AJ2492" i="1"/>
  <c r="AQ2581" i="1"/>
  <c r="E2582" i="1"/>
  <c r="AC2493" i="1" l="1"/>
  <c r="AF2492" i="1"/>
  <c r="L2494" i="1"/>
  <c r="AJ2493" i="1"/>
  <c r="AQ2582" i="1"/>
  <c r="E2583" i="1"/>
  <c r="AC2494" i="1" l="1"/>
  <c r="AF2493" i="1"/>
  <c r="L2495" i="1"/>
  <c r="AJ2494" i="1"/>
  <c r="E2584" i="1"/>
  <c r="AQ2583" i="1"/>
  <c r="AC2495" i="1" l="1"/>
  <c r="AF2494" i="1"/>
  <c r="L2496" i="1"/>
  <c r="AJ2495" i="1"/>
  <c r="AQ2584" i="1"/>
  <c r="E2585" i="1"/>
  <c r="AC2496" i="1" l="1"/>
  <c r="AF2495" i="1"/>
  <c r="L2497" i="1"/>
  <c r="AJ2496" i="1"/>
  <c r="AQ2585" i="1"/>
  <c r="E2586" i="1"/>
  <c r="AC2497" i="1" l="1"/>
  <c r="AF2496" i="1"/>
  <c r="L2498" i="1"/>
  <c r="AJ2497" i="1"/>
  <c r="E2587" i="1"/>
  <c r="AQ2586" i="1"/>
  <c r="AC2498" i="1" l="1"/>
  <c r="AF2497" i="1"/>
  <c r="L2499" i="1"/>
  <c r="AJ2498" i="1"/>
  <c r="E2588" i="1"/>
  <c r="AQ2587" i="1"/>
  <c r="AC2499" i="1" l="1"/>
  <c r="AF2498" i="1"/>
  <c r="L2500" i="1"/>
  <c r="AJ2499" i="1"/>
  <c r="AQ2588" i="1"/>
  <c r="E2589" i="1"/>
  <c r="AC2500" i="1" l="1"/>
  <c r="AF2499" i="1"/>
  <c r="L2501" i="1"/>
  <c r="AJ2500" i="1"/>
  <c r="AQ2589" i="1"/>
  <c r="E2590" i="1"/>
  <c r="AC2501" i="1" l="1"/>
  <c r="AF2500" i="1"/>
  <c r="L2502" i="1"/>
  <c r="AJ2501" i="1"/>
  <c r="E2591" i="1"/>
  <c r="AQ2590" i="1"/>
  <c r="AC2502" i="1" l="1"/>
  <c r="AF2501" i="1"/>
  <c r="L2503" i="1"/>
  <c r="AJ2502" i="1"/>
  <c r="AQ2591" i="1"/>
  <c r="E2592" i="1"/>
  <c r="AC2503" i="1" l="1"/>
  <c r="AF2502" i="1"/>
  <c r="L2504" i="1"/>
  <c r="AJ2503" i="1"/>
  <c r="AQ2592" i="1"/>
  <c r="E2593" i="1"/>
  <c r="AC2504" i="1" l="1"/>
  <c r="AF2503" i="1"/>
  <c r="L2505" i="1"/>
  <c r="AJ2504" i="1"/>
  <c r="E2594" i="1"/>
  <c r="AQ2593" i="1"/>
  <c r="AC2505" i="1" l="1"/>
  <c r="AF2504" i="1"/>
  <c r="L2506" i="1"/>
  <c r="AJ2505" i="1"/>
  <c r="E2595" i="1"/>
  <c r="AQ2594" i="1"/>
  <c r="AC2506" i="1" l="1"/>
  <c r="AF2505" i="1"/>
  <c r="L2507" i="1"/>
  <c r="AJ2506" i="1"/>
  <c r="E2596" i="1"/>
  <c r="AQ2595" i="1"/>
  <c r="AC2507" i="1" l="1"/>
  <c r="AF2506" i="1"/>
  <c r="L2508" i="1"/>
  <c r="AJ2507" i="1"/>
  <c r="E2597" i="1"/>
  <c r="AQ2596" i="1"/>
  <c r="AC2508" i="1" l="1"/>
  <c r="AF2507" i="1"/>
  <c r="L2509" i="1"/>
  <c r="AJ2508" i="1"/>
  <c r="E2598" i="1"/>
  <c r="AQ2597" i="1"/>
  <c r="AC2509" i="1" l="1"/>
  <c r="AF2508" i="1"/>
  <c r="L2510" i="1"/>
  <c r="AJ2509" i="1"/>
  <c r="E2599" i="1"/>
  <c r="AQ2598" i="1"/>
  <c r="AC2510" i="1" l="1"/>
  <c r="AF2509" i="1"/>
  <c r="L2511" i="1"/>
  <c r="AJ2510" i="1"/>
  <c r="E2600" i="1"/>
  <c r="AQ2599" i="1"/>
  <c r="AC2511" i="1" l="1"/>
  <c r="AF2510" i="1"/>
  <c r="L2512" i="1"/>
  <c r="AJ2511" i="1"/>
  <c r="AQ2600" i="1"/>
  <c r="W2" i="8"/>
  <c r="AR2430" i="1"/>
  <c r="AS2430" i="1" s="1"/>
  <c r="AT2430" i="1" s="1"/>
  <c r="J2431" i="1"/>
  <c r="J2432" i="1" s="1"/>
  <c r="AC2512" i="1" l="1"/>
  <c r="AF2511" i="1"/>
  <c r="L2513" i="1"/>
  <c r="AJ2512" i="1"/>
  <c r="AR2431" i="1"/>
  <c r="AS2431" i="1" s="1"/>
  <c r="AT2431" i="1" s="1"/>
  <c r="AV154" i="8"/>
  <c r="AV153" i="8"/>
  <c r="AV157" i="8"/>
  <c r="AV156" i="8"/>
  <c r="AV158" i="8"/>
  <c r="AV155" i="8"/>
  <c r="AV159" i="8"/>
  <c r="AV160" i="8"/>
  <c r="AV162" i="8"/>
  <c r="AV161" i="8"/>
  <c r="AV163" i="8"/>
  <c r="AV165" i="8"/>
  <c r="AV166" i="8"/>
  <c r="AV164" i="8"/>
  <c r="AV167" i="8"/>
  <c r="AV168" i="8"/>
  <c r="AV170" i="8"/>
  <c r="AV169" i="8"/>
  <c r="AV171" i="8"/>
  <c r="AV172" i="8"/>
  <c r="AV173" i="8"/>
  <c r="AV174" i="8"/>
  <c r="AV176" i="8"/>
  <c r="AV175" i="8"/>
  <c r="AV179" i="8"/>
  <c r="AV177" i="8"/>
  <c r="AV178" i="8"/>
  <c r="AV180" i="8"/>
  <c r="AV182" i="8"/>
  <c r="AV181" i="8"/>
  <c r="AV183" i="8"/>
  <c r="AV186" i="8"/>
  <c r="AV184" i="8"/>
  <c r="AV185" i="8"/>
  <c r="AV187" i="8"/>
  <c r="AV189" i="8"/>
  <c r="AV188" i="8"/>
  <c r="AV190" i="8"/>
  <c r="AV192" i="8"/>
  <c r="AV191" i="8"/>
  <c r="AV193" i="8"/>
  <c r="AV197" i="8"/>
  <c r="AV195" i="8"/>
  <c r="AV194" i="8"/>
  <c r="AV196" i="8"/>
  <c r="AV198" i="8"/>
  <c r="AV199" i="8"/>
  <c r="AR2432" i="1"/>
  <c r="AS2432" i="1" s="1"/>
  <c r="AT2432" i="1" s="1"/>
  <c r="J2433" i="1"/>
  <c r="AC2513" i="1" l="1"/>
  <c r="AF2512" i="1"/>
  <c r="L2514" i="1"/>
  <c r="AJ2513" i="1"/>
  <c r="J2434" i="1"/>
  <c r="AR2433" i="1"/>
  <c r="AS2433" i="1" s="1"/>
  <c r="AT2433" i="1" s="1"/>
  <c r="AC2514" i="1" l="1"/>
  <c r="AF2513" i="1"/>
  <c r="L2515" i="1"/>
  <c r="AJ2514" i="1"/>
  <c r="AR2434" i="1"/>
  <c r="AS2434" i="1" s="1"/>
  <c r="AT2434" i="1" s="1"/>
  <c r="J2435" i="1"/>
  <c r="AC2515" i="1" l="1"/>
  <c r="AF2514" i="1"/>
  <c r="L2516" i="1"/>
  <c r="AJ2515" i="1"/>
  <c r="AR2435" i="1"/>
  <c r="AS2435" i="1" s="1"/>
  <c r="AT2435" i="1" s="1"/>
  <c r="J2436" i="1"/>
  <c r="AC2516" i="1" l="1"/>
  <c r="AF2515" i="1"/>
  <c r="L2517" i="1"/>
  <c r="AJ2516" i="1"/>
  <c r="J2437" i="1"/>
  <c r="AR2436" i="1"/>
  <c r="AS2436" i="1" s="1"/>
  <c r="AT2436" i="1" s="1"/>
  <c r="AC2517" i="1" l="1"/>
  <c r="AF2516" i="1"/>
  <c r="L2518" i="1"/>
  <c r="AJ2517" i="1"/>
  <c r="AR2437" i="1"/>
  <c r="AS2437" i="1" s="1"/>
  <c r="AT2437" i="1" s="1"/>
  <c r="J2438" i="1"/>
  <c r="AC2518" i="1" l="1"/>
  <c r="AF2517" i="1"/>
  <c r="L2519" i="1"/>
  <c r="AJ2518" i="1"/>
  <c r="J2439" i="1"/>
  <c r="AR2438" i="1"/>
  <c r="AS2438" i="1" s="1"/>
  <c r="AT2438" i="1" s="1"/>
  <c r="AC2519" i="1" l="1"/>
  <c r="AF2518" i="1"/>
  <c r="L2520" i="1"/>
  <c r="AJ2519" i="1"/>
  <c r="AR2439" i="1"/>
  <c r="AS2439" i="1" s="1"/>
  <c r="AT2439" i="1" s="1"/>
  <c r="J2440" i="1"/>
  <c r="AC2520" i="1" l="1"/>
  <c r="AF2519" i="1"/>
  <c r="L2521" i="1"/>
  <c r="AJ2520" i="1"/>
  <c r="J2441" i="1"/>
  <c r="AR2440" i="1"/>
  <c r="AS2440" i="1" s="1"/>
  <c r="AT2440" i="1" s="1"/>
  <c r="AC2521" i="1" l="1"/>
  <c r="AF2520" i="1"/>
  <c r="L2522" i="1"/>
  <c r="AJ2521" i="1"/>
  <c r="J2442" i="1"/>
  <c r="AR2441" i="1"/>
  <c r="AS2441" i="1" s="1"/>
  <c r="AT2441" i="1" s="1"/>
  <c r="AC2522" i="1" l="1"/>
  <c r="AF2521" i="1"/>
  <c r="L2523" i="1"/>
  <c r="AJ2522" i="1"/>
  <c r="AR2442" i="1"/>
  <c r="AS2442" i="1" s="1"/>
  <c r="AT2442" i="1" s="1"/>
  <c r="J2443" i="1"/>
  <c r="AC2523" i="1" l="1"/>
  <c r="AF2522" i="1"/>
  <c r="L2524" i="1"/>
  <c r="AJ2523" i="1"/>
  <c r="J2444" i="1"/>
  <c r="AR2443" i="1"/>
  <c r="AS2443" i="1" s="1"/>
  <c r="AT2443" i="1" s="1"/>
  <c r="AC2524" i="1" l="1"/>
  <c r="AF2523" i="1"/>
  <c r="L2525" i="1"/>
  <c r="AJ2524" i="1"/>
  <c r="J2445" i="1"/>
  <c r="AR2444" i="1"/>
  <c r="AS2444" i="1" s="1"/>
  <c r="AT2444" i="1" s="1"/>
  <c r="AC2525" i="1" l="1"/>
  <c r="AF2524" i="1"/>
  <c r="L2526" i="1"/>
  <c r="AJ2525" i="1"/>
  <c r="J2446" i="1"/>
  <c r="AR2445" i="1"/>
  <c r="AS2445" i="1" s="1"/>
  <c r="AT2445" i="1" s="1"/>
  <c r="AC2526" i="1" l="1"/>
  <c r="AF2525" i="1"/>
  <c r="L2527" i="1"/>
  <c r="AJ2526" i="1"/>
  <c r="AR2446" i="1"/>
  <c r="AS2446" i="1" s="1"/>
  <c r="AT2446" i="1" s="1"/>
  <c r="J2447" i="1"/>
  <c r="AC2527" i="1" l="1"/>
  <c r="AF2526" i="1"/>
  <c r="L2528" i="1"/>
  <c r="AJ2527" i="1"/>
  <c r="AR2447" i="1"/>
  <c r="AS2447" i="1" s="1"/>
  <c r="AT2447" i="1" s="1"/>
  <c r="J2448" i="1"/>
  <c r="AC2528" i="1" l="1"/>
  <c r="AF2527" i="1"/>
  <c r="L2529" i="1"/>
  <c r="AJ2528" i="1"/>
  <c r="J2449" i="1"/>
  <c r="AR2448" i="1"/>
  <c r="AS2448" i="1" s="1"/>
  <c r="AT2448" i="1" s="1"/>
  <c r="AC2529" i="1" l="1"/>
  <c r="AF2528" i="1"/>
  <c r="L2530" i="1"/>
  <c r="AJ2529" i="1"/>
  <c r="J2450" i="1"/>
  <c r="AR2449" i="1"/>
  <c r="AS2449" i="1" s="1"/>
  <c r="AT2449" i="1" s="1"/>
  <c r="AC2530" i="1" l="1"/>
  <c r="AF2529" i="1"/>
  <c r="L2531" i="1"/>
  <c r="AJ2530" i="1"/>
  <c r="AR2450" i="1"/>
  <c r="AS2450" i="1" s="1"/>
  <c r="AT2450" i="1" s="1"/>
  <c r="J2451" i="1"/>
  <c r="AC2531" i="1" l="1"/>
  <c r="AF2530" i="1"/>
  <c r="L2532" i="1"/>
  <c r="AJ2531" i="1"/>
  <c r="AR2451" i="1"/>
  <c r="AS2451" i="1" s="1"/>
  <c r="AT2451" i="1" s="1"/>
  <c r="J2452" i="1"/>
  <c r="AC2532" i="1" l="1"/>
  <c r="AF2531" i="1"/>
  <c r="L2533" i="1"/>
  <c r="AJ2532" i="1"/>
  <c r="J2453" i="1"/>
  <c r="AR2452" i="1"/>
  <c r="AS2452" i="1" s="1"/>
  <c r="AT2452" i="1" s="1"/>
  <c r="AC2533" i="1" l="1"/>
  <c r="AF2532" i="1"/>
  <c r="L2534" i="1"/>
  <c r="AJ2533" i="1"/>
  <c r="J2454" i="1"/>
  <c r="AR2453" i="1"/>
  <c r="AS2453" i="1" s="1"/>
  <c r="AT2453" i="1" s="1"/>
  <c r="AC2534" i="1" l="1"/>
  <c r="AF2533" i="1"/>
  <c r="L2535" i="1"/>
  <c r="AJ2534" i="1"/>
  <c r="J2455" i="1"/>
  <c r="AR2454" i="1"/>
  <c r="AS2454" i="1" s="1"/>
  <c r="AT2454" i="1" s="1"/>
  <c r="AC2535" i="1" l="1"/>
  <c r="AF2534" i="1"/>
  <c r="L2536" i="1"/>
  <c r="AJ2535" i="1"/>
  <c r="AR2455" i="1"/>
  <c r="AS2455" i="1" s="1"/>
  <c r="AT2455" i="1" s="1"/>
  <c r="J2456" i="1"/>
  <c r="AC2536" i="1" l="1"/>
  <c r="AF2535" i="1"/>
  <c r="L2537" i="1"/>
  <c r="AJ2536" i="1"/>
  <c r="AR2456" i="1"/>
  <c r="AS2456" i="1" s="1"/>
  <c r="AT2456" i="1" s="1"/>
  <c r="J2457" i="1"/>
  <c r="AC2537" i="1" l="1"/>
  <c r="AF2536" i="1"/>
  <c r="L2538" i="1"/>
  <c r="AJ2537" i="1"/>
  <c r="AR2457" i="1"/>
  <c r="AS2457" i="1" s="1"/>
  <c r="AT2457" i="1" s="1"/>
  <c r="J2458" i="1"/>
  <c r="AC2538" i="1" l="1"/>
  <c r="AF2537" i="1"/>
  <c r="L2539" i="1"/>
  <c r="AJ2538" i="1"/>
  <c r="J2459" i="1"/>
  <c r="AR2458" i="1"/>
  <c r="AS2458" i="1" s="1"/>
  <c r="AT2458" i="1" s="1"/>
  <c r="AC2539" i="1" l="1"/>
  <c r="AF2538" i="1"/>
  <c r="L2540" i="1"/>
  <c r="AJ2539" i="1"/>
  <c r="J2460" i="1"/>
  <c r="AR2459" i="1"/>
  <c r="AS2459" i="1" s="1"/>
  <c r="AT2459" i="1" s="1"/>
  <c r="AC2540" i="1" l="1"/>
  <c r="AF2539" i="1"/>
  <c r="L2541" i="1"/>
  <c r="AJ2540" i="1"/>
  <c r="J2461" i="1"/>
  <c r="AR2460" i="1"/>
  <c r="AS2460" i="1" s="1"/>
  <c r="AT2460" i="1" s="1"/>
  <c r="AC2541" i="1" l="1"/>
  <c r="AF2540" i="1"/>
  <c r="L2542" i="1"/>
  <c r="AJ2541" i="1"/>
  <c r="J2462" i="1"/>
  <c r="AR2461" i="1"/>
  <c r="AS2461" i="1" s="1"/>
  <c r="AT2461" i="1" s="1"/>
  <c r="AC2542" i="1" l="1"/>
  <c r="AF2541" i="1"/>
  <c r="L2543" i="1"/>
  <c r="AJ2542" i="1"/>
  <c r="J2463" i="1"/>
  <c r="AR2462" i="1"/>
  <c r="AS2462" i="1" s="1"/>
  <c r="AT2462" i="1" s="1"/>
  <c r="AC2543" i="1" l="1"/>
  <c r="AF2542" i="1"/>
  <c r="L2544" i="1"/>
  <c r="AJ2543" i="1"/>
  <c r="J2464" i="1"/>
  <c r="AR2463" i="1"/>
  <c r="AS2463" i="1" s="1"/>
  <c r="AT2463" i="1" s="1"/>
  <c r="AC2544" i="1" l="1"/>
  <c r="AF2543" i="1"/>
  <c r="L2545" i="1"/>
  <c r="AJ2544" i="1"/>
  <c r="J2465" i="1"/>
  <c r="AR2464" i="1"/>
  <c r="AS2464" i="1" s="1"/>
  <c r="AT2464" i="1" s="1"/>
  <c r="AC2545" i="1" l="1"/>
  <c r="AF2544" i="1"/>
  <c r="L2546" i="1"/>
  <c r="AJ2545" i="1"/>
  <c r="AR2465" i="1"/>
  <c r="AS2465" i="1" s="1"/>
  <c r="AT2465" i="1" s="1"/>
  <c r="J2466" i="1"/>
  <c r="AC2546" i="1" l="1"/>
  <c r="AF2545" i="1"/>
  <c r="L2547" i="1"/>
  <c r="AJ2546" i="1"/>
  <c r="J2467" i="1"/>
  <c r="AR2466" i="1"/>
  <c r="AS2466" i="1" s="1"/>
  <c r="AT2466" i="1" s="1"/>
  <c r="AC2547" i="1" l="1"/>
  <c r="AF2546" i="1"/>
  <c r="L2548" i="1"/>
  <c r="AJ2547" i="1"/>
  <c r="J2468" i="1"/>
  <c r="AR2467" i="1"/>
  <c r="AS2467" i="1" s="1"/>
  <c r="AT2467" i="1" s="1"/>
  <c r="AC2548" i="1" l="1"/>
  <c r="AF2547" i="1"/>
  <c r="L2549" i="1"/>
  <c r="AJ2548" i="1"/>
  <c r="AR2468" i="1"/>
  <c r="AS2468" i="1" s="1"/>
  <c r="AT2468" i="1" s="1"/>
  <c r="J2469" i="1"/>
  <c r="AC2549" i="1" l="1"/>
  <c r="AF2548" i="1"/>
  <c r="L2550" i="1"/>
  <c r="AJ2549" i="1"/>
  <c r="J2470" i="1"/>
  <c r="AR2469" i="1"/>
  <c r="AS2469" i="1" s="1"/>
  <c r="AT2469" i="1" s="1"/>
  <c r="AC2550" i="1" l="1"/>
  <c r="AF2549" i="1"/>
  <c r="L2551" i="1"/>
  <c r="AJ2550" i="1"/>
  <c r="J2471" i="1"/>
  <c r="AR2470" i="1"/>
  <c r="AS2470" i="1" s="1"/>
  <c r="AT2470" i="1" s="1"/>
  <c r="AC2551" i="1" l="1"/>
  <c r="AF2550" i="1"/>
  <c r="L2552" i="1"/>
  <c r="AJ2551" i="1"/>
  <c r="AR2471" i="1"/>
  <c r="AS2471" i="1" s="1"/>
  <c r="AT2471" i="1" s="1"/>
  <c r="J2472" i="1"/>
  <c r="AC2552" i="1" l="1"/>
  <c r="AF2551" i="1"/>
  <c r="L2553" i="1"/>
  <c r="AJ2552" i="1"/>
  <c r="AR2472" i="1"/>
  <c r="AS2472" i="1" s="1"/>
  <c r="AT2472" i="1" s="1"/>
  <c r="J2473" i="1"/>
  <c r="AC2553" i="1" l="1"/>
  <c r="AF2552" i="1"/>
  <c r="L2554" i="1"/>
  <c r="AJ2553" i="1"/>
  <c r="AR2473" i="1"/>
  <c r="AS2473" i="1" s="1"/>
  <c r="AT2473" i="1" s="1"/>
  <c r="J2474" i="1"/>
  <c r="AC2554" i="1" l="1"/>
  <c r="AF2553" i="1"/>
  <c r="L2555" i="1"/>
  <c r="AJ2554" i="1"/>
  <c r="J2475" i="1"/>
  <c r="AR2474" i="1"/>
  <c r="AS2474" i="1" s="1"/>
  <c r="AT2474" i="1" s="1"/>
  <c r="AC2555" i="1" l="1"/>
  <c r="AF2554" i="1"/>
  <c r="L2556" i="1"/>
  <c r="AJ2555" i="1"/>
  <c r="J2476" i="1"/>
  <c r="AR2475" i="1"/>
  <c r="AS2475" i="1" s="1"/>
  <c r="AT2475" i="1" s="1"/>
  <c r="AC2556" i="1" l="1"/>
  <c r="AF2555" i="1"/>
  <c r="L2557" i="1"/>
  <c r="AJ2556" i="1"/>
  <c r="J2477" i="1"/>
  <c r="AR2476" i="1"/>
  <c r="AS2476" i="1" s="1"/>
  <c r="AT2476" i="1" s="1"/>
  <c r="AC2557" i="1" l="1"/>
  <c r="AF2556" i="1"/>
  <c r="L2558" i="1"/>
  <c r="AJ2557" i="1"/>
  <c r="J2478" i="1"/>
  <c r="AR2477" i="1"/>
  <c r="AS2477" i="1" s="1"/>
  <c r="AT2477" i="1" s="1"/>
  <c r="AC2558" i="1" l="1"/>
  <c r="AF2557" i="1"/>
  <c r="L2559" i="1"/>
  <c r="AJ2558" i="1"/>
  <c r="J2479" i="1"/>
  <c r="AR2478" i="1"/>
  <c r="AS2478" i="1" s="1"/>
  <c r="AT2478" i="1" s="1"/>
  <c r="AC2559" i="1" l="1"/>
  <c r="AF2558" i="1"/>
  <c r="L2560" i="1"/>
  <c r="AJ2559" i="1"/>
  <c r="J2480" i="1"/>
  <c r="AR2479" i="1"/>
  <c r="AS2479" i="1" s="1"/>
  <c r="AT2479" i="1" s="1"/>
  <c r="AC2560" i="1" l="1"/>
  <c r="AF2559" i="1"/>
  <c r="L2561" i="1"/>
  <c r="AJ2560" i="1"/>
  <c r="J2481" i="1"/>
  <c r="AR2480" i="1"/>
  <c r="AS2480" i="1" s="1"/>
  <c r="AT2480" i="1" s="1"/>
  <c r="AC2561" i="1" l="1"/>
  <c r="AF2560" i="1"/>
  <c r="L2562" i="1"/>
  <c r="AJ2561" i="1"/>
  <c r="J2482" i="1"/>
  <c r="AR2481" i="1"/>
  <c r="AS2481" i="1" s="1"/>
  <c r="AT2481" i="1" s="1"/>
  <c r="AC2562" i="1" l="1"/>
  <c r="AF2561" i="1"/>
  <c r="L2563" i="1"/>
  <c r="AJ2562" i="1"/>
  <c r="J2483" i="1"/>
  <c r="AR2482" i="1"/>
  <c r="AS2482" i="1" s="1"/>
  <c r="AT2482" i="1" s="1"/>
  <c r="AC2563" i="1" l="1"/>
  <c r="AF2562" i="1"/>
  <c r="L2564" i="1"/>
  <c r="AJ2563" i="1"/>
  <c r="AR2483" i="1"/>
  <c r="AS2483" i="1" s="1"/>
  <c r="AT2483" i="1" s="1"/>
  <c r="J2484" i="1"/>
  <c r="AC2564" i="1" l="1"/>
  <c r="AF2563" i="1"/>
  <c r="L2565" i="1"/>
  <c r="AJ2564" i="1"/>
  <c r="AR2484" i="1"/>
  <c r="AS2484" i="1" s="1"/>
  <c r="AT2484" i="1" s="1"/>
  <c r="J2485" i="1"/>
  <c r="AC2565" i="1" l="1"/>
  <c r="AF2564" i="1"/>
  <c r="L2566" i="1"/>
  <c r="AJ2565" i="1"/>
  <c r="J2486" i="1"/>
  <c r="AR2485" i="1"/>
  <c r="AS2485" i="1" s="1"/>
  <c r="AT2485" i="1" s="1"/>
  <c r="AC2566" i="1" l="1"/>
  <c r="AF2565" i="1"/>
  <c r="L2567" i="1"/>
  <c r="AJ2566" i="1"/>
  <c r="AR2486" i="1"/>
  <c r="AS2486" i="1" s="1"/>
  <c r="AT2486" i="1" s="1"/>
  <c r="J2487" i="1"/>
  <c r="AC2567" i="1" l="1"/>
  <c r="AF2566" i="1"/>
  <c r="L2568" i="1"/>
  <c r="AJ2567" i="1"/>
  <c r="AR2487" i="1"/>
  <c r="AS2487" i="1" s="1"/>
  <c r="AT2487" i="1" s="1"/>
  <c r="J2488" i="1"/>
  <c r="AC2568" i="1" l="1"/>
  <c r="AF2567" i="1"/>
  <c r="L2569" i="1"/>
  <c r="AJ2568" i="1"/>
  <c r="J2489" i="1"/>
  <c r="AR2488" i="1"/>
  <c r="AS2488" i="1" s="1"/>
  <c r="AT2488" i="1" s="1"/>
  <c r="AC2569" i="1" l="1"/>
  <c r="AF2568" i="1"/>
  <c r="L2570" i="1"/>
  <c r="AJ2569" i="1"/>
  <c r="J2490" i="1"/>
  <c r="AR2489" i="1"/>
  <c r="AS2489" i="1" s="1"/>
  <c r="AT2489" i="1" s="1"/>
  <c r="AC2570" i="1" l="1"/>
  <c r="AF2569" i="1"/>
  <c r="L2571" i="1"/>
  <c r="AJ2570" i="1"/>
  <c r="AR2490" i="1"/>
  <c r="AS2490" i="1" s="1"/>
  <c r="AT2490" i="1" s="1"/>
  <c r="J2491" i="1"/>
  <c r="AC2571" i="1" l="1"/>
  <c r="AF2570" i="1"/>
  <c r="L2572" i="1"/>
  <c r="AJ2571" i="1"/>
  <c r="AR2491" i="1"/>
  <c r="AS2491" i="1" s="1"/>
  <c r="AT2491" i="1" s="1"/>
  <c r="J2492" i="1"/>
  <c r="AC2572" i="1" l="1"/>
  <c r="AF2571" i="1"/>
  <c r="L2573" i="1"/>
  <c r="AJ2572" i="1"/>
  <c r="AR2492" i="1"/>
  <c r="AS2492" i="1" s="1"/>
  <c r="AT2492" i="1" s="1"/>
  <c r="J2493" i="1"/>
  <c r="AC2573" i="1" l="1"/>
  <c r="AF2572" i="1"/>
  <c r="L2574" i="1"/>
  <c r="AJ2573" i="1"/>
  <c r="J2494" i="1"/>
  <c r="AR2493" i="1"/>
  <c r="AS2493" i="1" s="1"/>
  <c r="AT2493" i="1" s="1"/>
  <c r="AC2574" i="1" l="1"/>
  <c r="AF2573" i="1"/>
  <c r="L2575" i="1"/>
  <c r="AJ2574" i="1"/>
  <c r="J2495" i="1"/>
  <c r="AR2494" i="1"/>
  <c r="AS2494" i="1" s="1"/>
  <c r="AT2494" i="1" s="1"/>
  <c r="AC2575" i="1" l="1"/>
  <c r="AF2574" i="1"/>
  <c r="L2576" i="1"/>
  <c r="AJ2575" i="1"/>
  <c r="J2496" i="1"/>
  <c r="AR2495" i="1"/>
  <c r="AS2495" i="1" s="1"/>
  <c r="AT2495" i="1" s="1"/>
  <c r="AC2576" i="1" l="1"/>
  <c r="AF2575" i="1"/>
  <c r="L2577" i="1"/>
  <c r="AJ2576" i="1"/>
  <c r="AR2496" i="1"/>
  <c r="AS2496" i="1" s="1"/>
  <c r="AT2496" i="1" s="1"/>
  <c r="J2497" i="1"/>
  <c r="AC2577" i="1" l="1"/>
  <c r="AF2576" i="1"/>
  <c r="L2578" i="1"/>
  <c r="AJ2577" i="1"/>
  <c r="J2498" i="1"/>
  <c r="AR2497" i="1"/>
  <c r="AS2497" i="1" s="1"/>
  <c r="AT2497" i="1" s="1"/>
  <c r="AC2578" i="1" l="1"/>
  <c r="AF2577" i="1"/>
  <c r="L2579" i="1"/>
  <c r="AJ2578" i="1"/>
  <c r="J2499" i="1"/>
  <c r="AR2498" i="1"/>
  <c r="AS2498" i="1" s="1"/>
  <c r="AT2498" i="1" s="1"/>
  <c r="AC2579" i="1" l="1"/>
  <c r="AF2578" i="1"/>
  <c r="L2580" i="1"/>
  <c r="AJ2579" i="1"/>
  <c r="J2500" i="1"/>
  <c r="AR2499" i="1"/>
  <c r="AS2499" i="1" s="1"/>
  <c r="AT2499" i="1" s="1"/>
  <c r="AC2580" i="1" l="1"/>
  <c r="AF2579" i="1"/>
  <c r="L2581" i="1"/>
  <c r="AJ2580" i="1"/>
  <c r="AR2500" i="1"/>
  <c r="AS2500" i="1" s="1"/>
  <c r="AT2500" i="1" s="1"/>
  <c r="J2501" i="1"/>
  <c r="AC2581" i="1" l="1"/>
  <c r="AF2580" i="1"/>
  <c r="L2582" i="1"/>
  <c r="AJ2581" i="1"/>
  <c r="J2502" i="1"/>
  <c r="AR2501" i="1"/>
  <c r="AS2501" i="1" s="1"/>
  <c r="AT2501" i="1" s="1"/>
  <c r="AC2582" i="1" l="1"/>
  <c r="AF2581" i="1"/>
  <c r="L2583" i="1"/>
  <c r="AJ2582" i="1"/>
  <c r="AR2502" i="1"/>
  <c r="AS2502" i="1" s="1"/>
  <c r="AT2502" i="1" s="1"/>
  <c r="J2503" i="1"/>
  <c r="AC2583" i="1" l="1"/>
  <c r="AF2582" i="1"/>
  <c r="L2584" i="1"/>
  <c r="AJ2583" i="1"/>
  <c r="AR2503" i="1"/>
  <c r="AS2503" i="1" s="1"/>
  <c r="AT2503" i="1" s="1"/>
  <c r="J2504" i="1"/>
  <c r="AC2584" i="1" l="1"/>
  <c r="AF2583" i="1"/>
  <c r="L2585" i="1"/>
  <c r="AJ2584" i="1"/>
  <c r="J2505" i="1"/>
  <c r="AR2504" i="1"/>
  <c r="AS2504" i="1" s="1"/>
  <c r="AT2504" i="1" s="1"/>
  <c r="AC2585" i="1" l="1"/>
  <c r="AF2584" i="1"/>
  <c r="L2586" i="1"/>
  <c r="AJ2585" i="1"/>
  <c r="J2506" i="1"/>
  <c r="AR2505" i="1"/>
  <c r="AS2505" i="1" s="1"/>
  <c r="AT2505" i="1" s="1"/>
  <c r="AC2586" i="1" l="1"/>
  <c r="AF2585" i="1"/>
  <c r="L2587" i="1"/>
  <c r="AJ2586" i="1"/>
  <c r="AR2506" i="1"/>
  <c r="AS2506" i="1" s="1"/>
  <c r="AT2506" i="1" s="1"/>
  <c r="J2507" i="1"/>
  <c r="AC2587" i="1" l="1"/>
  <c r="AF2586" i="1"/>
  <c r="L2588" i="1"/>
  <c r="AJ2587" i="1"/>
  <c r="AR2507" i="1"/>
  <c r="AS2507" i="1" s="1"/>
  <c r="AT2507" i="1" s="1"/>
  <c r="J2508" i="1"/>
  <c r="AC2588" i="1" l="1"/>
  <c r="AF2587" i="1"/>
  <c r="L2589" i="1"/>
  <c r="AJ2588" i="1"/>
  <c r="J2509" i="1"/>
  <c r="AR2508" i="1"/>
  <c r="AS2508" i="1" s="1"/>
  <c r="AT2508" i="1" s="1"/>
  <c r="AC2589" i="1" l="1"/>
  <c r="AF2588" i="1"/>
  <c r="L2590" i="1"/>
  <c r="AJ2589" i="1"/>
  <c r="J2510" i="1"/>
  <c r="AR2509" i="1"/>
  <c r="AS2509" i="1" s="1"/>
  <c r="AT2509" i="1" s="1"/>
  <c r="AC2590" i="1" l="1"/>
  <c r="AF2589" i="1"/>
  <c r="L2591" i="1"/>
  <c r="AJ2590" i="1"/>
  <c r="J2511" i="1"/>
  <c r="AR2510" i="1"/>
  <c r="AS2510" i="1" s="1"/>
  <c r="AT2510" i="1" s="1"/>
  <c r="AC2591" i="1" l="1"/>
  <c r="AF2590" i="1"/>
  <c r="L2592" i="1"/>
  <c r="AJ2591" i="1"/>
  <c r="AR2511" i="1"/>
  <c r="AS2511" i="1" s="1"/>
  <c r="AT2511" i="1" s="1"/>
  <c r="J2512" i="1"/>
  <c r="AC2592" i="1" l="1"/>
  <c r="AF2591" i="1"/>
  <c r="L2593" i="1"/>
  <c r="AJ2592" i="1"/>
  <c r="J2513" i="1"/>
  <c r="AR2512" i="1"/>
  <c r="AS2512" i="1" s="1"/>
  <c r="AT2512" i="1" s="1"/>
  <c r="AC2593" i="1" l="1"/>
  <c r="AF2592" i="1"/>
  <c r="L2594" i="1"/>
  <c r="AJ2593" i="1"/>
  <c r="J2514" i="1"/>
  <c r="AR2513" i="1"/>
  <c r="AS2513" i="1" s="1"/>
  <c r="AT2513" i="1" s="1"/>
  <c r="AC2594" i="1" l="1"/>
  <c r="AF2593" i="1"/>
  <c r="L2595" i="1"/>
  <c r="AJ2594" i="1"/>
  <c r="J2515" i="1"/>
  <c r="AR2514" i="1"/>
  <c r="AS2514" i="1" s="1"/>
  <c r="AT2514" i="1" s="1"/>
  <c r="AC2595" i="1" l="1"/>
  <c r="AF2594" i="1"/>
  <c r="L2596" i="1"/>
  <c r="AJ2595" i="1"/>
  <c r="AR2515" i="1"/>
  <c r="AS2515" i="1" s="1"/>
  <c r="AT2515" i="1" s="1"/>
  <c r="J2516" i="1"/>
  <c r="AC2596" i="1" l="1"/>
  <c r="AF2595" i="1"/>
  <c r="L2597" i="1"/>
  <c r="AJ2596" i="1"/>
  <c r="J2517" i="1"/>
  <c r="AR2516" i="1"/>
  <c r="AS2516" i="1" s="1"/>
  <c r="AT2516" i="1" s="1"/>
  <c r="AC2597" i="1" l="1"/>
  <c r="AF2596" i="1"/>
  <c r="L2598" i="1"/>
  <c r="AJ2597" i="1"/>
  <c r="J2518" i="1"/>
  <c r="AR2517" i="1"/>
  <c r="AS2517" i="1" s="1"/>
  <c r="AT2517" i="1" s="1"/>
  <c r="AC2598" i="1" l="1"/>
  <c r="AF2597" i="1"/>
  <c r="L2599" i="1"/>
  <c r="AJ2598" i="1"/>
  <c r="AR2518" i="1"/>
  <c r="AS2518" i="1" s="1"/>
  <c r="AT2518" i="1" s="1"/>
  <c r="J2519" i="1"/>
  <c r="AC2599" i="1" l="1"/>
  <c r="AF2598" i="1"/>
  <c r="L2600" i="1"/>
  <c r="AJ2600" i="1" s="1"/>
  <c r="AJ2599" i="1"/>
  <c r="AR2519" i="1"/>
  <c r="AS2519" i="1" s="1"/>
  <c r="AT2519" i="1" s="1"/>
  <c r="J2520" i="1"/>
  <c r="AC2600" i="1" l="1"/>
  <c r="AF2600" i="1" s="1"/>
  <c r="AF2599" i="1"/>
  <c r="J2521" i="1"/>
  <c r="AR2520" i="1"/>
  <c r="AS2520" i="1" s="1"/>
  <c r="AT2520" i="1" s="1"/>
  <c r="AR2521" i="1" l="1"/>
  <c r="AS2521" i="1" s="1"/>
  <c r="AT2521" i="1" s="1"/>
  <c r="J2522" i="1"/>
  <c r="AR2522" i="1" l="1"/>
  <c r="AS2522" i="1" s="1"/>
  <c r="AT2522" i="1" s="1"/>
  <c r="J2523" i="1"/>
  <c r="AR2523" i="1" l="1"/>
  <c r="AS2523" i="1" s="1"/>
  <c r="AT2523" i="1" s="1"/>
  <c r="J2524" i="1"/>
  <c r="J2525" i="1" l="1"/>
  <c r="AR2524" i="1"/>
  <c r="AS2524" i="1" s="1"/>
  <c r="AT2524" i="1" s="1"/>
  <c r="J2526" i="1" l="1"/>
  <c r="AR2525" i="1"/>
  <c r="AS2525" i="1" s="1"/>
  <c r="AT2525" i="1" s="1"/>
  <c r="J2527" i="1" l="1"/>
  <c r="AR2526" i="1"/>
  <c r="AS2526" i="1" s="1"/>
  <c r="AT2526" i="1" s="1"/>
  <c r="AR2527" i="1" l="1"/>
  <c r="AS2527" i="1" s="1"/>
  <c r="AT2527" i="1" s="1"/>
  <c r="J2528" i="1"/>
  <c r="J2529" i="1" l="1"/>
  <c r="AR2528" i="1"/>
  <c r="AS2528" i="1" s="1"/>
  <c r="AT2528" i="1" s="1"/>
  <c r="AR2529" i="1" l="1"/>
  <c r="AS2529" i="1" s="1"/>
  <c r="AT2529" i="1" s="1"/>
  <c r="J2530" i="1"/>
  <c r="J2531" i="1" l="1"/>
  <c r="AR2530" i="1"/>
  <c r="AS2530" i="1" s="1"/>
  <c r="AT2530" i="1" s="1"/>
  <c r="J2532" i="1" l="1"/>
  <c r="AR2531" i="1"/>
  <c r="AS2531" i="1" s="1"/>
  <c r="AT2531" i="1" s="1"/>
  <c r="AR2532" i="1" l="1"/>
  <c r="AS2532" i="1" s="1"/>
  <c r="AT2532" i="1" s="1"/>
  <c r="J2533" i="1"/>
  <c r="J2534" i="1" l="1"/>
  <c r="AR2533" i="1"/>
  <c r="AS2533" i="1" s="1"/>
  <c r="AT2533" i="1" s="1"/>
  <c r="AR2534" i="1" l="1"/>
  <c r="AS2534" i="1" s="1"/>
  <c r="AT2534" i="1" s="1"/>
  <c r="J2535" i="1"/>
  <c r="AR2535" i="1" l="1"/>
  <c r="AS2535" i="1" s="1"/>
  <c r="AT2535" i="1" s="1"/>
  <c r="J2536" i="1"/>
  <c r="AR2536" i="1" l="1"/>
  <c r="AS2536" i="1" s="1"/>
  <c r="AT2536" i="1" s="1"/>
  <c r="J2537" i="1"/>
  <c r="J2538" i="1" l="1"/>
  <c r="AR2537" i="1"/>
  <c r="AS2537" i="1" s="1"/>
  <c r="AT2537" i="1" s="1"/>
  <c r="J2539" i="1" l="1"/>
  <c r="AR2538" i="1"/>
  <c r="AS2538" i="1" s="1"/>
  <c r="AT2538" i="1" s="1"/>
  <c r="AR2539" i="1" l="1"/>
  <c r="AS2539" i="1" s="1"/>
  <c r="AT2539" i="1" s="1"/>
  <c r="J2540" i="1"/>
  <c r="J2541" i="1" l="1"/>
  <c r="AR2540" i="1"/>
  <c r="AS2540" i="1" s="1"/>
  <c r="AT2540" i="1" s="1"/>
  <c r="J2542" i="1" l="1"/>
  <c r="AR2541" i="1"/>
  <c r="AS2541" i="1" s="1"/>
  <c r="AT2541" i="1" s="1"/>
  <c r="J2543" i="1" l="1"/>
  <c r="AR2542" i="1"/>
  <c r="AS2542" i="1" s="1"/>
  <c r="AT2542" i="1" s="1"/>
  <c r="J2544" i="1" l="1"/>
  <c r="AR2543" i="1"/>
  <c r="AS2543" i="1" s="1"/>
  <c r="AT2543" i="1" s="1"/>
  <c r="J2545" i="1" l="1"/>
  <c r="AR2544" i="1"/>
  <c r="AS2544" i="1" s="1"/>
  <c r="AT2544" i="1" s="1"/>
  <c r="J2546" i="1" l="1"/>
  <c r="AR2545" i="1"/>
  <c r="AS2545" i="1" s="1"/>
  <c r="AT2545" i="1" s="1"/>
  <c r="J2547" i="1" l="1"/>
  <c r="AR2546" i="1"/>
  <c r="AS2546" i="1" s="1"/>
  <c r="AT2546" i="1" s="1"/>
  <c r="J2548" i="1" l="1"/>
  <c r="AR2547" i="1"/>
  <c r="AS2547" i="1" s="1"/>
  <c r="AT2547" i="1" s="1"/>
  <c r="J2549" i="1" l="1"/>
  <c r="AR2548" i="1"/>
  <c r="AS2548" i="1" s="1"/>
  <c r="AT2548" i="1" s="1"/>
  <c r="AR2549" i="1" l="1"/>
  <c r="AS2549" i="1" s="1"/>
  <c r="AT2549" i="1" s="1"/>
  <c r="J2550" i="1"/>
  <c r="AR2550" i="1" l="1"/>
  <c r="AS2550" i="1" s="1"/>
  <c r="AT2550" i="1" s="1"/>
  <c r="J2551" i="1"/>
  <c r="AR2551" i="1" l="1"/>
  <c r="AS2551" i="1" s="1"/>
  <c r="AT2551" i="1" s="1"/>
  <c r="J2552" i="1"/>
  <c r="AR2552" i="1" l="1"/>
  <c r="AS2552" i="1" s="1"/>
  <c r="AT2552" i="1" s="1"/>
  <c r="J2553" i="1"/>
  <c r="AR2553" i="1" l="1"/>
  <c r="AS2553" i="1" s="1"/>
  <c r="AT2553" i="1" s="1"/>
  <c r="J2554" i="1"/>
  <c r="AR2554" i="1" l="1"/>
  <c r="AS2554" i="1" s="1"/>
  <c r="AT2554" i="1" s="1"/>
  <c r="J2555" i="1"/>
  <c r="AR2555" i="1" l="1"/>
  <c r="AS2555" i="1" s="1"/>
  <c r="AT2555" i="1" s="1"/>
  <c r="J2556" i="1"/>
  <c r="J2557" i="1" l="1"/>
  <c r="AR2556" i="1"/>
  <c r="AS2556" i="1" s="1"/>
  <c r="AT2556" i="1" s="1"/>
  <c r="J2558" i="1" l="1"/>
  <c r="AR2557" i="1"/>
  <c r="AS2557" i="1" s="1"/>
  <c r="AT2557" i="1" s="1"/>
  <c r="J2559" i="1" l="1"/>
  <c r="AR2558" i="1"/>
  <c r="AS2558" i="1" s="1"/>
  <c r="AT2558" i="1" s="1"/>
  <c r="J2560" i="1" l="1"/>
  <c r="AR2559" i="1"/>
  <c r="AS2559" i="1" s="1"/>
  <c r="AT2559" i="1" s="1"/>
  <c r="J2561" i="1" l="1"/>
  <c r="AR2560" i="1"/>
  <c r="AS2560" i="1" s="1"/>
  <c r="AT2560" i="1" s="1"/>
  <c r="AR2561" i="1" l="1"/>
  <c r="AS2561" i="1" s="1"/>
  <c r="AT2561" i="1" s="1"/>
  <c r="J2562" i="1"/>
  <c r="AR2562" i="1" l="1"/>
  <c r="AS2562" i="1" s="1"/>
  <c r="AT2562" i="1" s="1"/>
  <c r="J2563" i="1"/>
  <c r="J2564" i="1" l="1"/>
  <c r="AR2563" i="1"/>
  <c r="AS2563" i="1" s="1"/>
  <c r="AT2563" i="1" s="1"/>
  <c r="AR2564" i="1" l="1"/>
  <c r="AS2564" i="1" s="1"/>
  <c r="AT2564" i="1" s="1"/>
  <c r="J2565" i="1"/>
  <c r="J2566" i="1" l="1"/>
  <c r="AR2565" i="1"/>
  <c r="AS2565" i="1" s="1"/>
  <c r="AT2565" i="1" s="1"/>
  <c r="AR2566" i="1" l="1"/>
  <c r="AS2566" i="1" s="1"/>
  <c r="AT2566" i="1" s="1"/>
  <c r="J2567" i="1"/>
  <c r="AR2567" i="1" l="1"/>
  <c r="AS2567" i="1" s="1"/>
  <c r="AT2567" i="1" s="1"/>
  <c r="J2568" i="1"/>
  <c r="AR2568" i="1" l="1"/>
  <c r="AS2568" i="1" s="1"/>
  <c r="AT2568" i="1" s="1"/>
  <c r="J2569" i="1"/>
  <c r="AR2569" i="1" l="1"/>
  <c r="AS2569" i="1" s="1"/>
  <c r="AT2569" i="1" s="1"/>
  <c r="J2570" i="1"/>
  <c r="AR2570" i="1" l="1"/>
  <c r="AS2570" i="1" s="1"/>
  <c r="AT2570" i="1" s="1"/>
  <c r="J2571" i="1"/>
  <c r="AR2571" i="1" l="1"/>
  <c r="AS2571" i="1" s="1"/>
  <c r="AT2571" i="1" s="1"/>
  <c r="J2572" i="1"/>
  <c r="J2573" i="1" l="1"/>
  <c r="AR2572" i="1"/>
  <c r="AS2572" i="1" s="1"/>
  <c r="AT2572" i="1" s="1"/>
  <c r="AR2573" i="1" l="1"/>
  <c r="AS2573" i="1" s="1"/>
  <c r="AT2573" i="1" s="1"/>
  <c r="J2574" i="1"/>
  <c r="J2575" i="1" l="1"/>
  <c r="AR2574" i="1"/>
  <c r="AS2574" i="1" s="1"/>
  <c r="AT2574" i="1" s="1"/>
  <c r="J2576" i="1" l="1"/>
  <c r="AR2575" i="1"/>
  <c r="AS2575" i="1" s="1"/>
  <c r="AT2575" i="1" s="1"/>
  <c r="J2577" i="1" l="1"/>
  <c r="AR2576" i="1"/>
  <c r="AS2576" i="1" s="1"/>
  <c r="AT2576" i="1" s="1"/>
  <c r="AR2577" i="1" l="1"/>
  <c r="AS2577" i="1" s="1"/>
  <c r="AT2577" i="1" s="1"/>
  <c r="J2578" i="1"/>
  <c r="AR2578" i="1" l="1"/>
  <c r="AS2578" i="1" s="1"/>
  <c r="AT2578" i="1" s="1"/>
  <c r="J2579" i="1"/>
  <c r="AR2579" i="1" l="1"/>
  <c r="AS2579" i="1" s="1"/>
  <c r="AT2579" i="1" s="1"/>
  <c r="J2580" i="1"/>
  <c r="J2581" i="1" l="1"/>
  <c r="AR2580" i="1"/>
  <c r="AS2580" i="1" s="1"/>
  <c r="AT2580" i="1" s="1"/>
  <c r="AR2581" i="1" l="1"/>
  <c r="AS2581" i="1" s="1"/>
  <c r="AT2581" i="1" s="1"/>
  <c r="J2582" i="1"/>
  <c r="AR2582" i="1" l="1"/>
  <c r="AS2582" i="1" s="1"/>
  <c r="AT2582" i="1" s="1"/>
  <c r="J2583" i="1"/>
  <c r="AR2583" i="1" l="1"/>
  <c r="AS2583" i="1" s="1"/>
  <c r="AT2583" i="1" s="1"/>
  <c r="J2584" i="1"/>
  <c r="AR2584" i="1" l="1"/>
  <c r="AS2584" i="1" s="1"/>
  <c r="AT2584" i="1" s="1"/>
  <c r="J2585" i="1"/>
  <c r="J2586" i="1" l="1"/>
  <c r="AR2585" i="1"/>
  <c r="AS2585" i="1" s="1"/>
  <c r="AT2585" i="1" s="1"/>
  <c r="AR2586" i="1" l="1"/>
  <c r="AS2586" i="1" s="1"/>
  <c r="AT2586" i="1" s="1"/>
  <c r="J2587" i="1"/>
  <c r="J2588" i="1" l="1"/>
  <c r="AR2587" i="1"/>
  <c r="AS2587" i="1" s="1"/>
  <c r="AT2587" i="1" s="1"/>
  <c r="AR2588" i="1" l="1"/>
  <c r="AS2588" i="1" s="1"/>
  <c r="AT2588" i="1" s="1"/>
  <c r="J2589" i="1"/>
  <c r="J2590" i="1" l="1"/>
  <c r="AR2589" i="1"/>
  <c r="AS2589" i="1" s="1"/>
  <c r="AT2589" i="1" s="1"/>
  <c r="J2591" i="1" l="1"/>
  <c r="AR2590" i="1"/>
  <c r="AS2590" i="1" s="1"/>
  <c r="AT2590" i="1" s="1"/>
  <c r="J2592" i="1" l="1"/>
  <c r="AR2591" i="1"/>
  <c r="AS2591" i="1" s="1"/>
  <c r="AT2591" i="1" s="1"/>
  <c r="J2593" i="1" l="1"/>
  <c r="AR2592" i="1"/>
  <c r="AS2592" i="1" s="1"/>
  <c r="AT2592" i="1" s="1"/>
  <c r="AR2593" i="1" l="1"/>
  <c r="AS2593" i="1" s="1"/>
  <c r="AT2593" i="1" s="1"/>
  <c r="J2594" i="1"/>
  <c r="AR2594" i="1" l="1"/>
  <c r="AS2594" i="1" s="1"/>
  <c r="AT2594" i="1" s="1"/>
  <c r="J2595" i="1"/>
  <c r="AR2595" i="1" l="1"/>
  <c r="AS2595" i="1" s="1"/>
  <c r="AT2595" i="1" s="1"/>
  <c r="J2596" i="1"/>
  <c r="J2597" i="1" l="1"/>
  <c r="AR2596" i="1"/>
  <c r="AS2596" i="1" s="1"/>
  <c r="AT2596" i="1" s="1"/>
  <c r="J2598" i="1" l="1"/>
  <c r="AR2597" i="1"/>
  <c r="AS2597" i="1" s="1"/>
  <c r="AT2597" i="1" s="1"/>
  <c r="J2599" i="1" l="1"/>
  <c r="AR2598" i="1"/>
  <c r="AS2598" i="1" s="1"/>
  <c r="AT2598" i="1" s="1"/>
  <c r="J2600" i="1" l="1"/>
  <c r="AR2600" i="1" s="1"/>
  <c r="AS2600" i="1" s="1"/>
  <c r="AT2600" i="1" s="1"/>
  <c r="AR2599" i="1"/>
  <c r="AS2599" i="1" s="1"/>
  <c r="AT2599" i="1" s="1"/>
  <c r="J891" i="1"/>
  <c r="J892" i="1" s="1"/>
  <c r="AR892" i="1" s="1"/>
  <c r="AS892" i="1" s="1"/>
  <c r="AT892" i="1" s="1"/>
  <c r="AR891" i="1" l="1"/>
  <c r="AS891" i="1" s="1"/>
  <c r="AT891" i="1" s="1"/>
  <c r="J1101" i="1"/>
  <c r="J1102" i="1" s="1"/>
  <c r="J1103" i="1" l="1"/>
  <c r="AR1103" i="1" s="1"/>
  <c r="AS1103" i="1" s="1"/>
  <c r="AT1103" i="1" s="1"/>
  <c r="AR1102" i="1"/>
  <c r="AS1102" i="1" s="1"/>
  <c r="AT1102" i="1" s="1"/>
  <c r="AR1101" i="1"/>
  <c r="AS1101" i="1" s="1"/>
  <c r="AT1101" i="1" s="1"/>
  <c r="J2049" i="1"/>
  <c r="J2050" i="1" s="1"/>
  <c r="AR2050" i="1" s="1"/>
  <c r="AS2050" i="1" s="1"/>
  <c r="AT2050" i="1" s="1"/>
  <c r="J2333" i="1"/>
  <c r="J2334" i="1" s="1"/>
  <c r="AR2334" i="1" s="1"/>
  <c r="AS2334" i="1" s="1"/>
  <c r="AT2334" i="1" s="1"/>
  <c r="AR2049" i="1" l="1"/>
  <c r="AS2049" i="1" s="1"/>
  <c r="AT2049" i="1" s="1"/>
  <c r="AR2333" i="1"/>
  <c r="AS2333" i="1" s="1"/>
  <c r="AT2333" i="1" s="1"/>
  <c r="J1168" i="1"/>
  <c r="J1169" i="1" s="1"/>
  <c r="AR1169" i="1" s="1"/>
  <c r="AS1169" i="1" s="1"/>
  <c r="AT1169" i="1" s="1"/>
  <c r="AR1168" i="1" l="1"/>
  <c r="AS1168" i="1" s="1"/>
  <c r="AT116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<sst xmlns="http://schemas.openxmlformats.org/spreadsheetml/2006/main" count="11861" uniqueCount="711">
  <si>
    <t>Team</t>
  </si>
  <si>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</si>
  <si>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</si>
  <si>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</si>
  <si>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</si>
  <si>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</si>
  <si>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</si>
  <si>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</si>
  <si>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</si>
  <si>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</si>
  <si>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</si>
  <si>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Zone Entry/Exit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</si>
  <si>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</si>
  <si>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</si>
  <si>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</si>
  <si>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</si>
  <si>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</si>
  <si>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</si>
  <si>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</si>
  <si>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</si>
  <si>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</si>
  <si>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</si>
  <si>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</si>
  <si>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</si>
  <si>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</si>
  <si>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</si>
  <si>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</si>
  <si>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</si>
  <si>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</si>
  <si>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</si>
  <si>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</si>
  <si>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</si>
  <si>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</si>
  <si>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</si>
  <si>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</si>
  <si>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</si>
  <si>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</si>
  <si>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</si>
  <si>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</si>
  <si>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</si>
  <si>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</si>
  <si>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</si>
  <si>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</si>
  <si>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</si>
  <si>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</si>
  <si>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</si>
  <si>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</si>
  <si>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</si>
  <si>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</si>
  <si>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</si>
  <si>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</si>
  <si>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</si>
  <si>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</si>
  <si>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</si>
  <si>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</si>
  <si>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</si>
  <si>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</si>
  <si>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</si>
  <si>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</si>
  <si>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</si>
  <si>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</si>
  <si>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</si>
  <si>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</si>
  <si>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</si>
  <si>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</si>
  <si>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</si>
  <si>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</si>
  <si>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</si>
  <si>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</si>
  <si>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</si>
  <si>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</si>
  <si>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</si>
  <si>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</si>
  <si>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</si>
  <si>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</si>
  <si>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</si>
  <si>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</si>
  <si>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</si>
  <si>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</si>
  <si>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</si>
  <si>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</si>
  <si>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</si>
  <si>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</si>
  <si>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</si>
  <si>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</si>
  <si>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</si>
  <si>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</si>
  <si>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</si>
  <si>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</si>
  <si>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</si>
  <si>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</si>
  <si>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</si>
  <si>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</si>
  <si>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</si>
  <si>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</si>
  <si>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</si>
  <si>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</si>
  <si>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</si>
  <si>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</si>
  <si>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</si>
  <si>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</si>
  <si>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</si>
  <si>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</si>
  <si>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</si>
  <si>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</si>
  <si>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</si>
  <si>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</si>
  <si>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</si>
  <si>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</si>
  <si>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</si>
  <si>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</si>
  <si>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</si>
  <si>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</si>
  <si>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</si>
  <si>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</si>
  <si>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</si>
  <si>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</si>
  <si>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</si>
  <si>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</si>
  <si>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</si>
  <si>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</si>
  <si>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</si>
  <si>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</si>
  <si>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</si>
  <si>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</si>
  <si>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</si>
  <si>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</si>
  <si>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</si>
  <si>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</si>
  <si>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</si>
  <si>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</si>
  <si>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</si>
  <si>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</si>
  <si>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</si>
  <si>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</si>
  <si>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</si>
  <si>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</si>
  <si>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</si>
  <si>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</si>
  <si>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</si>
  <si>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</si>
  <si>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</si>
  <si>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</si>
  <si>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</si>
  <si>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</si>
  <si>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</si>
  <si>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</si>
  <si>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</si>
  <si>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</si>
  <si>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</si>
  <si>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</si>
  <si>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</si>
  <si>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</si>
  <si>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</si>
  <si>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</si>
  <si>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</si>
  <si>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</si>
  <si>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</si>
  <si>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</si>
  <si>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</si>
  <si>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</si>
  <si>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</si>
  <si>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</si>
  <si>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</si>
  <si>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</si>
  <si>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</si>
  <si>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</si>
  <si>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</si>
  <si>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</si>
  <si>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NHL Net</t>
  </si>
  <si>
    <t>X</t>
  </si>
  <si>
    <t>Y</t>
  </si>
  <si>
    <t>Max</t>
  </si>
  <si>
    <t>Min</t>
  </si>
  <si>
    <t>PostX</t>
  </si>
  <si>
    <t>PostY</t>
  </si>
  <si>
    <t>Total Max</t>
  </si>
  <si>
    <t>Total Min</t>
  </si>
  <si>
    <t>Home</t>
  </si>
  <si>
    <t>Away</t>
  </si>
  <si>
    <t>Save-Rebound</t>
  </si>
  <si>
    <t>Save-Freeze</t>
  </si>
  <si>
    <t>ZoneEntry-Other</t>
  </si>
  <si>
    <t>ZoneExit-Other</t>
  </si>
  <si>
    <t>Stoppage-Play</t>
  </si>
  <si>
    <t>Stoppage-Period</t>
  </si>
  <si>
    <t>PenaltyShot/Shootout</t>
  </si>
  <si>
    <t>Penalty-Minor</t>
  </si>
  <si>
    <t>Penalty-Major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</si>
  <si>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</si>
  <si>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</si>
  <si>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</si>
  <si>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</si>
  <si>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</si>
  <si>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</si>
  <si>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</si>
  <si>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</si>
  <si>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</si>
  <si>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</si>
  <si>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</si>
  <si>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</si>
  <si>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</si>
  <si>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</si>
  <si>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</si>
  <si>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</si>
  <si>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</si>
  <si>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</si>
  <si>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</si>
  <si>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</si>
  <si>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</si>
  <si>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</si>
  <si>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</si>
  <si>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</si>
  <si>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</si>
  <si>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</si>
  <si>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</si>
  <si>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</si>
  <si>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</si>
  <si>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</si>
  <si>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</si>
  <si>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</si>
  <si>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</si>
  <si>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</si>
  <si>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</si>
  <si>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</si>
  <si>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</si>
  <si>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</si>
  <si>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</si>
  <si>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</si>
  <si>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</si>
  <si>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</si>
  <si>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</si>
  <si>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</si>
  <si>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</si>
  <si>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</si>
  <si>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</si>
  <si>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</si>
  <si>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</si>
  <si>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</si>
  <si>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</si>
  <si>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</si>
  <si>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</si>
  <si>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</si>
  <si>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</si>
  <si>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</si>
  <si>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</si>
  <si>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</si>
  <si>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</si>
  <si>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NextPlay</t>
  </si>
  <si>
    <t>OnIcePlayers</t>
  </si>
  <si>
    <t>EventPlayers</t>
  </si>
  <si>
    <t>OppPlayers</t>
  </si>
  <si>
    <t>Scorer</t>
  </si>
  <si>
    <t>Goalie, Defenders in Front</t>
  </si>
  <si>
    <t>All</t>
  </si>
  <si>
    <t>Winner, Next Player to Touch</t>
  </si>
  <si>
    <t>Loser</t>
  </si>
  <si>
    <t>None</t>
  </si>
  <si>
    <t>ChangePossession</t>
  </si>
  <si>
    <t>Pass_Intercepted, Pass/ShotMissed Other Team Possession</t>
  </si>
  <si>
    <t>Passer/Shooter, Intended Recipient</t>
  </si>
  <si>
    <t>Intercepteor/Blocker</t>
  </si>
  <si>
    <t>In Play</t>
  </si>
  <si>
    <t>Player who turned over</t>
  </si>
  <si>
    <t>Player who received turnover</t>
  </si>
  <si>
    <t>ShotSaved</t>
  </si>
  <si>
    <t>SequecnceDefinition</t>
  </si>
  <si>
    <t>PlayDefinition</t>
  </si>
  <si>
    <t>Series of possession, passes that lead to shot or zone entry/exit</t>
  </si>
  <si>
    <t>Loose puck to loose puck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</si>
  <si>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</si>
  <si>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</si>
  <si>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</si>
  <si>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</si>
  <si>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</si>
  <si>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</si>
  <si>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</si>
  <si>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</si>
  <si>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Involved</t>
  </si>
  <si>
    <t>Invoived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</si>
  <si>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</si>
  <si>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</si>
  <si>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</si>
  <si>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</si>
  <si>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</si>
  <si>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</si>
  <si>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</si>
  <si>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</si>
  <si>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</si>
  <si>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</si>
  <si>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</si>
  <si>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</si>
  <si>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event_team_player_2</t>
  </si>
  <si>
    <t>event_team_player_1</t>
  </si>
  <si>
    <t>event_team_player_3</t>
  </si>
  <si>
    <t>event_team_player_4</t>
  </si>
  <si>
    <t>event_team_player_5</t>
  </si>
  <si>
    <t>event_team_player_6</t>
  </si>
  <si>
    <t>opp_team_player_1</t>
  </si>
  <si>
    <t>opp_team_player_2</t>
  </si>
  <si>
    <t>opp_team_player_3</t>
  </si>
  <si>
    <t>opp_team_player_4</t>
  </si>
  <si>
    <t>opp_team_player_5</t>
  </si>
  <si>
    <t>opp_team_player_6</t>
  </si>
  <si>
    <t>-</t>
  </si>
  <si>
    <t>Velodrome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</si>
  <si>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</si>
  <si>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</si>
  <si>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</si>
  <si>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</si>
  <si>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</si>
  <si>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</si>
  <si>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</si>
  <si>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</si>
  <si>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</si>
  <si>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</si>
  <si>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</si>
  <si>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</si>
  <si>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</si>
  <si>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</si>
  <si>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</si>
  <si>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</si>
  <si>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</si>
  <si>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</si>
  <si>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</si>
  <si>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</si>
  <si>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</si>
  <si>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</si>
  <si>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</si>
  <si>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</si>
  <si>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</si>
  <si>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</si>
  <si>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</si>
  <si>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</si>
  <si>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</si>
  <si>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</si>
  <si>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</si>
  <si>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</si>
  <si>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</si>
  <si>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</si>
  <si>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</si>
  <si>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</si>
  <si>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</si>
  <si>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</si>
  <si>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</si>
  <si>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</si>
  <si>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</si>
  <si>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</si>
  <si>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</si>
  <si>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</si>
  <si>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</si>
  <si>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</si>
  <si>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</si>
  <si>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</si>
  <si>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</si>
  <si>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</si>
  <si>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</si>
  <si>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</si>
  <si>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</si>
  <si>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</si>
  <si>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</si>
  <si>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</si>
  <si>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</si>
  <si>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</si>
  <si>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</si>
  <si>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</si>
  <si>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</si>
  <si>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</si>
  <si>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</si>
  <si>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</si>
  <si>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</si>
  <si>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</si>
  <si>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</si>
  <si>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</si>
  <si>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</si>
  <si>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</si>
  <si>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</si>
  <si>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</si>
  <si>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</si>
  <si>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</si>
  <si>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</si>
  <si>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</si>
  <si>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</si>
  <si>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</si>
  <si>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</si>
  <si>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</si>
  <si>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</si>
  <si>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</si>
  <si>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</si>
  <si>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</si>
  <si>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</si>
  <si>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</si>
  <si>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</si>
  <si>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</si>
  <si>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</si>
  <si>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</si>
  <si>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</si>
  <si>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</si>
  <si>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</si>
  <si>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</si>
  <si>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</si>
  <si>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</si>
  <si>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</si>
  <si>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</si>
  <si>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</si>
  <si>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</si>
  <si>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</si>
  <si>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</si>
  <si>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Zone breakout pass also add pass</t>
  </si>
  <si>
    <t>Turnover (any kind) also add pass/shot/etc</t>
  </si>
  <si>
    <t>Zone dumoin/clear that results in turnover list both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</si>
  <si>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</si>
  <si>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</si>
  <si>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</si>
  <si>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</si>
  <si>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</si>
  <si>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</si>
  <si>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</si>
  <si>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</si>
  <si>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</si>
  <si>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</si>
  <si>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</si>
  <si>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</si>
  <si>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</si>
  <si>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</si>
  <si>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</si>
  <si>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</si>
  <si>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</si>
  <si>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</si>
  <si>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</si>
  <si>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</si>
  <si>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</si>
  <si>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</si>
  <si>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</si>
  <si>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</si>
  <si>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</si>
  <si>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</si>
  <si>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</si>
  <si>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</si>
  <si>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</si>
  <si>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</si>
  <si>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</si>
  <si>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</si>
  <si>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</si>
  <si>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</si>
  <si>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</si>
  <si>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</si>
  <si>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</si>
  <si>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</si>
  <si>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</si>
  <si>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</si>
  <si>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</si>
  <si>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</si>
  <si>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</si>
  <si>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</si>
  <si>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</si>
  <si>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</si>
  <si>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</si>
  <si>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</si>
  <si>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</si>
  <si>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</si>
  <si>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</si>
  <si>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</si>
  <si>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Nelson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</si>
  <si>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</si>
  <si>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</si>
  <si>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</si>
  <si>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</si>
  <si>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</si>
  <si>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</si>
  <si>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</si>
  <si>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01</t>
  </si>
  <si>
    <t>17</t>
  </si>
  <si>
    <t>03</t>
  </si>
  <si>
    <t>02</t>
  </si>
  <si>
    <t>00</t>
  </si>
  <si>
    <t>06</t>
  </si>
  <si>
    <t>16</t>
  </si>
  <si>
    <t>15</t>
  </si>
  <si>
    <t>59</t>
  </si>
  <si>
    <t>04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</si>
  <si>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</si>
  <si>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</si>
  <si>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</si>
  <si>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</si>
  <si>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</si>
  <si>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</si>
  <si>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</si>
  <si>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</si>
  <si>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</si>
  <si>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</si>
  <si>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</si>
  <si>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</si>
  <si>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</si>
  <si>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</si>
  <si>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</si>
  <si>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</si>
  <si>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</si>
  <si>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</si>
  <si>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</si>
  <si>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</si>
  <si>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</si>
  <si>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</si>
  <si>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</si>
  <si>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</si>
  <si>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</si>
  <si>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</si>
  <si>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</si>
  <si>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</si>
  <si>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</si>
  <si>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</si>
  <si>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</si>
  <si>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</si>
  <si>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</si>
  <si>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</si>
  <si>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</si>
  <si>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</si>
  <si>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</si>
  <si>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</si>
  <si>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</si>
  <si>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</si>
  <si>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</si>
  <si>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</si>
  <si>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</si>
  <si>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</si>
  <si>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</si>
  <si>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</si>
  <si>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</si>
  <si>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</si>
  <si>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</si>
  <si>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</si>
  <si>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3</t>
  </si>
  <si>
    <t>0</t>
  </si>
  <si>
    <t>4</t>
  </si>
  <si>
    <t>2</t>
  </si>
  <si>
    <t>ZoneEntry-CausedTurnover</t>
  </si>
  <si>
    <t>ZoneExit-CausedTurnover</t>
  </si>
  <si>
    <t>9</t>
  </si>
  <si>
    <t>8</t>
  </si>
  <si>
    <t>7</t>
  </si>
  <si>
    <t>5</t>
  </si>
  <si>
    <t>6</t>
  </si>
  <si>
    <t>Save-Shoulder</t>
  </si>
  <si>
    <t>1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</si>
  <si>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</si>
  <si>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</si>
  <si>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</si>
  <si>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</si>
  <si>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</si>
  <si>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</si>
  <si>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</si>
  <si>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</si>
  <si>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</si>
  <si>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</si>
  <si>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</si>
  <si>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</si>
  <si>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</si>
  <si>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</si>
  <si>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</si>
  <si>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</si>
  <si>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</si>
  <si>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</si>
  <si>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</si>
  <si>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</si>
  <si>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</si>
  <si>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</si>
  <si>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</si>
  <si>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</si>
  <si>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</si>
  <si>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</si>
  <si>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</si>
  <si>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</si>
  <si>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</si>
  <si>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</si>
  <si>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</si>
  <si>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</si>
  <si>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0.01</t>
  </si>
  <si>
    <t>successful</t>
  </si>
  <si>
    <t>Assist-Secondary</t>
  </si>
  <si>
    <t>Assist-Primary</t>
  </si>
  <si>
    <t>Breakout</t>
  </si>
  <si>
    <t>label</t>
  </si>
  <si>
    <t>play_detail1</t>
  </si>
  <si>
    <t>play_detail2</t>
  </si>
  <si>
    <t>play_detail_successful</t>
  </si>
  <si>
    <t>OffensivePlay-Shot</t>
  </si>
  <si>
    <t>OffensivePlay-Pass</t>
  </si>
  <si>
    <t>OffensivePlay_Breakout</t>
  </si>
  <si>
    <t>OffensivePlay-AssistSecondary</t>
  </si>
  <si>
    <t>OffensivePlay-AssistPrimary</t>
  </si>
  <si>
    <t>DefensivePlay-BlockedShot</t>
  </si>
  <si>
    <t>DefensivePlay-PassIntercepted</t>
  </si>
  <si>
    <t>DefensivePlay-PassBlocked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</si>
  <si>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</si>
  <si>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</si>
  <si>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</si>
  <si>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</si>
  <si>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</si>
  <si>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</si>
  <si>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</si>
  <si>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</si>
  <si>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</si>
  <si>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</si>
  <si>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</si>
  <si>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</si>
  <si>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</si>
  <si>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</si>
  <si>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</si>
  <si>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</si>
  <si>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</si>
  <si>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</si>
  <si>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</si>
  <si>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</si>
  <si>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</si>
  <si>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</si>
  <si>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</si>
  <si>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</si>
  <si>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</si>
  <si>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</si>
  <si>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</si>
  <si>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</si>
  <si>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</si>
  <si>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</si>
  <si>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</si>
  <si>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</si>
  <si>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</si>
  <si>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</si>
  <si>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</si>
  <si>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</si>
  <si>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</si>
  <si>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</si>
  <si>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</si>
  <si>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</si>
  <si>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</si>
  <si>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</si>
  <si>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</si>
  <si>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</si>
  <si>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OffensivePlay-FrontofNet</t>
  </si>
  <si>
    <t>DefensivePlay-FrontofNet</t>
  </si>
  <si>
    <t>DefensivePlay-ClearingAttempt</t>
  </si>
  <si>
    <t>OffensivePlay-DumpInAttempt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</si>
  <si>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</si>
  <si>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</si>
  <si>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</si>
  <si>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</si>
  <si>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</si>
  <si>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</si>
  <si>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</si>
  <si>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</si>
  <si>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</si>
  <si>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</si>
  <si>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</si>
  <si>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End-to-End-Rush</t>
  </si>
  <si>
    <t>pre_shot_pass</t>
  </si>
  <si>
    <t>OffensivePlay-OpenIceDeke</t>
  </si>
  <si>
    <t>OffensivePlay-PuckRetrievalDumpIn</t>
  </si>
  <si>
    <t>OffensivePlay-PuckRetrievalShot</t>
  </si>
  <si>
    <t>OffensivePlay-PuckRetreivalTurnover</t>
  </si>
  <si>
    <t>OffensivePlay-PuckRetreivalPass</t>
  </si>
  <si>
    <t>DefensivePlay-PuckRetrievalDumpIn</t>
  </si>
  <si>
    <t>DefensivePlay-PuckRetrievalShot</t>
  </si>
  <si>
    <t>DefensivePlay-PuckRetreivalTurnover</t>
  </si>
  <si>
    <t>DefensivePlay-PuckRetreivalPass</t>
  </si>
  <si>
    <t>OffensivePlay-DriveMiddle</t>
  </si>
  <si>
    <t>OffensivePlay-DriveWide</t>
  </si>
  <si>
    <t>OffensivePlay-DriveCorner</t>
  </si>
  <si>
    <t>OffensivePlay-DriveNetMiddle</t>
  </si>
  <si>
    <t>OffensivePlay-DriveNetWide</t>
  </si>
  <si>
    <t>OffensivePlay-CrashNet</t>
  </si>
  <si>
    <t>OffensivePlay-Delay</t>
  </si>
  <si>
    <t>OffensivePlay-Deke</t>
  </si>
  <si>
    <t>OffensivePlay-Chip</t>
  </si>
  <si>
    <t>OffensivePlay-Other</t>
  </si>
  <si>
    <t>OffensivePlay-DumpChase</t>
  </si>
  <si>
    <t>OffensivePlay-Forecheck</t>
  </si>
  <si>
    <t>OffensivePlay-Speed</t>
  </si>
  <si>
    <t>OffensivePlay-Dump/RimInZone</t>
  </si>
  <si>
    <t>DefensivePlay-PokeCheck</t>
  </si>
  <si>
    <t>DefensivePlay-PokeCheckFailed</t>
  </si>
  <si>
    <t>DefensivePlay-SeperateFromPuck</t>
  </si>
  <si>
    <t>DefensivePlay-Backcheck</t>
  </si>
  <si>
    <t>DefensivePlay-FroceWide</t>
  </si>
  <si>
    <t>DefensivePlay-Contain</t>
  </si>
  <si>
    <t>DefensivePlay-BeatMiddle</t>
  </si>
  <si>
    <t>DefensivePlay-BeatWide</t>
  </si>
  <si>
    <t>DefensivePlay-BeatDeke</t>
  </si>
  <si>
    <t>DefensivePlay-BeatSpeed</t>
  </si>
  <si>
    <t>DefensivePlay-BoxOut</t>
  </si>
  <si>
    <t>DefensivePlay-AttemptedClear</t>
  </si>
  <si>
    <t>DefensivePlay-Other</t>
  </si>
  <si>
    <t>DefnsivePlay-ForceedDumpin/Clear</t>
  </si>
  <si>
    <t>DefensivePlay-Pressure</t>
  </si>
  <si>
    <t>forced</t>
  </si>
  <si>
    <t>pressure</t>
  </si>
  <si>
    <t>failed_entry</t>
  </si>
  <si>
    <t>failed_exit</t>
  </si>
  <si>
    <t>botched_retreivals</t>
  </si>
  <si>
    <t>retreival_lead_to_breakout</t>
  </si>
  <si>
    <t>DefensivePlay-ZoneEntryDenial</t>
  </si>
  <si>
    <t>DefensivePlay-ZoneExitDenial</t>
  </si>
  <si>
    <t>possession_change</t>
  </si>
  <si>
    <t>side_of_puck</t>
  </si>
  <si>
    <t>Offensive</t>
  </si>
  <si>
    <t>Defensive</t>
  </si>
  <si>
    <t>OffensivePlay-Drive</t>
  </si>
  <si>
    <t>OffensivePlay-Cycle</t>
  </si>
  <si>
    <t>OffensivePlay-Breakout</t>
  </si>
  <si>
    <t>OffensivePlay-EndToEndRush</t>
  </si>
  <si>
    <t>linked_event_index</t>
  </si>
  <si>
    <t>DelayedPenalty</t>
  </si>
  <si>
    <t>Offset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</si>
</sst>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J11"/>
  <sheetViews>
    <sheetView workbookViewId="0">
      <selection activeCell="A12" sqref="A12"/>
    </sheetView>
  </sheetViews>
  <sheetFormatPr baseColWidth="10" defaultRowHeight="16" x14ac:dyDescent="0.2"/>
  <cols>
    <col min="1" max="1" width="49.6640625" customWidth="1"/>
    <col min="2" max="2" width="20.83203125" customWidth="1"/>
    <col min="3" max="3" width="26.33203125" customWidth="1"/>
    <col min="4" max="4" width="26.6640625" customWidth="1"/>
    <col min="5" max="5" width="18" customWidth="1"/>
    <col min="9" max="9" width="22" customWidth="1"/>
  </cols>
  <sheetData>
    <row r="1" spans="1:10" x14ac:dyDescent="0.2">
      <c r="A1" t="s">
        <v>247</v>
      </c>
      <c r="B1" t="s">
        <v>248</v>
      </c>
      <c r="C1" t="s">
        <v>250</v>
      </c>
      <c r="D1" t="s">
        <v>251</v>
      </c>
      <c r="E1" t="s">
        <v>249</v>
      </c>
      <c r="I1" t="s">
        <v>266</v>
      </c>
      <c r="J1" t="s">
        <v>269</v>
      </c>
    </row>
    <row r="2" spans="1:10" x14ac:dyDescent="0.2">
      <c r="A2" t="s">
        <v>9</v>
      </c>
      <c r="B2" t="s">
        <v>13</v>
      </c>
      <c r="C2" t="s">
        <v>252</v>
      </c>
      <c r="D2" t="s">
        <v>253</v>
      </c>
      <c r="E2" t="s">
        <v>254</v>
      </c>
    </row>
    <row r="3" spans="1:10" x14ac:dyDescent="0.2">
      <c r="A3" t="s">
        <v>13</v>
      </c>
      <c r="B3" t="s">
        <v>6</v>
      </c>
      <c r="C3" t="s">
        <v>255</v>
      </c>
      <c r="D3" t="s">
        <v>256</v>
      </c>
      <c r="E3" t="s">
        <v>257</v>
      </c>
      <c r="I3" t="s">
        <v>267</v>
      </c>
      <c r="J3" t="s">
        <v>268</v>
      </c>
    </row>
    <row r="4" spans="1:10" x14ac:dyDescent="0.2">
      <c r="A4" t="s">
        <v>259</v>
      </c>
      <c r="B4" t="s">
        <v>10</v>
      </c>
      <c r="C4" t="s">
        <v>260</v>
      </c>
      <c r="D4" t="s">
        <v>261</v>
      </c>
      <c r="E4" t="s">
        <v>262</v>
      </c>
    </row>
    <row r="5" spans="1:10" x14ac:dyDescent="0.2">
      <c r="A5" t="s">
        <v>10</v>
      </c>
      <c r="B5" t="s">
        <v>258</v>
      </c>
      <c r="C5" t="s">
        <v>263</v>
      </c>
      <c r="D5" t="s">
        <v>264</v>
      </c>
      <c r="E5" t="s">
        <v>262</v>
      </c>
    </row>
    <row r="6" spans="1:10" x14ac:dyDescent="0.2">
      <c r="A6" t="s">
        <v>265</v>
      </c>
      <c r="B6" t="s">
        <v>17</v>
      </c>
    </row>
    <row r="9" spans="1:10" x14ac:dyDescent="0.2">
      <c r="A9" t="s">
        <v>408</v>
      </c>
    </row>
    <row r="10" spans="1:10" x14ac:dyDescent="0.2">
      <c r="A10" t="s">
        <v>409</v>
      </c>
    </row>
    <row r="11" spans="1:10" x14ac:dyDescent="0.2">
      <c r="A11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CQ98"/>
  <sheetViews>
    <sheetView topLeftCell="BR1" workbookViewId="0">
      <selection activeCell="CA11" sqref="CA11"/>
    </sheetView>
  </sheetViews>
  <sheetFormatPr baseColWidth="10" defaultRowHeight="16" x14ac:dyDescent="0.2"/>
  <cols>
    <col min="21" max="21" width="16.6640625" customWidth="1"/>
    <col min="22" max="22" width="25.5" customWidth="1"/>
    <col min="23" max="23" width="16.5" customWidth="1"/>
    <col min="28" max="28" width="19.33203125" customWidth="1"/>
    <col min="29" max="29" width="19.6640625" customWidth="1"/>
    <col min="30" max="30" width="18.5" customWidth="1"/>
    <col min="31" max="31" width="17.33203125" customWidth="1"/>
    <col min="36" max="36" width="18.5" customWidth="1"/>
    <col min="38" max="38" width="23.83203125" bestFit="1" customWidth="1"/>
    <col min="41" max="41" width="28.83203125" bestFit="1" customWidth="1"/>
    <col min="43" max="43" width="27.5" customWidth="1"/>
    <col min="46" max="46" width="21.5" customWidth="1"/>
    <col min="55" max="55" width="24.33203125" customWidth="1"/>
    <col min="85" max="85" width="25.6640625" customWidth="1"/>
    <col min="86" max="86" width="21.5" customWidth="1"/>
    <col min="93" max="93" width="32.33203125" customWidth="1"/>
    <col min="94" max="94" width="7.6640625" customWidth="1"/>
    <col min="95" max="95" width="32" bestFit="1" customWidth="1"/>
  </cols>
  <sheetData>
    <row r="1" spans="1:95" s="3" customFormat="1" ht="51" x14ac:dyDescent="0.2">
      <c r="A1" s="3" t="s">
        <v>2</v>
      </c>
      <c r="C1" s="3" t="s">
        <v>52</v>
      </c>
      <c r="E1" s="3" t="s">
        <v>144</v>
      </c>
      <c r="G1" s="3" t="s">
        <v>3</v>
      </c>
      <c r="I1" s="3" t="s">
        <v>4</v>
      </c>
      <c r="K1" s="3" t="s">
        <v>0</v>
      </c>
      <c r="N1" s="3" t="s">
        <v>169</v>
      </c>
      <c r="O1" s="3" t="s">
        <v>172</v>
      </c>
      <c r="P1" s="3" t="s">
        <v>173</v>
      </c>
      <c r="Q1" s="3" t="s">
        <v>176</v>
      </c>
      <c r="R1" s="3" t="s">
        <v>177</v>
      </c>
      <c r="T1" s="3" t="s">
        <v>247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186</v>
      </c>
      <c r="AC1" s="3" t="s">
        <v>13</v>
      </c>
      <c r="AD1" s="3" t="s">
        <v>16</v>
      </c>
      <c r="AE1" s="3" t="s">
        <v>17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188</v>
      </c>
      <c r="AP1" s="3" t="s">
        <v>187</v>
      </c>
      <c r="AQ1" s="3" t="s">
        <v>38</v>
      </c>
      <c r="AR1" s="3" t="s">
        <v>184</v>
      </c>
      <c r="AS1" s="3" t="s">
        <v>185</v>
      </c>
      <c r="AT1" s="3" t="s">
        <v>123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180</v>
      </c>
      <c r="BB1" s="3" t="s">
        <v>181</v>
      </c>
      <c r="BC1" s="3" t="s">
        <v>222</v>
      </c>
      <c r="BD1" s="3" t="s">
        <v>198</v>
      </c>
      <c r="BE1" s="3" t="s">
        <v>208</v>
      </c>
      <c r="BF1" s="3" t="s">
        <v>215</v>
      </c>
      <c r="BG1" s="3" t="s">
        <v>218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230</v>
      </c>
      <c r="BN1" s="3" t="s">
        <v>231</v>
      </c>
      <c r="BO1" s="3" t="s">
        <v>232</v>
      </c>
      <c r="BP1" s="3" t="s">
        <v>441</v>
      </c>
      <c r="BQ1" s="3" t="s">
        <v>270</v>
      </c>
      <c r="BR1" s="3" t="s">
        <v>445</v>
      </c>
      <c r="BS1" s="3" t="s">
        <v>446</v>
      </c>
      <c r="BT1" t="s">
        <v>15</v>
      </c>
      <c r="BU1" t="s">
        <v>6</v>
      </c>
      <c r="BV1" t="s">
        <v>257</v>
      </c>
      <c r="CA1" s="3" t="s">
        <v>397</v>
      </c>
      <c r="CC1" s="3" t="s">
        <v>398</v>
      </c>
      <c r="CE1" s="3" t="s">
        <v>581</v>
      </c>
      <c r="CG1" s="3" t="s">
        <v>582</v>
      </c>
      <c r="CH1" s="3" t="s">
        <v>583</v>
      </c>
      <c r="CL1" s="3" t="s">
        <v>702</v>
      </c>
      <c r="CM1" s="3" t="s">
        <v>703</v>
      </c>
      <c r="CO1" s="3" t="s">
        <v>702</v>
      </c>
      <c r="CQ1" s="3" t="s">
        <v>703</v>
      </c>
    </row>
    <row r="2" spans="1:95" x14ac:dyDescent="0.2">
      <c r="K2" t="s">
        <v>178</v>
      </c>
      <c r="L2" t="str">
        <f>K3</f>
        <v>Away</v>
      </c>
      <c r="N2" t="s">
        <v>170</v>
      </c>
      <c r="O2" s="2">
        <v>36</v>
      </c>
      <c r="P2" s="2">
        <v>-36</v>
      </c>
      <c r="Q2" s="2">
        <f>O2+O4</f>
        <v>38.375</v>
      </c>
      <c r="R2" s="2">
        <f>P2-O4</f>
        <v>-38.375</v>
      </c>
      <c r="T2" t="s">
        <v>445</v>
      </c>
      <c r="U2" t="s">
        <v>197</v>
      </c>
      <c r="V2" t="s">
        <v>222</v>
      </c>
      <c r="W2" t="s">
        <v>189</v>
      </c>
      <c r="X2" t="s">
        <v>230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67</v>
      </c>
      <c r="AG2" t="s">
        <v>67</v>
      </c>
      <c r="AH2" t="s">
        <v>67</v>
      </c>
      <c r="AI2" t="s">
        <v>67</v>
      </c>
      <c r="AJ2" t="s">
        <v>73</v>
      </c>
      <c r="AK2" t="s">
        <v>81</v>
      </c>
      <c r="AL2" t="s">
        <v>87</v>
      </c>
      <c r="AM2" t="s">
        <v>90</v>
      </c>
      <c r="AN2" t="s">
        <v>93</v>
      </c>
      <c r="AO2" t="s">
        <v>124</v>
      </c>
      <c r="AP2" t="s">
        <v>124</v>
      </c>
      <c r="AQ2" t="s">
        <v>124</v>
      </c>
      <c r="AR2" t="s">
        <v>108</v>
      </c>
      <c r="AS2" t="s">
        <v>105</v>
      </c>
      <c r="AT2" t="s">
        <v>113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96</v>
      </c>
      <c r="BB2" t="s">
        <v>96</v>
      </c>
      <c r="BC2" t="s">
        <v>53</v>
      </c>
      <c r="BD2" t="s">
        <v>53</v>
      </c>
      <c r="BE2" t="s">
        <v>53</v>
      </c>
      <c r="BF2" t="s">
        <v>53</v>
      </c>
      <c r="BG2" t="s">
        <v>64</v>
      </c>
      <c r="BH2" t="s">
        <v>64</v>
      </c>
      <c r="BI2" t="s">
        <v>56</v>
      </c>
      <c r="BJ2" t="s">
        <v>53</v>
      </c>
      <c r="BL2" t="s">
        <v>64</v>
      </c>
      <c r="BM2" t="s">
        <v>233</v>
      </c>
      <c r="BN2" t="s">
        <v>233</v>
      </c>
      <c r="BO2" t="s">
        <v>233</v>
      </c>
      <c r="BP2" t="s">
        <v>96</v>
      </c>
      <c r="BQ2" t="s">
        <v>271</v>
      </c>
      <c r="BS2" t="s">
        <v>559</v>
      </c>
      <c r="BT2" t="s">
        <v>545</v>
      </c>
      <c r="BU2" t="s">
        <v>7</v>
      </c>
      <c r="BV2" t="s">
        <v>254</v>
      </c>
      <c r="BX2" t="s">
        <v>293</v>
      </c>
      <c r="BY2" t="s">
        <v>424</v>
      </c>
      <c r="CA2" t="s">
        <v>338</v>
      </c>
      <c r="CC2" t="s">
        <v>304</v>
      </c>
      <c r="CE2" t="s">
        <v>579</v>
      </c>
      <c r="CG2" t="s">
        <v>663</v>
      </c>
      <c r="CJ2" t="s">
        <v>702</v>
      </c>
      <c r="CL2" t="s">
        <v>704</v>
      </c>
      <c r="CO2" t="s">
        <v>663</v>
      </c>
      <c r="CQ2" t="s">
        <v>677</v>
      </c>
    </row>
    <row r="3" spans="1:95" x14ac:dyDescent="0.2">
      <c r="A3" t="s">
        <v>6</v>
      </c>
      <c r="B3" t="s">
        <v>257</v>
      </c>
      <c r="C3" t="s">
        <v>6</v>
      </c>
      <c r="E3" t="s">
        <v>53</v>
      </c>
      <c r="G3" t="s">
        <v>145</v>
      </c>
      <c r="I3" t="s">
        <v>158</v>
      </c>
      <c r="K3" t="s">
        <v>179</v>
      </c>
      <c r="L3" t="str">
        <f>K2</f>
        <v>Home</v>
      </c>
      <c r="N3" t="s">
        <v>171</v>
      </c>
      <c r="O3" s="2">
        <v>24</v>
      </c>
      <c r="P3" s="2">
        <v>-24</v>
      </c>
      <c r="Q3" s="2">
        <f>O3+O5</f>
        <v>26.375</v>
      </c>
      <c r="R3" s="2">
        <v>-24</v>
      </c>
      <c r="T3" t="s">
        <v>446</v>
      </c>
      <c r="U3" t="s">
        <v>207</v>
      </c>
      <c r="V3" t="s">
        <v>198</v>
      </c>
      <c r="W3" t="s">
        <v>199</v>
      </c>
      <c r="X3" t="s">
        <v>231</v>
      </c>
      <c r="Y3" t="s">
        <v>200</v>
      </c>
      <c r="Z3" t="s">
        <v>201</v>
      </c>
      <c r="AA3" t="s">
        <v>202</v>
      </c>
      <c r="AB3" t="s">
        <v>203</v>
      </c>
      <c r="AC3" t="s">
        <v>204</v>
      </c>
      <c r="AD3" t="s">
        <v>205</v>
      </c>
      <c r="AE3" t="s">
        <v>206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82</v>
      </c>
      <c r="AL3" t="s">
        <v>88</v>
      </c>
      <c r="AM3" t="s">
        <v>91</v>
      </c>
      <c r="AN3" t="s">
        <v>94</v>
      </c>
      <c r="AO3" t="s">
        <v>125</v>
      </c>
      <c r="AP3" t="s">
        <v>125</v>
      </c>
      <c r="AQ3" t="s">
        <v>125</v>
      </c>
      <c r="AR3" t="s">
        <v>109</v>
      </c>
      <c r="AS3" t="s">
        <v>106</v>
      </c>
      <c r="AT3" t="s">
        <v>116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97</v>
      </c>
      <c r="BB3" t="s">
        <v>97</v>
      </c>
      <c r="BC3" t="s">
        <v>54</v>
      </c>
      <c r="BD3" t="s">
        <v>54</v>
      </c>
      <c r="BE3" t="s">
        <v>54</v>
      </c>
      <c r="BF3" t="s">
        <v>54</v>
      </c>
      <c r="BG3" t="s">
        <v>53</v>
      </c>
      <c r="BH3" t="s">
        <v>53</v>
      </c>
      <c r="BI3" t="s">
        <v>53</v>
      </c>
      <c r="BJ3" t="s">
        <v>54</v>
      </c>
      <c r="BK3" t="s">
        <v>53</v>
      </c>
      <c r="BL3" t="s">
        <v>53</v>
      </c>
      <c r="BM3" t="s">
        <v>234</v>
      </c>
      <c r="BN3" t="s">
        <v>234</v>
      </c>
      <c r="BO3" t="s">
        <v>234</v>
      </c>
      <c r="BP3" t="s">
        <v>97</v>
      </c>
      <c r="BQ3" t="s">
        <v>272</v>
      </c>
      <c r="BR3" t="s">
        <v>546</v>
      </c>
      <c r="BS3" t="s">
        <v>560</v>
      </c>
      <c r="BU3" t="s">
        <v>8</v>
      </c>
      <c r="BV3" t="s">
        <v>278</v>
      </c>
      <c r="BX3" t="s">
        <v>292</v>
      </c>
      <c r="BY3" t="s">
        <v>425</v>
      </c>
      <c r="CA3" t="s">
        <v>340</v>
      </c>
      <c r="CC3" t="s">
        <v>345</v>
      </c>
      <c r="CE3" t="s">
        <v>578</v>
      </c>
      <c r="CG3" t="s">
        <v>664</v>
      </c>
      <c r="CJ3" t="s">
        <v>703</v>
      </c>
      <c r="CO3" t="s">
        <v>664</v>
      </c>
      <c r="CQ3" t="s">
        <v>678</v>
      </c>
    </row>
    <row r="4" spans="1:95" x14ac:dyDescent="0.2">
      <c r="A4" t="s">
        <v>7</v>
      </c>
      <c r="C4" t="s">
        <v>19</v>
      </c>
      <c r="E4" t="s">
        <v>54</v>
      </c>
      <c r="G4" t="s">
        <v>146</v>
      </c>
      <c r="I4" t="s">
        <v>159</v>
      </c>
      <c r="N4" t="s">
        <v>174</v>
      </c>
      <c r="O4" s="2">
        <v>2.375</v>
      </c>
      <c r="P4" s="2"/>
      <c r="Q4" s="2"/>
      <c r="R4" s="2"/>
      <c r="U4" t="s">
        <v>214</v>
      </c>
      <c r="V4" t="s">
        <v>208</v>
      </c>
      <c r="W4" t="s">
        <v>209</v>
      </c>
      <c r="X4" t="s">
        <v>232</v>
      </c>
      <c r="Z4" t="s">
        <v>210</v>
      </c>
      <c r="AA4" t="s">
        <v>211</v>
      </c>
      <c r="AB4" t="s">
        <v>212</v>
      </c>
      <c r="AC4" s="4" t="s">
        <v>213</v>
      </c>
      <c r="AE4" t="s">
        <v>441</v>
      </c>
      <c r="AF4" t="s">
        <v>69</v>
      </c>
      <c r="AG4" t="s">
        <v>69</v>
      </c>
      <c r="AH4" t="s">
        <v>69</v>
      </c>
      <c r="AI4" t="s">
        <v>69</v>
      </c>
      <c r="AJ4" t="s">
        <v>75</v>
      </c>
      <c r="AK4" t="s">
        <v>83</v>
      </c>
      <c r="AL4" t="s">
        <v>89</v>
      </c>
      <c r="AM4" t="s">
        <v>92</v>
      </c>
      <c r="AN4" t="s">
        <v>95</v>
      </c>
      <c r="AO4" t="s">
        <v>126</v>
      </c>
      <c r="AP4" t="s">
        <v>126</v>
      </c>
      <c r="AQ4" t="s">
        <v>126</v>
      </c>
      <c r="AR4" t="s">
        <v>111</v>
      </c>
      <c r="AS4" t="s">
        <v>41</v>
      </c>
      <c r="AT4" t="s">
        <v>117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98</v>
      </c>
      <c r="BB4" t="s">
        <v>98</v>
      </c>
      <c r="BC4" t="s">
        <v>55</v>
      </c>
      <c r="BD4" t="s">
        <v>55</v>
      </c>
      <c r="BE4" t="s">
        <v>55</v>
      </c>
      <c r="BF4" t="s">
        <v>55</v>
      </c>
      <c r="BG4" t="s">
        <v>54</v>
      </c>
      <c r="BH4" t="s">
        <v>54</v>
      </c>
      <c r="BI4" t="s">
        <v>54</v>
      </c>
      <c r="BJ4" t="s">
        <v>55</v>
      </c>
      <c r="BK4" t="s">
        <v>54</v>
      </c>
      <c r="BL4" t="s">
        <v>54</v>
      </c>
      <c r="BM4" t="s">
        <v>235</v>
      </c>
      <c r="BN4" t="s">
        <v>235</v>
      </c>
      <c r="BO4" t="s">
        <v>235</v>
      </c>
      <c r="BP4" t="s">
        <v>98</v>
      </c>
      <c r="BQ4" t="s">
        <v>273</v>
      </c>
      <c r="BR4" t="s">
        <v>547</v>
      </c>
      <c r="BS4" t="s">
        <v>561</v>
      </c>
      <c r="BU4" t="s">
        <v>9</v>
      </c>
      <c r="BV4" t="s">
        <v>254</v>
      </c>
      <c r="BX4" t="s">
        <v>294</v>
      </c>
      <c r="CA4" t="s">
        <v>341</v>
      </c>
      <c r="CC4" t="s">
        <v>346</v>
      </c>
      <c r="CE4" t="s">
        <v>580</v>
      </c>
      <c r="CG4" t="s">
        <v>665</v>
      </c>
      <c r="CO4" t="s">
        <v>665</v>
      </c>
      <c r="CQ4" t="s">
        <v>679</v>
      </c>
    </row>
    <row r="5" spans="1:95" x14ac:dyDescent="0.2">
      <c r="A5" t="s">
        <v>8</v>
      </c>
      <c r="C5" t="s">
        <v>20</v>
      </c>
      <c r="E5" t="s">
        <v>55</v>
      </c>
      <c r="G5" t="s">
        <v>147</v>
      </c>
      <c r="I5" t="s">
        <v>160</v>
      </c>
      <c r="N5" t="s">
        <v>175</v>
      </c>
      <c r="O5" s="2">
        <v>2.375</v>
      </c>
      <c r="P5" s="2"/>
      <c r="Q5" s="2"/>
      <c r="R5" s="2"/>
      <c r="U5" t="s">
        <v>275</v>
      </c>
      <c r="V5" t="s">
        <v>215</v>
      </c>
      <c r="W5" t="s">
        <v>216</v>
      </c>
      <c r="AB5" t="s">
        <v>217</v>
      </c>
      <c r="AC5" t="s">
        <v>459</v>
      </c>
      <c r="AF5" t="s">
        <v>70</v>
      </c>
      <c r="AG5" t="s">
        <v>70</v>
      </c>
      <c r="AH5" t="s">
        <v>70</v>
      </c>
      <c r="AI5" t="s">
        <v>70</v>
      </c>
      <c r="AJ5" t="s">
        <v>76</v>
      </c>
      <c r="AK5" t="s">
        <v>84</v>
      </c>
      <c r="AL5" t="s">
        <v>430</v>
      </c>
      <c r="AM5" t="s">
        <v>431</v>
      </c>
      <c r="AO5" t="s">
        <v>127</v>
      </c>
      <c r="AP5" t="s">
        <v>127</v>
      </c>
      <c r="AQ5" t="s">
        <v>127</v>
      </c>
      <c r="AR5" t="s">
        <v>112</v>
      </c>
      <c r="AT5" t="s">
        <v>120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99</v>
      </c>
      <c r="BB5" t="s">
        <v>99</v>
      </c>
      <c r="BC5" t="s">
        <v>57</v>
      </c>
      <c r="BD5" t="s">
        <v>57</v>
      </c>
      <c r="BE5" t="s">
        <v>57</v>
      </c>
      <c r="BF5" t="s">
        <v>57</v>
      </c>
      <c r="BG5" t="s">
        <v>55</v>
      </c>
      <c r="BH5" t="s">
        <v>55</v>
      </c>
      <c r="BI5" t="s">
        <v>55</v>
      </c>
      <c r="BJ5" t="s">
        <v>57</v>
      </c>
      <c r="BK5" t="s">
        <v>55</v>
      </c>
      <c r="BL5" t="s">
        <v>55</v>
      </c>
      <c r="BM5" t="s">
        <v>236</v>
      </c>
      <c r="BN5" t="s">
        <v>237</v>
      </c>
      <c r="BO5" t="s">
        <v>237</v>
      </c>
      <c r="BP5" t="s">
        <v>99</v>
      </c>
      <c r="BQ5" t="s">
        <v>274</v>
      </c>
      <c r="BR5" t="s">
        <v>548</v>
      </c>
      <c r="BS5" t="s">
        <v>562</v>
      </c>
      <c r="BU5" t="s">
        <v>10</v>
      </c>
      <c r="BV5" t="s">
        <v>278</v>
      </c>
      <c r="BX5" t="s">
        <v>295</v>
      </c>
      <c r="CA5" t="s">
        <v>342</v>
      </c>
      <c r="CC5" t="s">
        <v>347</v>
      </c>
      <c r="CE5" t="s">
        <v>652</v>
      </c>
      <c r="CG5" t="s">
        <v>666</v>
      </c>
      <c r="CO5" t="s">
        <v>666</v>
      </c>
      <c r="CQ5" t="s">
        <v>680</v>
      </c>
    </row>
    <row r="6" spans="1:95" x14ac:dyDescent="0.2">
      <c r="A6" t="s">
        <v>9</v>
      </c>
      <c r="C6" t="s">
        <v>21</v>
      </c>
      <c r="E6" t="s">
        <v>56</v>
      </c>
      <c r="G6" t="s">
        <v>148</v>
      </c>
      <c r="I6" t="s">
        <v>161</v>
      </c>
      <c r="O6" s="2"/>
      <c r="P6" s="2"/>
      <c r="Q6" s="2"/>
      <c r="R6" s="2"/>
      <c r="U6" t="s">
        <v>458</v>
      </c>
      <c r="V6" t="s">
        <v>218</v>
      </c>
      <c r="AB6" t="s">
        <v>219</v>
      </c>
      <c r="AF6" t="s">
        <v>71</v>
      </c>
      <c r="AG6" t="s">
        <v>71</v>
      </c>
      <c r="AH6" t="s">
        <v>71</v>
      </c>
      <c r="AI6" t="s">
        <v>71</v>
      </c>
      <c r="AJ6" t="s">
        <v>77</v>
      </c>
      <c r="AK6" t="s">
        <v>85</v>
      </c>
      <c r="AL6" t="s">
        <v>432</v>
      </c>
      <c r="AM6" t="s">
        <v>433</v>
      </c>
      <c r="AO6" t="s">
        <v>128</v>
      </c>
      <c r="AP6" t="s">
        <v>128</v>
      </c>
      <c r="AQ6" t="s">
        <v>128</v>
      </c>
      <c r="AR6" t="s">
        <v>114</v>
      </c>
      <c r="AT6" t="s">
        <v>121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100</v>
      </c>
      <c r="BB6" t="s">
        <v>100</v>
      </c>
      <c r="BC6" t="s">
        <v>58</v>
      </c>
      <c r="BD6" t="s">
        <v>58</v>
      </c>
      <c r="BE6" t="s">
        <v>58</v>
      </c>
      <c r="BF6" t="s">
        <v>58</v>
      </c>
      <c r="BG6" t="s">
        <v>57</v>
      </c>
      <c r="BH6" t="s">
        <v>57</v>
      </c>
      <c r="BI6" t="s">
        <v>57</v>
      </c>
      <c r="BJ6" t="s">
        <v>58</v>
      </c>
      <c r="BK6" t="s">
        <v>57</v>
      </c>
      <c r="BL6" t="s">
        <v>57</v>
      </c>
      <c r="BM6" t="s">
        <v>237</v>
      </c>
      <c r="BN6" t="s">
        <v>238</v>
      </c>
      <c r="BO6" t="s">
        <v>238</v>
      </c>
      <c r="BP6" t="s">
        <v>100</v>
      </c>
      <c r="BR6" t="s">
        <v>549</v>
      </c>
      <c r="BS6" t="s">
        <v>563</v>
      </c>
      <c r="BU6" t="s">
        <v>277</v>
      </c>
      <c r="BV6" t="s">
        <v>278</v>
      </c>
      <c r="BX6" t="s">
        <v>296</v>
      </c>
      <c r="CA6" t="s">
        <v>343</v>
      </c>
      <c r="CC6" t="s">
        <v>348</v>
      </c>
      <c r="CG6" t="s">
        <v>667</v>
      </c>
      <c r="CO6" t="s">
        <v>667</v>
      </c>
      <c r="CQ6" t="s">
        <v>681</v>
      </c>
    </row>
    <row r="7" spans="1:95" x14ac:dyDescent="0.2">
      <c r="A7" t="s">
        <v>10</v>
      </c>
      <c r="C7" t="s">
        <v>22</v>
      </c>
      <c r="E7" t="s">
        <v>57</v>
      </c>
      <c r="G7" t="s">
        <v>149</v>
      </c>
      <c r="I7" t="s">
        <v>162</v>
      </c>
      <c r="V7" t="s">
        <v>223</v>
      </c>
      <c r="AB7" t="s">
        <v>220</v>
      </c>
      <c r="AF7" t="s">
        <v>428</v>
      </c>
      <c r="AG7" t="s">
        <v>428</v>
      </c>
      <c r="AH7" t="s">
        <v>428</v>
      </c>
      <c r="AI7" t="s">
        <v>428</v>
      </c>
      <c r="AJ7" t="s">
        <v>573</v>
      </c>
      <c r="AK7" t="s">
        <v>412</v>
      </c>
      <c r="AL7" t="s">
        <v>447</v>
      </c>
      <c r="AM7" t="s">
        <v>435</v>
      </c>
      <c r="AO7" t="s">
        <v>129</v>
      </c>
      <c r="AP7" t="s">
        <v>129</v>
      </c>
      <c r="AQ7" t="s">
        <v>129</v>
      </c>
      <c r="AR7" t="s">
        <v>115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101</v>
      </c>
      <c r="BB7" t="s">
        <v>101</v>
      </c>
      <c r="BC7" t="s">
        <v>59</v>
      </c>
      <c r="BD7" t="s">
        <v>59</v>
      </c>
      <c r="BE7" t="s">
        <v>59</v>
      </c>
      <c r="BF7" t="s">
        <v>59</v>
      </c>
      <c r="BG7" t="s">
        <v>58</v>
      </c>
      <c r="BH7" t="s">
        <v>58</v>
      </c>
      <c r="BI7" t="s">
        <v>58</v>
      </c>
      <c r="BJ7" t="s">
        <v>59</v>
      </c>
      <c r="BK7" t="s">
        <v>58</v>
      </c>
      <c r="BL7" t="s">
        <v>58</v>
      </c>
      <c r="BM7" t="s">
        <v>238</v>
      </c>
      <c r="BN7" t="s">
        <v>239</v>
      </c>
      <c r="BO7" t="s">
        <v>239</v>
      </c>
      <c r="BP7" t="s">
        <v>101</v>
      </c>
      <c r="BR7" t="s">
        <v>550</v>
      </c>
      <c r="BS7" t="s">
        <v>564</v>
      </c>
      <c r="BU7" t="s">
        <v>12</v>
      </c>
      <c r="BV7" t="s">
        <v>278</v>
      </c>
      <c r="BX7" t="s">
        <v>297</v>
      </c>
      <c r="CA7" t="s">
        <v>344</v>
      </c>
      <c r="CC7" t="s">
        <v>349</v>
      </c>
      <c r="CG7" t="s">
        <v>668</v>
      </c>
      <c r="CO7" t="s">
        <v>668</v>
      </c>
      <c r="CQ7" t="s">
        <v>682</v>
      </c>
    </row>
    <row r="8" spans="1:95" x14ac:dyDescent="0.2">
      <c r="A8" t="s">
        <v>277</v>
      </c>
      <c r="C8" t="s">
        <v>23</v>
      </c>
      <c r="E8" t="s">
        <v>58</v>
      </c>
      <c r="G8" t="s">
        <v>150</v>
      </c>
      <c r="I8" t="s">
        <v>163</v>
      </c>
      <c r="V8" t="s">
        <v>221</v>
      </c>
      <c r="AF8" t="s">
        <v>429</v>
      </c>
      <c r="AG8" t="s">
        <v>429</v>
      </c>
      <c r="AH8" t="s">
        <v>429</v>
      </c>
      <c r="AI8" t="s">
        <v>429</v>
      </c>
      <c r="AJ8" t="s">
        <v>78</v>
      </c>
      <c r="AK8" t="s">
        <v>423</v>
      </c>
      <c r="AL8" t="s">
        <v>434</v>
      </c>
      <c r="AM8" t="s">
        <v>437</v>
      </c>
      <c r="AO8" t="s">
        <v>130</v>
      </c>
      <c r="AP8" t="s">
        <v>130</v>
      </c>
      <c r="AQ8" t="s">
        <v>130</v>
      </c>
      <c r="AR8" t="s">
        <v>118</v>
      </c>
      <c r="AT8" t="s">
        <v>123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102</v>
      </c>
      <c r="BB8" t="s">
        <v>102</v>
      </c>
      <c r="BC8" t="s">
        <v>60</v>
      </c>
      <c r="BD8" t="s">
        <v>60</v>
      </c>
      <c r="BE8" t="s">
        <v>60</v>
      </c>
      <c r="BF8" t="s">
        <v>60</v>
      </c>
      <c r="BG8" t="s">
        <v>59</v>
      </c>
      <c r="BH8" t="s">
        <v>59</v>
      </c>
      <c r="BI8" t="s">
        <v>59</v>
      </c>
      <c r="BJ8" t="s">
        <v>60</v>
      </c>
      <c r="BK8" t="s">
        <v>59</v>
      </c>
      <c r="BL8" t="s">
        <v>59</v>
      </c>
      <c r="BM8" t="s">
        <v>239</v>
      </c>
      <c r="BN8" t="s">
        <v>240</v>
      </c>
      <c r="BO8" t="s">
        <v>240</v>
      </c>
      <c r="BP8" t="s">
        <v>102</v>
      </c>
      <c r="BR8" t="s">
        <v>551</v>
      </c>
      <c r="BS8" t="s">
        <v>565</v>
      </c>
      <c r="BU8" t="s">
        <v>276</v>
      </c>
      <c r="BV8" t="s">
        <v>278</v>
      </c>
      <c r="BX8" t="s">
        <v>298</v>
      </c>
      <c r="CA8" t="s">
        <v>450</v>
      </c>
      <c r="CC8" t="s">
        <v>350</v>
      </c>
      <c r="CG8" t="s">
        <v>669</v>
      </c>
      <c r="CO8" t="s">
        <v>669</v>
      </c>
      <c r="CQ8" t="s">
        <v>683</v>
      </c>
    </row>
    <row r="9" spans="1:95" x14ac:dyDescent="0.2">
      <c r="A9" t="s">
        <v>12</v>
      </c>
      <c r="C9" t="s">
        <v>24</v>
      </c>
      <c r="E9" t="s">
        <v>59</v>
      </c>
      <c r="G9" t="s">
        <v>151</v>
      </c>
      <c r="I9" t="s">
        <v>164</v>
      </c>
      <c r="V9" t="s">
        <v>224</v>
      </c>
      <c r="AF9" t="s">
        <v>438</v>
      </c>
      <c r="AG9" t="s">
        <v>438</v>
      </c>
      <c r="AH9" t="s">
        <v>438</v>
      </c>
      <c r="AI9" t="s">
        <v>438</v>
      </c>
      <c r="AJ9" t="s">
        <v>79</v>
      </c>
      <c r="AK9" t="s">
        <v>86</v>
      </c>
      <c r="AL9" t="s">
        <v>436</v>
      </c>
      <c r="AM9" t="s">
        <v>536</v>
      </c>
      <c r="AO9" t="s">
        <v>131</v>
      </c>
      <c r="AP9" t="s">
        <v>131</v>
      </c>
      <c r="AQ9" t="s">
        <v>131</v>
      </c>
      <c r="AR9" t="s">
        <v>110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103</v>
      </c>
      <c r="BB9" t="s">
        <v>103</v>
      </c>
      <c r="BC9" t="s">
        <v>61</v>
      </c>
      <c r="BD9" t="s">
        <v>61</v>
      </c>
      <c r="BE9" t="s">
        <v>61</v>
      </c>
      <c r="BF9" t="s">
        <v>61</v>
      </c>
      <c r="BG9" t="s">
        <v>60</v>
      </c>
      <c r="BH9" t="s">
        <v>60</v>
      </c>
      <c r="BI9" t="s">
        <v>60</v>
      </c>
      <c r="BJ9" t="s">
        <v>61</v>
      </c>
      <c r="BK9" t="s">
        <v>60</v>
      </c>
      <c r="BL9" t="s">
        <v>60</v>
      </c>
      <c r="BM9" t="s">
        <v>240</v>
      </c>
      <c r="BN9" t="s">
        <v>241</v>
      </c>
      <c r="BO9" t="s">
        <v>241</v>
      </c>
      <c r="BP9" t="s">
        <v>103</v>
      </c>
      <c r="BR9" t="s">
        <v>552</v>
      </c>
      <c r="BS9" t="s">
        <v>566</v>
      </c>
      <c r="BU9" t="s">
        <v>13</v>
      </c>
      <c r="BV9" t="s">
        <v>257</v>
      </c>
      <c r="BX9" t="s">
        <v>299</v>
      </c>
      <c r="CA9" t="s">
        <v>709</v>
      </c>
      <c r="CC9" t="s">
        <v>339</v>
      </c>
      <c r="CG9" t="s">
        <v>670</v>
      </c>
      <c r="CO9" t="s">
        <v>670</v>
      </c>
      <c r="CQ9" t="s">
        <v>684</v>
      </c>
    </row>
    <row r="10" spans="1:95" x14ac:dyDescent="0.2">
      <c r="A10" t="s">
        <v>276</v>
      </c>
      <c r="C10" t="s">
        <v>25</v>
      </c>
      <c r="E10" t="s">
        <v>60</v>
      </c>
      <c r="G10" t="s">
        <v>152</v>
      </c>
      <c r="I10" t="s">
        <v>165</v>
      </c>
      <c r="V10" t="s">
        <v>225</v>
      </c>
      <c r="AF10" t="s">
        <v>442</v>
      </c>
      <c r="AG10" t="s">
        <v>442</v>
      </c>
      <c r="AH10" t="s">
        <v>442</v>
      </c>
      <c r="AI10" t="s">
        <v>442</v>
      </c>
      <c r="AJ10" t="s">
        <v>411</v>
      </c>
      <c r="AL10" t="s">
        <v>439</v>
      </c>
      <c r="AM10" t="s">
        <v>183</v>
      </c>
      <c r="AO10" t="s">
        <v>132</v>
      </c>
      <c r="AP10" t="s">
        <v>132</v>
      </c>
      <c r="AQ10" t="s">
        <v>132</v>
      </c>
      <c r="AR10" t="s">
        <v>107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542</v>
      </c>
      <c r="BB10" t="s">
        <v>542</v>
      </c>
      <c r="BC10" t="s">
        <v>62</v>
      </c>
      <c r="BD10" t="s">
        <v>62</v>
      </c>
      <c r="BE10" t="s">
        <v>62</v>
      </c>
      <c r="BF10" t="s">
        <v>62</v>
      </c>
      <c r="BG10" t="s">
        <v>61</v>
      </c>
      <c r="BH10" t="s">
        <v>61</v>
      </c>
      <c r="BI10" t="s">
        <v>61</v>
      </c>
      <c r="BJ10" t="s">
        <v>62</v>
      </c>
      <c r="BK10" t="s">
        <v>61</v>
      </c>
      <c r="BL10" t="s">
        <v>61</v>
      </c>
      <c r="BM10" t="s">
        <v>241</v>
      </c>
      <c r="BN10" t="s">
        <v>242</v>
      </c>
      <c r="BO10" t="s">
        <v>242</v>
      </c>
      <c r="BP10" t="s">
        <v>104</v>
      </c>
      <c r="BR10" t="s">
        <v>574</v>
      </c>
      <c r="BS10" t="s">
        <v>567</v>
      </c>
      <c r="BU10" t="s">
        <v>14</v>
      </c>
      <c r="BV10" t="s">
        <v>278</v>
      </c>
      <c r="BX10" t="s">
        <v>300</v>
      </c>
      <c r="CA10" t="s">
        <v>341</v>
      </c>
      <c r="CC10" t="s">
        <v>351</v>
      </c>
      <c r="CG10" t="s">
        <v>671</v>
      </c>
      <c r="CO10" t="s">
        <v>671</v>
      </c>
      <c r="CQ10" t="s">
        <v>685</v>
      </c>
    </row>
    <row r="11" spans="1:95" x14ac:dyDescent="0.2">
      <c r="A11" t="s">
        <v>13</v>
      </c>
      <c r="C11" t="s">
        <v>26</v>
      </c>
      <c r="E11" t="s">
        <v>61</v>
      </c>
      <c r="G11" t="s">
        <v>153</v>
      </c>
      <c r="I11" t="s">
        <v>166</v>
      </c>
      <c r="V11" t="s">
        <v>228</v>
      </c>
      <c r="AF11" t="s">
        <v>571</v>
      </c>
      <c r="AG11" t="s">
        <v>571</v>
      </c>
      <c r="AH11" t="s">
        <v>571</v>
      </c>
      <c r="AI11" t="s">
        <v>571</v>
      </c>
      <c r="AJ11" t="s">
        <v>422</v>
      </c>
      <c r="AL11" t="s">
        <v>535</v>
      </c>
      <c r="AO11" t="s">
        <v>133</v>
      </c>
      <c r="AP11" t="s">
        <v>133</v>
      </c>
      <c r="AQ11" t="s">
        <v>133</v>
      </c>
      <c r="AR11" t="s">
        <v>43</v>
      </c>
      <c r="AU11" t="s">
        <v>56</v>
      </c>
      <c r="AV11" t="s">
        <v>56</v>
      </c>
      <c r="AW11" t="s">
        <v>66</v>
      </c>
      <c r="AX11" t="s">
        <v>66</v>
      </c>
      <c r="AY11" t="s">
        <v>66</v>
      </c>
      <c r="AZ11" t="s">
        <v>66</v>
      </c>
      <c r="BA11" t="s">
        <v>570</v>
      </c>
      <c r="BB11" t="s">
        <v>570</v>
      </c>
      <c r="BC11" t="s">
        <v>63</v>
      </c>
      <c r="BD11" t="s">
        <v>63</v>
      </c>
      <c r="BE11" t="s">
        <v>63</v>
      </c>
      <c r="BF11" t="s">
        <v>63</v>
      </c>
      <c r="BG11" t="s">
        <v>62</v>
      </c>
      <c r="BH11" t="s">
        <v>62</v>
      </c>
      <c r="BI11" t="s">
        <v>62</v>
      </c>
      <c r="BJ11" t="s">
        <v>63</v>
      </c>
      <c r="BK11" t="s">
        <v>62</v>
      </c>
      <c r="BL11" t="s">
        <v>62</v>
      </c>
      <c r="BM11" t="s">
        <v>242</v>
      </c>
      <c r="BN11" t="s">
        <v>246</v>
      </c>
      <c r="BO11" t="s">
        <v>246</v>
      </c>
      <c r="BR11" t="s">
        <v>553</v>
      </c>
      <c r="BS11" t="s">
        <v>568</v>
      </c>
      <c r="BU11" t="s">
        <v>15</v>
      </c>
      <c r="BV11" t="s">
        <v>278</v>
      </c>
      <c r="BX11" t="s">
        <v>301</v>
      </c>
      <c r="CC11" t="s">
        <v>352</v>
      </c>
      <c r="CG11" t="s">
        <v>672</v>
      </c>
      <c r="CO11" t="s">
        <v>672</v>
      </c>
      <c r="CQ11" t="s">
        <v>686</v>
      </c>
    </row>
    <row r="12" spans="1:95" x14ac:dyDescent="0.2">
      <c r="A12" t="s">
        <v>14</v>
      </c>
      <c r="C12" t="s">
        <v>27</v>
      </c>
      <c r="E12" t="s">
        <v>62</v>
      </c>
      <c r="G12" t="s">
        <v>154</v>
      </c>
      <c r="I12" t="s">
        <v>167</v>
      </c>
      <c r="V12" t="s">
        <v>229</v>
      </c>
      <c r="AF12" t="s">
        <v>572</v>
      </c>
      <c r="AG12" t="s">
        <v>572</v>
      </c>
      <c r="AH12" t="s">
        <v>572</v>
      </c>
      <c r="AI12" t="s">
        <v>572</v>
      </c>
      <c r="AJ12" t="s">
        <v>440</v>
      </c>
      <c r="AL12" t="s">
        <v>182</v>
      </c>
      <c r="AO12" t="s">
        <v>134</v>
      </c>
      <c r="AP12" t="s">
        <v>134</v>
      </c>
      <c r="AQ12" t="s">
        <v>134</v>
      </c>
      <c r="AR12" t="s">
        <v>42</v>
      </c>
      <c r="AU12" t="s">
        <v>66</v>
      </c>
      <c r="AV12" t="s">
        <v>66</v>
      </c>
      <c r="BA12" t="s">
        <v>104</v>
      </c>
      <c r="BB12" t="s">
        <v>104</v>
      </c>
      <c r="BC12" t="s">
        <v>65</v>
      </c>
      <c r="BD12" t="s">
        <v>65</v>
      </c>
      <c r="BE12" t="s">
        <v>65</v>
      </c>
      <c r="BF12" t="s">
        <v>65</v>
      </c>
      <c r="BG12" t="s">
        <v>63</v>
      </c>
      <c r="BH12" t="s">
        <v>63</v>
      </c>
      <c r="BI12" t="s">
        <v>63</v>
      </c>
      <c r="BJ12" t="s">
        <v>65</v>
      </c>
      <c r="BK12" t="s">
        <v>63</v>
      </c>
      <c r="BL12" t="s">
        <v>63</v>
      </c>
      <c r="BM12" t="s">
        <v>243</v>
      </c>
      <c r="BR12" t="s">
        <v>554</v>
      </c>
      <c r="BS12" t="s">
        <v>569</v>
      </c>
      <c r="BU12" t="s">
        <v>16</v>
      </c>
      <c r="BV12" t="s">
        <v>257</v>
      </c>
      <c r="BX12" t="s">
        <v>302</v>
      </c>
      <c r="CC12" t="s">
        <v>353</v>
      </c>
      <c r="CG12" t="s">
        <v>673</v>
      </c>
      <c r="CO12" t="s">
        <v>673</v>
      </c>
      <c r="CQ12" t="s">
        <v>687</v>
      </c>
    </row>
    <row r="13" spans="1:95" x14ac:dyDescent="0.2">
      <c r="A13" t="s">
        <v>15</v>
      </c>
      <c r="C13" t="s">
        <v>28</v>
      </c>
      <c r="E13" t="s">
        <v>63</v>
      </c>
      <c r="G13" t="s">
        <v>155</v>
      </c>
      <c r="I13" t="s">
        <v>168</v>
      </c>
      <c r="V13" t="s">
        <v>281</v>
      </c>
      <c r="AF13" t="s">
        <v>72</v>
      </c>
      <c r="AG13" t="s">
        <v>72</v>
      </c>
      <c r="AH13" t="s">
        <v>72</v>
      </c>
      <c r="AI13" t="s">
        <v>72</v>
      </c>
      <c r="AJ13" t="s">
        <v>448</v>
      </c>
      <c r="AO13" t="s">
        <v>136</v>
      </c>
      <c r="AP13" t="s">
        <v>135</v>
      </c>
      <c r="AQ13" t="s">
        <v>135</v>
      </c>
      <c r="BC13" t="s">
        <v>56</v>
      </c>
      <c r="BD13" t="s">
        <v>221</v>
      </c>
      <c r="BE13" t="s">
        <v>221</v>
      </c>
      <c r="BF13" t="s">
        <v>221</v>
      </c>
      <c r="BG13" t="s">
        <v>65</v>
      </c>
      <c r="BH13" t="s">
        <v>65</v>
      </c>
      <c r="BI13" t="s">
        <v>65</v>
      </c>
      <c r="BJ13" t="s">
        <v>66</v>
      </c>
      <c r="BK13" t="s">
        <v>65</v>
      </c>
      <c r="BL13" t="s">
        <v>65</v>
      </c>
      <c r="BM13" t="s">
        <v>244</v>
      </c>
      <c r="BR13" t="s">
        <v>555</v>
      </c>
      <c r="BS13" t="s">
        <v>575</v>
      </c>
      <c r="BU13" t="s">
        <v>17</v>
      </c>
      <c r="BV13" t="s">
        <v>278</v>
      </c>
      <c r="BX13" t="s">
        <v>303</v>
      </c>
      <c r="CC13" t="s">
        <v>354</v>
      </c>
      <c r="CG13" t="s">
        <v>674</v>
      </c>
      <c r="CO13" t="s">
        <v>674</v>
      </c>
      <c r="CQ13" t="s">
        <v>688</v>
      </c>
    </row>
    <row r="14" spans="1:95" x14ac:dyDescent="0.2">
      <c r="A14" t="s">
        <v>16</v>
      </c>
      <c r="C14" t="s">
        <v>29</v>
      </c>
      <c r="E14" t="s">
        <v>64</v>
      </c>
      <c r="G14" t="s">
        <v>156</v>
      </c>
      <c r="I14" t="s">
        <v>154</v>
      </c>
      <c r="AJ14" t="s">
        <v>80</v>
      </c>
      <c r="AO14" t="s">
        <v>137</v>
      </c>
      <c r="AP14" t="s">
        <v>136</v>
      </c>
      <c r="AQ14" t="s">
        <v>136</v>
      </c>
      <c r="BC14" t="s">
        <v>66</v>
      </c>
      <c r="BD14" t="s">
        <v>66</v>
      </c>
      <c r="BE14" t="s">
        <v>66</v>
      </c>
      <c r="BF14" t="s">
        <v>66</v>
      </c>
      <c r="BG14" t="s">
        <v>66</v>
      </c>
      <c r="BH14" t="s">
        <v>66</v>
      </c>
      <c r="BI14" t="s">
        <v>66</v>
      </c>
      <c r="BJ14" t="s">
        <v>64</v>
      </c>
      <c r="BK14" t="s">
        <v>66</v>
      </c>
      <c r="BL14" t="s">
        <v>66</v>
      </c>
      <c r="BM14" t="s">
        <v>245</v>
      </c>
      <c r="BR14" t="s">
        <v>556</v>
      </c>
      <c r="BS14" t="s">
        <v>554</v>
      </c>
      <c r="BU14" t="s">
        <v>18</v>
      </c>
      <c r="BV14" t="s">
        <v>257</v>
      </c>
      <c r="CC14" t="s">
        <v>355</v>
      </c>
      <c r="CG14" t="s">
        <v>675</v>
      </c>
      <c r="CO14" t="s">
        <v>675</v>
      </c>
      <c r="CQ14" t="s">
        <v>689</v>
      </c>
    </row>
    <row r="15" spans="1:95" x14ac:dyDescent="0.2">
      <c r="A15" t="s">
        <v>17</v>
      </c>
      <c r="C15" t="s">
        <v>30</v>
      </c>
      <c r="E15" t="s">
        <v>65</v>
      </c>
      <c r="G15" t="s">
        <v>157</v>
      </c>
      <c r="AO15" t="s">
        <v>138</v>
      </c>
      <c r="AP15" t="s">
        <v>137</v>
      </c>
      <c r="AQ15" t="s">
        <v>137</v>
      </c>
      <c r="BJ15" t="s">
        <v>56</v>
      </c>
      <c r="BM15" t="s">
        <v>246</v>
      </c>
      <c r="BR15" t="s">
        <v>557</v>
      </c>
      <c r="BU15" t="s">
        <v>270</v>
      </c>
      <c r="BV15" t="s">
        <v>279</v>
      </c>
      <c r="CC15" t="s">
        <v>356</v>
      </c>
      <c r="CG15" t="s">
        <v>676</v>
      </c>
      <c r="CO15" t="s">
        <v>676</v>
      </c>
      <c r="CQ15" t="s">
        <v>590</v>
      </c>
    </row>
    <row r="16" spans="1:95" x14ac:dyDescent="0.2">
      <c r="A16" t="s">
        <v>18</v>
      </c>
      <c r="C16" t="s">
        <v>31</v>
      </c>
      <c r="E16" t="s">
        <v>66</v>
      </c>
      <c r="AO16" t="s">
        <v>140</v>
      </c>
      <c r="AP16" t="s">
        <v>138</v>
      </c>
      <c r="AQ16" t="s">
        <v>138</v>
      </c>
      <c r="BR16" t="s">
        <v>558</v>
      </c>
      <c r="CC16" t="s">
        <v>357</v>
      </c>
      <c r="CG16" t="s">
        <v>677</v>
      </c>
      <c r="CO16" t="s">
        <v>585</v>
      </c>
      <c r="CQ16" t="s">
        <v>592</v>
      </c>
    </row>
    <row r="17" spans="1:95" x14ac:dyDescent="0.2">
      <c r="A17" t="s">
        <v>270</v>
      </c>
      <c r="C17" t="s">
        <v>32</v>
      </c>
      <c r="E17" t="s">
        <v>67</v>
      </c>
      <c r="AO17" t="s">
        <v>141</v>
      </c>
      <c r="AP17" t="s">
        <v>139</v>
      </c>
      <c r="AQ17" t="s">
        <v>139</v>
      </c>
      <c r="CC17" t="s">
        <v>358</v>
      </c>
      <c r="CG17" t="s">
        <v>678</v>
      </c>
      <c r="CO17" t="s">
        <v>586</v>
      </c>
      <c r="CQ17" t="s">
        <v>591</v>
      </c>
    </row>
    <row r="18" spans="1:95" x14ac:dyDescent="0.2">
      <c r="A18" t="s">
        <v>282</v>
      </c>
      <c r="C18" t="s">
        <v>33</v>
      </c>
      <c r="E18" t="s">
        <v>68</v>
      </c>
      <c r="AO18" t="s">
        <v>143</v>
      </c>
      <c r="AP18" t="s">
        <v>140</v>
      </c>
      <c r="AQ18" t="s">
        <v>140</v>
      </c>
      <c r="CC18" t="s">
        <v>359</v>
      </c>
      <c r="CG18" t="s">
        <v>679</v>
      </c>
      <c r="CO18" t="s">
        <v>706</v>
      </c>
      <c r="CQ18" t="s">
        <v>637</v>
      </c>
    </row>
    <row r="19" spans="1:95" x14ac:dyDescent="0.2">
      <c r="A19" t="s">
        <v>247</v>
      </c>
      <c r="C19" t="s">
        <v>34</v>
      </c>
      <c r="E19" t="s">
        <v>69</v>
      </c>
      <c r="AP19" t="s">
        <v>141</v>
      </c>
      <c r="AQ19" t="s">
        <v>141</v>
      </c>
      <c r="CC19" t="s">
        <v>360</v>
      </c>
      <c r="CG19" t="s">
        <v>680</v>
      </c>
      <c r="CO19" t="s">
        <v>589</v>
      </c>
      <c r="CQ19" t="s">
        <v>638</v>
      </c>
    </row>
    <row r="20" spans="1:95" x14ac:dyDescent="0.2">
      <c r="A20" t="s">
        <v>449</v>
      </c>
      <c r="C20" t="s">
        <v>35</v>
      </c>
      <c r="E20" t="s">
        <v>70</v>
      </c>
      <c r="AP20" t="s">
        <v>142</v>
      </c>
      <c r="AQ20" t="s">
        <v>142</v>
      </c>
      <c r="CC20" t="s">
        <v>361</v>
      </c>
      <c r="CG20" t="s">
        <v>681</v>
      </c>
      <c r="CO20" t="s">
        <v>588</v>
      </c>
      <c r="CQ20" t="s">
        <v>640</v>
      </c>
    </row>
    <row r="21" spans="1:95" x14ac:dyDescent="0.2">
      <c r="A21" t="s">
        <v>450</v>
      </c>
      <c r="C21" t="s">
        <v>36</v>
      </c>
      <c r="E21" t="s">
        <v>71</v>
      </c>
      <c r="AP21" t="s">
        <v>143</v>
      </c>
      <c r="AQ21" t="s">
        <v>143</v>
      </c>
      <c r="CC21" t="s">
        <v>362</v>
      </c>
      <c r="CG21" t="s">
        <v>682</v>
      </c>
      <c r="CO21" t="s">
        <v>654</v>
      </c>
      <c r="CQ21" t="s">
        <v>639</v>
      </c>
    </row>
    <row r="22" spans="1:95" x14ac:dyDescent="0.2">
      <c r="A22" t="s">
        <v>455</v>
      </c>
      <c r="C22" t="s">
        <v>37</v>
      </c>
      <c r="E22" t="s">
        <v>72</v>
      </c>
      <c r="CC22" t="s">
        <v>363</v>
      </c>
      <c r="CG22" t="s">
        <v>683</v>
      </c>
      <c r="CO22" t="s">
        <v>655</v>
      </c>
      <c r="CQ22" t="s">
        <v>659</v>
      </c>
    </row>
    <row r="23" spans="1:95" x14ac:dyDescent="0.2">
      <c r="A23" t="s">
        <v>341</v>
      </c>
      <c r="C23" t="s">
        <v>12</v>
      </c>
      <c r="E23" t="s">
        <v>73</v>
      </c>
      <c r="CC23" t="s">
        <v>364</v>
      </c>
      <c r="CG23" t="s">
        <v>684</v>
      </c>
      <c r="CO23" t="s">
        <v>656</v>
      </c>
      <c r="CQ23" t="s">
        <v>660</v>
      </c>
    </row>
    <row r="24" spans="1:95" x14ac:dyDescent="0.2">
      <c r="A24" t="s">
        <v>457</v>
      </c>
      <c r="C24" t="s">
        <v>38</v>
      </c>
      <c r="E24" t="s">
        <v>74</v>
      </c>
      <c r="CC24" t="s">
        <v>365</v>
      </c>
      <c r="CG24" t="s">
        <v>685</v>
      </c>
      <c r="CO24" t="s">
        <v>657</v>
      </c>
      <c r="CQ24" t="s">
        <v>661</v>
      </c>
    </row>
    <row r="25" spans="1:95" x14ac:dyDescent="0.2">
      <c r="A25" t="s">
        <v>544</v>
      </c>
      <c r="C25" t="s">
        <v>39</v>
      </c>
      <c r="E25" t="s">
        <v>75</v>
      </c>
      <c r="CC25" t="s">
        <v>366</v>
      </c>
      <c r="CG25" t="s">
        <v>686</v>
      </c>
      <c r="CO25" t="s">
        <v>658</v>
      </c>
      <c r="CQ25" t="s">
        <v>662</v>
      </c>
    </row>
    <row r="26" spans="1:95" x14ac:dyDescent="0.2">
      <c r="C26" t="s">
        <v>40</v>
      </c>
      <c r="E26" t="s">
        <v>76</v>
      </c>
      <c r="CC26" t="s">
        <v>367</v>
      </c>
      <c r="CG26" t="s">
        <v>687</v>
      </c>
      <c r="CO26" t="s">
        <v>705</v>
      </c>
      <c r="CQ26" t="s">
        <v>690</v>
      </c>
    </row>
    <row r="27" spans="1:95" x14ac:dyDescent="0.2">
      <c r="C27" t="s">
        <v>41</v>
      </c>
      <c r="E27" t="s">
        <v>77</v>
      </c>
      <c r="CC27" t="s">
        <v>368</v>
      </c>
      <c r="CG27" t="s">
        <v>688</v>
      </c>
      <c r="CO27" t="s">
        <v>707</v>
      </c>
      <c r="CQ27" t="s">
        <v>691</v>
      </c>
    </row>
    <row r="28" spans="1:95" x14ac:dyDescent="0.2">
      <c r="C28" t="s">
        <v>42</v>
      </c>
      <c r="E28" t="s">
        <v>78</v>
      </c>
      <c r="CC28" t="s">
        <v>369</v>
      </c>
      <c r="CG28" t="s">
        <v>689</v>
      </c>
      <c r="CQ28" t="s">
        <v>698</v>
      </c>
    </row>
    <row r="29" spans="1:95" x14ac:dyDescent="0.2">
      <c r="C29" t="s">
        <v>43</v>
      </c>
      <c r="E29" t="s">
        <v>79</v>
      </c>
      <c r="CC29" t="s">
        <v>370</v>
      </c>
      <c r="CG29" t="s">
        <v>585</v>
      </c>
      <c r="CQ29" t="s">
        <v>699</v>
      </c>
    </row>
    <row r="30" spans="1:95" x14ac:dyDescent="0.2">
      <c r="C30" t="s">
        <v>44</v>
      </c>
      <c r="E30" t="s">
        <v>80</v>
      </c>
      <c r="CC30" t="s">
        <v>371</v>
      </c>
      <c r="CG30" t="s">
        <v>586</v>
      </c>
    </row>
    <row r="31" spans="1:95" x14ac:dyDescent="0.2">
      <c r="C31" t="s">
        <v>45</v>
      </c>
      <c r="E31" t="s">
        <v>81</v>
      </c>
      <c r="CC31" t="s">
        <v>372</v>
      </c>
      <c r="CG31" t="s">
        <v>587</v>
      </c>
    </row>
    <row r="32" spans="1:95" x14ac:dyDescent="0.2">
      <c r="C32" t="s">
        <v>46</v>
      </c>
      <c r="E32" t="s">
        <v>82</v>
      </c>
      <c r="CC32" t="s">
        <v>373</v>
      </c>
      <c r="CG32" t="s">
        <v>589</v>
      </c>
    </row>
    <row r="33" spans="3:85" x14ac:dyDescent="0.2">
      <c r="C33" t="s">
        <v>47</v>
      </c>
      <c r="E33" t="s">
        <v>83</v>
      </c>
      <c r="CC33" t="s">
        <v>374</v>
      </c>
      <c r="CG33" t="s">
        <v>588</v>
      </c>
    </row>
    <row r="34" spans="3:85" x14ac:dyDescent="0.2">
      <c r="C34" t="s">
        <v>48</v>
      </c>
      <c r="E34" t="s">
        <v>84</v>
      </c>
      <c r="CC34" t="s">
        <v>375</v>
      </c>
      <c r="CG34" t="s">
        <v>590</v>
      </c>
    </row>
    <row r="35" spans="3:85" x14ac:dyDescent="0.2">
      <c r="C35" t="s">
        <v>49</v>
      </c>
      <c r="E35" t="s">
        <v>85</v>
      </c>
      <c r="CC35" t="s">
        <v>376</v>
      </c>
      <c r="CG35" t="s">
        <v>592</v>
      </c>
    </row>
    <row r="36" spans="3:85" x14ac:dyDescent="0.2">
      <c r="C36" t="s">
        <v>50</v>
      </c>
      <c r="E36" t="s">
        <v>86</v>
      </c>
      <c r="CC36" t="s">
        <v>377</v>
      </c>
      <c r="CG36" t="s">
        <v>591</v>
      </c>
    </row>
    <row r="37" spans="3:85" x14ac:dyDescent="0.2">
      <c r="C37" t="s">
        <v>51</v>
      </c>
      <c r="E37" t="s">
        <v>87</v>
      </c>
      <c r="CC37" t="s">
        <v>378</v>
      </c>
      <c r="CG37" t="s">
        <v>637</v>
      </c>
    </row>
    <row r="38" spans="3:85" x14ac:dyDescent="0.2">
      <c r="C38" t="s">
        <v>180</v>
      </c>
      <c r="E38" t="s">
        <v>88</v>
      </c>
      <c r="CC38" t="s">
        <v>379</v>
      </c>
      <c r="CG38" t="s">
        <v>638</v>
      </c>
    </row>
    <row r="39" spans="3:85" x14ac:dyDescent="0.2">
      <c r="C39" t="s">
        <v>181</v>
      </c>
      <c r="E39" t="s">
        <v>89</v>
      </c>
      <c r="CC39" t="s">
        <v>380</v>
      </c>
      <c r="CG39" t="s">
        <v>640</v>
      </c>
    </row>
    <row r="40" spans="3:85" x14ac:dyDescent="0.2">
      <c r="C40" t="s">
        <v>17</v>
      </c>
      <c r="E40" t="s">
        <v>90</v>
      </c>
      <c r="CC40" t="s">
        <v>381</v>
      </c>
      <c r="CG40" t="s">
        <v>639</v>
      </c>
    </row>
    <row r="41" spans="3:85" x14ac:dyDescent="0.2">
      <c r="C41" t="s">
        <v>282</v>
      </c>
      <c r="E41" t="s">
        <v>91</v>
      </c>
      <c r="CC41" t="s">
        <v>382</v>
      </c>
      <c r="CG41" t="s">
        <v>654</v>
      </c>
    </row>
    <row r="42" spans="3:85" x14ac:dyDescent="0.2">
      <c r="C42" t="s">
        <v>247</v>
      </c>
      <c r="E42" t="s">
        <v>92</v>
      </c>
      <c r="CC42" t="s">
        <v>383</v>
      </c>
      <c r="CG42" t="s">
        <v>655</v>
      </c>
    </row>
    <row r="43" spans="3:85" x14ac:dyDescent="0.2">
      <c r="C43" t="s">
        <v>456</v>
      </c>
      <c r="E43" t="s">
        <v>93</v>
      </c>
      <c r="CC43" t="s">
        <v>384</v>
      </c>
      <c r="CG43" t="s">
        <v>656</v>
      </c>
    </row>
    <row r="44" spans="3:85" x14ac:dyDescent="0.2">
      <c r="E44" t="s">
        <v>94</v>
      </c>
      <c r="CC44" t="s">
        <v>385</v>
      </c>
      <c r="CG44" t="s">
        <v>657</v>
      </c>
    </row>
    <row r="45" spans="3:85" x14ac:dyDescent="0.2">
      <c r="E45" t="s">
        <v>95</v>
      </c>
      <c r="CC45" t="s">
        <v>386</v>
      </c>
      <c r="CG45" t="s">
        <v>658</v>
      </c>
    </row>
    <row r="46" spans="3:85" x14ac:dyDescent="0.2">
      <c r="E46" t="s">
        <v>96</v>
      </c>
      <c r="CC46" t="s">
        <v>387</v>
      </c>
      <c r="CG46" t="s">
        <v>659</v>
      </c>
    </row>
    <row r="47" spans="3:85" x14ac:dyDescent="0.2">
      <c r="E47" t="s">
        <v>97</v>
      </c>
      <c r="CC47" t="s">
        <v>388</v>
      </c>
      <c r="CG47" t="s">
        <v>660</v>
      </c>
    </row>
    <row r="48" spans="3:85" x14ac:dyDescent="0.2">
      <c r="E48" t="s">
        <v>98</v>
      </c>
      <c r="CC48" t="s">
        <v>389</v>
      </c>
      <c r="CG48" t="s">
        <v>661</v>
      </c>
    </row>
    <row r="49" spans="5:85" x14ac:dyDescent="0.2">
      <c r="E49" t="s">
        <v>99</v>
      </c>
      <c r="CC49" t="s">
        <v>390</v>
      </c>
      <c r="CG49" t="s">
        <v>662</v>
      </c>
    </row>
    <row r="50" spans="5:85" x14ac:dyDescent="0.2">
      <c r="E50" t="s">
        <v>100</v>
      </c>
      <c r="CC50" t="s">
        <v>391</v>
      </c>
      <c r="CG50" t="s">
        <v>690</v>
      </c>
    </row>
    <row r="51" spans="5:85" x14ac:dyDescent="0.2">
      <c r="E51" t="s">
        <v>101</v>
      </c>
      <c r="CC51" t="s">
        <v>392</v>
      </c>
      <c r="CG51" t="s">
        <v>691</v>
      </c>
    </row>
    <row r="52" spans="5:85" x14ac:dyDescent="0.2">
      <c r="E52" t="s">
        <v>102</v>
      </c>
      <c r="CC52" t="s">
        <v>393</v>
      </c>
      <c r="CG52" t="s">
        <v>698</v>
      </c>
    </row>
    <row r="53" spans="5:85" x14ac:dyDescent="0.2">
      <c r="E53" t="s">
        <v>103</v>
      </c>
      <c r="CC53" t="s">
        <v>394</v>
      </c>
      <c r="CG53" t="s">
        <v>699</v>
      </c>
    </row>
    <row r="54" spans="5:85" x14ac:dyDescent="0.2">
      <c r="E54" t="s">
        <v>104</v>
      </c>
      <c r="CC54" t="s">
        <v>395</v>
      </c>
    </row>
    <row r="55" spans="5:85" x14ac:dyDescent="0.2">
      <c r="E55" t="s">
        <v>105</v>
      </c>
      <c r="CC55" t="s">
        <v>396</v>
      </c>
    </row>
    <row r="56" spans="5:85" x14ac:dyDescent="0.2">
      <c r="E56" t="s">
        <v>106</v>
      </c>
      <c r="CC56" t="s">
        <v>344</v>
      </c>
    </row>
    <row r="57" spans="5:85" x14ac:dyDescent="0.2">
      <c r="E57" t="s">
        <v>41</v>
      </c>
      <c r="CC57" t="s">
        <v>710</v>
      </c>
    </row>
    <row r="58" spans="5:85" x14ac:dyDescent="0.2">
      <c r="E58" t="s">
        <v>107</v>
      </c>
      <c r="CC58" t="s">
        <v>457</v>
      </c>
    </row>
    <row r="59" spans="5:85" x14ac:dyDescent="0.2">
      <c r="E59" t="s">
        <v>43</v>
      </c>
    </row>
    <row r="60" spans="5:85" x14ac:dyDescent="0.2">
      <c r="E60" t="s">
        <v>108</v>
      </c>
    </row>
    <row r="61" spans="5:85" x14ac:dyDescent="0.2">
      <c r="E61" t="s">
        <v>109</v>
      </c>
    </row>
    <row r="62" spans="5:85" x14ac:dyDescent="0.2">
      <c r="E62" t="s">
        <v>110</v>
      </c>
    </row>
    <row r="63" spans="5:85" x14ac:dyDescent="0.2">
      <c r="E63" t="s">
        <v>111</v>
      </c>
    </row>
    <row r="64" spans="5:85" x14ac:dyDescent="0.2">
      <c r="E64" t="s">
        <v>112</v>
      </c>
    </row>
    <row r="65" spans="5:5" x14ac:dyDescent="0.2">
      <c r="E65" t="s">
        <v>113</v>
      </c>
    </row>
    <row r="66" spans="5:5" x14ac:dyDescent="0.2">
      <c r="E66" t="s">
        <v>114</v>
      </c>
    </row>
    <row r="67" spans="5:5" x14ac:dyDescent="0.2">
      <c r="E67" t="s">
        <v>115</v>
      </c>
    </row>
    <row r="68" spans="5:5" x14ac:dyDescent="0.2">
      <c r="E68" t="s">
        <v>116</v>
      </c>
    </row>
    <row r="69" spans="5:5" x14ac:dyDescent="0.2">
      <c r="E69" t="s">
        <v>117</v>
      </c>
    </row>
    <row r="70" spans="5:5" x14ac:dyDescent="0.2">
      <c r="E70" t="s">
        <v>118</v>
      </c>
    </row>
    <row r="71" spans="5:5" x14ac:dyDescent="0.2">
      <c r="E71" t="s">
        <v>119</v>
      </c>
    </row>
    <row r="72" spans="5:5" x14ac:dyDescent="0.2">
      <c r="E72" t="s">
        <v>120</v>
      </c>
    </row>
    <row r="73" spans="5:5" x14ac:dyDescent="0.2">
      <c r="E73" t="s">
        <v>121</v>
      </c>
    </row>
    <row r="74" spans="5:5" x14ac:dyDescent="0.2">
      <c r="E74" t="s">
        <v>122</v>
      </c>
    </row>
    <row r="75" spans="5:5" x14ac:dyDescent="0.2">
      <c r="E75" t="s">
        <v>123</v>
      </c>
    </row>
    <row r="76" spans="5:5" x14ac:dyDescent="0.2">
      <c r="E76" t="s">
        <v>124</v>
      </c>
    </row>
    <row r="77" spans="5:5" x14ac:dyDescent="0.2">
      <c r="E77" t="s">
        <v>125</v>
      </c>
    </row>
    <row r="78" spans="5:5" x14ac:dyDescent="0.2">
      <c r="E78" t="s">
        <v>126</v>
      </c>
    </row>
    <row r="79" spans="5:5" x14ac:dyDescent="0.2">
      <c r="E79" t="s">
        <v>127</v>
      </c>
    </row>
    <row r="80" spans="5:5" x14ac:dyDescent="0.2">
      <c r="E80" t="s">
        <v>128</v>
      </c>
    </row>
    <row r="81" spans="5:5" x14ac:dyDescent="0.2">
      <c r="E81" t="s">
        <v>129</v>
      </c>
    </row>
    <row r="82" spans="5:5" x14ac:dyDescent="0.2">
      <c r="E82" t="s">
        <v>130</v>
      </c>
    </row>
    <row r="83" spans="5:5" x14ac:dyDescent="0.2">
      <c r="E83" t="s">
        <v>131</v>
      </c>
    </row>
    <row r="84" spans="5:5" x14ac:dyDescent="0.2">
      <c r="E84" t="s">
        <v>132</v>
      </c>
    </row>
    <row r="85" spans="5:5" x14ac:dyDescent="0.2">
      <c r="E85" t="s">
        <v>133</v>
      </c>
    </row>
    <row r="86" spans="5:5" x14ac:dyDescent="0.2">
      <c r="E86" t="s">
        <v>134</v>
      </c>
    </row>
    <row r="87" spans="5:5" x14ac:dyDescent="0.2">
      <c r="E87" t="s">
        <v>135</v>
      </c>
    </row>
    <row r="88" spans="5:5" x14ac:dyDescent="0.2">
      <c r="E88" t="s">
        <v>136</v>
      </c>
    </row>
    <row r="89" spans="5:5" x14ac:dyDescent="0.2">
      <c r="E89" t="s">
        <v>137</v>
      </c>
    </row>
    <row r="90" spans="5:5" x14ac:dyDescent="0.2">
      <c r="E90" t="s">
        <v>138</v>
      </c>
    </row>
    <row r="91" spans="5:5" x14ac:dyDescent="0.2">
      <c r="E91" t="s">
        <v>139</v>
      </c>
    </row>
    <row r="92" spans="5:5" x14ac:dyDescent="0.2">
      <c r="E92" t="s">
        <v>140</v>
      </c>
    </row>
    <row r="93" spans="5:5" x14ac:dyDescent="0.2">
      <c r="E93" t="s">
        <v>141</v>
      </c>
    </row>
    <row r="94" spans="5:5" x14ac:dyDescent="0.2">
      <c r="E94" t="s">
        <v>142</v>
      </c>
    </row>
    <row r="95" spans="5:5" x14ac:dyDescent="0.2">
      <c r="E95" t="s">
        <v>143</v>
      </c>
    </row>
    <row r="96" spans="5:5" x14ac:dyDescent="0.2">
      <c r="E96" t="s">
        <v>282</v>
      </c>
    </row>
    <row r="97" spans="5:5" x14ac:dyDescent="0.2">
      <c r="E97" t="s">
        <v>443</v>
      </c>
    </row>
    <row r="98" spans="5:5" x14ac:dyDescent="0.2">
      <c r="E98" t="s">
        <v>444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dimension ref="A1:DA2638"/>
  <sheetViews>
    <sheetView topLeftCell="R1" workbookViewId="0">
      <pane ySplit="1" topLeftCell="A2" activePane="bottomLeft" state="frozen"/>
      <selection pane="bottomLeft" activeCell="AG2" sqref="AG2:AI2"/>
    </sheetView>
  </sheetViews>
  <sheetFormatPr baseColWidth="10" defaultRowHeight="16" x14ac:dyDescent="0.2"/>
  <cols>
    <col min="1" max="2" width="6.5" customWidth="1"/>
    <col min="3" max="3" width="9.33203125" customWidth="1"/>
    <col min="4" max="4" width="7" style="6" customWidth="1"/>
    <col min="5" max="5" width="6.83203125" customWidth="1"/>
    <col min="6" max="7" width="10.83203125" style="5" customWidth="1"/>
    <col min="8" max="8" width="9.6640625" style="5" customWidth="1"/>
    <col min="9" max="9" width="10.83203125" style="7" customWidth="1"/>
    <col min="10" max="10" width="10.5" customWidth="1"/>
    <col min="11" max="11" width="10.33203125" customWidth="1"/>
    <col min="12" max="12" width="10.83203125" customWidth="1"/>
    <col min="13" max="13" width="10.83203125" style="6" customWidth="1"/>
    <col min="14" max="14" width="7.1640625" customWidth="1"/>
    <col min="15" max="15" width="7.5" customWidth="1"/>
    <col min="16" max="16" width="6" customWidth="1"/>
    <col min="17" max="17" width="17.6640625" customWidth="1"/>
    <col min="18" max="18" width="15.6640625" customWidth="1"/>
    <col min="19" max="19" width="14.33203125" customWidth="1"/>
    <col min="20" max="20" width="11.5" customWidth="1"/>
    <col min="21" max="21" width="13.5" customWidth="1"/>
    <col min="22" max="22" width="12.6640625" customWidth="1"/>
    <col min="23" max="23" width="10.5" customWidth="1"/>
    <col min="24" max="24" width="10.33203125" customWidth="1"/>
    <col min="25" max="25" width="10.5" customWidth="1"/>
    <col min="26" max="26" width="10.33203125" customWidth="1"/>
    <col min="27" max="27" width="8.6640625" customWidth="1"/>
    <col min="28" max="28" width="10.33203125" customWidth="1"/>
    <col min="29" max="29" width="7.83203125" customWidth="1"/>
    <col min="30" max="30" width="8.33203125" customWidth="1"/>
    <col min="31" max="31" width="5.1640625" customWidth="1"/>
    <col min="32" max="32" width="12" customWidth="1"/>
    <col min="33" max="33" width="7.6640625" customWidth="1"/>
    <col min="34" max="34" width="8.1640625" customWidth="1"/>
    <col min="35" max="35" width="10.1640625" customWidth="1"/>
    <col min="36" max="36" width="7.1640625" style="18" customWidth="1"/>
    <col min="40" max="40" width="21.33203125" style="6" customWidth="1"/>
    <col min="41" max="41" width="12.5" customWidth="1"/>
    <col min="42" max="42" width="12.5" style="18" customWidth="1"/>
    <col min="43" max="44" width="12.83203125" customWidth="1"/>
    <col min="52" max="52" width="12" customWidth="1"/>
  </cols>
  <sheetData>
    <row r="1" spans="1:105" s="1" customFormat="1" ht="68" x14ac:dyDescent="0.2">
      <c r="A1" s="1" t="s">
        <v>283</v>
      </c>
      <c r="B1" s="1" t="s">
        <v>708</v>
      </c>
      <c r="C1" s="1" t="s">
        <v>284</v>
      </c>
      <c r="D1" s="9" t="s">
        <v>285</v>
      </c>
      <c r="E1" s="1" t="s">
        <v>1</v>
      </c>
      <c r="F1" s="24" t="s">
        <v>467</v>
      </c>
      <c r="G1" s="24" t="s">
        <v>468</v>
      </c>
      <c r="H1" s="24" t="s">
        <v>469</v>
      </c>
      <c r="I1" s="25" t="s">
        <v>470</v>
      </c>
      <c r="J1" s="1" t="s">
        <v>306</v>
      </c>
      <c r="K1" s="1" t="s">
        <v>307</v>
      </c>
      <c r="L1" s="1" t="s">
        <v>308</v>
      </c>
      <c r="M1" s="9" t="s">
        <v>309</v>
      </c>
      <c r="N1" s="1" t="s">
        <v>0</v>
      </c>
      <c r="O1" s="1" t="s">
        <v>5</v>
      </c>
      <c r="P1" s="1" t="s">
        <v>426</v>
      </c>
      <c r="Q1" s="1" t="s">
        <v>464</v>
      </c>
      <c r="R1" s="1" t="s">
        <v>465</v>
      </c>
      <c r="S1" s="1" t="s">
        <v>466</v>
      </c>
      <c r="T1" s="1" t="s">
        <v>577</v>
      </c>
      <c r="U1" s="1" t="s">
        <v>582</v>
      </c>
      <c r="V1" s="1" t="s">
        <v>583</v>
      </c>
      <c r="W1" s="1" t="s">
        <v>584</v>
      </c>
      <c r="X1" s="1" t="s">
        <v>593</v>
      </c>
      <c r="Y1" s="1" t="s">
        <v>594</v>
      </c>
      <c r="Z1" s="1" t="s">
        <v>595</v>
      </c>
      <c r="AA1" s="1" t="s">
        <v>692</v>
      </c>
      <c r="AB1" s="1" t="s">
        <v>693</v>
      </c>
      <c r="AC1" s="1" t="s">
        <v>280</v>
      </c>
      <c r="AD1" s="1" t="s">
        <v>287</v>
      </c>
      <c r="AE1" s="1" t="s">
        <v>288</v>
      </c>
      <c r="AF1" s="1" t="s">
        <v>701</v>
      </c>
      <c r="AG1" s="1" t="s">
        <v>289</v>
      </c>
      <c r="AH1" s="1" t="s">
        <v>290</v>
      </c>
      <c r="AI1" s="1" t="s">
        <v>291</v>
      </c>
      <c r="AJ1" s="17" t="s">
        <v>413</v>
      </c>
      <c r="AK1" s="1" t="s">
        <v>414</v>
      </c>
      <c r="AL1" s="1" t="s">
        <v>415</v>
      </c>
      <c r="AM1" s="1" t="s">
        <v>310</v>
      </c>
      <c r="AN1" s="9" t="s">
        <v>286</v>
      </c>
      <c r="AO1" s="1" t="s">
        <v>427</v>
      </c>
      <c r="AP1" s="17" t="s">
        <v>454</v>
      </c>
      <c r="AQ1" s="1" t="s">
        <v>453</v>
      </c>
      <c r="AR1" s="1" t="s">
        <v>460</v>
      </c>
      <c r="AS1" s="1" t="s">
        <v>451</v>
      </c>
      <c r="AT1" s="1" t="s">
        <v>452</v>
      </c>
      <c r="AU1" s="1" t="s">
        <v>598</v>
      </c>
      <c r="AV1" s="1" t="s">
        <v>599</v>
      </c>
      <c r="AW1" s="1" t="s">
        <v>600</v>
      </c>
      <c r="AX1" s="1" t="s">
        <v>596</v>
      </c>
      <c r="AY1" s="1" t="s">
        <v>597</v>
      </c>
      <c r="AZ1" s="1" t="s">
        <v>601</v>
      </c>
      <c r="BA1" s="1" t="s">
        <v>602</v>
      </c>
      <c r="BB1" s="1" t="s">
        <v>603</v>
      </c>
      <c r="BC1" s="1" t="s">
        <v>604</v>
      </c>
      <c r="BD1" s="1" t="s">
        <v>605</v>
      </c>
      <c r="BE1" s="1" t="s">
        <v>605</v>
      </c>
      <c r="BF1" s="1" t="s">
        <v>606</v>
      </c>
      <c r="BG1" s="1" t="s">
        <v>607</v>
      </c>
      <c r="BH1" s="1" t="s">
        <v>608</v>
      </c>
      <c r="BI1" s="1" t="s">
        <v>609</v>
      </c>
      <c r="BJ1" s="1" t="s">
        <v>610</v>
      </c>
      <c r="BK1" s="1" t="s">
        <v>612</v>
      </c>
      <c r="BL1" s="1" t="s">
        <v>611</v>
      </c>
      <c r="BM1" s="1" t="s">
        <v>613</v>
      </c>
      <c r="BN1" s="1" t="s">
        <v>614</v>
      </c>
      <c r="BO1" s="1" t="s">
        <v>615</v>
      </c>
      <c r="BP1" s="1" t="s">
        <v>616</v>
      </c>
      <c r="BQ1" s="1" t="s">
        <v>617</v>
      </c>
      <c r="BR1" s="1" t="s">
        <v>618</v>
      </c>
      <c r="BS1" s="1" t="s">
        <v>619</v>
      </c>
      <c r="BT1" s="1" t="s">
        <v>620</v>
      </c>
      <c r="BU1" s="1" t="s">
        <v>621</v>
      </c>
      <c r="BV1" s="1" t="s">
        <v>622</v>
      </c>
      <c r="BW1" s="1" t="s">
        <v>623</v>
      </c>
      <c r="BX1" s="1" t="s">
        <v>624</v>
      </c>
      <c r="BY1" s="1" t="s">
        <v>625</v>
      </c>
      <c r="BZ1" s="1" t="s">
        <v>626</v>
      </c>
      <c r="CA1" s="1" t="s">
        <v>627</v>
      </c>
      <c r="CB1" s="1" t="s">
        <v>628</v>
      </c>
      <c r="CC1" s="1" t="s">
        <v>629</v>
      </c>
      <c r="CD1" s="1" t="s">
        <v>630</v>
      </c>
      <c r="CE1" s="1" t="s">
        <v>631</v>
      </c>
      <c r="CF1" s="1" t="s">
        <v>632</v>
      </c>
      <c r="CG1" s="1" t="s">
        <v>633</v>
      </c>
      <c r="CH1" s="1" t="s">
        <v>634</v>
      </c>
      <c r="CI1" s="1" t="s">
        <v>636</v>
      </c>
      <c r="CJ1" s="1" t="s">
        <v>635</v>
      </c>
      <c r="CK1" s="1" t="s">
        <v>641</v>
      </c>
      <c r="CL1" s="1" t="s">
        <v>642</v>
      </c>
      <c r="CM1" s="1" t="s">
        <v>643</v>
      </c>
      <c r="CN1" s="1" t="s">
        <v>644</v>
      </c>
      <c r="CO1" s="1" t="s">
        <v>645</v>
      </c>
      <c r="CP1" s="1" t="s">
        <v>646</v>
      </c>
      <c r="CQ1" s="1" t="s">
        <v>647</v>
      </c>
      <c r="CR1" s="1" t="s">
        <v>648</v>
      </c>
      <c r="CS1" s="1" t="s">
        <v>649</v>
      </c>
      <c r="CT1" s="1" t="s">
        <v>650</v>
      </c>
      <c r="CU1" s="1" t="s">
        <v>651</v>
      </c>
      <c r="CV1" s="1" t="s">
        <v>653</v>
      </c>
      <c r="CW1" s="1" t="s">
        <v>694</v>
      </c>
      <c r="CX1" s="1" t="s">
        <v>695</v>
      </c>
      <c r="CY1" s="1" t="s">
        <v>697</v>
      </c>
      <c r="CZ1" s="1" t="s">
        <v>696</v>
      </c>
      <c r="DA1" s="1" t="s">
        <v>700</v>
      </c>
    </row>
    <row r="2" spans="1:105" ht="16" customHeight="1" x14ac:dyDescent="0.2">
      <c r="A2">
        <v>0</v>
      </c>
      <c r="E2">
        <v>1</v>
      </c>
      <c r="L2" t="str">
        <f t="shared" ref="L2:L3" si="0">IF(H2&lt;&gt;"",H2,IF($A2=$A1,L1,""))</f>
        <v/>
      </c>
      <c r="M2" s="6" t="str">
        <f t="shared" ref="M2:M3" si="1">IF(I2&lt;&gt;"",I2,IF($A2=$A1,M1,""))</f>
        <v/>
      </c>
      <c r="Q2" t="s">
        <v>341</v>
      </c>
      <c r="R2" t="s">
        <v>458</v>
      </c>
      <c r="Y2" t="str">
        <f>IF(N2="","",IF(N2="Home",X2,""))</f>
        <v/>
      </c>
      <c r="AC2" t="str">
        <f>IF(Q2&lt;&gt;"",Q2,IF(A2=A1,Q2,""))</f>
        <v>GameStart</v>
      </c>
      <c r="AG2">
        <v>18981</v>
      </c>
      <c r="AH2" t="s">
        <v>463</v>
      </c>
      <c r="AI2" t="s">
        <v>305</v>
      </c>
      <c r="AQ2">
        <v>0</v>
      </c>
      <c r="AR2">
        <v>0</v>
      </c>
      <c r="AS2">
        <f>IF(AR2&lt;5,0,AR2-5)</f>
        <v>0</v>
      </c>
      <c r="AT2" s="21">
        <f>AS2+AJ2+5</f>
        <v>5</v>
      </c>
      <c r="AU2" s="21"/>
      <c r="AV2" s="21"/>
      <c r="AW2" s="21"/>
    </row>
    <row r="3" spans="1:105" ht="16" customHeight="1" x14ac:dyDescent="0.2">
      <c r="A3">
        <v>1</v>
      </c>
      <c r="E3">
        <f>IF(Q3="Intermission",E2+1,E2)</f>
        <v>1</v>
      </c>
      <c r="F3" s="5">
        <v>18</v>
      </c>
      <c r="G3" s="5" t="s">
        <v>475</v>
      </c>
      <c r="J3">
        <f t="shared" ref="J3:J8" si="2">IF(F3&lt;&gt;"",F3,IF($A3=$A2,J2,J3))</f>
        <v>18</v>
      </c>
      <c r="K3" t="str">
        <f t="shared" ref="K3" si="3">IF($A3=$A2,K2,G3)</f>
        <v>00</v>
      </c>
      <c r="L3" t="str">
        <f t="shared" si="0"/>
        <v/>
      </c>
      <c r="M3" s="6" t="str">
        <f t="shared" si="1"/>
        <v/>
      </c>
      <c r="N3" t="s">
        <v>179</v>
      </c>
      <c r="O3">
        <v>70</v>
      </c>
      <c r="P3" t="s">
        <v>424</v>
      </c>
      <c r="Q3" t="s">
        <v>6</v>
      </c>
      <c r="R3" t="s">
        <v>214</v>
      </c>
      <c r="Y3" t="str">
        <f t="shared" ref="Y3:Y66" si="4">IF($N3="","",IF(X3="","",IF($N3="Home",$X3,IF($X3="n","n",IF($X3="d","o",IF($X3="o","d",""))))))</f>
        <v/>
      </c>
      <c r="Z3" t="str">
        <f t="shared" ref="Z3:Z66" si="5">IF($N3="","",IF(X3="","",IF($N3="Away",$X3,IF($X3="n","n",IF($X3="d","o",IF($X3="o","d",""))))))</f>
        <v/>
      </c>
      <c r="AC3" t="str">
        <f t="shared" ref="AC3:AC66" si="6">IF(Q3&lt;&gt;"",Q3,IF($A3=$A2,AC2,""))</f>
        <v>Faceoff</v>
      </c>
      <c r="AD3" t="str">
        <f t="shared" ref="AD3:AD66" si="7">IF(R3&lt;&gt;"",R3,IF($A3=$A2,AD2,""))</f>
        <v>Faceoff_PeriodStart</v>
      </c>
      <c r="AE3" t="str">
        <f t="shared" ref="AE3:AE66" si="8">IF(S3&lt;&gt;"",S3,IF($A3=$A2,AE2,""))</f>
        <v/>
      </c>
      <c r="AF3" t="str">
        <f t="shared" ref="AF3:AF66" si="9">IF(AND(P3="e",OR(AC3="Save",AD3="Turnover_Takeaway",AD3="Play_Defensive")),"Defensive",IF(AND(P3="o",OR(AC3="Save",AD3="Turnover_Takeaway",AD3="Play_Defensive")),"Offensive",IF(OR(AC3="Deadice",AC3="Stoppage",AC3="Intermission"),"",IF(P3="e","Offensive",IF(P3="o","Defensive","")))))</f>
        <v>Offensive</v>
      </c>
      <c r="AG3">
        <f>AG2</f>
        <v>18981</v>
      </c>
      <c r="AH3" t="str">
        <f t="shared" ref="AH3:AI3" si="10">AH2</f>
        <v>Nelson</v>
      </c>
      <c r="AI3" t="str">
        <f t="shared" si="10"/>
        <v>Velodrome</v>
      </c>
      <c r="AJ3" s="18">
        <f t="shared" ref="AJ3:AJ66" si="11">IF(AND(L3="",M3=""),0,((J3*60)+K3)-((L3*60)+M3))</f>
        <v>0</v>
      </c>
      <c r="AK3">
        <f>(J3*60)+K3</f>
        <v>1080</v>
      </c>
      <c r="AL3">
        <f>IF(AND(L3="",M3=""),AK3,((L3*60)+M3))</f>
        <v>1080</v>
      </c>
      <c r="AM3" cm="1">
        <f t="array" ref="AM3">_xlfn._xlws.FILTER(shifts!A:A,(shifts!B:B=events!E3)*(shifts!AG:AG&gt;=events!AK3)*(shifts!AH:AH&lt;=events!AL3))</f>
        <v>1</v>
      </c>
      <c r="AN3" s="6" t="str">
        <f>IF(P3="e","event_team_player_"&amp;AO3,IF(P3="o","opp_team_player_"&amp;AO3,""))</f>
        <v>event_team_player_1</v>
      </c>
      <c r="AO3">
        <f>COUNTIFS(A$3:A3,"="&amp;A3,P$3:P3,"="&amp;P3)</f>
        <v>1</v>
      </c>
      <c r="AP3" s="18">
        <f t="shared" ref="AP3:AP66" si="12">SUMIFS(AJ3:AJ3,Q3:Q3,"=Intermission")</f>
        <v>0</v>
      </c>
      <c r="AQ3">
        <f t="shared" ref="AQ3:AQ66" si="13">IF(E3=1,0,IF(E3=2,1080+AP3,IF(E3=3,(1080*2)+AP3,0)))</f>
        <v>0</v>
      </c>
      <c r="AR3" s="23">
        <f t="shared" ref="AR3:AR66" si="14">IF(Q3="Intermission",AR2,((1080)-((J3*60)+K3))+AQ3)</f>
        <v>0</v>
      </c>
      <c r="AS3">
        <f>IF(AR3&lt;5,0,AR3-5)</f>
        <v>0</v>
      </c>
      <c r="AT3" s="21">
        <f>AS3+AJ3+5</f>
        <v>5</v>
      </c>
      <c r="AU3" s="21"/>
      <c r="AV3" s="21"/>
      <c r="AW3" s="21"/>
    </row>
    <row r="4" spans="1:105" x14ac:dyDescent="0.2">
      <c r="A4">
        <v>1</v>
      </c>
      <c r="E4">
        <f t="shared" ref="E4:E67" si="15">IF(Q4="Intermission",E3+1,E3)</f>
        <v>1</v>
      </c>
      <c r="J4">
        <f t="shared" si="2"/>
        <v>18</v>
      </c>
      <c r="K4" t="str">
        <f>IF($A4=$A3,K3,G4)</f>
        <v>00</v>
      </c>
      <c r="L4" t="str">
        <f t="shared" ref="L4:L8" si="16">IF(H4&lt;&gt;"",H4,IF($A4=$A3,L3,""))</f>
        <v/>
      </c>
      <c r="M4" s="6" t="str">
        <f t="shared" ref="M4:M8" si="17">IF(I4&lt;&gt;"",I4,IF($A4=$A3,M3,""))</f>
        <v/>
      </c>
      <c r="N4" t="str">
        <f>IF(A4=A3,N3,"")</f>
        <v>Away</v>
      </c>
      <c r="O4">
        <v>87</v>
      </c>
      <c r="P4" t="s">
        <v>424</v>
      </c>
      <c r="Y4" t="str">
        <f t="shared" si="4"/>
        <v/>
      </c>
      <c r="Z4" t="str">
        <f t="shared" si="5"/>
        <v/>
      </c>
      <c r="AC4" t="str">
        <f t="shared" si="6"/>
        <v>Faceoff</v>
      </c>
      <c r="AD4" t="str">
        <f t="shared" si="7"/>
        <v>Faceoff_PeriodStart</v>
      </c>
      <c r="AE4" t="str">
        <f t="shared" si="8"/>
        <v/>
      </c>
      <c r="AF4" t="str">
        <f t="shared" si="9"/>
        <v>Offensive</v>
      </c>
      <c r="AG4">
        <f t="shared" ref="AG4:AG67" si="18">AG3</f>
        <v>18981</v>
      </c>
      <c r="AH4" t="str">
        <f t="shared" ref="AH4:AH67" si="19">AH3</f>
        <v>Nelson</v>
      </c>
      <c r="AI4" t="str">
        <f t="shared" ref="AI4:AI67" si="20">AI3</f>
        <v>Velodrome</v>
      </c>
      <c r="AJ4" s="18">
        <f t="shared" si="11"/>
        <v>0</v>
      </c>
      <c r="AK4">
        <f>(J4*60)+K4</f>
        <v>1080</v>
      </c>
      <c r="AL4">
        <f>IF(AND(L4="",M4=""),AK4,((L4*60)+M4))</f>
        <v>1080</v>
      </c>
      <c r="AM4" cm="1">
        <f t="array" ref="AM4">_xlfn._xlws.FILTER(shifts!A:A,(shifts!B:B=events!E4)*(shifts!AG:AG&gt;=events!AK4)*(shifts!AH:AH&lt;=events!AL4))</f>
        <v>1</v>
      </c>
      <c r="AN4" s="6" t="str">
        <f>IF(P4="e","event_team_player_"&amp;AO4,IF(P4="o","opp_team_player_"&amp;AO4,""))</f>
        <v>event_team_player_2</v>
      </c>
      <c r="AO4">
        <f>COUNTIFS(A$3:A4,"="&amp;A4,P$3:P4,"="&amp;P4)</f>
        <v>2</v>
      </c>
      <c r="AP4" s="18">
        <f t="shared" si="12"/>
        <v>0</v>
      </c>
      <c r="AQ4">
        <f t="shared" si="13"/>
        <v>0</v>
      </c>
      <c r="AR4" s="23">
        <f t="shared" si="14"/>
        <v>0</v>
      </c>
      <c r="AS4">
        <f t="shared" ref="AS4:AS67" si="21">IF(AR4&lt;5,0,AR4-5)</f>
        <v>0</v>
      </c>
      <c r="AT4" s="21">
        <f t="shared" ref="AT4:AT67" si="22">AS4+AJ4+5</f>
        <v>5</v>
      </c>
      <c r="AU4" s="21"/>
      <c r="AV4" s="21"/>
      <c r="AW4" s="21"/>
    </row>
    <row r="5" spans="1:105" x14ac:dyDescent="0.2">
      <c r="A5">
        <v>1</v>
      </c>
      <c r="E5">
        <f t="shared" si="15"/>
        <v>1</v>
      </c>
      <c r="J5">
        <f t="shared" si="2"/>
        <v>18</v>
      </c>
      <c r="K5" t="str">
        <f t="shared" ref="K5:K8" si="23">IF($A5=$A4,K4,G5)</f>
        <v>00</v>
      </c>
      <c r="L5" t="str">
        <f t="shared" si="16"/>
        <v/>
      </c>
      <c r="M5" s="6" t="str">
        <f t="shared" si="17"/>
        <v/>
      </c>
      <c r="N5" t="str">
        <f>IF(A5=A4,N4,"")</f>
        <v>Away</v>
      </c>
      <c r="O5">
        <v>10</v>
      </c>
      <c r="P5" t="s">
        <v>425</v>
      </c>
      <c r="Y5" t="str">
        <f t="shared" si="4"/>
        <v/>
      </c>
      <c r="Z5" t="str">
        <f t="shared" si="5"/>
        <v/>
      </c>
      <c r="AC5" t="str">
        <f t="shared" si="6"/>
        <v>Faceoff</v>
      </c>
      <c r="AD5" t="str">
        <f t="shared" si="7"/>
        <v>Faceoff_PeriodStart</v>
      </c>
      <c r="AE5" t="str">
        <f t="shared" si="8"/>
        <v/>
      </c>
      <c r="AF5" t="str">
        <f t="shared" si="9"/>
        <v>Defensive</v>
      </c>
      <c r="AG5">
        <f t="shared" si="18"/>
        <v>18981</v>
      </c>
      <c r="AH5" t="str">
        <f t="shared" si="19"/>
        <v>Nelson</v>
      </c>
      <c r="AI5" t="str">
        <f t="shared" si="20"/>
        <v>Velodrome</v>
      </c>
      <c r="AJ5" s="18">
        <f t="shared" si="11"/>
        <v>0</v>
      </c>
      <c r="AP5" s="18">
        <f t="shared" si="12"/>
        <v>0</v>
      </c>
      <c r="AQ5">
        <f t="shared" si="13"/>
        <v>0</v>
      </c>
      <c r="AR5" s="23">
        <f t="shared" si="14"/>
        <v>0</v>
      </c>
      <c r="AS5">
        <f t="shared" si="21"/>
        <v>0</v>
      </c>
      <c r="AT5" s="21">
        <f t="shared" si="22"/>
        <v>5</v>
      </c>
      <c r="AU5" s="21"/>
      <c r="AV5" s="21"/>
      <c r="AW5" s="21"/>
    </row>
    <row r="6" spans="1:105" x14ac:dyDescent="0.2">
      <c r="A6">
        <v>2</v>
      </c>
      <c r="E6">
        <f t="shared" si="15"/>
        <v>1</v>
      </c>
      <c r="F6" s="5" t="s">
        <v>472</v>
      </c>
      <c r="G6" s="5" t="s">
        <v>479</v>
      </c>
      <c r="H6" s="5" t="s">
        <v>472</v>
      </c>
      <c r="I6" s="7" t="s">
        <v>528</v>
      </c>
      <c r="J6" t="str">
        <f t="shared" si="2"/>
        <v>17</v>
      </c>
      <c r="K6" t="str">
        <f t="shared" si="23"/>
        <v>59</v>
      </c>
      <c r="L6" t="str">
        <f t="shared" si="16"/>
        <v>17</v>
      </c>
      <c r="M6" s="6" t="str">
        <f t="shared" si="17"/>
        <v>56</v>
      </c>
      <c r="N6" t="s">
        <v>179</v>
      </c>
      <c r="O6">
        <v>87</v>
      </c>
      <c r="P6" t="s">
        <v>424</v>
      </c>
      <c r="Q6" t="s">
        <v>15</v>
      </c>
      <c r="Y6" t="str">
        <f t="shared" si="4"/>
        <v/>
      </c>
      <c r="Z6" t="str">
        <f t="shared" si="5"/>
        <v/>
      </c>
      <c r="AC6" t="str">
        <f t="shared" si="6"/>
        <v>Possession</v>
      </c>
      <c r="AD6" t="str">
        <f t="shared" si="7"/>
        <v/>
      </c>
      <c r="AE6" t="str">
        <f t="shared" si="8"/>
        <v/>
      </c>
      <c r="AF6" t="str">
        <f t="shared" si="9"/>
        <v>Offensive</v>
      </c>
      <c r="AG6">
        <f t="shared" si="18"/>
        <v>18981</v>
      </c>
      <c r="AH6" t="str">
        <f t="shared" si="19"/>
        <v>Nelson</v>
      </c>
      <c r="AI6" t="str">
        <f t="shared" si="20"/>
        <v>Velodrome</v>
      </c>
      <c r="AJ6" s="18">
        <f t="shared" si="11"/>
        <v>3</v>
      </c>
      <c r="AP6" s="18">
        <f t="shared" si="12"/>
        <v>0</v>
      </c>
      <c r="AQ6">
        <f t="shared" si="13"/>
        <v>0</v>
      </c>
      <c r="AR6" s="23">
        <f t="shared" si="14"/>
        <v>1</v>
      </c>
      <c r="AS6">
        <f t="shared" si="21"/>
        <v>0</v>
      </c>
      <c r="AT6" s="21">
        <f t="shared" si="22"/>
        <v>8</v>
      </c>
      <c r="AU6" s="21"/>
      <c r="AV6" s="21"/>
      <c r="AW6" s="21"/>
    </row>
    <row r="7" spans="1:105" x14ac:dyDescent="0.2">
      <c r="A7">
        <v>2</v>
      </c>
      <c r="E7">
        <f t="shared" si="15"/>
        <v>1</v>
      </c>
      <c r="J7" t="str">
        <f t="shared" si="2"/>
        <v>17</v>
      </c>
      <c r="K7" t="str">
        <f t="shared" si="23"/>
        <v>59</v>
      </c>
      <c r="L7" t="str">
        <f t="shared" si="16"/>
        <v>17</v>
      </c>
      <c r="M7" s="6" t="str">
        <f t="shared" si="17"/>
        <v>56</v>
      </c>
      <c r="N7" t="str">
        <f t="shared" ref="N7:N69" si="24">IF(A7=A6,N6,"")</f>
        <v>Away</v>
      </c>
      <c r="O7">
        <v>15</v>
      </c>
      <c r="P7" t="s">
        <v>425</v>
      </c>
      <c r="Y7" t="str">
        <f t="shared" si="4"/>
        <v/>
      </c>
      <c r="Z7" t="str">
        <f t="shared" si="5"/>
        <v/>
      </c>
      <c r="AC7" t="str">
        <f t="shared" si="6"/>
        <v>Possession</v>
      </c>
      <c r="AD7" t="str">
        <f t="shared" si="7"/>
        <v/>
      </c>
      <c r="AE7" t="str">
        <f t="shared" si="8"/>
        <v/>
      </c>
      <c r="AF7" t="str">
        <f t="shared" si="9"/>
        <v>Defensive</v>
      </c>
      <c r="AG7">
        <f t="shared" si="18"/>
        <v>18981</v>
      </c>
      <c r="AH7" t="str">
        <f t="shared" si="19"/>
        <v>Nelson</v>
      </c>
      <c r="AI7" t="str">
        <f t="shared" si="20"/>
        <v>Velodrome</v>
      </c>
      <c r="AJ7" s="18">
        <f t="shared" si="11"/>
        <v>3</v>
      </c>
      <c r="AP7" s="18">
        <f t="shared" si="12"/>
        <v>0</v>
      </c>
      <c r="AQ7">
        <f t="shared" si="13"/>
        <v>0</v>
      </c>
      <c r="AR7" s="23">
        <f t="shared" si="14"/>
        <v>1</v>
      </c>
      <c r="AS7">
        <f t="shared" si="21"/>
        <v>0</v>
      </c>
      <c r="AT7" s="21">
        <f t="shared" si="22"/>
        <v>8</v>
      </c>
      <c r="AU7" s="21"/>
      <c r="AV7" s="21"/>
      <c r="AW7" s="21"/>
    </row>
    <row r="8" spans="1:105" x14ac:dyDescent="0.2">
      <c r="A8">
        <v>3</v>
      </c>
      <c r="E8">
        <f t="shared" si="15"/>
        <v>1</v>
      </c>
      <c r="F8" s="5" t="s">
        <v>472</v>
      </c>
      <c r="G8" s="5" t="s">
        <v>528</v>
      </c>
      <c r="H8" s="5" t="s">
        <v>472</v>
      </c>
      <c r="I8" s="7" t="s">
        <v>527</v>
      </c>
      <c r="J8" t="str">
        <f t="shared" si="2"/>
        <v>17</v>
      </c>
      <c r="K8" t="str">
        <f t="shared" si="23"/>
        <v>56</v>
      </c>
      <c r="L8" t="str">
        <f t="shared" si="16"/>
        <v>17</v>
      </c>
      <c r="M8" s="6" t="str">
        <f t="shared" si="17"/>
        <v>55</v>
      </c>
      <c r="N8" t="s">
        <v>179</v>
      </c>
      <c r="O8">
        <v>87</v>
      </c>
      <c r="P8" t="s">
        <v>424</v>
      </c>
      <c r="Q8" t="s">
        <v>277</v>
      </c>
      <c r="R8" t="s">
        <v>191</v>
      </c>
      <c r="S8" t="s">
        <v>87</v>
      </c>
      <c r="Y8" t="str">
        <f t="shared" si="4"/>
        <v/>
      </c>
      <c r="Z8" t="str">
        <f t="shared" si="5"/>
        <v/>
      </c>
      <c r="AC8" t="str">
        <f t="shared" si="6"/>
        <v>Zone_Entry_Exit</v>
      </c>
      <c r="AD8" t="str">
        <f t="shared" si="7"/>
        <v>Zone_Entry</v>
      </c>
      <c r="AE8" t="str">
        <f t="shared" si="8"/>
        <v>ZoneEntry-Rush</v>
      </c>
      <c r="AF8" t="str">
        <f t="shared" si="9"/>
        <v>Offensive</v>
      </c>
      <c r="AG8">
        <f t="shared" si="18"/>
        <v>18981</v>
      </c>
      <c r="AH8" t="str">
        <f t="shared" si="19"/>
        <v>Nelson</v>
      </c>
      <c r="AI8" t="str">
        <f t="shared" si="20"/>
        <v>Velodrome</v>
      </c>
      <c r="AJ8" s="18">
        <f t="shared" si="11"/>
        <v>1</v>
      </c>
      <c r="AP8" s="18">
        <f t="shared" si="12"/>
        <v>0</v>
      </c>
      <c r="AQ8">
        <f t="shared" si="13"/>
        <v>0</v>
      </c>
      <c r="AR8" s="23">
        <f t="shared" si="14"/>
        <v>4</v>
      </c>
      <c r="AS8">
        <f t="shared" si="21"/>
        <v>0</v>
      </c>
      <c r="AT8" s="21">
        <f t="shared" si="22"/>
        <v>6</v>
      </c>
      <c r="AU8" s="21"/>
      <c r="AV8" s="21"/>
      <c r="AW8" s="21"/>
    </row>
    <row r="9" spans="1:105" x14ac:dyDescent="0.2">
      <c r="A9">
        <v>3</v>
      </c>
      <c r="E9">
        <f t="shared" si="15"/>
        <v>1</v>
      </c>
      <c r="J9" t="str">
        <f t="shared" ref="J9:J72" si="25">IF(F9&lt;&gt;"",F9,IF($A9=$A8,J8,J9))</f>
        <v>17</v>
      </c>
      <c r="K9" t="str">
        <f t="shared" ref="K9:K72" si="26">IF($A9=$A8,K8,G9)</f>
        <v>56</v>
      </c>
      <c r="L9" t="str">
        <f t="shared" ref="L9:L72" si="27">IF(H9&lt;&gt;"",H9,IF($A9=$A8,L8,""))</f>
        <v>17</v>
      </c>
      <c r="M9" s="6" t="str">
        <f t="shared" ref="M9:M72" si="28">IF(I9&lt;&gt;"",I9,IF($A9=$A8,M8,""))</f>
        <v>55</v>
      </c>
      <c r="N9" t="str">
        <f t="shared" si="24"/>
        <v>Away</v>
      </c>
      <c r="O9">
        <v>15</v>
      </c>
      <c r="P9" t="s">
        <v>425</v>
      </c>
      <c r="Y9" t="str">
        <f t="shared" si="4"/>
        <v/>
      </c>
      <c r="Z9" t="str">
        <f t="shared" si="5"/>
        <v/>
      </c>
      <c r="AC9" t="str">
        <f t="shared" si="6"/>
        <v>Zone_Entry_Exit</v>
      </c>
      <c r="AD9" t="str">
        <f t="shared" si="7"/>
        <v>Zone_Entry</v>
      </c>
      <c r="AE9" t="str">
        <f t="shared" si="8"/>
        <v>ZoneEntry-Rush</v>
      </c>
      <c r="AF9" t="str">
        <f t="shared" si="9"/>
        <v>Defensive</v>
      </c>
      <c r="AG9">
        <f t="shared" si="18"/>
        <v>18981</v>
      </c>
      <c r="AH9" t="str">
        <f t="shared" si="19"/>
        <v>Nelson</v>
      </c>
      <c r="AI9" t="str">
        <f t="shared" si="20"/>
        <v>Velodrome</v>
      </c>
      <c r="AJ9" s="18">
        <f t="shared" si="11"/>
        <v>1</v>
      </c>
      <c r="AP9" s="18">
        <f t="shared" si="12"/>
        <v>0</v>
      </c>
      <c r="AQ9">
        <f t="shared" si="13"/>
        <v>0</v>
      </c>
      <c r="AR9" s="23">
        <f t="shared" si="14"/>
        <v>4</v>
      </c>
      <c r="AS9">
        <f t="shared" si="21"/>
        <v>0</v>
      </c>
      <c r="AT9" s="21">
        <f t="shared" si="22"/>
        <v>6</v>
      </c>
      <c r="AU9" s="21"/>
      <c r="AV9" s="21"/>
      <c r="AW9" s="21"/>
    </row>
    <row r="10" spans="1:105" x14ac:dyDescent="0.2">
      <c r="A10">
        <v>3</v>
      </c>
      <c r="E10">
        <f t="shared" si="15"/>
        <v>1</v>
      </c>
      <c r="J10" t="str">
        <f t="shared" si="25"/>
        <v>17</v>
      </c>
      <c r="K10" t="str">
        <f t="shared" si="26"/>
        <v>56</v>
      </c>
      <c r="L10" t="str">
        <f t="shared" si="27"/>
        <v>17</v>
      </c>
      <c r="M10" s="6" t="str">
        <f t="shared" si="28"/>
        <v>55</v>
      </c>
      <c r="N10" t="str">
        <f t="shared" si="24"/>
        <v>Away</v>
      </c>
      <c r="O10">
        <v>23</v>
      </c>
      <c r="P10" t="s">
        <v>425</v>
      </c>
      <c r="Y10" t="str">
        <f t="shared" si="4"/>
        <v/>
      </c>
      <c r="Z10" t="str">
        <f t="shared" si="5"/>
        <v/>
      </c>
      <c r="AC10" t="str">
        <f t="shared" si="6"/>
        <v>Zone_Entry_Exit</v>
      </c>
      <c r="AD10" t="str">
        <f t="shared" si="7"/>
        <v>Zone_Entry</v>
      </c>
      <c r="AE10" t="str">
        <f t="shared" si="8"/>
        <v>ZoneEntry-Rush</v>
      </c>
      <c r="AF10" t="str">
        <f t="shared" si="9"/>
        <v>Defensive</v>
      </c>
      <c r="AG10">
        <f t="shared" si="18"/>
        <v>18981</v>
      </c>
      <c r="AH10" t="str">
        <f t="shared" si="19"/>
        <v>Nelson</v>
      </c>
      <c r="AI10" t="str">
        <f t="shared" si="20"/>
        <v>Velodrome</v>
      </c>
      <c r="AJ10" s="18">
        <f t="shared" si="11"/>
        <v>1</v>
      </c>
      <c r="AP10" s="18">
        <f t="shared" si="12"/>
        <v>0</v>
      </c>
      <c r="AQ10">
        <f t="shared" si="13"/>
        <v>0</v>
      </c>
      <c r="AR10" s="23">
        <f t="shared" si="14"/>
        <v>4</v>
      </c>
      <c r="AS10">
        <f t="shared" si="21"/>
        <v>0</v>
      </c>
      <c r="AT10" s="21">
        <f t="shared" si="22"/>
        <v>6</v>
      </c>
      <c r="AU10" s="21"/>
      <c r="AV10" s="21"/>
      <c r="AW10" s="21"/>
    </row>
    <row r="11" spans="1:105" x14ac:dyDescent="0.2">
      <c r="A11">
        <v>3</v>
      </c>
      <c r="E11">
        <f t="shared" si="15"/>
        <v>1</v>
      </c>
      <c r="J11" t="str">
        <f t="shared" si="25"/>
        <v>17</v>
      </c>
      <c r="K11" t="str">
        <f t="shared" si="26"/>
        <v>56</v>
      </c>
      <c r="L11" t="str">
        <f t="shared" si="27"/>
        <v>17</v>
      </c>
      <c r="M11" s="6" t="str">
        <f t="shared" si="28"/>
        <v>55</v>
      </c>
      <c r="N11" t="str">
        <f t="shared" si="24"/>
        <v>Away</v>
      </c>
      <c r="O11">
        <v>37</v>
      </c>
      <c r="P11" t="s">
        <v>425</v>
      </c>
      <c r="Y11" t="str">
        <f t="shared" si="4"/>
        <v/>
      </c>
      <c r="Z11" t="str">
        <f t="shared" si="5"/>
        <v/>
      </c>
      <c r="AC11" t="str">
        <f t="shared" si="6"/>
        <v>Zone_Entry_Exit</v>
      </c>
      <c r="AD11" t="str">
        <f t="shared" si="7"/>
        <v>Zone_Entry</v>
      </c>
      <c r="AE11" t="str">
        <f t="shared" si="8"/>
        <v>ZoneEntry-Rush</v>
      </c>
      <c r="AF11" t="str">
        <f t="shared" si="9"/>
        <v>Defensive</v>
      </c>
      <c r="AG11">
        <f t="shared" si="18"/>
        <v>18981</v>
      </c>
      <c r="AH11" t="str">
        <f t="shared" si="19"/>
        <v>Nelson</v>
      </c>
      <c r="AI11" t="str">
        <f t="shared" si="20"/>
        <v>Velodrome</v>
      </c>
      <c r="AJ11" s="18">
        <f t="shared" si="11"/>
        <v>1</v>
      </c>
      <c r="AP11" s="18">
        <f t="shared" si="12"/>
        <v>0</v>
      </c>
      <c r="AQ11">
        <f t="shared" si="13"/>
        <v>0</v>
      </c>
      <c r="AR11" s="23">
        <f t="shared" si="14"/>
        <v>4</v>
      </c>
      <c r="AS11">
        <f t="shared" si="21"/>
        <v>0</v>
      </c>
      <c r="AT11" s="21">
        <f t="shared" si="22"/>
        <v>6</v>
      </c>
      <c r="AU11" s="21"/>
      <c r="AV11" s="21"/>
      <c r="AW11" s="21"/>
    </row>
    <row r="12" spans="1:105" x14ac:dyDescent="0.2">
      <c r="A12">
        <v>4</v>
      </c>
      <c r="E12">
        <f t="shared" si="15"/>
        <v>1</v>
      </c>
      <c r="F12" s="5" t="s">
        <v>472</v>
      </c>
      <c r="G12" s="5" t="s">
        <v>527</v>
      </c>
      <c r="J12" t="str">
        <f t="shared" si="25"/>
        <v>17</v>
      </c>
      <c r="K12" t="str">
        <f t="shared" si="26"/>
        <v>55</v>
      </c>
      <c r="L12" t="str">
        <f t="shared" si="27"/>
        <v/>
      </c>
      <c r="M12" s="6" t="str">
        <f t="shared" si="28"/>
        <v/>
      </c>
      <c r="N12" t="s">
        <v>179</v>
      </c>
      <c r="O12">
        <v>87</v>
      </c>
      <c r="P12" t="s">
        <v>424</v>
      </c>
      <c r="Q12" t="s">
        <v>7</v>
      </c>
      <c r="R12" t="s">
        <v>198</v>
      </c>
      <c r="S12" t="s">
        <v>53</v>
      </c>
      <c r="Y12" t="str">
        <f t="shared" si="4"/>
        <v/>
      </c>
      <c r="Z12" t="str">
        <f t="shared" si="5"/>
        <v/>
      </c>
      <c r="AC12" t="str">
        <f t="shared" si="6"/>
        <v>Shot</v>
      </c>
      <c r="AD12" t="str">
        <f t="shared" si="7"/>
        <v>Shot_Missed</v>
      </c>
      <c r="AE12" t="str">
        <f t="shared" si="8"/>
        <v>Shot-Wrist</v>
      </c>
      <c r="AF12" t="str">
        <f t="shared" si="9"/>
        <v>Offensive</v>
      </c>
      <c r="AG12">
        <f t="shared" si="18"/>
        <v>18981</v>
      </c>
      <c r="AH12" t="str">
        <f t="shared" si="19"/>
        <v>Nelson</v>
      </c>
      <c r="AI12" t="str">
        <f t="shared" si="20"/>
        <v>Velodrome</v>
      </c>
      <c r="AJ12" s="18">
        <f t="shared" si="11"/>
        <v>0</v>
      </c>
      <c r="AP12" s="18">
        <f t="shared" si="12"/>
        <v>0</v>
      </c>
      <c r="AQ12">
        <f t="shared" si="13"/>
        <v>0</v>
      </c>
      <c r="AR12" s="23">
        <f t="shared" si="14"/>
        <v>5</v>
      </c>
      <c r="AS12">
        <f t="shared" si="21"/>
        <v>0</v>
      </c>
      <c r="AT12" s="21">
        <f t="shared" si="22"/>
        <v>5</v>
      </c>
      <c r="AU12" s="21"/>
      <c r="AV12" s="21"/>
      <c r="AW12" s="21"/>
    </row>
    <row r="13" spans="1:105" x14ac:dyDescent="0.2">
      <c r="A13">
        <v>4</v>
      </c>
      <c r="E13">
        <f t="shared" si="15"/>
        <v>1</v>
      </c>
      <c r="J13" t="str">
        <f t="shared" si="25"/>
        <v>17</v>
      </c>
      <c r="K13" t="str">
        <f t="shared" si="26"/>
        <v>55</v>
      </c>
      <c r="L13" t="str">
        <f t="shared" si="27"/>
        <v/>
      </c>
      <c r="M13" s="6" t="str">
        <f t="shared" si="28"/>
        <v/>
      </c>
      <c r="N13" t="str">
        <f t="shared" si="24"/>
        <v>Away</v>
      </c>
      <c r="O13">
        <v>37</v>
      </c>
      <c r="P13" t="s">
        <v>425</v>
      </c>
      <c r="Y13" t="str">
        <f t="shared" si="4"/>
        <v/>
      </c>
      <c r="Z13" t="str">
        <f t="shared" si="5"/>
        <v/>
      </c>
      <c r="AC13" t="str">
        <f t="shared" si="6"/>
        <v>Shot</v>
      </c>
      <c r="AD13" t="str">
        <f t="shared" si="7"/>
        <v>Shot_Missed</v>
      </c>
      <c r="AE13" t="str">
        <f t="shared" si="8"/>
        <v>Shot-Wrist</v>
      </c>
      <c r="AF13" t="str">
        <f t="shared" si="9"/>
        <v>Defensive</v>
      </c>
      <c r="AG13">
        <f t="shared" si="18"/>
        <v>18981</v>
      </c>
      <c r="AH13" t="str">
        <f t="shared" si="19"/>
        <v>Nelson</v>
      </c>
      <c r="AI13" t="str">
        <f t="shared" si="20"/>
        <v>Velodrome</v>
      </c>
      <c r="AJ13" s="18">
        <f t="shared" si="11"/>
        <v>0</v>
      </c>
      <c r="AP13" s="18">
        <f t="shared" si="12"/>
        <v>0</v>
      </c>
      <c r="AQ13">
        <f t="shared" si="13"/>
        <v>0</v>
      </c>
      <c r="AR13" s="23">
        <f t="shared" si="14"/>
        <v>5</v>
      </c>
      <c r="AS13">
        <f t="shared" si="21"/>
        <v>0</v>
      </c>
      <c r="AT13" s="21">
        <f t="shared" si="22"/>
        <v>5</v>
      </c>
      <c r="AU13" s="21"/>
      <c r="AV13" s="21"/>
      <c r="AW13" s="21"/>
    </row>
    <row r="14" spans="1:105" x14ac:dyDescent="0.2">
      <c r="A14">
        <v>5</v>
      </c>
      <c r="E14">
        <f t="shared" si="15"/>
        <v>1</v>
      </c>
      <c r="F14" s="5" t="s">
        <v>472</v>
      </c>
      <c r="G14" s="5" t="s">
        <v>527</v>
      </c>
      <c r="J14" t="str">
        <f t="shared" si="25"/>
        <v>17</v>
      </c>
      <c r="K14" t="str">
        <f t="shared" si="26"/>
        <v>55</v>
      </c>
      <c r="L14" t="str">
        <f t="shared" si="27"/>
        <v/>
      </c>
      <c r="M14" s="6" t="str">
        <f t="shared" si="28"/>
        <v/>
      </c>
      <c r="N14" t="s">
        <v>179</v>
      </c>
      <c r="O14">
        <v>87</v>
      </c>
      <c r="P14" t="s">
        <v>424</v>
      </c>
      <c r="Q14" t="s">
        <v>10</v>
      </c>
      <c r="R14" t="s">
        <v>190</v>
      </c>
      <c r="S14" t="s">
        <v>79</v>
      </c>
      <c r="Y14" t="str">
        <f t="shared" si="4"/>
        <v/>
      </c>
      <c r="Z14" t="str">
        <f t="shared" si="5"/>
        <v/>
      </c>
      <c r="AC14" t="str">
        <f t="shared" si="6"/>
        <v>Turnover</v>
      </c>
      <c r="AD14" t="str">
        <f t="shared" si="7"/>
        <v>Turnover_Giveaway</v>
      </c>
      <c r="AE14" t="str">
        <f t="shared" si="8"/>
        <v>Giveaway-ShotMissed</v>
      </c>
      <c r="AF14" t="str">
        <f t="shared" si="9"/>
        <v>Offensive</v>
      </c>
      <c r="AG14">
        <f t="shared" si="18"/>
        <v>18981</v>
      </c>
      <c r="AH14" t="str">
        <f t="shared" si="19"/>
        <v>Nelson</v>
      </c>
      <c r="AI14" t="str">
        <f t="shared" si="20"/>
        <v>Velodrome</v>
      </c>
      <c r="AJ14" s="18">
        <f t="shared" si="11"/>
        <v>0</v>
      </c>
      <c r="AP14" s="18">
        <f t="shared" si="12"/>
        <v>0</v>
      </c>
      <c r="AQ14">
        <f t="shared" si="13"/>
        <v>0</v>
      </c>
      <c r="AR14" s="23">
        <f t="shared" si="14"/>
        <v>5</v>
      </c>
      <c r="AS14">
        <f t="shared" si="21"/>
        <v>0</v>
      </c>
      <c r="AT14" s="21">
        <f t="shared" si="22"/>
        <v>5</v>
      </c>
      <c r="AU14" s="21"/>
      <c r="AV14" s="21"/>
      <c r="AW14" s="21"/>
    </row>
    <row r="15" spans="1:105" x14ac:dyDescent="0.2">
      <c r="A15">
        <v>6</v>
      </c>
      <c r="E15">
        <f t="shared" si="15"/>
        <v>1</v>
      </c>
      <c r="F15" s="5" t="s">
        <v>472</v>
      </c>
      <c r="G15" s="5" t="s">
        <v>524</v>
      </c>
      <c r="J15" t="str">
        <f t="shared" si="25"/>
        <v>17</v>
      </c>
      <c r="K15" t="str">
        <f t="shared" si="26"/>
        <v>52</v>
      </c>
      <c r="L15" t="str">
        <f t="shared" si="27"/>
        <v/>
      </c>
      <c r="M15" s="6" t="str">
        <f t="shared" si="28"/>
        <v/>
      </c>
      <c r="N15" t="s">
        <v>178</v>
      </c>
      <c r="O15">
        <v>23</v>
      </c>
      <c r="P15" t="s">
        <v>424</v>
      </c>
      <c r="Q15" t="s">
        <v>8</v>
      </c>
      <c r="R15" t="s">
        <v>189</v>
      </c>
      <c r="S15" t="s">
        <v>70</v>
      </c>
      <c r="Y15" t="str">
        <f t="shared" si="4"/>
        <v/>
      </c>
      <c r="Z15" t="str">
        <f t="shared" si="5"/>
        <v/>
      </c>
      <c r="AC15" t="str">
        <f t="shared" si="6"/>
        <v>Pass</v>
      </c>
      <c r="AD15" t="str">
        <f t="shared" si="7"/>
        <v>Pass_Completed</v>
      </c>
      <c r="AE15" t="str">
        <f t="shared" si="8"/>
        <v>Pass-Forehand</v>
      </c>
      <c r="AF15" t="str">
        <f t="shared" si="9"/>
        <v>Offensive</v>
      </c>
      <c r="AG15">
        <f t="shared" si="18"/>
        <v>18981</v>
      </c>
      <c r="AH15" t="str">
        <f t="shared" si="19"/>
        <v>Nelson</v>
      </c>
      <c r="AI15" t="str">
        <f t="shared" si="20"/>
        <v>Velodrome</v>
      </c>
      <c r="AJ15" s="18">
        <f t="shared" si="11"/>
        <v>0</v>
      </c>
      <c r="AP15" s="18">
        <f t="shared" si="12"/>
        <v>0</v>
      </c>
      <c r="AQ15">
        <f t="shared" si="13"/>
        <v>0</v>
      </c>
      <c r="AR15" s="23">
        <f t="shared" si="14"/>
        <v>8</v>
      </c>
      <c r="AS15">
        <f t="shared" si="21"/>
        <v>3</v>
      </c>
      <c r="AT15" s="21">
        <f t="shared" si="22"/>
        <v>8</v>
      </c>
      <c r="AU15" s="21"/>
      <c r="AV15" s="21"/>
      <c r="AW15" s="21"/>
    </row>
    <row r="16" spans="1:105" x14ac:dyDescent="0.2">
      <c r="A16">
        <v>6</v>
      </c>
      <c r="E16">
        <f t="shared" si="15"/>
        <v>1</v>
      </c>
      <c r="J16" t="str">
        <f t="shared" si="25"/>
        <v>17</v>
      </c>
      <c r="K16" t="str">
        <f t="shared" si="26"/>
        <v>52</v>
      </c>
      <c r="L16" t="str">
        <f t="shared" si="27"/>
        <v/>
      </c>
      <c r="M16" s="6" t="str">
        <f t="shared" si="28"/>
        <v/>
      </c>
      <c r="N16" t="str">
        <f t="shared" si="24"/>
        <v>Home</v>
      </c>
      <c r="O16">
        <v>16</v>
      </c>
      <c r="P16" t="s">
        <v>424</v>
      </c>
      <c r="Y16" t="str">
        <f t="shared" si="4"/>
        <v/>
      </c>
      <c r="Z16" t="str">
        <f t="shared" si="5"/>
        <v/>
      </c>
      <c r="AC16" t="str">
        <f t="shared" si="6"/>
        <v>Pass</v>
      </c>
      <c r="AD16" t="str">
        <f t="shared" si="7"/>
        <v>Pass_Completed</v>
      </c>
      <c r="AE16" t="str">
        <f t="shared" si="8"/>
        <v>Pass-Forehand</v>
      </c>
      <c r="AF16" t="str">
        <f t="shared" si="9"/>
        <v>Offensive</v>
      </c>
      <c r="AG16">
        <f t="shared" si="18"/>
        <v>18981</v>
      </c>
      <c r="AH16" t="str">
        <f t="shared" si="19"/>
        <v>Nelson</v>
      </c>
      <c r="AI16" t="str">
        <f t="shared" si="20"/>
        <v>Velodrome</v>
      </c>
      <c r="AJ16" s="18">
        <f t="shared" si="11"/>
        <v>0</v>
      </c>
      <c r="AP16" s="18">
        <f t="shared" si="12"/>
        <v>0</v>
      </c>
      <c r="AQ16">
        <f t="shared" si="13"/>
        <v>0</v>
      </c>
      <c r="AR16" s="23">
        <f t="shared" si="14"/>
        <v>8</v>
      </c>
      <c r="AS16">
        <f t="shared" si="21"/>
        <v>3</v>
      </c>
      <c r="AT16" s="21">
        <f t="shared" si="22"/>
        <v>8</v>
      </c>
      <c r="AU16" s="21"/>
      <c r="AV16" s="21"/>
      <c r="AW16" s="21"/>
    </row>
    <row r="17" spans="1:49" x14ac:dyDescent="0.2">
      <c r="A17">
        <v>7</v>
      </c>
      <c r="E17">
        <f t="shared" si="15"/>
        <v>1</v>
      </c>
      <c r="F17" s="5" t="s">
        <v>472</v>
      </c>
      <c r="G17" s="5" t="s">
        <v>523</v>
      </c>
      <c r="H17" s="5" t="s">
        <v>472</v>
      </c>
      <c r="I17" s="7" t="s">
        <v>520</v>
      </c>
      <c r="J17" t="str">
        <f t="shared" si="25"/>
        <v>17</v>
      </c>
      <c r="K17" t="str">
        <f t="shared" si="26"/>
        <v>51</v>
      </c>
      <c r="L17" t="str">
        <f t="shared" si="27"/>
        <v>17</v>
      </c>
      <c r="M17" s="6" t="str">
        <f t="shared" si="28"/>
        <v>48</v>
      </c>
      <c r="N17" t="s">
        <v>178</v>
      </c>
      <c r="O17">
        <v>16</v>
      </c>
      <c r="P17" t="s">
        <v>424</v>
      </c>
      <c r="Q17" t="s">
        <v>15</v>
      </c>
      <c r="Y17" t="str">
        <f t="shared" si="4"/>
        <v/>
      </c>
      <c r="Z17" t="str">
        <f t="shared" si="5"/>
        <v/>
      </c>
      <c r="AC17" t="str">
        <f t="shared" si="6"/>
        <v>Possession</v>
      </c>
      <c r="AD17" t="str">
        <f t="shared" si="7"/>
        <v/>
      </c>
      <c r="AE17" t="str">
        <f t="shared" si="8"/>
        <v/>
      </c>
      <c r="AF17" t="str">
        <f t="shared" si="9"/>
        <v>Offensive</v>
      </c>
      <c r="AG17">
        <f t="shared" si="18"/>
        <v>18981</v>
      </c>
      <c r="AH17" t="str">
        <f t="shared" si="19"/>
        <v>Nelson</v>
      </c>
      <c r="AI17" t="str">
        <f t="shared" si="20"/>
        <v>Velodrome</v>
      </c>
      <c r="AJ17" s="18">
        <f t="shared" si="11"/>
        <v>3</v>
      </c>
      <c r="AP17" s="18">
        <f t="shared" si="12"/>
        <v>0</v>
      </c>
      <c r="AQ17">
        <f t="shared" si="13"/>
        <v>0</v>
      </c>
      <c r="AR17" s="23">
        <f t="shared" si="14"/>
        <v>9</v>
      </c>
      <c r="AS17">
        <f t="shared" si="21"/>
        <v>4</v>
      </c>
      <c r="AT17" s="21">
        <f t="shared" si="22"/>
        <v>12</v>
      </c>
      <c r="AU17" s="21"/>
      <c r="AV17" s="21"/>
      <c r="AW17" s="21"/>
    </row>
    <row r="18" spans="1:49" x14ac:dyDescent="0.2">
      <c r="A18">
        <v>7</v>
      </c>
      <c r="E18">
        <f t="shared" si="15"/>
        <v>1</v>
      </c>
      <c r="J18" t="str">
        <f t="shared" si="25"/>
        <v>17</v>
      </c>
      <c r="K18" t="str">
        <f t="shared" si="26"/>
        <v>51</v>
      </c>
      <c r="L18" t="str">
        <f t="shared" si="27"/>
        <v>17</v>
      </c>
      <c r="M18" s="6" t="str">
        <f t="shared" si="28"/>
        <v>48</v>
      </c>
      <c r="N18" t="str">
        <f t="shared" si="24"/>
        <v>Home</v>
      </c>
      <c r="O18">
        <v>70</v>
      </c>
      <c r="P18" t="s">
        <v>425</v>
      </c>
      <c r="Y18" t="str">
        <f t="shared" si="4"/>
        <v/>
      </c>
      <c r="Z18" t="str">
        <f t="shared" si="5"/>
        <v/>
      </c>
      <c r="AC18" t="str">
        <f t="shared" si="6"/>
        <v>Possession</v>
      </c>
      <c r="AD18" t="str">
        <f t="shared" si="7"/>
        <v/>
      </c>
      <c r="AE18" t="str">
        <f t="shared" si="8"/>
        <v/>
      </c>
      <c r="AF18" t="str">
        <f t="shared" si="9"/>
        <v>Defensive</v>
      </c>
      <c r="AG18">
        <f t="shared" si="18"/>
        <v>18981</v>
      </c>
      <c r="AH18" t="str">
        <f t="shared" si="19"/>
        <v>Nelson</v>
      </c>
      <c r="AI18" t="str">
        <f t="shared" si="20"/>
        <v>Velodrome</v>
      </c>
      <c r="AJ18" s="18">
        <f t="shared" si="11"/>
        <v>3</v>
      </c>
      <c r="AP18" s="18">
        <f t="shared" si="12"/>
        <v>0</v>
      </c>
      <c r="AQ18">
        <f t="shared" si="13"/>
        <v>0</v>
      </c>
      <c r="AR18" s="23">
        <f t="shared" si="14"/>
        <v>9</v>
      </c>
      <c r="AS18">
        <f t="shared" si="21"/>
        <v>4</v>
      </c>
      <c r="AT18" s="21">
        <f t="shared" si="22"/>
        <v>12</v>
      </c>
      <c r="AU18" s="21"/>
      <c r="AV18" s="21"/>
      <c r="AW18" s="21"/>
    </row>
    <row r="19" spans="1:49" x14ac:dyDescent="0.2">
      <c r="A19">
        <v>8</v>
      </c>
      <c r="E19">
        <f t="shared" si="15"/>
        <v>1</v>
      </c>
      <c r="F19" s="5" t="s">
        <v>472</v>
      </c>
      <c r="G19" s="5" t="s">
        <v>520</v>
      </c>
      <c r="J19" t="str">
        <f t="shared" si="25"/>
        <v>17</v>
      </c>
      <c r="K19" t="str">
        <f t="shared" si="26"/>
        <v>48</v>
      </c>
      <c r="L19" t="str">
        <f t="shared" si="27"/>
        <v/>
      </c>
      <c r="M19" s="6" t="str">
        <f t="shared" si="28"/>
        <v/>
      </c>
      <c r="N19" t="s">
        <v>178</v>
      </c>
      <c r="O19">
        <v>16</v>
      </c>
      <c r="P19" t="s">
        <v>424</v>
      </c>
      <c r="Q19" t="s">
        <v>10</v>
      </c>
      <c r="R19" t="s">
        <v>190</v>
      </c>
      <c r="S19" t="s">
        <v>73</v>
      </c>
      <c r="Y19" t="str">
        <f t="shared" si="4"/>
        <v/>
      </c>
      <c r="Z19" t="str">
        <f t="shared" si="5"/>
        <v/>
      </c>
      <c r="AC19" t="str">
        <f t="shared" si="6"/>
        <v>Turnover</v>
      </c>
      <c r="AD19" t="str">
        <f t="shared" si="7"/>
        <v>Turnover_Giveaway</v>
      </c>
      <c r="AE19" t="str">
        <f t="shared" si="8"/>
        <v>Giveaway-Misplayed</v>
      </c>
      <c r="AF19" t="str">
        <f t="shared" si="9"/>
        <v>Offensive</v>
      </c>
      <c r="AG19">
        <f t="shared" si="18"/>
        <v>18981</v>
      </c>
      <c r="AH19" t="str">
        <f t="shared" si="19"/>
        <v>Nelson</v>
      </c>
      <c r="AI19" t="str">
        <f t="shared" si="20"/>
        <v>Velodrome</v>
      </c>
      <c r="AJ19" s="18">
        <f t="shared" si="11"/>
        <v>0</v>
      </c>
      <c r="AP19" s="18">
        <f t="shared" si="12"/>
        <v>0</v>
      </c>
      <c r="AQ19">
        <f t="shared" si="13"/>
        <v>0</v>
      </c>
      <c r="AR19" s="23">
        <f t="shared" si="14"/>
        <v>12</v>
      </c>
      <c r="AS19">
        <f t="shared" si="21"/>
        <v>7</v>
      </c>
      <c r="AT19" s="21">
        <f t="shared" si="22"/>
        <v>12</v>
      </c>
      <c r="AU19" s="21"/>
      <c r="AV19" s="21"/>
      <c r="AW19" s="21"/>
    </row>
    <row r="20" spans="1:49" x14ac:dyDescent="0.2">
      <c r="A20">
        <v>8</v>
      </c>
      <c r="E20">
        <f t="shared" si="15"/>
        <v>1</v>
      </c>
      <c r="J20" t="str">
        <f t="shared" si="25"/>
        <v>17</v>
      </c>
      <c r="K20" t="str">
        <f t="shared" si="26"/>
        <v>48</v>
      </c>
      <c r="L20" t="str">
        <f t="shared" si="27"/>
        <v/>
      </c>
      <c r="M20" s="6" t="str">
        <f t="shared" si="28"/>
        <v/>
      </c>
      <c r="N20" t="str">
        <f t="shared" si="24"/>
        <v>Home</v>
      </c>
      <c r="O20">
        <v>70</v>
      </c>
      <c r="P20" t="s">
        <v>425</v>
      </c>
      <c r="Y20" t="str">
        <f t="shared" si="4"/>
        <v/>
      </c>
      <c r="Z20" t="str">
        <f t="shared" si="5"/>
        <v/>
      </c>
      <c r="AC20" t="str">
        <f t="shared" si="6"/>
        <v>Turnover</v>
      </c>
      <c r="AD20" t="str">
        <f t="shared" si="7"/>
        <v>Turnover_Giveaway</v>
      </c>
      <c r="AE20" t="str">
        <f t="shared" si="8"/>
        <v>Giveaway-Misplayed</v>
      </c>
      <c r="AF20" t="str">
        <f t="shared" si="9"/>
        <v>Defensive</v>
      </c>
      <c r="AG20">
        <f t="shared" si="18"/>
        <v>18981</v>
      </c>
      <c r="AH20" t="str">
        <f t="shared" si="19"/>
        <v>Nelson</v>
      </c>
      <c r="AI20" t="str">
        <f t="shared" si="20"/>
        <v>Velodrome</v>
      </c>
      <c r="AJ20" s="18">
        <f t="shared" si="11"/>
        <v>0</v>
      </c>
      <c r="AP20" s="18">
        <f t="shared" si="12"/>
        <v>0</v>
      </c>
      <c r="AQ20">
        <f t="shared" si="13"/>
        <v>0</v>
      </c>
      <c r="AR20" s="23">
        <f t="shared" si="14"/>
        <v>12</v>
      </c>
      <c r="AS20">
        <f t="shared" si="21"/>
        <v>7</v>
      </c>
      <c r="AT20" s="21">
        <f t="shared" si="22"/>
        <v>12</v>
      </c>
      <c r="AU20" s="21"/>
      <c r="AV20" s="21"/>
      <c r="AW20" s="21"/>
    </row>
    <row r="21" spans="1:49" x14ac:dyDescent="0.2">
      <c r="A21">
        <v>9</v>
      </c>
      <c r="E21">
        <f t="shared" si="15"/>
        <v>1</v>
      </c>
      <c r="F21" s="5" t="s">
        <v>472</v>
      </c>
      <c r="G21" s="5" t="s">
        <v>520</v>
      </c>
      <c r="J21" t="str">
        <f t="shared" si="25"/>
        <v>17</v>
      </c>
      <c r="K21" t="str">
        <f t="shared" si="26"/>
        <v>48</v>
      </c>
      <c r="L21" t="str">
        <f t="shared" si="27"/>
        <v/>
      </c>
      <c r="M21" s="6" t="str">
        <f t="shared" si="28"/>
        <v/>
      </c>
      <c r="N21" t="s">
        <v>179</v>
      </c>
      <c r="O21">
        <v>22</v>
      </c>
      <c r="P21" t="s">
        <v>424</v>
      </c>
      <c r="Q21" t="s">
        <v>277</v>
      </c>
      <c r="R21" t="s">
        <v>210</v>
      </c>
      <c r="S21" t="s">
        <v>93</v>
      </c>
      <c r="Y21" t="str">
        <f t="shared" si="4"/>
        <v/>
      </c>
      <c r="Z21" t="str">
        <f t="shared" si="5"/>
        <v/>
      </c>
      <c r="AC21" t="str">
        <f t="shared" si="6"/>
        <v>Zone_Entry_Exit</v>
      </c>
      <c r="AD21" t="str">
        <f t="shared" si="7"/>
        <v>Zone_Keepin</v>
      </c>
      <c r="AE21" t="str">
        <f t="shared" si="8"/>
        <v>Zone-KeepIn</v>
      </c>
      <c r="AF21" t="str">
        <f t="shared" si="9"/>
        <v>Offensive</v>
      </c>
      <c r="AG21">
        <f t="shared" si="18"/>
        <v>18981</v>
      </c>
      <c r="AH21" t="str">
        <f t="shared" si="19"/>
        <v>Nelson</v>
      </c>
      <c r="AI21" t="str">
        <f t="shared" si="20"/>
        <v>Velodrome</v>
      </c>
      <c r="AJ21" s="18">
        <f t="shared" si="11"/>
        <v>0</v>
      </c>
      <c r="AP21" s="18">
        <f t="shared" si="12"/>
        <v>0</v>
      </c>
      <c r="AQ21">
        <f t="shared" si="13"/>
        <v>0</v>
      </c>
      <c r="AR21" s="23">
        <f t="shared" si="14"/>
        <v>12</v>
      </c>
      <c r="AS21">
        <f t="shared" si="21"/>
        <v>7</v>
      </c>
      <c r="AT21" s="21">
        <f t="shared" si="22"/>
        <v>12</v>
      </c>
      <c r="AU21" s="21"/>
      <c r="AV21" s="21"/>
      <c r="AW21" s="21"/>
    </row>
    <row r="22" spans="1:49" x14ac:dyDescent="0.2">
      <c r="A22">
        <v>10</v>
      </c>
      <c r="E22">
        <f t="shared" si="15"/>
        <v>1</v>
      </c>
      <c r="F22" s="5" t="s">
        <v>472</v>
      </c>
      <c r="G22" s="5" t="s">
        <v>520</v>
      </c>
      <c r="J22" t="str">
        <f t="shared" si="25"/>
        <v>17</v>
      </c>
      <c r="K22" t="str">
        <f t="shared" si="26"/>
        <v>48</v>
      </c>
      <c r="L22" t="str">
        <f t="shared" si="27"/>
        <v/>
      </c>
      <c r="M22" s="6" t="str">
        <f t="shared" si="28"/>
        <v/>
      </c>
      <c r="N22" t="s">
        <v>179</v>
      </c>
      <c r="O22">
        <v>22</v>
      </c>
      <c r="P22" t="s">
        <v>424</v>
      </c>
      <c r="Q22" t="s">
        <v>10</v>
      </c>
      <c r="R22" t="s">
        <v>190</v>
      </c>
      <c r="S22" t="s">
        <v>422</v>
      </c>
      <c r="Y22" t="str">
        <f t="shared" si="4"/>
        <v/>
      </c>
      <c r="Z22" t="str">
        <f t="shared" si="5"/>
        <v/>
      </c>
      <c r="AC22" t="str">
        <f t="shared" si="6"/>
        <v>Turnover</v>
      </c>
      <c r="AD22" t="str">
        <f t="shared" si="7"/>
        <v>Turnover_Giveaway</v>
      </c>
      <c r="AE22" t="str">
        <f t="shared" si="8"/>
        <v>Giveaway-AttemptedZoneClear/Dump</v>
      </c>
      <c r="AF22" t="str">
        <f t="shared" si="9"/>
        <v>Offensive</v>
      </c>
      <c r="AG22">
        <f t="shared" si="18"/>
        <v>18981</v>
      </c>
      <c r="AH22" t="str">
        <f t="shared" si="19"/>
        <v>Nelson</v>
      </c>
      <c r="AI22" t="str">
        <f t="shared" si="20"/>
        <v>Velodrome</v>
      </c>
      <c r="AJ22" s="18">
        <f t="shared" si="11"/>
        <v>0</v>
      </c>
      <c r="AP22" s="18">
        <f t="shared" si="12"/>
        <v>0</v>
      </c>
      <c r="AQ22">
        <f t="shared" si="13"/>
        <v>0</v>
      </c>
      <c r="AR22" s="23">
        <f t="shared" si="14"/>
        <v>12</v>
      </c>
      <c r="AS22">
        <f t="shared" si="21"/>
        <v>7</v>
      </c>
      <c r="AT22" s="21">
        <f t="shared" si="22"/>
        <v>12</v>
      </c>
      <c r="AU22" s="21"/>
      <c r="AV22" s="21"/>
      <c r="AW22" s="21"/>
    </row>
    <row r="23" spans="1:49" x14ac:dyDescent="0.2">
      <c r="A23">
        <v>10</v>
      </c>
      <c r="E23">
        <f t="shared" si="15"/>
        <v>1</v>
      </c>
      <c r="J23" t="str">
        <f t="shared" si="25"/>
        <v>17</v>
      </c>
      <c r="K23" t="str">
        <f t="shared" si="26"/>
        <v>48</v>
      </c>
      <c r="L23" t="str">
        <f t="shared" si="27"/>
        <v/>
      </c>
      <c r="M23" s="6" t="str">
        <f t="shared" si="28"/>
        <v/>
      </c>
      <c r="N23" t="str">
        <f t="shared" si="24"/>
        <v>Away</v>
      </c>
      <c r="O23">
        <v>16</v>
      </c>
      <c r="P23" t="s">
        <v>425</v>
      </c>
      <c r="Y23" t="str">
        <f t="shared" si="4"/>
        <v/>
      </c>
      <c r="Z23" t="str">
        <f t="shared" si="5"/>
        <v/>
      </c>
      <c r="AC23" t="str">
        <f t="shared" si="6"/>
        <v>Turnover</v>
      </c>
      <c r="AD23" t="str">
        <f t="shared" si="7"/>
        <v>Turnover_Giveaway</v>
      </c>
      <c r="AE23" t="str">
        <f t="shared" si="8"/>
        <v>Giveaway-AttemptedZoneClear/Dump</v>
      </c>
      <c r="AF23" t="str">
        <f t="shared" si="9"/>
        <v>Defensive</v>
      </c>
      <c r="AG23">
        <f t="shared" si="18"/>
        <v>18981</v>
      </c>
      <c r="AH23" t="str">
        <f t="shared" si="19"/>
        <v>Nelson</v>
      </c>
      <c r="AI23" t="str">
        <f t="shared" si="20"/>
        <v>Velodrome</v>
      </c>
      <c r="AJ23" s="18">
        <f t="shared" si="11"/>
        <v>0</v>
      </c>
      <c r="AP23" s="18">
        <f t="shared" si="12"/>
        <v>0</v>
      </c>
      <c r="AQ23">
        <f t="shared" si="13"/>
        <v>0</v>
      </c>
      <c r="AR23" s="23">
        <f t="shared" si="14"/>
        <v>12</v>
      </c>
      <c r="AS23">
        <f t="shared" si="21"/>
        <v>7</v>
      </c>
      <c r="AT23" s="21">
        <f t="shared" si="22"/>
        <v>12</v>
      </c>
      <c r="AU23" s="21"/>
      <c r="AV23" s="21"/>
      <c r="AW23" s="21"/>
    </row>
    <row r="24" spans="1:49" x14ac:dyDescent="0.2">
      <c r="A24">
        <v>11</v>
      </c>
      <c r="E24">
        <f>IF(Q24="Intermission",E23+1,E23)</f>
        <v>1</v>
      </c>
      <c r="F24" s="5" t="s">
        <v>472</v>
      </c>
      <c r="G24" s="5" t="s">
        <v>519</v>
      </c>
      <c r="H24" s="5" t="s">
        <v>472</v>
      </c>
      <c r="I24" s="7" t="s">
        <v>518</v>
      </c>
      <c r="J24" t="str">
        <f>IF(F24&lt;&gt;"",F24,IF($A24=$A23,J23,J24))</f>
        <v>17</v>
      </c>
      <c r="K24" t="str">
        <f>IF($A24=$A23,K23,G24)</f>
        <v>47</v>
      </c>
      <c r="L24" t="str">
        <f>IF(H24&lt;&gt;"",H24,IF($A24=$A23,L23,""))</f>
        <v>17</v>
      </c>
      <c r="M24" s="6" t="str">
        <f>IF(I24&lt;&gt;"",I24,IF($A24=$A23,M23,""))</f>
        <v>46</v>
      </c>
      <c r="N24" t="s">
        <v>178</v>
      </c>
      <c r="O24">
        <v>16</v>
      </c>
      <c r="P24" t="s">
        <v>424</v>
      </c>
      <c r="Q24" t="s">
        <v>277</v>
      </c>
      <c r="R24" t="s">
        <v>201</v>
      </c>
      <c r="S24" t="s">
        <v>90</v>
      </c>
      <c r="Y24" t="str">
        <f t="shared" si="4"/>
        <v/>
      </c>
      <c r="Z24" t="str">
        <f t="shared" si="5"/>
        <v/>
      </c>
      <c r="AC24" t="str">
        <f t="shared" si="6"/>
        <v>Zone_Entry_Exit</v>
      </c>
      <c r="AD24" t="str">
        <f t="shared" si="7"/>
        <v>Zone_Exit</v>
      </c>
      <c r="AE24" t="str">
        <f t="shared" si="8"/>
        <v>ZoneExit-Rush</v>
      </c>
      <c r="AF24" t="str">
        <f t="shared" si="9"/>
        <v>Offensive</v>
      </c>
      <c r="AG24">
        <f>AG23</f>
        <v>18981</v>
      </c>
      <c r="AH24" t="str">
        <f>AH23</f>
        <v>Nelson</v>
      </c>
      <c r="AI24" t="str">
        <f>AI23</f>
        <v>Velodrome</v>
      </c>
      <c r="AJ24" s="18">
        <f t="shared" si="11"/>
        <v>1</v>
      </c>
      <c r="AP24" s="18">
        <f t="shared" si="12"/>
        <v>0</v>
      </c>
      <c r="AQ24">
        <f t="shared" si="13"/>
        <v>0</v>
      </c>
      <c r="AR24" s="23">
        <f t="shared" si="14"/>
        <v>13</v>
      </c>
      <c r="AS24">
        <f t="shared" si="21"/>
        <v>8</v>
      </c>
      <c r="AT24" s="21">
        <f t="shared" si="22"/>
        <v>14</v>
      </c>
      <c r="AU24" s="21"/>
      <c r="AV24" s="21"/>
      <c r="AW24" s="21"/>
    </row>
    <row r="25" spans="1:49" x14ac:dyDescent="0.2">
      <c r="A25">
        <v>11</v>
      </c>
      <c r="E25">
        <f t="shared" si="15"/>
        <v>1</v>
      </c>
      <c r="J25" t="str">
        <f t="shared" si="25"/>
        <v>17</v>
      </c>
      <c r="K25" t="str">
        <f t="shared" si="26"/>
        <v>47</v>
      </c>
      <c r="L25" t="str">
        <f t="shared" si="27"/>
        <v>17</v>
      </c>
      <c r="M25" s="6" t="str">
        <f t="shared" si="28"/>
        <v>46</v>
      </c>
      <c r="N25" t="s">
        <v>178</v>
      </c>
      <c r="O25">
        <v>70</v>
      </c>
      <c r="P25" t="s">
        <v>425</v>
      </c>
      <c r="Y25" t="str">
        <f t="shared" si="4"/>
        <v/>
      </c>
      <c r="Z25" t="str">
        <f t="shared" si="5"/>
        <v/>
      </c>
      <c r="AC25" t="str">
        <f t="shared" si="6"/>
        <v>Zone_Entry_Exit</v>
      </c>
      <c r="AD25" t="str">
        <f t="shared" si="7"/>
        <v>Zone_Exit</v>
      </c>
      <c r="AE25" t="str">
        <f t="shared" si="8"/>
        <v>ZoneExit-Rush</v>
      </c>
      <c r="AF25" t="str">
        <f t="shared" si="9"/>
        <v>Defensive</v>
      </c>
      <c r="AG25">
        <f t="shared" si="18"/>
        <v>18981</v>
      </c>
      <c r="AH25" t="str">
        <f t="shared" si="19"/>
        <v>Nelson</v>
      </c>
      <c r="AI25" t="str">
        <f t="shared" si="20"/>
        <v>Velodrome</v>
      </c>
      <c r="AJ25" s="18">
        <f t="shared" si="11"/>
        <v>1</v>
      </c>
      <c r="AP25" s="18">
        <f t="shared" si="12"/>
        <v>0</v>
      </c>
      <c r="AQ25">
        <f t="shared" si="13"/>
        <v>0</v>
      </c>
      <c r="AR25" s="23">
        <f t="shared" si="14"/>
        <v>13</v>
      </c>
      <c r="AS25">
        <f t="shared" si="21"/>
        <v>8</v>
      </c>
      <c r="AT25" s="21">
        <f t="shared" si="22"/>
        <v>14</v>
      </c>
      <c r="AU25" s="21"/>
      <c r="AV25" s="21"/>
      <c r="AW25" s="21"/>
    </row>
    <row r="26" spans="1:49" x14ac:dyDescent="0.2">
      <c r="A26">
        <v>12</v>
      </c>
      <c r="E26">
        <f t="shared" si="15"/>
        <v>1</v>
      </c>
      <c r="F26" s="5" t="s">
        <v>472</v>
      </c>
      <c r="G26" s="5" t="s">
        <v>518</v>
      </c>
      <c r="H26" s="5" t="s">
        <v>472</v>
      </c>
      <c r="I26" s="7" t="s">
        <v>515</v>
      </c>
      <c r="J26" t="str">
        <f t="shared" si="25"/>
        <v>17</v>
      </c>
      <c r="K26" t="str">
        <f t="shared" si="26"/>
        <v>46</v>
      </c>
      <c r="L26" t="str">
        <f t="shared" si="27"/>
        <v>17</v>
      </c>
      <c r="M26" s="6" t="str">
        <f t="shared" si="28"/>
        <v>43</v>
      </c>
      <c r="N26" t="s">
        <v>178</v>
      </c>
      <c r="O26">
        <v>16</v>
      </c>
      <c r="P26" t="s">
        <v>424</v>
      </c>
      <c r="Q26" t="s">
        <v>15</v>
      </c>
      <c r="Y26" t="str">
        <f t="shared" si="4"/>
        <v/>
      </c>
      <c r="Z26" t="str">
        <f t="shared" si="5"/>
        <v/>
      </c>
      <c r="AC26" t="str">
        <f t="shared" si="6"/>
        <v>Possession</v>
      </c>
      <c r="AD26" t="str">
        <f t="shared" si="7"/>
        <v/>
      </c>
      <c r="AE26" t="str">
        <f t="shared" si="8"/>
        <v/>
      </c>
      <c r="AF26" t="str">
        <f t="shared" si="9"/>
        <v>Offensive</v>
      </c>
      <c r="AG26">
        <f t="shared" si="18"/>
        <v>18981</v>
      </c>
      <c r="AH26" t="str">
        <f t="shared" si="19"/>
        <v>Nelson</v>
      </c>
      <c r="AI26" t="str">
        <f t="shared" si="20"/>
        <v>Velodrome</v>
      </c>
      <c r="AJ26" s="18">
        <f t="shared" si="11"/>
        <v>3</v>
      </c>
      <c r="AP26" s="18">
        <f t="shared" si="12"/>
        <v>0</v>
      </c>
      <c r="AQ26">
        <f t="shared" si="13"/>
        <v>0</v>
      </c>
      <c r="AR26" s="23">
        <f t="shared" si="14"/>
        <v>14</v>
      </c>
      <c r="AS26">
        <f t="shared" si="21"/>
        <v>9</v>
      </c>
      <c r="AT26" s="21">
        <f t="shared" si="22"/>
        <v>17</v>
      </c>
      <c r="AU26" s="21"/>
      <c r="AV26" s="21"/>
      <c r="AW26" s="21"/>
    </row>
    <row r="27" spans="1:49" x14ac:dyDescent="0.2">
      <c r="A27">
        <v>13</v>
      </c>
      <c r="E27">
        <f t="shared" si="15"/>
        <v>1</v>
      </c>
      <c r="F27" s="5" t="s">
        <v>472</v>
      </c>
      <c r="G27" s="5" t="s">
        <v>515</v>
      </c>
      <c r="H27" s="5" t="s">
        <v>472</v>
      </c>
      <c r="I27" s="7" t="s">
        <v>514</v>
      </c>
      <c r="J27" t="str">
        <f t="shared" si="25"/>
        <v>17</v>
      </c>
      <c r="K27" t="str">
        <f t="shared" si="26"/>
        <v>43</v>
      </c>
      <c r="L27" t="str">
        <f t="shared" si="27"/>
        <v>17</v>
      </c>
      <c r="M27" s="6" t="str">
        <f t="shared" si="28"/>
        <v>42</v>
      </c>
      <c r="N27" t="s">
        <v>178</v>
      </c>
      <c r="O27">
        <v>16</v>
      </c>
      <c r="P27" t="s">
        <v>424</v>
      </c>
      <c r="Q27" t="s">
        <v>277</v>
      </c>
      <c r="R27" t="s">
        <v>191</v>
      </c>
      <c r="S27" t="s">
        <v>87</v>
      </c>
      <c r="Y27" t="str">
        <f t="shared" si="4"/>
        <v/>
      </c>
      <c r="Z27" t="str">
        <f t="shared" si="5"/>
        <v/>
      </c>
      <c r="AC27" t="str">
        <f t="shared" si="6"/>
        <v>Zone_Entry_Exit</v>
      </c>
      <c r="AD27" t="str">
        <f t="shared" si="7"/>
        <v>Zone_Entry</v>
      </c>
      <c r="AE27" t="str">
        <f t="shared" si="8"/>
        <v>ZoneEntry-Rush</v>
      </c>
      <c r="AF27" t="str">
        <f t="shared" si="9"/>
        <v>Offensive</v>
      </c>
      <c r="AG27">
        <f t="shared" si="18"/>
        <v>18981</v>
      </c>
      <c r="AH27" t="str">
        <f t="shared" si="19"/>
        <v>Nelson</v>
      </c>
      <c r="AI27" t="str">
        <f t="shared" si="20"/>
        <v>Velodrome</v>
      </c>
      <c r="AJ27" s="18">
        <f t="shared" si="11"/>
        <v>1</v>
      </c>
      <c r="AP27" s="18">
        <f t="shared" si="12"/>
        <v>0</v>
      </c>
      <c r="AQ27">
        <f t="shared" si="13"/>
        <v>0</v>
      </c>
      <c r="AR27" s="23">
        <f t="shared" si="14"/>
        <v>17</v>
      </c>
      <c r="AS27">
        <f t="shared" si="21"/>
        <v>12</v>
      </c>
      <c r="AT27" s="21">
        <f t="shared" si="22"/>
        <v>18</v>
      </c>
      <c r="AU27" s="21"/>
      <c r="AV27" s="21"/>
      <c r="AW27" s="21"/>
    </row>
    <row r="28" spans="1:49" x14ac:dyDescent="0.2">
      <c r="A28">
        <v>13</v>
      </c>
      <c r="E28">
        <f t="shared" si="15"/>
        <v>1</v>
      </c>
      <c r="J28" t="str">
        <f t="shared" si="25"/>
        <v>17</v>
      </c>
      <c r="K28" t="str">
        <f t="shared" si="26"/>
        <v>43</v>
      </c>
      <c r="L28" t="str">
        <f t="shared" si="27"/>
        <v>17</v>
      </c>
      <c r="M28" s="6" t="str">
        <f t="shared" si="28"/>
        <v>42</v>
      </c>
      <c r="N28" t="str">
        <f t="shared" si="24"/>
        <v>Home</v>
      </c>
      <c r="O28">
        <v>10</v>
      </c>
      <c r="P28" t="s">
        <v>424</v>
      </c>
      <c r="Y28" t="str">
        <f t="shared" si="4"/>
        <v/>
      </c>
      <c r="Z28" t="str">
        <f t="shared" si="5"/>
        <v/>
      </c>
      <c r="AC28" t="str">
        <f t="shared" si="6"/>
        <v>Zone_Entry_Exit</v>
      </c>
      <c r="AD28" t="str">
        <f t="shared" si="7"/>
        <v>Zone_Entry</v>
      </c>
      <c r="AE28" t="str">
        <f t="shared" si="8"/>
        <v>ZoneEntry-Rush</v>
      </c>
      <c r="AF28" t="str">
        <f t="shared" si="9"/>
        <v>Offensive</v>
      </c>
      <c r="AG28">
        <f t="shared" si="18"/>
        <v>18981</v>
      </c>
      <c r="AH28" t="str">
        <f t="shared" si="19"/>
        <v>Nelson</v>
      </c>
      <c r="AI28" t="str">
        <f t="shared" si="20"/>
        <v>Velodrome</v>
      </c>
      <c r="AJ28" s="18">
        <f t="shared" si="11"/>
        <v>1</v>
      </c>
      <c r="AP28" s="18">
        <f t="shared" si="12"/>
        <v>0</v>
      </c>
      <c r="AQ28">
        <f t="shared" si="13"/>
        <v>0</v>
      </c>
      <c r="AR28" s="23">
        <f t="shared" si="14"/>
        <v>17</v>
      </c>
      <c r="AS28">
        <f t="shared" si="21"/>
        <v>12</v>
      </c>
      <c r="AT28" s="21">
        <f t="shared" si="22"/>
        <v>18</v>
      </c>
      <c r="AU28" s="21"/>
      <c r="AV28" s="21"/>
      <c r="AW28" s="21"/>
    </row>
    <row r="29" spans="1:49" x14ac:dyDescent="0.2">
      <c r="A29">
        <v>13</v>
      </c>
      <c r="E29">
        <f t="shared" si="15"/>
        <v>1</v>
      </c>
      <c r="J29" t="str">
        <f t="shared" si="25"/>
        <v>17</v>
      </c>
      <c r="K29" t="str">
        <f t="shared" si="26"/>
        <v>43</v>
      </c>
      <c r="L29" t="str">
        <f t="shared" si="27"/>
        <v>17</v>
      </c>
      <c r="M29" s="6" t="str">
        <f t="shared" si="28"/>
        <v>42</v>
      </c>
      <c r="N29" t="str">
        <f t="shared" si="24"/>
        <v>Home</v>
      </c>
      <c r="O29">
        <v>84</v>
      </c>
      <c r="P29" t="s">
        <v>425</v>
      </c>
      <c r="Y29" t="str">
        <f t="shared" si="4"/>
        <v/>
      </c>
      <c r="Z29" t="str">
        <f t="shared" si="5"/>
        <v/>
      </c>
      <c r="AC29" t="str">
        <f t="shared" si="6"/>
        <v>Zone_Entry_Exit</v>
      </c>
      <c r="AD29" t="str">
        <f t="shared" si="7"/>
        <v>Zone_Entry</v>
      </c>
      <c r="AE29" t="str">
        <f t="shared" si="8"/>
        <v>ZoneEntry-Rush</v>
      </c>
      <c r="AF29" t="str">
        <f t="shared" si="9"/>
        <v>Defensive</v>
      </c>
      <c r="AG29">
        <f t="shared" si="18"/>
        <v>18981</v>
      </c>
      <c r="AH29" t="str">
        <f t="shared" si="19"/>
        <v>Nelson</v>
      </c>
      <c r="AI29" t="str">
        <f t="shared" si="20"/>
        <v>Velodrome</v>
      </c>
      <c r="AJ29" s="18">
        <f t="shared" si="11"/>
        <v>1</v>
      </c>
      <c r="AP29" s="18">
        <f t="shared" si="12"/>
        <v>0</v>
      </c>
      <c r="AQ29">
        <f t="shared" si="13"/>
        <v>0</v>
      </c>
      <c r="AR29" s="23">
        <f t="shared" si="14"/>
        <v>17</v>
      </c>
      <c r="AS29">
        <f t="shared" si="21"/>
        <v>12</v>
      </c>
      <c r="AT29" s="21">
        <f t="shared" si="22"/>
        <v>18</v>
      </c>
      <c r="AU29" s="21"/>
      <c r="AV29" s="21"/>
      <c r="AW29" s="21"/>
    </row>
    <row r="30" spans="1:49" x14ac:dyDescent="0.2">
      <c r="A30">
        <v>13</v>
      </c>
      <c r="E30">
        <f t="shared" si="15"/>
        <v>1</v>
      </c>
      <c r="J30" t="str">
        <f t="shared" si="25"/>
        <v>17</v>
      </c>
      <c r="K30" t="str">
        <f t="shared" si="26"/>
        <v>43</v>
      </c>
      <c r="L30" t="str">
        <f t="shared" si="27"/>
        <v>17</v>
      </c>
      <c r="M30" s="6" t="str">
        <f t="shared" si="28"/>
        <v>42</v>
      </c>
      <c r="N30" t="str">
        <f t="shared" si="24"/>
        <v>Home</v>
      </c>
      <c r="O30">
        <v>22</v>
      </c>
      <c r="P30" t="s">
        <v>425</v>
      </c>
      <c r="Y30" t="str">
        <f t="shared" si="4"/>
        <v/>
      </c>
      <c r="Z30" t="str">
        <f t="shared" si="5"/>
        <v/>
      </c>
      <c r="AC30" t="str">
        <f t="shared" si="6"/>
        <v>Zone_Entry_Exit</v>
      </c>
      <c r="AD30" t="str">
        <f t="shared" si="7"/>
        <v>Zone_Entry</v>
      </c>
      <c r="AE30" t="str">
        <f t="shared" si="8"/>
        <v>ZoneEntry-Rush</v>
      </c>
      <c r="AF30" t="str">
        <f t="shared" si="9"/>
        <v>Defensive</v>
      </c>
      <c r="AG30">
        <f t="shared" si="18"/>
        <v>18981</v>
      </c>
      <c r="AH30" t="str">
        <f t="shared" si="19"/>
        <v>Nelson</v>
      </c>
      <c r="AI30" t="str">
        <f t="shared" si="20"/>
        <v>Velodrome</v>
      </c>
      <c r="AJ30" s="18">
        <f t="shared" si="11"/>
        <v>1</v>
      </c>
      <c r="AP30" s="18">
        <f t="shared" si="12"/>
        <v>0</v>
      </c>
      <c r="AQ30">
        <f t="shared" si="13"/>
        <v>0</v>
      </c>
      <c r="AR30" s="23">
        <f t="shared" si="14"/>
        <v>17</v>
      </c>
      <c r="AS30">
        <f t="shared" si="21"/>
        <v>12</v>
      </c>
      <c r="AT30" s="21">
        <f t="shared" si="22"/>
        <v>18</v>
      </c>
      <c r="AU30" s="21"/>
      <c r="AV30" s="21"/>
      <c r="AW30" s="21"/>
    </row>
    <row r="31" spans="1:49" x14ac:dyDescent="0.2">
      <c r="A31">
        <v>14</v>
      </c>
      <c r="E31">
        <f t="shared" si="15"/>
        <v>1</v>
      </c>
      <c r="F31" s="5" t="s">
        <v>472</v>
      </c>
      <c r="G31" s="5" t="s">
        <v>514</v>
      </c>
      <c r="J31" t="str">
        <f t="shared" si="25"/>
        <v>17</v>
      </c>
      <c r="K31" t="str">
        <f t="shared" si="26"/>
        <v>42</v>
      </c>
      <c r="L31" t="str">
        <f t="shared" si="27"/>
        <v/>
      </c>
      <c r="M31" s="6" t="str">
        <f t="shared" si="28"/>
        <v/>
      </c>
      <c r="N31" t="s">
        <v>178</v>
      </c>
      <c r="O31">
        <v>16</v>
      </c>
      <c r="P31" t="s">
        <v>424</v>
      </c>
      <c r="Q31" t="s">
        <v>7</v>
      </c>
      <c r="R31" t="s">
        <v>222</v>
      </c>
      <c r="S31" t="s">
        <v>53</v>
      </c>
      <c r="Y31" t="str">
        <f t="shared" si="4"/>
        <v/>
      </c>
      <c r="Z31" t="str">
        <f t="shared" si="5"/>
        <v/>
      </c>
      <c r="AC31" t="str">
        <f t="shared" si="6"/>
        <v>Shot</v>
      </c>
      <c r="AD31" t="str">
        <f t="shared" si="7"/>
        <v>Shot_OnNetSaved</v>
      </c>
      <c r="AE31" t="str">
        <f t="shared" si="8"/>
        <v>Shot-Wrist</v>
      </c>
      <c r="AF31" t="str">
        <f t="shared" si="9"/>
        <v>Offensive</v>
      </c>
      <c r="AG31">
        <f t="shared" si="18"/>
        <v>18981</v>
      </c>
      <c r="AH31" t="str">
        <f t="shared" si="19"/>
        <v>Nelson</v>
      </c>
      <c r="AI31" t="str">
        <f t="shared" si="20"/>
        <v>Velodrome</v>
      </c>
      <c r="AJ31" s="18">
        <f t="shared" si="11"/>
        <v>0</v>
      </c>
      <c r="AP31" s="18">
        <f t="shared" si="12"/>
        <v>0</v>
      </c>
      <c r="AQ31">
        <f t="shared" si="13"/>
        <v>0</v>
      </c>
      <c r="AR31" s="23">
        <f t="shared" si="14"/>
        <v>18</v>
      </c>
      <c r="AS31">
        <f t="shared" si="21"/>
        <v>13</v>
      </c>
      <c r="AT31" s="21">
        <f t="shared" si="22"/>
        <v>18</v>
      </c>
      <c r="AU31" s="21"/>
      <c r="AV31" s="21"/>
      <c r="AW31" s="21"/>
    </row>
    <row r="32" spans="1:49" x14ac:dyDescent="0.2">
      <c r="A32">
        <v>14</v>
      </c>
      <c r="E32">
        <f t="shared" si="15"/>
        <v>1</v>
      </c>
      <c r="J32" t="str">
        <f t="shared" si="25"/>
        <v>17</v>
      </c>
      <c r="K32" t="str">
        <f t="shared" si="26"/>
        <v>42</v>
      </c>
      <c r="L32" t="str">
        <f t="shared" si="27"/>
        <v/>
      </c>
      <c r="M32" s="6" t="str">
        <f t="shared" si="28"/>
        <v/>
      </c>
      <c r="N32" t="str">
        <f t="shared" si="24"/>
        <v>Home</v>
      </c>
      <c r="O32">
        <v>39</v>
      </c>
      <c r="P32" t="s">
        <v>425</v>
      </c>
      <c r="Y32" t="str">
        <f t="shared" si="4"/>
        <v/>
      </c>
      <c r="Z32" t="str">
        <f t="shared" si="5"/>
        <v/>
      </c>
      <c r="AC32" t="str">
        <f t="shared" si="6"/>
        <v>Shot</v>
      </c>
      <c r="AD32" t="str">
        <f t="shared" si="7"/>
        <v>Shot_OnNetSaved</v>
      </c>
      <c r="AE32" t="str">
        <f t="shared" si="8"/>
        <v>Shot-Wrist</v>
      </c>
      <c r="AF32" t="str">
        <f t="shared" si="9"/>
        <v>Defensive</v>
      </c>
      <c r="AG32">
        <f t="shared" si="18"/>
        <v>18981</v>
      </c>
      <c r="AH32" t="str">
        <f t="shared" si="19"/>
        <v>Nelson</v>
      </c>
      <c r="AI32" t="str">
        <f t="shared" si="20"/>
        <v>Velodrome</v>
      </c>
      <c r="AJ32" s="18">
        <f t="shared" si="11"/>
        <v>0</v>
      </c>
      <c r="AP32" s="18">
        <f t="shared" si="12"/>
        <v>0</v>
      </c>
      <c r="AQ32">
        <f t="shared" si="13"/>
        <v>0</v>
      </c>
      <c r="AR32" s="23">
        <f t="shared" si="14"/>
        <v>18</v>
      </c>
      <c r="AS32">
        <f t="shared" si="21"/>
        <v>13</v>
      </c>
      <c r="AT32" s="21">
        <f t="shared" si="22"/>
        <v>18</v>
      </c>
      <c r="AU32" s="21"/>
      <c r="AV32" s="21"/>
      <c r="AW32" s="21"/>
    </row>
    <row r="33" spans="1:49" x14ac:dyDescent="0.2">
      <c r="A33">
        <v>14</v>
      </c>
      <c r="E33">
        <f t="shared" si="15"/>
        <v>1</v>
      </c>
      <c r="J33" t="str">
        <f t="shared" si="25"/>
        <v>17</v>
      </c>
      <c r="K33" t="str">
        <f t="shared" si="26"/>
        <v>42</v>
      </c>
      <c r="L33" t="str">
        <f t="shared" si="27"/>
        <v/>
      </c>
      <c r="M33" s="6" t="str">
        <f t="shared" si="28"/>
        <v/>
      </c>
      <c r="N33" t="str">
        <f t="shared" si="24"/>
        <v>Home</v>
      </c>
      <c r="O33">
        <v>84</v>
      </c>
      <c r="P33" t="s">
        <v>425</v>
      </c>
      <c r="Y33" t="str">
        <f t="shared" si="4"/>
        <v/>
      </c>
      <c r="Z33" t="str">
        <f t="shared" si="5"/>
        <v/>
      </c>
      <c r="AC33" t="str">
        <f t="shared" si="6"/>
        <v>Shot</v>
      </c>
      <c r="AD33" t="str">
        <f t="shared" si="7"/>
        <v>Shot_OnNetSaved</v>
      </c>
      <c r="AE33" t="str">
        <f t="shared" si="8"/>
        <v>Shot-Wrist</v>
      </c>
      <c r="AF33" t="str">
        <f t="shared" si="9"/>
        <v>Defensive</v>
      </c>
      <c r="AG33">
        <f t="shared" si="18"/>
        <v>18981</v>
      </c>
      <c r="AH33" t="str">
        <f t="shared" si="19"/>
        <v>Nelson</v>
      </c>
      <c r="AI33" t="str">
        <f t="shared" si="20"/>
        <v>Velodrome</v>
      </c>
      <c r="AJ33" s="18">
        <f t="shared" si="11"/>
        <v>0</v>
      </c>
      <c r="AP33" s="18">
        <f t="shared" si="12"/>
        <v>0</v>
      </c>
      <c r="AQ33">
        <f t="shared" si="13"/>
        <v>0</v>
      </c>
      <c r="AR33" s="23">
        <f t="shared" si="14"/>
        <v>18</v>
      </c>
      <c r="AS33">
        <f t="shared" si="21"/>
        <v>13</v>
      </c>
      <c r="AT33" s="21">
        <f t="shared" si="22"/>
        <v>18</v>
      </c>
      <c r="AU33" s="21"/>
      <c r="AV33" s="21"/>
      <c r="AW33" s="21"/>
    </row>
    <row r="34" spans="1:49" x14ac:dyDescent="0.2">
      <c r="A34">
        <v>15</v>
      </c>
      <c r="E34">
        <f t="shared" si="15"/>
        <v>1</v>
      </c>
      <c r="F34" s="5" t="s">
        <v>472</v>
      </c>
      <c r="G34" s="5" t="s">
        <v>514</v>
      </c>
      <c r="J34" t="str">
        <f t="shared" si="25"/>
        <v>17</v>
      </c>
      <c r="K34" t="str">
        <f t="shared" si="26"/>
        <v>42</v>
      </c>
      <c r="L34" t="str">
        <f t="shared" si="27"/>
        <v/>
      </c>
      <c r="M34" s="6" t="str">
        <f t="shared" si="28"/>
        <v/>
      </c>
      <c r="N34" t="s">
        <v>179</v>
      </c>
      <c r="O34">
        <v>39</v>
      </c>
      <c r="P34" t="s">
        <v>424</v>
      </c>
      <c r="Q34" t="s">
        <v>17</v>
      </c>
      <c r="R34" t="s">
        <v>196</v>
      </c>
      <c r="S34" t="s">
        <v>103</v>
      </c>
      <c r="Y34" t="str">
        <f t="shared" si="4"/>
        <v/>
      </c>
      <c r="Z34" t="str">
        <f t="shared" si="5"/>
        <v/>
      </c>
      <c r="AC34" t="str">
        <f t="shared" si="6"/>
        <v>Save</v>
      </c>
      <c r="AD34" t="str">
        <f t="shared" si="7"/>
        <v>Save_Rebound</v>
      </c>
      <c r="AE34" t="str">
        <f t="shared" si="8"/>
        <v>Save-Chest</v>
      </c>
      <c r="AF34" t="str">
        <f t="shared" si="9"/>
        <v>Defensive</v>
      </c>
      <c r="AG34">
        <f t="shared" si="18"/>
        <v>18981</v>
      </c>
      <c r="AH34" t="str">
        <f t="shared" si="19"/>
        <v>Nelson</v>
      </c>
      <c r="AI34" t="str">
        <f t="shared" si="20"/>
        <v>Velodrome</v>
      </c>
      <c r="AJ34" s="18">
        <f t="shared" si="11"/>
        <v>0</v>
      </c>
      <c r="AP34" s="18">
        <f t="shared" si="12"/>
        <v>0</v>
      </c>
      <c r="AQ34">
        <f t="shared" si="13"/>
        <v>0</v>
      </c>
      <c r="AR34" s="23">
        <f t="shared" si="14"/>
        <v>18</v>
      </c>
      <c r="AS34">
        <f t="shared" si="21"/>
        <v>13</v>
      </c>
      <c r="AT34" s="21">
        <f t="shared" si="22"/>
        <v>18</v>
      </c>
      <c r="AU34" s="21"/>
      <c r="AV34" s="21"/>
      <c r="AW34" s="21"/>
    </row>
    <row r="35" spans="1:49" x14ac:dyDescent="0.2">
      <c r="A35">
        <v>15</v>
      </c>
      <c r="E35">
        <f t="shared" si="15"/>
        <v>1</v>
      </c>
      <c r="J35" t="str">
        <f t="shared" si="25"/>
        <v>17</v>
      </c>
      <c r="K35" t="str">
        <f t="shared" si="26"/>
        <v>42</v>
      </c>
      <c r="L35" t="str">
        <f t="shared" si="27"/>
        <v/>
      </c>
      <c r="M35" s="6" t="str">
        <f t="shared" si="28"/>
        <v/>
      </c>
      <c r="N35" t="str">
        <f t="shared" si="24"/>
        <v>Away</v>
      </c>
      <c r="O35">
        <v>84</v>
      </c>
      <c r="P35" t="s">
        <v>424</v>
      </c>
      <c r="Y35" t="str">
        <f t="shared" si="4"/>
        <v/>
      </c>
      <c r="Z35" t="str">
        <f t="shared" si="5"/>
        <v/>
      </c>
      <c r="AC35" t="str">
        <f t="shared" si="6"/>
        <v>Save</v>
      </c>
      <c r="AD35" t="str">
        <f t="shared" si="7"/>
        <v>Save_Rebound</v>
      </c>
      <c r="AE35" t="str">
        <f t="shared" si="8"/>
        <v>Save-Chest</v>
      </c>
      <c r="AF35" t="str">
        <f t="shared" si="9"/>
        <v>Defensive</v>
      </c>
      <c r="AG35">
        <f t="shared" si="18"/>
        <v>18981</v>
      </c>
      <c r="AH35" t="str">
        <f t="shared" si="19"/>
        <v>Nelson</v>
      </c>
      <c r="AI35" t="str">
        <f t="shared" si="20"/>
        <v>Velodrome</v>
      </c>
      <c r="AJ35" s="18">
        <f t="shared" si="11"/>
        <v>0</v>
      </c>
      <c r="AP35" s="18">
        <f t="shared" si="12"/>
        <v>0</v>
      </c>
      <c r="AQ35">
        <f t="shared" si="13"/>
        <v>0</v>
      </c>
      <c r="AR35" s="23">
        <f t="shared" si="14"/>
        <v>18</v>
      </c>
      <c r="AS35">
        <f t="shared" si="21"/>
        <v>13</v>
      </c>
      <c r="AT35" s="21">
        <f t="shared" si="22"/>
        <v>18</v>
      </c>
      <c r="AU35" s="21"/>
      <c r="AV35" s="21"/>
      <c r="AW35" s="21"/>
    </row>
    <row r="36" spans="1:49" x14ac:dyDescent="0.2">
      <c r="A36">
        <v>15</v>
      </c>
      <c r="E36">
        <f t="shared" si="15"/>
        <v>1</v>
      </c>
      <c r="J36" t="str">
        <f t="shared" si="25"/>
        <v>17</v>
      </c>
      <c r="K36" t="str">
        <f t="shared" si="26"/>
        <v>42</v>
      </c>
      <c r="L36" t="str">
        <f t="shared" si="27"/>
        <v/>
      </c>
      <c r="M36" s="6" t="str">
        <f t="shared" si="28"/>
        <v/>
      </c>
      <c r="N36" t="str">
        <f t="shared" si="24"/>
        <v>Away</v>
      </c>
      <c r="O36">
        <v>16</v>
      </c>
      <c r="P36" t="s">
        <v>425</v>
      </c>
      <c r="Y36" t="str">
        <f t="shared" si="4"/>
        <v/>
      </c>
      <c r="Z36" t="str">
        <f t="shared" si="5"/>
        <v/>
      </c>
      <c r="AC36" t="str">
        <f t="shared" si="6"/>
        <v>Save</v>
      </c>
      <c r="AD36" t="str">
        <f t="shared" si="7"/>
        <v>Save_Rebound</v>
      </c>
      <c r="AE36" t="str">
        <f t="shared" si="8"/>
        <v>Save-Chest</v>
      </c>
      <c r="AF36" t="str">
        <f t="shared" si="9"/>
        <v>Offensive</v>
      </c>
      <c r="AG36">
        <f t="shared" si="18"/>
        <v>18981</v>
      </c>
      <c r="AH36" t="str">
        <f t="shared" si="19"/>
        <v>Nelson</v>
      </c>
      <c r="AI36" t="str">
        <f t="shared" si="20"/>
        <v>Velodrome</v>
      </c>
      <c r="AJ36" s="18">
        <f t="shared" si="11"/>
        <v>0</v>
      </c>
      <c r="AP36" s="18">
        <f t="shared" si="12"/>
        <v>0</v>
      </c>
      <c r="AQ36">
        <f t="shared" si="13"/>
        <v>0</v>
      </c>
      <c r="AR36" s="23">
        <f t="shared" si="14"/>
        <v>18</v>
      </c>
      <c r="AS36">
        <f t="shared" si="21"/>
        <v>13</v>
      </c>
      <c r="AT36" s="21">
        <f t="shared" si="22"/>
        <v>18</v>
      </c>
      <c r="AU36" s="21"/>
      <c r="AV36" s="21"/>
      <c r="AW36" s="21"/>
    </row>
    <row r="37" spans="1:49" x14ac:dyDescent="0.2">
      <c r="A37">
        <v>16</v>
      </c>
      <c r="E37">
        <f t="shared" si="15"/>
        <v>1</v>
      </c>
      <c r="F37" s="5" t="s">
        <v>472</v>
      </c>
      <c r="G37" s="5" t="s">
        <v>514</v>
      </c>
      <c r="J37" t="str">
        <f t="shared" si="25"/>
        <v>17</v>
      </c>
      <c r="K37" t="str">
        <f t="shared" si="26"/>
        <v>42</v>
      </c>
      <c r="L37" t="str">
        <f t="shared" si="27"/>
        <v/>
      </c>
      <c r="M37" s="6" t="str">
        <f t="shared" si="28"/>
        <v/>
      </c>
      <c r="N37" t="s">
        <v>179</v>
      </c>
      <c r="O37">
        <v>39</v>
      </c>
      <c r="P37" t="s">
        <v>424</v>
      </c>
      <c r="Q37" t="s">
        <v>270</v>
      </c>
      <c r="R37" t="s">
        <v>272</v>
      </c>
      <c r="Y37" t="str">
        <f t="shared" si="4"/>
        <v/>
      </c>
      <c r="Z37" t="str">
        <f t="shared" si="5"/>
        <v/>
      </c>
      <c r="AC37" t="str">
        <f t="shared" si="6"/>
        <v>Rebound</v>
      </c>
      <c r="AD37" t="str">
        <f t="shared" si="7"/>
        <v>Rebound_OppTeamRecovered</v>
      </c>
      <c r="AE37" t="str">
        <f t="shared" si="8"/>
        <v/>
      </c>
      <c r="AF37" t="str">
        <f t="shared" si="9"/>
        <v>Offensive</v>
      </c>
      <c r="AG37">
        <f t="shared" si="18"/>
        <v>18981</v>
      </c>
      <c r="AH37" t="str">
        <f t="shared" si="19"/>
        <v>Nelson</v>
      </c>
      <c r="AI37" t="str">
        <f t="shared" si="20"/>
        <v>Velodrome</v>
      </c>
      <c r="AJ37" s="18">
        <f t="shared" si="11"/>
        <v>0</v>
      </c>
      <c r="AP37" s="18">
        <f t="shared" si="12"/>
        <v>0</v>
      </c>
      <c r="AQ37">
        <f t="shared" si="13"/>
        <v>0</v>
      </c>
      <c r="AR37" s="23">
        <f t="shared" si="14"/>
        <v>18</v>
      </c>
      <c r="AS37">
        <f t="shared" si="21"/>
        <v>13</v>
      </c>
      <c r="AT37" s="21">
        <f t="shared" si="22"/>
        <v>18</v>
      </c>
      <c r="AU37" s="21"/>
      <c r="AV37" s="21"/>
      <c r="AW37" s="21"/>
    </row>
    <row r="38" spans="1:49" x14ac:dyDescent="0.2">
      <c r="A38">
        <v>17</v>
      </c>
      <c r="E38">
        <f t="shared" si="15"/>
        <v>1</v>
      </c>
      <c r="F38" s="5" t="s">
        <v>472</v>
      </c>
      <c r="G38" s="5" t="s">
        <v>512</v>
      </c>
      <c r="H38" s="5" t="s">
        <v>472</v>
      </c>
      <c r="I38" s="7" t="s">
        <v>511</v>
      </c>
      <c r="J38" t="str">
        <f t="shared" si="25"/>
        <v>17</v>
      </c>
      <c r="K38" t="str">
        <f t="shared" si="26"/>
        <v>40</v>
      </c>
      <c r="L38" t="str">
        <f t="shared" si="27"/>
        <v>17</v>
      </c>
      <c r="M38" s="6" t="str">
        <f t="shared" si="28"/>
        <v>39</v>
      </c>
      <c r="N38" t="s">
        <v>178</v>
      </c>
      <c r="O38">
        <v>16</v>
      </c>
      <c r="P38" t="s">
        <v>424</v>
      </c>
      <c r="Q38" t="s">
        <v>15</v>
      </c>
      <c r="Y38" t="str">
        <f t="shared" si="4"/>
        <v/>
      </c>
      <c r="Z38" t="str">
        <f t="shared" si="5"/>
        <v/>
      </c>
      <c r="AC38" t="str">
        <f t="shared" si="6"/>
        <v>Possession</v>
      </c>
      <c r="AD38" t="str">
        <f t="shared" si="7"/>
        <v/>
      </c>
      <c r="AE38" t="str">
        <f t="shared" si="8"/>
        <v/>
      </c>
      <c r="AF38" t="str">
        <f t="shared" si="9"/>
        <v>Offensive</v>
      </c>
      <c r="AG38">
        <f t="shared" si="18"/>
        <v>18981</v>
      </c>
      <c r="AH38" t="str">
        <f t="shared" si="19"/>
        <v>Nelson</v>
      </c>
      <c r="AI38" t="str">
        <f t="shared" si="20"/>
        <v>Velodrome</v>
      </c>
      <c r="AJ38" s="18">
        <f t="shared" si="11"/>
        <v>1</v>
      </c>
      <c r="AP38" s="18">
        <f t="shared" si="12"/>
        <v>0</v>
      </c>
      <c r="AQ38">
        <f t="shared" si="13"/>
        <v>0</v>
      </c>
      <c r="AR38" s="23">
        <f t="shared" si="14"/>
        <v>20</v>
      </c>
      <c r="AS38">
        <f t="shared" si="21"/>
        <v>15</v>
      </c>
      <c r="AT38" s="21">
        <f t="shared" si="22"/>
        <v>21</v>
      </c>
      <c r="AU38" s="21"/>
      <c r="AV38" s="21"/>
      <c r="AW38" s="21"/>
    </row>
    <row r="39" spans="1:49" x14ac:dyDescent="0.2">
      <c r="A39">
        <v>17</v>
      </c>
      <c r="E39">
        <f t="shared" si="15"/>
        <v>1</v>
      </c>
      <c r="J39" t="str">
        <f t="shared" si="25"/>
        <v>17</v>
      </c>
      <c r="K39" t="str">
        <f t="shared" si="26"/>
        <v>40</v>
      </c>
      <c r="L39" t="str">
        <f t="shared" si="27"/>
        <v>17</v>
      </c>
      <c r="M39" s="6" t="str">
        <f t="shared" si="28"/>
        <v>39</v>
      </c>
      <c r="N39" t="str">
        <f t="shared" si="24"/>
        <v>Home</v>
      </c>
      <c r="O39">
        <v>84</v>
      </c>
      <c r="P39" t="s">
        <v>425</v>
      </c>
      <c r="Y39" t="str">
        <f t="shared" si="4"/>
        <v/>
      </c>
      <c r="Z39" t="str">
        <f t="shared" si="5"/>
        <v/>
      </c>
      <c r="AC39" t="str">
        <f t="shared" si="6"/>
        <v>Possession</v>
      </c>
      <c r="AD39" t="str">
        <f t="shared" si="7"/>
        <v/>
      </c>
      <c r="AE39" t="str">
        <f t="shared" si="8"/>
        <v/>
      </c>
      <c r="AF39" t="str">
        <f t="shared" si="9"/>
        <v>Defensive</v>
      </c>
      <c r="AG39">
        <f t="shared" si="18"/>
        <v>18981</v>
      </c>
      <c r="AH39" t="str">
        <f t="shared" si="19"/>
        <v>Nelson</v>
      </c>
      <c r="AI39" t="str">
        <f t="shared" si="20"/>
        <v>Velodrome</v>
      </c>
      <c r="AJ39" s="18">
        <f t="shared" si="11"/>
        <v>1</v>
      </c>
      <c r="AP39" s="18">
        <f t="shared" si="12"/>
        <v>0</v>
      </c>
      <c r="AQ39">
        <f t="shared" si="13"/>
        <v>0</v>
      </c>
      <c r="AR39" s="23">
        <f t="shared" si="14"/>
        <v>20</v>
      </c>
      <c r="AS39">
        <f t="shared" si="21"/>
        <v>15</v>
      </c>
      <c r="AT39" s="21">
        <f t="shared" si="22"/>
        <v>21</v>
      </c>
      <c r="AU39" s="21"/>
      <c r="AV39" s="21"/>
      <c r="AW39" s="21"/>
    </row>
    <row r="40" spans="1:49" x14ac:dyDescent="0.2">
      <c r="A40">
        <v>18</v>
      </c>
      <c r="E40">
        <f t="shared" si="15"/>
        <v>1</v>
      </c>
      <c r="F40" s="5" t="s">
        <v>472</v>
      </c>
      <c r="G40" s="5" t="s">
        <v>511</v>
      </c>
      <c r="J40" t="str">
        <f t="shared" si="25"/>
        <v>17</v>
      </c>
      <c r="K40" t="str">
        <f t="shared" si="26"/>
        <v>39</v>
      </c>
      <c r="L40" t="str">
        <f t="shared" si="27"/>
        <v/>
      </c>
      <c r="M40" s="6" t="str">
        <f t="shared" si="28"/>
        <v/>
      </c>
      <c r="N40" t="s">
        <v>178</v>
      </c>
      <c r="O40">
        <v>16</v>
      </c>
      <c r="P40" t="s">
        <v>424</v>
      </c>
      <c r="Q40" t="s">
        <v>8</v>
      </c>
      <c r="R40" t="s">
        <v>199</v>
      </c>
      <c r="S40" t="s">
        <v>69</v>
      </c>
      <c r="Y40" t="str">
        <f t="shared" si="4"/>
        <v/>
      </c>
      <c r="Z40" t="str">
        <f t="shared" si="5"/>
        <v/>
      </c>
      <c r="AC40" t="str">
        <f t="shared" si="6"/>
        <v>Pass</v>
      </c>
      <c r="AD40" t="str">
        <f t="shared" si="7"/>
        <v>Pass_Missed</v>
      </c>
      <c r="AE40" t="str">
        <f t="shared" si="8"/>
        <v>Pass-Backhand</v>
      </c>
      <c r="AF40" t="str">
        <f t="shared" si="9"/>
        <v>Offensive</v>
      </c>
      <c r="AG40">
        <f t="shared" si="18"/>
        <v>18981</v>
      </c>
      <c r="AH40" t="str">
        <f t="shared" si="19"/>
        <v>Nelson</v>
      </c>
      <c r="AI40" t="str">
        <f t="shared" si="20"/>
        <v>Velodrome</v>
      </c>
      <c r="AJ40" s="18">
        <f t="shared" si="11"/>
        <v>0</v>
      </c>
      <c r="AP40" s="18">
        <f t="shared" si="12"/>
        <v>0</v>
      </c>
      <c r="AQ40">
        <f t="shared" si="13"/>
        <v>0</v>
      </c>
      <c r="AR40" s="23">
        <f t="shared" si="14"/>
        <v>21</v>
      </c>
      <c r="AS40">
        <f t="shared" si="21"/>
        <v>16</v>
      </c>
      <c r="AT40" s="21">
        <f t="shared" si="22"/>
        <v>21</v>
      </c>
      <c r="AU40" s="21"/>
      <c r="AV40" s="21"/>
      <c r="AW40" s="21"/>
    </row>
    <row r="41" spans="1:49" x14ac:dyDescent="0.2">
      <c r="A41">
        <v>18</v>
      </c>
      <c r="E41">
        <f t="shared" si="15"/>
        <v>1</v>
      </c>
      <c r="J41" t="str">
        <f t="shared" si="25"/>
        <v>17</v>
      </c>
      <c r="K41" t="str">
        <f t="shared" si="26"/>
        <v>39</v>
      </c>
      <c r="L41" t="str">
        <f t="shared" si="27"/>
        <v/>
      </c>
      <c r="M41" s="6" t="str">
        <f t="shared" si="28"/>
        <v/>
      </c>
      <c r="N41" t="str">
        <f t="shared" si="24"/>
        <v>Home</v>
      </c>
      <c r="O41">
        <v>10</v>
      </c>
      <c r="P41" t="s">
        <v>424</v>
      </c>
      <c r="Y41" t="str">
        <f t="shared" si="4"/>
        <v/>
      </c>
      <c r="Z41" t="str">
        <f t="shared" si="5"/>
        <v/>
      </c>
      <c r="AC41" t="str">
        <f t="shared" si="6"/>
        <v>Pass</v>
      </c>
      <c r="AD41" t="str">
        <f t="shared" si="7"/>
        <v>Pass_Missed</v>
      </c>
      <c r="AE41" t="str">
        <f t="shared" si="8"/>
        <v>Pass-Backhand</v>
      </c>
      <c r="AF41" t="str">
        <f t="shared" si="9"/>
        <v>Offensive</v>
      </c>
      <c r="AG41">
        <f t="shared" si="18"/>
        <v>18981</v>
      </c>
      <c r="AH41" t="str">
        <f t="shared" si="19"/>
        <v>Nelson</v>
      </c>
      <c r="AI41" t="str">
        <f t="shared" si="20"/>
        <v>Velodrome</v>
      </c>
      <c r="AJ41" s="18">
        <f t="shared" si="11"/>
        <v>0</v>
      </c>
      <c r="AP41" s="18">
        <f t="shared" si="12"/>
        <v>0</v>
      </c>
      <c r="AQ41">
        <f t="shared" si="13"/>
        <v>0</v>
      </c>
      <c r="AR41" s="23">
        <f t="shared" si="14"/>
        <v>21</v>
      </c>
      <c r="AS41">
        <f t="shared" si="21"/>
        <v>16</v>
      </c>
      <c r="AT41" s="21">
        <f t="shared" si="22"/>
        <v>21</v>
      </c>
      <c r="AU41" s="21"/>
      <c r="AV41" s="21"/>
      <c r="AW41" s="21"/>
    </row>
    <row r="42" spans="1:49" x14ac:dyDescent="0.2">
      <c r="A42">
        <v>18</v>
      </c>
      <c r="E42">
        <f t="shared" si="15"/>
        <v>1</v>
      </c>
      <c r="J42" t="str">
        <f t="shared" si="25"/>
        <v>17</v>
      </c>
      <c r="K42" t="str">
        <f t="shared" si="26"/>
        <v>39</v>
      </c>
      <c r="L42" t="str">
        <f t="shared" si="27"/>
        <v/>
      </c>
      <c r="M42" s="6" t="str">
        <f t="shared" si="28"/>
        <v/>
      </c>
      <c r="N42" t="str">
        <f t="shared" si="24"/>
        <v>Home</v>
      </c>
      <c r="O42">
        <v>70</v>
      </c>
      <c r="P42" t="s">
        <v>425</v>
      </c>
      <c r="Y42" t="str">
        <f t="shared" si="4"/>
        <v/>
      </c>
      <c r="Z42" t="str">
        <f t="shared" si="5"/>
        <v/>
      </c>
      <c r="AC42" t="str">
        <f t="shared" si="6"/>
        <v>Pass</v>
      </c>
      <c r="AD42" t="str">
        <f t="shared" si="7"/>
        <v>Pass_Missed</v>
      </c>
      <c r="AE42" t="str">
        <f t="shared" si="8"/>
        <v>Pass-Backhand</v>
      </c>
      <c r="AF42" t="str">
        <f t="shared" si="9"/>
        <v>Defensive</v>
      </c>
      <c r="AG42">
        <f t="shared" si="18"/>
        <v>18981</v>
      </c>
      <c r="AH42" t="str">
        <f t="shared" si="19"/>
        <v>Nelson</v>
      </c>
      <c r="AI42" t="str">
        <f t="shared" si="20"/>
        <v>Velodrome</v>
      </c>
      <c r="AJ42" s="18">
        <f t="shared" si="11"/>
        <v>0</v>
      </c>
      <c r="AP42" s="18">
        <f t="shared" si="12"/>
        <v>0</v>
      </c>
      <c r="AQ42">
        <f t="shared" si="13"/>
        <v>0</v>
      </c>
      <c r="AR42" s="23">
        <f t="shared" si="14"/>
        <v>21</v>
      </c>
      <c r="AS42">
        <f t="shared" si="21"/>
        <v>16</v>
      </c>
      <c r="AT42" s="21">
        <f t="shared" si="22"/>
        <v>21</v>
      </c>
      <c r="AU42" s="21"/>
      <c r="AV42" s="21"/>
      <c r="AW42" s="21"/>
    </row>
    <row r="43" spans="1:49" x14ac:dyDescent="0.2">
      <c r="A43">
        <v>19</v>
      </c>
      <c r="E43">
        <f t="shared" si="15"/>
        <v>1</v>
      </c>
      <c r="F43" s="5" t="s">
        <v>472</v>
      </c>
      <c r="G43" s="5" t="s">
        <v>508</v>
      </c>
      <c r="J43" t="str">
        <f t="shared" si="25"/>
        <v>17</v>
      </c>
      <c r="K43" t="str">
        <f t="shared" si="26"/>
        <v>36</v>
      </c>
      <c r="L43" t="str">
        <f t="shared" si="27"/>
        <v/>
      </c>
      <c r="M43" s="6" t="str">
        <f t="shared" si="28"/>
        <v/>
      </c>
      <c r="N43" t="s">
        <v>178</v>
      </c>
      <c r="O43">
        <v>16</v>
      </c>
      <c r="P43" t="s">
        <v>424</v>
      </c>
      <c r="Q43" t="s">
        <v>7</v>
      </c>
      <c r="R43" t="s">
        <v>208</v>
      </c>
      <c r="S43" t="s">
        <v>53</v>
      </c>
      <c r="Y43" t="str">
        <f t="shared" si="4"/>
        <v/>
      </c>
      <c r="Z43" t="str">
        <f t="shared" si="5"/>
        <v/>
      </c>
      <c r="AC43" t="str">
        <f t="shared" si="6"/>
        <v>Shot</v>
      </c>
      <c r="AD43" t="str">
        <f t="shared" si="7"/>
        <v>Shot_Blocked</v>
      </c>
      <c r="AE43" t="str">
        <f t="shared" si="8"/>
        <v>Shot-Wrist</v>
      </c>
      <c r="AF43" t="str">
        <f t="shared" si="9"/>
        <v>Offensive</v>
      </c>
      <c r="AG43">
        <f t="shared" si="18"/>
        <v>18981</v>
      </c>
      <c r="AH43" t="str">
        <f t="shared" si="19"/>
        <v>Nelson</v>
      </c>
      <c r="AI43" t="str">
        <f t="shared" si="20"/>
        <v>Velodrome</v>
      </c>
      <c r="AJ43" s="18">
        <f t="shared" si="11"/>
        <v>0</v>
      </c>
      <c r="AP43" s="18">
        <f t="shared" si="12"/>
        <v>0</v>
      </c>
      <c r="AQ43">
        <f t="shared" si="13"/>
        <v>0</v>
      </c>
      <c r="AR43" s="23">
        <f t="shared" si="14"/>
        <v>24</v>
      </c>
      <c r="AS43">
        <f t="shared" si="21"/>
        <v>19</v>
      </c>
      <c r="AT43" s="21">
        <f t="shared" si="22"/>
        <v>24</v>
      </c>
      <c r="AU43" s="21"/>
      <c r="AV43" s="21"/>
      <c r="AW43" s="21"/>
    </row>
    <row r="44" spans="1:49" x14ac:dyDescent="0.2">
      <c r="A44">
        <v>19</v>
      </c>
      <c r="E44">
        <f t="shared" si="15"/>
        <v>1</v>
      </c>
      <c r="J44" t="str">
        <f t="shared" si="25"/>
        <v>17</v>
      </c>
      <c r="K44" t="str">
        <f t="shared" si="26"/>
        <v>36</v>
      </c>
      <c r="L44" t="str">
        <f t="shared" si="27"/>
        <v/>
      </c>
      <c r="M44" s="6" t="str">
        <f t="shared" si="28"/>
        <v/>
      </c>
      <c r="N44" t="str">
        <f t="shared" si="24"/>
        <v>Home</v>
      </c>
      <c r="O44">
        <v>10</v>
      </c>
      <c r="P44" t="s">
        <v>424</v>
      </c>
      <c r="Y44" t="str">
        <f t="shared" si="4"/>
        <v/>
      </c>
      <c r="Z44" t="str">
        <f t="shared" si="5"/>
        <v/>
      </c>
      <c r="AC44" t="str">
        <f t="shared" si="6"/>
        <v>Shot</v>
      </c>
      <c r="AD44" t="str">
        <f t="shared" si="7"/>
        <v>Shot_Blocked</v>
      </c>
      <c r="AE44" t="str">
        <f t="shared" si="8"/>
        <v>Shot-Wrist</v>
      </c>
      <c r="AF44" t="str">
        <f t="shared" si="9"/>
        <v>Offensive</v>
      </c>
      <c r="AG44">
        <f t="shared" si="18"/>
        <v>18981</v>
      </c>
      <c r="AH44" t="str">
        <f t="shared" si="19"/>
        <v>Nelson</v>
      </c>
      <c r="AI44" t="str">
        <f t="shared" si="20"/>
        <v>Velodrome</v>
      </c>
      <c r="AJ44" s="18">
        <f t="shared" si="11"/>
        <v>0</v>
      </c>
      <c r="AP44" s="18">
        <f t="shared" si="12"/>
        <v>0</v>
      </c>
      <c r="AQ44">
        <f t="shared" si="13"/>
        <v>0</v>
      </c>
      <c r="AR44" s="23">
        <f t="shared" si="14"/>
        <v>24</v>
      </c>
      <c r="AS44">
        <f t="shared" si="21"/>
        <v>19</v>
      </c>
      <c r="AT44" s="21">
        <f t="shared" si="22"/>
        <v>24</v>
      </c>
      <c r="AU44" s="21"/>
      <c r="AV44" s="21"/>
      <c r="AW44" s="21"/>
    </row>
    <row r="45" spans="1:49" x14ac:dyDescent="0.2">
      <c r="A45">
        <v>19</v>
      </c>
      <c r="E45">
        <f t="shared" si="15"/>
        <v>1</v>
      </c>
      <c r="J45" t="str">
        <f t="shared" si="25"/>
        <v>17</v>
      </c>
      <c r="K45" t="str">
        <f t="shared" si="26"/>
        <v>36</v>
      </c>
      <c r="L45" t="str">
        <f t="shared" si="27"/>
        <v/>
      </c>
      <c r="M45" s="6" t="str">
        <f t="shared" si="28"/>
        <v/>
      </c>
      <c r="N45" t="str">
        <f t="shared" si="24"/>
        <v>Home</v>
      </c>
      <c r="O45">
        <v>22</v>
      </c>
      <c r="P45" t="s">
        <v>425</v>
      </c>
      <c r="Y45" t="str">
        <f t="shared" si="4"/>
        <v/>
      </c>
      <c r="Z45" t="str">
        <f t="shared" si="5"/>
        <v/>
      </c>
      <c r="AC45" t="str">
        <f t="shared" si="6"/>
        <v>Shot</v>
      </c>
      <c r="AD45" t="str">
        <f t="shared" si="7"/>
        <v>Shot_Blocked</v>
      </c>
      <c r="AE45" t="str">
        <f t="shared" si="8"/>
        <v>Shot-Wrist</v>
      </c>
      <c r="AF45" t="str">
        <f t="shared" si="9"/>
        <v>Defensive</v>
      </c>
      <c r="AG45">
        <f t="shared" si="18"/>
        <v>18981</v>
      </c>
      <c r="AH45" t="str">
        <f t="shared" si="19"/>
        <v>Nelson</v>
      </c>
      <c r="AI45" t="str">
        <f t="shared" si="20"/>
        <v>Velodrome</v>
      </c>
      <c r="AJ45" s="18">
        <f t="shared" si="11"/>
        <v>0</v>
      </c>
      <c r="AP45" s="18">
        <f t="shared" si="12"/>
        <v>0</v>
      </c>
      <c r="AQ45">
        <f t="shared" si="13"/>
        <v>0</v>
      </c>
      <c r="AR45" s="23">
        <f t="shared" si="14"/>
        <v>24</v>
      </c>
      <c r="AS45">
        <f t="shared" si="21"/>
        <v>19</v>
      </c>
      <c r="AT45" s="21">
        <f t="shared" si="22"/>
        <v>24</v>
      </c>
      <c r="AU45" s="21"/>
      <c r="AV45" s="21"/>
      <c r="AW45" s="21"/>
    </row>
    <row r="46" spans="1:49" x14ac:dyDescent="0.2">
      <c r="A46">
        <v>20</v>
      </c>
      <c r="E46">
        <f t="shared" si="15"/>
        <v>1</v>
      </c>
      <c r="F46" s="5" t="s">
        <v>472</v>
      </c>
      <c r="G46" s="5" t="s">
        <v>508</v>
      </c>
      <c r="J46" t="str">
        <f t="shared" si="25"/>
        <v>17</v>
      </c>
      <c r="K46" t="str">
        <f t="shared" si="26"/>
        <v>36</v>
      </c>
      <c r="L46" t="str">
        <f t="shared" si="27"/>
        <v/>
      </c>
      <c r="M46" s="6" t="str">
        <f t="shared" si="28"/>
        <v/>
      </c>
      <c r="N46" t="s">
        <v>178</v>
      </c>
      <c r="O46">
        <v>16</v>
      </c>
      <c r="P46" t="s">
        <v>424</v>
      </c>
      <c r="Q46" t="s">
        <v>10</v>
      </c>
      <c r="R46" t="s">
        <v>190</v>
      </c>
      <c r="S46" t="s">
        <v>78</v>
      </c>
      <c r="Y46" t="str">
        <f t="shared" si="4"/>
        <v/>
      </c>
      <c r="Z46" t="str">
        <f t="shared" si="5"/>
        <v/>
      </c>
      <c r="AC46" t="str">
        <f t="shared" si="6"/>
        <v>Turnover</v>
      </c>
      <c r="AD46" t="str">
        <f t="shared" si="7"/>
        <v>Turnover_Giveaway</v>
      </c>
      <c r="AE46" t="str">
        <f t="shared" si="8"/>
        <v>Giveaway-ShotBlocked</v>
      </c>
      <c r="AF46" t="str">
        <f t="shared" si="9"/>
        <v>Offensive</v>
      </c>
      <c r="AG46">
        <f t="shared" si="18"/>
        <v>18981</v>
      </c>
      <c r="AH46" t="str">
        <f t="shared" si="19"/>
        <v>Nelson</v>
      </c>
      <c r="AI46" t="str">
        <f t="shared" si="20"/>
        <v>Velodrome</v>
      </c>
      <c r="AJ46" s="18">
        <f t="shared" si="11"/>
        <v>0</v>
      </c>
      <c r="AP46" s="18">
        <f t="shared" si="12"/>
        <v>0</v>
      </c>
      <c r="AQ46">
        <f t="shared" si="13"/>
        <v>0</v>
      </c>
      <c r="AR46" s="23">
        <f t="shared" si="14"/>
        <v>24</v>
      </c>
      <c r="AS46">
        <f t="shared" si="21"/>
        <v>19</v>
      </c>
      <c r="AT46" s="21">
        <f t="shared" si="22"/>
        <v>24</v>
      </c>
      <c r="AU46" s="21"/>
      <c r="AV46" s="21"/>
      <c r="AW46" s="21"/>
    </row>
    <row r="47" spans="1:49" x14ac:dyDescent="0.2">
      <c r="A47">
        <v>20</v>
      </c>
      <c r="E47">
        <f t="shared" si="15"/>
        <v>1</v>
      </c>
      <c r="J47" t="str">
        <f t="shared" si="25"/>
        <v>17</v>
      </c>
      <c r="K47" t="str">
        <f t="shared" si="26"/>
        <v>36</v>
      </c>
      <c r="L47" t="str">
        <f t="shared" si="27"/>
        <v/>
      </c>
      <c r="M47" s="6" t="str">
        <f t="shared" si="28"/>
        <v/>
      </c>
      <c r="N47" t="str">
        <f t="shared" si="24"/>
        <v>Home</v>
      </c>
      <c r="O47">
        <v>22</v>
      </c>
      <c r="P47" t="s">
        <v>425</v>
      </c>
      <c r="Y47" t="str">
        <f t="shared" si="4"/>
        <v/>
      </c>
      <c r="Z47" t="str">
        <f t="shared" si="5"/>
        <v/>
      </c>
      <c r="AC47" t="str">
        <f t="shared" si="6"/>
        <v>Turnover</v>
      </c>
      <c r="AD47" t="str">
        <f t="shared" si="7"/>
        <v>Turnover_Giveaway</v>
      </c>
      <c r="AE47" t="str">
        <f t="shared" si="8"/>
        <v>Giveaway-ShotBlocked</v>
      </c>
      <c r="AF47" t="str">
        <f t="shared" si="9"/>
        <v>Defensive</v>
      </c>
      <c r="AG47">
        <f t="shared" si="18"/>
        <v>18981</v>
      </c>
      <c r="AH47" t="str">
        <f t="shared" si="19"/>
        <v>Nelson</v>
      </c>
      <c r="AI47" t="str">
        <f t="shared" si="20"/>
        <v>Velodrome</v>
      </c>
      <c r="AJ47" s="18">
        <f t="shared" si="11"/>
        <v>0</v>
      </c>
      <c r="AP47" s="18">
        <f t="shared" si="12"/>
        <v>0</v>
      </c>
      <c r="AQ47">
        <f t="shared" si="13"/>
        <v>0</v>
      </c>
      <c r="AR47" s="23">
        <f t="shared" si="14"/>
        <v>24</v>
      </c>
      <c r="AS47">
        <f t="shared" si="21"/>
        <v>19</v>
      </c>
      <c r="AT47" s="21">
        <f t="shared" si="22"/>
        <v>24</v>
      </c>
      <c r="AU47" s="21"/>
      <c r="AV47" s="21"/>
      <c r="AW47" s="21"/>
    </row>
    <row r="48" spans="1:49" x14ac:dyDescent="0.2">
      <c r="A48">
        <v>21</v>
      </c>
      <c r="E48">
        <f t="shared" si="15"/>
        <v>1</v>
      </c>
      <c r="F48" s="5" t="s">
        <v>472</v>
      </c>
      <c r="G48" s="5" t="s">
        <v>507</v>
      </c>
      <c r="H48" s="5" t="s">
        <v>472</v>
      </c>
      <c r="I48" s="7" t="s">
        <v>504</v>
      </c>
      <c r="J48" t="str">
        <f t="shared" si="25"/>
        <v>17</v>
      </c>
      <c r="K48" t="str">
        <f t="shared" si="26"/>
        <v>35</v>
      </c>
      <c r="L48" t="str">
        <f t="shared" si="27"/>
        <v>17</v>
      </c>
      <c r="M48" s="6" t="str">
        <f t="shared" si="28"/>
        <v>32</v>
      </c>
      <c r="N48" t="s">
        <v>179</v>
      </c>
      <c r="O48">
        <v>70</v>
      </c>
      <c r="P48" t="s">
        <v>424</v>
      </c>
      <c r="Q48" t="s">
        <v>277</v>
      </c>
      <c r="R48" t="s">
        <v>201</v>
      </c>
      <c r="S48" t="s">
        <v>90</v>
      </c>
      <c r="Y48" t="str">
        <f t="shared" si="4"/>
        <v/>
      </c>
      <c r="Z48" t="str">
        <f t="shared" si="5"/>
        <v/>
      </c>
      <c r="AC48" t="str">
        <f t="shared" si="6"/>
        <v>Zone_Entry_Exit</v>
      </c>
      <c r="AD48" t="str">
        <f t="shared" si="7"/>
        <v>Zone_Exit</v>
      </c>
      <c r="AE48" t="str">
        <f t="shared" si="8"/>
        <v>ZoneExit-Rush</v>
      </c>
      <c r="AF48" t="str">
        <f t="shared" si="9"/>
        <v>Offensive</v>
      </c>
      <c r="AG48">
        <f t="shared" si="18"/>
        <v>18981</v>
      </c>
      <c r="AH48" t="str">
        <f t="shared" si="19"/>
        <v>Nelson</v>
      </c>
      <c r="AI48" t="str">
        <f t="shared" si="20"/>
        <v>Velodrome</v>
      </c>
      <c r="AJ48" s="18">
        <f t="shared" si="11"/>
        <v>3</v>
      </c>
      <c r="AP48" s="18">
        <f t="shared" si="12"/>
        <v>0</v>
      </c>
      <c r="AQ48">
        <f t="shared" si="13"/>
        <v>0</v>
      </c>
      <c r="AR48" s="23">
        <f t="shared" si="14"/>
        <v>25</v>
      </c>
      <c r="AS48">
        <f t="shared" si="21"/>
        <v>20</v>
      </c>
      <c r="AT48" s="21">
        <f t="shared" si="22"/>
        <v>28</v>
      </c>
      <c r="AU48" s="21"/>
      <c r="AV48" s="21"/>
      <c r="AW48" s="21"/>
    </row>
    <row r="49" spans="1:49" x14ac:dyDescent="0.2">
      <c r="A49">
        <v>22</v>
      </c>
      <c r="E49">
        <f t="shared" si="15"/>
        <v>1</v>
      </c>
      <c r="F49" s="5" t="s">
        <v>472</v>
      </c>
      <c r="G49" s="5" t="s">
        <v>504</v>
      </c>
      <c r="H49" s="5" t="s">
        <v>472</v>
      </c>
      <c r="I49" s="7" t="s">
        <v>503</v>
      </c>
      <c r="J49" t="str">
        <f t="shared" si="25"/>
        <v>17</v>
      </c>
      <c r="K49" t="str">
        <f t="shared" si="26"/>
        <v>32</v>
      </c>
      <c r="L49" t="str">
        <f t="shared" si="27"/>
        <v>17</v>
      </c>
      <c r="M49" s="6" t="str">
        <f t="shared" si="28"/>
        <v>31</v>
      </c>
      <c r="N49" t="s">
        <v>179</v>
      </c>
      <c r="O49">
        <v>70</v>
      </c>
      <c r="P49" t="s">
        <v>424</v>
      </c>
      <c r="Q49" t="s">
        <v>15</v>
      </c>
      <c r="Y49" t="str">
        <f t="shared" si="4"/>
        <v/>
      </c>
      <c r="Z49" t="str">
        <f t="shared" si="5"/>
        <v/>
      </c>
      <c r="AC49" t="str">
        <f t="shared" si="6"/>
        <v>Possession</v>
      </c>
      <c r="AD49" t="str">
        <f t="shared" si="7"/>
        <v/>
      </c>
      <c r="AE49" t="str">
        <f t="shared" si="8"/>
        <v/>
      </c>
      <c r="AF49" t="str">
        <f t="shared" si="9"/>
        <v>Offensive</v>
      </c>
      <c r="AG49">
        <f t="shared" si="18"/>
        <v>18981</v>
      </c>
      <c r="AH49" t="str">
        <f t="shared" si="19"/>
        <v>Nelson</v>
      </c>
      <c r="AI49" t="str">
        <f t="shared" si="20"/>
        <v>Velodrome</v>
      </c>
      <c r="AJ49" s="18">
        <f t="shared" si="11"/>
        <v>1</v>
      </c>
      <c r="AP49" s="18">
        <f t="shared" si="12"/>
        <v>0</v>
      </c>
      <c r="AQ49">
        <f t="shared" si="13"/>
        <v>0</v>
      </c>
      <c r="AR49" s="23">
        <f t="shared" si="14"/>
        <v>28</v>
      </c>
      <c r="AS49">
        <f t="shared" si="21"/>
        <v>23</v>
      </c>
      <c r="AT49" s="21">
        <f t="shared" si="22"/>
        <v>29</v>
      </c>
      <c r="AU49" s="21"/>
      <c r="AV49" s="21"/>
      <c r="AW49" s="21"/>
    </row>
    <row r="50" spans="1:49" x14ac:dyDescent="0.2">
      <c r="A50">
        <v>23</v>
      </c>
      <c r="E50">
        <f t="shared" si="15"/>
        <v>1</v>
      </c>
      <c r="F50" s="5" t="s">
        <v>472</v>
      </c>
      <c r="G50" s="5" t="s">
        <v>503</v>
      </c>
      <c r="H50" s="5" t="s">
        <v>472</v>
      </c>
      <c r="I50" s="7" t="s">
        <v>501</v>
      </c>
      <c r="J50" t="str">
        <f t="shared" si="25"/>
        <v>17</v>
      </c>
      <c r="K50" t="str">
        <f t="shared" si="26"/>
        <v>31</v>
      </c>
      <c r="L50" t="str">
        <f t="shared" si="27"/>
        <v>17</v>
      </c>
      <c r="M50" s="6" t="str">
        <f t="shared" si="28"/>
        <v>29</v>
      </c>
      <c r="N50" t="s">
        <v>179</v>
      </c>
      <c r="O50">
        <v>70</v>
      </c>
      <c r="P50" t="s">
        <v>424</v>
      </c>
      <c r="Q50" t="s">
        <v>277</v>
      </c>
      <c r="R50" t="s">
        <v>191</v>
      </c>
      <c r="S50" t="s">
        <v>87</v>
      </c>
      <c r="Y50" t="str">
        <f t="shared" si="4"/>
        <v/>
      </c>
      <c r="Z50" t="str">
        <f t="shared" si="5"/>
        <v/>
      </c>
      <c r="AC50" t="str">
        <f t="shared" si="6"/>
        <v>Zone_Entry_Exit</v>
      </c>
      <c r="AD50" t="str">
        <f t="shared" si="7"/>
        <v>Zone_Entry</v>
      </c>
      <c r="AE50" t="str">
        <f t="shared" si="8"/>
        <v>ZoneEntry-Rush</v>
      </c>
      <c r="AF50" t="str">
        <f t="shared" si="9"/>
        <v>Offensive</v>
      </c>
      <c r="AG50">
        <f t="shared" si="18"/>
        <v>18981</v>
      </c>
      <c r="AH50" t="str">
        <f t="shared" si="19"/>
        <v>Nelson</v>
      </c>
      <c r="AI50" t="str">
        <f t="shared" si="20"/>
        <v>Velodrome</v>
      </c>
      <c r="AJ50" s="18">
        <f t="shared" si="11"/>
        <v>2</v>
      </c>
      <c r="AP50" s="18">
        <f t="shared" si="12"/>
        <v>0</v>
      </c>
      <c r="AQ50">
        <f t="shared" si="13"/>
        <v>0</v>
      </c>
      <c r="AR50" s="23">
        <f t="shared" si="14"/>
        <v>29</v>
      </c>
      <c r="AS50">
        <f t="shared" si="21"/>
        <v>24</v>
      </c>
      <c r="AT50" s="21">
        <f t="shared" si="22"/>
        <v>31</v>
      </c>
      <c r="AU50" s="21"/>
      <c r="AV50" s="21"/>
      <c r="AW50" s="21"/>
    </row>
    <row r="51" spans="1:49" x14ac:dyDescent="0.2">
      <c r="A51">
        <v>23</v>
      </c>
      <c r="E51">
        <f t="shared" si="15"/>
        <v>1</v>
      </c>
      <c r="J51" t="str">
        <f t="shared" si="25"/>
        <v>17</v>
      </c>
      <c r="K51" t="str">
        <f t="shared" si="26"/>
        <v>31</v>
      </c>
      <c r="L51" t="str">
        <f t="shared" si="27"/>
        <v>17</v>
      </c>
      <c r="M51" s="6" t="str">
        <f t="shared" si="28"/>
        <v>29</v>
      </c>
      <c r="N51" t="str">
        <f t="shared" si="24"/>
        <v>Away</v>
      </c>
      <c r="O51">
        <v>23</v>
      </c>
      <c r="P51" t="s">
        <v>425</v>
      </c>
      <c r="Y51" t="str">
        <f t="shared" si="4"/>
        <v/>
      </c>
      <c r="Z51" t="str">
        <f t="shared" si="5"/>
        <v/>
      </c>
      <c r="AC51" t="str">
        <f t="shared" si="6"/>
        <v>Zone_Entry_Exit</v>
      </c>
      <c r="AD51" t="str">
        <f t="shared" si="7"/>
        <v>Zone_Entry</v>
      </c>
      <c r="AE51" t="str">
        <f t="shared" si="8"/>
        <v>ZoneEntry-Rush</v>
      </c>
      <c r="AF51" t="str">
        <f t="shared" si="9"/>
        <v>Defensive</v>
      </c>
      <c r="AG51">
        <f t="shared" si="18"/>
        <v>18981</v>
      </c>
      <c r="AH51" t="str">
        <f t="shared" si="19"/>
        <v>Nelson</v>
      </c>
      <c r="AI51" t="str">
        <f t="shared" si="20"/>
        <v>Velodrome</v>
      </c>
      <c r="AJ51" s="18">
        <f t="shared" si="11"/>
        <v>2</v>
      </c>
      <c r="AP51" s="18">
        <f t="shared" si="12"/>
        <v>0</v>
      </c>
      <c r="AQ51">
        <f t="shared" si="13"/>
        <v>0</v>
      </c>
      <c r="AR51" s="23">
        <f t="shared" si="14"/>
        <v>29</v>
      </c>
      <c r="AS51">
        <f t="shared" si="21"/>
        <v>24</v>
      </c>
      <c r="AT51" s="21">
        <f t="shared" si="22"/>
        <v>31</v>
      </c>
      <c r="AU51" s="21"/>
      <c r="AV51" s="21"/>
      <c r="AW51" s="21"/>
    </row>
    <row r="52" spans="1:49" x14ac:dyDescent="0.2">
      <c r="A52">
        <v>23</v>
      </c>
      <c r="E52">
        <f t="shared" si="15"/>
        <v>1</v>
      </c>
      <c r="J52" t="str">
        <f t="shared" si="25"/>
        <v>17</v>
      </c>
      <c r="K52" t="str">
        <f t="shared" si="26"/>
        <v>31</v>
      </c>
      <c r="L52" t="str">
        <f t="shared" si="27"/>
        <v>17</v>
      </c>
      <c r="M52" s="6" t="str">
        <f t="shared" si="28"/>
        <v>29</v>
      </c>
      <c r="N52" t="str">
        <f t="shared" si="24"/>
        <v>Away</v>
      </c>
      <c r="O52">
        <v>37</v>
      </c>
      <c r="P52" t="s">
        <v>425</v>
      </c>
      <c r="Y52" t="str">
        <f t="shared" si="4"/>
        <v/>
      </c>
      <c r="Z52" t="str">
        <f t="shared" si="5"/>
        <v/>
      </c>
      <c r="AC52" t="str">
        <f t="shared" si="6"/>
        <v>Zone_Entry_Exit</v>
      </c>
      <c r="AD52" t="str">
        <f t="shared" si="7"/>
        <v>Zone_Entry</v>
      </c>
      <c r="AE52" t="str">
        <f t="shared" si="8"/>
        <v>ZoneEntry-Rush</v>
      </c>
      <c r="AF52" t="str">
        <f t="shared" si="9"/>
        <v>Defensive</v>
      </c>
      <c r="AG52">
        <f t="shared" si="18"/>
        <v>18981</v>
      </c>
      <c r="AH52" t="str">
        <f t="shared" si="19"/>
        <v>Nelson</v>
      </c>
      <c r="AI52" t="str">
        <f t="shared" si="20"/>
        <v>Velodrome</v>
      </c>
      <c r="AJ52" s="18">
        <f t="shared" si="11"/>
        <v>2</v>
      </c>
      <c r="AP52" s="18">
        <f t="shared" si="12"/>
        <v>0</v>
      </c>
      <c r="AQ52">
        <f t="shared" si="13"/>
        <v>0</v>
      </c>
      <c r="AR52" s="23">
        <f t="shared" si="14"/>
        <v>29</v>
      </c>
      <c r="AS52">
        <f t="shared" si="21"/>
        <v>24</v>
      </c>
      <c r="AT52" s="21">
        <f t="shared" si="22"/>
        <v>31</v>
      </c>
      <c r="AU52" s="21"/>
      <c r="AV52" s="21"/>
      <c r="AW52" s="21"/>
    </row>
    <row r="53" spans="1:49" x14ac:dyDescent="0.2">
      <c r="A53">
        <v>24</v>
      </c>
      <c r="E53">
        <f t="shared" si="15"/>
        <v>1</v>
      </c>
      <c r="F53" s="5" t="s">
        <v>472</v>
      </c>
      <c r="G53" s="5" t="s">
        <v>501</v>
      </c>
      <c r="J53" t="str">
        <f t="shared" si="25"/>
        <v>17</v>
      </c>
      <c r="K53" t="str">
        <f t="shared" si="26"/>
        <v>29</v>
      </c>
      <c r="L53" t="str">
        <f t="shared" si="27"/>
        <v/>
      </c>
      <c r="M53" s="6" t="str">
        <f t="shared" si="28"/>
        <v/>
      </c>
      <c r="N53" t="s">
        <v>179</v>
      </c>
      <c r="O53">
        <v>70</v>
      </c>
      <c r="P53" t="s">
        <v>424</v>
      </c>
      <c r="Q53" t="s">
        <v>7</v>
      </c>
      <c r="R53" t="s">
        <v>222</v>
      </c>
      <c r="S53" t="s">
        <v>53</v>
      </c>
      <c r="Y53" t="str">
        <f t="shared" si="4"/>
        <v/>
      </c>
      <c r="Z53" t="str">
        <f t="shared" si="5"/>
        <v/>
      </c>
      <c r="AC53" t="str">
        <f t="shared" si="6"/>
        <v>Shot</v>
      </c>
      <c r="AD53" t="str">
        <f t="shared" si="7"/>
        <v>Shot_OnNetSaved</v>
      </c>
      <c r="AE53" t="str">
        <f t="shared" si="8"/>
        <v>Shot-Wrist</v>
      </c>
      <c r="AF53" t="str">
        <f t="shared" si="9"/>
        <v>Offensive</v>
      </c>
      <c r="AG53">
        <f t="shared" si="18"/>
        <v>18981</v>
      </c>
      <c r="AH53" t="str">
        <f t="shared" si="19"/>
        <v>Nelson</v>
      </c>
      <c r="AI53" t="str">
        <f t="shared" si="20"/>
        <v>Velodrome</v>
      </c>
      <c r="AJ53" s="18">
        <f t="shared" si="11"/>
        <v>0</v>
      </c>
      <c r="AP53" s="18">
        <f t="shared" si="12"/>
        <v>0</v>
      </c>
      <c r="AQ53">
        <f t="shared" si="13"/>
        <v>0</v>
      </c>
      <c r="AR53" s="23">
        <f t="shared" si="14"/>
        <v>31</v>
      </c>
      <c r="AS53">
        <f t="shared" si="21"/>
        <v>26</v>
      </c>
      <c r="AT53" s="21">
        <f t="shared" si="22"/>
        <v>31</v>
      </c>
      <c r="AU53" s="21"/>
      <c r="AV53" s="21"/>
      <c r="AW53" s="21"/>
    </row>
    <row r="54" spans="1:49" x14ac:dyDescent="0.2">
      <c r="A54">
        <v>24</v>
      </c>
      <c r="E54">
        <f t="shared" si="15"/>
        <v>1</v>
      </c>
      <c r="J54" t="str">
        <f t="shared" si="25"/>
        <v>17</v>
      </c>
      <c r="K54" t="str">
        <f t="shared" si="26"/>
        <v>29</v>
      </c>
      <c r="L54" t="str">
        <f t="shared" si="27"/>
        <v/>
      </c>
      <c r="M54" s="6" t="str">
        <f t="shared" si="28"/>
        <v/>
      </c>
      <c r="N54" t="str">
        <f t="shared" si="24"/>
        <v>Away</v>
      </c>
      <c r="O54">
        <v>31</v>
      </c>
      <c r="P54" t="s">
        <v>425</v>
      </c>
      <c r="Y54" t="str">
        <f t="shared" si="4"/>
        <v/>
      </c>
      <c r="Z54" t="str">
        <f t="shared" si="5"/>
        <v/>
      </c>
      <c r="AC54" t="str">
        <f t="shared" si="6"/>
        <v>Shot</v>
      </c>
      <c r="AD54" t="str">
        <f t="shared" si="7"/>
        <v>Shot_OnNetSaved</v>
      </c>
      <c r="AE54" t="str">
        <f t="shared" si="8"/>
        <v>Shot-Wrist</v>
      </c>
      <c r="AF54" t="str">
        <f t="shared" si="9"/>
        <v>Defensive</v>
      </c>
      <c r="AG54">
        <f t="shared" si="18"/>
        <v>18981</v>
      </c>
      <c r="AH54" t="str">
        <f t="shared" si="19"/>
        <v>Nelson</v>
      </c>
      <c r="AI54" t="str">
        <f t="shared" si="20"/>
        <v>Velodrome</v>
      </c>
      <c r="AJ54" s="18">
        <f t="shared" si="11"/>
        <v>0</v>
      </c>
      <c r="AP54" s="18">
        <f t="shared" si="12"/>
        <v>0</v>
      </c>
      <c r="AQ54">
        <f t="shared" si="13"/>
        <v>0</v>
      </c>
      <c r="AR54" s="23">
        <f t="shared" si="14"/>
        <v>31</v>
      </c>
      <c r="AS54">
        <f t="shared" si="21"/>
        <v>26</v>
      </c>
      <c r="AT54" s="21">
        <f t="shared" si="22"/>
        <v>31</v>
      </c>
      <c r="AU54" s="21"/>
      <c r="AV54" s="21"/>
      <c r="AW54" s="21"/>
    </row>
    <row r="55" spans="1:49" x14ac:dyDescent="0.2">
      <c r="A55">
        <v>24</v>
      </c>
      <c r="E55">
        <f t="shared" si="15"/>
        <v>1</v>
      </c>
      <c r="J55" t="str">
        <f t="shared" si="25"/>
        <v>17</v>
      </c>
      <c r="K55" t="str">
        <f t="shared" si="26"/>
        <v>29</v>
      </c>
      <c r="L55" t="str">
        <f t="shared" si="27"/>
        <v/>
      </c>
      <c r="M55" s="6" t="str">
        <f t="shared" si="28"/>
        <v/>
      </c>
      <c r="N55" t="str">
        <f t="shared" si="24"/>
        <v>Away</v>
      </c>
      <c r="O55">
        <v>37</v>
      </c>
      <c r="P55" t="s">
        <v>425</v>
      </c>
      <c r="Y55" t="str">
        <f t="shared" si="4"/>
        <v/>
      </c>
      <c r="Z55" t="str">
        <f t="shared" si="5"/>
        <v/>
      </c>
      <c r="AC55" t="str">
        <f t="shared" si="6"/>
        <v>Shot</v>
      </c>
      <c r="AD55" t="str">
        <f t="shared" si="7"/>
        <v>Shot_OnNetSaved</v>
      </c>
      <c r="AE55" t="str">
        <f t="shared" si="8"/>
        <v>Shot-Wrist</v>
      </c>
      <c r="AF55" t="str">
        <f t="shared" si="9"/>
        <v>Defensive</v>
      </c>
      <c r="AG55">
        <f t="shared" si="18"/>
        <v>18981</v>
      </c>
      <c r="AH55" t="str">
        <f t="shared" si="19"/>
        <v>Nelson</v>
      </c>
      <c r="AI55" t="str">
        <f t="shared" si="20"/>
        <v>Velodrome</v>
      </c>
      <c r="AJ55" s="18">
        <f t="shared" si="11"/>
        <v>0</v>
      </c>
      <c r="AP55" s="18">
        <f t="shared" si="12"/>
        <v>0</v>
      </c>
      <c r="AQ55">
        <f t="shared" si="13"/>
        <v>0</v>
      </c>
      <c r="AR55" s="23">
        <f t="shared" si="14"/>
        <v>31</v>
      </c>
      <c r="AS55">
        <f t="shared" si="21"/>
        <v>26</v>
      </c>
      <c r="AT55" s="21">
        <f t="shared" si="22"/>
        <v>31</v>
      </c>
      <c r="AU55" s="21"/>
      <c r="AV55" s="21"/>
      <c r="AW55" s="21"/>
    </row>
    <row r="56" spans="1:49" x14ac:dyDescent="0.2">
      <c r="A56">
        <v>25</v>
      </c>
      <c r="E56">
        <f t="shared" si="15"/>
        <v>1</v>
      </c>
      <c r="F56" s="5" t="s">
        <v>472</v>
      </c>
      <c r="G56" s="5" t="s">
        <v>501</v>
      </c>
      <c r="J56" t="str">
        <f t="shared" si="25"/>
        <v>17</v>
      </c>
      <c r="K56" t="str">
        <f t="shared" si="26"/>
        <v>29</v>
      </c>
      <c r="L56" t="str">
        <f t="shared" si="27"/>
        <v/>
      </c>
      <c r="M56" s="6" t="str">
        <f t="shared" si="28"/>
        <v/>
      </c>
      <c r="N56" t="s">
        <v>178</v>
      </c>
      <c r="O56">
        <v>31</v>
      </c>
      <c r="P56" t="s">
        <v>424</v>
      </c>
      <c r="Q56" t="s">
        <v>17</v>
      </c>
      <c r="R56" t="s">
        <v>196</v>
      </c>
      <c r="S56" t="s">
        <v>98</v>
      </c>
      <c r="Y56" t="str">
        <f t="shared" si="4"/>
        <v/>
      </c>
      <c r="Z56" t="str">
        <f t="shared" si="5"/>
        <v/>
      </c>
      <c r="AC56" t="str">
        <f t="shared" si="6"/>
        <v>Save</v>
      </c>
      <c r="AD56" t="str">
        <f t="shared" si="7"/>
        <v>Save_Rebound</v>
      </c>
      <c r="AE56" t="str">
        <f t="shared" si="8"/>
        <v>Save-LeftPad</v>
      </c>
      <c r="AF56" t="str">
        <f t="shared" si="9"/>
        <v>Defensive</v>
      </c>
      <c r="AG56">
        <f t="shared" si="18"/>
        <v>18981</v>
      </c>
      <c r="AH56" t="str">
        <f t="shared" si="19"/>
        <v>Nelson</v>
      </c>
      <c r="AI56" t="str">
        <f t="shared" si="20"/>
        <v>Velodrome</v>
      </c>
      <c r="AJ56" s="18">
        <f t="shared" si="11"/>
        <v>0</v>
      </c>
      <c r="AP56" s="18">
        <f t="shared" si="12"/>
        <v>0</v>
      </c>
      <c r="AQ56">
        <f t="shared" si="13"/>
        <v>0</v>
      </c>
      <c r="AR56" s="23">
        <f t="shared" si="14"/>
        <v>31</v>
      </c>
      <c r="AS56">
        <f t="shared" si="21"/>
        <v>26</v>
      </c>
      <c r="AT56" s="21">
        <f t="shared" si="22"/>
        <v>31</v>
      </c>
      <c r="AU56" s="21"/>
      <c r="AV56" s="21"/>
      <c r="AW56" s="21"/>
    </row>
    <row r="57" spans="1:49" x14ac:dyDescent="0.2">
      <c r="A57">
        <v>25</v>
      </c>
      <c r="E57">
        <f t="shared" si="15"/>
        <v>1</v>
      </c>
      <c r="J57" t="str">
        <f t="shared" si="25"/>
        <v>17</v>
      </c>
      <c r="K57" t="str">
        <f t="shared" si="26"/>
        <v>29</v>
      </c>
      <c r="L57" t="str">
        <f t="shared" si="27"/>
        <v/>
      </c>
      <c r="M57" s="6" t="str">
        <f t="shared" si="28"/>
        <v/>
      </c>
      <c r="N57" t="str">
        <f t="shared" si="24"/>
        <v>Home</v>
      </c>
      <c r="O57">
        <v>37</v>
      </c>
      <c r="P57" t="s">
        <v>424</v>
      </c>
      <c r="Y57" t="str">
        <f t="shared" si="4"/>
        <v/>
      </c>
      <c r="Z57" t="str">
        <f t="shared" si="5"/>
        <v/>
      </c>
      <c r="AC57" t="str">
        <f t="shared" si="6"/>
        <v>Save</v>
      </c>
      <c r="AD57" t="str">
        <f t="shared" si="7"/>
        <v>Save_Rebound</v>
      </c>
      <c r="AE57" t="str">
        <f t="shared" si="8"/>
        <v>Save-LeftPad</v>
      </c>
      <c r="AF57" t="str">
        <f t="shared" si="9"/>
        <v>Defensive</v>
      </c>
      <c r="AG57">
        <f t="shared" si="18"/>
        <v>18981</v>
      </c>
      <c r="AH57" t="str">
        <f t="shared" si="19"/>
        <v>Nelson</v>
      </c>
      <c r="AI57" t="str">
        <f t="shared" si="20"/>
        <v>Velodrome</v>
      </c>
      <c r="AJ57" s="18">
        <f t="shared" si="11"/>
        <v>0</v>
      </c>
      <c r="AP57" s="18">
        <f t="shared" si="12"/>
        <v>0</v>
      </c>
      <c r="AQ57">
        <f t="shared" si="13"/>
        <v>0</v>
      </c>
      <c r="AR57" s="23">
        <f t="shared" si="14"/>
        <v>31</v>
      </c>
      <c r="AS57">
        <f t="shared" si="21"/>
        <v>26</v>
      </c>
      <c r="AT57" s="21">
        <f t="shared" si="22"/>
        <v>31</v>
      </c>
      <c r="AU57" s="21"/>
      <c r="AV57" s="21"/>
      <c r="AW57" s="21"/>
    </row>
    <row r="58" spans="1:49" x14ac:dyDescent="0.2">
      <c r="A58">
        <v>25</v>
      </c>
      <c r="E58">
        <f t="shared" si="15"/>
        <v>1</v>
      </c>
      <c r="J58" t="str">
        <f t="shared" si="25"/>
        <v>17</v>
      </c>
      <c r="K58" t="str">
        <f t="shared" si="26"/>
        <v>29</v>
      </c>
      <c r="L58" t="str">
        <f t="shared" si="27"/>
        <v/>
      </c>
      <c r="M58" s="6" t="str">
        <f t="shared" si="28"/>
        <v/>
      </c>
      <c r="N58" t="str">
        <f t="shared" si="24"/>
        <v>Home</v>
      </c>
      <c r="O58">
        <v>70</v>
      </c>
      <c r="P58" t="s">
        <v>425</v>
      </c>
      <c r="Y58" t="str">
        <f t="shared" si="4"/>
        <v/>
      </c>
      <c r="Z58" t="str">
        <f t="shared" si="5"/>
        <v/>
      </c>
      <c r="AC58" t="str">
        <f t="shared" si="6"/>
        <v>Save</v>
      </c>
      <c r="AD58" t="str">
        <f t="shared" si="7"/>
        <v>Save_Rebound</v>
      </c>
      <c r="AE58" t="str">
        <f t="shared" si="8"/>
        <v>Save-LeftPad</v>
      </c>
      <c r="AF58" t="str">
        <f t="shared" si="9"/>
        <v>Offensive</v>
      </c>
      <c r="AG58">
        <f t="shared" si="18"/>
        <v>18981</v>
      </c>
      <c r="AH58" t="str">
        <f t="shared" si="19"/>
        <v>Nelson</v>
      </c>
      <c r="AI58" t="str">
        <f t="shared" si="20"/>
        <v>Velodrome</v>
      </c>
      <c r="AJ58" s="18">
        <f t="shared" si="11"/>
        <v>0</v>
      </c>
      <c r="AP58" s="18">
        <f t="shared" si="12"/>
        <v>0</v>
      </c>
      <c r="AQ58">
        <f t="shared" si="13"/>
        <v>0</v>
      </c>
      <c r="AR58" s="23">
        <f t="shared" si="14"/>
        <v>31</v>
      </c>
      <c r="AS58">
        <f t="shared" si="21"/>
        <v>26</v>
      </c>
      <c r="AT58" s="21">
        <f t="shared" si="22"/>
        <v>31</v>
      </c>
      <c r="AU58" s="21"/>
      <c r="AV58" s="21"/>
      <c r="AW58" s="21"/>
    </row>
    <row r="59" spans="1:49" x14ac:dyDescent="0.2">
      <c r="A59">
        <v>26</v>
      </c>
      <c r="E59">
        <f t="shared" si="15"/>
        <v>1</v>
      </c>
      <c r="F59" s="5" t="s">
        <v>472</v>
      </c>
      <c r="G59" s="5" t="s">
        <v>501</v>
      </c>
      <c r="J59" t="str">
        <f t="shared" si="25"/>
        <v>17</v>
      </c>
      <c r="K59" t="str">
        <f t="shared" si="26"/>
        <v>29</v>
      </c>
      <c r="L59" t="str">
        <f t="shared" si="27"/>
        <v/>
      </c>
      <c r="M59" s="6" t="str">
        <f t="shared" si="28"/>
        <v/>
      </c>
      <c r="N59" t="s">
        <v>178</v>
      </c>
      <c r="O59">
        <v>31</v>
      </c>
      <c r="P59" t="s">
        <v>424</v>
      </c>
      <c r="Q59" t="s">
        <v>270</v>
      </c>
      <c r="R59" t="s">
        <v>272</v>
      </c>
      <c r="Y59" t="str">
        <f t="shared" si="4"/>
        <v/>
      </c>
      <c r="Z59" t="str">
        <f t="shared" si="5"/>
        <v/>
      </c>
      <c r="AC59" t="str">
        <f t="shared" si="6"/>
        <v>Rebound</v>
      </c>
      <c r="AD59" t="str">
        <f t="shared" si="7"/>
        <v>Rebound_OppTeamRecovered</v>
      </c>
      <c r="AE59" t="str">
        <f t="shared" si="8"/>
        <v/>
      </c>
      <c r="AF59" t="str">
        <f t="shared" si="9"/>
        <v>Offensive</v>
      </c>
      <c r="AG59">
        <f t="shared" si="18"/>
        <v>18981</v>
      </c>
      <c r="AH59" t="str">
        <f t="shared" si="19"/>
        <v>Nelson</v>
      </c>
      <c r="AI59" t="str">
        <f t="shared" si="20"/>
        <v>Velodrome</v>
      </c>
      <c r="AJ59" s="18">
        <f t="shared" si="11"/>
        <v>0</v>
      </c>
      <c r="AP59" s="18">
        <f t="shared" si="12"/>
        <v>0</v>
      </c>
      <c r="AQ59">
        <f t="shared" si="13"/>
        <v>0</v>
      </c>
      <c r="AR59" s="23">
        <f t="shared" si="14"/>
        <v>31</v>
      </c>
      <c r="AS59">
        <f t="shared" si="21"/>
        <v>26</v>
      </c>
      <c r="AT59" s="21">
        <f t="shared" si="22"/>
        <v>31</v>
      </c>
      <c r="AU59" s="21"/>
      <c r="AV59" s="21"/>
      <c r="AW59" s="21"/>
    </row>
    <row r="60" spans="1:49" x14ac:dyDescent="0.2">
      <c r="A60">
        <v>27</v>
      </c>
      <c r="E60">
        <f t="shared" si="15"/>
        <v>1</v>
      </c>
      <c r="F60" s="5" t="s">
        <v>472</v>
      </c>
      <c r="G60" s="5" t="s">
        <v>498</v>
      </c>
      <c r="H60" s="5" t="s">
        <v>472</v>
      </c>
      <c r="I60" s="7" t="s">
        <v>496</v>
      </c>
      <c r="J60" t="str">
        <f t="shared" si="25"/>
        <v>17</v>
      </c>
      <c r="K60" t="str">
        <f t="shared" si="26"/>
        <v>26</v>
      </c>
      <c r="L60" t="str">
        <f t="shared" si="27"/>
        <v>17</v>
      </c>
      <c r="M60" s="6" t="str">
        <f t="shared" si="28"/>
        <v>24</v>
      </c>
      <c r="N60" t="s">
        <v>179</v>
      </c>
      <c r="O60">
        <v>70</v>
      </c>
      <c r="P60" t="s">
        <v>424</v>
      </c>
      <c r="Q60" t="s">
        <v>15</v>
      </c>
      <c r="Y60" t="str">
        <f t="shared" si="4"/>
        <v/>
      </c>
      <c r="Z60" t="str">
        <f t="shared" si="5"/>
        <v/>
      </c>
      <c r="AC60" t="str">
        <f t="shared" si="6"/>
        <v>Possession</v>
      </c>
      <c r="AD60" t="str">
        <f t="shared" si="7"/>
        <v/>
      </c>
      <c r="AE60" t="str">
        <f t="shared" si="8"/>
        <v/>
      </c>
      <c r="AF60" t="str">
        <f t="shared" si="9"/>
        <v>Offensive</v>
      </c>
      <c r="AG60">
        <f t="shared" si="18"/>
        <v>18981</v>
      </c>
      <c r="AH60" t="str">
        <f t="shared" si="19"/>
        <v>Nelson</v>
      </c>
      <c r="AI60" t="str">
        <f t="shared" si="20"/>
        <v>Velodrome</v>
      </c>
      <c r="AJ60" s="18">
        <f t="shared" si="11"/>
        <v>2</v>
      </c>
      <c r="AP60" s="18">
        <f t="shared" si="12"/>
        <v>0</v>
      </c>
      <c r="AQ60">
        <f t="shared" si="13"/>
        <v>0</v>
      </c>
      <c r="AR60" s="23">
        <f t="shared" si="14"/>
        <v>34</v>
      </c>
      <c r="AS60">
        <f t="shared" si="21"/>
        <v>29</v>
      </c>
      <c r="AT60" s="21">
        <f t="shared" si="22"/>
        <v>36</v>
      </c>
      <c r="AU60" s="21"/>
      <c r="AV60" s="21"/>
      <c r="AW60" s="21"/>
    </row>
    <row r="61" spans="1:49" x14ac:dyDescent="0.2">
      <c r="A61">
        <v>27</v>
      </c>
      <c r="E61">
        <f t="shared" si="15"/>
        <v>1</v>
      </c>
      <c r="J61" t="str">
        <f t="shared" si="25"/>
        <v>17</v>
      </c>
      <c r="K61" t="str">
        <f t="shared" si="26"/>
        <v>26</v>
      </c>
      <c r="L61" t="str">
        <f t="shared" si="27"/>
        <v>17</v>
      </c>
      <c r="M61" s="6" t="str">
        <f t="shared" si="28"/>
        <v>24</v>
      </c>
      <c r="N61" t="str">
        <f t="shared" si="24"/>
        <v>Away</v>
      </c>
      <c r="O61">
        <v>37</v>
      </c>
      <c r="P61" t="s">
        <v>425</v>
      </c>
      <c r="Y61" t="str">
        <f t="shared" si="4"/>
        <v/>
      </c>
      <c r="Z61" t="str">
        <f t="shared" si="5"/>
        <v/>
      </c>
      <c r="AC61" t="str">
        <f t="shared" si="6"/>
        <v>Possession</v>
      </c>
      <c r="AD61" t="str">
        <f t="shared" si="7"/>
        <v/>
      </c>
      <c r="AE61" t="str">
        <f t="shared" si="8"/>
        <v/>
      </c>
      <c r="AF61" t="str">
        <f t="shared" si="9"/>
        <v>Defensive</v>
      </c>
      <c r="AG61">
        <f t="shared" si="18"/>
        <v>18981</v>
      </c>
      <c r="AH61" t="str">
        <f t="shared" si="19"/>
        <v>Nelson</v>
      </c>
      <c r="AI61" t="str">
        <f t="shared" si="20"/>
        <v>Velodrome</v>
      </c>
      <c r="AJ61" s="18">
        <f t="shared" si="11"/>
        <v>2</v>
      </c>
      <c r="AP61" s="18">
        <f t="shared" si="12"/>
        <v>0</v>
      </c>
      <c r="AQ61">
        <f t="shared" si="13"/>
        <v>0</v>
      </c>
      <c r="AR61" s="23">
        <f t="shared" si="14"/>
        <v>34</v>
      </c>
      <c r="AS61">
        <f t="shared" si="21"/>
        <v>29</v>
      </c>
      <c r="AT61" s="21">
        <f t="shared" si="22"/>
        <v>36</v>
      </c>
      <c r="AU61" s="21"/>
      <c r="AV61" s="21"/>
      <c r="AW61" s="21"/>
    </row>
    <row r="62" spans="1:49" x14ac:dyDescent="0.2">
      <c r="A62">
        <v>28</v>
      </c>
      <c r="E62">
        <f t="shared" si="15"/>
        <v>1</v>
      </c>
      <c r="F62" s="5" t="s">
        <v>472</v>
      </c>
      <c r="G62" s="5" t="s">
        <v>496</v>
      </c>
      <c r="J62" t="str">
        <f t="shared" si="25"/>
        <v>17</v>
      </c>
      <c r="K62" t="str">
        <f t="shared" si="26"/>
        <v>24</v>
      </c>
      <c r="L62" t="str">
        <f t="shared" si="27"/>
        <v/>
      </c>
      <c r="M62" s="6" t="str">
        <f t="shared" si="28"/>
        <v/>
      </c>
      <c r="N62" t="s">
        <v>179</v>
      </c>
      <c r="O62">
        <v>70</v>
      </c>
      <c r="P62" t="s">
        <v>424</v>
      </c>
      <c r="Q62" t="s">
        <v>8</v>
      </c>
      <c r="R62" t="s">
        <v>189</v>
      </c>
      <c r="S62" t="s">
        <v>68</v>
      </c>
      <c r="Y62" t="str">
        <f t="shared" si="4"/>
        <v/>
      </c>
      <c r="Z62" t="str">
        <f t="shared" si="5"/>
        <v/>
      </c>
      <c r="AC62" t="str">
        <f t="shared" si="6"/>
        <v>Pass</v>
      </c>
      <c r="AD62" t="str">
        <f t="shared" si="7"/>
        <v>Pass_Completed</v>
      </c>
      <c r="AE62" t="str">
        <f t="shared" si="8"/>
        <v>Pass-Rim/Wrap</v>
      </c>
      <c r="AF62" t="str">
        <f t="shared" si="9"/>
        <v>Offensive</v>
      </c>
      <c r="AG62">
        <f t="shared" si="18"/>
        <v>18981</v>
      </c>
      <c r="AH62" t="str">
        <f t="shared" si="19"/>
        <v>Nelson</v>
      </c>
      <c r="AI62" t="str">
        <f t="shared" si="20"/>
        <v>Velodrome</v>
      </c>
      <c r="AJ62" s="18">
        <f t="shared" si="11"/>
        <v>0</v>
      </c>
      <c r="AP62" s="18">
        <f t="shared" si="12"/>
        <v>0</v>
      </c>
      <c r="AQ62">
        <f t="shared" si="13"/>
        <v>0</v>
      </c>
      <c r="AR62" s="23">
        <f t="shared" si="14"/>
        <v>36</v>
      </c>
      <c r="AS62">
        <f t="shared" si="21"/>
        <v>31</v>
      </c>
      <c r="AT62" s="21">
        <f t="shared" si="22"/>
        <v>36</v>
      </c>
      <c r="AU62" s="21"/>
      <c r="AV62" s="21"/>
      <c r="AW62" s="21"/>
    </row>
    <row r="63" spans="1:49" x14ac:dyDescent="0.2">
      <c r="A63">
        <v>28</v>
      </c>
      <c r="E63">
        <f t="shared" si="15"/>
        <v>1</v>
      </c>
      <c r="J63" t="str">
        <f t="shared" si="25"/>
        <v>17</v>
      </c>
      <c r="K63" t="str">
        <f t="shared" si="26"/>
        <v>24</v>
      </c>
      <c r="L63" t="str">
        <f t="shared" si="27"/>
        <v/>
      </c>
      <c r="M63" s="6" t="str">
        <f t="shared" si="28"/>
        <v/>
      </c>
      <c r="N63" t="str">
        <f t="shared" si="24"/>
        <v>Away</v>
      </c>
      <c r="O63">
        <v>84</v>
      </c>
      <c r="P63" t="s">
        <v>424</v>
      </c>
      <c r="Y63" t="str">
        <f t="shared" si="4"/>
        <v/>
      </c>
      <c r="Z63" t="str">
        <f t="shared" si="5"/>
        <v/>
      </c>
      <c r="AC63" t="str">
        <f t="shared" si="6"/>
        <v>Pass</v>
      </c>
      <c r="AD63" t="str">
        <f t="shared" si="7"/>
        <v>Pass_Completed</v>
      </c>
      <c r="AE63" t="str">
        <f t="shared" si="8"/>
        <v>Pass-Rim/Wrap</v>
      </c>
      <c r="AF63" t="str">
        <f t="shared" si="9"/>
        <v>Offensive</v>
      </c>
      <c r="AG63">
        <f t="shared" si="18"/>
        <v>18981</v>
      </c>
      <c r="AH63" t="str">
        <f t="shared" si="19"/>
        <v>Nelson</v>
      </c>
      <c r="AI63" t="str">
        <f t="shared" si="20"/>
        <v>Velodrome</v>
      </c>
      <c r="AJ63" s="18">
        <f t="shared" si="11"/>
        <v>0</v>
      </c>
      <c r="AP63" s="18">
        <f t="shared" si="12"/>
        <v>0</v>
      </c>
      <c r="AQ63">
        <f t="shared" si="13"/>
        <v>0</v>
      </c>
      <c r="AR63" s="23">
        <f t="shared" si="14"/>
        <v>36</v>
      </c>
      <c r="AS63">
        <f t="shared" si="21"/>
        <v>31</v>
      </c>
      <c r="AT63" s="21">
        <f t="shared" si="22"/>
        <v>36</v>
      </c>
      <c r="AU63" s="21"/>
      <c r="AV63" s="21"/>
      <c r="AW63" s="21"/>
    </row>
    <row r="64" spans="1:49" x14ac:dyDescent="0.2">
      <c r="A64">
        <v>28</v>
      </c>
      <c r="E64">
        <f t="shared" si="15"/>
        <v>1</v>
      </c>
      <c r="J64" t="str">
        <f t="shared" si="25"/>
        <v>17</v>
      </c>
      <c r="K64" t="str">
        <f t="shared" si="26"/>
        <v>24</v>
      </c>
      <c r="L64" t="str">
        <f t="shared" si="27"/>
        <v/>
      </c>
      <c r="M64" s="6" t="str">
        <f t="shared" si="28"/>
        <v/>
      </c>
      <c r="N64" t="str">
        <f t="shared" si="24"/>
        <v>Away</v>
      </c>
      <c r="O64">
        <v>23</v>
      </c>
      <c r="P64" t="s">
        <v>425</v>
      </c>
      <c r="Y64" t="str">
        <f t="shared" si="4"/>
        <v/>
      </c>
      <c r="Z64" t="str">
        <f t="shared" si="5"/>
        <v/>
      </c>
      <c r="AC64" t="str">
        <f t="shared" si="6"/>
        <v>Pass</v>
      </c>
      <c r="AD64" t="str">
        <f t="shared" si="7"/>
        <v>Pass_Completed</v>
      </c>
      <c r="AE64" t="str">
        <f t="shared" si="8"/>
        <v>Pass-Rim/Wrap</v>
      </c>
      <c r="AF64" t="str">
        <f t="shared" si="9"/>
        <v>Defensive</v>
      </c>
      <c r="AG64">
        <f t="shared" si="18"/>
        <v>18981</v>
      </c>
      <c r="AH64" t="str">
        <f t="shared" si="19"/>
        <v>Nelson</v>
      </c>
      <c r="AI64" t="str">
        <f t="shared" si="20"/>
        <v>Velodrome</v>
      </c>
      <c r="AJ64" s="18">
        <f t="shared" si="11"/>
        <v>0</v>
      </c>
      <c r="AP64" s="18">
        <f t="shared" si="12"/>
        <v>0</v>
      </c>
      <c r="AQ64">
        <f t="shared" si="13"/>
        <v>0</v>
      </c>
      <c r="AR64" s="23">
        <f t="shared" si="14"/>
        <v>36</v>
      </c>
      <c r="AS64">
        <f t="shared" si="21"/>
        <v>31</v>
      </c>
      <c r="AT64" s="21">
        <f t="shared" si="22"/>
        <v>36</v>
      </c>
      <c r="AU64" s="21"/>
      <c r="AV64" s="21"/>
      <c r="AW64" s="21"/>
    </row>
    <row r="65" spans="1:49" x14ac:dyDescent="0.2">
      <c r="A65">
        <v>29</v>
      </c>
      <c r="E65">
        <f t="shared" si="15"/>
        <v>1</v>
      </c>
      <c r="F65" s="5" t="s">
        <v>472</v>
      </c>
      <c r="G65" s="5" t="s">
        <v>493</v>
      </c>
      <c r="J65" t="str">
        <f t="shared" si="25"/>
        <v>17</v>
      </c>
      <c r="K65" t="str">
        <f t="shared" si="26"/>
        <v>21</v>
      </c>
      <c r="L65" t="str">
        <f t="shared" si="27"/>
        <v/>
      </c>
      <c r="M65" s="6" t="str">
        <f t="shared" si="28"/>
        <v/>
      </c>
      <c r="N65" t="s">
        <v>179</v>
      </c>
      <c r="O65">
        <v>84</v>
      </c>
      <c r="P65" t="s">
        <v>424</v>
      </c>
      <c r="Q65" t="s">
        <v>8</v>
      </c>
      <c r="R65" t="s">
        <v>189</v>
      </c>
      <c r="S65" t="s">
        <v>70</v>
      </c>
      <c r="Y65" t="str">
        <f t="shared" si="4"/>
        <v/>
      </c>
      <c r="Z65" t="str">
        <f t="shared" si="5"/>
        <v/>
      </c>
      <c r="AC65" t="str">
        <f t="shared" si="6"/>
        <v>Pass</v>
      </c>
      <c r="AD65" t="str">
        <f t="shared" si="7"/>
        <v>Pass_Completed</v>
      </c>
      <c r="AE65" t="str">
        <f t="shared" si="8"/>
        <v>Pass-Forehand</v>
      </c>
      <c r="AF65" t="str">
        <f t="shared" si="9"/>
        <v>Offensive</v>
      </c>
      <c r="AG65">
        <f t="shared" si="18"/>
        <v>18981</v>
      </c>
      <c r="AH65" t="str">
        <f t="shared" si="19"/>
        <v>Nelson</v>
      </c>
      <c r="AI65" t="str">
        <f t="shared" si="20"/>
        <v>Velodrome</v>
      </c>
      <c r="AJ65" s="18">
        <f t="shared" si="11"/>
        <v>0</v>
      </c>
      <c r="AP65" s="18">
        <f t="shared" si="12"/>
        <v>0</v>
      </c>
      <c r="AQ65">
        <f t="shared" si="13"/>
        <v>0</v>
      </c>
      <c r="AR65" s="23">
        <f t="shared" si="14"/>
        <v>39</v>
      </c>
      <c r="AS65">
        <f t="shared" si="21"/>
        <v>34</v>
      </c>
      <c r="AT65" s="21">
        <f t="shared" si="22"/>
        <v>39</v>
      </c>
      <c r="AU65" s="21"/>
      <c r="AV65" s="21"/>
      <c r="AW65" s="21"/>
    </row>
    <row r="66" spans="1:49" x14ac:dyDescent="0.2">
      <c r="A66">
        <v>29</v>
      </c>
      <c r="E66">
        <f t="shared" si="15"/>
        <v>1</v>
      </c>
      <c r="J66" t="str">
        <f t="shared" si="25"/>
        <v>17</v>
      </c>
      <c r="K66" t="str">
        <f t="shared" si="26"/>
        <v>21</v>
      </c>
      <c r="L66" t="str">
        <f t="shared" si="27"/>
        <v/>
      </c>
      <c r="M66" s="6" t="str">
        <f t="shared" si="28"/>
        <v/>
      </c>
      <c r="N66" t="str">
        <f t="shared" si="24"/>
        <v>Away</v>
      </c>
      <c r="O66">
        <v>87</v>
      </c>
      <c r="P66" t="s">
        <v>424</v>
      </c>
      <c r="Y66" t="str">
        <f t="shared" si="4"/>
        <v/>
      </c>
      <c r="Z66" t="str">
        <f t="shared" si="5"/>
        <v/>
      </c>
      <c r="AC66" t="str">
        <f t="shared" si="6"/>
        <v>Pass</v>
      </c>
      <c r="AD66" t="str">
        <f t="shared" si="7"/>
        <v>Pass_Completed</v>
      </c>
      <c r="AE66" t="str">
        <f t="shared" si="8"/>
        <v>Pass-Forehand</v>
      </c>
      <c r="AF66" t="str">
        <f t="shared" si="9"/>
        <v>Offensive</v>
      </c>
      <c r="AG66">
        <f t="shared" si="18"/>
        <v>18981</v>
      </c>
      <c r="AH66" t="str">
        <f t="shared" si="19"/>
        <v>Nelson</v>
      </c>
      <c r="AI66" t="str">
        <f t="shared" si="20"/>
        <v>Velodrome</v>
      </c>
      <c r="AJ66" s="18">
        <f t="shared" si="11"/>
        <v>0</v>
      </c>
      <c r="AP66" s="18">
        <f t="shared" si="12"/>
        <v>0</v>
      </c>
      <c r="AQ66">
        <f t="shared" si="13"/>
        <v>0</v>
      </c>
      <c r="AR66" s="23">
        <f t="shared" si="14"/>
        <v>39</v>
      </c>
      <c r="AS66">
        <f t="shared" si="21"/>
        <v>34</v>
      </c>
      <c r="AT66" s="21">
        <f t="shared" si="22"/>
        <v>39</v>
      </c>
      <c r="AU66" s="21"/>
      <c r="AV66" s="21"/>
      <c r="AW66" s="21"/>
    </row>
    <row r="67" spans="1:49" x14ac:dyDescent="0.2">
      <c r="A67">
        <v>29</v>
      </c>
      <c r="E67">
        <f t="shared" si="15"/>
        <v>1</v>
      </c>
      <c r="J67" t="str">
        <f t="shared" si="25"/>
        <v>17</v>
      </c>
      <c r="K67" t="str">
        <f t="shared" si="26"/>
        <v>21</v>
      </c>
      <c r="L67" t="str">
        <f t="shared" si="27"/>
        <v/>
      </c>
      <c r="M67" s="6" t="str">
        <f t="shared" si="28"/>
        <v/>
      </c>
      <c r="N67" t="str">
        <f t="shared" si="24"/>
        <v>Away</v>
      </c>
      <c r="O67">
        <v>15</v>
      </c>
      <c r="P67" t="s">
        <v>425</v>
      </c>
      <c r="Y67" t="str">
        <f t="shared" ref="Y67:Y130" si="29">IF($N67="","",IF(X67="","",IF($N67="Home",$X67,IF($X67="n","n",IF($X67="d","o",IF($X67="o","d",""))))))</f>
        <v/>
      </c>
      <c r="Z67" t="str">
        <f t="shared" ref="Z67:Z130" si="30">IF($N67="","",IF(X67="","",IF($N67="Away",$X67,IF($X67="n","n",IF($X67="d","o",IF($X67="o","d",""))))))</f>
        <v/>
      </c>
      <c r="AC67" t="str">
        <f t="shared" ref="AC67:AC130" si="31">IF(Q67&lt;&gt;"",Q67,IF($A67=$A66,AC66,""))</f>
        <v>Pass</v>
      </c>
      <c r="AD67" t="str">
        <f t="shared" ref="AD67:AD130" si="32">IF(R67&lt;&gt;"",R67,IF($A67=$A66,AD66,""))</f>
        <v>Pass_Completed</v>
      </c>
      <c r="AE67" t="str">
        <f t="shared" ref="AE67:AE130" si="33">IF(S67&lt;&gt;"",S67,IF($A67=$A66,AE66,""))</f>
        <v>Pass-Forehand</v>
      </c>
      <c r="AF67" t="str">
        <f t="shared" ref="AF67:AF130" si="34">IF(AND(P67="e",OR(AC67="Save",AD67="Turnover_Takeaway",AD67="Play_Defensive")),"Defensive",IF(AND(P67="o",OR(AC67="Save",AD67="Turnover_Takeaway",AD67="Play_Defensive")),"Offensive",IF(OR(AC67="Deadice",AC67="Stoppage",AC67="Intermission"),"",IF(P67="e","Offensive",IF(P67="o","Defensive","")))))</f>
        <v>Defensive</v>
      </c>
      <c r="AG67">
        <f t="shared" si="18"/>
        <v>18981</v>
      </c>
      <c r="AH67" t="str">
        <f t="shared" si="19"/>
        <v>Nelson</v>
      </c>
      <c r="AI67" t="str">
        <f t="shared" si="20"/>
        <v>Velodrome</v>
      </c>
      <c r="AJ67" s="18">
        <f t="shared" ref="AJ67:AJ130" si="35">IF(AND(L67="",M67=""),0,((J67*60)+K67)-((L67*60)+M67))</f>
        <v>0</v>
      </c>
      <c r="AP67" s="18">
        <f t="shared" ref="AP67:AP130" si="36">SUMIFS(AJ67:AJ67,Q67:Q67,"=Intermission")</f>
        <v>0</v>
      </c>
      <c r="AQ67">
        <f t="shared" ref="AQ67:AQ130" si="37">IF(E67=1,0,IF(E67=2,1080+AP67,IF(E67=3,(1080*2)+AP67,0)))</f>
        <v>0</v>
      </c>
      <c r="AR67" s="23">
        <f t="shared" ref="AR67:AR130" si="38">IF(Q67="Intermission",AR66,((1080)-((J67*60)+K67))+AQ67)</f>
        <v>39</v>
      </c>
      <c r="AS67">
        <f t="shared" si="21"/>
        <v>34</v>
      </c>
      <c r="AT67" s="21">
        <f t="shared" si="22"/>
        <v>39</v>
      </c>
      <c r="AU67" s="21"/>
      <c r="AV67" s="21"/>
      <c r="AW67" s="21"/>
    </row>
    <row r="68" spans="1:49" x14ac:dyDescent="0.2">
      <c r="A68">
        <v>30</v>
      </c>
      <c r="E68">
        <f t="shared" ref="E68:E131" si="39">IF(Q68="Intermission",E67+1,E67)</f>
        <v>1</v>
      </c>
      <c r="F68" s="5" t="s">
        <v>472</v>
      </c>
      <c r="G68" s="5" t="s">
        <v>493</v>
      </c>
      <c r="H68" s="5" t="s">
        <v>472</v>
      </c>
      <c r="I68" s="7" t="s">
        <v>491</v>
      </c>
      <c r="J68" t="str">
        <f t="shared" si="25"/>
        <v>17</v>
      </c>
      <c r="K68" t="str">
        <f t="shared" si="26"/>
        <v>21</v>
      </c>
      <c r="L68" t="str">
        <f t="shared" si="27"/>
        <v>17</v>
      </c>
      <c r="M68" s="6" t="str">
        <f t="shared" si="28"/>
        <v>19</v>
      </c>
      <c r="N68" t="s">
        <v>179</v>
      </c>
      <c r="O68">
        <v>87</v>
      </c>
      <c r="P68" t="s">
        <v>424</v>
      </c>
      <c r="Q68" t="s">
        <v>15</v>
      </c>
      <c r="Y68" t="str">
        <f t="shared" si="29"/>
        <v/>
      </c>
      <c r="Z68" t="str">
        <f t="shared" si="30"/>
        <v/>
      </c>
      <c r="AC68" t="str">
        <f t="shared" si="31"/>
        <v>Possession</v>
      </c>
      <c r="AD68" t="str">
        <f t="shared" si="32"/>
        <v/>
      </c>
      <c r="AE68" t="str">
        <f t="shared" si="33"/>
        <v/>
      </c>
      <c r="AF68" t="str">
        <f t="shared" si="34"/>
        <v>Offensive</v>
      </c>
      <c r="AG68">
        <f t="shared" ref="AG68:AG131" si="40">AG67</f>
        <v>18981</v>
      </c>
      <c r="AH68" t="str">
        <f t="shared" ref="AH68:AH131" si="41">AH67</f>
        <v>Nelson</v>
      </c>
      <c r="AI68" t="str">
        <f t="shared" ref="AI68:AI131" si="42">AI67</f>
        <v>Velodrome</v>
      </c>
      <c r="AJ68" s="18">
        <f t="shared" si="35"/>
        <v>2</v>
      </c>
      <c r="AP68" s="18">
        <f t="shared" si="36"/>
        <v>0</v>
      </c>
      <c r="AQ68">
        <f t="shared" si="37"/>
        <v>0</v>
      </c>
      <c r="AR68" s="23">
        <f t="shared" si="38"/>
        <v>39</v>
      </c>
      <c r="AS68">
        <f t="shared" ref="AS68:AS131" si="43">IF(AR68&lt;5,0,AR68-5)</f>
        <v>34</v>
      </c>
      <c r="AT68" s="21">
        <f t="shared" ref="AT68:AT131" si="44">AS68+AJ68+5</f>
        <v>41</v>
      </c>
      <c r="AU68" s="21"/>
      <c r="AV68" s="21"/>
      <c r="AW68" s="21"/>
    </row>
    <row r="69" spans="1:49" x14ac:dyDescent="0.2">
      <c r="A69">
        <v>30</v>
      </c>
      <c r="E69">
        <f t="shared" si="39"/>
        <v>1</v>
      </c>
      <c r="J69" t="str">
        <f t="shared" si="25"/>
        <v>17</v>
      </c>
      <c r="K69" t="str">
        <f t="shared" si="26"/>
        <v>21</v>
      </c>
      <c r="L69" t="str">
        <f t="shared" si="27"/>
        <v>17</v>
      </c>
      <c r="M69" s="6" t="str">
        <f t="shared" si="28"/>
        <v>19</v>
      </c>
      <c r="N69" t="str">
        <f t="shared" si="24"/>
        <v>Away</v>
      </c>
      <c r="O69">
        <v>15</v>
      </c>
      <c r="P69" t="s">
        <v>425</v>
      </c>
      <c r="Y69" t="str">
        <f t="shared" si="29"/>
        <v/>
      </c>
      <c r="Z69" t="str">
        <f t="shared" si="30"/>
        <v/>
      </c>
      <c r="AC69" t="str">
        <f t="shared" si="31"/>
        <v>Possession</v>
      </c>
      <c r="AD69" t="str">
        <f t="shared" si="32"/>
        <v/>
      </c>
      <c r="AE69" t="str">
        <f t="shared" si="33"/>
        <v/>
      </c>
      <c r="AF69" t="str">
        <f t="shared" si="34"/>
        <v>Defensive</v>
      </c>
      <c r="AG69">
        <f t="shared" si="40"/>
        <v>18981</v>
      </c>
      <c r="AH69" t="str">
        <f t="shared" si="41"/>
        <v>Nelson</v>
      </c>
      <c r="AI69" t="str">
        <f t="shared" si="42"/>
        <v>Velodrome</v>
      </c>
      <c r="AJ69" s="18">
        <f t="shared" si="35"/>
        <v>2</v>
      </c>
      <c r="AP69" s="18">
        <f t="shared" si="36"/>
        <v>0</v>
      </c>
      <c r="AQ69">
        <f t="shared" si="37"/>
        <v>0</v>
      </c>
      <c r="AR69" s="23">
        <f t="shared" si="38"/>
        <v>39</v>
      </c>
      <c r="AS69">
        <f t="shared" si="43"/>
        <v>34</v>
      </c>
      <c r="AT69" s="21">
        <f t="shared" si="44"/>
        <v>41</v>
      </c>
      <c r="AU69" s="21"/>
      <c r="AV69" s="21"/>
      <c r="AW69" s="21"/>
    </row>
    <row r="70" spans="1:49" x14ac:dyDescent="0.2">
      <c r="A70">
        <v>31</v>
      </c>
      <c r="E70">
        <f t="shared" si="39"/>
        <v>1</v>
      </c>
      <c r="F70" s="5" t="s">
        <v>472</v>
      </c>
      <c r="G70" s="5" t="s">
        <v>491</v>
      </c>
      <c r="J70" t="str">
        <f t="shared" si="25"/>
        <v>17</v>
      </c>
      <c r="K70" t="str">
        <f t="shared" si="26"/>
        <v>19</v>
      </c>
      <c r="L70" t="str">
        <f t="shared" si="27"/>
        <v/>
      </c>
      <c r="M70" s="6" t="str">
        <f t="shared" si="28"/>
        <v/>
      </c>
      <c r="N70" t="s">
        <v>179</v>
      </c>
      <c r="O70">
        <v>87</v>
      </c>
      <c r="P70" t="s">
        <v>424</v>
      </c>
      <c r="Q70" t="s">
        <v>8</v>
      </c>
      <c r="R70" t="s">
        <v>209</v>
      </c>
      <c r="S70" t="s">
        <v>70</v>
      </c>
      <c r="Y70" t="str">
        <f t="shared" si="29"/>
        <v/>
      </c>
      <c r="Z70" t="str">
        <f t="shared" si="30"/>
        <v/>
      </c>
      <c r="AC70" t="str">
        <f t="shared" si="31"/>
        <v>Pass</v>
      </c>
      <c r="AD70" t="str">
        <f t="shared" si="32"/>
        <v>Pass_Deflected</v>
      </c>
      <c r="AE70" t="str">
        <f t="shared" si="33"/>
        <v>Pass-Forehand</v>
      </c>
      <c r="AF70" t="str">
        <f t="shared" si="34"/>
        <v>Offensive</v>
      </c>
      <c r="AG70">
        <f t="shared" si="40"/>
        <v>18981</v>
      </c>
      <c r="AH70" t="str">
        <f t="shared" si="41"/>
        <v>Nelson</v>
      </c>
      <c r="AI70" t="str">
        <f t="shared" si="42"/>
        <v>Velodrome</v>
      </c>
      <c r="AJ70" s="18">
        <f t="shared" si="35"/>
        <v>0</v>
      </c>
      <c r="AP70" s="18">
        <f t="shared" si="36"/>
        <v>0</v>
      </c>
      <c r="AQ70">
        <f t="shared" si="37"/>
        <v>0</v>
      </c>
      <c r="AR70" s="23">
        <f t="shared" si="38"/>
        <v>41</v>
      </c>
      <c r="AS70">
        <f t="shared" si="43"/>
        <v>36</v>
      </c>
      <c r="AT70" s="21">
        <f t="shared" si="44"/>
        <v>41</v>
      </c>
      <c r="AU70" s="21"/>
      <c r="AV70" s="21"/>
      <c r="AW70" s="21"/>
    </row>
    <row r="71" spans="1:49" x14ac:dyDescent="0.2">
      <c r="A71">
        <v>31</v>
      </c>
      <c r="E71">
        <f t="shared" si="39"/>
        <v>1</v>
      </c>
      <c r="J71" t="str">
        <f t="shared" si="25"/>
        <v>17</v>
      </c>
      <c r="K71" t="str">
        <f t="shared" si="26"/>
        <v>19</v>
      </c>
      <c r="L71" t="str">
        <f t="shared" si="27"/>
        <v/>
      </c>
      <c r="M71" s="6" t="str">
        <f t="shared" si="28"/>
        <v/>
      </c>
      <c r="N71" t="str">
        <f t="shared" ref="N71:N133" si="45">IF(A71=A70,N70,"")</f>
        <v>Away</v>
      </c>
      <c r="O71">
        <v>15</v>
      </c>
      <c r="P71" t="s">
        <v>425</v>
      </c>
      <c r="Y71" t="str">
        <f t="shared" si="29"/>
        <v/>
      </c>
      <c r="Z71" t="str">
        <f t="shared" si="30"/>
        <v/>
      </c>
      <c r="AC71" t="str">
        <f t="shared" si="31"/>
        <v>Pass</v>
      </c>
      <c r="AD71" t="str">
        <f t="shared" si="32"/>
        <v>Pass_Deflected</v>
      </c>
      <c r="AE71" t="str">
        <f t="shared" si="33"/>
        <v>Pass-Forehand</v>
      </c>
      <c r="AF71" t="str">
        <f t="shared" si="34"/>
        <v>Defensive</v>
      </c>
      <c r="AG71">
        <f t="shared" si="40"/>
        <v>18981</v>
      </c>
      <c r="AH71" t="str">
        <f t="shared" si="41"/>
        <v>Nelson</v>
      </c>
      <c r="AI71" t="str">
        <f t="shared" si="42"/>
        <v>Velodrome</v>
      </c>
      <c r="AJ71" s="18">
        <f t="shared" si="35"/>
        <v>0</v>
      </c>
      <c r="AP71" s="18">
        <f t="shared" si="36"/>
        <v>0</v>
      </c>
      <c r="AQ71">
        <f t="shared" si="37"/>
        <v>0</v>
      </c>
      <c r="AR71" s="23">
        <f t="shared" si="38"/>
        <v>41</v>
      </c>
      <c r="AS71">
        <f t="shared" si="43"/>
        <v>36</v>
      </c>
      <c r="AT71" s="21">
        <f t="shared" si="44"/>
        <v>41</v>
      </c>
      <c r="AU71" s="21"/>
      <c r="AV71" s="21"/>
      <c r="AW71" s="21"/>
    </row>
    <row r="72" spans="1:49" x14ac:dyDescent="0.2">
      <c r="A72">
        <v>32</v>
      </c>
      <c r="E72">
        <f t="shared" si="39"/>
        <v>1</v>
      </c>
      <c r="F72" s="5" t="s">
        <v>472</v>
      </c>
      <c r="G72" s="5" t="s">
        <v>472</v>
      </c>
      <c r="J72" t="str">
        <f t="shared" si="25"/>
        <v>17</v>
      </c>
      <c r="K72" t="str">
        <f t="shared" si="26"/>
        <v>17</v>
      </c>
      <c r="L72" t="str">
        <f t="shared" si="27"/>
        <v/>
      </c>
      <c r="M72" s="6" t="str">
        <f t="shared" si="28"/>
        <v/>
      </c>
      <c r="N72" t="s">
        <v>179</v>
      </c>
      <c r="O72">
        <v>84</v>
      </c>
      <c r="P72" t="s">
        <v>424</v>
      </c>
      <c r="Q72" t="s">
        <v>277</v>
      </c>
      <c r="R72" t="s">
        <v>210</v>
      </c>
      <c r="S72" t="s">
        <v>93</v>
      </c>
      <c r="Y72" t="str">
        <f t="shared" si="29"/>
        <v/>
      </c>
      <c r="Z72" t="str">
        <f t="shared" si="30"/>
        <v/>
      </c>
      <c r="AC72" t="str">
        <f t="shared" si="31"/>
        <v>Zone_Entry_Exit</v>
      </c>
      <c r="AD72" t="str">
        <f t="shared" si="32"/>
        <v>Zone_Keepin</v>
      </c>
      <c r="AE72" t="str">
        <f t="shared" si="33"/>
        <v>Zone-KeepIn</v>
      </c>
      <c r="AF72" t="str">
        <f t="shared" si="34"/>
        <v>Offensive</v>
      </c>
      <c r="AG72">
        <f t="shared" si="40"/>
        <v>18981</v>
      </c>
      <c r="AH72" t="str">
        <f t="shared" si="41"/>
        <v>Nelson</v>
      </c>
      <c r="AI72" t="str">
        <f t="shared" si="42"/>
        <v>Velodrome</v>
      </c>
      <c r="AJ72" s="18">
        <f t="shared" si="35"/>
        <v>0</v>
      </c>
      <c r="AP72" s="18">
        <f t="shared" si="36"/>
        <v>0</v>
      </c>
      <c r="AQ72">
        <f t="shared" si="37"/>
        <v>0</v>
      </c>
      <c r="AR72" s="23">
        <f t="shared" si="38"/>
        <v>43</v>
      </c>
      <c r="AS72">
        <f t="shared" si="43"/>
        <v>38</v>
      </c>
      <c r="AT72" s="21">
        <f t="shared" si="44"/>
        <v>43</v>
      </c>
      <c r="AU72" s="21"/>
      <c r="AV72" s="21"/>
      <c r="AW72" s="21"/>
    </row>
    <row r="73" spans="1:49" x14ac:dyDescent="0.2">
      <c r="A73">
        <v>32</v>
      </c>
      <c r="E73">
        <f t="shared" si="39"/>
        <v>1</v>
      </c>
      <c r="J73" t="str">
        <f t="shared" ref="J73:J136" si="46">IF(F73&lt;&gt;"",F73,IF($A73=$A72,J72,J73))</f>
        <v>17</v>
      </c>
      <c r="K73" t="str">
        <f t="shared" ref="K73:K136" si="47">IF($A73=$A72,K72,G73)</f>
        <v>17</v>
      </c>
      <c r="L73" t="str">
        <f t="shared" ref="L73:L136" si="48">IF(H73&lt;&gt;"",H73,IF($A73=$A72,L72,""))</f>
        <v/>
      </c>
      <c r="M73" s="6" t="str">
        <f t="shared" ref="M73:M136" si="49">IF(I73&lt;&gt;"",I73,IF($A73=$A72,M72,""))</f>
        <v/>
      </c>
      <c r="N73" t="str">
        <f t="shared" si="45"/>
        <v>Away</v>
      </c>
      <c r="O73">
        <v>16</v>
      </c>
      <c r="P73" t="s">
        <v>425</v>
      </c>
      <c r="Y73" t="str">
        <f t="shared" si="29"/>
        <v/>
      </c>
      <c r="Z73" t="str">
        <f t="shared" si="30"/>
        <v/>
      </c>
      <c r="AC73" t="str">
        <f t="shared" si="31"/>
        <v>Zone_Entry_Exit</v>
      </c>
      <c r="AD73" t="str">
        <f t="shared" si="32"/>
        <v>Zone_Keepin</v>
      </c>
      <c r="AE73" t="str">
        <f t="shared" si="33"/>
        <v>Zone-KeepIn</v>
      </c>
      <c r="AF73" t="str">
        <f t="shared" si="34"/>
        <v>Defensive</v>
      </c>
      <c r="AG73">
        <f t="shared" si="40"/>
        <v>18981</v>
      </c>
      <c r="AH73" t="str">
        <f t="shared" si="41"/>
        <v>Nelson</v>
      </c>
      <c r="AI73" t="str">
        <f t="shared" si="42"/>
        <v>Velodrome</v>
      </c>
      <c r="AJ73" s="18">
        <f t="shared" si="35"/>
        <v>0</v>
      </c>
      <c r="AP73" s="18">
        <f t="shared" si="36"/>
        <v>0</v>
      </c>
      <c r="AQ73">
        <f t="shared" si="37"/>
        <v>0</v>
      </c>
      <c r="AR73" s="23">
        <f t="shared" si="38"/>
        <v>43</v>
      </c>
      <c r="AS73">
        <f t="shared" si="43"/>
        <v>38</v>
      </c>
      <c r="AT73" s="21">
        <f t="shared" si="44"/>
        <v>43</v>
      </c>
      <c r="AU73" s="21"/>
      <c r="AV73" s="21"/>
      <c r="AW73" s="21"/>
    </row>
    <row r="74" spans="1:49" x14ac:dyDescent="0.2">
      <c r="A74">
        <v>33</v>
      </c>
      <c r="E74">
        <f t="shared" si="39"/>
        <v>1</v>
      </c>
      <c r="F74" s="5" t="s">
        <v>472</v>
      </c>
      <c r="G74" s="5" t="s">
        <v>477</v>
      </c>
      <c r="J74" t="str">
        <f t="shared" si="46"/>
        <v>17</v>
      </c>
      <c r="K74" t="str">
        <f t="shared" si="47"/>
        <v>16</v>
      </c>
      <c r="L74" t="str">
        <f t="shared" si="48"/>
        <v/>
      </c>
      <c r="M74" s="6" t="str">
        <f t="shared" si="49"/>
        <v/>
      </c>
      <c r="N74" t="s">
        <v>178</v>
      </c>
      <c r="O74">
        <v>15</v>
      </c>
      <c r="P74" t="s">
        <v>424</v>
      </c>
      <c r="Q74" t="s">
        <v>277</v>
      </c>
      <c r="R74" t="s">
        <v>201</v>
      </c>
      <c r="S74" t="s">
        <v>92</v>
      </c>
      <c r="Y74" t="str">
        <f t="shared" si="29"/>
        <v/>
      </c>
      <c r="Z74" t="str">
        <f t="shared" si="30"/>
        <v/>
      </c>
      <c r="AC74" t="str">
        <f t="shared" si="31"/>
        <v>Zone_Entry_Exit</v>
      </c>
      <c r="AD74" t="str">
        <f t="shared" si="32"/>
        <v>Zone_Exit</v>
      </c>
      <c r="AE74" t="str">
        <f t="shared" si="33"/>
        <v>ZoneExit-Clear</v>
      </c>
      <c r="AF74" t="str">
        <f t="shared" si="34"/>
        <v>Offensive</v>
      </c>
      <c r="AG74">
        <f t="shared" si="40"/>
        <v>18981</v>
      </c>
      <c r="AH74" t="str">
        <f t="shared" si="41"/>
        <v>Nelson</v>
      </c>
      <c r="AI74" t="str">
        <f t="shared" si="42"/>
        <v>Velodrome</v>
      </c>
      <c r="AJ74" s="18">
        <f t="shared" si="35"/>
        <v>0</v>
      </c>
      <c r="AP74" s="18">
        <f t="shared" si="36"/>
        <v>0</v>
      </c>
      <c r="AQ74">
        <f t="shared" si="37"/>
        <v>0</v>
      </c>
      <c r="AR74" s="23">
        <f t="shared" si="38"/>
        <v>44</v>
      </c>
      <c r="AS74">
        <f t="shared" si="43"/>
        <v>39</v>
      </c>
      <c r="AT74" s="21">
        <f t="shared" si="44"/>
        <v>44</v>
      </c>
      <c r="AU74" s="21"/>
      <c r="AV74" s="21"/>
      <c r="AW74" s="21"/>
    </row>
    <row r="75" spans="1:49" x14ac:dyDescent="0.2">
      <c r="A75">
        <v>33</v>
      </c>
      <c r="E75">
        <f t="shared" si="39"/>
        <v>1</v>
      </c>
      <c r="J75" t="str">
        <f t="shared" si="46"/>
        <v>17</v>
      </c>
      <c r="K75" t="str">
        <f t="shared" si="47"/>
        <v>16</v>
      </c>
      <c r="L75" t="str">
        <f t="shared" si="48"/>
        <v/>
      </c>
      <c r="M75" s="6" t="str">
        <f t="shared" si="49"/>
        <v/>
      </c>
      <c r="N75" t="str">
        <f t="shared" si="45"/>
        <v>Home</v>
      </c>
      <c r="O75">
        <v>84</v>
      </c>
      <c r="P75" t="s">
        <v>425</v>
      </c>
      <c r="Y75" t="str">
        <f t="shared" si="29"/>
        <v/>
      </c>
      <c r="Z75" t="str">
        <f t="shared" si="30"/>
        <v/>
      </c>
      <c r="AC75" t="str">
        <f t="shared" si="31"/>
        <v>Zone_Entry_Exit</v>
      </c>
      <c r="AD75" t="str">
        <f t="shared" si="32"/>
        <v>Zone_Exit</v>
      </c>
      <c r="AE75" t="str">
        <f t="shared" si="33"/>
        <v>ZoneExit-Clear</v>
      </c>
      <c r="AF75" t="str">
        <f t="shared" si="34"/>
        <v>Defensive</v>
      </c>
      <c r="AG75">
        <f t="shared" si="40"/>
        <v>18981</v>
      </c>
      <c r="AH75" t="str">
        <f t="shared" si="41"/>
        <v>Nelson</v>
      </c>
      <c r="AI75" t="str">
        <f t="shared" si="42"/>
        <v>Velodrome</v>
      </c>
      <c r="AJ75" s="18">
        <f t="shared" si="35"/>
        <v>0</v>
      </c>
      <c r="AP75" s="18">
        <f t="shared" si="36"/>
        <v>0</v>
      </c>
      <c r="AQ75">
        <f t="shared" si="37"/>
        <v>0</v>
      </c>
      <c r="AR75" s="23">
        <f t="shared" si="38"/>
        <v>44</v>
      </c>
      <c r="AS75">
        <f t="shared" si="43"/>
        <v>39</v>
      </c>
      <c r="AT75" s="21">
        <f t="shared" si="44"/>
        <v>44</v>
      </c>
      <c r="AU75" s="21"/>
      <c r="AV75" s="21"/>
      <c r="AW75" s="21"/>
    </row>
    <row r="76" spans="1:49" x14ac:dyDescent="0.2">
      <c r="A76">
        <v>34</v>
      </c>
      <c r="E76">
        <f t="shared" si="39"/>
        <v>1</v>
      </c>
      <c r="F76" s="5" t="s">
        <v>472</v>
      </c>
      <c r="G76" s="5" t="s">
        <v>487</v>
      </c>
      <c r="J76" t="str">
        <f t="shared" si="46"/>
        <v>17</v>
      </c>
      <c r="K76" t="str">
        <f t="shared" si="47"/>
        <v>12</v>
      </c>
      <c r="L76" t="str">
        <f t="shared" si="48"/>
        <v/>
      </c>
      <c r="M76" s="6" t="str">
        <f t="shared" si="49"/>
        <v/>
      </c>
      <c r="N76" t="s">
        <v>178</v>
      </c>
      <c r="O76">
        <v>15</v>
      </c>
      <c r="P76" t="s">
        <v>424</v>
      </c>
      <c r="Q76" t="s">
        <v>277</v>
      </c>
      <c r="R76" t="s">
        <v>191</v>
      </c>
      <c r="S76" t="s">
        <v>432</v>
      </c>
      <c r="Y76" t="str">
        <f t="shared" si="29"/>
        <v/>
      </c>
      <c r="Z76" t="str">
        <f t="shared" si="30"/>
        <v/>
      </c>
      <c r="AC76" t="str">
        <f t="shared" si="31"/>
        <v>Zone_Entry_Exit</v>
      </c>
      <c r="AD76" t="str">
        <f t="shared" si="32"/>
        <v>Zone_Entry</v>
      </c>
      <c r="AE76" t="str">
        <f t="shared" si="33"/>
        <v>ZoneEntry-FromExitClear</v>
      </c>
      <c r="AF76" t="str">
        <f t="shared" si="34"/>
        <v>Offensive</v>
      </c>
      <c r="AG76">
        <f t="shared" si="40"/>
        <v>18981</v>
      </c>
      <c r="AH76" t="str">
        <f t="shared" si="41"/>
        <v>Nelson</v>
      </c>
      <c r="AI76" t="str">
        <f t="shared" si="42"/>
        <v>Velodrome</v>
      </c>
      <c r="AJ76" s="18">
        <f t="shared" si="35"/>
        <v>0</v>
      </c>
      <c r="AP76" s="18">
        <f t="shared" si="36"/>
        <v>0</v>
      </c>
      <c r="AQ76">
        <f t="shared" si="37"/>
        <v>0</v>
      </c>
      <c r="AR76" s="23">
        <f t="shared" si="38"/>
        <v>48</v>
      </c>
      <c r="AS76">
        <f t="shared" si="43"/>
        <v>43</v>
      </c>
      <c r="AT76" s="21">
        <f t="shared" si="44"/>
        <v>48</v>
      </c>
      <c r="AU76" s="21"/>
      <c r="AV76" s="21"/>
      <c r="AW76" s="21"/>
    </row>
    <row r="77" spans="1:49" x14ac:dyDescent="0.2">
      <c r="A77">
        <v>35</v>
      </c>
      <c r="E77">
        <f t="shared" si="39"/>
        <v>1</v>
      </c>
      <c r="F77" s="5" t="s">
        <v>472</v>
      </c>
      <c r="G77" s="5" t="s">
        <v>485</v>
      </c>
      <c r="J77" t="str">
        <f t="shared" si="46"/>
        <v>17</v>
      </c>
      <c r="K77" t="str">
        <f t="shared" si="47"/>
        <v>10</v>
      </c>
      <c r="L77" t="str">
        <f t="shared" si="48"/>
        <v/>
      </c>
      <c r="M77" s="6" t="str">
        <f t="shared" si="49"/>
        <v/>
      </c>
      <c r="N77" t="s">
        <v>178</v>
      </c>
      <c r="O77">
        <v>15</v>
      </c>
      <c r="P77" t="s">
        <v>424</v>
      </c>
      <c r="Q77" t="s">
        <v>10</v>
      </c>
      <c r="R77" t="s">
        <v>190</v>
      </c>
      <c r="S77" t="s">
        <v>411</v>
      </c>
      <c r="Y77" t="str">
        <f t="shared" si="29"/>
        <v/>
      </c>
      <c r="Z77" t="str">
        <f t="shared" si="30"/>
        <v/>
      </c>
      <c r="AC77" t="str">
        <f t="shared" si="31"/>
        <v>Turnover</v>
      </c>
      <c r="AD77" t="str">
        <f t="shared" si="32"/>
        <v>Turnover_Giveaway</v>
      </c>
      <c r="AE77" t="str">
        <f t="shared" si="33"/>
        <v>Giveaway-ZoneClear/Dump</v>
      </c>
      <c r="AF77" t="str">
        <f t="shared" si="34"/>
        <v>Offensive</v>
      </c>
      <c r="AG77">
        <f t="shared" si="40"/>
        <v>18981</v>
      </c>
      <c r="AH77" t="str">
        <f t="shared" si="41"/>
        <v>Nelson</v>
      </c>
      <c r="AI77" t="str">
        <f t="shared" si="42"/>
        <v>Velodrome</v>
      </c>
      <c r="AJ77" s="18">
        <f t="shared" si="35"/>
        <v>0</v>
      </c>
      <c r="AP77" s="18">
        <f t="shared" si="36"/>
        <v>0</v>
      </c>
      <c r="AQ77">
        <f t="shared" si="37"/>
        <v>0</v>
      </c>
      <c r="AR77" s="23">
        <f t="shared" si="38"/>
        <v>50</v>
      </c>
      <c r="AS77">
        <f t="shared" si="43"/>
        <v>45</v>
      </c>
      <c r="AT77" s="21">
        <f t="shared" si="44"/>
        <v>50</v>
      </c>
      <c r="AU77" s="21"/>
      <c r="AV77" s="21"/>
      <c r="AW77" s="21"/>
    </row>
    <row r="78" spans="1:49" x14ac:dyDescent="0.2">
      <c r="A78">
        <v>36</v>
      </c>
      <c r="E78">
        <f t="shared" si="39"/>
        <v>1</v>
      </c>
      <c r="F78" s="5" t="s">
        <v>472</v>
      </c>
      <c r="G78" s="5" t="s">
        <v>485</v>
      </c>
      <c r="H78" s="5" t="s">
        <v>472</v>
      </c>
      <c r="I78" s="7" t="s">
        <v>476</v>
      </c>
      <c r="J78" t="str">
        <f t="shared" si="46"/>
        <v>17</v>
      </c>
      <c r="K78" t="str">
        <f t="shared" si="47"/>
        <v>10</v>
      </c>
      <c r="L78" t="str">
        <f t="shared" si="48"/>
        <v>17</v>
      </c>
      <c r="M78" s="6" t="str">
        <f t="shared" si="49"/>
        <v>06</v>
      </c>
      <c r="N78" t="s">
        <v>179</v>
      </c>
      <c r="O78">
        <v>70</v>
      </c>
      <c r="P78" t="s">
        <v>424</v>
      </c>
      <c r="Q78" t="s">
        <v>15</v>
      </c>
      <c r="Y78" t="str">
        <f t="shared" si="29"/>
        <v/>
      </c>
      <c r="Z78" t="str">
        <f t="shared" si="30"/>
        <v/>
      </c>
      <c r="AC78" t="str">
        <f t="shared" si="31"/>
        <v>Possession</v>
      </c>
      <c r="AD78" t="str">
        <f t="shared" si="32"/>
        <v/>
      </c>
      <c r="AE78" t="str">
        <f t="shared" si="33"/>
        <v/>
      </c>
      <c r="AF78" t="str">
        <f t="shared" si="34"/>
        <v>Offensive</v>
      </c>
      <c r="AG78">
        <f t="shared" si="40"/>
        <v>18981</v>
      </c>
      <c r="AH78" t="str">
        <f t="shared" si="41"/>
        <v>Nelson</v>
      </c>
      <c r="AI78" t="str">
        <f t="shared" si="42"/>
        <v>Velodrome</v>
      </c>
      <c r="AJ78" s="18">
        <f t="shared" si="35"/>
        <v>4</v>
      </c>
      <c r="AP78" s="18">
        <f t="shared" si="36"/>
        <v>0</v>
      </c>
      <c r="AQ78">
        <f t="shared" si="37"/>
        <v>0</v>
      </c>
      <c r="AR78" s="23">
        <f t="shared" si="38"/>
        <v>50</v>
      </c>
      <c r="AS78">
        <f t="shared" si="43"/>
        <v>45</v>
      </c>
      <c r="AT78" s="21">
        <f t="shared" si="44"/>
        <v>54</v>
      </c>
      <c r="AU78" s="21"/>
      <c r="AV78" s="21"/>
      <c r="AW78" s="21"/>
    </row>
    <row r="79" spans="1:49" x14ac:dyDescent="0.2">
      <c r="A79">
        <v>37</v>
      </c>
      <c r="E79">
        <f t="shared" si="39"/>
        <v>1</v>
      </c>
      <c r="F79" s="5" t="s">
        <v>472</v>
      </c>
      <c r="G79" s="5" t="s">
        <v>476</v>
      </c>
      <c r="J79" t="str">
        <f t="shared" si="46"/>
        <v>17</v>
      </c>
      <c r="K79" t="str">
        <f t="shared" si="47"/>
        <v>06</v>
      </c>
      <c r="L79" t="str">
        <f t="shared" si="48"/>
        <v/>
      </c>
      <c r="M79" s="6" t="str">
        <f t="shared" si="49"/>
        <v/>
      </c>
      <c r="N79" t="s">
        <v>179</v>
      </c>
      <c r="O79">
        <v>70</v>
      </c>
      <c r="P79" t="s">
        <v>424</v>
      </c>
      <c r="Q79" t="s">
        <v>277</v>
      </c>
      <c r="R79" t="s">
        <v>201</v>
      </c>
      <c r="S79" t="s">
        <v>437</v>
      </c>
      <c r="Y79" t="str">
        <f t="shared" si="29"/>
        <v/>
      </c>
      <c r="Z79" t="str">
        <f t="shared" si="30"/>
        <v/>
      </c>
      <c r="AC79" t="str">
        <f t="shared" si="31"/>
        <v>Zone_Entry_Exit</v>
      </c>
      <c r="AD79" t="str">
        <f t="shared" si="32"/>
        <v>Zone_Exit</v>
      </c>
      <c r="AE79" t="str">
        <f t="shared" si="33"/>
        <v>ZoneExit-Lob</v>
      </c>
      <c r="AF79" t="str">
        <f t="shared" si="34"/>
        <v>Offensive</v>
      </c>
      <c r="AG79">
        <f t="shared" si="40"/>
        <v>18981</v>
      </c>
      <c r="AH79" t="str">
        <f t="shared" si="41"/>
        <v>Nelson</v>
      </c>
      <c r="AI79" t="str">
        <f t="shared" si="42"/>
        <v>Velodrome</v>
      </c>
      <c r="AJ79" s="18">
        <f t="shared" si="35"/>
        <v>0</v>
      </c>
      <c r="AP79" s="18">
        <f t="shared" si="36"/>
        <v>0</v>
      </c>
      <c r="AQ79">
        <f t="shared" si="37"/>
        <v>0</v>
      </c>
      <c r="AR79" s="23">
        <f t="shared" si="38"/>
        <v>54</v>
      </c>
      <c r="AS79">
        <f t="shared" si="43"/>
        <v>49</v>
      </c>
      <c r="AT79" s="21">
        <f t="shared" si="44"/>
        <v>54</v>
      </c>
      <c r="AU79" s="21"/>
      <c r="AV79" s="21"/>
      <c r="AW79" s="21"/>
    </row>
    <row r="80" spans="1:49" x14ac:dyDescent="0.2">
      <c r="A80">
        <v>38</v>
      </c>
      <c r="E80">
        <f t="shared" si="39"/>
        <v>1</v>
      </c>
      <c r="F80" s="5" t="s">
        <v>472</v>
      </c>
      <c r="G80" s="5" t="s">
        <v>481</v>
      </c>
      <c r="J80" t="str">
        <f t="shared" si="46"/>
        <v>17</v>
      </c>
      <c r="K80" t="str">
        <f t="shared" si="47"/>
        <v>05</v>
      </c>
      <c r="L80" t="str">
        <f t="shared" si="48"/>
        <v/>
      </c>
      <c r="M80" s="6" t="str">
        <f t="shared" si="49"/>
        <v/>
      </c>
      <c r="N80" t="s">
        <v>179</v>
      </c>
      <c r="O80">
        <v>70</v>
      </c>
      <c r="P80" t="s">
        <v>424</v>
      </c>
      <c r="Q80" t="s">
        <v>277</v>
      </c>
      <c r="R80" t="s">
        <v>191</v>
      </c>
      <c r="S80" t="s">
        <v>432</v>
      </c>
      <c r="Y80" t="str">
        <f t="shared" si="29"/>
        <v/>
      </c>
      <c r="Z80" t="str">
        <f t="shared" si="30"/>
        <v/>
      </c>
      <c r="AC80" t="str">
        <f t="shared" si="31"/>
        <v>Zone_Entry_Exit</v>
      </c>
      <c r="AD80" t="str">
        <f t="shared" si="32"/>
        <v>Zone_Entry</v>
      </c>
      <c r="AE80" t="str">
        <f t="shared" si="33"/>
        <v>ZoneEntry-FromExitClear</v>
      </c>
      <c r="AF80" t="str">
        <f t="shared" si="34"/>
        <v>Offensive</v>
      </c>
      <c r="AG80">
        <f t="shared" si="40"/>
        <v>18981</v>
      </c>
      <c r="AH80" t="str">
        <f t="shared" si="41"/>
        <v>Nelson</v>
      </c>
      <c r="AI80" t="str">
        <f t="shared" si="42"/>
        <v>Velodrome</v>
      </c>
      <c r="AJ80" s="18">
        <f t="shared" si="35"/>
        <v>0</v>
      </c>
      <c r="AP80" s="18">
        <f t="shared" si="36"/>
        <v>0</v>
      </c>
      <c r="AQ80">
        <f t="shared" si="37"/>
        <v>0</v>
      </c>
      <c r="AR80" s="23">
        <f t="shared" si="38"/>
        <v>55</v>
      </c>
      <c r="AS80">
        <f t="shared" si="43"/>
        <v>50</v>
      </c>
      <c r="AT80" s="21">
        <f t="shared" si="44"/>
        <v>55</v>
      </c>
      <c r="AU80" s="21"/>
      <c r="AV80" s="21"/>
      <c r="AW80" s="21"/>
    </row>
    <row r="81" spans="1:49" x14ac:dyDescent="0.2">
      <c r="A81">
        <v>39</v>
      </c>
      <c r="E81">
        <f t="shared" si="39"/>
        <v>1</v>
      </c>
      <c r="F81" s="5" t="s">
        <v>472</v>
      </c>
      <c r="G81" s="5" t="s">
        <v>474</v>
      </c>
      <c r="J81" t="str">
        <f t="shared" si="46"/>
        <v>17</v>
      </c>
      <c r="K81" t="str">
        <f t="shared" si="47"/>
        <v>02</v>
      </c>
      <c r="L81" t="str">
        <f t="shared" si="48"/>
        <v/>
      </c>
      <c r="M81" s="6" t="str">
        <f t="shared" si="49"/>
        <v/>
      </c>
      <c r="N81" t="s">
        <v>179</v>
      </c>
      <c r="O81">
        <v>70</v>
      </c>
      <c r="P81" t="s">
        <v>424</v>
      </c>
      <c r="Q81" t="s">
        <v>13</v>
      </c>
      <c r="R81" t="s">
        <v>204</v>
      </c>
      <c r="S81" t="s">
        <v>108</v>
      </c>
      <c r="Y81" t="str">
        <f t="shared" si="29"/>
        <v/>
      </c>
      <c r="Z81" t="str">
        <f t="shared" si="30"/>
        <v/>
      </c>
      <c r="AC81" t="str">
        <f t="shared" si="31"/>
        <v>Stoppage</v>
      </c>
      <c r="AD81" t="str">
        <f t="shared" si="32"/>
        <v>Stoppage_Play</v>
      </c>
      <c r="AE81" t="str">
        <f t="shared" si="33"/>
        <v>Stoppage-Icing</v>
      </c>
      <c r="AF81" t="str">
        <f t="shared" si="34"/>
        <v/>
      </c>
      <c r="AG81">
        <f t="shared" si="40"/>
        <v>18981</v>
      </c>
      <c r="AH81" t="str">
        <f t="shared" si="41"/>
        <v>Nelson</v>
      </c>
      <c r="AI81" t="str">
        <f t="shared" si="42"/>
        <v>Velodrome</v>
      </c>
      <c r="AJ81" s="18">
        <f t="shared" si="35"/>
        <v>0</v>
      </c>
      <c r="AP81" s="18">
        <f t="shared" si="36"/>
        <v>0</v>
      </c>
      <c r="AQ81">
        <f t="shared" si="37"/>
        <v>0</v>
      </c>
      <c r="AR81" s="23">
        <f t="shared" si="38"/>
        <v>58</v>
      </c>
      <c r="AS81">
        <f t="shared" si="43"/>
        <v>53</v>
      </c>
      <c r="AT81" s="21">
        <f t="shared" si="44"/>
        <v>58</v>
      </c>
      <c r="AU81" s="21"/>
      <c r="AV81" s="21"/>
      <c r="AW81" s="21"/>
    </row>
    <row r="82" spans="1:49" x14ac:dyDescent="0.2">
      <c r="A82">
        <v>40</v>
      </c>
      <c r="E82">
        <f t="shared" si="39"/>
        <v>1</v>
      </c>
      <c r="F82" s="5" t="s">
        <v>472</v>
      </c>
      <c r="G82" s="5" t="s">
        <v>474</v>
      </c>
      <c r="H82" s="5" t="s">
        <v>477</v>
      </c>
      <c r="I82" s="7" t="s">
        <v>514</v>
      </c>
      <c r="J82" t="str">
        <f t="shared" si="46"/>
        <v>17</v>
      </c>
      <c r="K82" t="str">
        <f t="shared" si="47"/>
        <v>02</v>
      </c>
      <c r="L82" t="str">
        <f t="shared" si="48"/>
        <v>16</v>
      </c>
      <c r="M82" s="6" t="str">
        <f t="shared" si="49"/>
        <v>42</v>
      </c>
      <c r="N82" t="s">
        <v>179</v>
      </c>
      <c r="O82">
        <v>70</v>
      </c>
      <c r="P82" t="s">
        <v>424</v>
      </c>
      <c r="Q82" t="s">
        <v>282</v>
      </c>
      <c r="Y82" t="str">
        <f t="shared" si="29"/>
        <v/>
      </c>
      <c r="Z82" t="str">
        <f t="shared" si="30"/>
        <v/>
      </c>
      <c r="AC82" t="str">
        <f t="shared" si="31"/>
        <v>DeadIce</v>
      </c>
      <c r="AD82" t="str">
        <f t="shared" si="32"/>
        <v/>
      </c>
      <c r="AE82" t="str">
        <f t="shared" si="33"/>
        <v/>
      </c>
      <c r="AF82" t="str">
        <f t="shared" si="34"/>
        <v/>
      </c>
      <c r="AG82">
        <f t="shared" si="40"/>
        <v>18981</v>
      </c>
      <c r="AH82" t="str">
        <f t="shared" si="41"/>
        <v>Nelson</v>
      </c>
      <c r="AI82" t="str">
        <f t="shared" si="42"/>
        <v>Velodrome</v>
      </c>
      <c r="AJ82" s="18">
        <f t="shared" si="35"/>
        <v>20</v>
      </c>
      <c r="AP82" s="18">
        <f t="shared" si="36"/>
        <v>0</v>
      </c>
      <c r="AQ82">
        <f t="shared" si="37"/>
        <v>0</v>
      </c>
      <c r="AR82" s="23">
        <f t="shared" si="38"/>
        <v>58</v>
      </c>
      <c r="AS82">
        <f t="shared" si="43"/>
        <v>53</v>
      </c>
      <c r="AT82" s="21">
        <f t="shared" si="44"/>
        <v>78</v>
      </c>
      <c r="AU82" s="21"/>
      <c r="AV82" s="21"/>
      <c r="AW82" s="21"/>
    </row>
    <row r="83" spans="1:49" x14ac:dyDescent="0.2">
      <c r="A83">
        <v>41</v>
      </c>
      <c r="E83">
        <f t="shared" si="39"/>
        <v>1</v>
      </c>
      <c r="F83" s="5" t="s">
        <v>477</v>
      </c>
      <c r="G83" s="5" t="s">
        <v>514</v>
      </c>
      <c r="J83" t="str">
        <f t="shared" si="46"/>
        <v>16</v>
      </c>
      <c r="K83" t="str">
        <f t="shared" si="47"/>
        <v>42</v>
      </c>
      <c r="L83" t="str">
        <f t="shared" si="48"/>
        <v/>
      </c>
      <c r="M83" s="6" t="str">
        <f t="shared" si="49"/>
        <v/>
      </c>
      <c r="N83" t="s">
        <v>179</v>
      </c>
      <c r="O83">
        <v>42</v>
      </c>
      <c r="P83" t="s">
        <v>424</v>
      </c>
      <c r="Q83" t="s">
        <v>6</v>
      </c>
      <c r="R83" t="s">
        <v>275</v>
      </c>
      <c r="Y83" t="str">
        <f t="shared" si="29"/>
        <v/>
      </c>
      <c r="Z83" t="str">
        <f t="shared" si="30"/>
        <v/>
      </c>
      <c r="AC83" t="str">
        <f t="shared" si="31"/>
        <v>Faceoff</v>
      </c>
      <c r="AD83" t="str">
        <f t="shared" si="32"/>
        <v>Faceoff_AfterStoppage</v>
      </c>
      <c r="AE83" t="str">
        <f t="shared" si="33"/>
        <v/>
      </c>
      <c r="AF83" t="str">
        <f t="shared" si="34"/>
        <v>Offensive</v>
      </c>
      <c r="AG83">
        <f t="shared" si="40"/>
        <v>18981</v>
      </c>
      <c r="AH83" t="str">
        <f t="shared" si="41"/>
        <v>Nelson</v>
      </c>
      <c r="AI83" t="str">
        <f t="shared" si="42"/>
        <v>Velodrome</v>
      </c>
      <c r="AJ83" s="18">
        <f t="shared" si="35"/>
        <v>0</v>
      </c>
      <c r="AP83" s="18">
        <f t="shared" si="36"/>
        <v>0</v>
      </c>
      <c r="AQ83">
        <f t="shared" si="37"/>
        <v>0</v>
      </c>
      <c r="AR83" s="23">
        <f t="shared" si="38"/>
        <v>78</v>
      </c>
      <c r="AS83">
        <f t="shared" si="43"/>
        <v>73</v>
      </c>
      <c r="AT83" s="21">
        <f t="shared" si="44"/>
        <v>78</v>
      </c>
      <c r="AU83" s="21"/>
      <c r="AV83" s="21"/>
      <c r="AW83" s="21"/>
    </row>
    <row r="84" spans="1:49" x14ac:dyDescent="0.2">
      <c r="A84">
        <v>41</v>
      </c>
      <c r="E84">
        <f t="shared" si="39"/>
        <v>1</v>
      </c>
      <c r="J84" t="str">
        <f t="shared" si="46"/>
        <v>16</v>
      </c>
      <c r="K84" t="str">
        <f t="shared" si="47"/>
        <v>42</v>
      </c>
      <c r="L84" t="str">
        <f t="shared" si="48"/>
        <v/>
      </c>
      <c r="M84" s="6" t="str">
        <f t="shared" si="49"/>
        <v/>
      </c>
      <c r="N84" t="s">
        <v>179</v>
      </c>
      <c r="O84">
        <v>79</v>
      </c>
      <c r="P84" t="s">
        <v>425</v>
      </c>
      <c r="Y84" t="str">
        <f t="shared" si="29"/>
        <v/>
      </c>
      <c r="Z84" t="str">
        <f t="shared" si="30"/>
        <v/>
      </c>
      <c r="AC84" t="str">
        <f t="shared" si="31"/>
        <v>Faceoff</v>
      </c>
      <c r="AD84" t="str">
        <f t="shared" si="32"/>
        <v>Faceoff_AfterStoppage</v>
      </c>
      <c r="AE84" t="str">
        <f t="shared" si="33"/>
        <v/>
      </c>
      <c r="AF84" t="str">
        <f t="shared" si="34"/>
        <v>Defensive</v>
      </c>
      <c r="AG84">
        <f t="shared" si="40"/>
        <v>18981</v>
      </c>
      <c r="AH84" t="str">
        <f t="shared" si="41"/>
        <v>Nelson</v>
      </c>
      <c r="AI84" t="str">
        <f t="shared" si="42"/>
        <v>Velodrome</v>
      </c>
      <c r="AJ84" s="18">
        <f t="shared" si="35"/>
        <v>0</v>
      </c>
      <c r="AP84" s="18">
        <f t="shared" si="36"/>
        <v>0</v>
      </c>
      <c r="AQ84">
        <f t="shared" si="37"/>
        <v>0</v>
      </c>
      <c r="AR84" s="23">
        <f t="shared" si="38"/>
        <v>78</v>
      </c>
      <c r="AS84">
        <f t="shared" si="43"/>
        <v>73</v>
      </c>
      <c r="AT84" s="21">
        <f t="shared" si="44"/>
        <v>78</v>
      </c>
      <c r="AU84" s="21"/>
      <c r="AV84" s="21"/>
      <c r="AW84" s="21"/>
    </row>
    <row r="85" spans="1:49" x14ac:dyDescent="0.2">
      <c r="A85">
        <v>42</v>
      </c>
      <c r="E85">
        <f t="shared" si="39"/>
        <v>1</v>
      </c>
      <c r="F85" s="5" t="s">
        <v>477</v>
      </c>
      <c r="G85" s="5" t="s">
        <v>507</v>
      </c>
      <c r="H85" s="5" t="s">
        <v>477</v>
      </c>
      <c r="I85" s="7" t="s">
        <v>505</v>
      </c>
      <c r="J85" t="str">
        <f t="shared" si="46"/>
        <v>16</v>
      </c>
      <c r="K85" t="str">
        <f t="shared" si="47"/>
        <v>35</v>
      </c>
      <c r="L85" t="str">
        <f t="shared" si="48"/>
        <v>16</v>
      </c>
      <c r="M85" s="6" t="str">
        <f t="shared" si="49"/>
        <v>33</v>
      </c>
      <c r="N85" t="s">
        <v>179</v>
      </c>
      <c r="O85">
        <v>93</v>
      </c>
      <c r="P85" t="s">
        <v>424</v>
      </c>
      <c r="Q85" t="s">
        <v>15</v>
      </c>
      <c r="Y85" t="str">
        <f t="shared" si="29"/>
        <v/>
      </c>
      <c r="Z85" t="str">
        <f t="shared" si="30"/>
        <v/>
      </c>
      <c r="AC85" t="str">
        <f t="shared" si="31"/>
        <v>Possession</v>
      </c>
      <c r="AD85" t="str">
        <f t="shared" si="32"/>
        <v/>
      </c>
      <c r="AE85" t="str">
        <f t="shared" si="33"/>
        <v/>
      </c>
      <c r="AF85" t="str">
        <f t="shared" si="34"/>
        <v>Offensive</v>
      </c>
      <c r="AG85">
        <f t="shared" si="40"/>
        <v>18981</v>
      </c>
      <c r="AH85" t="str">
        <f t="shared" si="41"/>
        <v>Nelson</v>
      </c>
      <c r="AI85" t="str">
        <f t="shared" si="42"/>
        <v>Velodrome</v>
      </c>
      <c r="AJ85" s="18">
        <f t="shared" si="35"/>
        <v>2</v>
      </c>
      <c r="AP85" s="18">
        <f t="shared" si="36"/>
        <v>0</v>
      </c>
      <c r="AQ85">
        <f t="shared" si="37"/>
        <v>0</v>
      </c>
      <c r="AR85" s="23">
        <f t="shared" si="38"/>
        <v>85</v>
      </c>
      <c r="AS85">
        <f t="shared" si="43"/>
        <v>80</v>
      </c>
      <c r="AT85" s="21">
        <f t="shared" si="44"/>
        <v>87</v>
      </c>
      <c r="AU85" s="21"/>
      <c r="AV85" s="21"/>
      <c r="AW85" s="21"/>
    </row>
    <row r="86" spans="1:49" x14ac:dyDescent="0.2">
      <c r="A86">
        <v>42</v>
      </c>
      <c r="E86">
        <f t="shared" si="39"/>
        <v>1</v>
      </c>
      <c r="J86" t="str">
        <f t="shared" si="46"/>
        <v>16</v>
      </c>
      <c r="K86" t="str">
        <f t="shared" si="47"/>
        <v>35</v>
      </c>
      <c r="L86" t="str">
        <f t="shared" si="48"/>
        <v>16</v>
      </c>
      <c r="M86" s="6" t="str">
        <f t="shared" si="49"/>
        <v>33</v>
      </c>
      <c r="N86" t="str">
        <f t="shared" si="45"/>
        <v>Away</v>
      </c>
      <c r="O86">
        <v>44</v>
      </c>
      <c r="P86" t="s">
        <v>425</v>
      </c>
      <c r="Y86" t="str">
        <f t="shared" si="29"/>
        <v/>
      </c>
      <c r="Z86" t="str">
        <f t="shared" si="30"/>
        <v/>
      </c>
      <c r="AC86" t="str">
        <f t="shared" si="31"/>
        <v>Possession</v>
      </c>
      <c r="AD86" t="str">
        <f t="shared" si="32"/>
        <v/>
      </c>
      <c r="AE86" t="str">
        <f t="shared" si="33"/>
        <v/>
      </c>
      <c r="AF86" t="str">
        <f t="shared" si="34"/>
        <v>Defensive</v>
      </c>
      <c r="AG86">
        <f t="shared" si="40"/>
        <v>18981</v>
      </c>
      <c r="AH86" t="str">
        <f t="shared" si="41"/>
        <v>Nelson</v>
      </c>
      <c r="AI86" t="str">
        <f t="shared" si="42"/>
        <v>Velodrome</v>
      </c>
      <c r="AJ86" s="18">
        <f t="shared" si="35"/>
        <v>2</v>
      </c>
      <c r="AP86" s="18">
        <f t="shared" si="36"/>
        <v>0</v>
      </c>
      <c r="AQ86">
        <f t="shared" si="37"/>
        <v>0</v>
      </c>
      <c r="AR86" s="23">
        <f t="shared" si="38"/>
        <v>85</v>
      </c>
      <c r="AS86">
        <f t="shared" si="43"/>
        <v>80</v>
      </c>
      <c r="AT86" s="21">
        <f t="shared" si="44"/>
        <v>87</v>
      </c>
      <c r="AU86" s="21"/>
      <c r="AV86" s="21"/>
      <c r="AW86" s="21"/>
    </row>
    <row r="87" spans="1:49" x14ac:dyDescent="0.2">
      <c r="A87">
        <v>43</v>
      </c>
      <c r="E87">
        <f t="shared" si="39"/>
        <v>1</v>
      </c>
      <c r="F87" s="5" t="s">
        <v>477</v>
      </c>
      <c r="G87" s="5" t="s">
        <v>505</v>
      </c>
      <c r="J87" t="str">
        <f t="shared" si="46"/>
        <v>16</v>
      </c>
      <c r="K87" t="str">
        <f t="shared" si="47"/>
        <v>33</v>
      </c>
      <c r="L87" t="str">
        <f t="shared" si="48"/>
        <v/>
      </c>
      <c r="M87" s="6" t="str">
        <f t="shared" si="49"/>
        <v/>
      </c>
      <c r="N87" t="s">
        <v>179</v>
      </c>
      <c r="O87">
        <v>93</v>
      </c>
      <c r="P87" t="s">
        <v>424</v>
      </c>
      <c r="Q87" t="s">
        <v>8</v>
      </c>
      <c r="R87" t="s">
        <v>189</v>
      </c>
      <c r="S87" t="s">
        <v>68</v>
      </c>
      <c r="Y87" t="str">
        <f t="shared" si="29"/>
        <v/>
      </c>
      <c r="Z87" t="str">
        <f t="shared" si="30"/>
        <v/>
      </c>
      <c r="AC87" t="str">
        <f t="shared" si="31"/>
        <v>Pass</v>
      </c>
      <c r="AD87" t="str">
        <f t="shared" si="32"/>
        <v>Pass_Completed</v>
      </c>
      <c r="AE87" t="str">
        <f t="shared" si="33"/>
        <v>Pass-Rim/Wrap</v>
      </c>
      <c r="AF87" t="str">
        <f t="shared" si="34"/>
        <v>Offensive</v>
      </c>
      <c r="AG87">
        <f t="shared" si="40"/>
        <v>18981</v>
      </c>
      <c r="AH87" t="str">
        <f t="shared" si="41"/>
        <v>Nelson</v>
      </c>
      <c r="AI87" t="str">
        <f t="shared" si="42"/>
        <v>Velodrome</v>
      </c>
      <c r="AJ87" s="18">
        <f t="shared" si="35"/>
        <v>0</v>
      </c>
      <c r="AP87" s="18">
        <f t="shared" si="36"/>
        <v>0</v>
      </c>
      <c r="AQ87">
        <f t="shared" si="37"/>
        <v>0</v>
      </c>
      <c r="AR87" s="23">
        <f t="shared" si="38"/>
        <v>87</v>
      </c>
      <c r="AS87">
        <f t="shared" si="43"/>
        <v>82</v>
      </c>
      <c r="AT87" s="21">
        <f t="shared" si="44"/>
        <v>87</v>
      </c>
      <c r="AU87" s="21"/>
      <c r="AV87" s="21"/>
      <c r="AW87" s="21"/>
    </row>
    <row r="88" spans="1:49" x14ac:dyDescent="0.2">
      <c r="A88">
        <v>43</v>
      </c>
      <c r="E88">
        <f t="shared" si="39"/>
        <v>1</v>
      </c>
      <c r="J88" t="str">
        <f t="shared" si="46"/>
        <v>16</v>
      </c>
      <c r="K88" t="str">
        <f t="shared" si="47"/>
        <v>33</v>
      </c>
      <c r="L88" t="str">
        <f t="shared" si="48"/>
        <v/>
      </c>
      <c r="M88" s="6" t="str">
        <f t="shared" si="49"/>
        <v/>
      </c>
      <c r="N88" t="str">
        <f t="shared" si="45"/>
        <v>Away</v>
      </c>
      <c r="O88">
        <v>91</v>
      </c>
      <c r="P88" t="s">
        <v>424</v>
      </c>
      <c r="Y88" t="str">
        <f t="shared" si="29"/>
        <v/>
      </c>
      <c r="Z88" t="str">
        <f t="shared" si="30"/>
        <v/>
      </c>
      <c r="AC88" t="str">
        <f t="shared" si="31"/>
        <v>Pass</v>
      </c>
      <c r="AD88" t="str">
        <f t="shared" si="32"/>
        <v>Pass_Completed</v>
      </c>
      <c r="AE88" t="str">
        <f t="shared" si="33"/>
        <v>Pass-Rim/Wrap</v>
      </c>
      <c r="AF88" t="str">
        <f t="shared" si="34"/>
        <v>Offensive</v>
      </c>
      <c r="AG88">
        <f t="shared" si="40"/>
        <v>18981</v>
      </c>
      <c r="AH88" t="str">
        <f t="shared" si="41"/>
        <v>Nelson</v>
      </c>
      <c r="AI88" t="str">
        <f t="shared" si="42"/>
        <v>Velodrome</v>
      </c>
      <c r="AJ88" s="18">
        <f t="shared" si="35"/>
        <v>0</v>
      </c>
      <c r="AP88" s="18">
        <f t="shared" si="36"/>
        <v>0</v>
      </c>
      <c r="AQ88">
        <f t="shared" si="37"/>
        <v>0</v>
      </c>
      <c r="AR88" s="23">
        <f t="shared" si="38"/>
        <v>87</v>
      </c>
      <c r="AS88">
        <f t="shared" si="43"/>
        <v>82</v>
      </c>
      <c r="AT88" s="21">
        <f t="shared" si="44"/>
        <v>87</v>
      </c>
      <c r="AU88" s="21"/>
      <c r="AV88" s="21"/>
      <c r="AW88" s="21"/>
    </row>
    <row r="89" spans="1:49" x14ac:dyDescent="0.2">
      <c r="A89">
        <v>44</v>
      </c>
      <c r="E89">
        <f t="shared" si="39"/>
        <v>1</v>
      </c>
      <c r="F89" s="5" t="s">
        <v>477</v>
      </c>
      <c r="G89" s="5" t="s">
        <v>504</v>
      </c>
      <c r="H89" s="5" t="s">
        <v>477</v>
      </c>
      <c r="I89" s="7" t="s">
        <v>502</v>
      </c>
      <c r="J89" t="str">
        <f t="shared" si="46"/>
        <v>16</v>
      </c>
      <c r="K89" t="str">
        <f t="shared" si="47"/>
        <v>32</v>
      </c>
      <c r="L89" t="str">
        <f t="shared" si="48"/>
        <v>16</v>
      </c>
      <c r="M89" s="6" t="str">
        <f t="shared" si="49"/>
        <v>30</v>
      </c>
      <c r="N89" t="s">
        <v>179</v>
      </c>
      <c r="O89">
        <v>91</v>
      </c>
      <c r="P89" t="s">
        <v>424</v>
      </c>
      <c r="Q89" t="s">
        <v>15</v>
      </c>
      <c r="Y89" t="str">
        <f t="shared" si="29"/>
        <v/>
      </c>
      <c r="Z89" t="str">
        <f t="shared" si="30"/>
        <v/>
      </c>
      <c r="AC89" t="str">
        <f t="shared" si="31"/>
        <v>Possession</v>
      </c>
      <c r="AD89" t="str">
        <f t="shared" si="32"/>
        <v/>
      </c>
      <c r="AE89" t="str">
        <f t="shared" si="33"/>
        <v/>
      </c>
      <c r="AF89" t="str">
        <f t="shared" si="34"/>
        <v>Offensive</v>
      </c>
      <c r="AG89">
        <f t="shared" si="40"/>
        <v>18981</v>
      </c>
      <c r="AH89" t="str">
        <f t="shared" si="41"/>
        <v>Nelson</v>
      </c>
      <c r="AI89" t="str">
        <f t="shared" si="42"/>
        <v>Velodrome</v>
      </c>
      <c r="AJ89" s="18">
        <f t="shared" si="35"/>
        <v>2</v>
      </c>
      <c r="AP89" s="18">
        <f t="shared" si="36"/>
        <v>0</v>
      </c>
      <c r="AQ89">
        <f t="shared" si="37"/>
        <v>0</v>
      </c>
      <c r="AR89" s="23">
        <f t="shared" si="38"/>
        <v>88</v>
      </c>
      <c r="AS89">
        <f t="shared" si="43"/>
        <v>83</v>
      </c>
      <c r="AT89" s="21">
        <f t="shared" si="44"/>
        <v>90</v>
      </c>
      <c r="AU89" s="21"/>
      <c r="AV89" s="21"/>
      <c r="AW89" s="21"/>
    </row>
    <row r="90" spans="1:49" x14ac:dyDescent="0.2">
      <c r="A90">
        <v>44</v>
      </c>
      <c r="E90">
        <f t="shared" si="39"/>
        <v>1</v>
      </c>
      <c r="J90" t="str">
        <f t="shared" si="46"/>
        <v>16</v>
      </c>
      <c r="K90" t="str">
        <f t="shared" si="47"/>
        <v>32</v>
      </c>
      <c r="L90" t="str">
        <f t="shared" si="48"/>
        <v>16</v>
      </c>
      <c r="M90" s="6" t="str">
        <f t="shared" si="49"/>
        <v>30</v>
      </c>
      <c r="N90" t="str">
        <f t="shared" si="45"/>
        <v>Away</v>
      </c>
      <c r="O90">
        <v>44</v>
      </c>
      <c r="P90" t="s">
        <v>425</v>
      </c>
      <c r="Y90" t="str">
        <f t="shared" si="29"/>
        <v/>
      </c>
      <c r="Z90" t="str">
        <f t="shared" si="30"/>
        <v/>
      </c>
      <c r="AC90" t="str">
        <f t="shared" si="31"/>
        <v>Possession</v>
      </c>
      <c r="AD90" t="str">
        <f t="shared" si="32"/>
        <v/>
      </c>
      <c r="AE90" t="str">
        <f t="shared" si="33"/>
        <v/>
      </c>
      <c r="AF90" t="str">
        <f t="shared" si="34"/>
        <v>Defensive</v>
      </c>
      <c r="AG90">
        <f t="shared" si="40"/>
        <v>18981</v>
      </c>
      <c r="AH90" t="str">
        <f t="shared" si="41"/>
        <v>Nelson</v>
      </c>
      <c r="AI90" t="str">
        <f t="shared" si="42"/>
        <v>Velodrome</v>
      </c>
      <c r="AJ90" s="18">
        <f t="shared" si="35"/>
        <v>2</v>
      </c>
      <c r="AP90" s="18">
        <f t="shared" si="36"/>
        <v>0</v>
      </c>
      <c r="AQ90">
        <f t="shared" si="37"/>
        <v>0</v>
      </c>
      <c r="AR90" s="23">
        <f t="shared" si="38"/>
        <v>88</v>
      </c>
      <c r="AS90">
        <f t="shared" si="43"/>
        <v>83</v>
      </c>
      <c r="AT90" s="21">
        <f t="shared" si="44"/>
        <v>90</v>
      </c>
      <c r="AU90" s="21"/>
      <c r="AV90" s="21"/>
      <c r="AW90" s="21"/>
    </row>
    <row r="91" spans="1:49" x14ac:dyDescent="0.2">
      <c r="A91">
        <v>45</v>
      </c>
      <c r="E91">
        <f t="shared" si="39"/>
        <v>1</v>
      </c>
      <c r="F91" s="5" t="s">
        <v>477</v>
      </c>
      <c r="G91" s="5" t="s">
        <v>502</v>
      </c>
      <c r="J91" t="str">
        <f t="shared" si="46"/>
        <v>16</v>
      </c>
      <c r="K91" t="str">
        <f t="shared" si="47"/>
        <v>30</v>
      </c>
      <c r="L91" t="str">
        <f t="shared" si="48"/>
        <v/>
      </c>
      <c r="M91" s="6" t="str">
        <f t="shared" si="49"/>
        <v/>
      </c>
      <c r="N91" t="s">
        <v>179</v>
      </c>
      <c r="O91">
        <v>91</v>
      </c>
      <c r="P91" t="s">
        <v>424</v>
      </c>
      <c r="Q91" t="s">
        <v>8</v>
      </c>
      <c r="R91" t="s">
        <v>199</v>
      </c>
      <c r="S91" t="s">
        <v>68</v>
      </c>
      <c r="Y91" t="str">
        <f t="shared" si="29"/>
        <v/>
      </c>
      <c r="Z91" t="str">
        <f t="shared" si="30"/>
        <v/>
      </c>
      <c r="AC91" t="str">
        <f t="shared" si="31"/>
        <v>Pass</v>
      </c>
      <c r="AD91" t="str">
        <f t="shared" si="32"/>
        <v>Pass_Missed</v>
      </c>
      <c r="AE91" t="str">
        <f t="shared" si="33"/>
        <v>Pass-Rim/Wrap</v>
      </c>
      <c r="AF91" t="str">
        <f t="shared" si="34"/>
        <v>Offensive</v>
      </c>
      <c r="AG91">
        <f t="shared" si="40"/>
        <v>18981</v>
      </c>
      <c r="AH91" t="str">
        <f t="shared" si="41"/>
        <v>Nelson</v>
      </c>
      <c r="AI91" t="str">
        <f t="shared" si="42"/>
        <v>Velodrome</v>
      </c>
      <c r="AJ91" s="18">
        <f t="shared" si="35"/>
        <v>0</v>
      </c>
      <c r="AP91" s="18">
        <f t="shared" si="36"/>
        <v>0</v>
      </c>
      <c r="AQ91">
        <f t="shared" si="37"/>
        <v>0</v>
      </c>
      <c r="AR91" s="23">
        <f t="shared" si="38"/>
        <v>90</v>
      </c>
      <c r="AS91">
        <f t="shared" si="43"/>
        <v>85</v>
      </c>
      <c r="AT91" s="21">
        <f t="shared" si="44"/>
        <v>90</v>
      </c>
      <c r="AU91" s="21"/>
      <c r="AV91" s="21"/>
      <c r="AW91" s="21"/>
    </row>
    <row r="92" spans="1:49" x14ac:dyDescent="0.2">
      <c r="A92">
        <v>46</v>
      </c>
      <c r="E92">
        <f t="shared" si="39"/>
        <v>1</v>
      </c>
      <c r="F92" s="5" t="s">
        <v>477</v>
      </c>
      <c r="G92" s="5" t="s">
        <v>499</v>
      </c>
      <c r="J92" t="str">
        <f t="shared" si="46"/>
        <v>16</v>
      </c>
      <c r="K92" t="str">
        <f t="shared" si="47"/>
        <v>27</v>
      </c>
      <c r="L92" t="str">
        <f t="shared" si="48"/>
        <v/>
      </c>
      <c r="M92" s="6" t="str">
        <f t="shared" si="49"/>
        <v/>
      </c>
      <c r="N92" t="s">
        <v>178</v>
      </c>
      <c r="O92">
        <v>80</v>
      </c>
      <c r="P92" t="s">
        <v>424</v>
      </c>
      <c r="Q92" t="s">
        <v>277</v>
      </c>
      <c r="R92" t="s">
        <v>210</v>
      </c>
      <c r="S92" t="s">
        <v>93</v>
      </c>
      <c r="Y92" t="str">
        <f t="shared" si="29"/>
        <v/>
      </c>
      <c r="Z92" t="str">
        <f t="shared" si="30"/>
        <v/>
      </c>
      <c r="AC92" t="str">
        <f t="shared" si="31"/>
        <v>Zone_Entry_Exit</v>
      </c>
      <c r="AD92" t="str">
        <f t="shared" si="32"/>
        <v>Zone_Keepin</v>
      </c>
      <c r="AE92" t="str">
        <f t="shared" si="33"/>
        <v>Zone-KeepIn</v>
      </c>
      <c r="AF92" t="str">
        <f t="shared" si="34"/>
        <v>Offensive</v>
      </c>
      <c r="AG92">
        <f t="shared" si="40"/>
        <v>18981</v>
      </c>
      <c r="AH92" t="str">
        <f t="shared" si="41"/>
        <v>Nelson</v>
      </c>
      <c r="AI92" t="str">
        <f t="shared" si="42"/>
        <v>Velodrome</v>
      </c>
      <c r="AJ92" s="18">
        <f t="shared" si="35"/>
        <v>0</v>
      </c>
      <c r="AP92" s="18">
        <f t="shared" si="36"/>
        <v>0</v>
      </c>
      <c r="AQ92">
        <f t="shared" si="37"/>
        <v>0</v>
      </c>
      <c r="AR92" s="23">
        <f t="shared" si="38"/>
        <v>93</v>
      </c>
      <c r="AS92">
        <f t="shared" si="43"/>
        <v>88</v>
      </c>
      <c r="AT92" s="21">
        <f t="shared" si="44"/>
        <v>93</v>
      </c>
      <c r="AU92" s="21"/>
      <c r="AV92" s="21"/>
      <c r="AW92" s="21"/>
    </row>
    <row r="93" spans="1:49" x14ac:dyDescent="0.2">
      <c r="A93">
        <v>47</v>
      </c>
      <c r="E93">
        <f t="shared" si="39"/>
        <v>1</v>
      </c>
      <c r="F93" s="5" t="s">
        <v>477</v>
      </c>
      <c r="G93" s="5" t="s">
        <v>497</v>
      </c>
      <c r="H93" s="5" t="s">
        <v>477</v>
      </c>
      <c r="I93" s="7" t="s">
        <v>495</v>
      </c>
      <c r="J93" t="str">
        <f t="shared" si="46"/>
        <v>16</v>
      </c>
      <c r="K93" t="str">
        <f t="shared" si="47"/>
        <v>25</v>
      </c>
      <c r="L93" t="str">
        <f t="shared" si="48"/>
        <v>16</v>
      </c>
      <c r="M93" s="6" t="str">
        <f t="shared" si="49"/>
        <v>23</v>
      </c>
      <c r="N93" t="s">
        <v>179</v>
      </c>
      <c r="O93">
        <v>52</v>
      </c>
      <c r="P93" t="s">
        <v>424</v>
      </c>
      <c r="Q93" t="s">
        <v>15</v>
      </c>
      <c r="Y93" t="str">
        <f t="shared" si="29"/>
        <v/>
      </c>
      <c r="Z93" t="str">
        <f t="shared" si="30"/>
        <v/>
      </c>
      <c r="AC93" t="str">
        <f t="shared" si="31"/>
        <v>Possession</v>
      </c>
      <c r="AD93" t="str">
        <f t="shared" si="32"/>
        <v/>
      </c>
      <c r="AE93" t="str">
        <f t="shared" si="33"/>
        <v/>
      </c>
      <c r="AF93" t="str">
        <f t="shared" si="34"/>
        <v>Offensive</v>
      </c>
      <c r="AG93">
        <f t="shared" si="40"/>
        <v>18981</v>
      </c>
      <c r="AH93" t="str">
        <f t="shared" si="41"/>
        <v>Nelson</v>
      </c>
      <c r="AI93" t="str">
        <f t="shared" si="42"/>
        <v>Velodrome</v>
      </c>
      <c r="AJ93" s="18">
        <f t="shared" si="35"/>
        <v>2</v>
      </c>
      <c r="AP93" s="18">
        <f t="shared" si="36"/>
        <v>0</v>
      </c>
      <c r="AQ93">
        <f t="shared" si="37"/>
        <v>0</v>
      </c>
      <c r="AR93" s="23">
        <f t="shared" si="38"/>
        <v>95</v>
      </c>
      <c r="AS93">
        <f t="shared" si="43"/>
        <v>90</v>
      </c>
      <c r="AT93" s="21">
        <f t="shared" si="44"/>
        <v>97</v>
      </c>
      <c r="AU93" s="21"/>
      <c r="AV93" s="21"/>
      <c r="AW93" s="21"/>
    </row>
    <row r="94" spans="1:49" x14ac:dyDescent="0.2">
      <c r="A94">
        <v>48</v>
      </c>
      <c r="E94">
        <f t="shared" si="39"/>
        <v>1</v>
      </c>
      <c r="F94" s="5" t="s">
        <v>477</v>
      </c>
      <c r="G94" s="5" t="s">
        <v>495</v>
      </c>
      <c r="J94" t="str">
        <f t="shared" si="46"/>
        <v>16</v>
      </c>
      <c r="K94" t="str">
        <f t="shared" si="47"/>
        <v>23</v>
      </c>
      <c r="L94" t="str">
        <f t="shared" si="48"/>
        <v/>
      </c>
      <c r="M94" s="6" t="str">
        <f t="shared" si="49"/>
        <v/>
      </c>
      <c r="N94" t="s">
        <v>179</v>
      </c>
      <c r="O94">
        <v>52</v>
      </c>
      <c r="P94" t="s">
        <v>424</v>
      </c>
      <c r="Q94" t="s">
        <v>8</v>
      </c>
      <c r="R94" t="s">
        <v>189</v>
      </c>
      <c r="S94" t="s">
        <v>67</v>
      </c>
      <c r="Y94" t="str">
        <f t="shared" si="29"/>
        <v/>
      </c>
      <c r="Z94" t="str">
        <f t="shared" si="30"/>
        <v/>
      </c>
      <c r="AC94" t="str">
        <f t="shared" si="31"/>
        <v>Pass</v>
      </c>
      <c r="AD94" t="str">
        <f t="shared" si="32"/>
        <v>Pass_Completed</v>
      </c>
      <c r="AE94" t="str">
        <f t="shared" si="33"/>
        <v>Pass-Stretch</v>
      </c>
      <c r="AF94" t="str">
        <f t="shared" si="34"/>
        <v>Offensive</v>
      </c>
      <c r="AG94">
        <f t="shared" si="40"/>
        <v>18981</v>
      </c>
      <c r="AH94" t="str">
        <f t="shared" si="41"/>
        <v>Nelson</v>
      </c>
      <c r="AI94" t="str">
        <f t="shared" si="42"/>
        <v>Velodrome</v>
      </c>
      <c r="AJ94" s="18">
        <f t="shared" si="35"/>
        <v>0</v>
      </c>
      <c r="AP94" s="18">
        <f t="shared" si="36"/>
        <v>0</v>
      </c>
      <c r="AQ94">
        <f t="shared" si="37"/>
        <v>0</v>
      </c>
      <c r="AR94" s="23">
        <f t="shared" si="38"/>
        <v>97</v>
      </c>
      <c r="AS94">
        <f t="shared" si="43"/>
        <v>92</v>
      </c>
      <c r="AT94" s="21">
        <f t="shared" si="44"/>
        <v>97</v>
      </c>
      <c r="AU94" s="21"/>
      <c r="AV94" s="21"/>
      <c r="AW94" s="21"/>
    </row>
    <row r="95" spans="1:49" x14ac:dyDescent="0.2">
      <c r="A95">
        <v>48</v>
      </c>
      <c r="E95">
        <f t="shared" si="39"/>
        <v>1</v>
      </c>
      <c r="J95" t="str">
        <f t="shared" si="46"/>
        <v>16</v>
      </c>
      <c r="K95" t="str">
        <f t="shared" si="47"/>
        <v>23</v>
      </c>
      <c r="L95" t="str">
        <f t="shared" si="48"/>
        <v/>
      </c>
      <c r="M95" s="6" t="str">
        <f t="shared" si="49"/>
        <v/>
      </c>
      <c r="N95" t="s">
        <v>179</v>
      </c>
      <c r="O95">
        <v>91</v>
      </c>
      <c r="P95" t="s">
        <v>424</v>
      </c>
      <c r="Y95" t="str">
        <f t="shared" si="29"/>
        <v/>
      </c>
      <c r="Z95" t="str">
        <f t="shared" si="30"/>
        <v/>
      </c>
      <c r="AC95" t="str">
        <f t="shared" si="31"/>
        <v>Pass</v>
      </c>
      <c r="AD95" t="str">
        <f t="shared" si="32"/>
        <v>Pass_Completed</v>
      </c>
      <c r="AE95" t="str">
        <f t="shared" si="33"/>
        <v>Pass-Stretch</v>
      </c>
      <c r="AF95" t="str">
        <f t="shared" si="34"/>
        <v>Offensive</v>
      </c>
      <c r="AG95">
        <f t="shared" si="40"/>
        <v>18981</v>
      </c>
      <c r="AH95" t="str">
        <f t="shared" si="41"/>
        <v>Nelson</v>
      </c>
      <c r="AI95" t="str">
        <f t="shared" si="42"/>
        <v>Velodrome</v>
      </c>
      <c r="AJ95" s="18">
        <f t="shared" si="35"/>
        <v>0</v>
      </c>
      <c r="AP95" s="18">
        <f t="shared" si="36"/>
        <v>0</v>
      </c>
      <c r="AQ95">
        <f t="shared" si="37"/>
        <v>0</v>
      </c>
      <c r="AR95" s="23">
        <f t="shared" si="38"/>
        <v>97</v>
      </c>
      <c r="AS95">
        <f t="shared" si="43"/>
        <v>92</v>
      </c>
      <c r="AT95" s="21">
        <f t="shared" si="44"/>
        <v>97</v>
      </c>
      <c r="AU95" s="21"/>
      <c r="AV95" s="21"/>
      <c r="AW95" s="21"/>
    </row>
    <row r="96" spans="1:49" x14ac:dyDescent="0.2">
      <c r="A96">
        <v>49</v>
      </c>
      <c r="E96">
        <f t="shared" si="39"/>
        <v>1</v>
      </c>
      <c r="F96" s="5" t="s">
        <v>477</v>
      </c>
      <c r="G96" s="5" t="s">
        <v>495</v>
      </c>
      <c r="J96" t="str">
        <f t="shared" si="46"/>
        <v>16</v>
      </c>
      <c r="K96" t="str">
        <f t="shared" si="47"/>
        <v>23</v>
      </c>
      <c r="L96" t="str">
        <f t="shared" si="48"/>
        <v/>
      </c>
      <c r="M96" s="6" t="str">
        <f t="shared" si="49"/>
        <v/>
      </c>
      <c r="N96" t="s">
        <v>179</v>
      </c>
      <c r="O96">
        <v>52</v>
      </c>
      <c r="P96" t="s">
        <v>424</v>
      </c>
      <c r="Q96" t="s">
        <v>277</v>
      </c>
      <c r="R96" t="s">
        <v>201</v>
      </c>
      <c r="S96" t="s">
        <v>91</v>
      </c>
      <c r="Y96" t="str">
        <f t="shared" si="29"/>
        <v/>
      </c>
      <c r="Z96" t="str">
        <f t="shared" si="30"/>
        <v/>
      </c>
      <c r="AC96" t="str">
        <f t="shared" si="31"/>
        <v>Zone_Entry_Exit</v>
      </c>
      <c r="AD96" t="str">
        <f t="shared" si="32"/>
        <v>Zone_Exit</v>
      </c>
      <c r="AE96" t="str">
        <f t="shared" si="33"/>
        <v>ZoneExit-Pass</v>
      </c>
      <c r="AF96" t="str">
        <f t="shared" si="34"/>
        <v>Offensive</v>
      </c>
      <c r="AG96">
        <f t="shared" si="40"/>
        <v>18981</v>
      </c>
      <c r="AH96" t="str">
        <f t="shared" si="41"/>
        <v>Nelson</v>
      </c>
      <c r="AI96" t="str">
        <f t="shared" si="42"/>
        <v>Velodrome</v>
      </c>
      <c r="AJ96" s="18">
        <f t="shared" si="35"/>
        <v>0</v>
      </c>
      <c r="AP96" s="18">
        <f t="shared" si="36"/>
        <v>0</v>
      </c>
      <c r="AQ96">
        <f t="shared" si="37"/>
        <v>0</v>
      </c>
      <c r="AR96" s="23">
        <f t="shared" si="38"/>
        <v>97</v>
      </c>
      <c r="AS96">
        <f t="shared" si="43"/>
        <v>92</v>
      </c>
      <c r="AT96" s="21">
        <f t="shared" si="44"/>
        <v>97</v>
      </c>
      <c r="AU96" s="21"/>
      <c r="AV96" s="21"/>
      <c r="AW96" s="21"/>
    </row>
    <row r="97" spans="1:49" x14ac:dyDescent="0.2">
      <c r="A97">
        <v>49</v>
      </c>
      <c r="E97">
        <f t="shared" si="39"/>
        <v>1</v>
      </c>
      <c r="J97" t="str">
        <f t="shared" si="46"/>
        <v>16</v>
      </c>
      <c r="K97" t="str">
        <f t="shared" si="47"/>
        <v>23</v>
      </c>
      <c r="L97" t="str">
        <f t="shared" si="48"/>
        <v/>
      </c>
      <c r="M97" s="6" t="str">
        <f t="shared" si="49"/>
        <v/>
      </c>
      <c r="N97" t="str">
        <f t="shared" si="45"/>
        <v>Away</v>
      </c>
      <c r="O97">
        <v>91</v>
      </c>
      <c r="P97" t="s">
        <v>424</v>
      </c>
      <c r="Y97" t="str">
        <f t="shared" si="29"/>
        <v/>
      </c>
      <c r="Z97" t="str">
        <f t="shared" si="30"/>
        <v/>
      </c>
      <c r="AC97" t="str">
        <f t="shared" si="31"/>
        <v>Zone_Entry_Exit</v>
      </c>
      <c r="AD97" t="str">
        <f t="shared" si="32"/>
        <v>Zone_Exit</v>
      </c>
      <c r="AE97" t="str">
        <f t="shared" si="33"/>
        <v>ZoneExit-Pass</v>
      </c>
      <c r="AF97" t="str">
        <f t="shared" si="34"/>
        <v>Offensive</v>
      </c>
      <c r="AG97">
        <f t="shared" si="40"/>
        <v>18981</v>
      </c>
      <c r="AH97" t="str">
        <f t="shared" si="41"/>
        <v>Nelson</v>
      </c>
      <c r="AI97" t="str">
        <f t="shared" si="42"/>
        <v>Velodrome</v>
      </c>
      <c r="AJ97" s="18">
        <f t="shared" si="35"/>
        <v>0</v>
      </c>
      <c r="AP97" s="18">
        <f t="shared" si="36"/>
        <v>0</v>
      </c>
      <c r="AQ97">
        <f t="shared" si="37"/>
        <v>0</v>
      </c>
      <c r="AR97" s="23">
        <f t="shared" si="38"/>
        <v>97</v>
      </c>
      <c r="AS97">
        <f t="shared" si="43"/>
        <v>92</v>
      </c>
      <c r="AT97" s="21">
        <f t="shared" si="44"/>
        <v>97</v>
      </c>
      <c r="AU97" s="21"/>
      <c r="AV97" s="21"/>
      <c r="AW97" s="21"/>
    </row>
    <row r="98" spans="1:49" x14ac:dyDescent="0.2">
      <c r="A98">
        <v>50</v>
      </c>
      <c r="E98">
        <f t="shared" si="39"/>
        <v>1</v>
      </c>
      <c r="F98" s="5" t="s">
        <v>477</v>
      </c>
      <c r="G98" s="5" t="s">
        <v>494</v>
      </c>
      <c r="H98" s="5" t="s">
        <v>477</v>
      </c>
      <c r="I98" s="7" t="s">
        <v>492</v>
      </c>
      <c r="J98" t="str">
        <f t="shared" si="46"/>
        <v>16</v>
      </c>
      <c r="K98" t="str">
        <f t="shared" si="47"/>
        <v>22</v>
      </c>
      <c r="L98" t="str">
        <f t="shared" si="48"/>
        <v>16</v>
      </c>
      <c r="M98" s="6" t="str">
        <f t="shared" si="49"/>
        <v>20</v>
      </c>
      <c r="N98" t="s">
        <v>179</v>
      </c>
      <c r="O98">
        <v>91</v>
      </c>
      <c r="P98" t="s">
        <v>424</v>
      </c>
      <c r="Q98" t="s">
        <v>277</v>
      </c>
      <c r="R98" t="s">
        <v>191</v>
      </c>
      <c r="S98" t="s">
        <v>87</v>
      </c>
      <c r="Y98" t="str">
        <f t="shared" si="29"/>
        <v/>
      </c>
      <c r="Z98" t="str">
        <f t="shared" si="30"/>
        <v/>
      </c>
      <c r="AC98" t="str">
        <f t="shared" si="31"/>
        <v>Zone_Entry_Exit</v>
      </c>
      <c r="AD98" t="str">
        <f t="shared" si="32"/>
        <v>Zone_Entry</v>
      </c>
      <c r="AE98" t="str">
        <f t="shared" si="33"/>
        <v>ZoneEntry-Rush</v>
      </c>
      <c r="AF98" t="str">
        <f t="shared" si="34"/>
        <v>Offensive</v>
      </c>
      <c r="AG98">
        <f t="shared" si="40"/>
        <v>18981</v>
      </c>
      <c r="AH98" t="str">
        <f t="shared" si="41"/>
        <v>Nelson</v>
      </c>
      <c r="AI98" t="str">
        <f t="shared" si="42"/>
        <v>Velodrome</v>
      </c>
      <c r="AJ98" s="18">
        <f t="shared" si="35"/>
        <v>2</v>
      </c>
      <c r="AP98" s="18">
        <f t="shared" si="36"/>
        <v>0</v>
      </c>
      <c r="AQ98">
        <f t="shared" si="37"/>
        <v>0</v>
      </c>
      <c r="AR98" s="23">
        <f t="shared" si="38"/>
        <v>98</v>
      </c>
      <c r="AS98">
        <f t="shared" si="43"/>
        <v>93</v>
      </c>
      <c r="AT98" s="21">
        <f t="shared" si="44"/>
        <v>100</v>
      </c>
      <c r="AU98" s="21"/>
      <c r="AV98" s="21"/>
      <c r="AW98" s="21"/>
    </row>
    <row r="99" spans="1:49" x14ac:dyDescent="0.2">
      <c r="A99">
        <v>50</v>
      </c>
      <c r="E99">
        <f t="shared" si="39"/>
        <v>1</v>
      </c>
      <c r="J99" t="str">
        <f t="shared" si="46"/>
        <v>16</v>
      </c>
      <c r="K99" t="str">
        <f t="shared" si="47"/>
        <v>22</v>
      </c>
      <c r="L99" t="str">
        <f t="shared" si="48"/>
        <v>16</v>
      </c>
      <c r="M99" s="6" t="str">
        <f t="shared" si="49"/>
        <v>20</v>
      </c>
      <c r="N99" t="str">
        <f t="shared" si="45"/>
        <v>Away</v>
      </c>
      <c r="O99">
        <v>8</v>
      </c>
      <c r="P99" t="s">
        <v>425</v>
      </c>
      <c r="Y99" t="str">
        <f t="shared" si="29"/>
        <v/>
      </c>
      <c r="Z99" t="str">
        <f t="shared" si="30"/>
        <v/>
      </c>
      <c r="AC99" t="str">
        <f t="shared" si="31"/>
        <v>Zone_Entry_Exit</v>
      </c>
      <c r="AD99" t="str">
        <f t="shared" si="32"/>
        <v>Zone_Entry</v>
      </c>
      <c r="AE99" t="str">
        <f t="shared" si="33"/>
        <v>ZoneEntry-Rush</v>
      </c>
      <c r="AF99" t="str">
        <f t="shared" si="34"/>
        <v>Defensive</v>
      </c>
      <c r="AG99">
        <f t="shared" si="40"/>
        <v>18981</v>
      </c>
      <c r="AH99" t="str">
        <f t="shared" si="41"/>
        <v>Nelson</v>
      </c>
      <c r="AI99" t="str">
        <f t="shared" si="42"/>
        <v>Velodrome</v>
      </c>
      <c r="AJ99" s="18">
        <f t="shared" si="35"/>
        <v>2</v>
      </c>
      <c r="AP99" s="18">
        <f t="shared" si="36"/>
        <v>0</v>
      </c>
      <c r="AQ99">
        <f t="shared" si="37"/>
        <v>0</v>
      </c>
      <c r="AR99" s="23">
        <f t="shared" si="38"/>
        <v>98</v>
      </c>
      <c r="AS99">
        <f t="shared" si="43"/>
        <v>93</v>
      </c>
      <c r="AT99" s="21">
        <f t="shared" si="44"/>
        <v>100</v>
      </c>
      <c r="AU99" s="21"/>
      <c r="AV99" s="21"/>
      <c r="AW99" s="21"/>
    </row>
    <row r="100" spans="1:49" x14ac:dyDescent="0.2">
      <c r="A100">
        <v>51</v>
      </c>
      <c r="E100">
        <f t="shared" si="39"/>
        <v>1</v>
      </c>
      <c r="F100" s="5" t="s">
        <v>477</v>
      </c>
      <c r="G100" s="5" t="s">
        <v>492</v>
      </c>
      <c r="H100" s="5" t="s">
        <v>477</v>
      </c>
      <c r="I100" s="7" t="s">
        <v>490</v>
      </c>
      <c r="J100" t="str">
        <f t="shared" si="46"/>
        <v>16</v>
      </c>
      <c r="K100" t="str">
        <f t="shared" si="47"/>
        <v>20</v>
      </c>
      <c r="L100" t="str">
        <f t="shared" si="48"/>
        <v>16</v>
      </c>
      <c r="M100" s="6" t="str">
        <f t="shared" si="49"/>
        <v>18</v>
      </c>
      <c r="N100" t="s">
        <v>179</v>
      </c>
      <c r="O100">
        <v>91</v>
      </c>
      <c r="P100" t="s">
        <v>424</v>
      </c>
      <c r="Q100" t="s">
        <v>15</v>
      </c>
      <c r="Y100" t="str">
        <f t="shared" si="29"/>
        <v/>
      </c>
      <c r="Z100" t="str">
        <f t="shared" si="30"/>
        <v/>
      </c>
      <c r="AC100" t="str">
        <f t="shared" si="31"/>
        <v>Possession</v>
      </c>
      <c r="AD100" t="str">
        <f t="shared" si="32"/>
        <v/>
      </c>
      <c r="AE100" t="str">
        <f t="shared" si="33"/>
        <v/>
      </c>
      <c r="AF100" t="str">
        <f t="shared" si="34"/>
        <v>Offensive</v>
      </c>
      <c r="AG100">
        <f t="shared" si="40"/>
        <v>18981</v>
      </c>
      <c r="AH100" t="str">
        <f t="shared" si="41"/>
        <v>Nelson</v>
      </c>
      <c r="AI100" t="str">
        <f t="shared" si="42"/>
        <v>Velodrome</v>
      </c>
      <c r="AJ100" s="18">
        <f t="shared" si="35"/>
        <v>2</v>
      </c>
      <c r="AP100" s="18">
        <f t="shared" si="36"/>
        <v>0</v>
      </c>
      <c r="AQ100">
        <f t="shared" si="37"/>
        <v>0</v>
      </c>
      <c r="AR100" s="23">
        <f t="shared" si="38"/>
        <v>100</v>
      </c>
      <c r="AS100">
        <f t="shared" si="43"/>
        <v>95</v>
      </c>
      <c r="AT100" s="21">
        <f t="shared" si="44"/>
        <v>102</v>
      </c>
      <c r="AU100" s="21"/>
      <c r="AV100" s="21"/>
      <c r="AW100" s="21"/>
    </row>
    <row r="101" spans="1:49" x14ac:dyDescent="0.2">
      <c r="A101">
        <v>51</v>
      </c>
      <c r="E101">
        <f t="shared" si="39"/>
        <v>1</v>
      </c>
      <c r="J101" t="str">
        <f t="shared" si="46"/>
        <v>16</v>
      </c>
      <c r="K101" t="str">
        <f t="shared" si="47"/>
        <v>20</v>
      </c>
      <c r="L101" t="str">
        <f t="shared" si="48"/>
        <v>16</v>
      </c>
      <c r="M101" s="6" t="str">
        <f t="shared" si="49"/>
        <v>18</v>
      </c>
      <c r="N101" t="str">
        <f t="shared" si="45"/>
        <v>Away</v>
      </c>
      <c r="O101">
        <v>8</v>
      </c>
      <c r="P101" t="s">
        <v>425</v>
      </c>
      <c r="Y101" t="str">
        <f t="shared" si="29"/>
        <v/>
      </c>
      <c r="Z101" t="str">
        <f t="shared" si="30"/>
        <v/>
      </c>
      <c r="AC101" t="str">
        <f t="shared" si="31"/>
        <v>Possession</v>
      </c>
      <c r="AD101" t="str">
        <f t="shared" si="32"/>
        <v/>
      </c>
      <c r="AE101" t="str">
        <f t="shared" si="33"/>
        <v/>
      </c>
      <c r="AF101" t="str">
        <f t="shared" si="34"/>
        <v>Defensive</v>
      </c>
      <c r="AG101">
        <f t="shared" si="40"/>
        <v>18981</v>
      </c>
      <c r="AH101" t="str">
        <f t="shared" si="41"/>
        <v>Nelson</v>
      </c>
      <c r="AI101" t="str">
        <f t="shared" si="42"/>
        <v>Velodrome</v>
      </c>
      <c r="AJ101" s="18">
        <f t="shared" si="35"/>
        <v>2</v>
      </c>
      <c r="AP101" s="18">
        <f t="shared" si="36"/>
        <v>0</v>
      </c>
      <c r="AQ101">
        <f t="shared" si="37"/>
        <v>0</v>
      </c>
      <c r="AR101" s="23">
        <f t="shared" si="38"/>
        <v>100</v>
      </c>
      <c r="AS101">
        <f t="shared" si="43"/>
        <v>95</v>
      </c>
      <c r="AT101" s="21">
        <f t="shared" si="44"/>
        <v>102</v>
      </c>
      <c r="AU101" s="21"/>
      <c r="AV101" s="21"/>
      <c r="AW101" s="21"/>
    </row>
    <row r="102" spans="1:49" x14ac:dyDescent="0.2">
      <c r="A102">
        <v>51</v>
      </c>
      <c r="E102">
        <f t="shared" si="39"/>
        <v>1</v>
      </c>
      <c r="J102" t="str">
        <f t="shared" si="46"/>
        <v>16</v>
      </c>
      <c r="K102" t="str">
        <f t="shared" si="47"/>
        <v>20</v>
      </c>
      <c r="L102" t="str">
        <f t="shared" si="48"/>
        <v>16</v>
      </c>
      <c r="M102" s="6" t="str">
        <f t="shared" si="49"/>
        <v>18</v>
      </c>
      <c r="N102" t="str">
        <f t="shared" si="45"/>
        <v>Away</v>
      </c>
      <c r="O102">
        <v>79</v>
      </c>
      <c r="P102" t="s">
        <v>425</v>
      </c>
      <c r="Y102" t="str">
        <f t="shared" si="29"/>
        <v/>
      </c>
      <c r="Z102" t="str">
        <f t="shared" si="30"/>
        <v/>
      </c>
      <c r="AC102" t="str">
        <f t="shared" si="31"/>
        <v>Possession</v>
      </c>
      <c r="AD102" t="str">
        <f t="shared" si="32"/>
        <v/>
      </c>
      <c r="AE102" t="str">
        <f t="shared" si="33"/>
        <v/>
      </c>
      <c r="AF102" t="str">
        <f t="shared" si="34"/>
        <v>Defensive</v>
      </c>
      <c r="AG102">
        <f t="shared" si="40"/>
        <v>18981</v>
      </c>
      <c r="AH102" t="str">
        <f t="shared" si="41"/>
        <v>Nelson</v>
      </c>
      <c r="AI102" t="str">
        <f t="shared" si="42"/>
        <v>Velodrome</v>
      </c>
      <c r="AJ102" s="18">
        <f t="shared" si="35"/>
        <v>2</v>
      </c>
      <c r="AP102" s="18">
        <f t="shared" si="36"/>
        <v>0</v>
      </c>
      <c r="AQ102">
        <f t="shared" si="37"/>
        <v>0</v>
      </c>
      <c r="AR102" s="23">
        <f t="shared" si="38"/>
        <v>100</v>
      </c>
      <c r="AS102">
        <f t="shared" si="43"/>
        <v>95</v>
      </c>
      <c r="AT102" s="21">
        <f t="shared" si="44"/>
        <v>102</v>
      </c>
      <c r="AU102" s="21"/>
      <c r="AV102" s="21"/>
      <c r="AW102" s="21"/>
    </row>
    <row r="103" spans="1:49" x14ac:dyDescent="0.2">
      <c r="A103">
        <v>52</v>
      </c>
      <c r="E103">
        <f t="shared" si="39"/>
        <v>1</v>
      </c>
      <c r="F103" s="5" t="s">
        <v>477</v>
      </c>
      <c r="G103" s="5" t="s">
        <v>490</v>
      </c>
      <c r="J103" t="str">
        <f t="shared" si="46"/>
        <v>16</v>
      </c>
      <c r="K103" t="str">
        <f t="shared" si="47"/>
        <v>18</v>
      </c>
      <c r="L103" t="str">
        <f t="shared" si="48"/>
        <v/>
      </c>
      <c r="M103" s="6" t="str">
        <f t="shared" si="49"/>
        <v/>
      </c>
      <c r="N103" t="s">
        <v>178</v>
      </c>
      <c r="O103">
        <v>8</v>
      </c>
      <c r="P103" t="s">
        <v>424</v>
      </c>
      <c r="Q103" t="s">
        <v>10</v>
      </c>
      <c r="R103" t="s">
        <v>200</v>
      </c>
      <c r="S103" t="s">
        <v>82</v>
      </c>
      <c r="Y103" t="str">
        <f t="shared" si="29"/>
        <v/>
      </c>
      <c r="Z103" t="str">
        <f t="shared" si="30"/>
        <v/>
      </c>
      <c r="AC103" t="str">
        <f t="shared" si="31"/>
        <v>Turnover</v>
      </c>
      <c r="AD103" t="str">
        <f t="shared" si="32"/>
        <v>Turnover_Takeaway</v>
      </c>
      <c r="AE103" t="str">
        <f t="shared" si="33"/>
        <v>Takeaway-PokeCheck</v>
      </c>
      <c r="AF103" t="str">
        <f t="shared" si="34"/>
        <v>Defensive</v>
      </c>
      <c r="AG103">
        <f t="shared" si="40"/>
        <v>18981</v>
      </c>
      <c r="AH103" t="str">
        <f t="shared" si="41"/>
        <v>Nelson</v>
      </c>
      <c r="AI103" t="str">
        <f t="shared" si="42"/>
        <v>Velodrome</v>
      </c>
      <c r="AJ103" s="18">
        <f t="shared" si="35"/>
        <v>0</v>
      </c>
      <c r="AP103" s="18">
        <f t="shared" si="36"/>
        <v>0</v>
      </c>
      <c r="AQ103">
        <f t="shared" si="37"/>
        <v>0</v>
      </c>
      <c r="AR103" s="23">
        <f t="shared" si="38"/>
        <v>102</v>
      </c>
      <c r="AS103">
        <f t="shared" si="43"/>
        <v>97</v>
      </c>
      <c r="AT103" s="21">
        <f t="shared" si="44"/>
        <v>102</v>
      </c>
      <c r="AU103" s="21"/>
      <c r="AV103" s="21"/>
      <c r="AW103" s="21"/>
    </row>
    <row r="104" spans="1:49" x14ac:dyDescent="0.2">
      <c r="A104">
        <v>52</v>
      </c>
      <c r="E104">
        <f t="shared" si="39"/>
        <v>1</v>
      </c>
      <c r="J104" t="str">
        <f t="shared" si="46"/>
        <v>16</v>
      </c>
      <c r="K104" t="str">
        <f t="shared" si="47"/>
        <v>18</v>
      </c>
      <c r="L104" t="str">
        <f t="shared" si="48"/>
        <v/>
      </c>
      <c r="M104" s="6" t="str">
        <f t="shared" si="49"/>
        <v/>
      </c>
      <c r="N104" t="s">
        <v>178</v>
      </c>
      <c r="O104">
        <v>91</v>
      </c>
      <c r="P104" t="s">
        <v>425</v>
      </c>
      <c r="Y104" t="str">
        <f t="shared" si="29"/>
        <v/>
      </c>
      <c r="Z104" t="str">
        <f t="shared" si="30"/>
        <v/>
      </c>
      <c r="AC104" t="str">
        <f t="shared" si="31"/>
        <v>Turnover</v>
      </c>
      <c r="AD104" t="str">
        <f t="shared" si="32"/>
        <v>Turnover_Takeaway</v>
      </c>
      <c r="AE104" t="str">
        <f t="shared" si="33"/>
        <v>Takeaway-PokeCheck</v>
      </c>
      <c r="AF104" t="str">
        <f t="shared" si="34"/>
        <v>Offensive</v>
      </c>
      <c r="AG104">
        <f t="shared" si="40"/>
        <v>18981</v>
      </c>
      <c r="AH104" t="str">
        <f t="shared" si="41"/>
        <v>Nelson</v>
      </c>
      <c r="AI104" t="str">
        <f t="shared" si="42"/>
        <v>Velodrome</v>
      </c>
      <c r="AJ104" s="18">
        <f t="shared" si="35"/>
        <v>0</v>
      </c>
      <c r="AP104" s="18">
        <f t="shared" si="36"/>
        <v>0</v>
      </c>
      <c r="AQ104">
        <f t="shared" si="37"/>
        <v>0</v>
      </c>
      <c r="AR104" s="23">
        <f t="shared" si="38"/>
        <v>102</v>
      </c>
      <c r="AS104">
        <f t="shared" si="43"/>
        <v>97</v>
      </c>
      <c r="AT104" s="21">
        <f t="shared" si="44"/>
        <v>102</v>
      </c>
      <c r="AU104" s="21"/>
      <c r="AV104" s="21"/>
      <c r="AW104" s="21"/>
    </row>
    <row r="105" spans="1:49" x14ac:dyDescent="0.2">
      <c r="A105">
        <v>53</v>
      </c>
      <c r="E105">
        <f t="shared" si="39"/>
        <v>1</v>
      </c>
      <c r="F105" s="5" t="s">
        <v>477</v>
      </c>
      <c r="G105" s="5" t="s">
        <v>489</v>
      </c>
      <c r="H105" s="5" t="s">
        <v>477</v>
      </c>
      <c r="I105" s="7" t="s">
        <v>486</v>
      </c>
      <c r="J105" t="str">
        <f t="shared" si="46"/>
        <v>16</v>
      </c>
      <c r="K105" t="str">
        <f t="shared" si="47"/>
        <v>14</v>
      </c>
      <c r="L105" t="str">
        <f t="shared" si="48"/>
        <v>16</v>
      </c>
      <c r="M105" s="6" t="str">
        <f t="shared" si="49"/>
        <v>11</v>
      </c>
      <c r="N105" t="s">
        <v>178</v>
      </c>
      <c r="O105">
        <v>44</v>
      </c>
      <c r="P105" t="s">
        <v>424</v>
      </c>
      <c r="Q105" t="s">
        <v>15</v>
      </c>
      <c r="Y105" t="str">
        <f t="shared" si="29"/>
        <v/>
      </c>
      <c r="Z105" t="str">
        <f t="shared" si="30"/>
        <v/>
      </c>
      <c r="AC105" t="str">
        <f t="shared" si="31"/>
        <v>Possession</v>
      </c>
      <c r="AD105" t="str">
        <f t="shared" si="32"/>
        <v/>
      </c>
      <c r="AE105" t="str">
        <f t="shared" si="33"/>
        <v/>
      </c>
      <c r="AF105" t="str">
        <f t="shared" si="34"/>
        <v>Offensive</v>
      </c>
      <c r="AG105">
        <f t="shared" si="40"/>
        <v>18981</v>
      </c>
      <c r="AH105" t="str">
        <f t="shared" si="41"/>
        <v>Nelson</v>
      </c>
      <c r="AI105" t="str">
        <f t="shared" si="42"/>
        <v>Velodrome</v>
      </c>
      <c r="AJ105" s="18">
        <f t="shared" si="35"/>
        <v>3</v>
      </c>
      <c r="AP105" s="18">
        <f t="shared" si="36"/>
        <v>0</v>
      </c>
      <c r="AQ105">
        <f t="shared" si="37"/>
        <v>0</v>
      </c>
      <c r="AR105" s="23">
        <f t="shared" si="38"/>
        <v>106</v>
      </c>
      <c r="AS105">
        <f t="shared" si="43"/>
        <v>101</v>
      </c>
      <c r="AT105" s="21">
        <f t="shared" si="44"/>
        <v>109</v>
      </c>
      <c r="AU105" s="21"/>
      <c r="AV105" s="21"/>
      <c r="AW105" s="21"/>
    </row>
    <row r="106" spans="1:49" x14ac:dyDescent="0.2">
      <c r="A106">
        <v>53</v>
      </c>
      <c r="E106">
        <f t="shared" si="39"/>
        <v>1</v>
      </c>
      <c r="J106" t="str">
        <f t="shared" si="46"/>
        <v>16</v>
      </c>
      <c r="K106" t="str">
        <f t="shared" si="47"/>
        <v>14</v>
      </c>
      <c r="L106" t="str">
        <f t="shared" si="48"/>
        <v>16</v>
      </c>
      <c r="M106" s="6" t="str">
        <f t="shared" si="49"/>
        <v>11</v>
      </c>
      <c r="N106" t="str">
        <f t="shared" si="45"/>
        <v>Home</v>
      </c>
      <c r="O106">
        <v>42</v>
      </c>
      <c r="P106" t="s">
        <v>425</v>
      </c>
      <c r="Y106" t="str">
        <f t="shared" si="29"/>
        <v/>
      </c>
      <c r="Z106" t="str">
        <f t="shared" si="30"/>
        <v/>
      </c>
      <c r="AC106" t="str">
        <f t="shared" si="31"/>
        <v>Possession</v>
      </c>
      <c r="AD106" t="str">
        <f t="shared" si="32"/>
        <v/>
      </c>
      <c r="AE106" t="str">
        <f t="shared" si="33"/>
        <v/>
      </c>
      <c r="AF106" t="str">
        <f t="shared" si="34"/>
        <v>Defensive</v>
      </c>
      <c r="AG106">
        <f t="shared" si="40"/>
        <v>18981</v>
      </c>
      <c r="AH106" t="str">
        <f t="shared" si="41"/>
        <v>Nelson</v>
      </c>
      <c r="AI106" t="str">
        <f t="shared" si="42"/>
        <v>Velodrome</v>
      </c>
      <c r="AJ106" s="18">
        <f t="shared" si="35"/>
        <v>3</v>
      </c>
      <c r="AP106" s="18">
        <f t="shared" si="36"/>
        <v>0</v>
      </c>
      <c r="AQ106">
        <f t="shared" si="37"/>
        <v>0</v>
      </c>
      <c r="AR106" s="23">
        <f t="shared" si="38"/>
        <v>106</v>
      </c>
      <c r="AS106">
        <f t="shared" si="43"/>
        <v>101</v>
      </c>
      <c r="AT106" s="21">
        <f t="shared" si="44"/>
        <v>109</v>
      </c>
      <c r="AU106" s="21"/>
      <c r="AV106" s="21"/>
      <c r="AW106" s="21"/>
    </row>
    <row r="107" spans="1:49" x14ac:dyDescent="0.2">
      <c r="A107">
        <v>53</v>
      </c>
      <c r="E107">
        <f t="shared" si="39"/>
        <v>1</v>
      </c>
      <c r="J107" t="str">
        <f t="shared" si="46"/>
        <v>16</v>
      </c>
      <c r="K107" t="str">
        <f t="shared" si="47"/>
        <v>14</v>
      </c>
      <c r="L107" t="str">
        <f t="shared" si="48"/>
        <v>16</v>
      </c>
      <c r="M107" s="6" t="str">
        <f t="shared" si="49"/>
        <v>11</v>
      </c>
      <c r="N107" t="str">
        <f t="shared" si="45"/>
        <v>Home</v>
      </c>
      <c r="O107">
        <v>24</v>
      </c>
      <c r="P107" t="s">
        <v>425</v>
      </c>
      <c r="Y107" t="str">
        <f t="shared" si="29"/>
        <v/>
      </c>
      <c r="Z107" t="str">
        <f t="shared" si="30"/>
        <v/>
      </c>
      <c r="AC107" t="str">
        <f t="shared" si="31"/>
        <v>Possession</v>
      </c>
      <c r="AD107" t="str">
        <f t="shared" si="32"/>
        <v/>
      </c>
      <c r="AE107" t="str">
        <f t="shared" si="33"/>
        <v/>
      </c>
      <c r="AF107" t="str">
        <f t="shared" si="34"/>
        <v>Defensive</v>
      </c>
      <c r="AG107">
        <f t="shared" si="40"/>
        <v>18981</v>
      </c>
      <c r="AH107" t="str">
        <f t="shared" si="41"/>
        <v>Nelson</v>
      </c>
      <c r="AI107" t="str">
        <f t="shared" si="42"/>
        <v>Velodrome</v>
      </c>
      <c r="AJ107" s="18">
        <f t="shared" si="35"/>
        <v>3</v>
      </c>
      <c r="AP107" s="18">
        <f t="shared" si="36"/>
        <v>0</v>
      </c>
      <c r="AQ107">
        <f t="shared" si="37"/>
        <v>0</v>
      </c>
      <c r="AR107" s="23">
        <f t="shared" si="38"/>
        <v>106</v>
      </c>
      <c r="AS107">
        <f t="shared" si="43"/>
        <v>101</v>
      </c>
      <c r="AT107" s="21">
        <f t="shared" si="44"/>
        <v>109</v>
      </c>
      <c r="AU107" s="21"/>
      <c r="AV107" s="21"/>
      <c r="AW107" s="21"/>
    </row>
    <row r="108" spans="1:49" x14ac:dyDescent="0.2">
      <c r="A108">
        <v>54</v>
      </c>
      <c r="E108">
        <f t="shared" si="39"/>
        <v>1</v>
      </c>
      <c r="F108" s="5" t="s">
        <v>477</v>
      </c>
      <c r="G108" s="5" t="s">
        <v>484</v>
      </c>
      <c r="J108" t="str">
        <f t="shared" si="46"/>
        <v>16</v>
      </c>
      <c r="K108" t="str">
        <f t="shared" si="47"/>
        <v>09</v>
      </c>
      <c r="L108" t="str">
        <f t="shared" si="48"/>
        <v/>
      </c>
      <c r="M108" s="6" t="str">
        <f t="shared" si="49"/>
        <v/>
      </c>
      <c r="N108" t="s">
        <v>178</v>
      </c>
      <c r="O108">
        <v>44</v>
      </c>
      <c r="P108" t="s">
        <v>424</v>
      </c>
      <c r="Q108" t="s">
        <v>277</v>
      </c>
      <c r="R108" t="s">
        <v>201</v>
      </c>
      <c r="S108" t="s">
        <v>433</v>
      </c>
      <c r="Y108" t="str">
        <f t="shared" si="29"/>
        <v/>
      </c>
      <c r="Z108" t="str">
        <f t="shared" si="30"/>
        <v/>
      </c>
      <c r="AC108" t="str">
        <f t="shared" si="31"/>
        <v>Zone_Entry_Exit</v>
      </c>
      <c r="AD108" t="str">
        <f t="shared" si="32"/>
        <v>Zone_Exit</v>
      </c>
      <c r="AE108" t="str">
        <f t="shared" si="33"/>
        <v>ZoneExit-PassMiss/Misplay</v>
      </c>
      <c r="AF108" t="str">
        <f t="shared" si="34"/>
        <v>Offensive</v>
      </c>
      <c r="AG108">
        <f t="shared" si="40"/>
        <v>18981</v>
      </c>
      <c r="AH108" t="str">
        <f t="shared" si="41"/>
        <v>Nelson</v>
      </c>
      <c r="AI108" t="str">
        <f t="shared" si="42"/>
        <v>Velodrome</v>
      </c>
      <c r="AJ108" s="18">
        <f t="shared" si="35"/>
        <v>0</v>
      </c>
      <c r="AP108" s="18">
        <f t="shared" si="36"/>
        <v>0</v>
      </c>
      <c r="AQ108">
        <f t="shared" si="37"/>
        <v>0</v>
      </c>
      <c r="AR108" s="23">
        <f t="shared" si="38"/>
        <v>111</v>
      </c>
      <c r="AS108">
        <f t="shared" si="43"/>
        <v>106</v>
      </c>
      <c r="AT108" s="21">
        <f t="shared" si="44"/>
        <v>111</v>
      </c>
      <c r="AU108" s="21"/>
      <c r="AV108" s="21"/>
      <c r="AW108" s="21"/>
    </row>
    <row r="109" spans="1:49" x14ac:dyDescent="0.2">
      <c r="A109">
        <v>54</v>
      </c>
      <c r="E109">
        <f t="shared" si="39"/>
        <v>1</v>
      </c>
      <c r="J109" t="str">
        <f t="shared" si="46"/>
        <v>16</v>
      </c>
      <c r="K109" t="str">
        <f t="shared" si="47"/>
        <v>09</v>
      </c>
      <c r="L109" t="str">
        <f t="shared" si="48"/>
        <v/>
      </c>
      <c r="M109" s="6" t="str">
        <f t="shared" si="49"/>
        <v/>
      </c>
      <c r="N109" t="str">
        <f t="shared" si="45"/>
        <v>Home</v>
      </c>
      <c r="O109">
        <v>42</v>
      </c>
      <c r="P109" t="s">
        <v>425</v>
      </c>
      <c r="Y109" t="str">
        <f t="shared" si="29"/>
        <v/>
      </c>
      <c r="Z109" t="str">
        <f t="shared" si="30"/>
        <v/>
      </c>
      <c r="AC109" t="str">
        <f t="shared" si="31"/>
        <v>Zone_Entry_Exit</v>
      </c>
      <c r="AD109" t="str">
        <f t="shared" si="32"/>
        <v>Zone_Exit</v>
      </c>
      <c r="AE109" t="str">
        <f t="shared" si="33"/>
        <v>ZoneExit-PassMiss/Misplay</v>
      </c>
      <c r="AF109" t="str">
        <f t="shared" si="34"/>
        <v>Defensive</v>
      </c>
      <c r="AG109">
        <f t="shared" si="40"/>
        <v>18981</v>
      </c>
      <c r="AH109" t="str">
        <f t="shared" si="41"/>
        <v>Nelson</v>
      </c>
      <c r="AI109" t="str">
        <f t="shared" si="42"/>
        <v>Velodrome</v>
      </c>
      <c r="AJ109" s="18">
        <f t="shared" si="35"/>
        <v>0</v>
      </c>
      <c r="AP109" s="18">
        <f t="shared" si="36"/>
        <v>0</v>
      </c>
      <c r="AQ109">
        <f t="shared" si="37"/>
        <v>0</v>
      </c>
      <c r="AR109" s="23">
        <f t="shared" si="38"/>
        <v>111</v>
      </c>
      <c r="AS109">
        <f t="shared" si="43"/>
        <v>106</v>
      </c>
      <c r="AT109" s="21">
        <f t="shared" si="44"/>
        <v>111</v>
      </c>
      <c r="AU109" s="21"/>
      <c r="AV109" s="21"/>
      <c r="AW109" s="21"/>
    </row>
    <row r="110" spans="1:49" x14ac:dyDescent="0.2">
      <c r="A110">
        <v>55</v>
      </c>
      <c r="E110">
        <f t="shared" si="39"/>
        <v>1</v>
      </c>
      <c r="F110" s="5" t="s">
        <v>477</v>
      </c>
      <c r="G110" s="5" t="s">
        <v>482</v>
      </c>
      <c r="J110" t="str">
        <f t="shared" si="46"/>
        <v>16</v>
      </c>
      <c r="K110" t="str">
        <f t="shared" si="47"/>
        <v>07</v>
      </c>
      <c r="L110" t="str">
        <f t="shared" si="48"/>
        <v/>
      </c>
      <c r="M110" s="6" t="str">
        <f t="shared" si="49"/>
        <v/>
      </c>
      <c r="N110" t="s">
        <v>178</v>
      </c>
      <c r="O110">
        <v>44</v>
      </c>
      <c r="P110" t="s">
        <v>424</v>
      </c>
      <c r="Q110" t="s">
        <v>277</v>
      </c>
      <c r="R110" t="s">
        <v>191</v>
      </c>
      <c r="S110" t="s">
        <v>89</v>
      </c>
      <c r="Y110" t="str">
        <f t="shared" si="29"/>
        <v/>
      </c>
      <c r="Z110" t="str">
        <f t="shared" si="30"/>
        <v/>
      </c>
      <c r="AC110" t="str">
        <f t="shared" si="31"/>
        <v>Zone_Entry_Exit</v>
      </c>
      <c r="AD110" t="str">
        <f t="shared" si="32"/>
        <v>Zone_Entry</v>
      </c>
      <c r="AE110" t="str">
        <f t="shared" si="33"/>
        <v>ZoneEntry-DumpIn</v>
      </c>
      <c r="AF110" t="str">
        <f t="shared" si="34"/>
        <v>Offensive</v>
      </c>
      <c r="AG110">
        <f t="shared" si="40"/>
        <v>18981</v>
      </c>
      <c r="AH110" t="str">
        <f t="shared" si="41"/>
        <v>Nelson</v>
      </c>
      <c r="AI110" t="str">
        <f t="shared" si="42"/>
        <v>Velodrome</v>
      </c>
      <c r="AJ110" s="18">
        <f t="shared" si="35"/>
        <v>0</v>
      </c>
      <c r="AP110" s="18">
        <f t="shared" si="36"/>
        <v>0</v>
      </c>
      <c r="AQ110">
        <f t="shared" si="37"/>
        <v>0</v>
      </c>
      <c r="AR110" s="23">
        <f t="shared" si="38"/>
        <v>113</v>
      </c>
      <c r="AS110">
        <f t="shared" si="43"/>
        <v>108</v>
      </c>
      <c r="AT110" s="21">
        <f t="shared" si="44"/>
        <v>113</v>
      </c>
      <c r="AU110" s="21"/>
      <c r="AV110" s="21"/>
      <c r="AW110" s="21"/>
    </row>
    <row r="111" spans="1:49" x14ac:dyDescent="0.2">
      <c r="A111">
        <v>55</v>
      </c>
      <c r="E111">
        <f t="shared" si="39"/>
        <v>1</v>
      </c>
      <c r="J111" t="str">
        <f t="shared" si="46"/>
        <v>16</v>
      </c>
      <c r="K111" t="str">
        <f t="shared" si="47"/>
        <v>07</v>
      </c>
      <c r="L111" t="str">
        <f t="shared" si="48"/>
        <v/>
      </c>
      <c r="M111" s="6" t="str">
        <f t="shared" si="49"/>
        <v/>
      </c>
      <c r="N111" t="str">
        <f t="shared" si="45"/>
        <v>Home</v>
      </c>
      <c r="O111">
        <v>42</v>
      </c>
      <c r="P111" t="s">
        <v>425</v>
      </c>
      <c r="Y111" t="str">
        <f t="shared" si="29"/>
        <v/>
      </c>
      <c r="Z111" t="str">
        <f t="shared" si="30"/>
        <v/>
      </c>
      <c r="AC111" t="str">
        <f t="shared" si="31"/>
        <v>Zone_Entry_Exit</v>
      </c>
      <c r="AD111" t="str">
        <f t="shared" si="32"/>
        <v>Zone_Entry</v>
      </c>
      <c r="AE111" t="str">
        <f t="shared" si="33"/>
        <v>ZoneEntry-DumpIn</v>
      </c>
      <c r="AF111" t="str">
        <f t="shared" si="34"/>
        <v>Defensive</v>
      </c>
      <c r="AG111">
        <f t="shared" si="40"/>
        <v>18981</v>
      </c>
      <c r="AH111" t="str">
        <f t="shared" si="41"/>
        <v>Nelson</v>
      </c>
      <c r="AI111" t="str">
        <f t="shared" si="42"/>
        <v>Velodrome</v>
      </c>
      <c r="AJ111" s="18">
        <f t="shared" si="35"/>
        <v>0</v>
      </c>
      <c r="AP111" s="18">
        <f t="shared" si="36"/>
        <v>0</v>
      </c>
      <c r="AQ111">
        <f t="shared" si="37"/>
        <v>0</v>
      </c>
      <c r="AR111" s="23">
        <f t="shared" si="38"/>
        <v>113</v>
      </c>
      <c r="AS111">
        <f t="shared" si="43"/>
        <v>108</v>
      </c>
      <c r="AT111" s="21">
        <f t="shared" si="44"/>
        <v>113</v>
      </c>
      <c r="AU111" s="21"/>
      <c r="AV111" s="21"/>
      <c r="AW111" s="21"/>
    </row>
    <row r="112" spans="1:49" x14ac:dyDescent="0.2">
      <c r="A112">
        <v>56</v>
      </c>
      <c r="E112">
        <f t="shared" si="39"/>
        <v>1</v>
      </c>
      <c r="F112" s="5" t="s">
        <v>477</v>
      </c>
      <c r="G112" s="5" t="s">
        <v>482</v>
      </c>
      <c r="J112" t="str">
        <f t="shared" si="46"/>
        <v>16</v>
      </c>
      <c r="K112" t="str">
        <f t="shared" si="47"/>
        <v>07</v>
      </c>
      <c r="L112" t="str">
        <f t="shared" si="48"/>
        <v/>
      </c>
      <c r="M112" s="6" t="str">
        <f t="shared" si="49"/>
        <v/>
      </c>
      <c r="N112" t="s">
        <v>178</v>
      </c>
      <c r="O112">
        <v>44</v>
      </c>
      <c r="P112" t="s">
        <v>424</v>
      </c>
      <c r="Q112" t="s">
        <v>10</v>
      </c>
      <c r="R112" t="s">
        <v>190</v>
      </c>
      <c r="S112" t="s">
        <v>411</v>
      </c>
      <c r="Y112" t="str">
        <f t="shared" si="29"/>
        <v/>
      </c>
      <c r="Z112" t="str">
        <f t="shared" si="30"/>
        <v/>
      </c>
      <c r="AC112" t="str">
        <f t="shared" si="31"/>
        <v>Turnover</v>
      </c>
      <c r="AD112" t="str">
        <f t="shared" si="32"/>
        <v>Turnover_Giveaway</v>
      </c>
      <c r="AE112" t="str">
        <f t="shared" si="33"/>
        <v>Giveaway-ZoneClear/Dump</v>
      </c>
      <c r="AF112" t="str">
        <f t="shared" si="34"/>
        <v>Offensive</v>
      </c>
      <c r="AG112">
        <f t="shared" si="40"/>
        <v>18981</v>
      </c>
      <c r="AH112" t="str">
        <f t="shared" si="41"/>
        <v>Nelson</v>
      </c>
      <c r="AI112" t="str">
        <f t="shared" si="42"/>
        <v>Velodrome</v>
      </c>
      <c r="AJ112" s="18">
        <f t="shared" si="35"/>
        <v>0</v>
      </c>
      <c r="AP112" s="18">
        <f t="shared" si="36"/>
        <v>0</v>
      </c>
      <c r="AQ112">
        <f t="shared" si="37"/>
        <v>0</v>
      </c>
      <c r="AR112" s="23">
        <f t="shared" si="38"/>
        <v>113</v>
      </c>
      <c r="AS112">
        <f t="shared" si="43"/>
        <v>108</v>
      </c>
      <c r="AT112" s="21">
        <f t="shared" si="44"/>
        <v>113</v>
      </c>
      <c r="AU112" s="21"/>
      <c r="AV112" s="21"/>
      <c r="AW112" s="21"/>
    </row>
    <row r="113" spans="1:49" x14ac:dyDescent="0.2">
      <c r="A113">
        <v>56</v>
      </c>
      <c r="E113">
        <f t="shared" si="39"/>
        <v>1</v>
      </c>
      <c r="J113" t="str">
        <f t="shared" si="46"/>
        <v>16</v>
      </c>
      <c r="K113" t="str">
        <f t="shared" si="47"/>
        <v>07</v>
      </c>
      <c r="L113" t="str">
        <f t="shared" si="48"/>
        <v/>
      </c>
      <c r="M113" s="6" t="str">
        <f t="shared" si="49"/>
        <v/>
      </c>
      <c r="N113" t="str">
        <f t="shared" si="45"/>
        <v>Home</v>
      </c>
      <c r="O113">
        <v>42</v>
      </c>
      <c r="P113" t="s">
        <v>425</v>
      </c>
      <c r="Y113" t="str">
        <f t="shared" si="29"/>
        <v/>
      </c>
      <c r="Z113" t="str">
        <f t="shared" si="30"/>
        <v/>
      </c>
      <c r="AC113" t="str">
        <f t="shared" si="31"/>
        <v>Turnover</v>
      </c>
      <c r="AD113" t="str">
        <f t="shared" si="32"/>
        <v>Turnover_Giveaway</v>
      </c>
      <c r="AE113" t="str">
        <f t="shared" si="33"/>
        <v>Giveaway-ZoneClear/Dump</v>
      </c>
      <c r="AF113" t="str">
        <f t="shared" si="34"/>
        <v>Defensive</v>
      </c>
      <c r="AG113">
        <f t="shared" si="40"/>
        <v>18981</v>
      </c>
      <c r="AH113" t="str">
        <f t="shared" si="41"/>
        <v>Nelson</v>
      </c>
      <c r="AI113" t="str">
        <f t="shared" si="42"/>
        <v>Velodrome</v>
      </c>
      <c r="AJ113" s="18">
        <f t="shared" si="35"/>
        <v>0</v>
      </c>
      <c r="AP113" s="18">
        <f t="shared" si="36"/>
        <v>0</v>
      </c>
      <c r="AQ113">
        <f t="shared" si="37"/>
        <v>0</v>
      </c>
      <c r="AR113" s="23">
        <f t="shared" si="38"/>
        <v>113</v>
      </c>
      <c r="AS113">
        <f t="shared" si="43"/>
        <v>108</v>
      </c>
      <c r="AT113" s="21">
        <f t="shared" si="44"/>
        <v>113</v>
      </c>
      <c r="AU113" s="21"/>
      <c r="AV113" s="21"/>
      <c r="AW113" s="21"/>
    </row>
    <row r="114" spans="1:49" x14ac:dyDescent="0.2">
      <c r="A114">
        <v>57</v>
      </c>
      <c r="E114">
        <f t="shared" si="39"/>
        <v>1</v>
      </c>
      <c r="F114" s="5" t="s">
        <v>477</v>
      </c>
      <c r="G114" s="5" t="s">
        <v>481</v>
      </c>
      <c r="H114" s="5" t="s">
        <v>477</v>
      </c>
      <c r="I114" s="7" t="s">
        <v>474</v>
      </c>
      <c r="J114" t="str">
        <f t="shared" si="46"/>
        <v>16</v>
      </c>
      <c r="K114" t="str">
        <f t="shared" si="47"/>
        <v>05</v>
      </c>
      <c r="L114" t="str">
        <f t="shared" si="48"/>
        <v>16</v>
      </c>
      <c r="M114" s="6" t="str">
        <f t="shared" si="49"/>
        <v>02</v>
      </c>
      <c r="N114" t="s">
        <v>179</v>
      </c>
      <c r="O114">
        <v>93</v>
      </c>
      <c r="P114" t="s">
        <v>424</v>
      </c>
      <c r="Q114" t="s">
        <v>15</v>
      </c>
      <c r="Y114" t="str">
        <f t="shared" si="29"/>
        <v/>
      </c>
      <c r="Z114" t="str">
        <f t="shared" si="30"/>
        <v/>
      </c>
      <c r="AC114" t="str">
        <f t="shared" si="31"/>
        <v>Possession</v>
      </c>
      <c r="AD114" t="str">
        <f t="shared" si="32"/>
        <v/>
      </c>
      <c r="AE114" t="str">
        <f t="shared" si="33"/>
        <v/>
      </c>
      <c r="AF114" t="str">
        <f t="shared" si="34"/>
        <v>Offensive</v>
      </c>
      <c r="AG114">
        <f t="shared" si="40"/>
        <v>18981</v>
      </c>
      <c r="AH114" t="str">
        <f t="shared" si="41"/>
        <v>Nelson</v>
      </c>
      <c r="AI114" t="str">
        <f t="shared" si="42"/>
        <v>Velodrome</v>
      </c>
      <c r="AJ114" s="18">
        <f t="shared" si="35"/>
        <v>3</v>
      </c>
      <c r="AP114" s="18">
        <f t="shared" si="36"/>
        <v>0</v>
      </c>
      <c r="AQ114">
        <f t="shared" si="37"/>
        <v>0</v>
      </c>
      <c r="AR114" s="23">
        <f t="shared" si="38"/>
        <v>115</v>
      </c>
      <c r="AS114">
        <f t="shared" si="43"/>
        <v>110</v>
      </c>
      <c r="AT114" s="21">
        <f t="shared" si="44"/>
        <v>118</v>
      </c>
      <c r="AU114" s="21"/>
      <c r="AV114" s="21"/>
      <c r="AW114" s="21"/>
    </row>
    <row r="115" spans="1:49" x14ac:dyDescent="0.2">
      <c r="A115">
        <v>58</v>
      </c>
      <c r="E115">
        <f t="shared" si="39"/>
        <v>1</v>
      </c>
      <c r="F115" s="5" t="s">
        <v>477</v>
      </c>
      <c r="G115" s="5" t="s">
        <v>474</v>
      </c>
      <c r="H115" s="5" t="s">
        <v>477</v>
      </c>
      <c r="I115" s="7" t="s">
        <v>471</v>
      </c>
      <c r="J115" t="str">
        <f t="shared" si="46"/>
        <v>16</v>
      </c>
      <c r="K115" t="str">
        <f t="shared" si="47"/>
        <v>02</v>
      </c>
      <c r="L115" t="str">
        <f t="shared" si="48"/>
        <v>16</v>
      </c>
      <c r="M115" s="6" t="str">
        <f t="shared" si="49"/>
        <v>01</v>
      </c>
      <c r="N115" t="s">
        <v>179</v>
      </c>
      <c r="O115">
        <v>93</v>
      </c>
      <c r="P115" t="s">
        <v>424</v>
      </c>
      <c r="Q115" t="s">
        <v>15</v>
      </c>
      <c r="Y115" t="str">
        <f t="shared" si="29"/>
        <v/>
      </c>
      <c r="Z115" t="str">
        <f t="shared" si="30"/>
        <v/>
      </c>
      <c r="AC115" t="str">
        <f t="shared" si="31"/>
        <v>Possession</v>
      </c>
      <c r="AD115" t="str">
        <f t="shared" si="32"/>
        <v/>
      </c>
      <c r="AE115" t="str">
        <f t="shared" si="33"/>
        <v/>
      </c>
      <c r="AF115" t="str">
        <f t="shared" si="34"/>
        <v>Offensive</v>
      </c>
      <c r="AG115">
        <f t="shared" si="40"/>
        <v>18981</v>
      </c>
      <c r="AH115" t="str">
        <f t="shared" si="41"/>
        <v>Nelson</v>
      </c>
      <c r="AI115" t="str">
        <f t="shared" si="42"/>
        <v>Velodrome</v>
      </c>
      <c r="AJ115" s="18">
        <f t="shared" si="35"/>
        <v>1</v>
      </c>
      <c r="AP115" s="18">
        <f t="shared" si="36"/>
        <v>0</v>
      </c>
      <c r="AQ115">
        <f t="shared" si="37"/>
        <v>0</v>
      </c>
      <c r="AR115" s="23">
        <f t="shared" si="38"/>
        <v>118</v>
      </c>
      <c r="AS115">
        <f t="shared" si="43"/>
        <v>113</v>
      </c>
      <c r="AT115" s="21">
        <f t="shared" si="44"/>
        <v>119</v>
      </c>
      <c r="AU115" s="21"/>
      <c r="AV115" s="21"/>
      <c r="AW115" s="21"/>
    </row>
    <row r="116" spans="1:49" x14ac:dyDescent="0.2">
      <c r="A116">
        <v>59</v>
      </c>
      <c r="E116">
        <f t="shared" si="39"/>
        <v>1</v>
      </c>
      <c r="F116" s="5" t="s">
        <v>477</v>
      </c>
      <c r="G116" s="5" t="s">
        <v>471</v>
      </c>
      <c r="J116" t="str">
        <f t="shared" si="46"/>
        <v>16</v>
      </c>
      <c r="K116" t="str">
        <f t="shared" si="47"/>
        <v>01</v>
      </c>
      <c r="L116" t="str">
        <f t="shared" si="48"/>
        <v/>
      </c>
      <c r="M116" s="6" t="str">
        <f t="shared" si="49"/>
        <v/>
      </c>
      <c r="N116" t="s">
        <v>179</v>
      </c>
      <c r="O116">
        <v>93</v>
      </c>
      <c r="P116" t="s">
        <v>424</v>
      </c>
      <c r="Q116" t="s">
        <v>10</v>
      </c>
      <c r="R116" t="s">
        <v>190</v>
      </c>
      <c r="S116" t="s">
        <v>73</v>
      </c>
      <c r="Y116" t="str">
        <f t="shared" si="29"/>
        <v/>
      </c>
      <c r="Z116" t="str">
        <f t="shared" si="30"/>
        <v/>
      </c>
      <c r="AC116" t="str">
        <f t="shared" si="31"/>
        <v>Turnover</v>
      </c>
      <c r="AD116" t="str">
        <f t="shared" si="32"/>
        <v>Turnover_Giveaway</v>
      </c>
      <c r="AE116" t="str">
        <f t="shared" si="33"/>
        <v>Giveaway-Misplayed</v>
      </c>
      <c r="AF116" t="str">
        <f t="shared" si="34"/>
        <v>Offensive</v>
      </c>
      <c r="AG116">
        <f t="shared" si="40"/>
        <v>18981</v>
      </c>
      <c r="AH116" t="str">
        <f t="shared" si="41"/>
        <v>Nelson</v>
      </c>
      <c r="AI116" t="str">
        <f t="shared" si="42"/>
        <v>Velodrome</v>
      </c>
      <c r="AJ116" s="18">
        <f t="shared" si="35"/>
        <v>0</v>
      </c>
      <c r="AP116" s="18">
        <f t="shared" si="36"/>
        <v>0</v>
      </c>
      <c r="AQ116">
        <f t="shared" si="37"/>
        <v>0</v>
      </c>
      <c r="AR116" s="23">
        <f t="shared" si="38"/>
        <v>119</v>
      </c>
      <c r="AS116">
        <f t="shared" si="43"/>
        <v>114</v>
      </c>
      <c r="AT116" s="21">
        <f t="shared" si="44"/>
        <v>119</v>
      </c>
      <c r="AU116" s="21"/>
      <c r="AV116" s="21"/>
      <c r="AW116" s="21"/>
    </row>
    <row r="117" spans="1:49" x14ac:dyDescent="0.2">
      <c r="A117">
        <v>60</v>
      </c>
      <c r="E117">
        <f t="shared" si="39"/>
        <v>1</v>
      </c>
      <c r="F117" s="5" t="s">
        <v>477</v>
      </c>
      <c r="G117" s="5" t="s">
        <v>471</v>
      </c>
      <c r="H117" s="5" t="s">
        <v>478</v>
      </c>
      <c r="I117" s="7" t="s">
        <v>479</v>
      </c>
      <c r="J117" t="str">
        <f t="shared" si="46"/>
        <v>16</v>
      </c>
      <c r="K117" t="str">
        <f t="shared" si="47"/>
        <v>01</v>
      </c>
      <c r="L117" t="str">
        <f t="shared" si="48"/>
        <v>15</v>
      </c>
      <c r="M117" s="6" t="str">
        <f t="shared" si="49"/>
        <v>59</v>
      </c>
      <c r="N117" t="s">
        <v>178</v>
      </c>
      <c r="O117">
        <v>44</v>
      </c>
      <c r="P117" t="s">
        <v>424</v>
      </c>
      <c r="Q117" t="s">
        <v>15</v>
      </c>
      <c r="Y117" t="str">
        <f t="shared" si="29"/>
        <v/>
      </c>
      <c r="Z117" t="str">
        <f t="shared" si="30"/>
        <v/>
      </c>
      <c r="AC117" t="str">
        <f t="shared" si="31"/>
        <v>Possession</v>
      </c>
      <c r="AD117" t="str">
        <f t="shared" si="32"/>
        <v/>
      </c>
      <c r="AE117" t="str">
        <f t="shared" si="33"/>
        <v/>
      </c>
      <c r="AF117" t="str">
        <f t="shared" si="34"/>
        <v>Offensive</v>
      </c>
      <c r="AG117">
        <f t="shared" si="40"/>
        <v>18981</v>
      </c>
      <c r="AH117" t="str">
        <f t="shared" si="41"/>
        <v>Nelson</v>
      </c>
      <c r="AI117" t="str">
        <f t="shared" si="42"/>
        <v>Velodrome</v>
      </c>
      <c r="AJ117" s="18">
        <f t="shared" si="35"/>
        <v>2</v>
      </c>
      <c r="AP117" s="18">
        <f t="shared" si="36"/>
        <v>0</v>
      </c>
      <c r="AQ117">
        <f t="shared" si="37"/>
        <v>0</v>
      </c>
      <c r="AR117" s="23">
        <f t="shared" si="38"/>
        <v>119</v>
      </c>
      <c r="AS117">
        <f t="shared" si="43"/>
        <v>114</v>
      </c>
      <c r="AT117" s="21">
        <f t="shared" si="44"/>
        <v>121</v>
      </c>
      <c r="AU117" s="21"/>
      <c r="AV117" s="21"/>
      <c r="AW117" s="21"/>
    </row>
    <row r="118" spans="1:49" x14ac:dyDescent="0.2">
      <c r="A118">
        <v>61</v>
      </c>
      <c r="E118">
        <f t="shared" si="39"/>
        <v>1</v>
      </c>
      <c r="F118" s="5" t="s">
        <v>478</v>
      </c>
      <c r="G118" s="5" t="s">
        <v>479</v>
      </c>
      <c r="J118" t="str">
        <f t="shared" si="46"/>
        <v>15</v>
      </c>
      <c r="K118" t="str">
        <f t="shared" si="47"/>
        <v>59</v>
      </c>
      <c r="L118" t="str">
        <f t="shared" si="48"/>
        <v/>
      </c>
      <c r="M118" s="6" t="str">
        <f t="shared" si="49"/>
        <v/>
      </c>
      <c r="N118" t="s">
        <v>178</v>
      </c>
      <c r="O118">
        <v>44</v>
      </c>
      <c r="P118" t="s">
        <v>424</v>
      </c>
      <c r="Q118" t="s">
        <v>8</v>
      </c>
      <c r="R118" t="s">
        <v>209</v>
      </c>
      <c r="S118" t="s">
        <v>69</v>
      </c>
      <c r="Y118" t="str">
        <f t="shared" si="29"/>
        <v/>
      </c>
      <c r="Z118" t="str">
        <f t="shared" si="30"/>
        <v/>
      </c>
      <c r="AC118" t="str">
        <f t="shared" si="31"/>
        <v>Pass</v>
      </c>
      <c r="AD118" t="str">
        <f t="shared" si="32"/>
        <v>Pass_Deflected</v>
      </c>
      <c r="AE118" t="str">
        <f t="shared" si="33"/>
        <v>Pass-Backhand</v>
      </c>
      <c r="AF118" t="str">
        <f t="shared" si="34"/>
        <v>Offensive</v>
      </c>
      <c r="AG118">
        <f t="shared" si="40"/>
        <v>18981</v>
      </c>
      <c r="AH118" t="str">
        <f t="shared" si="41"/>
        <v>Nelson</v>
      </c>
      <c r="AI118" t="str">
        <f t="shared" si="42"/>
        <v>Velodrome</v>
      </c>
      <c r="AJ118" s="18">
        <f t="shared" si="35"/>
        <v>0</v>
      </c>
      <c r="AP118" s="18">
        <f t="shared" si="36"/>
        <v>0</v>
      </c>
      <c r="AQ118">
        <f t="shared" si="37"/>
        <v>0</v>
      </c>
      <c r="AR118" s="23">
        <f t="shared" si="38"/>
        <v>121</v>
      </c>
      <c r="AS118">
        <f t="shared" si="43"/>
        <v>116</v>
      </c>
      <c r="AT118" s="21">
        <f t="shared" si="44"/>
        <v>121</v>
      </c>
      <c r="AU118" s="21"/>
      <c r="AV118" s="21"/>
      <c r="AW118" s="21"/>
    </row>
    <row r="119" spans="1:49" x14ac:dyDescent="0.2">
      <c r="A119">
        <v>61</v>
      </c>
      <c r="E119">
        <f t="shared" si="39"/>
        <v>1</v>
      </c>
      <c r="J119" t="str">
        <f t="shared" si="46"/>
        <v>15</v>
      </c>
      <c r="K119" t="str">
        <f t="shared" si="47"/>
        <v>59</v>
      </c>
      <c r="L119" t="str">
        <f t="shared" si="48"/>
        <v/>
      </c>
      <c r="M119" s="6" t="str">
        <f t="shared" si="49"/>
        <v/>
      </c>
      <c r="N119" t="str">
        <f t="shared" si="45"/>
        <v>Home</v>
      </c>
      <c r="O119">
        <v>52</v>
      </c>
      <c r="P119" t="s">
        <v>425</v>
      </c>
      <c r="Y119" t="str">
        <f t="shared" si="29"/>
        <v/>
      </c>
      <c r="Z119" t="str">
        <f t="shared" si="30"/>
        <v/>
      </c>
      <c r="AC119" t="str">
        <f t="shared" si="31"/>
        <v>Pass</v>
      </c>
      <c r="AD119" t="str">
        <f t="shared" si="32"/>
        <v>Pass_Deflected</v>
      </c>
      <c r="AE119" t="str">
        <f t="shared" si="33"/>
        <v>Pass-Backhand</v>
      </c>
      <c r="AF119" t="str">
        <f t="shared" si="34"/>
        <v>Defensive</v>
      </c>
      <c r="AG119">
        <f t="shared" si="40"/>
        <v>18981</v>
      </c>
      <c r="AH119" t="str">
        <f t="shared" si="41"/>
        <v>Nelson</v>
      </c>
      <c r="AI119" t="str">
        <f t="shared" si="42"/>
        <v>Velodrome</v>
      </c>
      <c r="AJ119" s="18">
        <f t="shared" si="35"/>
        <v>0</v>
      </c>
      <c r="AP119" s="18">
        <f t="shared" si="36"/>
        <v>0</v>
      </c>
      <c r="AQ119">
        <f t="shared" si="37"/>
        <v>0</v>
      </c>
      <c r="AR119" s="23">
        <f t="shared" si="38"/>
        <v>121</v>
      </c>
      <c r="AS119">
        <f t="shared" si="43"/>
        <v>116</v>
      </c>
      <c r="AT119" s="21">
        <f t="shared" si="44"/>
        <v>121</v>
      </c>
      <c r="AU119" s="21"/>
      <c r="AV119" s="21"/>
      <c r="AW119" s="21"/>
    </row>
    <row r="120" spans="1:49" x14ac:dyDescent="0.2">
      <c r="A120">
        <v>62</v>
      </c>
      <c r="E120">
        <f t="shared" si="39"/>
        <v>1</v>
      </c>
      <c r="F120" s="5" t="s">
        <v>478</v>
      </c>
      <c r="G120" s="5" t="s">
        <v>528</v>
      </c>
      <c r="H120" s="5" t="s">
        <v>478</v>
      </c>
      <c r="I120" s="7" t="s">
        <v>527</v>
      </c>
      <c r="J120" t="str">
        <f t="shared" si="46"/>
        <v>15</v>
      </c>
      <c r="K120" t="str">
        <f t="shared" si="47"/>
        <v>56</v>
      </c>
      <c r="L120" t="str">
        <f t="shared" si="48"/>
        <v>15</v>
      </c>
      <c r="M120" s="6" t="str">
        <f t="shared" si="49"/>
        <v>55</v>
      </c>
      <c r="N120" t="s">
        <v>178</v>
      </c>
      <c r="O120">
        <v>80</v>
      </c>
      <c r="P120" t="s">
        <v>424</v>
      </c>
      <c r="Q120" t="s">
        <v>15</v>
      </c>
      <c r="Y120" t="str">
        <f t="shared" si="29"/>
        <v/>
      </c>
      <c r="Z120" t="str">
        <f t="shared" si="30"/>
        <v/>
      </c>
      <c r="AC120" t="str">
        <f t="shared" si="31"/>
        <v>Possession</v>
      </c>
      <c r="AD120" t="str">
        <f t="shared" si="32"/>
        <v/>
      </c>
      <c r="AE120" t="str">
        <f t="shared" si="33"/>
        <v/>
      </c>
      <c r="AF120" t="str">
        <f t="shared" si="34"/>
        <v>Offensive</v>
      </c>
      <c r="AG120">
        <f t="shared" si="40"/>
        <v>18981</v>
      </c>
      <c r="AH120" t="str">
        <f t="shared" si="41"/>
        <v>Nelson</v>
      </c>
      <c r="AI120" t="str">
        <f t="shared" si="42"/>
        <v>Velodrome</v>
      </c>
      <c r="AJ120" s="18">
        <f t="shared" si="35"/>
        <v>1</v>
      </c>
      <c r="AP120" s="18">
        <f t="shared" si="36"/>
        <v>0</v>
      </c>
      <c r="AQ120">
        <f t="shared" si="37"/>
        <v>0</v>
      </c>
      <c r="AR120" s="23">
        <f t="shared" si="38"/>
        <v>124</v>
      </c>
      <c r="AS120">
        <f t="shared" si="43"/>
        <v>119</v>
      </c>
      <c r="AT120" s="21">
        <f t="shared" si="44"/>
        <v>125</v>
      </c>
      <c r="AU120" s="21"/>
      <c r="AV120" s="21"/>
      <c r="AW120" s="21"/>
    </row>
    <row r="121" spans="1:49" x14ac:dyDescent="0.2">
      <c r="A121">
        <v>62</v>
      </c>
      <c r="E121">
        <f t="shared" si="39"/>
        <v>1</v>
      </c>
      <c r="J121" t="str">
        <f t="shared" si="46"/>
        <v>15</v>
      </c>
      <c r="K121" t="str">
        <f t="shared" si="47"/>
        <v>56</v>
      </c>
      <c r="L121" t="str">
        <f t="shared" si="48"/>
        <v>15</v>
      </c>
      <c r="M121" s="6" t="str">
        <f t="shared" si="49"/>
        <v>55</v>
      </c>
      <c r="N121" t="str">
        <f>IF(A121=A120,N120,"")</f>
        <v>Home</v>
      </c>
      <c r="O121">
        <v>42</v>
      </c>
      <c r="P121" t="s">
        <v>425</v>
      </c>
      <c r="Y121" t="str">
        <f t="shared" si="29"/>
        <v/>
      </c>
      <c r="Z121" t="str">
        <f t="shared" si="30"/>
        <v/>
      </c>
      <c r="AC121" t="str">
        <f t="shared" si="31"/>
        <v>Possession</v>
      </c>
      <c r="AD121" t="str">
        <f t="shared" si="32"/>
        <v/>
      </c>
      <c r="AE121" t="str">
        <f t="shared" si="33"/>
        <v/>
      </c>
      <c r="AF121" t="str">
        <f t="shared" si="34"/>
        <v>Defensive</v>
      </c>
      <c r="AG121">
        <f t="shared" si="40"/>
        <v>18981</v>
      </c>
      <c r="AH121" t="str">
        <f t="shared" si="41"/>
        <v>Nelson</v>
      </c>
      <c r="AI121" t="str">
        <f t="shared" si="42"/>
        <v>Velodrome</v>
      </c>
      <c r="AJ121" s="18">
        <f t="shared" si="35"/>
        <v>1</v>
      </c>
      <c r="AP121" s="18">
        <f t="shared" si="36"/>
        <v>0</v>
      </c>
      <c r="AQ121">
        <f t="shared" si="37"/>
        <v>0</v>
      </c>
      <c r="AR121" s="23">
        <f t="shared" si="38"/>
        <v>124</v>
      </c>
      <c r="AS121">
        <f t="shared" si="43"/>
        <v>119</v>
      </c>
      <c r="AT121" s="21">
        <f t="shared" si="44"/>
        <v>125</v>
      </c>
      <c r="AU121" s="21"/>
      <c r="AV121" s="21"/>
      <c r="AW121" s="21"/>
    </row>
    <row r="122" spans="1:49" x14ac:dyDescent="0.2">
      <c r="A122">
        <v>63</v>
      </c>
      <c r="E122">
        <f t="shared" si="39"/>
        <v>1</v>
      </c>
      <c r="F122" s="5" t="s">
        <v>478</v>
      </c>
      <c r="G122" s="5" t="s">
        <v>527</v>
      </c>
      <c r="J122" t="str">
        <f t="shared" si="46"/>
        <v>15</v>
      </c>
      <c r="K122" t="str">
        <f t="shared" si="47"/>
        <v>55</v>
      </c>
      <c r="L122" t="str">
        <f t="shared" si="48"/>
        <v/>
      </c>
      <c r="M122" s="6" t="str">
        <f t="shared" si="49"/>
        <v/>
      </c>
      <c r="N122" t="s">
        <v>178</v>
      </c>
      <c r="O122">
        <v>80</v>
      </c>
      <c r="P122" t="s">
        <v>424</v>
      </c>
      <c r="Q122" t="s">
        <v>10</v>
      </c>
      <c r="R122" t="s">
        <v>190</v>
      </c>
      <c r="S122" t="s">
        <v>73</v>
      </c>
      <c r="Y122" t="str">
        <f t="shared" si="29"/>
        <v/>
      </c>
      <c r="Z122" t="str">
        <f t="shared" si="30"/>
        <v/>
      </c>
      <c r="AC122" t="str">
        <f t="shared" si="31"/>
        <v>Turnover</v>
      </c>
      <c r="AD122" t="str">
        <f t="shared" si="32"/>
        <v>Turnover_Giveaway</v>
      </c>
      <c r="AE122" t="str">
        <f t="shared" si="33"/>
        <v>Giveaway-Misplayed</v>
      </c>
      <c r="AF122" t="str">
        <f t="shared" si="34"/>
        <v>Offensive</v>
      </c>
      <c r="AG122">
        <f t="shared" si="40"/>
        <v>18981</v>
      </c>
      <c r="AH122" t="str">
        <f t="shared" si="41"/>
        <v>Nelson</v>
      </c>
      <c r="AI122" t="str">
        <f t="shared" si="42"/>
        <v>Velodrome</v>
      </c>
      <c r="AJ122" s="18">
        <f t="shared" si="35"/>
        <v>0</v>
      </c>
      <c r="AP122" s="18">
        <f t="shared" si="36"/>
        <v>0</v>
      </c>
      <c r="AQ122">
        <f t="shared" si="37"/>
        <v>0</v>
      </c>
      <c r="AR122" s="23">
        <f t="shared" si="38"/>
        <v>125</v>
      </c>
      <c r="AS122">
        <f t="shared" si="43"/>
        <v>120</v>
      </c>
      <c r="AT122" s="21">
        <f t="shared" si="44"/>
        <v>125</v>
      </c>
      <c r="AU122" s="21"/>
      <c r="AV122" s="21"/>
      <c r="AW122" s="21"/>
    </row>
    <row r="123" spans="1:49" x14ac:dyDescent="0.2">
      <c r="A123">
        <v>64</v>
      </c>
      <c r="E123">
        <f t="shared" si="39"/>
        <v>1</v>
      </c>
      <c r="F123" s="5" t="s">
        <v>478</v>
      </c>
      <c r="G123" s="5" t="s">
        <v>525</v>
      </c>
      <c r="H123" s="5" t="s">
        <v>478</v>
      </c>
      <c r="I123" s="7" t="s">
        <v>523</v>
      </c>
      <c r="J123" t="str">
        <f t="shared" si="46"/>
        <v>15</v>
      </c>
      <c r="K123" t="str">
        <f t="shared" si="47"/>
        <v>53</v>
      </c>
      <c r="L123" t="str">
        <f t="shared" si="48"/>
        <v>15</v>
      </c>
      <c r="M123" s="6" t="str">
        <f t="shared" si="49"/>
        <v>51</v>
      </c>
      <c r="N123" t="s">
        <v>179</v>
      </c>
      <c r="O123">
        <v>52</v>
      </c>
      <c r="P123" t="s">
        <v>424</v>
      </c>
      <c r="Q123" t="s">
        <v>15</v>
      </c>
      <c r="Y123" t="str">
        <f t="shared" si="29"/>
        <v/>
      </c>
      <c r="Z123" t="str">
        <f t="shared" si="30"/>
        <v/>
      </c>
      <c r="AC123" t="str">
        <f t="shared" si="31"/>
        <v>Possession</v>
      </c>
      <c r="AD123" t="str">
        <f t="shared" si="32"/>
        <v/>
      </c>
      <c r="AE123" t="str">
        <f t="shared" si="33"/>
        <v/>
      </c>
      <c r="AF123" t="str">
        <f t="shared" si="34"/>
        <v>Offensive</v>
      </c>
      <c r="AG123">
        <f t="shared" si="40"/>
        <v>18981</v>
      </c>
      <c r="AH123" t="str">
        <f t="shared" si="41"/>
        <v>Nelson</v>
      </c>
      <c r="AI123" t="str">
        <f t="shared" si="42"/>
        <v>Velodrome</v>
      </c>
      <c r="AJ123" s="18">
        <f t="shared" si="35"/>
        <v>2</v>
      </c>
      <c r="AP123" s="18">
        <f t="shared" si="36"/>
        <v>0</v>
      </c>
      <c r="AQ123">
        <f t="shared" si="37"/>
        <v>0</v>
      </c>
      <c r="AR123" s="23">
        <f t="shared" si="38"/>
        <v>127</v>
      </c>
      <c r="AS123">
        <f t="shared" si="43"/>
        <v>122</v>
      </c>
      <c r="AT123" s="21">
        <f t="shared" si="44"/>
        <v>129</v>
      </c>
      <c r="AU123" s="21"/>
      <c r="AV123" s="21"/>
      <c r="AW123" s="21"/>
    </row>
    <row r="124" spans="1:49" x14ac:dyDescent="0.2">
      <c r="A124">
        <v>65</v>
      </c>
      <c r="E124">
        <f t="shared" si="39"/>
        <v>1</v>
      </c>
      <c r="F124" s="5" t="s">
        <v>478</v>
      </c>
      <c r="G124" s="5" t="s">
        <v>523</v>
      </c>
      <c r="J124" t="str">
        <f t="shared" si="46"/>
        <v>15</v>
      </c>
      <c r="K124" t="str">
        <f t="shared" si="47"/>
        <v>51</v>
      </c>
      <c r="L124" t="str">
        <f t="shared" si="48"/>
        <v/>
      </c>
      <c r="M124" s="6" t="str">
        <f t="shared" si="49"/>
        <v/>
      </c>
      <c r="N124" t="s">
        <v>179</v>
      </c>
      <c r="O124">
        <v>52</v>
      </c>
      <c r="P124" t="s">
        <v>424</v>
      </c>
      <c r="Q124" t="s">
        <v>8</v>
      </c>
      <c r="R124" t="s">
        <v>189</v>
      </c>
      <c r="S124" t="s">
        <v>70</v>
      </c>
      <c r="Y124" t="str">
        <f t="shared" si="29"/>
        <v/>
      </c>
      <c r="Z124" t="str">
        <f t="shared" si="30"/>
        <v/>
      </c>
      <c r="AC124" t="str">
        <f t="shared" si="31"/>
        <v>Pass</v>
      </c>
      <c r="AD124" t="str">
        <f t="shared" si="32"/>
        <v>Pass_Completed</v>
      </c>
      <c r="AE124" t="str">
        <f t="shared" si="33"/>
        <v>Pass-Forehand</v>
      </c>
      <c r="AF124" t="str">
        <f t="shared" si="34"/>
        <v>Offensive</v>
      </c>
      <c r="AG124">
        <f t="shared" si="40"/>
        <v>18981</v>
      </c>
      <c r="AH124" t="str">
        <f t="shared" si="41"/>
        <v>Nelson</v>
      </c>
      <c r="AI124" t="str">
        <f t="shared" si="42"/>
        <v>Velodrome</v>
      </c>
      <c r="AJ124" s="18">
        <f t="shared" si="35"/>
        <v>0</v>
      </c>
      <c r="AP124" s="18">
        <f t="shared" si="36"/>
        <v>0</v>
      </c>
      <c r="AQ124">
        <f t="shared" si="37"/>
        <v>0</v>
      </c>
      <c r="AR124" s="23">
        <f t="shared" si="38"/>
        <v>129</v>
      </c>
      <c r="AS124">
        <f t="shared" si="43"/>
        <v>124</v>
      </c>
      <c r="AT124" s="21">
        <f t="shared" si="44"/>
        <v>129</v>
      </c>
      <c r="AU124" s="21"/>
      <c r="AV124" s="21"/>
      <c r="AW124" s="21"/>
    </row>
    <row r="125" spans="1:49" x14ac:dyDescent="0.2">
      <c r="A125">
        <v>65</v>
      </c>
      <c r="E125">
        <f t="shared" si="39"/>
        <v>1</v>
      </c>
      <c r="J125" t="str">
        <f t="shared" si="46"/>
        <v>15</v>
      </c>
      <c r="K125" t="str">
        <f t="shared" si="47"/>
        <v>51</v>
      </c>
      <c r="L125" t="str">
        <f t="shared" si="48"/>
        <v/>
      </c>
      <c r="M125" s="6" t="str">
        <f t="shared" si="49"/>
        <v/>
      </c>
      <c r="N125" t="str">
        <f t="shared" si="45"/>
        <v>Away</v>
      </c>
      <c r="O125">
        <v>91</v>
      </c>
      <c r="P125" t="s">
        <v>424</v>
      </c>
      <c r="Y125" t="str">
        <f t="shared" si="29"/>
        <v/>
      </c>
      <c r="Z125" t="str">
        <f t="shared" si="30"/>
        <v/>
      </c>
      <c r="AC125" t="str">
        <f t="shared" si="31"/>
        <v>Pass</v>
      </c>
      <c r="AD125" t="str">
        <f t="shared" si="32"/>
        <v>Pass_Completed</v>
      </c>
      <c r="AE125" t="str">
        <f t="shared" si="33"/>
        <v>Pass-Forehand</v>
      </c>
      <c r="AF125" t="str">
        <f t="shared" si="34"/>
        <v>Offensive</v>
      </c>
      <c r="AG125">
        <f t="shared" si="40"/>
        <v>18981</v>
      </c>
      <c r="AH125" t="str">
        <f t="shared" si="41"/>
        <v>Nelson</v>
      </c>
      <c r="AI125" t="str">
        <f t="shared" si="42"/>
        <v>Velodrome</v>
      </c>
      <c r="AJ125" s="18">
        <f t="shared" si="35"/>
        <v>0</v>
      </c>
      <c r="AP125" s="18">
        <f t="shared" si="36"/>
        <v>0</v>
      </c>
      <c r="AQ125">
        <f t="shared" si="37"/>
        <v>0</v>
      </c>
      <c r="AR125" s="23">
        <f t="shared" si="38"/>
        <v>129</v>
      </c>
      <c r="AS125">
        <f t="shared" si="43"/>
        <v>124</v>
      </c>
      <c r="AT125" s="21">
        <f t="shared" si="44"/>
        <v>129</v>
      </c>
      <c r="AU125" s="21"/>
      <c r="AV125" s="21"/>
      <c r="AW125" s="21"/>
    </row>
    <row r="126" spans="1:49" x14ac:dyDescent="0.2">
      <c r="A126">
        <v>66</v>
      </c>
      <c r="E126">
        <f t="shared" si="39"/>
        <v>1</v>
      </c>
      <c r="F126" s="5" t="s">
        <v>478</v>
      </c>
      <c r="G126" s="5" t="s">
        <v>522</v>
      </c>
      <c r="H126" s="5" t="s">
        <v>478</v>
      </c>
      <c r="I126" s="7" t="s">
        <v>519</v>
      </c>
      <c r="J126" t="str">
        <f t="shared" si="46"/>
        <v>15</v>
      </c>
      <c r="K126" t="str">
        <f t="shared" si="47"/>
        <v>50</v>
      </c>
      <c r="L126" t="str">
        <f t="shared" si="48"/>
        <v>15</v>
      </c>
      <c r="M126" s="6" t="str">
        <f t="shared" si="49"/>
        <v>47</v>
      </c>
      <c r="N126" t="s">
        <v>179</v>
      </c>
      <c r="O126">
        <v>91</v>
      </c>
      <c r="P126" t="s">
        <v>424</v>
      </c>
      <c r="Q126" t="s">
        <v>15</v>
      </c>
      <c r="Y126" t="str">
        <f t="shared" si="29"/>
        <v/>
      </c>
      <c r="Z126" t="str">
        <f t="shared" si="30"/>
        <v/>
      </c>
      <c r="AC126" t="str">
        <f t="shared" si="31"/>
        <v>Possession</v>
      </c>
      <c r="AD126" t="str">
        <f t="shared" si="32"/>
        <v/>
      </c>
      <c r="AE126" t="str">
        <f t="shared" si="33"/>
        <v/>
      </c>
      <c r="AF126" t="str">
        <f t="shared" si="34"/>
        <v>Offensive</v>
      </c>
      <c r="AG126">
        <f t="shared" si="40"/>
        <v>18981</v>
      </c>
      <c r="AH126" t="str">
        <f t="shared" si="41"/>
        <v>Nelson</v>
      </c>
      <c r="AI126" t="str">
        <f t="shared" si="42"/>
        <v>Velodrome</v>
      </c>
      <c r="AJ126" s="18">
        <f t="shared" si="35"/>
        <v>3</v>
      </c>
      <c r="AP126" s="18">
        <f t="shared" si="36"/>
        <v>0</v>
      </c>
      <c r="AQ126">
        <f t="shared" si="37"/>
        <v>0</v>
      </c>
      <c r="AR126" s="23">
        <f t="shared" si="38"/>
        <v>130</v>
      </c>
      <c r="AS126">
        <f t="shared" si="43"/>
        <v>125</v>
      </c>
      <c r="AT126" s="21">
        <f t="shared" si="44"/>
        <v>133</v>
      </c>
      <c r="AU126" s="21"/>
      <c r="AV126" s="21"/>
      <c r="AW126" s="21"/>
    </row>
    <row r="127" spans="1:49" x14ac:dyDescent="0.2">
      <c r="A127">
        <v>67</v>
      </c>
      <c r="E127">
        <f t="shared" si="39"/>
        <v>1</v>
      </c>
      <c r="F127" s="5" t="s">
        <v>478</v>
      </c>
      <c r="G127" s="5" t="s">
        <v>519</v>
      </c>
      <c r="J127" t="str">
        <f t="shared" si="46"/>
        <v>15</v>
      </c>
      <c r="K127" t="str">
        <f t="shared" si="47"/>
        <v>47</v>
      </c>
      <c r="L127" t="str">
        <f t="shared" si="48"/>
        <v/>
      </c>
      <c r="M127" s="6" t="str">
        <f t="shared" si="49"/>
        <v/>
      </c>
      <c r="N127" t="s">
        <v>179</v>
      </c>
      <c r="O127">
        <v>91</v>
      </c>
      <c r="P127" t="s">
        <v>424</v>
      </c>
      <c r="Q127" t="s">
        <v>8</v>
      </c>
      <c r="R127" t="s">
        <v>199</v>
      </c>
      <c r="S127" t="s">
        <v>70</v>
      </c>
      <c r="Y127" t="str">
        <f t="shared" si="29"/>
        <v/>
      </c>
      <c r="Z127" t="str">
        <f t="shared" si="30"/>
        <v/>
      </c>
      <c r="AC127" t="str">
        <f t="shared" si="31"/>
        <v>Pass</v>
      </c>
      <c r="AD127" t="str">
        <f t="shared" si="32"/>
        <v>Pass_Missed</v>
      </c>
      <c r="AE127" t="str">
        <f t="shared" si="33"/>
        <v>Pass-Forehand</v>
      </c>
      <c r="AF127" t="str">
        <f t="shared" si="34"/>
        <v>Offensive</v>
      </c>
      <c r="AG127">
        <f t="shared" si="40"/>
        <v>18981</v>
      </c>
      <c r="AH127" t="str">
        <f t="shared" si="41"/>
        <v>Nelson</v>
      </c>
      <c r="AI127" t="str">
        <f t="shared" si="42"/>
        <v>Velodrome</v>
      </c>
      <c r="AJ127" s="18">
        <f t="shared" si="35"/>
        <v>0</v>
      </c>
      <c r="AP127" s="18">
        <f t="shared" si="36"/>
        <v>0</v>
      </c>
      <c r="AQ127">
        <f t="shared" si="37"/>
        <v>0</v>
      </c>
      <c r="AR127" s="23">
        <f t="shared" si="38"/>
        <v>133</v>
      </c>
      <c r="AS127">
        <f t="shared" si="43"/>
        <v>128</v>
      </c>
      <c r="AT127" s="21">
        <f t="shared" si="44"/>
        <v>133</v>
      </c>
      <c r="AU127" s="21"/>
      <c r="AV127" s="21"/>
      <c r="AW127" s="21"/>
    </row>
    <row r="128" spans="1:49" x14ac:dyDescent="0.2">
      <c r="A128">
        <v>67</v>
      </c>
      <c r="E128">
        <f t="shared" si="39"/>
        <v>1</v>
      </c>
      <c r="J128" t="str">
        <f t="shared" si="46"/>
        <v>15</v>
      </c>
      <c r="K128" t="str">
        <f t="shared" si="47"/>
        <v>47</v>
      </c>
      <c r="L128" t="str">
        <f t="shared" si="48"/>
        <v/>
      </c>
      <c r="M128" s="6" t="str">
        <f t="shared" si="49"/>
        <v/>
      </c>
      <c r="N128" t="str">
        <f t="shared" si="45"/>
        <v>Away</v>
      </c>
      <c r="O128">
        <v>42</v>
      </c>
      <c r="P128" t="s">
        <v>424</v>
      </c>
      <c r="Y128" t="str">
        <f t="shared" si="29"/>
        <v/>
      </c>
      <c r="Z128" t="str">
        <f t="shared" si="30"/>
        <v/>
      </c>
      <c r="AC128" t="str">
        <f t="shared" si="31"/>
        <v>Pass</v>
      </c>
      <c r="AD128" t="str">
        <f t="shared" si="32"/>
        <v>Pass_Missed</v>
      </c>
      <c r="AE128" t="str">
        <f t="shared" si="33"/>
        <v>Pass-Forehand</v>
      </c>
      <c r="AF128" t="str">
        <f t="shared" si="34"/>
        <v>Offensive</v>
      </c>
      <c r="AG128">
        <f t="shared" si="40"/>
        <v>18981</v>
      </c>
      <c r="AH128" t="str">
        <f t="shared" si="41"/>
        <v>Nelson</v>
      </c>
      <c r="AI128" t="str">
        <f t="shared" si="42"/>
        <v>Velodrome</v>
      </c>
      <c r="AJ128" s="18">
        <f t="shared" si="35"/>
        <v>0</v>
      </c>
      <c r="AP128" s="18">
        <f t="shared" si="36"/>
        <v>0</v>
      </c>
      <c r="AQ128">
        <f t="shared" si="37"/>
        <v>0</v>
      </c>
      <c r="AR128" s="23">
        <f t="shared" si="38"/>
        <v>133</v>
      </c>
      <c r="AS128">
        <f t="shared" si="43"/>
        <v>128</v>
      </c>
      <c r="AT128" s="21">
        <f t="shared" si="44"/>
        <v>133</v>
      </c>
      <c r="AU128" s="21"/>
      <c r="AV128" s="21"/>
      <c r="AW128" s="21"/>
    </row>
    <row r="129" spans="1:49" x14ac:dyDescent="0.2">
      <c r="A129">
        <v>68</v>
      </c>
      <c r="E129">
        <f t="shared" si="39"/>
        <v>1</v>
      </c>
      <c r="F129" s="5" t="s">
        <v>478</v>
      </c>
      <c r="G129" s="5" t="s">
        <v>519</v>
      </c>
      <c r="J129" t="str">
        <f t="shared" si="46"/>
        <v>15</v>
      </c>
      <c r="K129" t="str">
        <f t="shared" si="47"/>
        <v>47</v>
      </c>
      <c r="L129" t="str">
        <f t="shared" si="48"/>
        <v/>
      </c>
      <c r="M129" s="6" t="str">
        <f t="shared" si="49"/>
        <v/>
      </c>
      <c r="N129" t="s">
        <v>179</v>
      </c>
      <c r="O129">
        <v>91</v>
      </c>
      <c r="P129" t="s">
        <v>424</v>
      </c>
      <c r="Q129" t="s">
        <v>277</v>
      </c>
      <c r="R129" t="s">
        <v>201</v>
      </c>
      <c r="S129" t="s">
        <v>433</v>
      </c>
      <c r="Y129" t="str">
        <f t="shared" si="29"/>
        <v/>
      </c>
      <c r="Z129" t="str">
        <f t="shared" si="30"/>
        <v/>
      </c>
      <c r="AC129" t="str">
        <f t="shared" si="31"/>
        <v>Zone_Entry_Exit</v>
      </c>
      <c r="AD129" t="str">
        <f t="shared" si="32"/>
        <v>Zone_Exit</v>
      </c>
      <c r="AE129" t="str">
        <f t="shared" si="33"/>
        <v>ZoneExit-PassMiss/Misplay</v>
      </c>
      <c r="AF129" t="str">
        <f t="shared" si="34"/>
        <v>Offensive</v>
      </c>
      <c r="AG129">
        <f t="shared" si="40"/>
        <v>18981</v>
      </c>
      <c r="AH129" t="str">
        <f t="shared" si="41"/>
        <v>Nelson</v>
      </c>
      <c r="AI129" t="str">
        <f t="shared" si="42"/>
        <v>Velodrome</v>
      </c>
      <c r="AJ129" s="18">
        <f t="shared" si="35"/>
        <v>0</v>
      </c>
      <c r="AP129" s="18">
        <f t="shared" si="36"/>
        <v>0</v>
      </c>
      <c r="AQ129">
        <f t="shared" si="37"/>
        <v>0</v>
      </c>
      <c r="AR129" s="23">
        <f t="shared" si="38"/>
        <v>133</v>
      </c>
      <c r="AS129">
        <f t="shared" si="43"/>
        <v>128</v>
      </c>
      <c r="AT129" s="21">
        <f t="shared" si="44"/>
        <v>133</v>
      </c>
      <c r="AU129" s="21"/>
      <c r="AV129" s="21"/>
      <c r="AW129" s="21"/>
    </row>
    <row r="130" spans="1:49" x14ac:dyDescent="0.2">
      <c r="A130">
        <v>68</v>
      </c>
      <c r="E130">
        <f t="shared" si="39"/>
        <v>1</v>
      </c>
      <c r="J130" t="str">
        <f t="shared" si="46"/>
        <v>15</v>
      </c>
      <c r="K130" t="str">
        <f t="shared" si="47"/>
        <v>47</v>
      </c>
      <c r="L130" t="str">
        <f t="shared" si="48"/>
        <v/>
      </c>
      <c r="M130" s="6" t="str">
        <f t="shared" si="49"/>
        <v/>
      </c>
      <c r="N130" t="str">
        <f t="shared" si="45"/>
        <v>Away</v>
      </c>
      <c r="O130">
        <v>42</v>
      </c>
      <c r="P130" t="s">
        <v>424</v>
      </c>
      <c r="Y130" t="str">
        <f t="shared" si="29"/>
        <v/>
      </c>
      <c r="Z130" t="str">
        <f t="shared" si="30"/>
        <v/>
      </c>
      <c r="AC130" t="str">
        <f t="shared" si="31"/>
        <v>Zone_Entry_Exit</v>
      </c>
      <c r="AD130" t="str">
        <f t="shared" si="32"/>
        <v>Zone_Exit</v>
      </c>
      <c r="AE130" t="str">
        <f t="shared" si="33"/>
        <v>ZoneExit-PassMiss/Misplay</v>
      </c>
      <c r="AF130" t="str">
        <f t="shared" si="34"/>
        <v>Offensive</v>
      </c>
      <c r="AG130">
        <f t="shared" si="40"/>
        <v>18981</v>
      </c>
      <c r="AH130" t="str">
        <f t="shared" si="41"/>
        <v>Nelson</v>
      </c>
      <c r="AI130" t="str">
        <f t="shared" si="42"/>
        <v>Velodrome</v>
      </c>
      <c r="AJ130" s="18">
        <f t="shared" si="35"/>
        <v>0</v>
      </c>
      <c r="AP130" s="18">
        <f t="shared" si="36"/>
        <v>0</v>
      </c>
      <c r="AQ130">
        <f t="shared" si="37"/>
        <v>0</v>
      </c>
      <c r="AR130" s="23">
        <f t="shared" si="38"/>
        <v>133</v>
      </c>
      <c r="AS130">
        <f t="shared" si="43"/>
        <v>128</v>
      </c>
      <c r="AT130" s="21">
        <f t="shared" si="44"/>
        <v>133</v>
      </c>
      <c r="AU130" s="21"/>
      <c r="AV130" s="21"/>
      <c r="AW130" s="21"/>
    </row>
    <row r="131" spans="1:49" x14ac:dyDescent="0.2">
      <c r="A131">
        <v>69</v>
      </c>
      <c r="E131">
        <f t="shared" si="39"/>
        <v>1</v>
      </c>
      <c r="F131" s="5" t="s">
        <v>478</v>
      </c>
      <c r="G131" s="5" t="s">
        <v>516</v>
      </c>
      <c r="H131" s="5" t="s">
        <v>478</v>
      </c>
      <c r="I131" s="7" t="s">
        <v>513</v>
      </c>
      <c r="J131" t="str">
        <f t="shared" si="46"/>
        <v>15</v>
      </c>
      <c r="K131" t="str">
        <f t="shared" si="47"/>
        <v>44</v>
      </c>
      <c r="L131" t="str">
        <f t="shared" si="48"/>
        <v>15</v>
      </c>
      <c r="M131" s="6" t="str">
        <f t="shared" si="49"/>
        <v>41</v>
      </c>
      <c r="N131" t="s">
        <v>178</v>
      </c>
      <c r="O131">
        <v>80</v>
      </c>
      <c r="P131" t="s">
        <v>424</v>
      </c>
      <c r="Q131" t="s">
        <v>15</v>
      </c>
      <c r="Y131" t="str">
        <f t="shared" ref="Y131:Y194" si="50">IF($N131="","",IF(X131="","",IF($N131="Home",$X131,IF($X131="n","n",IF($X131="d","o",IF($X131="o","d",""))))))</f>
        <v/>
      </c>
      <c r="Z131" t="str">
        <f t="shared" ref="Z131:Z194" si="51">IF($N131="","",IF(X131="","",IF($N131="Away",$X131,IF($X131="n","n",IF($X131="d","o",IF($X131="o","d",""))))))</f>
        <v/>
      </c>
      <c r="AC131" t="str">
        <f t="shared" ref="AC131:AC194" si="52">IF(Q131&lt;&gt;"",Q131,IF($A131=$A130,AC130,""))</f>
        <v>Possession</v>
      </c>
      <c r="AD131" t="str">
        <f t="shared" ref="AD131:AD194" si="53">IF(R131&lt;&gt;"",R131,IF($A131=$A130,AD130,""))</f>
        <v/>
      </c>
      <c r="AE131" t="str">
        <f t="shared" ref="AE131:AE194" si="54">IF(S131&lt;&gt;"",S131,IF($A131=$A130,AE130,""))</f>
        <v/>
      </c>
      <c r="AF131" t="str">
        <f t="shared" ref="AF131:AF194" si="55">IF(AND(P131="e",OR(AC131="Save",AD131="Turnover_Takeaway",AD131="Play_Defensive")),"Defensive",IF(AND(P131="o",OR(AC131="Save",AD131="Turnover_Takeaway",AD131="Play_Defensive")),"Offensive",IF(OR(AC131="Deadice",AC131="Stoppage",AC131="Intermission"),"",IF(P131="e","Offensive",IF(P131="o","Defensive","")))))</f>
        <v>Offensive</v>
      </c>
      <c r="AG131">
        <f t="shared" si="40"/>
        <v>18981</v>
      </c>
      <c r="AH131" t="str">
        <f t="shared" si="41"/>
        <v>Nelson</v>
      </c>
      <c r="AI131" t="str">
        <f t="shared" si="42"/>
        <v>Velodrome</v>
      </c>
      <c r="AJ131" s="18">
        <f t="shared" ref="AJ131:AJ194" si="56">IF(AND(L131="",M131=""),0,((J131*60)+K131)-((L131*60)+M131))</f>
        <v>3</v>
      </c>
      <c r="AP131" s="18">
        <f t="shared" ref="AP131:AP194" si="57">SUMIFS(AJ131:AJ131,Q131:Q131,"=Intermission")</f>
        <v>0</v>
      </c>
      <c r="AQ131">
        <f t="shared" ref="AQ131:AQ194" si="58">IF(E131=1,0,IF(E131=2,1080+AP131,IF(E131=3,(1080*2)+AP131,0)))</f>
        <v>0</v>
      </c>
      <c r="AR131" s="23">
        <f t="shared" ref="AR131:AR194" si="59">IF(Q131="Intermission",AR130,((1080)-((J131*60)+K131))+AQ131)</f>
        <v>136</v>
      </c>
      <c r="AS131">
        <f t="shared" si="43"/>
        <v>131</v>
      </c>
      <c r="AT131" s="21">
        <f t="shared" si="44"/>
        <v>139</v>
      </c>
      <c r="AU131" s="21"/>
      <c r="AV131" s="21"/>
      <c r="AW131" s="21"/>
    </row>
    <row r="132" spans="1:49" x14ac:dyDescent="0.2">
      <c r="A132">
        <v>69</v>
      </c>
      <c r="E132">
        <f t="shared" ref="E132:E195" si="60">IF(Q132="Intermission",E131+1,E131)</f>
        <v>1</v>
      </c>
      <c r="J132" t="str">
        <f t="shared" si="46"/>
        <v>15</v>
      </c>
      <c r="K132" t="str">
        <f t="shared" si="47"/>
        <v>44</v>
      </c>
      <c r="L132" t="str">
        <f t="shared" si="48"/>
        <v>15</v>
      </c>
      <c r="M132" s="6" t="str">
        <f t="shared" si="49"/>
        <v>41</v>
      </c>
      <c r="N132" t="str">
        <f t="shared" si="45"/>
        <v>Home</v>
      </c>
      <c r="O132">
        <v>42</v>
      </c>
      <c r="P132" t="s">
        <v>425</v>
      </c>
      <c r="Y132" t="str">
        <f t="shared" si="50"/>
        <v/>
      </c>
      <c r="Z132" t="str">
        <f t="shared" si="51"/>
        <v/>
      </c>
      <c r="AC132" t="str">
        <f t="shared" si="52"/>
        <v>Possession</v>
      </c>
      <c r="AD132" t="str">
        <f t="shared" si="53"/>
        <v/>
      </c>
      <c r="AE132" t="str">
        <f t="shared" si="54"/>
        <v/>
      </c>
      <c r="AF132" t="str">
        <f t="shared" si="55"/>
        <v>Defensive</v>
      </c>
      <c r="AG132">
        <f t="shared" ref="AG132:AG195" si="61">AG131</f>
        <v>18981</v>
      </c>
      <c r="AH132" t="str">
        <f t="shared" ref="AH132:AH195" si="62">AH131</f>
        <v>Nelson</v>
      </c>
      <c r="AI132" t="str">
        <f t="shared" ref="AI132:AI195" si="63">AI131</f>
        <v>Velodrome</v>
      </c>
      <c r="AJ132" s="18">
        <f t="shared" si="56"/>
        <v>3</v>
      </c>
      <c r="AP132" s="18">
        <f t="shared" si="57"/>
        <v>0</v>
      </c>
      <c r="AQ132">
        <f t="shared" si="58"/>
        <v>0</v>
      </c>
      <c r="AR132" s="23">
        <f t="shared" si="59"/>
        <v>136</v>
      </c>
      <c r="AS132">
        <f t="shared" ref="AS132:AS195" si="64">IF(AR132&lt;5,0,AR132-5)</f>
        <v>131</v>
      </c>
      <c r="AT132" s="21">
        <f t="shared" ref="AT132:AT195" si="65">AS132+AJ132+5</f>
        <v>139</v>
      </c>
      <c r="AU132" s="21"/>
      <c r="AV132" s="21"/>
      <c r="AW132" s="21"/>
    </row>
    <row r="133" spans="1:49" x14ac:dyDescent="0.2">
      <c r="A133">
        <v>69</v>
      </c>
      <c r="E133">
        <f t="shared" si="60"/>
        <v>1</v>
      </c>
      <c r="J133" t="str">
        <f t="shared" si="46"/>
        <v>15</v>
      </c>
      <c r="K133" t="str">
        <f t="shared" si="47"/>
        <v>44</v>
      </c>
      <c r="L133" t="str">
        <f t="shared" si="48"/>
        <v>15</v>
      </c>
      <c r="M133" s="6" t="str">
        <f t="shared" si="49"/>
        <v>41</v>
      </c>
      <c r="N133" t="str">
        <f t="shared" si="45"/>
        <v>Home</v>
      </c>
      <c r="O133">
        <v>75</v>
      </c>
      <c r="P133" t="s">
        <v>425</v>
      </c>
      <c r="Y133" t="str">
        <f t="shared" si="50"/>
        <v/>
      </c>
      <c r="Z133" t="str">
        <f t="shared" si="51"/>
        <v/>
      </c>
      <c r="AC133" t="str">
        <f t="shared" si="52"/>
        <v>Possession</v>
      </c>
      <c r="AD133" t="str">
        <f t="shared" si="53"/>
        <v/>
      </c>
      <c r="AE133" t="str">
        <f t="shared" si="54"/>
        <v/>
      </c>
      <c r="AF133" t="str">
        <f t="shared" si="55"/>
        <v>Defensive</v>
      </c>
      <c r="AG133">
        <f t="shared" si="61"/>
        <v>18981</v>
      </c>
      <c r="AH133" t="str">
        <f t="shared" si="62"/>
        <v>Nelson</v>
      </c>
      <c r="AI133" t="str">
        <f t="shared" si="63"/>
        <v>Velodrome</v>
      </c>
      <c r="AJ133" s="18">
        <f t="shared" si="56"/>
        <v>3</v>
      </c>
      <c r="AP133" s="18">
        <f t="shared" si="57"/>
        <v>0</v>
      </c>
      <c r="AQ133">
        <f t="shared" si="58"/>
        <v>0</v>
      </c>
      <c r="AR133" s="23">
        <f t="shared" si="59"/>
        <v>136</v>
      </c>
      <c r="AS133">
        <f t="shared" si="64"/>
        <v>131</v>
      </c>
      <c r="AT133" s="21">
        <f t="shared" si="65"/>
        <v>139</v>
      </c>
      <c r="AU133" s="21"/>
      <c r="AV133" s="21"/>
      <c r="AW133" s="21"/>
    </row>
    <row r="134" spans="1:49" x14ac:dyDescent="0.2">
      <c r="A134">
        <v>70</v>
      </c>
      <c r="E134">
        <f t="shared" si="60"/>
        <v>1</v>
      </c>
      <c r="F134" s="5" t="s">
        <v>478</v>
      </c>
      <c r="G134" s="5" t="s">
        <v>513</v>
      </c>
      <c r="H134" s="5" t="s">
        <v>478</v>
      </c>
      <c r="I134" s="7" t="s">
        <v>511</v>
      </c>
      <c r="J134" t="str">
        <f t="shared" si="46"/>
        <v>15</v>
      </c>
      <c r="K134" t="str">
        <f t="shared" si="47"/>
        <v>41</v>
      </c>
      <c r="L134" t="str">
        <f t="shared" si="48"/>
        <v>15</v>
      </c>
      <c r="M134" s="6" t="str">
        <f t="shared" si="49"/>
        <v>39</v>
      </c>
      <c r="N134" t="s">
        <v>178</v>
      </c>
      <c r="O134">
        <v>80</v>
      </c>
      <c r="P134" t="s">
        <v>424</v>
      </c>
      <c r="Q134" t="s">
        <v>277</v>
      </c>
      <c r="R134" t="s">
        <v>191</v>
      </c>
      <c r="S134" t="s">
        <v>87</v>
      </c>
      <c r="Y134" t="str">
        <f t="shared" si="50"/>
        <v/>
      </c>
      <c r="Z134" t="str">
        <f t="shared" si="51"/>
        <v/>
      </c>
      <c r="AC134" t="str">
        <f t="shared" si="52"/>
        <v>Zone_Entry_Exit</v>
      </c>
      <c r="AD134" t="str">
        <f t="shared" si="53"/>
        <v>Zone_Entry</v>
      </c>
      <c r="AE134" t="str">
        <f t="shared" si="54"/>
        <v>ZoneEntry-Rush</v>
      </c>
      <c r="AF134" t="str">
        <f t="shared" si="55"/>
        <v>Offensive</v>
      </c>
      <c r="AG134">
        <f t="shared" si="61"/>
        <v>18981</v>
      </c>
      <c r="AH134" t="str">
        <f t="shared" si="62"/>
        <v>Nelson</v>
      </c>
      <c r="AI134" t="str">
        <f t="shared" si="63"/>
        <v>Velodrome</v>
      </c>
      <c r="AJ134" s="18">
        <f t="shared" si="56"/>
        <v>2</v>
      </c>
      <c r="AP134" s="18">
        <f t="shared" si="57"/>
        <v>0</v>
      </c>
      <c r="AQ134">
        <f t="shared" si="58"/>
        <v>0</v>
      </c>
      <c r="AR134" s="23">
        <f t="shared" si="59"/>
        <v>139</v>
      </c>
      <c r="AS134">
        <f t="shared" si="64"/>
        <v>134</v>
      </c>
      <c r="AT134" s="21">
        <f t="shared" si="65"/>
        <v>141</v>
      </c>
      <c r="AU134" s="21"/>
      <c r="AV134" s="21"/>
      <c r="AW134" s="21"/>
    </row>
    <row r="135" spans="1:49" x14ac:dyDescent="0.2">
      <c r="A135">
        <v>70</v>
      </c>
      <c r="E135">
        <f t="shared" si="60"/>
        <v>1</v>
      </c>
      <c r="J135" t="str">
        <f t="shared" si="46"/>
        <v>15</v>
      </c>
      <c r="K135" t="str">
        <f t="shared" si="47"/>
        <v>41</v>
      </c>
      <c r="L135" t="str">
        <f t="shared" si="48"/>
        <v>15</v>
      </c>
      <c r="M135" s="6" t="str">
        <f t="shared" si="49"/>
        <v>39</v>
      </c>
      <c r="N135" t="str">
        <f t="shared" ref="N135:N193" si="66">IF(A135=A134,N134,"")</f>
        <v>Home</v>
      </c>
      <c r="O135">
        <v>52</v>
      </c>
      <c r="P135" t="s">
        <v>425</v>
      </c>
      <c r="Y135" t="str">
        <f t="shared" si="50"/>
        <v/>
      </c>
      <c r="Z135" t="str">
        <f t="shared" si="51"/>
        <v/>
      </c>
      <c r="AC135" t="str">
        <f t="shared" si="52"/>
        <v>Zone_Entry_Exit</v>
      </c>
      <c r="AD135" t="str">
        <f t="shared" si="53"/>
        <v>Zone_Entry</v>
      </c>
      <c r="AE135" t="str">
        <f t="shared" si="54"/>
        <v>ZoneEntry-Rush</v>
      </c>
      <c r="AF135" t="str">
        <f t="shared" si="55"/>
        <v>Defensive</v>
      </c>
      <c r="AG135">
        <f t="shared" si="61"/>
        <v>18981</v>
      </c>
      <c r="AH135" t="str">
        <f t="shared" si="62"/>
        <v>Nelson</v>
      </c>
      <c r="AI135" t="str">
        <f t="shared" si="63"/>
        <v>Velodrome</v>
      </c>
      <c r="AJ135" s="18">
        <f t="shared" si="56"/>
        <v>2</v>
      </c>
      <c r="AP135" s="18">
        <f t="shared" si="57"/>
        <v>0</v>
      </c>
      <c r="AQ135">
        <f t="shared" si="58"/>
        <v>0</v>
      </c>
      <c r="AR135" s="23">
        <f t="shared" si="59"/>
        <v>139</v>
      </c>
      <c r="AS135">
        <f t="shared" si="64"/>
        <v>134</v>
      </c>
      <c r="AT135" s="21">
        <f t="shared" si="65"/>
        <v>141</v>
      </c>
      <c r="AU135" s="21"/>
      <c r="AV135" s="21"/>
      <c r="AW135" s="21"/>
    </row>
    <row r="136" spans="1:49" x14ac:dyDescent="0.2">
      <c r="A136">
        <v>70</v>
      </c>
      <c r="E136">
        <f t="shared" si="60"/>
        <v>1</v>
      </c>
      <c r="J136" t="str">
        <f t="shared" si="46"/>
        <v>15</v>
      </c>
      <c r="K136" t="str">
        <f t="shared" si="47"/>
        <v>41</v>
      </c>
      <c r="L136" t="str">
        <f t="shared" si="48"/>
        <v>15</v>
      </c>
      <c r="M136" s="6" t="str">
        <f t="shared" si="49"/>
        <v>39</v>
      </c>
      <c r="N136" t="str">
        <f t="shared" si="66"/>
        <v>Home</v>
      </c>
      <c r="O136">
        <v>42</v>
      </c>
      <c r="P136" t="s">
        <v>425</v>
      </c>
      <c r="Y136" t="str">
        <f t="shared" si="50"/>
        <v/>
      </c>
      <c r="Z136" t="str">
        <f t="shared" si="51"/>
        <v/>
      </c>
      <c r="AC136" t="str">
        <f t="shared" si="52"/>
        <v>Zone_Entry_Exit</v>
      </c>
      <c r="AD136" t="str">
        <f t="shared" si="53"/>
        <v>Zone_Entry</v>
      </c>
      <c r="AE136" t="str">
        <f t="shared" si="54"/>
        <v>ZoneEntry-Rush</v>
      </c>
      <c r="AF136" t="str">
        <f t="shared" si="55"/>
        <v>Defensive</v>
      </c>
      <c r="AG136">
        <f t="shared" si="61"/>
        <v>18981</v>
      </c>
      <c r="AH136" t="str">
        <f t="shared" si="62"/>
        <v>Nelson</v>
      </c>
      <c r="AI136" t="str">
        <f t="shared" si="63"/>
        <v>Velodrome</v>
      </c>
      <c r="AJ136" s="18">
        <f t="shared" si="56"/>
        <v>2</v>
      </c>
      <c r="AP136" s="18">
        <f t="shared" si="57"/>
        <v>0</v>
      </c>
      <c r="AQ136">
        <f t="shared" si="58"/>
        <v>0</v>
      </c>
      <c r="AR136" s="23">
        <f t="shared" si="59"/>
        <v>139</v>
      </c>
      <c r="AS136">
        <f t="shared" si="64"/>
        <v>134</v>
      </c>
      <c r="AT136" s="21">
        <f t="shared" si="65"/>
        <v>141</v>
      </c>
      <c r="AU136" s="21"/>
      <c r="AV136" s="21"/>
      <c r="AW136" s="21"/>
    </row>
    <row r="137" spans="1:49" x14ac:dyDescent="0.2">
      <c r="A137">
        <v>70</v>
      </c>
      <c r="E137">
        <f t="shared" si="60"/>
        <v>1</v>
      </c>
      <c r="J137" t="str">
        <f t="shared" ref="J137:J200" si="67">IF(F137&lt;&gt;"",F137,IF($A137=$A136,J136,J137))</f>
        <v>15</v>
      </c>
      <c r="K137" t="str">
        <f t="shared" ref="K137:K200" si="68">IF($A137=$A136,K136,G137)</f>
        <v>41</v>
      </c>
      <c r="L137" t="str">
        <f t="shared" ref="L137:L200" si="69">IF(H137&lt;&gt;"",H137,IF($A137=$A136,L136,""))</f>
        <v>15</v>
      </c>
      <c r="M137" s="6" t="str">
        <f t="shared" ref="M137:M200" si="70">IF(I137&lt;&gt;"",I137,IF($A137=$A136,M136,""))</f>
        <v>39</v>
      </c>
      <c r="N137" t="str">
        <f t="shared" si="66"/>
        <v>Home</v>
      </c>
      <c r="O137">
        <v>91</v>
      </c>
      <c r="P137" t="s">
        <v>425</v>
      </c>
      <c r="Y137" t="str">
        <f t="shared" si="50"/>
        <v/>
      </c>
      <c r="Z137" t="str">
        <f t="shared" si="51"/>
        <v/>
      </c>
      <c r="AC137" t="str">
        <f t="shared" si="52"/>
        <v>Zone_Entry_Exit</v>
      </c>
      <c r="AD137" t="str">
        <f t="shared" si="53"/>
        <v>Zone_Entry</v>
      </c>
      <c r="AE137" t="str">
        <f t="shared" si="54"/>
        <v>ZoneEntry-Rush</v>
      </c>
      <c r="AF137" t="str">
        <f t="shared" si="55"/>
        <v>Defensive</v>
      </c>
      <c r="AG137">
        <f t="shared" si="61"/>
        <v>18981</v>
      </c>
      <c r="AH137" t="str">
        <f t="shared" si="62"/>
        <v>Nelson</v>
      </c>
      <c r="AI137" t="str">
        <f t="shared" si="63"/>
        <v>Velodrome</v>
      </c>
      <c r="AJ137" s="18">
        <f t="shared" si="56"/>
        <v>2</v>
      </c>
      <c r="AP137" s="18">
        <f t="shared" si="57"/>
        <v>0</v>
      </c>
      <c r="AQ137">
        <f t="shared" si="58"/>
        <v>0</v>
      </c>
      <c r="AR137" s="23">
        <f t="shared" si="59"/>
        <v>139</v>
      </c>
      <c r="AS137">
        <f t="shared" si="64"/>
        <v>134</v>
      </c>
      <c r="AT137" s="21">
        <f t="shared" si="65"/>
        <v>141</v>
      </c>
      <c r="AU137" s="21"/>
      <c r="AV137" s="21"/>
      <c r="AW137" s="21"/>
    </row>
    <row r="138" spans="1:49" x14ac:dyDescent="0.2">
      <c r="A138">
        <v>70</v>
      </c>
      <c r="E138">
        <f t="shared" si="60"/>
        <v>1</v>
      </c>
      <c r="J138" t="str">
        <f t="shared" si="67"/>
        <v>15</v>
      </c>
      <c r="K138" t="str">
        <f t="shared" si="68"/>
        <v>41</v>
      </c>
      <c r="L138" t="str">
        <f t="shared" si="69"/>
        <v>15</v>
      </c>
      <c r="M138" s="6" t="str">
        <f t="shared" si="70"/>
        <v>39</v>
      </c>
      <c r="N138" t="str">
        <f t="shared" si="66"/>
        <v>Home</v>
      </c>
      <c r="O138">
        <v>93</v>
      </c>
      <c r="P138" t="s">
        <v>425</v>
      </c>
      <c r="Y138" t="str">
        <f t="shared" si="50"/>
        <v/>
      </c>
      <c r="Z138" t="str">
        <f t="shared" si="51"/>
        <v/>
      </c>
      <c r="AC138" t="str">
        <f t="shared" si="52"/>
        <v>Zone_Entry_Exit</v>
      </c>
      <c r="AD138" t="str">
        <f t="shared" si="53"/>
        <v>Zone_Entry</v>
      </c>
      <c r="AE138" t="str">
        <f t="shared" si="54"/>
        <v>ZoneEntry-Rush</v>
      </c>
      <c r="AF138" t="str">
        <f t="shared" si="55"/>
        <v>Defensive</v>
      </c>
      <c r="AG138">
        <f t="shared" si="61"/>
        <v>18981</v>
      </c>
      <c r="AH138" t="str">
        <f t="shared" si="62"/>
        <v>Nelson</v>
      </c>
      <c r="AI138" t="str">
        <f t="shared" si="63"/>
        <v>Velodrome</v>
      </c>
      <c r="AJ138" s="18">
        <f t="shared" si="56"/>
        <v>2</v>
      </c>
      <c r="AP138" s="18">
        <f t="shared" si="57"/>
        <v>0</v>
      </c>
      <c r="AQ138">
        <f t="shared" si="58"/>
        <v>0</v>
      </c>
      <c r="AR138" s="23">
        <f t="shared" si="59"/>
        <v>139</v>
      </c>
      <c r="AS138">
        <f t="shared" si="64"/>
        <v>134</v>
      </c>
      <c r="AT138" s="21">
        <f t="shared" si="65"/>
        <v>141</v>
      </c>
      <c r="AU138" s="21"/>
      <c r="AV138" s="21"/>
      <c r="AW138" s="21"/>
    </row>
    <row r="139" spans="1:49" x14ac:dyDescent="0.2">
      <c r="A139">
        <v>71</v>
      </c>
      <c r="E139">
        <f t="shared" si="60"/>
        <v>1</v>
      </c>
      <c r="F139" s="5" t="s">
        <v>478</v>
      </c>
      <c r="G139" s="5" t="s">
        <v>511</v>
      </c>
      <c r="J139" t="str">
        <f t="shared" si="67"/>
        <v>15</v>
      </c>
      <c r="K139" t="str">
        <f t="shared" si="68"/>
        <v>39</v>
      </c>
      <c r="L139" t="str">
        <f t="shared" si="69"/>
        <v/>
      </c>
      <c r="M139" s="6" t="str">
        <f t="shared" si="70"/>
        <v/>
      </c>
      <c r="N139" t="s">
        <v>178</v>
      </c>
      <c r="O139">
        <v>80</v>
      </c>
      <c r="P139" t="s">
        <v>424</v>
      </c>
      <c r="Q139" t="s">
        <v>7</v>
      </c>
      <c r="R139" t="s">
        <v>222</v>
      </c>
      <c r="S139" t="s">
        <v>53</v>
      </c>
      <c r="Y139" t="str">
        <f t="shared" si="50"/>
        <v/>
      </c>
      <c r="Z139" t="str">
        <f t="shared" si="51"/>
        <v/>
      </c>
      <c r="AC139" t="str">
        <f t="shared" si="52"/>
        <v>Shot</v>
      </c>
      <c r="AD139" t="str">
        <f t="shared" si="53"/>
        <v>Shot_OnNetSaved</v>
      </c>
      <c r="AE139" t="str">
        <f t="shared" si="54"/>
        <v>Shot-Wrist</v>
      </c>
      <c r="AF139" t="str">
        <f t="shared" si="55"/>
        <v>Offensive</v>
      </c>
      <c r="AG139">
        <f t="shared" si="61"/>
        <v>18981</v>
      </c>
      <c r="AH139" t="str">
        <f t="shared" si="62"/>
        <v>Nelson</v>
      </c>
      <c r="AI139" t="str">
        <f t="shared" si="63"/>
        <v>Velodrome</v>
      </c>
      <c r="AJ139" s="18">
        <f t="shared" si="56"/>
        <v>0</v>
      </c>
      <c r="AP139" s="18">
        <f t="shared" si="57"/>
        <v>0</v>
      </c>
      <c r="AQ139">
        <f t="shared" si="58"/>
        <v>0</v>
      </c>
      <c r="AR139" s="23">
        <f t="shared" si="59"/>
        <v>141</v>
      </c>
      <c r="AS139">
        <f t="shared" si="64"/>
        <v>136</v>
      </c>
      <c r="AT139" s="21">
        <f t="shared" si="65"/>
        <v>141</v>
      </c>
      <c r="AU139" s="21"/>
      <c r="AV139" s="21"/>
      <c r="AW139" s="21"/>
    </row>
    <row r="140" spans="1:49" x14ac:dyDescent="0.2">
      <c r="A140">
        <v>71</v>
      </c>
      <c r="E140">
        <f t="shared" si="60"/>
        <v>1</v>
      </c>
      <c r="J140" t="str">
        <f t="shared" si="67"/>
        <v>15</v>
      </c>
      <c r="K140" t="str">
        <f t="shared" si="68"/>
        <v>39</v>
      </c>
      <c r="L140" t="str">
        <f t="shared" si="69"/>
        <v/>
      </c>
      <c r="M140" s="6" t="str">
        <f t="shared" si="70"/>
        <v/>
      </c>
      <c r="N140" t="str">
        <f t="shared" si="66"/>
        <v>Home</v>
      </c>
      <c r="O140">
        <v>39</v>
      </c>
      <c r="P140" t="s">
        <v>425</v>
      </c>
      <c r="Y140" t="str">
        <f t="shared" si="50"/>
        <v/>
      </c>
      <c r="Z140" t="str">
        <f t="shared" si="51"/>
        <v/>
      </c>
      <c r="AC140" t="str">
        <f t="shared" si="52"/>
        <v>Shot</v>
      </c>
      <c r="AD140" t="str">
        <f t="shared" si="53"/>
        <v>Shot_OnNetSaved</v>
      </c>
      <c r="AE140" t="str">
        <f t="shared" si="54"/>
        <v>Shot-Wrist</v>
      </c>
      <c r="AF140" t="str">
        <f t="shared" si="55"/>
        <v>Defensive</v>
      </c>
      <c r="AG140">
        <f t="shared" si="61"/>
        <v>18981</v>
      </c>
      <c r="AH140" t="str">
        <f t="shared" si="62"/>
        <v>Nelson</v>
      </c>
      <c r="AI140" t="str">
        <f t="shared" si="63"/>
        <v>Velodrome</v>
      </c>
      <c r="AJ140" s="18">
        <f t="shared" si="56"/>
        <v>0</v>
      </c>
      <c r="AP140" s="18">
        <f t="shared" si="57"/>
        <v>0</v>
      </c>
      <c r="AQ140">
        <f t="shared" si="58"/>
        <v>0</v>
      </c>
      <c r="AR140" s="23">
        <f t="shared" si="59"/>
        <v>141</v>
      </c>
      <c r="AS140">
        <f t="shared" si="64"/>
        <v>136</v>
      </c>
      <c r="AT140" s="21">
        <f t="shared" si="65"/>
        <v>141</v>
      </c>
      <c r="AU140" s="21"/>
      <c r="AV140" s="21"/>
      <c r="AW140" s="21"/>
    </row>
    <row r="141" spans="1:49" x14ac:dyDescent="0.2">
      <c r="A141">
        <v>72</v>
      </c>
      <c r="E141">
        <f t="shared" si="60"/>
        <v>1</v>
      </c>
      <c r="F141" s="5" t="s">
        <v>478</v>
      </c>
      <c r="G141" s="5" t="s">
        <v>511</v>
      </c>
      <c r="J141" t="str">
        <f t="shared" si="67"/>
        <v>15</v>
      </c>
      <c r="K141" t="str">
        <f t="shared" si="68"/>
        <v>39</v>
      </c>
      <c r="L141" t="str">
        <f t="shared" si="69"/>
        <v/>
      </c>
      <c r="M141" s="6" t="str">
        <f t="shared" si="70"/>
        <v/>
      </c>
      <c r="N141" t="s">
        <v>179</v>
      </c>
      <c r="O141">
        <v>39</v>
      </c>
      <c r="P141" t="s">
        <v>424</v>
      </c>
      <c r="Q141" t="s">
        <v>17</v>
      </c>
      <c r="R141" t="s">
        <v>206</v>
      </c>
      <c r="S141" t="s">
        <v>96</v>
      </c>
      <c r="Y141" t="str">
        <f t="shared" si="50"/>
        <v/>
      </c>
      <c r="Z141" t="str">
        <f t="shared" si="51"/>
        <v/>
      </c>
      <c r="AC141" t="str">
        <f t="shared" si="52"/>
        <v>Save</v>
      </c>
      <c r="AD141" t="str">
        <f t="shared" si="53"/>
        <v>Save_Freeze</v>
      </c>
      <c r="AE141" t="str">
        <f t="shared" si="54"/>
        <v>Save-Glove</v>
      </c>
      <c r="AF141" t="str">
        <f t="shared" si="55"/>
        <v>Defensive</v>
      </c>
      <c r="AG141">
        <f t="shared" si="61"/>
        <v>18981</v>
      </c>
      <c r="AH141" t="str">
        <f t="shared" si="62"/>
        <v>Nelson</v>
      </c>
      <c r="AI141" t="str">
        <f t="shared" si="63"/>
        <v>Velodrome</v>
      </c>
      <c r="AJ141" s="18">
        <f t="shared" si="56"/>
        <v>0</v>
      </c>
      <c r="AP141" s="18">
        <f t="shared" si="57"/>
        <v>0</v>
      </c>
      <c r="AQ141">
        <f t="shared" si="58"/>
        <v>0</v>
      </c>
      <c r="AR141" s="23">
        <f t="shared" si="59"/>
        <v>141</v>
      </c>
      <c r="AS141">
        <f t="shared" si="64"/>
        <v>136</v>
      </c>
      <c r="AT141" s="21">
        <f t="shared" si="65"/>
        <v>141</v>
      </c>
      <c r="AU141" s="21"/>
      <c r="AV141" s="21"/>
      <c r="AW141" s="21"/>
    </row>
    <row r="142" spans="1:49" x14ac:dyDescent="0.2">
      <c r="A142">
        <v>72</v>
      </c>
      <c r="E142">
        <f t="shared" si="60"/>
        <v>1</v>
      </c>
      <c r="J142" t="str">
        <f t="shared" si="67"/>
        <v>15</v>
      </c>
      <c r="K142" t="str">
        <f t="shared" si="68"/>
        <v>39</v>
      </c>
      <c r="L142" t="str">
        <f t="shared" si="69"/>
        <v/>
      </c>
      <c r="M142" s="6" t="str">
        <f t="shared" si="70"/>
        <v/>
      </c>
      <c r="N142" t="str">
        <f t="shared" si="66"/>
        <v>Away</v>
      </c>
      <c r="O142">
        <v>80</v>
      </c>
      <c r="P142" t="s">
        <v>425</v>
      </c>
      <c r="Y142" t="str">
        <f t="shared" si="50"/>
        <v/>
      </c>
      <c r="Z142" t="str">
        <f t="shared" si="51"/>
        <v/>
      </c>
      <c r="AC142" t="str">
        <f t="shared" si="52"/>
        <v>Save</v>
      </c>
      <c r="AD142" t="str">
        <f t="shared" si="53"/>
        <v>Save_Freeze</v>
      </c>
      <c r="AE142" t="str">
        <f t="shared" si="54"/>
        <v>Save-Glove</v>
      </c>
      <c r="AF142" t="str">
        <f t="shared" si="55"/>
        <v>Offensive</v>
      </c>
      <c r="AG142">
        <f t="shared" si="61"/>
        <v>18981</v>
      </c>
      <c r="AH142" t="str">
        <f t="shared" si="62"/>
        <v>Nelson</v>
      </c>
      <c r="AI142" t="str">
        <f t="shared" si="63"/>
        <v>Velodrome</v>
      </c>
      <c r="AJ142" s="18">
        <f t="shared" si="56"/>
        <v>0</v>
      </c>
      <c r="AP142" s="18">
        <f t="shared" si="57"/>
        <v>0</v>
      </c>
      <c r="AQ142">
        <f t="shared" si="58"/>
        <v>0</v>
      </c>
      <c r="AR142" s="23">
        <f t="shared" si="59"/>
        <v>141</v>
      </c>
      <c r="AS142">
        <f t="shared" si="64"/>
        <v>136</v>
      </c>
      <c r="AT142" s="21">
        <f t="shared" si="65"/>
        <v>141</v>
      </c>
      <c r="AU142" s="21"/>
      <c r="AV142" s="21"/>
      <c r="AW142" s="21"/>
    </row>
    <row r="143" spans="1:49" x14ac:dyDescent="0.2">
      <c r="A143">
        <v>73</v>
      </c>
      <c r="E143">
        <f t="shared" si="60"/>
        <v>1</v>
      </c>
      <c r="F143" s="5" t="s">
        <v>478</v>
      </c>
      <c r="G143" s="5" t="s">
        <v>511</v>
      </c>
      <c r="J143" t="str">
        <f t="shared" si="67"/>
        <v>15</v>
      </c>
      <c r="K143" t="str">
        <f t="shared" si="68"/>
        <v>39</v>
      </c>
      <c r="L143" t="str">
        <f t="shared" si="69"/>
        <v/>
      </c>
      <c r="M143" s="6" t="str">
        <f t="shared" si="70"/>
        <v/>
      </c>
      <c r="N143" t="s">
        <v>179</v>
      </c>
      <c r="O143">
        <v>39</v>
      </c>
      <c r="P143" t="s">
        <v>424</v>
      </c>
      <c r="Q143" t="s">
        <v>13</v>
      </c>
      <c r="R143" t="s">
        <v>204</v>
      </c>
      <c r="S143" t="s">
        <v>110</v>
      </c>
      <c r="Y143" t="str">
        <f t="shared" si="50"/>
        <v/>
      </c>
      <c r="Z143" t="str">
        <f t="shared" si="51"/>
        <v/>
      </c>
      <c r="AC143" t="str">
        <f t="shared" si="52"/>
        <v>Stoppage</v>
      </c>
      <c r="AD143" t="str">
        <f t="shared" si="53"/>
        <v>Stoppage_Play</v>
      </c>
      <c r="AE143" t="str">
        <f t="shared" si="54"/>
        <v>Stoppage-GoalieStoppage</v>
      </c>
      <c r="AF143" t="str">
        <f t="shared" si="55"/>
        <v/>
      </c>
      <c r="AG143">
        <f t="shared" si="61"/>
        <v>18981</v>
      </c>
      <c r="AH143" t="str">
        <f t="shared" si="62"/>
        <v>Nelson</v>
      </c>
      <c r="AI143" t="str">
        <f t="shared" si="63"/>
        <v>Velodrome</v>
      </c>
      <c r="AJ143" s="18">
        <f t="shared" si="56"/>
        <v>0</v>
      </c>
      <c r="AP143" s="18">
        <f t="shared" si="57"/>
        <v>0</v>
      </c>
      <c r="AQ143">
        <f t="shared" si="58"/>
        <v>0</v>
      </c>
      <c r="AR143" s="23">
        <f t="shared" si="59"/>
        <v>141</v>
      </c>
      <c r="AS143">
        <f t="shared" si="64"/>
        <v>136</v>
      </c>
      <c r="AT143" s="21">
        <f t="shared" si="65"/>
        <v>141</v>
      </c>
      <c r="AU143" s="21"/>
      <c r="AV143" s="21"/>
      <c r="AW143" s="21"/>
    </row>
    <row r="144" spans="1:49" x14ac:dyDescent="0.2">
      <c r="A144">
        <v>74</v>
      </c>
      <c r="E144">
        <f t="shared" si="60"/>
        <v>1</v>
      </c>
      <c r="F144" s="5" t="s">
        <v>478</v>
      </c>
      <c r="G144" s="5" t="s">
        <v>511</v>
      </c>
      <c r="H144" s="5" t="s">
        <v>478</v>
      </c>
      <c r="I144" s="7" t="s">
        <v>477</v>
      </c>
      <c r="J144" t="str">
        <f t="shared" si="67"/>
        <v>15</v>
      </c>
      <c r="K144" t="str">
        <f t="shared" si="68"/>
        <v>39</v>
      </c>
      <c r="L144" t="str">
        <f t="shared" si="69"/>
        <v>15</v>
      </c>
      <c r="M144" s="6" t="str">
        <f t="shared" si="70"/>
        <v>16</v>
      </c>
      <c r="N144" t="s">
        <v>179</v>
      </c>
      <c r="O144">
        <v>39</v>
      </c>
      <c r="P144" t="s">
        <v>424</v>
      </c>
      <c r="Q144" t="s">
        <v>282</v>
      </c>
      <c r="Y144" t="str">
        <f t="shared" si="50"/>
        <v/>
      </c>
      <c r="Z144" t="str">
        <f t="shared" si="51"/>
        <v/>
      </c>
      <c r="AC144" t="str">
        <f t="shared" si="52"/>
        <v>DeadIce</v>
      </c>
      <c r="AD144" t="str">
        <f t="shared" si="53"/>
        <v/>
      </c>
      <c r="AE144" t="str">
        <f t="shared" si="54"/>
        <v/>
      </c>
      <c r="AF144" t="str">
        <f t="shared" si="55"/>
        <v/>
      </c>
      <c r="AG144">
        <f t="shared" si="61"/>
        <v>18981</v>
      </c>
      <c r="AH144" t="str">
        <f t="shared" si="62"/>
        <v>Nelson</v>
      </c>
      <c r="AI144" t="str">
        <f t="shared" si="63"/>
        <v>Velodrome</v>
      </c>
      <c r="AJ144" s="18">
        <f t="shared" si="56"/>
        <v>23</v>
      </c>
      <c r="AP144" s="18">
        <f t="shared" si="57"/>
        <v>0</v>
      </c>
      <c r="AQ144">
        <f t="shared" si="58"/>
        <v>0</v>
      </c>
      <c r="AR144" s="23">
        <f t="shared" si="59"/>
        <v>141</v>
      </c>
      <c r="AS144">
        <f t="shared" si="64"/>
        <v>136</v>
      </c>
      <c r="AT144" s="21">
        <f t="shared" si="65"/>
        <v>164</v>
      </c>
      <c r="AU144" s="21"/>
      <c r="AV144" s="21"/>
      <c r="AW144" s="21"/>
    </row>
    <row r="145" spans="1:49" x14ac:dyDescent="0.2">
      <c r="A145">
        <v>75</v>
      </c>
      <c r="E145">
        <f t="shared" si="60"/>
        <v>1</v>
      </c>
      <c r="F145" s="5" t="s">
        <v>478</v>
      </c>
      <c r="G145" s="5" t="s">
        <v>477</v>
      </c>
      <c r="J145" t="str">
        <f t="shared" si="67"/>
        <v>15</v>
      </c>
      <c r="K145" t="str">
        <f t="shared" si="68"/>
        <v>16</v>
      </c>
      <c r="L145" t="str">
        <f t="shared" si="69"/>
        <v/>
      </c>
      <c r="M145" s="6" t="str">
        <f t="shared" si="70"/>
        <v/>
      </c>
      <c r="N145" t="s">
        <v>179</v>
      </c>
      <c r="O145">
        <v>49</v>
      </c>
      <c r="P145" t="s">
        <v>424</v>
      </c>
      <c r="Q145" t="s">
        <v>6</v>
      </c>
      <c r="R145" t="s">
        <v>275</v>
      </c>
      <c r="Y145" t="str">
        <f t="shared" si="50"/>
        <v/>
      </c>
      <c r="Z145" t="str">
        <f t="shared" si="51"/>
        <v/>
      </c>
      <c r="AC145" t="str">
        <f t="shared" si="52"/>
        <v>Faceoff</v>
      </c>
      <c r="AD145" t="str">
        <f t="shared" si="53"/>
        <v>Faceoff_AfterStoppage</v>
      </c>
      <c r="AE145" t="str">
        <f t="shared" si="54"/>
        <v/>
      </c>
      <c r="AF145" t="str">
        <f t="shared" si="55"/>
        <v>Offensive</v>
      </c>
      <c r="AG145">
        <f t="shared" si="61"/>
        <v>18981</v>
      </c>
      <c r="AH145" t="str">
        <f t="shared" si="62"/>
        <v>Nelson</v>
      </c>
      <c r="AI145" t="str">
        <f t="shared" si="63"/>
        <v>Velodrome</v>
      </c>
      <c r="AJ145" s="18">
        <f t="shared" si="56"/>
        <v>0</v>
      </c>
      <c r="AP145" s="18">
        <f t="shared" si="57"/>
        <v>0</v>
      </c>
      <c r="AQ145">
        <f t="shared" si="58"/>
        <v>0</v>
      </c>
      <c r="AR145" s="23">
        <f t="shared" si="59"/>
        <v>164</v>
      </c>
      <c r="AS145">
        <f t="shared" si="64"/>
        <v>159</v>
      </c>
      <c r="AT145" s="21">
        <f t="shared" si="65"/>
        <v>164</v>
      </c>
      <c r="AU145" s="21"/>
      <c r="AV145" s="21"/>
      <c r="AW145" s="21"/>
    </row>
    <row r="146" spans="1:49" x14ac:dyDescent="0.2">
      <c r="A146">
        <v>75</v>
      </c>
      <c r="E146">
        <f t="shared" si="60"/>
        <v>1</v>
      </c>
      <c r="J146" t="str">
        <f t="shared" si="67"/>
        <v>15</v>
      </c>
      <c r="K146" t="str">
        <f t="shared" si="68"/>
        <v>16</v>
      </c>
      <c r="L146" t="str">
        <f t="shared" si="69"/>
        <v/>
      </c>
      <c r="M146" s="6" t="str">
        <f t="shared" si="70"/>
        <v/>
      </c>
      <c r="N146" t="s">
        <v>179</v>
      </c>
      <c r="O146">
        <v>9</v>
      </c>
      <c r="P146" t="s">
        <v>424</v>
      </c>
      <c r="Y146" t="str">
        <f t="shared" si="50"/>
        <v/>
      </c>
      <c r="Z146" t="str">
        <f t="shared" si="51"/>
        <v/>
      </c>
      <c r="AC146" t="str">
        <f t="shared" si="52"/>
        <v>Faceoff</v>
      </c>
      <c r="AD146" t="str">
        <f t="shared" si="53"/>
        <v>Faceoff_AfterStoppage</v>
      </c>
      <c r="AE146" t="str">
        <f t="shared" si="54"/>
        <v/>
      </c>
      <c r="AF146" t="str">
        <f t="shared" si="55"/>
        <v>Offensive</v>
      </c>
      <c r="AG146">
        <f t="shared" si="61"/>
        <v>18981</v>
      </c>
      <c r="AH146" t="str">
        <f t="shared" si="62"/>
        <v>Nelson</v>
      </c>
      <c r="AI146" t="str">
        <f t="shared" si="63"/>
        <v>Velodrome</v>
      </c>
      <c r="AJ146" s="18">
        <f t="shared" si="56"/>
        <v>0</v>
      </c>
      <c r="AP146" s="18">
        <f t="shared" si="57"/>
        <v>0</v>
      </c>
      <c r="AQ146">
        <f t="shared" si="58"/>
        <v>0</v>
      </c>
      <c r="AR146" s="23">
        <f t="shared" si="59"/>
        <v>164</v>
      </c>
      <c r="AS146">
        <f t="shared" si="64"/>
        <v>159</v>
      </c>
      <c r="AT146" s="21">
        <f t="shared" si="65"/>
        <v>164</v>
      </c>
      <c r="AU146" s="21"/>
      <c r="AV146" s="21"/>
      <c r="AW146" s="21"/>
    </row>
    <row r="147" spans="1:49" x14ac:dyDescent="0.2">
      <c r="A147">
        <v>75</v>
      </c>
      <c r="E147">
        <f t="shared" si="60"/>
        <v>1</v>
      </c>
      <c r="J147" t="str">
        <f t="shared" si="67"/>
        <v>15</v>
      </c>
      <c r="K147" t="str">
        <f t="shared" si="68"/>
        <v>16</v>
      </c>
      <c r="L147" t="str">
        <f t="shared" si="69"/>
        <v/>
      </c>
      <c r="M147" s="6" t="str">
        <f t="shared" si="70"/>
        <v/>
      </c>
      <c r="N147" t="s">
        <v>179</v>
      </c>
      <c r="O147">
        <v>10</v>
      </c>
      <c r="P147" t="s">
        <v>425</v>
      </c>
      <c r="Y147" t="str">
        <f t="shared" si="50"/>
        <v/>
      </c>
      <c r="Z147" t="str">
        <f t="shared" si="51"/>
        <v/>
      </c>
      <c r="AC147" t="str">
        <f t="shared" si="52"/>
        <v>Faceoff</v>
      </c>
      <c r="AD147" t="str">
        <f t="shared" si="53"/>
        <v>Faceoff_AfterStoppage</v>
      </c>
      <c r="AE147" t="str">
        <f t="shared" si="54"/>
        <v/>
      </c>
      <c r="AF147" t="str">
        <f t="shared" si="55"/>
        <v>Defensive</v>
      </c>
      <c r="AG147">
        <f t="shared" si="61"/>
        <v>18981</v>
      </c>
      <c r="AH147" t="str">
        <f t="shared" si="62"/>
        <v>Nelson</v>
      </c>
      <c r="AI147" t="str">
        <f t="shared" si="63"/>
        <v>Velodrome</v>
      </c>
      <c r="AJ147" s="18">
        <f t="shared" si="56"/>
        <v>0</v>
      </c>
      <c r="AP147" s="18">
        <f t="shared" si="57"/>
        <v>0</v>
      </c>
      <c r="AQ147">
        <f t="shared" si="58"/>
        <v>0</v>
      </c>
      <c r="AR147" s="23">
        <f t="shared" si="59"/>
        <v>164</v>
      </c>
      <c r="AS147">
        <f t="shared" si="64"/>
        <v>159</v>
      </c>
      <c r="AT147" s="21">
        <f t="shared" si="65"/>
        <v>164</v>
      </c>
      <c r="AU147" s="21"/>
      <c r="AV147" s="21"/>
      <c r="AW147" s="21"/>
    </row>
    <row r="148" spans="1:49" x14ac:dyDescent="0.2">
      <c r="A148">
        <v>76</v>
      </c>
      <c r="E148">
        <f t="shared" si="60"/>
        <v>1</v>
      </c>
      <c r="F148" s="5" t="s">
        <v>478</v>
      </c>
      <c r="G148" s="5" t="s">
        <v>477</v>
      </c>
      <c r="J148" t="str">
        <f t="shared" si="67"/>
        <v>15</v>
      </c>
      <c r="K148" t="str">
        <f t="shared" si="68"/>
        <v>16</v>
      </c>
      <c r="L148" t="str">
        <f t="shared" si="69"/>
        <v/>
      </c>
      <c r="M148" s="6" t="str">
        <f t="shared" si="70"/>
        <v/>
      </c>
      <c r="N148" t="s">
        <v>179</v>
      </c>
      <c r="O148">
        <v>9</v>
      </c>
      <c r="P148" t="s">
        <v>424</v>
      </c>
      <c r="Q148" t="s">
        <v>10</v>
      </c>
      <c r="R148" t="s">
        <v>190</v>
      </c>
      <c r="S148" t="s">
        <v>422</v>
      </c>
      <c r="Y148" t="str">
        <f t="shared" si="50"/>
        <v/>
      </c>
      <c r="Z148" t="str">
        <f t="shared" si="51"/>
        <v/>
      </c>
      <c r="AC148" t="str">
        <f t="shared" si="52"/>
        <v>Turnover</v>
      </c>
      <c r="AD148" t="str">
        <f t="shared" si="53"/>
        <v>Turnover_Giveaway</v>
      </c>
      <c r="AE148" t="str">
        <f t="shared" si="54"/>
        <v>Giveaway-AttemptedZoneClear/Dump</v>
      </c>
      <c r="AF148" t="str">
        <f t="shared" si="55"/>
        <v>Offensive</v>
      </c>
      <c r="AG148">
        <f t="shared" si="61"/>
        <v>18981</v>
      </c>
      <c r="AH148" t="str">
        <f t="shared" si="62"/>
        <v>Nelson</v>
      </c>
      <c r="AI148" t="str">
        <f t="shared" si="63"/>
        <v>Velodrome</v>
      </c>
      <c r="AJ148" s="18">
        <f t="shared" si="56"/>
        <v>0</v>
      </c>
      <c r="AP148" s="18">
        <f t="shared" si="57"/>
        <v>0</v>
      </c>
      <c r="AQ148">
        <f t="shared" si="58"/>
        <v>0</v>
      </c>
      <c r="AR148" s="23">
        <f t="shared" si="59"/>
        <v>164</v>
      </c>
      <c r="AS148">
        <f t="shared" si="64"/>
        <v>159</v>
      </c>
      <c r="AT148" s="21">
        <f t="shared" si="65"/>
        <v>164</v>
      </c>
      <c r="AU148" s="21"/>
      <c r="AV148" s="21"/>
      <c r="AW148" s="21"/>
    </row>
    <row r="149" spans="1:49" x14ac:dyDescent="0.2">
      <c r="A149">
        <v>77</v>
      </c>
      <c r="E149">
        <f t="shared" si="60"/>
        <v>1</v>
      </c>
      <c r="F149" s="5" t="s">
        <v>478</v>
      </c>
      <c r="G149" s="5" t="s">
        <v>485</v>
      </c>
      <c r="J149" t="str">
        <f t="shared" si="67"/>
        <v>15</v>
      </c>
      <c r="K149" t="str">
        <f t="shared" si="68"/>
        <v>10</v>
      </c>
      <c r="L149" t="str">
        <f t="shared" si="69"/>
        <v/>
      </c>
      <c r="M149" s="6" t="str">
        <f t="shared" si="70"/>
        <v/>
      </c>
      <c r="N149" t="s">
        <v>178</v>
      </c>
      <c r="O149">
        <v>23</v>
      </c>
      <c r="P149" t="s">
        <v>424</v>
      </c>
      <c r="Q149" t="s">
        <v>277</v>
      </c>
      <c r="R149" t="s">
        <v>210</v>
      </c>
      <c r="S149" t="s">
        <v>93</v>
      </c>
      <c r="Y149" t="str">
        <f t="shared" si="50"/>
        <v/>
      </c>
      <c r="Z149" t="str">
        <f t="shared" si="51"/>
        <v/>
      </c>
      <c r="AC149" t="str">
        <f t="shared" si="52"/>
        <v>Zone_Entry_Exit</v>
      </c>
      <c r="AD149" t="str">
        <f t="shared" si="53"/>
        <v>Zone_Keepin</v>
      </c>
      <c r="AE149" t="str">
        <f t="shared" si="54"/>
        <v>Zone-KeepIn</v>
      </c>
      <c r="AF149" t="str">
        <f t="shared" si="55"/>
        <v>Offensive</v>
      </c>
      <c r="AG149">
        <f t="shared" si="61"/>
        <v>18981</v>
      </c>
      <c r="AH149" t="str">
        <f t="shared" si="62"/>
        <v>Nelson</v>
      </c>
      <c r="AI149" t="str">
        <f t="shared" si="63"/>
        <v>Velodrome</v>
      </c>
      <c r="AJ149" s="18">
        <f t="shared" si="56"/>
        <v>0</v>
      </c>
      <c r="AP149" s="18">
        <f t="shared" si="57"/>
        <v>0</v>
      </c>
      <c r="AQ149">
        <f t="shared" si="58"/>
        <v>0</v>
      </c>
      <c r="AR149" s="23">
        <f t="shared" si="59"/>
        <v>170</v>
      </c>
      <c r="AS149">
        <f t="shared" si="64"/>
        <v>165</v>
      </c>
      <c r="AT149" s="21">
        <f t="shared" si="65"/>
        <v>170</v>
      </c>
      <c r="AU149" s="21"/>
      <c r="AV149" s="21"/>
      <c r="AW149" s="21"/>
    </row>
    <row r="150" spans="1:49" x14ac:dyDescent="0.2">
      <c r="A150">
        <v>78</v>
      </c>
      <c r="E150">
        <f t="shared" si="60"/>
        <v>1</v>
      </c>
      <c r="F150" s="5" t="s">
        <v>478</v>
      </c>
      <c r="G150" s="5" t="s">
        <v>484</v>
      </c>
      <c r="J150" t="str">
        <f t="shared" si="67"/>
        <v>15</v>
      </c>
      <c r="K150" t="str">
        <f t="shared" si="68"/>
        <v>09</v>
      </c>
      <c r="L150" t="str">
        <f t="shared" si="69"/>
        <v/>
      </c>
      <c r="M150" s="6" t="str">
        <f t="shared" si="70"/>
        <v/>
      </c>
      <c r="N150" t="s">
        <v>178</v>
      </c>
      <c r="O150">
        <v>23</v>
      </c>
      <c r="P150" t="s">
        <v>424</v>
      </c>
      <c r="Q150" t="s">
        <v>7</v>
      </c>
      <c r="R150" t="s">
        <v>208</v>
      </c>
      <c r="S150" t="s">
        <v>53</v>
      </c>
      <c r="Y150" t="str">
        <f t="shared" si="50"/>
        <v/>
      </c>
      <c r="Z150" t="str">
        <f t="shared" si="51"/>
        <v/>
      </c>
      <c r="AC150" t="str">
        <f t="shared" si="52"/>
        <v>Shot</v>
      </c>
      <c r="AD150" t="str">
        <f t="shared" si="53"/>
        <v>Shot_Blocked</v>
      </c>
      <c r="AE150" t="str">
        <f t="shared" si="54"/>
        <v>Shot-Wrist</v>
      </c>
      <c r="AF150" t="str">
        <f t="shared" si="55"/>
        <v>Offensive</v>
      </c>
      <c r="AG150">
        <f t="shared" si="61"/>
        <v>18981</v>
      </c>
      <c r="AH150" t="str">
        <f t="shared" si="62"/>
        <v>Nelson</v>
      </c>
      <c r="AI150" t="str">
        <f t="shared" si="63"/>
        <v>Velodrome</v>
      </c>
      <c r="AJ150" s="18">
        <f t="shared" si="56"/>
        <v>0</v>
      </c>
      <c r="AP150" s="18">
        <f t="shared" si="57"/>
        <v>0</v>
      </c>
      <c r="AQ150">
        <f t="shared" si="58"/>
        <v>0</v>
      </c>
      <c r="AR150" s="23">
        <f t="shared" si="59"/>
        <v>171</v>
      </c>
      <c r="AS150">
        <f t="shared" si="64"/>
        <v>166</v>
      </c>
      <c r="AT150" s="21">
        <f t="shared" si="65"/>
        <v>171</v>
      </c>
      <c r="AU150" s="21"/>
      <c r="AV150" s="21"/>
      <c r="AW150" s="21"/>
    </row>
    <row r="151" spans="1:49" x14ac:dyDescent="0.2">
      <c r="A151">
        <v>78</v>
      </c>
      <c r="E151">
        <f t="shared" si="60"/>
        <v>1</v>
      </c>
      <c r="J151" t="str">
        <f t="shared" si="67"/>
        <v>15</v>
      </c>
      <c r="K151" t="str">
        <f t="shared" si="68"/>
        <v>09</v>
      </c>
      <c r="L151" t="str">
        <f t="shared" si="69"/>
        <v/>
      </c>
      <c r="M151" s="6" t="str">
        <f t="shared" si="70"/>
        <v/>
      </c>
      <c r="N151" t="s">
        <v>178</v>
      </c>
      <c r="O151">
        <v>9</v>
      </c>
      <c r="P151" t="s">
        <v>425</v>
      </c>
      <c r="Y151" t="str">
        <f t="shared" si="50"/>
        <v/>
      </c>
      <c r="Z151" t="str">
        <f t="shared" si="51"/>
        <v/>
      </c>
      <c r="AC151" t="str">
        <f t="shared" si="52"/>
        <v>Shot</v>
      </c>
      <c r="AD151" t="str">
        <f t="shared" si="53"/>
        <v>Shot_Blocked</v>
      </c>
      <c r="AE151" t="str">
        <f t="shared" si="54"/>
        <v>Shot-Wrist</v>
      </c>
      <c r="AF151" t="str">
        <f t="shared" si="55"/>
        <v>Defensive</v>
      </c>
      <c r="AG151">
        <f t="shared" si="61"/>
        <v>18981</v>
      </c>
      <c r="AH151" t="str">
        <f t="shared" si="62"/>
        <v>Nelson</v>
      </c>
      <c r="AI151" t="str">
        <f t="shared" si="63"/>
        <v>Velodrome</v>
      </c>
      <c r="AJ151" s="18">
        <f t="shared" si="56"/>
        <v>0</v>
      </c>
      <c r="AP151" s="18">
        <f t="shared" si="57"/>
        <v>0</v>
      </c>
      <c r="AQ151">
        <f t="shared" si="58"/>
        <v>0</v>
      </c>
      <c r="AR151" s="23">
        <f t="shared" si="59"/>
        <v>171</v>
      </c>
      <c r="AS151">
        <f t="shared" si="64"/>
        <v>166</v>
      </c>
      <c r="AT151" s="21">
        <f t="shared" si="65"/>
        <v>171</v>
      </c>
      <c r="AU151" s="21"/>
      <c r="AV151" s="21"/>
      <c r="AW151" s="21"/>
    </row>
    <row r="152" spans="1:49" x14ac:dyDescent="0.2">
      <c r="A152">
        <v>79</v>
      </c>
      <c r="E152">
        <f t="shared" si="60"/>
        <v>1</v>
      </c>
      <c r="F152" s="5" t="s">
        <v>478</v>
      </c>
      <c r="G152" s="5" t="s">
        <v>473</v>
      </c>
      <c r="H152" s="5" t="s">
        <v>478</v>
      </c>
      <c r="I152" s="7" t="s">
        <v>475</v>
      </c>
      <c r="J152" t="str">
        <f t="shared" si="67"/>
        <v>15</v>
      </c>
      <c r="K152" t="str">
        <f t="shared" si="68"/>
        <v>03</v>
      </c>
      <c r="L152" t="str">
        <f t="shared" si="69"/>
        <v>15</v>
      </c>
      <c r="M152" s="6" t="str">
        <f t="shared" si="70"/>
        <v>00</v>
      </c>
      <c r="N152" t="s">
        <v>179</v>
      </c>
      <c r="O152">
        <v>84</v>
      </c>
      <c r="P152" t="s">
        <v>424</v>
      </c>
      <c r="Q152" t="s">
        <v>15</v>
      </c>
      <c r="Y152" t="str">
        <f t="shared" si="50"/>
        <v/>
      </c>
      <c r="Z152" t="str">
        <f t="shared" si="51"/>
        <v/>
      </c>
      <c r="AC152" t="str">
        <f t="shared" si="52"/>
        <v>Possession</v>
      </c>
      <c r="AD152" t="str">
        <f t="shared" si="53"/>
        <v/>
      </c>
      <c r="AE152" t="str">
        <f t="shared" si="54"/>
        <v/>
      </c>
      <c r="AF152" t="str">
        <f t="shared" si="55"/>
        <v>Offensive</v>
      </c>
      <c r="AG152">
        <f t="shared" si="61"/>
        <v>18981</v>
      </c>
      <c r="AH152" t="str">
        <f t="shared" si="62"/>
        <v>Nelson</v>
      </c>
      <c r="AI152" t="str">
        <f t="shared" si="63"/>
        <v>Velodrome</v>
      </c>
      <c r="AJ152" s="18">
        <f t="shared" si="56"/>
        <v>3</v>
      </c>
      <c r="AP152" s="18">
        <f t="shared" si="57"/>
        <v>0</v>
      </c>
      <c r="AQ152">
        <f t="shared" si="58"/>
        <v>0</v>
      </c>
      <c r="AR152" s="23">
        <f t="shared" si="59"/>
        <v>177</v>
      </c>
      <c r="AS152">
        <f t="shared" si="64"/>
        <v>172</v>
      </c>
      <c r="AT152" s="21">
        <f t="shared" si="65"/>
        <v>180</v>
      </c>
      <c r="AU152" s="21"/>
      <c r="AV152" s="21"/>
      <c r="AW152" s="21"/>
    </row>
    <row r="153" spans="1:49" x14ac:dyDescent="0.2">
      <c r="A153">
        <v>79</v>
      </c>
      <c r="E153">
        <f t="shared" si="60"/>
        <v>1</v>
      </c>
      <c r="J153" t="str">
        <f t="shared" si="67"/>
        <v>15</v>
      </c>
      <c r="K153" t="str">
        <f t="shared" si="68"/>
        <v>03</v>
      </c>
      <c r="L153" t="str">
        <f t="shared" si="69"/>
        <v>15</v>
      </c>
      <c r="M153" s="6" t="str">
        <f t="shared" si="70"/>
        <v>00</v>
      </c>
      <c r="N153" t="str">
        <f t="shared" si="66"/>
        <v>Away</v>
      </c>
      <c r="O153">
        <v>10</v>
      </c>
      <c r="P153" t="s">
        <v>425</v>
      </c>
      <c r="Y153" t="str">
        <f t="shared" si="50"/>
        <v/>
      </c>
      <c r="Z153" t="str">
        <f t="shared" si="51"/>
        <v/>
      </c>
      <c r="AC153" t="str">
        <f t="shared" si="52"/>
        <v>Possession</v>
      </c>
      <c r="AD153" t="str">
        <f t="shared" si="53"/>
        <v/>
      </c>
      <c r="AE153" t="str">
        <f t="shared" si="54"/>
        <v/>
      </c>
      <c r="AF153" t="str">
        <f t="shared" si="55"/>
        <v>Defensive</v>
      </c>
      <c r="AG153">
        <f t="shared" si="61"/>
        <v>18981</v>
      </c>
      <c r="AH153" t="str">
        <f t="shared" si="62"/>
        <v>Nelson</v>
      </c>
      <c r="AI153" t="str">
        <f t="shared" si="63"/>
        <v>Velodrome</v>
      </c>
      <c r="AJ153" s="18">
        <f t="shared" si="56"/>
        <v>3</v>
      </c>
      <c r="AP153" s="18">
        <f t="shared" si="57"/>
        <v>0</v>
      </c>
      <c r="AQ153">
        <f t="shared" si="58"/>
        <v>0</v>
      </c>
      <c r="AR153" s="23">
        <f t="shared" si="59"/>
        <v>177</v>
      </c>
      <c r="AS153">
        <f t="shared" si="64"/>
        <v>172</v>
      </c>
      <c r="AT153" s="21">
        <f t="shared" si="65"/>
        <v>180</v>
      </c>
      <c r="AU153" s="21"/>
      <c r="AV153" s="21"/>
      <c r="AW153" s="21"/>
    </row>
    <row r="154" spans="1:49" x14ac:dyDescent="0.2">
      <c r="A154">
        <v>80</v>
      </c>
      <c r="E154">
        <f t="shared" si="60"/>
        <v>1</v>
      </c>
      <c r="F154" s="5" t="s">
        <v>478</v>
      </c>
      <c r="G154" s="5" t="s">
        <v>475</v>
      </c>
      <c r="J154" t="str">
        <f t="shared" si="67"/>
        <v>15</v>
      </c>
      <c r="K154" t="str">
        <f t="shared" si="68"/>
        <v>00</v>
      </c>
      <c r="L154" t="str">
        <f t="shared" si="69"/>
        <v/>
      </c>
      <c r="M154" s="6" t="str">
        <f t="shared" si="70"/>
        <v/>
      </c>
      <c r="N154" t="s">
        <v>179</v>
      </c>
      <c r="O154">
        <v>84</v>
      </c>
      <c r="P154" t="s">
        <v>424</v>
      </c>
      <c r="Q154" t="s">
        <v>277</v>
      </c>
      <c r="R154" t="s">
        <v>201</v>
      </c>
      <c r="S154" t="s">
        <v>92</v>
      </c>
      <c r="Y154" t="str">
        <f t="shared" si="50"/>
        <v/>
      </c>
      <c r="Z154" t="str">
        <f t="shared" si="51"/>
        <v/>
      </c>
      <c r="AC154" t="str">
        <f t="shared" si="52"/>
        <v>Zone_Entry_Exit</v>
      </c>
      <c r="AD154" t="str">
        <f t="shared" si="53"/>
        <v>Zone_Exit</v>
      </c>
      <c r="AE154" t="str">
        <f t="shared" si="54"/>
        <v>ZoneExit-Clear</v>
      </c>
      <c r="AF154" t="str">
        <f t="shared" si="55"/>
        <v>Offensive</v>
      </c>
      <c r="AG154">
        <f t="shared" si="61"/>
        <v>18981</v>
      </c>
      <c r="AH154" t="str">
        <f t="shared" si="62"/>
        <v>Nelson</v>
      </c>
      <c r="AI154" t="str">
        <f t="shared" si="63"/>
        <v>Velodrome</v>
      </c>
      <c r="AJ154" s="18">
        <f t="shared" si="56"/>
        <v>0</v>
      </c>
      <c r="AP154" s="18">
        <f t="shared" si="57"/>
        <v>0</v>
      </c>
      <c r="AQ154">
        <f t="shared" si="58"/>
        <v>0</v>
      </c>
      <c r="AR154" s="23">
        <f t="shared" si="59"/>
        <v>180</v>
      </c>
      <c r="AS154">
        <f t="shared" si="64"/>
        <v>175</v>
      </c>
      <c r="AT154" s="21">
        <f t="shared" si="65"/>
        <v>180</v>
      </c>
      <c r="AU154" s="21"/>
      <c r="AV154" s="21"/>
      <c r="AW154" s="21"/>
    </row>
    <row r="155" spans="1:49" x14ac:dyDescent="0.2">
      <c r="A155">
        <v>81</v>
      </c>
      <c r="E155">
        <f t="shared" si="60"/>
        <v>1</v>
      </c>
      <c r="F155" s="5" t="s">
        <v>478</v>
      </c>
      <c r="G155" s="5" t="s">
        <v>475</v>
      </c>
      <c r="J155" t="str">
        <f t="shared" si="67"/>
        <v>15</v>
      </c>
      <c r="K155" t="str">
        <f t="shared" si="68"/>
        <v>00</v>
      </c>
      <c r="L155" t="str">
        <f t="shared" si="69"/>
        <v/>
      </c>
      <c r="M155" s="6" t="str">
        <f t="shared" si="70"/>
        <v/>
      </c>
      <c r="N155" t="s">
        <v>179</v>
      </c>
      <c r="O155">
        <v>84</v>
      </c>
      <c r="P155" t="s">
        <v>424</v>
      </c>
      <c r="Q155" t="s">
        <v>10</v>
      </c>
      <c r="R155" t="s">
        <v>190</v>
      </c>
      <c r="S155" t="s">
        <v>411</v>
      </c>
      <c r="Y155" t="str">
        <f t="shared" si="50"/>
        <v/>
      </c>
      <c r="Z155" t="str">
        <f t="shared" si="51"/>
        <v/>
      </c>
      <c r="AC155" t="str">
        <f t="shared" si="52"/>
        <v>Turnover</v>
      </c>
      <c r="AD155" t="str">
        <f t="shared" si="53"/>
        <v>Turnover_Giveaway</v>
      </c>
      <c r="AE155" t="str">
        <f t="shared" si="54"/>
        <v>Giveaway-ZoneClear/Dump</v>
      </c>
      <c r="AF155" t="str">
        <f t="shared" si="55"/>
        <v>Offensive</v>
      </c>
      <c r="AG155">
        <f t="shared" si="61"/>
        <v>18981</v>
      </c>
      <c r="AH155" t="str">
        <f t="shared" si="62"/>
        <v>Nelson</v>
      </c>
      <c r="AI155" t="str">
        <f t="shared" si="63"/>
        <v>Velodrome</v>
      </c>
      <c r="AJ155" s="18">
        <f t="shared" si="56"/>
        <v>0</v>
      </c>
      <c r="AP155" s="18">
        <f t="shared" si="57"/>
        <v>0</v>
      </c>
      <c r="AQ155">
        <f t="shared" si="58"/>
        <v>0</v>
      </c>
      <c r="AR155" s="23">
        <f t="shared" si="59"/>
        <v>180</v>
      </c>
      <c r="AS155">
        <f t="shared" si="64"/>
        <v>175</v>
      </c>
      <c r="AT155" s="21">
        <f t="shared" si="65"/>
        <v>180</v>
      </c>
      <c r="AU155" s="21"/>
      <c r="AV155" s="21"/>
      <c r="AW155" s="21"/>
    </row>
    <row r="156" spans="1:49" x14ac:dyDescent="0.2">
      <c r="A156">
        <v>82</v>
      </c>
      <c r="E156">
        <f t="shared" si="60"/>
        <v>1</v>
      </c>
      <c r="F156" s="5" t="s">
        <v>489</v>
      </c>
      <c r="G156" s="5" t="s">
        <v>527</v>
      </c>
      <c r="J156" t="str">
        <f t="shared" si="67"/>
        <v>14</v>
      </c>
      <c r="K156" t="str">
        <f t="shared" si="68"/>
        <v>55</v>
      </c>
      <c r="L156" t="str">
        <f t="shared" si="69"/>
        <v/>
      </c>
      <c r="M156" s="6" t="str">
        <f t="shared" si="70"/>
        <v/>
      </c>
      <c r="N156" t="s">
        <v>178</v>
      </c>
      <c r="O156">
        <v>16</v>
      </c>
      <c r="P156" t="s">
        <v>424</v>
      </c>
      <c r="Q156" t="s">
        <v>8</v>
      </c>
      <c r="R156" t="s">
        <v>189</v>
      </c>
      <c r="S156" t="s">
        <v>70</v>
      </c>
      <c r="Y156" t="str">
        <f t="shared" si="50"/>
        <v/>
      </c>
      <c r="Z156" t="str">
        <f t="shared" si="51"/>
        <v/>
      </c>
      <c r="AC156" t="str">
        <f t="shared" si="52"/>
        <v>Pass</v>
      </c>
      <c r="AD156" t="str">
        <f t="shared" si="53"/>
        <v>Pass_Completed</v>
      </c>
      <c r="AE156" t="str">
        <f t="shared" si="54"/>
        <v>Pass-Forehand</v>
      </c>
      <c r="AF156" t="str">
        <f t="shared" si="55"/>
        <v>Offensive</v>
      </c>
      <c r="AG156">
        <f t="shared" si="61"/>
        <v>18981</v>
      </c>
      <c r="AH156" t="str">
        <f t="shared" si="62"/>
        <v>Nelson</v>
      </c>
      <c r="AI156" t="str">
        <f t="shared" si="63"/>
        <v>Velodrome</v>
      </c>
      <c r="AJ156" s="18">
        <f t="shared" si="56"/>
        <v>0</v>
      </c>
      <c r="AP156" s="18">
        <f t="shared" si="57"/>
        <v>0</v>
      </c>
      <c r="AQ156">
        <f t="shared" si="58"/>
        <v>0</v>
      </c>
      <c r="AR156" s="23">
        <f t="shared" si="59"/>
        <v>185</v>
      </c>
      <c r="AS156">
        <f t="shared" si="64"/>
        <v>180</v>
      </c>
      <c r="AT156" s="21">
        <f t="shared" si="65"/>
        <v>185</v>
      </c>
      <c r="AU156" s="21"/>
      <c r="AV156" s="21"/>
      <c r="AW156" s="21"/>
    </row>
    <row r="157" spans="1:49" x14ac:dyDescent="0.2">
      <c r="A157">
        <v>82</v>
      </c>
      <c r="E157">
        <f t="shared" si="60"/>
        <v>1</v>
      </c>
      <c r="J157" t="str">
        <f t="shared" si="67"/>
        <v>14</v>
      </c>
      <c r="K157" t="str">
        <f t="shared" si="68"/>
        <v>55</v>
      </c>
      <c r="L157" t="str">
        <f t="shared" si="69"/>
        <v/>
      </c>
      <c r="M157" s="6" t="str">
        <f t="shared" si="70"/>
        <v/>
      </c>
      <c r="N157" t="str">
        <f t="shared" si="66"/>
        <v>Home</v>
      </c>
      <c r="O157">
        <v>37</v>
      </c>
      <c r="P157" t="s">
        <v>424</v>
      </c>
      <c r="Y157" t="str">
        <f t="shared" si="50"/>
        <v/>
      </c>
      <c r="Z157" t="str">
        <f t="shared" si="51"/>
        <v/>
      </c>
      <c r="AC157" t="str">
        <f t="shared" si="52"/>
        <v>Pass</v>
      </c>
      <c r="AD157" t="str">
        <f t="shared" si="53"/>
        <v>Pass_Completed</v>
      </c>
      <c r="AE157" t="str">
        <f t="shared" si="54"/>
        <v>Pass-Forehand</v>
      </c>
      <c r="AF157" t="str">
        <f t="shared" si="55"/>
        <v>Offensive</v>
      </c>
      <c r="AG157">
        <f t="shared" si="61"/>
        <v>18981</v>
      </c>
      <c r="AH157" t="str">
        <f t="shared" si="62"/>
        <v>Nelson</v>
      </c>
      <c r="AI157" t="str">
        <f t="shared" si="63"/>
        <v>Velodrome</v>
      </c>
      <c r="AJ157" s="18">
        <f t="shared" si="56"/>
        <v>0</v>
      </c>
      <c r="AP157" s="18">
        <f t="shared" si="57"/>
        <v>0</v>
      </c>
      <c r="AQ157">
        <f t="shared" si="58"/>
        <v>0</v>
      </c>
      <c r="AR157" s="23">
        <f t="shared" si="59"/>
        <v>185</v>
      </c>
      <c r="AS157">
        <f t="shared" si="64"/>
        <v>180</v>
      </c>
      <c r="AT157" s="21">
        <f t="shared" si="65"/>
        <v>185</v>
      </c>
      <c r="AU157" s="21"/>
      <c r="AV157" s="21"/>
      <c r="AW157" s="21"/>
    </row>
    <row r="158" spans="1:49" x14ac:dyDescent="0.2">
      <c r="A158">
        <v>83</v>
      </c>
      <c r="E158">
        <f t="shared" si="60"/>
        <v>1</v>
      </c>
      <c r="F158" s="5" t="s">
        <v>489</v>
      </c>
      <c r="G158" s="5" t="s">
        <v>527</v>
      </c>
      <c r="H158" s="5" t="s">
        <v>489</v>
      </c>
      <c r="I158" s="7" t="s">
        <v>524</v>
      </c>
      <c r="J158" t="str">
        <f t="shared" si="67"/>
        <v>14</v>
      </c>
      <c r="K158" t="str">
        <f t="shared" si="68"/>
        <v>55</v>
      </c>
      <c r="L158" t="str">
        <f t="shared" si="69"/>
        <v>14</v>
      </c>
      <c r="M158" s="6" t="str">
        <f t="shared" si="70"/>
        <v>52</v>
      </c>
      <c r="N158" t="s">
        <v>178</v>
      </c>
      <c r="O158">
        <v>37</v>
      </c>
      <c r="P158" t="s">
        <v>424</v>
      </c>
      <c r="Q158" t="s">
        <v>15</v>
      </c>
      <c r="Y158" t="str">
        <f t="shared" si="50"/>
        <v/>
      </c>
      <c r="Z158" t="str">
        <f t="shared" si="51"/>
        <v/>
      </c>
      <c r="AC158" t="str">
        <f t="shared" si="52"/>
        <v>Possession</v>
      </c>
      <c r="AD158" t="str">
        <f t="shared" si="53"/>
        <v/>
      </c>
      <c r="AE158" t="str">
        <f t="shared" si="54"/>
        <v/>
      </c>
      <c r="AF158" t="str">
        <f t="shared" si="55"/>
        <v>Offensive</v>
      </c>
      <c r="AG158">
        <f t="shared" si="61"/>
        <v>18981</v>
      </c>
      <c r="AH158" t="str">
        <f t="shared" si="62"/>
        <v>Nelson</v>
      </c>
      <c r="AI158" t="str">
        <f t="shared" si="63"/>
        <v>Velodrome</v>
      </c>
      <c r="AJ158" s="18">
        <f t="shared" si="56"/>
        <v>3</v>
      </c>
      <c r="AP158" s="18">
        <f t="shared" si="57"/>
        <v>0</v>
      </c>
      <c r="AQ158">
        <f t="shared" si="58"/>
        <v>0</v>
      </c>
      <c r="AR158" s="23">
        <f t="shared" si="59"/>
        <v>185</v>
      </c>
      <c r="AS158">
        <f t="shared" si="64"/>
        <v>180</v>
      </c>
      <c r="AT158" s="21">
        <f t="shared" si="65"/>
        <v>188</v>
      </c>
      <c r="AU158" s="21"/>
      <c r="AV158" s="21"/>
      <c r="AW158" s="21"/>
    </row>
    <row r="159" spans="1:49" x14ac:dyDescent="0.2">
      <c r="A159">
        <v>84</v>
      </c>
      <c r="E159">
        <f t="shared" si="60"/>
        <v>1</v>
      </c>
      <c r="F159" s="5" t="s">
        <v>489</v>
      </c>
      <c r="G159" s="5" t="s">
        <v>524</v>
      </c>
      <c r="J159" t="str">
        <f t="shared" si="67"/>
        <v>14</v>
      </c>
      <c r="K159" t="str">
        <f t="shared" si="68"/>
        <v>52</v>
      </c>
      <c r="L159" t="str">
        <f t="shared" si="69"/>
        <v/>
      </c>
      <c r="M159" s="6" t="str">
        <f t="shared" si="70"/>
        <v/>
      </c>
      <c r="N159" t="s">
        <v>178</v>
      </c>
      <c r="O159">
        <v>37</v>
      </c>
      <c r="P159" t="s">
        <v>424</v>
      </c>
      <c r="Q159" t="s">
        <v>8</v>
      </c>
      <c r="R159" t="s">
        <v>189</v>
      </c>
      <c r="S159" t="s">
        <v>70</v>
      </c>
      <c r="Y159" t="str">
        <f t="shared" si="50"/>
        <v/>
      </c>
      <c r="Z159" t="str">
        <f t="shared" si="51"/>
        <v/>
      </c>
      <c r="AC159" t="str">
        <f t="shared" si="52"/>
        <v>Pass</v>
      </c>
      <c r="AD159" t="str">
        <f t="shared" si="53"/>
        <v>Pass_Completed</v>
      </c>
      <c r="AE159" t="str">
        <f t="shared" si="54"/>
        <v>Pass-Forehand</v>
      </c>
      <c r="AF159" t="str">
        <f t="shared" si="55"/>
        <v>Offensive</v>
      </c>
      <c r="AG159">
        <f t="shared" si="61"/>
        <v>18981</v>
      </c>
      <c r="AH159" t="str">
        <f t="shared" si="62"/>
        <v>Nelson</v>
      </c>
      <c r="AI159" t="str">
        <f t="shared" si="63"/>
        <v>Velodrome</v>
      </c>
      <c r="AJ159" s="18">
        <f t="shared" si="56"/>
        <v>0</v>
      </c>
      <c r="AP159" s="18">
        <f t="shared" si="57"/>
        <v>0</v>
      </c>
      <c r="AQ159">
        <f t="shared" si="58"/>
        <v>0</v>
      </c>
      <c r="AR159" s="23">
        <f t="shared" si="59"/>
        <v>188</v>
      </c>
      <c r="AS159">
        <f t="shared" si="64"/>
        <v>183</v>
      </c>
      <c r="AT159" s="21">
        <f t="shared" si="65"/>
        <v>188</v>
      </c>
      <c r="AU159" s="21"/>
      <c r="AV159" s="21"/>
      <c r="AW159" s="21"/>
    </row>
    <row r="160" spans="1:49" x14ac:dyDescent="0.2">
      <c r="A160">
        <v>84</v>
      </c>
      <c r="E160">
        <f t="shared" si="60"/>
        <v>1</v>
      </c>
      <c r="J160" t="str">
        <f t="shared" si="67"/>
        <v>14</v>
      </c>
      <c r="K160" t="str">
        <f t="shared" si="68"/>
        <v>52</v>
      </c>
      <c r="L160" t="str">
        <f t="shared" si="69"/>
        <v/>
      </c>
      <c r="M160" s="6" t="str">
        <f t="shared" si="70"/>
        <v/>
      </c>
      <c r="N160" t="str">
        <f t="shared" si="66"/>
        <v>Home</v>
      </c>
      <c r="O160">
        <v>16</v>
      </c>
      <c r="P160" t="s">
        <v>424</v>
      </c>
      <c r="Q160" t="s">
        <v>8</v>
      </c>
      <c r="R160" t="s">
        <v>189</v>
      </c>
      <c r="S160" t="s">
        <v>70</v>
      </c>
      <c r="Y160" t="str">
        <f t="shared" si="50"/>
        <v/>
      </c>
      <c r="Z160" t="str">
        <f t="shared" si="51"/>
        <v/>
      </c>
      <c r="AC160" t="str">
        <f t="shared" si="52"/>
        <v>Pass</v>
      </c>
      <c r="AD160" t="str">
        <f t="shared" si="53"/>
        <v>Pass_Completed</v>
      </c>
      <c r="AE160" t="str">
        <f t="shared" si="54"/>
        <v>Pass-Forehand</v>
      </c>
      <c r="AF160" t="str">
        <f t="shared" si="55"/>
        <v>Offensive</v>
      </c>
      <c r="AG160">
        <f t="shared" si="61"/>
        <v>18981</v>
      </c>
      <c r="AH160" t="str">
        <f t="shared" si="62"/>
        <v>Nelson</v>
      </c>
      <c r="AI160" t="str">
        <f t="shared" si="63"/>
        <v>Velodrome</v>
      </c>
      <c r="AJ160" s="18">
        <f t="shared" si="56"/>
        <v>0</v>
      </c>
      <c r="AP160" s="18">
        <f t="shared" si="57"/>
        <v>0</v>
      </c>
      <c r="AQ160">
        <f t="shared" si="58"/>
        <v>0</v>
      </c>
      <c r="AR160" s="23">
        <f t="shared" si="59"/>
        <v>188</v>
      </c>
      <c r="AS160">
        <f t="shared" si="64"/>
        <v>183</v>
      </c>
      <c r="AT160" s="21">
        <f t="shared" si="65"/>
        <v>188</v>
      </c>
      <c r="AU160" s="21"/>
      <c r="AV160" s="21"/>
      <c r="AW160" s="21"/>
    </row>
    <row r="161" spans="1:49" x14ac:dyDescent="0.2">
      <c r="A161">
        <v>85</v>
      </c>
      <c r="E161">
        <f t="shared" si="60"/>
        <v>1</v>
      </c>
      <c r="F161" s="5" t="s">
        <v>489</v>
      </c>
      <c r="G161" s="5" t="s">
        <v>524</v>
      </c>
      <c r="H161" s="5" t="s">
        <v>489</v>
      </c>
      <c r="I161" s="7" t="s">
        <v>521</v>
      </c>
      <c r="J161" t="str">
        <f t="shared" si="67"/>
        <v>14</v>
      </c>
      <c r="K161" t="str">
        <f t="shared" si="68"/>
        <v>52</v>
      </c>
      <c r="L161" t="str">
        <f t="shared" si="69"/>
        <v>14</v>
      </c>
      <c r="M161" s="6" t="str">
        <f t="shared" si="70"/>
        <v>49</v>
      </c>
      <c r="N161" t="s">
        <v>178</v>
      </c>
      <c r="O161">
        <v>16</v>
      </c>
      <c r="P161" t="s">
        <v>424</v>
      </c>
      <c r="Q161" t="s">
        <v>15</v>
      </c>
      <c r="Y161" t="str">
        <f t="shared" si="50"/>
        <v/>
      </c>
      <c r="Z161" t="str">
        <f t="shared" si="51"/>
        <v/>
      </c>
      <c r="AC161" t="str">
        <f t="shared" si="52"/>
        <v>Possession</v>
      </c>
      <c r="AD161" t="str">
        <f t="shared" si="53"/>
        <v/>
      </c>
      <c r="AE161" t="str">
        <f t="shared" si="54"/>
        <v/>
      </c>
      <c r="AF161" t="str">
        <f t="shared" si="55"/>
        <v>Offensive</v>
      </c>
      <c r="AG161">
        <f t="shared" si="61"/>
        <v>18981</v>
      </c>
      <c r="AH161" t="str">
        <f t="shared" si="62"/>
        <v>Nelson</v>
      </c>
      <c r="AI161" t="str">
        <f t="shared" si="63"/>
        <v>Velodrome</v>
      </c>
      <c r="AJ161" s="18">
        <f t="shared" si="56"/>
        <v>3</v>
      </c>
      <c r="AP161" s="18">
        <f t="shared" si="57"/>
        <v>0</v>
      </c>
      <c r="AQ161">
        <f t="shared" si="58"/>
        <v>0</v>
      </c>
      <c r="AR161" s="23">
        <f t="shared" si="59"/>
        <v>188</v>
      </c>
      <c r="AS161">
        <f t="shared" si="64"/>
        <v>183</v>
      </c>
      <c r="AT161" s="21">
        <f t="shared" si="65"/>
        <v>191</v>
      </c>
      <c r="AU161" s="21"/>
      <c r="AV161" s="21"/>
      <c r="AW161" s="21"/>
    </row>
    <row r="162" spans="1:49" x14ac:dyDescent="0.2">
      <c r="A162">
        <v>86</v>
      </c>
      <c r="E162">
        <f t="shared" si="60"/>
        <v>1</v>
      </c>
      <c r="F162" s="5" t="s">
        <v>489</v>
      </c>
      <c r="G162" s="5" t="s">
        <v>521</v>
      </c>
      <c r="H162" s="5" t="s">
        <v>489</v>
      </c>
      <c r="I162" s="7" t="s">
        <v>519</v>
      </c>
      <c r="J162" t="str">
        <f t="shared" si="67"/>
        <v>14</v>
      </c>
      <c r="K162" t="str">
        <f t="shared" si="68"/>
        <v>49</v>
      </c>
      <c r="L162" t="str">
        <f t="shared" si="69"/>
        <v>14</v>
      </c>
      <c r="M162" s="6" t="str">
        <f t="shared" si="70"/>
        <v>47</v>
      </c>
      <c r="N162" t="s">
        <v>178</v>
      </c>
      <c r="O162">
        <v>16</v>
      </c>
      <c r="P162" t="s">
        <v>424</v>
      </c>
      <c r="Q162" t="s">
        <v>277</v>
      </c>
      <c r="R162" t="s">
        <v>191</v>
      </c>
      <c r="S162" t="s">
        <v>87</v>
      </c>
      <c r="Y162" t="str">
        <f t="shared" si="50"/>
        <v/>
      </c>
      <c r="Z162" t="str">
        <f t="shared" si="51"/>
        <v/>
      </c>
      <c r="AC162" t="str">
        <f t="shared" si="52"/>
        <v>Zone_Entry_Exit</v>
      </c>
      <c r="AD162" t="str">
        <f t="shared" si="53"/>
        <v>Zone_Entry</v>
      </c>
      <c r="AE162" t="str">
        <f t="shared" si="54"/>
        <v>ZoneEntry-Rush</v>
      </c>
      <c r="AF162" t="str">
        <f t="shared" si="55"/>
        <v>Offensive</v>
      </c>
      <c r="AG162">
        <f t="shared" si="61"/>
        <v>18981</v>
      </c>
      <c r="AH162" t="str">
        <f t="shared" si="62"/>
        <v>Nelson</v>
      </c>
      <c r="AI162" t="str">
        <f t="shared" si="63"/>
        <v>Velodrome</v>
      </c>
      <c r="AJ162" s="18">
        <f t="shared" si="56"/>
        <v>2</v>
      </c>
      <c r="AP162" s="18">
        <f t="shared" si="57"/>
        <v>0</v>
      </c>
      <c r="AQ162">
        <f t="shared" si="58"/>
        <v>0</v>
      </c>
      <c r="AR162" s="23">
        <f t="shared" si="59"/>
        <v>191</v>
      </c>
      <c r="AS162">
        <f t="shared" si="64"/>
        <v>186</v>
      </c>
      <c r="AT162" s="21">
        <f t="shared" si="65"/>
        <v>193</v>
      </c>
      <c r="AU162" s="21"/>
      <c r="AV162" s="21"/>
      <c r="AW162" s="21"/>
    </row>
    <row r="163" spans="1:49" x14ac:dyDescent="0.2">
      <c r="A163">
        <v>86</v>
      </c>
      <c r="E163">
        <f t="shared" si="60"/>
        <v>1</v>
      </c>
      <c r="J163" t="str">
        <f t="shared" si="67"/>
        <v>14</v>
      </c>
      <c r="K163" t="str">
        <f t="shared" si="68"/>
        <v>49</v>
      </c>
      <c r="L163" t="str">
        <f t="shared" si="69"/>
        <v>14</v>
      </c>
      <c r="M163" s="6" t="str">
        <f t="shared" si="70"/>
        <v>47</v>
      </c>
      <c r="N163" t="str">
        <f t="shared" si="66"/>
        <v>Home</v>
      </c>
      <c r="O163">
        <v>7</v>
      </c>
      <c r="P163" t="s">
        <v>424</v>
      </c>
      <c r="Y163" t="str">
        <f t="shared" si="50"/>
        <v/>
      </c>
      <c r="Z163" t="str">
        <f t="shared" si="51"/>
        <v/>
      </c>
      <c r="AC163" t="str">
        <f t="shared" si="52"/>
        <v>Zone_Entry_Exit</v>
      </c>
      <c r="AD163" t="str">
        <f t="shared" si="53"/>
        <v>Zone_Entry</v>
      </c>
      <c r="AE163" t="str">
        <f t="shared" si="54"/>
        <v>ZoneEntry-Rush</v>
      </c>
      <c r="AF163" t="str">
        <f t="shared" si="55"/>
        <v>Offensive</v>
      </c>
      <c r="AG163">
        <f t="shared" si="61"/>
        <v>18981</v>
      </c>
      <c r="AH163" t="str">
        <f t="shared" si="62"/>
        <v>Nelson</v>
      </c>
      <c r="AI163" t="str">
        <f t="shared" si="63"/>
        <v>Velodrome</v>
      </c>
      <c r="AJ163" s="18">
        <f t="shared" si="56"/>
        <v>2</v>
      </c>
      <c r="AP163" s="18">
        <f t="shared" si="57"/>
        <v>0</v>
      </c>
      <c r="AQ163">
        <f t="shared" si="58"/>
        <v>0</v>
      </c>
      <c r="AR163" s="23">
        <f t="shared" si="59"/>
        <v>191</v>
      </c>
      <c r="AS163">
        <f t="shared" si="64"/>
        <v>186</v>
      </c>
      <c r="AT163" s="21">
        <f t="shared" si="65"/>
        <v>193</v>
      </c>
      <c r="AU163" s="21"/>
      <c r="AV163" s="21"/>
      <c r="AW163" s="21"/>
    </row>
    <row r="164" spans="1:49" x14ac:dyDescent="0.2">
      <c r="A164">
        <v>86</v>
      </c>
      <c r="E164">
        <f t="shared" si="60"/>
        <v>1</v>
      </c>
      <c r="J164" t="str">
        <f t="shared" si="67"/>
        <v>14</v>
      </c>
      <c r="K164" t="str">
        <f t="shared" si="68"/>
        <v>49</v>
      </c>
      <c r="L164" t="str">
        <f t="shared" si="69"/>
        <v>14</v>
      </c>
      <c r="M164" s="6" t="str">
        <f t="shared" si="70"/>
        <v>47</v>
      </c>
      <c r="N164" t="str">
        <f t="shared" si="66"/>
        <v>Home</v>
      </c>
      <c r="O164">
        <v>10</v>
      </c>
      <c r="P164" t="s">
        <v>424</v>
      </c>
      <c r="Y164" t="str">
        <f t="shared" si="50"/>
        <v/>
      </c>
      <c r="Z164" t="str">
        <f t="shared" si="51"/>
        <v/>
      </c>
      <c r="AC164" t="str">
        <f t="shared" si="52"/>
        <v>Zone_Entry_Exit</v>
      </c>
      <c r="AD164" t="str">
        <f t="shared" si="53"/>
        <v>Zone_Entry</v>
      </c>
      <c r="AE164" t="str">
        <f t="shared" si="54"/>
        <v>ZoneEntry-Rush</v>
      </c>
      <c r="AF164" t="str">
        <f t="shared" si="55"/>
        <v>Offensive</v>
      </c>
      <c r="AG164">
        <f t="shared" si="61"/>
        <v>18981</v>
      </c>
      <c r="AH164" t="str">
        <f t="shared" si="62"/>
        <v>Nelson</v>
      </c>
      <c r="AI164" t="str">
        <f t="shared" si="63"/>
        <v>Velodrome</v>
      </c>
      <c r="AJ164" s="18">
        <f t="shared" si="56"/>
        <v>2</v>
      </c>
      <c r="AP164" s="18">
        <f t="shared" si="57"/>
        <v>0</v>
      </c>
      <c r="AQ164">
        <f t="shared" si="58"/>
        <v>0</v>
      </c>
      <c r="AR164" s="23">
        <f t="shared" si="59"/>
        <v>191</v>
      </c>
      <c r="AS164">
        <f t="shared" si="64"/>
        <v>186</v>
      </c>
      <c r="AT164" s="21">
        <f t="shared" si="65"/>
        <v>193</v>
      </c>
      <c r="AU164" s="21"/>
      <c r="AV164" s="21"/>
      <c r="AW164" s="21"/>
    </row>
    <row r="165" spans="1:49" x14ac:dyDescent="0.2">
      <c r="A165">
        <v>86</v>
      </c>
      <c r="E165">
        <f t="shared" si="60"/>
        <v>1</v>
      </c>
      <c r="J165" t="str">
        <f t="shared" si="67"/>
        <v>14</v>
      </c>
      <c r="K165" t="str">
        <f t="shared" si="68"/>
        <v>49</v>
      </c>
      <c r="L165" t="str">
        <f t="shared" si="69"/>
        <v>14</v>
      </c>
      <c r="M165" s="6" t="str">
        <f t="shared" si="70"/>
        <v>47</v>
      </c>
      <c r="N165" t="str">
        <f t="shared" si="66"/>
        <v>Home</v>
      </c>
      <c r="O165">
        <v>9</v>
      </c>
      <c r="P165" t="s">
        <v>425</v>
      </c>
      <c r="Y165" t="str">
        <f t="shared" si="50"/>
        <v/>
      </c>
      <c r="Z165" t="str">
        <f t="shared" si="51"/>
        <v/>
      </c>
      <c r="AC165" t="str">
        <f t="shared" si="52"/>
        <v>Zone_Entry_Exit</v>
      </c>
      <c r="AD165" t="str">
        <f t="shared" si="53"/>
        <v>Zone_Entry</v>
      </c>
      <c r="AE165" t="str">
        <f t="shared" si="54"/>
        <v>ZoneEntry-Rush</v>
      </c>
      <c r="AF165" t="str">
        <f t="shared" si="55"/>
        <v>Defensive</v>
      </c>
      <c r="AG165">
        <f t="shared" si="61"/>
        <v>18981</v>
      </c>
      <c r="AH165" t="str">
        <f t="shared" si="62"/>
        <v>Nelson</v>
      </c>
      <c r="AI165" t="str">
        <f t="shared" si="63"/>
        <v>Velodrome</v>
      </c>
      <c r="AJ165" s="18">
        <f t="shared" si="56"/>
        <v>2</v>
      </c>
      <c r="AP165" s="18">
        <f t="shared" si="57"/>
        <v>0</v>
      </c>
      <c r="AQ165">
        <f t="shared" si="58"/>
        <v>0</v>
      </c>
      <c r="AR165" s="23">
        <f t="shared" si="59"/>
        <v>191</v>
      </c>
      <c r="AS165">
        <f t="shared" si="64"/>
        <v>186</v>
      </c>
      <c r="AT165" s="21">
        <f t="shared" si="65"/>
        <v>193</v>
      </c>
      <c r="AU165" s="21"/>
      <c r="AV165" s="21"/>
      <c r="AW165" s="21"/>
    </row>
    <row r="166" spans="1:49" x14ac:dyDescent="0.2">
      <c r="A166">
        <v>86</v>
      </c>
      <c r="E166">
        <f t="shared" si="60"/>
        <v>1</v>
      </c>
      <c r="J166" t="str">
        <f t="shared" si="67"/>
        <v>14</v>
      </c>
      <c r="K166" t="str">
        <f t="shared" si="68"/>
        <v>49</v>
      </c>
      <c r="L166" t="str">
        <f t="shared" si="69"/>
        <v>14</v>
      </c>
      <c r="M166" s="6" t="str">
        <f t="shared" si="70"/>
        <v>47</v>
      </c>
      <c r="N166" t="str">
        <f t="shared" si="66"/>
        <v>Home</v>
      </c>
      <c r="O166">
        <v>84</v>
      </c>
      <c r="P166" t="s">
        <v>425</v>
      </c>
      <c r="Y166" t="str">
        <f t="shared" si="50"/>
        <v/>
      </c>
      <c r="Z166" t="str">
        <f t="shared" si="51"/>
        <v/>
      </c>
      <c r="AC166" t="str">
        <f t="shared" si="52"/>
        <v>Zone_Entry_Exit</v>
      </c>
      <c r="AD166" t="str">
        <f t="shared" si="53"/>
        <v>Zone_Entry</v>
      </c>
      <c r="AE166" t="str">
        <f t="shared" si="54"/>
        <v>ZoneEntry-Rush</v>
      </c>
      <c r="AF166" t="str">
        <f t="shared" si="55"/>
        <v>Defensive</v>
      </c>
      <c r="AG166">
        <f t="shared" si="61"/>
        <v>18981</v>
      </c>
      <c r="AH166" t="str">
        <f t="shared" si="62"/>
        <v>Nelson</v>
      </c>
      <c r="AI166" t="str">
        <f t="shared" si="63"/>
        <v>Velodrome</v>
      </c>
      <c r="AJ166" s="18">
        <f t="shared" si="56"/>
        <v>2</v>
      </c>
      <c r="AP166" s="18">
        <f t="shared" si="57"/>
        <v>0</v>
      </c>
      <c r="AQ166">
        <f t="shared" si="58"/>
        <v>0</v>
      </c>
      <c r="AR166" s="23">
        <f t="shared" si="59"/>
        <v>191</v>
      </c>
      <c r="AS166">
        <f t="shared" si="64"/>
        <v>186</v>
      </c>
      <c r="AT166" s="21">
        <f t="shared" si="65"/>
        <v>193</v>
      </c>
      <c r="AU166" s="21"/>
      <c r="AV166" s="21"/>
      <c r="AW166" s="21"/>
    </row>
    <row r="167" spans="1:49" x14ac:dyDescent="0.2">
      <c r="A167">
        <v>87</v>
      </c>
      <c r="E167">
        <f t="shared" si="60"/>
        <v>1</v>
      </c>
      <c r="F167" s="5" t="s">
        <v>489</v>
      </c>
      <c r="G167" s="5" t="s">
        <v>519</v>
      </c>
      <c r="J167" t="str">
        <f t="shared" si="67"/>
        <v>14</v>
      </c>
      <c r="K167" t="str">
        <f t="shared" si="68"/>
        <v>47</v>
      </c>
      <c r="L167" t="str">
        <f t="shared" si="69"/>
        <v/>
      </c>
      <c r="M167" s="6" t="str">
        <f t="shared" si="70"/>
        <v/>
      </c>
      <c r="N167" t="s">
        <v>178</v>
      </c>
      <c r="O167">
        <v>16</v>
      </c>
      <c r="P167" t="s">
        <v>424</v>
      </c>
      <c r="Q167" t="s">
        <v>7</v>
      </c>
      <c r="R167" t="s">
        <v>222</v>
      </c>
      <c r="S167" t="s">
        <v>53</v>
      </c>
      <c r="Y167" t="str">
        <f t="shared" si="50"/>
        <v/>
      </c>
      <c r="Z167" t="str">
        <f t="shared" si="51"/>
        <v/>
      </c>
      <c r="AC167" t="str">
        <f t="shared" si="52"/>
        <v>Shot</v>
      </c>
      <c r="AD167" t="str">
        <f t="shared" si="53"/>
        <v>Shot_OnNetSaved</v>
      </c>
      <c r="AE167" t="str">
        <f t="shared" si="54"/>
        <v>Shot-Wrist</v>
      </c>
      <c r="AF167" t="str">
        <f t="shared" si="55"/>
        <v>Offensive</v>
      </c>
      <c r="AG167">
        <f t="shared" si="61"/>
        <v>18981</v>
      </c>
      <c r="AH167" t="str">
        <f t="shared" si="62"/>
        <v>Nelson</v>
      </c>
      <c r="AI167" t="str">
        <f t="shared" si="63"/>
        <v>Velodrome</v>
      </c>
      <c r="AJ167" s="18">
        <f t="shared" si="56"/>
        <v>0</v>
      </c>
      <c r="AP167" s="18">
        <f t="shared" si="57"/>
        <v>0</v>
      </c>
      <c r="AQ167">
        <f t="shared" si="58"/>
        <v>0</v>
      </c>
      <c r="AR167" s="23">
        <f t="shared" si="59"/>
        <v>193</v>
      </c>
      <c r="AS167">
        <f t="shared" si="64"/>
        <v>188</v>
      </c>
      <c r="AT167" s="21">
        <f t="shared" si="65"/>
        <v>193</v>
      </c>
      <c r="AU167" s="21"/>
      <c r="AV167" s="21"/>
      <c r="AW167" s="21"/>
    </row>
    <row r="168" spans="1:49" x14ac:dyDescent="0.2">
      <c r="A168">
        <v>87</v>
      </c>
      <c r="E168">
        <f t="shared" si="60"/>
        <v>1</v>
      </c>
      <c r="J168" t="str">
        <f t="shared" si="67"/>
        <v>14</v>
      </c>
      <c r="K168" t="str">
        <f t="shared" si="68"/>
        <v>47</v>
      </c>
      <c r="L168" t="str">
        <f t="shared" si="69"/>
        <v/>
      </c>
      <c r="M168" s="6" t="str">
        <f t="shared" si="70"/>
        <v/>
      </c>
      <c r="N168" t="str">
        <f t="shared" si="66"/>
        <v>Home</v>
      </c>
      <c r="O168">
        <v>39</v>
      </c>
      <c r="P168" t="s">
        <v>425</v>
      </c>
      <c r="Y168" t="str">
        <f t="shared" si="50"/>
        <v/>
      </c>
      <c r="Z168" t="str">
        <f t="shared" si="51"/>
        <v/>
      </c>
      <c r="AC168" t="str">
        <f t="shared" si="52"/>
        <v>Shot</v>
      </c>
      <c r="AD168" t="str">
        <f t="shared" si="53"/>
        <v>Shot_OnNetSaved</v>
      </c>
      <c r="AE168" t="str">
        <f t="shared" si="54"/>
        <v>Shot-Wrist</v>
      </c>
      <c r="AF168" t="str">
        <f t="shared" si="55"/>
        <v>Defensive</v>
      </c>
      <c r="AG168">
        <f t="shared" si="61"/>
        <v>18981</v>
      </c>
      <c r="AH168" t="str">
        <f t="shared" si="62"/>
        <v>Nelson</v>
      </c>
      <c r="AI168" t="str">
        <f t="shared" si="63"/>
        <v>Velodrome</v>
      </c>
      <c r="AJ168" s="18">
        <f t="shared" si="56"/>
        <v>0</v>
      </c>
      <c r="AP168" s="18">
        <f t="shared" si="57"/>
        <v>0</v>
      </c>
      <c r="AQ168">
        <f t="shared" si="58"/>
        <v>0</v>
      </c>
      <c r="AR168" s="23">
        <f t="shared" si="59"/>
        <v>193</v>
      </c>
      <c r="AS168">
        <f t="shared" si="64"/>
        <v>188</v>
      </c>
      <c r="AT168" s="21">
        <f t="shared" si="65"/>
        <v>193</v>
      </c>
      <c r="AU168" s="21"/>
      <c r="AV168" s="21"/>
      <c r="AW168" s="21"/>
    </row>
    <row r="169" spans="1:49" x14ac:dyDescent="0.2">
      <c r="A169">
        <v>87</v>
      </c>
      <c r="E169">
        <f t="shared" si="60"/>
        <v>1</v>
      </c>
      <c r="J169" t="str">
        <f t="shared" si="67"/>
        <v>14</v>
      </c>
      <c r="K169" t="str">
        <f t="shared" si="68"/>
        <v>47</v>
      </c>
      <c r="L169" t="str">
        <f t="shared" si="69"/>
        <v/>
      </c>
      <c r="M169" s="6" t="str">
        <f t="shared" si="70"/>
        <v/>
      </c>
      <c r="N169" t="str">
        <f t="shared" si="66"/>
        <v>Home</v>
      </c>
      <c r="O169">
        <v>9</v>
      </c>
      <c r="P169" t="s">
        <v>425</v>
      </c>
      <c r="Y169" t="str">
        <f t="shared" si="50"/>
        <v/>
      </c>
      <c r="Z169" t="str">
        <f t="shared" si="51"/>
        <v/>
      </c>
      <c r="AC169" t="str">
        <f t="shared" si="52"/>
        <v>Shot</v>
      </c>
      <c r="AD169" t="str">
        <f t="shared" si="53"/>
        <v>Shot_OnNetSaved</v>
      </c>
      <c r="AE169" t="str">
        <f t="shared" si="54"/>
        <v>Shot-Wrist</v>
      </c>
      <c r="AF169" t="str">
        <f t="shared" si="55"/>
        <v>Defensive</v>
      </c>
      <c r="AG169">
        <f t="shared" si="61"/>
        <v>18981</v>
      </c>
      <c r="AH169" t="str">
        <f t="shared" si="62"/>
        <v>Nelson</v>
      </c>
      <c r="AI169" t="str">
        <f t="shared" si="63"/>
        <v>Velodrome</v>
      </c>
      <c r="AJ169" s="18">
        <f t="shared" si="56"/>
        <v>0</v>
      </c>
      <c r="AP169" s="18">
        <f t="shared" si="57"/>
        <v>0</v>
      </c>
      <c r="AQ169">
        <f t="shared" si="58"/>
        <v>0</v>
      </c>
      <c r="AR169" s="23">
        <f t="shared" si="59"/>
        <v>193</v>
      </c>
      <c r="AS169">
        <f t="shared" si="64"/>
        <v>188</v>
      </c>
      <c r="AT169" s="21">
        <f t="shared" si="65"/>
        <v>193</v>
      </c>
      <c r="AU169" s="21"/>
      <c r="AV169" s="21"/>
      <c r="AW169" s="21"/>
    </row>
    <row r="170" spans="1:49" x14ac:dyDescent="0.2">
      <c r="A170">
        <v>88</v>
      </c>
      <c r="E170">
        <f t="shared" si="60"/>
        <v>1</v>
      </c>
      <c r="F170" s="5" t="s">
        <v>489</v>
      </c>
      <c r="G170" s="5" t="s">
        <v>519</v>
      </c>
      <c r="J170" t="str">
        <f t="shared" si="67"/>
        <v>14</v>
      </c>
      <c r="K170" t="str">
        <f t="shared" si="68"/>
        <v>47</v>
      </c>
      <c r="L170" t="str">
        <f t="shared" si="69"/>
        <v/>
      </c>
      <c r="M170" s="6" t="str">
        <f t="shared" si="70"/>
        <v/>
      </c>
      <c r="N170" t="s">
        <v>179</v>
      </c>
      <c r="O170">
        <v>39</v>
      </c>
      <c r="P170" t="s">
        <v>424</v>
      </c>
      <c r="Q170" t="s">
        <v>17</v>
      </c>
      <c r="R170" t="s">
        <v>206</v>
      </c>
      <c r="S170" t="s">
        <v>96</v>
      </c>
      <c r="Y170" t="str">
        <f t="shared" si="50"/>
        <v/>
      </c>
      <c r="Z170" t="str">
        <f t="shared" si="51"/>
        <v/>
      </c>
      <c r="AC170" t="str">
        <f t="shared" si="52"/>
        <v>Save</v>
      </c>
      <c r="AD170" t="str">
        <f t="shared" si="53"/>
        <v>Save_Freeze</v>
      </c>
      <c r="AE170" t="str">
        <f t="shared" si="54"/>
        <v>Save-Glove</v>
      </c>
      <c r="AF170" t="str">
        <f t="shared" si="55"/>
        <v>Defensive</v>
      </c>
      <c r="AG170">
        <f t="shared" si="61"/>
        <v>18981</v>
      </c>
      <c r="AH170" t="str">
        <f t="shared" si="62"/>
        <v>Nelson</v>
      </c>
      <c r="AI170" t="str">
        <f t="shared" si="63"/>
        <v>Velodrome</v>
      </c>
      <c r="AJ170" s="18">
        <f t="shared" si="56"/>
        <v>0</v>
      </c>
      <c r="AP170" s="18">
        <f t="shared" si="57"/>
        <v>0</v>
      </c>
      <c r="AQ170">
        <f t="shared" si="58"/>
        <v>0</v>
      </c>
      <c r="AR170" s="23">
        <f t="shared" si="59"/>
        <v>193</v>
      </c>
      <c r="AS170">
        <f t="shared" si="64"/>
        <v>188</v>
      </c>
      <c r="AT170" s="21">
        <f t="shared" si="65"/>
        <v>193</v>
      </c>
      <c r="AU170" s="21"/>
      <c r="AV170" s="21"/>
      <c r="AW170" s="21"/>
    </row>
    <row r="171" spans="1:49" x14ac:dyDescent="0.2">
      <c r="A171">
        <v>88</v>
      </c>
      <c r="E171">
        <f t="shared" si="60"/>
        <v>1</v>
      </c>
      <c r="J171" t="str">
        <f t="shared" si="67"/>
        <v>14</v>
      </c>
      <c r="K171" t="str">
        <f t="shared" si="68"/>
        <v>47</v>
      </c>
      <c r="L171" t="str">
        <f t="shared" si="69"/>
        <v/>
      </c>
      <c r="M171" s="6" t="str">
        <f t="shared" si="70"/>
        <v/>
      </c>
      <c r="N171" t="str">
        <f t="shared" si="66"/>
        <v>Away</v>
      </c>
      <c r="O171">
        <v>9</v>
      </c>
      <c r="P171" t="s">
        <v>424</v>
      </c>
      <c r="Y171" t="str">
        <f t="shared" si="50"/>
        <v/>
      </c>
      <c r="Z171" t="str">
        <f t="shared" si="51"/>
        <v/>
      </c>
      <c r="AC171" t="str">
        <f t="shared" si="52"/>
        <v>Save</v>
      </c>
      <c r="AD171" t="str">
        <f t="shared" si="53"/>
        <v>Save_Freeze</v>
      </c>
      <c r="AE171" t="str">
        <f t="shared" si="54"/>
        <v>Save-Glove</v>
      </c>
      <c r="AF171" t="str">
        <f t="shared" si="55"/>
        <v>Defensive</v>
      </c>
      <c r="AG171">
        <f t="shared" si="61"/>
        <v>18981</v>
      </c>
      <c r="AH171" t="str">
        <f t="shared" si="62"/>
        <v>Nelson</v>
      </c>
      <c r="AI171" t="str">
        <f t="shared" si="63"/>
        <v>Velodrome</v>
      </c>
      <c r="AJ171" s="18">
        <f t="shared" si="56"/>
        <v>0</v>
      </c>
      <c r="AP171" s="18">
        <f t="shared" si="57"/>
        <v>0</v>
      </c>
      <c r="AQ171">
        <f t="shared" si="58"/>
        <v>0</v>
      </c>
      <c r="AR171" s="23">
        <f t="shared" si="59"/>
        <v>193</v>
      </c>
      <c r="AS171">
        <f t="shared" si="64"/>
        <v>188</v>
      </c>
      <c r="AT171" s="21">
        <f t="shared" si="65"/>
        <v>193</v>
      </c>
      <c r="AU171" s="21"/>
      <c r="AV171" s="21"/>
      <c r="AW171" s="21"/>
    </row>
    <row r="172" spans="1:49" x14ac:dyDescent="0.2">
      <c r="A172">
        <v>88</v>
      </c>
      <c r="E172">
        <f t="shared" si="60"/>
        <v>1</v>
      </c>
      <c r="J172" t="str">
        <f t="shared" si="67"/>
        <v>14</v>
      </c>
      <c r="K172" t="str">
        <f t="shared" si="68"/>
        <v>47</v>
      </c>
      <c r="L172" t="str">
        <f t="shared" si="69"/>
        <v/>
      </c>
      <c r="M172" s="6" t="str">
        <f t="shared" si="70"/>
        <v/>
      </c>
      <c r="N172" t="str">
        <f t="shared" si="66"/>
        <v>Away</v>
      </c>
      <c r="O172">
        <v>16</v>
      </c>
      <c r="P172" t="s">
        <v>425</v>
      </c>
      <c r="Y172" t="str">
        <f t="shared" si="50"/>
        <v/>
      </c>
      <c r="Z172" t="str">
        <f t="shared" si="51"/>
        <v/>
      </c>
      <c r="AC172" t="str">
        <f t="shared" si="52"/>
        <v>Save</v>
      </c>
      <c r="AD172" t="str">
        <f t="shared" si="53"/>
        <v>Save_Freeze</v>
      </c>
      <c r="AE172" t="str">
        <f t="shared" si="54"/>
        <v>Save-Glove</v>
      </c>
      <c r="AF172" t="str">
        <f t="shared" si="55"/>
        <v>Offensive</v>
      </c>
      <c r="AG172">
        <f t="shared" si="61"/>
        <v>18981</v>
      </c>
      <c r="AH172" t="str">
        <f t="shared" si="62"/>
        <v>Nelson</v>
      </c>
      <c r="AI172" t="str">
        <f t="shared" si="63"/>
        <v>Velodrome</v>
      </c>
      <c r="AJ172" s="18">
        <f t="shared" si="56"/>
        <v>0</v>
      </c>
      <c r="AP172" s="18">
        <f t="shared" si="57"/>
        <v>0</v>
      </c>
      <c r="AQ172">
        <f t="shared" si="58"/>
        <v>0</v>
      </c>
      <c r="AR172" s="23">
        <f t="shared" si="59"/>
        <v>193</v>
      </c>
      <c r="AS172">
        <f t="shared" si="64"/>
        <v>188</v>
      </c>
      <c r="AT172" s="21">
        <f t="shared" si="65"/>
        <v>193</v>
      </c>
      <c r="AU172" s="21"/>
      <c r="AV172" s="21"/>
      <c r="AW172" s="21"/>
    </row>
    <row r="173" spans="1:49" x14ac:dyDescent="0.2">
      <c r="A173">
        <v>89</v>
      </c>
      <c r="E173">
        <f t="shared" si="60"/>
        <v>1</v>
      </c>
      <c r="F173" s="5" t="s">
        <v>489</v>
      </c>
      <c r="G173" s="5" t="s">
        <v>519</v>
      </c>
      <c r="J173" t="str">
        <f t="shared" si="67"/>
        <v>14</v>
      </c>
      <c r="K173" t="str">
        <f t="shared" si="68"/>
        <v>47</v>
      </c>
      <c r="L173" t="str">
        <f t="shared" si="69"/>
        <v/>
      </c>
      <c r="M173" s="6" t="str">
        <f t="shared" si="70"/>
        <v/>
      </c>
      <c r="N173" t="s">
        <v>179</v>
      </c>
      <c r="O173">
        <v>39</v>
      </c>
      <c r="P173" t="s">
        <v>424</v>
      </c>
      <c r="Q173" t="s">
        <v>13</v>
      </c>
      <c r="R173" t="s">
        <v>204</v>
      </c>
      <c r="S173" t="s">
        <v>110</v>
      </c>
      <c r="Y173" t="str">
        <f t="shared" si="50"/>
        <v/>
      </c>
      <c r="Z173" t="str">
        <f t="shared" si="51"/>
        <v/>
      </c>
      <c r="AC173" t="str">
        <f t="shared" si="52"/>
        <v>Stoppage</v>
      </c>
      <c r="AD173" t="str">
        <f t="shared" si="53"/>
        <v>Stoppage_Play</v>
      </c>
      <c r="AE173" t="str">
        <f t="shared" si="54"/>
        <v>Stoppage-GoalieStoppage</v>
      </c>
      <c r="AF173" t="str">
        <f t="shared" si="55"/>
        <v/>
      </c>
      <c r="AG173">
        <f t="shared" si="61"/>
        <v>18981</v>
      </c>
      <c r="AH173" t="str">
        <f t="shared" si="62"/>
        <v>Nelson</v>
      </c>
      <c r="AI173" t="str">
        <f t="shared" si="63"/>
        <v>Velodrome</v>
      </c>
      <c r="AJ173" s="18">
        <f t="shared" si="56"/>
        <v>0</v>
      </c>
      <c r="AP173" s="18">
        <f t="shared" si="57"/>
        <v>0</v>
      </c>
      <c r="AQ173">
        <f t="shared" si="58"/>
        <v>0</v>
      </c>
      <c r="AR173" s="23">
        <f t="shared" si="59"/>
        <v>193</v>
      </c>
      <c r="AS173">
        <f t="shared" si="64"/>
        <v>188</v>
      </c>
      <c r="AT173" s="21">
        <f t="shared" si="65"/>
        <v>193</v>
      </c>
      <c r="AU173" s="21"/>
      <c r="AV173" s="21"/>
      <c r="AW173" s="21"/>
    </row>
    <row r="174" spans="1:49" x14ac:dyDescent="0.2">
      <c r="A174">
        <v>90</v>
      </c>
      <c r="E174">
        <f t="shared" si="60"/>
        <v>1</v>
      </c>
      <c r="F174" s="5" t="s">
        <v>489</v>
      </c>
      <c r="G174" s="5" t="s">
        <v>519</v>
      </c>
      <c r="H174" s="5" t="s">
        <v>489</v>
      </c>
      <c r="I174" s="7" t="s">
        <v>502</v>
      </c>
      <c r="J174" t="str">
        <f t="shared" si="67"/>
        <v>14</v>
      </c>
      <c r="K174" t="str">
        <f t="shared" si="68"/>
        <v>47</v>
      </c>
      <c r="L174" t="str">
        <f t="shared" si="69"/>
        <v>14</v>
      </c>
      <c r="M174" s="6" t="str">
        <f t="shared" si="70"/>
        <v>30</v>
      </c>
      <c r="N174" t="s">
        <v>179</v>
      </c>
      <c r="O174">
        <v>39</v>
      </c>
      <c r="P174" t="s">
        <v>424</v>
      </c>
      <c r="Q174" t="s">
        <v>282</v>
      </c>
      <c r="Y174" t="str">
        <f t="shared" si="50"/>
        <v/>
      </c>
      <c r="Z174" t="str">
        <f t="shared" si="51"/>
        <v/>
      </c>
      <c r="AC174" t="str">
        <f t="shared" si="52"/>
        <v>DeadIce</v>
      </c>
      <c r="AD174" t="str">
        <f t="shared" si="53"/>
        <v/>
      </c>
      <c r="AE174" t="str">
        <f t="shared" si="54"/>
        <v/>
      </c>
      <c r="AF174" t="str">
        <f t="shared" si="55"/>
        <v/>
      </c>
      <c r="AG174">
        <f t="shared" si="61"/>
        <v>18981</v>
      </c>
      <c r="AH174" t="str">
        <f t="shared" si="62"/>
        <v>Nelson</v>
      </c>
      <c r="AI174" t="str">
        <f t="shared" si="63"/>
        <v>Velodrome</v>
      </c>
      <c r="AJ174" s="18">
        <f t="shared" si="56"/>
        <v>17</v>
      </c>
      <c r="AP174" s="18">
        <f t="shared" si="57"/>
        <v>0</v>
      </c>
      <c r="AQ174">
        <f t="shared" si="58"/>
        <v>0</v>
      </c>
      <c r="AR174" s="23">
        <f t="shared" si="59"/>
        <v>193</v>
      </c>
      <c r="AS174">
        <f t="shared" si="64"/>
        <v>188</v>
      </c>
      <c r="AT174" s="21">
        <f t="shared" si="65"/>
        <v>210</v>
      </c>
      <c r="AU174" s="21"/>
      <c r="AV174" s="21"/>
      <c r="AW174" s="21"/>
    </row>
    <row r="175" spans="1:49" x14ac:dyDescent="0.2">
      <c r="A175">
        <v>91</v>
      </c>
      <c r="E175">
        <f t="shared" si="60"/>
        <v>1</v>
      </c>
      <c r="F175" s="5" t="s">
        <v>489</v>
      </c>
      <c r="G175" s="5" t="s">
        <v>502</v>
      </c>
      <c r="J175" t="str">
        <f t="shared" si="67"/>
        <v>14</v>
      </c>
      <c r="K175" t="str">
        <f t="shared" si="68"/>
        <v>30</v>
      </c>
      <c r="L175" t="str">
        <f t="shared" si="69"/>
        <v/>
      </c>
      <c r="M175" s="6" t="str">
        <f t="shared" si="70"/>
        <v/>
      </c>
      <c r="N175" t="s">
        <v>178</v>
      </c>
      <c r="O175">
        <v>10</v>
      </c>
      <c r="P175" t="s">
        <v>424</v>
      </c>
      <c r="Q175" t="s">
        <v>6</v>
      </c>
      <c r="R175" t="s">
        <v>275</v>
      </c>
      <c r="Y175" t="str">
        <f t="shared" si="50"/>
        <v/>
      </c>
      <c r="Z175" t="str">
        <f t="shared" si="51"/>
        <v/>
      </c>
      <c r="AC175" t="str">
        <f t="shared" si="52"/>
        <v>Faceoff</v>
      </c>
      <c r="AD175" t="str">
        <f t="shared" si="53"/>
        <v>Faceoff_AfterStoppage</v>
      </c>
      <c r="AE175" t="str">
        <f t="shared" si="54"/>
        <v/>
      </c>
      <c r="AF175" t="str">
        <f t="shared" si="55"/>
        <v>Offensive</v>
      </c>
      <c r="AG175">
        <f t="shared" si="61"/>
        <v>18981</v>
      </c>
      <c r="AH175" t="str">
        <f t="shared" si="62"/>
        <v>Nelson</v>
      </c>
      <c r="AI175" t="str">
        <f t="shared" si="63"/>
        <v>Velodrome</v>
      </c>
      <c r="AJ175" s="18">
        <f t="shared" si="56"/>
        <v>0</v>
      </c>
      <c r="AP175" s="18">
        <f t="shared" si="57"/>
        <v>0</v>
      </c>
      <c r="AQ175">
        <f t="shared" si="58"/>
        <v>0</v>
      </c>
      <c r="AR175" s="23">
        <f t="shared" si="59"/>
        <v>210</v>
      </c>
      <c r="AS175">
        <f t="shared" si="64"/>
        <v>205</v>
      </c>
      <c r="AT175" s="21">
        <f t="shared" si="65"/>
        <v>210</v>
      </c>
      <c r="AU175" s="21"/>
      <c r="AV175" s="21"/>
      <c r="AW175" s="21"/>
    </row>
    <row r="176" spans="1:49" x14ac:dyDescent="0.2">
      <c r="A176">
        <v>91</v>
      </c>
      <c r="E176">
        <f t="shared" si="60"/>
        <v>1</v>
      </c>
      <c r="J176" t="str">
        <f t="shared" si="67"/>
        <v>14</v>
      </c>
      <c r="K176" t="str">
        <f t="shared" si="68"/>
        <v>30</v>
      </c>
      <c r="L176" t="str">
        <f t="shared" si="69"/>
        <v/>
      </c>
      <c r="M176" s="6" t="str">
        <f t="shared" si="70"/>
        <v/>
      </c>
      <c r="N176" t="str">
        <f t="shared" si="66"/>
        <v>Home</v>
      </c>
      <c r="O176">
        <v>37</v>
      </c>
      <c r="P176" t="s">
        <v>424</v>
      </c>
      <c r="Y176" t="str">
        <f t="shared" si="50"/>
        <v/>
      </c>
      <c r="Z176" t="str">
        <f t="shared" si="51"/>
        <v/>
      </c>
      <c r="AC176" t="str">
        <f t="shared" si="52"/>
        <v>Faceoff</v>
      </c>
      <c r="AD176" t="str">
        <f t="shared" si="53"/>
        <v>Faceoff_AfterStoppage</v>
      </c>
      <c r="AE176" t="str">
        <f t="shared" si="54"/>
        <v/>
      </c>
      <c r="AF176" t="str">
        <f t="shared" si="55"/>
        <v>Offensive</v>
      </c>
      <c r="AG176">
        <f t="shared" si="61"/>
        <v>18981</v>
      </c>
      <c r="AH176" t="str">
        <f t="shared" si="62"/>
        <v>Nelson</v>
      </c>
      <c r="AI176" t="str">
        <f t="shared" si="63"/>
        <v>Velodrome</v>
      </c>
      <c r="AJ176" s="18">
        <f t="shared" si="56"/>
        <v>0</v>
      </c>
      <c r="AP176" s="18">
        <f t="shared" si="57"/>
        <v>0</v>
      </c>
      <c r="AQ176">
        <f t="shared" si="58"/>
        <v>0</v>
      </c>
      <c r="AR176" s="23">
        <f t="shared" si="59"/>
        <v>210</v>
      </c>
      <c r="AS176">
        <f t="shared" si="64"/>
        <v>205</v>
      </c>
      <c r="AT176" s="21">
        <f t="shared" si="65"/>
        <v>210</v>
      </c>
      <c r="AU176" s="21"/>
      <c r="AV176" s="21"/>
      <c r="AW176" s="21"/>
    </row>
    <row r="177" spans="1:49" x14ac:dyDescent="0.2">
      <c r="A177">
        <v>91</v>
      </c>
      <c r="E177">
        <f t="shared" si="60"/>
        <v>1</v>
      </c>
      <c r="J177" t="str">
        <f t="shared" si="67"/>
        <v>14</v>
      </c>
      <c r="K177" t="str">
        <f t="shared" si="68"/>
        <v>30</v>
      </c>
      <c r="L177" t="str">
        <f t="shared" si="69"/>
        <v/>
      </c>
      <c r="M177" s="6" t="str">
        <f t="shared" si="70"/>
        <v/>
      </c>
      <c r="N177" t="str">
        <f t="shared" si="66"/>
        <v>Home</v>
      </c>
      <c r="O177">
        <v>49</v>
      </c>
      <c r="P177" t="s">
        <v>425</v>
      </c>
      <c r="Y177" t="str">
        <f t="shared" si="50"/>
        <v/>
      </c>
      <c r="Z177" t="str">
        <f t="shared" si="51"/>
        <v/>
      </c>
      <c r="AC177" t="str">
        <f t="shared" si="52"/>
        <v>Faceoff</v>
      </c>
      <c r="AD177" t="str">
        <f t="shared" si="53"/>
        <v>Faceoff_AfterStoppage</v>
      </c>
      <c r="AE177" t="str">
        <f t="shared" si="54"/>
        <v/>
      </c>
      <c r="AF177" t="str">
        <f t="shared" si="55"/>
        <v>Defensive</v>
      </c>
      <c r="AG177">
        <f t="shared" si="61"/>
        <v>18981</v>
      </c>
      <c r="AH177" t="str">
        <f t="shared" si="62"/>
        <v>Nelson</v>
      </c>
      <c r="AI177" t="str">
        <f t="shared" si="63"/>
        <v>Velodrome</v>
      </c>
      <c r="AJ177" s="18">
        <f t="shared" si="56"/>
        <v>0</v>
      </c>
      <c r="AP177" s="18">
        <f t="shared" si="57"/>
        <v>0</v>
      </c>
      <c r="AQ177">
        <f t="shared" si="58"/>
        <v>0</v>
      </c>
      <c r="AR177" s="23">
        <f t="shared" si="59"/>
        <v>210</v>
      </c>
      <c r="AS177">
        <f t="shared" si="64"/>
        <v>205</v>
      </c>
      <c r="AT177" s="21">
        <f t="shared" si="65"/>
        <v>210</v>
      </c>
      <c r="AU177" s="21"/>
      <c r="AV177" s="21"/>
      <c r="AW177" s="21"/>
    </row>
    <row r="178" spans="1:49" x14ac:dyDescent="0.2">
      <c r="A178">
        <v>92</v>
      </c>
      <c r="E178">
        <f t="shared" si="60"/>
        <v>1</v>
      </c>
      <c r="F178" s="5" t="s">
        <v>489</v>
      </c>
      <c r="G178" s="5" t="s">
        <v>501</v>
      </c>
      <c r="J178" t="str">
        <f t="shared" si="67"/>
        <v>14</v>
      </c>
      <c r="K178" t="str">
        <f t="shared" si="68"/>
        <v>29</v>
      </c>
      <c r="L178" t="str">
        <f t="shared" si="69"/>
        <v/>
      </c>
      <c r="M178" s="6" t="str">
        <f t="shared" si="70"/>
        <v/>
      </c>
      <c r="N178" t="s">
        <v>178</v>
      </c>
      <c r="O178">
        <v>37</v>
      </c>
      <c r="P178" t="s">
        <v>424</v>
      </c>
      <c r="Q178" t="s">
        <v>7</v>
      </c>
      <c r="R178" t="s">
        <v>198</v>
      </c>
      <c r="S178" t="s">
        <v>53</v>
      </c>
      <c r="Y178" t="str">
        <f t="shared" si="50"/>
        <v/>
      </c>
      <c r="Z178" t="str">
        <f t="shared" si="51"/>
        <v/>
      </c>
      <c r="AC178" t="str">
        <f t="shared" si="52"/>
        <v>Shot</v>
      </c>
      <c r="AD178" t="str">
        <f t="shared" si="53"/>
        <v>Shot_Missed</v>
      </c>
      <c r="AE178" t="str">
        <f t="shared" si="54"/>
        <v>Shot-Wrist</v>
      </c>
      <c r="AF178" t="str">
        <f t="shared" si="55"/>
        <v>Offensive</v>
      </c>
      <c r="AG178">
        <f t="shared" si="61"/>
        <v>18981</v>
      </c>
      <c r="AH178" t="str">
        <f t="shared" si="62"/>
        <v>Nelson</v>
      </c>
      <c r="AI178" t="str">
        <f t="shared" si="63"/>
        <v>Velodrome</v>
      </c>
      <c r="AJ178" s="18">
        <f t="shared" si="56"/>
        <v>0</v>
      </c>
      <c r="AP178" s="18">
        <f t="shared" si="57"/>
        <v>0</v>
      </c>
      <c r="AQ178">
        <f t="shared" si="58"/>
        <v>0</v>
      </c>
      <c r="AR178" s="23">
        <f t="shared" si="59"/>
        <v>211</v>
      </c>
      <c r="AS178">
        <f t="shared" si="64"/>
        <v>206</v>
      </c>
      <c r="AT178" s="21">
        <f t="shared" si="65"/>
        <v>211</v>
      </c>
      <c r="AU178" s="21"/>
      <c r="AV178" s="21"/>
      <c r="AW178" s="21"/>
    </row>
    <row r="179" spans="1:49" x14ac:dyDescent="0.2">
      <c r="A179">
        <v>92</v>
      </c>
      <c r="E179">
        <f t="shared" si="60"/>
        <v>1</v>
      </c>
      <c r="J179" t="str">
        <f t="shared" si="67"/>
        <v>14</v>
      </c>
      <c r="K179" t="str">
        <f t="shared" si="68"/>
        <v>29</v>
      </c>
      <c r="L179" t="str">
        <f t="shared" si="69"/>
        <v/>
      </c>
      <c r="M179" s="6" t="str">
        <f t="shared" si="70"/>
        <v/>
      </c>
      <c r="N179" t="str">
        <f t="shared" si="66"/>
        <v>Home</v>
      </c>
      <c r="O179">
        <v>49</v>
      </c>
      <c r="P179" t="s">
        <v>425</v>
      </c>
      <c r="Y179" t="str">
        <f t="shared" si="50"/>
        <v/>
      </c>
      <c r="Z179" t="str">
        <f t="shared" si="51"/>
        <v/>
      </c>
      <c r="AC179" t="str">
        <f t="shared" si="52"/>
        <v>Shot</v>
      </c>
      <c r="AD179" t="str">
        <f t="shared" si="53"/>
        <v>Shot_Missed</v>
      </c>
      <c r="AE179" t="str">
        <f t="shared" si="54"/>
        <v>Shot-Wrist</v>
      </c>
      <c r="AF179" t="str">
        <f t="shared" si="55"/>
        <v>Defensive</v>
      </c>
      <c r="AG179">
        <f t="shared" si="61"/>
        <v>18981</v>
      </c>
      <c r="AH179" t="str">
        <f t="shared" si="62"/>
        <v>Nelson</v>
      </c>
      <c r="AI179" t="str">
        <f t="shared" si="63"/>
        <v>Velodrome</v>
      </c>
      <c r="AJ179" s="18">
        <f t="shared" si="56"/>
        <v>0</v>
      </c>
      <c r="AP179" s="18">
        <f t="shared" si="57"/>
        <v>0</v>
      </c>
      <c r="AQ179">
        <f t="shared" si="58"/>
        <v>0</v>
      </c>
      <c r="AR179" s="23">
        <f t="shared" si="59"/>
        <v>211</v>
      </c>
      <c r="AS179">
        <f t="shared" si="64"/>
        <v>206</v>
      </c>
      <c r="AT179" s="21">
        <f t="shared" si="65"/>
        <v>211</v>
      </c>
      <c r="AU179" s="21"/>
      <c r="AV179" s="21"/>
      <c r="AW179" s="21"/>
    </row>
    <row r="180" spans="1:49" x14ac:dyDescent="0.2">
      <c r="A180">
        <v>93</v>
      </c>
      <c r="E180">
        <f t="shared" si="60"/>
        <v>1</v>
      </c>
      <c r="F180" s="5" t="s">
        <v>489</v>
      </c>
      <c r="G180" s="5" t="s">
        <v>501</v>
      </c>
      <c r="J180" t="str">
        <f t="shared" si="67"/>
        <v>14</v>
      </c>
      <c r="K180" t="str">
        <f t="shared" si="68"/>
        <v>29</v>
      </c>
      <c r="L180" t="str">
        <f t="shared" si="69"/>
        <v/>
      </c>
      <c r="M180" s="6" t="str">
        <f t="shared" si="70"/>
        <v/>
      </c>
      <c r="N180" t="s">
        <v>178</v>
      </c>
      <c r="O180">
        <v>37</v>
      </c>
      <c r="P180" t="s">
        <v>424</v>
      </c>
      <c r="Q180" t="s">
        <v>10</v>
      </c>
      <c r="R180" t="s">
        <v>190</v>
      </c>
      <c r="S180" t="s">
        <v>79</v>
      </c>
      <c r="Y180" t="str">
        <f t="shared" si="50"/>
        <v/>
      </c>
      <c r="Z180" t="str">
        <f t="shared" si="51"/>
        <v/>
      </c>
      <c r="AC180" t="str">
        <f t="shared" si="52"/>
        <v>Turnover</v>
      </c>
      <c r="AD180" t="str">
        <f t="shared" si="53"/>
        <v>Turnover_Giveaway</v>
      </c>
      <c r="AE180" t="str">
        <f t="shared" si="54"/>
        <v>Giveaway-ShotMissed</v>
      </c>
      <c r="AF180" t="str">
        <f t="shared" si="55"/>
        <v>Offensive</v>
      </c>
      <c r="AG180">
        <f t="shared" si="61"/>
        <v>18981</v>
      </c>
      <c r="AH180" t="str">
        <f t="shared" si="62"/>
        <v>Nelson</v>
      </c>
      <c r="AI180" t="str">
        <f t="shared" si="63"/>
        <v>Velodrome</v>
      </c>
      <c r="AJ180" s="18">
        <f t="shared" si="56"/>
        <v>0</v>
      </c>
      <c r="AP180" s="18">
        <f t="shared" si="57"/>
        <v>0</v>
      </c>
      <c r="AQ180">
        <f t="shared" si="58"/>
        <v>0</v>
      </c>
      <c r="AR180" s="23">
        <f t="shared" si="59"/>
        <v>211</v>
      </c>
      <c r="AS180">
        <f t="shared" si="64"/>
        <v>206</v>
      </c>
      <c r="AT180" s="21">
        <f t="shared" si="65"/>
        <v>211</v>
      </c>
      <c r="AU180" s="21"/>
      <c r="AV180" s="21"/>
      <c r="AW180" s="21"/>
    </row>
    <row r="181" spans="1:49" x14ac:dyDescent="0.2">
      <c r="A181">
        <v>94</v>
      </c>
      <c r="E181">
        <f t="shared" si="60"/>
        <v>1</v>
      </c>
      <c r="F181" s="5" t="s">
        <v>489</v>
      </c>
      <c r="G181" s="5" t="s">
        <v>496</v>
      </c>
      <c r="H181" s="5" t="s">
        <v>489</v>
      </c>
      <c r="I181" s="7" t="s">
        <v>494</v>
      </c>
      <c r="J181" t="str">
        <f t="shared" si="67"/>
        <v>14</v>
      </c>
      <c r="K181" t="str">
        <f t="shared" si="68"/>
        <v>24</v>
      </c>
      <c r="L181" t="str">
        <f t="shared" si="69"/>
        <v>14</v>
      </c>
      <c r="M181" s="6" t="str">
        <f t="shared" si="70"/>
        <v>22</v>
      </c>
      <c r="N181" t="s">
        <v>179</v>
      </c>
      <c r="O181">
        <v>14</v>
      </c>
      <c r="P181" t="s">
        <v>424</v>
      </c>
      <c r="Q181" t="s">
        <v>15</v>
      </c>
      <c r="Y181" t="str">
        <f t="shared" si="50"/>
        <v/>
      </c>
      <c r="Z181" t="str">
        <f t="shared" si="51"/>
        <v/>
      </c>
      <c r="AC181" t="str">
        <f t="shared" si="52"/>
        <v>Possession</v>
      </c>
      <c r="AD181" t="str">
        <f t="shared" si="53"/>
        <v/>
      </c>
      <c r="AE181" t="str">
        <f t="shared" si="54"/>
        <v/>
      </c>
      <c r="AF181" t="str">
        <f t="shared" si="55"/>
        <v>Offensive</v>
      </c>
      <c r="AG181">
        <f t="shared" si="61"/>
        <v>18981</v>
      </c>
      <c r="AH181" t="str">
        <f t="shared" si="62"/>
        <v>Nelson</v>
      </c>
      <c r="AI181" t="str">
        <f t="shared" si="63"/>
        <v>Velodrome</v>
      </c>
      <c r="AJ181" s="18">
        <f t="shared" si="56"/>
        <v>2</v>
      </c>
      <c r="AP181" s="18">
        <f t="shared" si="57"/>
        <v>0</v>
      </c>
      <c r="AQ181">
        <f t="shared" si="58"/>
        <v>0</v>
      </c>
      <c r="AR181" s="23">
        <f t="shared" si="59"/>
        <v>216</v>
      </c>
      <c r="AS181">
        <f t="shared" si="64"/>
        <v>211</v>
      </c>
      <c r="AT181" s="21">
        <f t="shared" si="65"/>
        <v>218</v>
      </c>
      <c r="AU181" s="21"/>
      <c r="AV181" s="21"/>
      <c r="AW181" s="21"/>
    </row>
    <row r="182" spans="1:49" x14ac:dyDescent="0.2">
      <c r="A182">
        <v>95</v>
      </c>
      <c r="E182">
        <f t="shared" si="60"/>
        <v>1</v>
      </c>
      <c r="F182" s="5" t="s">
        <v>489</v>
      </c>
      <c r="G182" s="5" t="s">
        <v>494</v>
      </c>
      <c r="J182" t="str">
        <f t="shared" si="67"/>
        <v>14</v>
      </c>
      <c r="K182" t="str">
        <f t="shared" si="68"/>
        <v>22</v>
      </c>
      <c r="L182" t="str">
        <f t="shared" si="69"/>
        <v/>
      </c>
      <c r="M182" s="6" t="str">
        <f t="shared" si="70"/>
        <v/>
      </c>
      <c r="N182" t="s">
        <v>179</v>
      </c>
      <c r="O182">
        <v>14</v>
      </c>
      <c r="P182" t="s">
        <v>424</v>
      </c>
      <c r="Q182" t="s">
        <v>8</v>
      </c>
      <c r="R182" t="s">
        <v>189</v>
      </c>
      <c r="S182" t="s">
        <v>70</v>
      </c>
      <c r="Y182" t="str">
        <f t="shared" si="50"/>
        <v/>
      </c>
      <c r="Z182" t="str">
        <f t="shared" si="51"/>
        <v/>
      </c>
      <c r="AC182" t="str">
        <f t="shared" si="52"/>
        <v>Pass</v>
      </c>
      <c r="AD182" t="str">
        <f t="shared" si="53"/>
        <v>Pass_Completed</v>
      </c>
      <c r="AE182" t="str">
        <f t="shared" si="54"/>
        <v>Pass-Forehand</v>
      </c>
      <c r="AF182" t="str">
        <f t="shared" si="55"/>
        <v>Offensive</v>
      </c>
      <c r="AG182">
        <f t="shared" si="61"/>
        <v>18981</v>
      </c>
      <c r="AH182" t="str">
        <f t="shared" si="62"/>
        <v>Nelson</v>
      </c>
      <c r="AI182" t="str">
        <f t="shared" si="63"/>
        <v>Velodrome</v>
      </c>
      <c r="AJ182" s="18">
        <f t="shared" si="56"/>
        <v>0</v>
      </c>
      <c r="AP182" s="18">
        <f t="shared" si="57"/>
        <v>0</v>
      </c>
      <c r="AQ182">
        <f t="shared" si="58"/>
        <v>0</v>
      </c>
      <c r="AR182" s="23">
        <f t="shared" si="59"/>
        <v>218</v>
      </c>
      <c r="AS182">
        <f t="shared" si="64"/>
        <v>213</v>
      </c>
      <c r="AT182" s="21">
        <f t="shared" si="65"/>
        <v>218</v>
      </c>
      <c r="AU182" s="21"/>
      <c r="AV182" s="21"/>
      <c r="AW182" s="21"/>
    </row>
    <row r="183" spans="1:49" x14ac:dyDescent="0.2">
      <c r="A183">
        <v>95</v>
      </c>
      <c r="E183">
        <f t="shared" si="60"/>
        <v>1</v>
      </c>
      <c r="J183" t="str">
        <f t="shared" si="67"/>
        <v>14</v>
      </c>
      <c r="K183" t="str">
        <f t="shared" si="68"/>
        <v>22</v>
      </c>
      <c r="L183" t="str">
        <f t="shared" si="69"/>
        <v/>
      </c>
      <c r="M183" s="6" t="str">
        <f t="shared" si="70"/>
        <v/>
      </c>
      <c r="N183" t="str">
        <f t="shared" si="66"/>
        <v>Away</v>
      </c>
      <c r="O183">
        <v>9</v>
      </c>
      <c r="P183" t="s">
        <v>424</v>
      </c>
      <c r="Y183" t="str">
        <f t="shared" si="50"/>
        <v/>
      </c>
      <c r="Z183" t="str">
        <f t="shared" si="51"/>
        <v/>
      </c>
      <c r="AC183" t="str">
        <f t="shared" si="52"/>
        <v>Pass</v>
      </c>
      <c r="AD183" t="str">
        <f t="shared" si="53"/>
        <v>Pass_Completed</v>
      </c>
      <c r="AE183" t="str">
        <f t="shared" si="54"/>
        <v>Pass-Forehand</v>
      </c>
      <c r="AF183" t="str">
        <f t="shared" si="55"/>
        <v>Offensive</v>
      </c>
      <c r="AG183">
        <f t="shared" si="61"/>
        <v>18981</v>
      </c>
      <c r="AH183" t="str">
        <f t="shared" si="62"/>
        <v>Nelson</v>
      </c>
      <c r="AI183" t="str">
        <f t="shared" si="63"/>
        <v>Velodrome</v>
      </c>
      <c r="AJ183" s="18">
        <f t="shared" si="56"/>
        <v>0</v>
      </c>
      <c r="AP183" s="18">
        <f t="shared" si="57"/>
        <v>0</v>
      </c>
      <c r="AQ183">
        <f t="shared" si="58"/>
        <v>0</v>
      </c>
      <c r="AR183" s="23">
        <f t="shared" si="59"/>
        <v>218</v>
      </c>
      <c r="AS183">
        <f t="shared" si="64"/>
        <v>213</v>
      </c>
      <c r="AT183" s="21">
        <f t="shared" si="65"/>
        <v>218</v>
      </c>
      <c r="AU183" s="21"/>
      <c r="AV183" s="21"/>
      <c r="AW183" s="21"/>
    </row>
    <row r="184" spans="1:49" x14ac:dyDescent="0.2">
      <c r="A184">
        <v>96</v>
      </c>
      <c r="E184">
        <f t="shared" si="60"/>
        <v>1</v>
      </c>
      <c r="F184" s="5" t="s">
        <v>489</v>
      </c>
      <c r="G184" s="5" t="s">
        <v>494</v>
      </c>
      <c r="H184" s="5" t="s">
        <v>489</v>
      </c>
      <c r="I184" s="7" t="s">
        <v>492</v>
      </c>
      <c r="J184" t="str">
        <f t="shared" si="67"/>
        <v>14</v>
      </c>
      <c r="K184" t="str">
        <f t="shared" si="68"/>
        <v>22</v>
      </c>
      <c r="L184" t="str">
        <f t="shared" si="69"/>
        <v>14</v>
      </c>
      <c r="M184" s="6" t="str">
        <f t="shared" si="70"/>
        <v>20</v>
      </c>
      <c r="N184" t="s">
        <v>179</v>
      </c>
      <c r="O184">
        <v>9</v>
      </c>
      <c r="P184" t="s">
        <v>424</v>
      </c>
      <c r="Q184" t="s">
        <v>15</v>
      </c>
      <c r="Y184" t="str">
        <f t="shared" si="50"/>
        <v/>
      </c>
      <c r="Z184" t="str">
        <f t="shared" si="51"/>
        <v/>
      </c>
      <c r="AC184" t="str">
        <f t="shared" si="52"/>
        <v>Possession</v>
      </c>
      <c r="AD184" t="str">
        <f t="shared" si="53"/>
        <v/>
      </c>
      <c r="AE184" t="str">
        <f t="shared" si="54"/>
        <v/>
      </c>
      <c r="AF184" t="str">
        <f t="shared" si="55"/>
        <v>Offensive</v>
      </c>
      <c r="AG184">
        <f t="shared" si="61"/>
        <v>18981</v>
      </c>
      <c r="AH184" t="str">
        <f t="shared" si="62"/>
        <v>Nelson</v>
      </c>
      <c r="AI184" t="str">
        <f t="shared" si="63"/>
        <v>Velodrome</v>
      </c>
      <c r="AJ184" s="18">
        <f t="shared" si="56"/>
        <v>2</v>
      </c>
      <c r="AP184" s="18">
        <f t="shared" si="57"/>
        <v>0</v>
      </c>
      <c r="AQ184">
        <f t="shared" si="58"/>
        <v>0</v>
      </c>
      <c r="AR184" s="23">
        <f t="shared" si="59"/>
        <v>218</v>
      </c>
      <c r="AS184">
        <f t="shared" si="64"/>
        <v>213</v>
      </c>
      <c r="AT184" s="21">
        <f t="shared" si="65"/>
        <v>220</v>
      </c>
      <c r="AU184" s="21"/>
      <c r="AV184" s="21"/>
      <c r="AW184" s="21"/>
    </row>
    <row r="185" spans="1:49" x14ac:dyDescent="0.2">
      <c r="A185">
        <v>97</v>
      </c>
      <c r="E185">
        <f t="shared" si="60"/>
        <v>1</v>
      </c>
      <c r="F185" s="5" t="s">
        <v>489</v>
      </c>
      <c r="G185" s="5" t="s">
        <v>492</v>
      </c>
      <c r="J185" t="str">
        <f t="shared" si="67"/>
        <v>14</v>
      </c>
      <c r="K185" t="str">
        <f t="shared" si="68"/>
        <v>20</v>
      </c>
      <c r="L185" t="str">
        <f t="shared" si="69"/>
        <v/>
      </c>
      <c r="M185" s="6" t="str">
        <f t="shared" si="70"/>
        <v/>
      </c>
      <c r="N185" t="s">
        <v>179</v>
      </c>
      <c r="O185">
        <v>9</v>
      </c>
      <c r="P185" t="s">
        <v>424</v>
      </c>
      <c r="Q185" t="s">
        <v>277</v>
      </c>
      <c r="R185" t="s">
        <v>201</v>
      </c>
      <c r="S185" t="s">
        <v>92</v>
      </c>
      <c r="Y185" t="str">
        <f t="shared" si="50"/>
        <v/>
      </c>
      <c r="Z185" t="str">
        <f t="shared" si="51"/>
        <v/>
      </c>
      <c r="AC185" t="str">
        <f t="shared" si="52"/>
        <v>Zone_Entry_Exit</v>
      </c>
      <c r="AD185" t="str">
        <f t="shared" si="53"/>
        <v>Zone_Exit</v>
      </c>
      <c r="AE185" t="str">
        <f t="shared" si="54"/>
        <v>ZoneExit-Clear</v>
      </c>
      <c r="AF185" t="str">
        <f t="shared" si="55"/>
        <v>Offensive</v>
      </c>
      <c r="AG185">
        <f t="shared" si="61"/>
        <v>18981</v>
      </c>
      <c r="AH185" t="str">
        <f t="shared" si="62"/>
        <v>Nelson</v>
      </c>
      <c r="AI185" t="str">
        <f t="shared" si="63"/>
        <v>Velodrome</v>
      </c>
      <c r="AJ185" s="18">
        <f t="shared" si="56"/>
        <v>0</v>
      </c>
      <c r="AP185" s="18">
        <f t="shared" si="57"/>
        <v>0</v>
      </c>
      <c r="AQ185">
        <f t="shared" si="58"/>
        <v>0</v>
      </c>
      <c r="AR185" s="23">
        <f t="shared" si="59"/>
        <v>220</v>
      </c>
      <c r="AS185">
        <f t="shared" si="64"/>
        <v>215</v>
      </c>
      <c r="AT185" s="21">
        <f t="shared" si="65"/>
        <v>220</v>
      </c>
      <c r="AU185" s="21"/>
      <c r="AV185" s="21"/>
      <c r="AW185" s="21"/>
    </row>
    <row r="186" spans="1:49" x14ac:dyDescent="0.2">
      <c r="A186">
        <v>98</v>
      </c>
      <c r="E186">
        <f t="shared" si="60"/>
        <v>1</v>
      </c>
      <c r="F186" s="5" t="s">
        <v>489</v>
      </c>
      <c r="G186" s="5" t="s">
        <v>491</v>
      </c>
      <c r="J186" t="str">
        <f t="shared" si="67"/>
        <v>14</v>
      </c>
      <c r="K186" t="str">
        <f t="shared" si="68"/>
        <v>19</v>
      </c>
      <c r="L186" t="str">
        <f t="shared" si="69"/>
        <v/>
      </c>
      <c r="M186" s="6" t="str">
        <f t="shared" si="70"/>
        <v/>
      </c>
      <c r="N186" t="s">
        <v>179</v>
      </c>
      <c r="O186">
        <v>9</v>
      </c>
      <c r="P186" t="s">
        <v>424</v>
      </c>
      <c r="Q186" t="s">
        <v>277</v>
      </c>
      <c r="R186" t="s">
        <v>191</v>
      </c>
      <c r="S186" t="s">
        <v>432</v>
      </c>
      <c r="Y186" t="str">
        <f t="shared" si="50"/>
        <v/>
      </c>
      <c r="Z186" t="str">
        <f t="shared" si="51"/>
        <v/>
      </c>
      <c r="AC186" t="str">
        <f t="shared" si="52"/>
        <v>Zone_Entry_Exit</v>
      </c>
      <c r="AD186" t="str">
        <f t="shared" si="53"/>
        <v>Zone_Entry</v>
      </c>
      <c r="AE186" t="str">
        <f t="shared" si="54"/>
        <v>ZoneEntry-FromExitClear</v>
      </c>
      <c r="AF186" t="str">
        <f t="shared" si="55"/>
        <v>Offensive</v>
      </c>
      <c r="AG186">
        <f t="shared" si="61"/>
        <v>18981</v>
      </c>
      <c r="AH186" t="str">
        <f t="shared" si="62"/>
        <v>Nelson</v>
      </c>
      <c r="AI186" t="str">
        <f t="shared" si="63"/>
        <v>Velodrome</v>
      </c>
      <c r="AJ186" s="18">
        <f t="shared" si="56"/>
        <v>0</v>
      </c>
      <c r="AP186" s="18">
        <f t="shared" si="57"/>
        <v>0</v>
      </c>
      <c r="AQ186">
        <f t="shared" si="58"/>
        <v>0</v>
      </c>
      <c r="AR186" s="23">
        <f t="shared" si="59"/>
        <v>221</v>
      </c>
      <c r="AS186">
        <f t="shared" si="64"/>
        <v>216</v>
      </c>
      <c r="AT186" s="21">
        <f t="shared" si="65"/>
        <v>221</v>
      </c>
      <c r="AU186" s="21"/>
      <c r="AV186" s="21"/>
      <c r="AW186" s="21"/>
    </row>
    <row r="187" spans="1:49" x14ac:dyDescent="0.2">
      <c r="A187">
        <v>99</v>
      </c>
      <c r="E187">
        <f t="shared" si="60"/>
        <v>1</v>
      </c>
      <c r="F187" s="5" t="s">
        <v>489</v>
      </c>
      <c r="G187" s="5" t="s">
        <v>478</v>
      </c>
      <c r="J187" t="str">
        <f t="shared" si="67"/>
        <v>14</v>
      </c>
      <c r="K187" t="str">
        <f t="shared" si="68"/>
        <v>15</v>
      </c>
      <c r="L187" t="str">
        <f t="shared" si="69"/>
        <v/>
      </c>
      <c r="M187" s="6" t="str">
        <f t="shared" si="70"/>
        <v/>
      </c>
      <c r="N187" t="s">
        <v>179</v>
      </c>
      <c r="O187">
        <v>49</v>
      </c>
      <c r="P187" t="s">
        <v>424</v>
      </c>
      <c r="Q187" t="s">
        <v>8</v>
      </c>
      <c r="R187" t="s">
        <v>216</v>
      </c>
      <c r="S187" t="s">
        <v>70</v>
      </c>
      <c r="Y187" t="str">
        <f t="shared" si="50"/>
        <v/>
      </c>
      <c r="Z187" t="str">
        <f t="shared" si="51"/>
        <v/>
      </c>
      <c r="AC187" t="str">
        <f t="shared" si="52"/>
        <v>Pass</v>
      </c>
      <c r="AD187" t="str">
        <f t="shared" si="53"/>
        <v>Pass_Intercepted</v>
      </c>
      <c r="AE187" t="str">
        <f t="shared" si="54"/>
        <v>Pass-Forehand</v>
      </c>
      <c r="AF187" t="str">
        <f t="shared" si="55"/>
        <v>Offensive</v>
      </c>
      <c r="AG187">
        <f t="shared" si="61"/>
        <v>18981</v>
      </c>
      <c r="AH187" t="str">
        <f t="shared" si="62"/>
        <v>Nelson</v>
      </c>
      <c r="AI187" t="str">
        <f t="shared" si="63"/>
        <v>Velodrome</v>
      </c>
      <c r="AJ187" s="18">
        <f t="shared" si="56"/>
        <v>0</v>
      </c>
      <c r="AP187" s="18">
        <f t="shared" si="57"/>
        <v>0</v>
      </c>
      <c r="AQ187">
        <f t="shared" si="58"/>
        <v>0</v>
      </c>
      <c r="AR187" s="23">
        <f t="shared" si="59"/>
        <v>225</v>
      </c>
      <c r="AS187">
        <f t="shared" si="64"/>
        <v>220</v>
      </c>
      <c r="AT187" s="21">
        <f t="shared" si="65"/>
        <v>225</v>
      </c>
      <c r="AU187" s="21"/>
      <c r="AV187" s="21"/>
      <c r="AW187" s="21"/>
    </row>
    <row r="188" spans="1:49" x14ac:dyDescent="0.2">
      <c r="A188">
        <v>99</v>
      </c>
      <c r="E188">
        <f t="shared" si="60"/>
        <v>1</v>
      </c>
      <c r="J188" t="str">
        <f t="shared" si="67"/>
        <v>14</v>
      </c>
      <c r="K188" t="str">
        <f t="shared" si="68"/>
        <v>15</v>
      </c>
      <c r="L188" t="str">
        <f t="shared" si="69"/>
        <v/>
      </c>
      <c r="M188" s="6" t="str">
        <f t="shared" si="70"/>
        <v/>
      </c>
      <c r="N188" t="str">
        <f t="shared" si="66"/>
        <v>Away</v>
      </c>
      <c r="O188">
        <v>23</v>
      </c>
      <c r="P188" t="s">
        <v>425</v>
      </c>
      <c r="Y188" t="str">
        <f t="shared" si="50"/>
        <v/>
      </c>
      <c r="Z188" t="str">
        <f t="shared" si="51"/>
        <v/>
      </c>
      <c r="AC188" t="str">
        <f t="shared" si="52"/>
        <v>Pass</v>
      </c>
      <c r="AD188" t="str">
        <f t="shared" si="53"/>
        <v>Pass_Intercepted</v>
      </c>
      <c r="AE188" t="str">
        <f t="shared" si="54"/>
        <v>Pass-Forehand</v>
      </c>
      <c r="AF188" t="str">
        <f t="shared" si="55"/>
        <v>Defensive</v>
      </c>
      <c r="AG188">
        <f t="shared" si="61"/>
        <v>18981</v>
      </c>
      <c r="AH188" t="str">
        <f t="shared" si="62"/>
        <v>Nelson</v>
      </c>
      <c r="AI188" t="str">
        <f t="shared" si="63"/>
        <v>Velodrome</v>
      </c>
      <c r="AJ188" s="18">
        <f t="shared" si="56"/>
        <v>0</v>
      </c>
      <c r="AP188" s="18">
        <f t="shared" si="57"/>
        <v>0</v>
      </c>
      <c r="AQ188">
        <f t="shared" si="58"/>
        <v>0</v>
      </c>
      <c r="AR188" s="23">
        <f t="shared" si="59"/>
        <v>225</v>
      </c>
      <c r="AS188">
        <f t="shared" si="64"/>
        <v>220</v>
      </c>
      <c r="AT188" s="21">
        <f t="shared" si="65"/>
        <v>225</v>
      </c>
      <c r="AU188" s="21"/>
      <c r="AV188" s="21"/>
      <c r="AW188" s="21"/>
    </row>
    <row r="189" spans="1:49" x14ac:dyDescent="0.2">
      <c r="A189">
        <v>100</v>
      </c>
      <c r="E189">
        <f t="shared" si="60"/>
        <v>1</v>
      </c>
      <c r="F189" s="5" t="s">
        <v>489</v>
      </c>
      <c r="G189" s="5" t="s">
        <v>478</v>
      </c>
      <c r="J189" t="str">
        <f t="shared" si="67"/>
        <v>14</v>
      </c>
      <c r="K189" t="str">
        <f t="shared" si="68"/>
        <v>15</v>
      </c>
      <c r="L189" t="str">
        <f t="shared" si="69"/>
        <v/>
      </c>
      <c r="M189" s="6" t="str">
        <f t="shared" si="70"/>
        <v/>
      </c>
      <c r="N189" t="s">
        <v>179</v>
      </c>
      <c r="O189">
        <v>49</v>
      </c>
      <c r="P189" t="s">
        <v>424</v>
      </c>
      <c r="Q189" t="s">
        <v>10</v>
      </c>
      <c r="R189" t="s">
        <v>190</v>
      </c>
      <c r="S189" t="s">
        <v>75</v>
      </c>
      <c r="Y189" t="str">
        <f t="shared" si="50"/>
        <v/>
      </c>
      <c r="Z189" t="str">
        <f t="shared" si="51"/>
        <v/>
      </c>
      <c r="AC189" t="str">
        <f t="shared" si="52"/>
        <v>Turnover</v>
      </c>
      <c r="AD189" t="str">
        <f t="shared" si="53"/>
        <v>Turnover_Giveaway</v>
      </c>
      <c r="AE189" t="str">
        <f t="shared" si="54"/>
        <v>Giveaway-PassIntercepted</v>
      </c>
      <c r="AF189" t="str">
        <f t="shared" si="55"/>
        <v>Offensive</v>
      </c>
      <c r="AG189">
        <f t="shared" si="61"/>
        <v>18981</v>
      </c>
      <c r="AH189" t="str">
        <f t="shared" si="62"/>
        <v>Nelson</v>
      </c>
      <c r="AI189" t="str">
        <f t="shared" si="63"/>
        <v>Velodrome</v>
      </c>
      <c r="AJ189" s="18">
        <f t="shared" si="56"/>
        <v>0</v>
      </c>
      <c r="AP189" s="18">
        <f t="shared" si="57"/>
        <v>0</v>
      </c>
      <c r="AQ189">
        <f t="shared" si="58"/>
        <v>0</v>
      </c>
      <c r="AR189" s="23">
        <f t="shared" si="59"/>
        <v>225</v>
      </c>
      <c r="AS189">
        <f t="shared" si="64"/>
        <v>220</v>
      </c>
      <c r="AT189" s="21">
        <f t="shared" si="65"/>
        <v>225</v>
      </c>
      <c r="AU189" s="21"/>
      <c r="AV189" s="21"/>
      <c r="AW189" s="21"/>
    </row>
    <row r="190" spans="1:49" x14ac:dyDescent="0.2">
      <c r="A190">
        <v>100</v>
      </c>
      <c r="E190">
        <f t="shared" si="60"/>
        <v>1</v>
      </c>
      <c r="J190" t="str">
        <f t="shared" si="67"/>
        <v>14</v>
      </c>
      <c r="K190" t="str">
        <f t="shared" si="68"/>
        <v>15</v>
      </c>
      <c r="L190" t="str">
        <f t="shared" si="69"/>
        <v/>
      </c>
      <c r="M190" s="6" t="str">
        <f t="shared" si="70"/>
        <v/>
      </c>
      <c r="N190" t="str">
        <f t="shared" si="66"/>
        <v>Away</v>
      </c>
      <c r="O190">
        <v>23</v>
      </c>
      <c r="P190" t="s">
        <v>425</v>
      </c>
      <c r="Y190" t="str">
        <f t="shared" si="50"/>
        <v/>
      </c>
      <c r="Z190" t="str">
        <f t="shared" si="51"/>
        <v/>
      </c>
      <c r="AC190" t="str">
        <f t="shared" si="52"/>
        <v>Turnover</v>
      </c>
      <c r="AD190" t="str">
        <f t="shared" si="53"/>
        <v>Turnover_Giveaway</v>
      </c>
      <c r="AE190" t="str">
        <f t="shared" si="54"/>
        <v>Giveaway-PassIntercepted</v>
      </c>
      <c r="AF190" t="str">
        <f t="shared" si="55"/>
        <v>Defensive</v>
      </c>
      <c r="AG190">
        <f t="shared" si="61"/>
        <v>18981</v>
      </c>
      <c r="AH190" t="str">
        <f t="shared" si="62"/>
        <v>Nelson</v>
      </c>
      <c r="AI190" t="str">
        <f t="shared" si="63"/>
        <v>Velodrome</v>
      </c>
      <c r="AJ190" s="18">
        <f t="shared" si="56"/>
        <v>0</v>
      </c>
      <c r="AP190" s="18">
        <f t="shared" si="57"/>
        <v>0</v>
      </c>
      <c r="AQ190">
        <f t="shared" si="58"/>
        <v>0</v>
      </c>
      <c r="AR190" s="23">
        <f t="shared" si="59"/>
        <v>225</v>
      </c>
      <c r="AS190">
        <f t="shared" si="64"/>
        <v>220</v>
      </c>
      <c r="AT190" s="21">
        <f t="shared" si="65"/>
        <v>225</v>
      </c>
      <c r="AU190" s="21"/>
      <c r="AV190" s="21"/>
      <c r="AW190" s="21"/>
    </row>
    <row r="191" spans="1:49" x14ac:dyDescent="0.2">
      <c r="A191">
        <v>101</v>
      </c>
      <c r="E191">
        <f t="shared" si="60"/>
        <v>1</v>
      </c>
      <c r="F191" s="5" t="s">
        <v>489</v>
      </c>
      <c r="G191" s="5" t="s">
        <v>488</v>
      </c>
      <c r="J191" t="str">
        <f t="shared" si="67"/>
        <v>14</v>
      </c>
      <c r="K191" t="str">
        <f t="shared" si="68"/>
        <v>13</v>
      </c>
      <c r="L191" t="str">
        <f t="shared" si="69"/>
        <v/>
      </c>
      <c r="M191" s="6" t="str">
        <f t="shared" si="70"/>
        <v/>
      </c>
      <c r="N191" t="s">
        <v>178</v>
      </c>
      <c r="O191">
        <v>23</v>
      </c>
      <c r="P191" t="s">
        <v>424</v>
      </c>
      <c r="Q191" t="s">
        <v>10</v>
      </c>
      <c r="R191" t="s">
        <v>190</v>
      </c>
      <c r="S191" t="s">
        <v>422</v>
      </c>
      <c r="Y191" t="str">
        <f t="shared" si="50"/>
        <v/>
      </c>
      <c r="Z191" t="str">
        <f t="shared" si="51"/>
        <v/>
      </c>
      <c r="AC191" t="str">
        <f t="shared" si="52"/>
        <v>Turnover</v>
      </c>
      <c r="AD191" t="str">
        <f t="shared" si="53"/>
        <v>Turnover_Giveaway</v>
      </c>
      <c r="AE191" t="str">
        <f t="shared" si="54"/>
        <v>Giveaway-AttemptedZoneClear/Dump</v>
      </c>
      <c r="AF191" t="str">
        <f t="shared" si="55"/>
        <v>Offensive</v>
      </c>
      <c r="AG191">
        <f t="shared" si="61"/>
        <v>18981</v>
      </c>
      <c r="AH191" t="str">
        <f t="shared" si="62"/>
        <v>Nelson</v>
      </c>
      <c r="AI191" t="str">
        <f t="shared" si="63"/>
        <v>Velodrome</v>
      </c>
      <c r="AJ191" s="18">
        <f t="shared" si="56"/>
        <v>0</v>
      </c>
      <c r="AP191" s="18">
        <f t="shared" si="57"/>
        <v>0</v>
      </c>
      <c r="AQ191">
        <f t="shared" si="58"/>
        <v>0</v>
      </c>
      <c r="AR191" s="23">
        <f t="shared" si="59"/>
        <v>227</v>
      </c>
      <c r="AS191">
        <f t="shared" si="64"/>
        <v>222</v>
      </c>
      <c r="AT191" s="21">
        <f t="shared" si="65"/>
        <v>227</v>
      </c>
      <c r="AU191" s="21"/>
      <c r="AV191" s="21"/>
      <c r="AW191" s="21"/>
    </row>
    <row r="192" spans="1:49" x14ac:dyDescent="0.2">
      <c r="A192">
        <v>102</v>
      </c>
      <c r="E192">
        <f t="shared" si="60"/>
        <v>1</v>
      </c>
      <c r="F192" s="5" t="s">
        <v>489</v>
      </c>
      <c r="G192" s="5" t="s">
        <v>485</v>
      </c>
      <c r="J192" t="str">
        <f t="shared" si="67"/>
        <v>14</v>
      </c>
      <c r="K192" t="str">
        <f t="shared" si="68"/>
        <v>10</v>
      </c>
      <c r="L192" t="str">
        <f t="shared" si="69"/>
        <v/>
      </c>
      <c r="M192" s="6" t="str">
        <f t="shared" si="70"/>
        <v/>
      </c>
      <c r="N192" t="s">
        <v>179</v>
      </c>
      <c r="O192">
        <v>61</v>
      </c>
      <c r="P192" t="s">
        <v>424</v>
      </c>
      <c r="Q192" t="s">
        <v>277</v>
      </c>
      <c r="R192" t="s">
        <v>210</v>
      </c>
      <c r="S192" t="s">
        <v>93</v>
      </c>
      <c r="Y192" t="str">
        <f t="shared" si="50"/>
        <v/>
      </c>
      <c r="Z192" t="str">
        <f t="shared" si="51"/>
        <v/>
      </c>
      <c r="AC192" t="str">
        <f t="shared" si="52"/>
        <v>Zone_Entry_Exit</v>
      </c>
      <c r="AD192" t="str">
        <f t="shared" si="53"/>
        <v>Zone_Keepin</v>
      </c>
      <c r="AE192" t="str">
        <f t="shared" si="54"/>
        <v>Zone-KeepIn</v>
      </c>
      <c r="AF192" t="str">
        <f t="shared" si="55"/>
        <v>Offensive</v>
      </c>
      <c r="AG192">
        <f t="shared" si="61"/>
        <v>18981</v>
      </c>
      <c r="AH192" t="str">
        <f t="shared" si="62"/>
        <v>Nelson</v>
      </c>
      <c r="AI192" t="str">
        <f t="shared" si="63"/>
        <v>Velodrome</v>
      </c>
      <c r="AJ192" s="18">
        <f t="shared" si="56"/>
        <v>0</v>
      </c>
      <c r="AP192" s="18">
        <f t="shared" si="57"/>
        <v>0</v>
      </c>
      <c r="AQ192">
        <f t="shared" si="58"/>
        <v>0</v>
      </c>
      <c r="AR192" s="23">
        <f t="shared" si="59"/>
        <v>230</v>
      </c>
      <c r="AS192">
        <f t="shared" si="64"/>
        <v>225</v>
      </c>
      <c r="AT192" s="21">
        <f t="shared" si="65"/>
        <v>230</v>
      </c>
      <c r="AU192" s="21"/>
      <c r="AV192" s="21"/>
      <c r="AW192" s="21"/>
    </row>
    <row r="193" spans="1:49" x14ac:dyDescent="0.2">
      <c r="A193">
        <v>102</v>
      </c>
      <c r="E193">
        <f t="shared" si="60"/>
        <v>1</v>
      </c>
      <c r="J193" t="str">
        <f t="shared" si="67"/>
        <v>14</v>
      </c>
      <c r="K193" t="str">
        <f t="shared" si="68"/>
        <v>10</v>
      </c>
      <c r="L193" t="str">
        <f t="shared" si="69"/>
        <v/>
      </c>
      <c r="M193" s="6" t="str">
        <f t="shared" si="70"/>
        <v/>
      </c>
      <c r="N193" t="str">
        <f t="shared" si="66"/>
        <v>Away</v>
      </c>
      <c r="O193">
        <v>10</v>
      </c>
      <c r="P193" t="s">
        <v>425</v>
      </c>
      <c r="Y193" t="str">
        <f t="shared" si="50"/>
        <v/>
      </c>
      <c r="Z193" t="str">
        <f t="shared" si="51"/>
        <v/>
      </c>
      <c r="AC193" t="str">
        <f t="shared" si="52"/>
        <v>Zone_Entry_Exit</v>
      </c>
      <c r="AD193" t="str">
        <f t="shared" si="53"/>
        <v>Zone_Keepin</v>
      </c>
      <c r="AE193" t="str">
        <f t="shared" si="54"/>
        <v>Zone-KeepIn</v>
      </c>
      <c r="AF193" t="str">
        <f t="shared" si="55"/>
        <v>Defensive</v>
      </c>
      <c r="AG193">
        <f t="shared" si="61"/>
        <v>18981</v>
      </c>
      <c r="AH193" t="str">
        <f t="shared" si="62"/>
        <v>Nelson</v>
      </c>
      <c r="AI193" t="str">
        <f t="shared" si="63"/>
        <v>Velodrome</v>
      </c>
      <c r="AJ193" s="18">
        <f t="shared" si="56"/>
        <v>0</v>
      </c>
      <c r="AP193" s="18">
        <f t="shared" si="57"/>
        <v>0</v>
      </c>
      <c r="AQ193">
        <f t="shared" si="58"/>
        <v>0</v>
      </c>
      <c r="AR193" s="23">
        <f t="shared" si="59"/>
        <v>230</v>
      </c>
      <c r="AS193">
        <f t="shared" si="64"/>
        <v>225</v>
      </c>
      <c r="AT193" s="21">
        <f t="shared" si="65"/>
        <v>230</v>
      </c>
      <c r="AU193" s="21"/>
      <c r="AV193" s="21"/>
      <c r="AW193" s="21"/>
    </row>
    <row r="194" spans="1:49" x14ac:dyDescent="0.2">
      <c r="A194">
        <v>103</v>
      </c>
      <c r="E194">
        <f t="shared" si="60"/>
        <v>1</v>
      </c>
      <c r="F194" s="5" t="s">
        <v>489</v>
      </c>
      <c r="G194" s="5" t="s">
        <v>485</v>
      </c>
      <c r="H194" s="5" t="s">
        <v>489</v>
      </c>
      <c r="I194" s="7" t="s">
        <v>476</v>
      </c>
      <c r="J194" t="str">
        <f t="shared" si="67"/>
        <v>14</v>
      </c>
      <c r="K194" t="str">
        <f t="shared" si="68"/>
        <v>10</v>
      </c>
      <c r="L194" t="str">
        <f t="shared" si="69"/>
        <v>14</v>
      </c>
      <c r="M194" s="6" t="str">
        <f t="shared" si="70"/>
        <v>06</v>
      </c>
      <c r="N194" t="s">
        <v>179</v>
      </c>
      <c r="O194">
        <v>61</v>
      </c>
      <c r="P194" t="s">
        <v>424</v>
      </c>
      <c r="Q194" t="s">
        <v>15</v>
      </c>
      <c r="Y194" t="str">
        <f t="shared" si="50"/>
        <v/>
      </c>
      <c r="Z194" t="str">
        <f t="shared" si="51"/>
        <v/>
      </c>
      <c r="AC194" t="str">
        <f t="shared" si="52"/>
        <v>Possession</v>
      </c>
      <c r="AD194" t="str">
        <f t="shared" si="53"/>
        <v/>
      </c>
      <c r="AE194" t="str">
        <f t="shared" si="54"/>
        <v/>
      </c>
      <c r="AF194" t="str">
        <f t="shared" si="55"/>
        <v>Offensive</v>
      </c>
      <c r="AG194">
        <f t="shared" si="61"/>
        <v>18981</v>
      </c>
      <c r="AH194" t="str">
        <f t="shared" si="62"/>
        <v>Nelson</v>
      </c>
      <c r="AI194" t="str">
        <f t="shared" si="63"/>
        <v>Velodrome</v>
      </c>
      <c r="AJ194" s="18">
        <f t="shared" si="56"/>
        <v>4</v>
      </c>
      <c r="AP194" s="18">
        <f t="shared" si="57"/>
        <v>0</v>
      </c>
      <c r="AQ194">
        <f t="shared" si="58"/>
        <v>0</v>
      </c>
      <c r="AR194" s="23">
        <f t="shared" si="59"/>
        <v>230</v>
      </c>
      <c r="AS194">
        <f t="shared" si="64"/>
        <v>225</v>
      </c>
      <c r="AT194" s="21">
        <f t="shared" si="65"/>
        <v>234</v>
      </c>
      <c r="AU194" s="21"/>
      <c r="AV194" s="21"/>
      <c r="AW194" s="21"/>
    </row>
    <row r="195" spans="1:49" x14ac:dyDescent="0.2">
      <c r="A195">
        <v>104</v>
      </c>
      <c r="E195">
        <f t="shared" si="60"/>
        <v>1</v>
      </c>
      <c r="F195" s="5" t="s">
        <v>489</v>
      </c>
      <c r="G195" s="5" t="s">
        <v>476</v>
      </c>
      <c r="H195" s="5" t="s">
        <v>489</v>
      </c>
      <c r="I195" s="7" t="s">
        <v>474</v>
      </c>
      <c r="J195" t="str">
        <f t="shared" si="67"/>
        <v>14</v>
      </c>
      <c r="K195" t="str">
        <f t="shared" si="68"/>
        <v>06</v>
      </c>
      <c r="L195" t="str">
        <f t="shared" si="69"/>
        <v>14</v>
      </c>
      <c r="M195" s="6" t="str">
        <f t="shared" si="70"/>
        <v>02</v>
      </c>
      <c r="N195" t="s">
        <v>179</v>
      </c>
      <c r="O195">
        <v>61</v>
      </c>
      <c r="P195" t="s">
        <v>424</v>
      </c>
      <c r="Q195" t="s">
        <v>15</v>
      </c>
      <c r="Y195" t="str">
        <f t="shared" ref="Y195:Y258" si="71">IF($N195="","",IF(X195="","",IF($N195="Home",$X195,IF($X195="n","n",IF($X195="d","o",IF($X195="o","d",""))))))</f>
        <v/>
      </c>
      <c r="Z195" t="str">
        <f t="shared" ref="Z195:Z258" si="72">IF($N195="","",IF(X195="","",IF($N195="Away",$X195,IF($X195="n","n",IF($X195="d","o",IF($X195="o","d",""))))))</f>
        <v/>
      </c>
      <c r="AC195" t="str">
        <f t="shared" ref="AC195:AC258" si="73">IF(Q195&lt;&gt;"",Q195,IF($A195=$A194,AC194,""))</f>
        <v>Possession</v>
      </c>
      <c r="AD195" t="str">
        <f t="shared" ref="AD195:AD258" si="74">IF(R195&lt;&gt;"",R195,IF($A195=$A194,AD194,""))</f>
        <v/>
      </c>
      <c r="AE195" t="str">
        <f t="shared" ref="AE195:AE258" si="75">IF(S195&lt;&gt;"",S195,IF($A195=$A194,AE194,""))</f>
        <v/>
      </c>
      <c r="AF195" t="str">
        <f t="shared" ref="AF195:AF258" si="76">IF(AND(P195="e",OR(AC195="Save",AD195="Turnover_Takeaway",AD195="Play_Defensive")),"Defensive",IF(AND(P195="o",OR(AC195="Save",AD195="Turnover_Takeaway",AD195="Play_Defensive")),"Offensive",IF(OR(AC195="Deadice",AC195="Stoppage",AC195="Intermission"),"",IF(P195="e","Offensive",IF(P195="o","Defensive","")))))</f>
        <v>Offensive</v>
      </c>
      <c r="AG195">
        <f t="shared" si="61"/>
        <v>18981</v>
      </c>
      <c r="AH195" t="str">
        <f t="shared" si="62"/>
        <v>Nelson</v>
      </c>
      <c r="AI195" t="str">
        <f t="shared" si="63"/>
        <v>Velodrome</v>
      </c>
      <c r="AJ195" s="18">
        <f t="shared" ref="AJ195:AJ258" si="77">IF(AND(L195="",M195=""),0,((J195*60)+K195)-((L195*60)+M195))</f>
        <v>4</v>
      </c>
      <c r="AP195" s="18">
        <f t="shared" ref="AP195:AP258" si="78">SUMIFS(AJ195:AJ195,Q195:Q195,"=Intermission")</f>
        <v>0</v>
      </c>
      <c r="AQ195">
        <f t="shared" ref="AQ195:AQ258" si="79">IF(E195=1,0,IF(E195=2,1080+AP195,IF(E195=3,(1080*2)+AP195,0)))</f>
        <v>0</v>
      </c>
      <c r="AR195" s="23">
        <f t="shared" ref="AR195:AR258" si="80">IF(Q195="Intermission",AR194,((1080)-((J195*60)+K195))+AQ195)</f>
        <v>234</v>
      </c>
      <c r="AS195">
        <f t="shared" si="64"/>
        <v>229</v>
      </c>
      <c r="AT195" s="21">
        <f t="shared" si="65"/>
        <v>238</v>
      </c>
      <c r="AU195" s="21"/>
      <c r="AV195" s="21"/>
      <c r="AW195" s="21"/>
    </row>
    <row r="196" spans="1:49" x14ac:dyDescent="0.2">
      <c r="A196">
        <v>105</v>
      </c>
      <c r="E196">
        <f t="shared" ref="E196:E259" si="81">IF(Q196="Intermission",E195+1,E195)</f>
        <v>1</v>
      </c>
      <c r="F196" s="5" t="s">
        <v>489</v>
      </c>
      <c r="G196" s="5" t="s">
        <v>474</v>
      </c>
      <c r="J196" t="str">
        <f t="shared" si="67"/>
        <v>14</v>
      </c>
      <c r="K196" t="str">
        <f t="shared" si="68"/>
        <v>02</v>
      </c>
      <c r="L196" t="str">
        <f t="shared" si="69"/>
        <v/>
      </c>
      <c r="M196" s="6" t="str">
        <f t="shared" si="70"/>
        <v/>
      </c>
      <c r="N196" t="s">
        <v>179</v>
      </c>
      <c r="O196">
        <v>61</v>
      </c>
      <c r="P196" t="s">
        <v>424</v>
      </c>
      <c r="Q196" t="s">
        <v>8</v>
      </c>
      <c r="R196" t="s">
        <v>199</v>
      </c>
      <c r="S196" t="s">
        <v>70</v>
      </c>
      <c r="Y196" t="str">
        <f t="shared" si="71"/>
        <v/>
      </c>
      <c r="Z196" t="str">
        <f t="shared" si="72"/>
        <v/>
      </c>
      <c r="AC196" t="str">
        <f t="shared" si="73"/>
        <v>Pass</v>
      </c>
      <c r="AD196" t="str">
        <f t="shared" si="74"/>
        <v>Pass_Missed</v>
      </c>
      <c r="AE196" t="str">
        <f t="shared" si="75"/>
        <v>Pass-Forehand</v>
      </c>
      <c r="AF196" t="str">
        <f t="shared" si="76"/>
        <v>Offensive</v>
      </c>
      <c r="AG196">
        <f t="shared" ref="AG196:AG259" si="82">AG195</f>
        <v>18981</v>
      </c>
      <c r="AH196" t="str">
        <f t="shared" ref="AH196:AH259" si="83">AH195</f>
        <v>Nelson</v>
      </c>
      <c r="AI196" t="str">
        <f t="shared" ref="AI196:AI259" si="84">AI195</f>
        <v>Velodrome</v>
      </c>
      <c r="AJ196" s="18">
        <f t="shared" si="77"/>
        <v>0</v>
      </c>
      <c r="AP196" s="18">
        <f t="shared" si="78"/>
        <v>0</v>
      </c>
      <c r="AQ196">
        <f t="shared" si="79"/>
        <v>0</v>
      </c>
      <c r="AR196" s="23">
        <f t="shared" si="80"/>
        <v>238</v>
      </c>
      <c r="AS196">
        <f t="shared" ref="AS196:AS259" si="85">IF(AR196&lt;5,0,AR196-5)</f>
        <v>233</v>
      </c>
      <c r="AT196" s="21">
        <f t="shared" ref="AT196:AT259" si="86">AS196+AJ196+5</f>
        <v>238</v>
      </c>
      <c r="AU196" s="21"/>
      <c r="AV196" s="21"/>
      <c r="AW196" s="21"/>
    </row>
    <row r="197" spans="1:49" x14ac:dyDescent="0.2">
      <c r="A197">
        <v>106</v>
      </c>
      <c r="E197">
        <f t="shared" si="81"/>
        <v>1</v>
      </c>
      <c r="F197" s="5" t="s">
        <v>489</v>
      </c>
      <c r="G197" s="5" t="s">
        <v>471</v>
      </c>
      <c r="J197" t="str">
        <f t="shared" si="67"/>
        <v>14</v>
      </c>
      <c r="K197" t="str">
        <f t="shared" si="68"/>
        <v>01</v>
      </c>
      <c r="L197" t="str">
        <f t="shared" si="69"/>
        <v/>
      </c>
      <c r="M197" s="6" t="str">
        <f t="shared" si="70"/>
        <v/>
      </c>
      <c r="N197" t="s">
        <v>178</v>
      </c>
      <c r="O197">
        <v>23</v>
      </c>
      <c r="P197" t="s">
        <v>424</v>
      </c>
      <c r="Q197" t="s">
        <v>277</v>
      </c>
      <c r="R197" t="s">
        <v>201</v>
      </c>
      <c r="S197" t="s">
        <v>435</v>
      </c>
      <c r="Y197" t="str">
        <f t="shared" si="71"/>
        <v/>
      </c>
      <c r="Z197" t="str">
        <f t="shared" si="72"/>
        <v/>
      </c>
      <c r="AC197" t="str">
        <f t="shared" si="73"/>
        <v>Zone_Entry_Exit</v>
      </c>
      <c r="AD197" t="str">
        <f t="shared" si="74"/>
        <v>Zone_Exit</v>
      </c>
      <c r="AE197" t="str">
        <f t="shared" si="75"/>
        <v>ZoneExit-OppTeam</v>
      </c>
      <c r="AF197" t="str">
        <f t="shared" si="76"/>
        <v>Offensive</v>
      </c>
      <c r="AG197">
        <f t="shared" si="82"/>
        <v>18981</v>
      </c>
      <c r="AH197" t="str">
        <f t="shared" si="83"/>
        <v>Nelson</v>
      </c>
      <c r="AI197" t="str">
        <f t="shared" si="84"/>
        <v>Velodrome</v>
      </c>
      <c r="AJ197" s="18">
        <f t="shared" si="77"/>
        <v>0</v>
      </c>
      <c r="AP197" s="18">
        <f t="shared" si="78"/>
        <v>0</v>
      </c>
      <c r="AQ197">
        <f t="shared" si="79"/>
        <v>0</v>
      </c>
      <c r="AR197" s="23">
        <f t="shared" si="80"/>
        <v>239</v>
      </c>
      <c r="AS197">
        <f t="shared" si="85"/>
        <v>234</v>
      </c>
      <c r="AT197" s="21">
        <f t="shared" si="86"/>
        <v>239</v>
      </c>
      <c r="AU197" s="21"/>
      <c r="AV197" s="21"/>
      <c r="AW197" s="21"/>
    </row>
    <row r="198" spans="1:49" x14ac:dyDescent="0.2">
      <c r="A198">
        <v>107</v>
      </c>
      <c r="E198">
        <f t="shared" si="81"/>
        <v>1</v>
      </c>
      <c r="F198" s="5" t="s">
        <v>488</v>
      </c>
      <c r="G198" s="5" t="s">
        <v>529</v>
      </c>
      <c r="J198" t="str">
        <f t="shared" si="67"/>
        <v>13</v>
      </c>
      <c r="K198" t="str">
        <f t="shared" si="68"/>
        <v>57</v>
      </c>
      <c r="L198" t="str">
        <f t="shared" si="69"/>
        <v/>
      </c>
      <c r="M198" s="6" t="str">
        <f t="shared" si="70"/>
        <v/>
      </c>
      <c r="N198" t="s">
        <v>178</v>
      </c>
      <c r="O198">
        <v>10</v>
      </c>
      <c r="P198" t="s">
        <v>424</v>
      </c>
      <c r="Q198" t="s">
        <v>277</v>
      </c>
      <c r="R198" t="s">
        <v>191</v>
      </c>
      <c r="S198" t="s">
        <v>430</v>
      </c>
      <c r="Y198" t="str">
        <f t="shared" si="71"/>
        <v/>
      </c>
      <c r="Z198" t="str">
        <f t="shared" si="72"/>
        <v/>
      </c>
      <c r="AC198" t="str">
        <f t="shared" si="73"/>
        <v>Zone_Entry_Exit</v>
      </c>
      <c r="AD198" t="str">
        <f t="shared" si="74"/>
        <v>Zone_Entry</v>
      </c>
      <c r="AE198" t="str">
        <f t="shared" si="75"/>
        <v>ZoneEntry-Chip</v>
      </c>
      <c r="AF198" t="str">
        <f t="shared" si="76"/>
        <v>Offensive</v>
      </c>
      <c r="AG198">
        <f t="shared" si="82"/>
        <v>18981</v>
      </c>
      <c r="AH198" t="str">
        <f t="shared" si="83"/>
        <v>Nelson</v>
      </c>
      <c r="AI198" t="str">
        <f t="shared" si="84"/>
        <v>Velodrome</v>
      </c>
      <c r="AJ198" s="18">
        <f t="shared" si="77"/>
        <v>0</v>
      </c>
      <c r="AP198" s="18">
        <f t="shared" si="78"/>
        <v>0</v>
      </c>
      <c r="AQ198">
        <f t="shared" si="79"/>
        <v>0</v>
      </c>
      <c r="AR198" s="23">
        <f t="shared" si="80"/>
        <v>243</v>
      </c>
      <c r="AS198">
        <f t="shared" si="85"/>
        <v>238</v>
      </c>
      <c r="AT198" s="21">
        <f t="shared" si="86"/>
        <v>243</v>
      </c>
      <c r="AU198" s="21"/>
      <c r="AV198" s="21"/>
      <c r="AW198" s="21"/>
    </row>
    <row r="199" spans="1:49" x14ac:dyDescent="0.2">
      <c r="A199">
        <v>107</v>
      </c>
      <c r="E199">
        <f t="shared" si="81"/>
        <v>1</v>
      </c>
      <c r="J199" t="str">
        <f t="shared" si="67"/>
        <v>13</v>
      </c>
      <c r="K199" t="str">
        <f t="shared" si="68"/>
        <v>57</v>
      </c>
      <c r="L199" t="str">
        <f t="shared" si="69"/>
        <v/>
      </c>
      <c r="M199" s="6" t="str">
        <f t="shared" si="70"/>
        <v/>
      </c>
      <c r="N199" t="str">
        <f t="shared" ref="N199:N260" si="87">IF(A199=A198,N198,"")</f>
        <v>Home</v>
      </c>
      <c r="O199">
        <v>9</v>
      </c>
      <c r="P199" t="s">
        <v>425</v>
      </c>
      <c r="Y199" t="str">
        <f t="shared" si="71"/>
        <v/>
      </c>
      <c r="Z199" t="str">
        <f t="shared" si="72"/>
        <v/>
      </c>
      <c r="AC199" t="str">
        <f t="shared" si="73"/>
        <v>Zone_Entry_Exit</v>
      </c>
      <c r="AD199" t="str">
        <f t="shared" si="74"/>
        <v>Zone_Entry</v>
      </c>
      <c r="AE199" t="str">
        <f t="shared" si="75"/>
        <v>ZoneEntry-Chip</v>
      </c>
      <c r="AF199" t="str">
        <f t="shared" si="76"/>
        <v>Defensive</v>
      </c>
      <c r="AG199">
        <f t="shared" si="82"/>
        <v>18981</v>
      </c>
      <c r="AH199" t="str">
        <f t="shared" si="83"/>
        <v>Nelson</v>
      </c>
      <c r="AI199" t="str">
        <f t="shared" si="84"/>
        <v>Velodrome</v>
      </c>
      <c r="AJ199" s="18">
        <f t="shared" si="77"/>
        <v>0</v>
      </c>
      <c r="AP199" s="18">
        <f t="shared" si="78"/>
        <v>0</v>
      </c>
      <c r="AQ199">
        <f t="shared" si="79"/>
        <v>0</v>
      </c>
      <c r="AR199" s="23">
        <f t="shared" si="80"/>
        <v>243</v>
      </c>
      <c r="AS199">
        <f t="shared" si="85"/>
        <v>238</v>
      </c>
      <c r="AT199" s="21">
        <f t="shared" si="86"/>
        <v>243</v>
      </c>
      <c r="AU199" s="21"/>
      <c r="AV199" s="21"/>
      <c r="AW199" s="21"/>
    </row>
    <row r="200" spans="1:49" x14ac:dyDescent="0.2">
      <c r="A200">
        <v>108</v>
      </c>
      <c r="E200">
        <f t="shared" si="81"/>
        <v>1</v>
      </c>
      <c r="F200" s="5" t="s">
        <v>488</v>
      </c>
      <c r="G200" s="5" t="s">
        <v>529</v>
      </c>
      <c r="J200" t="str">
        <f t="shared" si="67"/>
        <v>13</v>
      </c>
      <c r="K200" t="str">
        <f t="shared" si="68"/>
        <v>57</v>
      </c>
      <c r="L200" t="str">
        <f t="shared" si="69"/>
        <v/>
      </c>
      <c r="M200" s="6" t="str">
        <f t="shared" si="70"/>
        <v/>
      </c>
      <c r="N200" t="s">
        <v>178</v>
      </c>
      <c r="O200">
        <v>10</v>
      </c>
      <c r="P200" t="s">
        <v>424</v>
      </c>
      <c r="Q200" t="s">
        <v>10</v>
      </c>
      <c r="R200" t="s">
        <v>190</v>
      </c>
      <c r="S200" t="s">
        <v>411</v>
      </c>
      <c r="Y200" t="str">
        <f t="shared" si="71"/>
        <v/>
      </c>
      <c r="Z200" t="str">
        <f t="shared" si="72"/>
        <v/>
      </c>
      <c r="AC200" t="str">
        <f t="shared" si="73"/>
        <v>Turnover</v>
      </c>
      <c r="AD200" t="str">
        <f t="shared" si="74"/>
        <v>Turnover_Giveaway</v>
      </c>
      <c r="AE200" t="str">
        <f t="shared" si="75"/>
        <v>Giveaway-ZoneClear/Dump</v>
      </c>
      <c r="AF200" t="str">
        <f t="shared" si="76"/>
        <v>Offensive</v>
      </c>
      <c r="AG200">
        <f t="shared" si="82"/>
        <v>18981</v>
      </c>
      <c r="AH200" t="str">
        <f t="shared" si="83"/>
        <v>Nelson</v>
      </c>
      <c r="AI200" t="str">
        <f t="shared" si="84"/>
        <v>Velodrome</v>
      </c>
      <c r="AJ200" s="18">
        <f t="shared" si="77"/>
        <v>0</v>
      </c>
      <c r="AP200" s="18">
        <f t="shared" si="78"/>
        <v>0</v>
      </c>
      <c r="AQ200">
        <f t="shared" si="79"/>
        <v>0</v>
      </c>
      <c r="AR200" s="23">
        <f t="shared" si="80"/>
        <v>243</v>
      </c>
      <c r="AS200">
        <f t="shared" si="85"/>
        <v>238</v>
      </c>
      <c r="AT200" s="21">
        <f t="shared" si="86"/>
        <v>243</v>
      </c>
      <c r="AU200" s="21"/>
      <c r="AV200" s="21"/>
      <c r="AW200" s="21"/>
    </row>
    <row r="201" spans="1:49" x14ac:dyDescent="0.2">
      <c r="A201">
        <v>109</v>
      </c>
      <c r="E201">
        <f t="shared" si="81"/>
        <v>1</v>
      </c>
      <c r="F201" s="5" t="s">
        <v>488</v>
      </c>
      <c r="G201" s="5" t="s">
        <v>527</v>
      </c>
      <c r="J201" t="str">
        <f t="shared" ref="J201:J264" si="88">IF(F201&lt;&gt;"",F201,IF($A201=$A200,J200,J201))</f>
        <v>13</v>
      </c>
      <c r="K201" t="str">
        <f t="shared" ref="K201:K264" si="89">IF($A201=$A200,K200,G201)</f>
        <v>55</v>
      </c>
      <c r="L201" t="str">
        <f t="shared" ref="L201:L264" si="90">IF(H201&lt;&gt;"",H201,IF($A201=$A200,L200,""))</f>
        <v/>
      </c>
      <c r="M201" s="6" t="str">
        <f t="shared" ref="M201:M264" si="91">IF(I201&lt;&gt;"",I201,IF($A201=$A200,M200,""))</f>
        <v/>
      </c>
      <c r="N201" t="s">
        <v>179</v>
      </c>
      <c r="O201">
        <v>9</v>
      </c>
      <c r="P201" t="s">
        <v>424</v>
      </c>
      <c r="Q201" t="s">
        <v>8</v>
      </c>
      <c r="R201" t="s">
        <v>189</v>
      </c>
      <c r="S201" t="s">
        <v>70</v>
      </c>
      <c r="Y201" t="str">
        <f t="shared" si="71"/>
        <v/>
      </c>
      <c r="Z201" t="str">
        <f t="shared" si="72"/>
        <v/>
      </c>
      <c r="AC201" t="str">
        <f t="shared" si="73"/>
        <v>Pass</v>
      </c>
      <c r="AD201" t="str">
        <f t="shared" si="74"/>
        <v>Pass_Completed</v>
      </c>
      <c r="AE201" t="str">
        <f t="shared" si="75"/>
        <v>Pass-Forehand</v>
      </c>
      <c r="AF201" t="str">
        <f t="shared" si="76"/>
        <v>Offensive</v>
      </c>
      <c r="AG201">
        <f t="shared" si="82"/>
        <v>18981</v>
      </c>
      <c r="AH201" t="str">
        <f t="shared" si="83"/>
        <v>Nelson</v>
      </c>
      <c r="AI201" t="str">
        <f t="shared" si="84"/>
        <v>Velodrome</v>
      </c>
      <c r="AJ201" s="18">
        <f t="shared" si="77"/>
        <v>0</v>
      </c>
      <c r="AP201" s="18">
        <f t="shared" si="78"/>
        <v>0</v>
      </c>
      <c r="AQ201">
        <f t="shared" si="79"/>
        <v>0</v>
      </c>
      <c r="AR201" s="23">
        <f t="shared" si="80"/>
        <v>245</v>
      </c>
      <c r="AS201">
        <f t="shared" si="85"/>
        <v>240</v>
      </c>
      <c r="AT201" s="21">
        <f t="shared" si="86"/>
        <v>245</v>
      </c>
      <c r="AU201" s="21"/>
      <c r="AV201" s="21"/>
      <c r="AW201" s="21"/>
    </row>
    <row r="202" spans="1:49" x14ac:dyDescent="0.2">
      <c r="A202">
        <v>109</v>
      </c>
      <c r="E202">
        <f t="shared" si="81"/>
        <v>1</v>
      </c>
      <c r="J202" t="str">
        <f t="shared" si="88"/>
        <v>13</v>
      </c>
      <c r="K202" t="str">
        <f t="shared" si="89"/>
        <v>55</v>
      </c>
      <c r="L202" t="str">
        <f t="shared" si="90"/>
        <v/>
      </c>
      <c r="M202" s="6" t="str">
        <f t="shared" si="91"/>
        <v/>
      </c>
      <c r="N202" t="str">
        <f t="shared" si="87"/>
        <v>Away</v>
      </c>
      <c r="O202">
        <v>61</v>
      </c>
      <c r="P202" t="s">
        <v>424</v>
      </c>
      <c r="Y202" t="str">
        <f t="shared" si="71"/>
        <v/>
      </c>
      <c r="Z202" t="str">
        <f t="shared" si="72"/>
        <v/>
      </c>
      <c r="AC202" t="str">
        <f t="shared" si="73"/>
        <v>Pass</v>
      </c>
      <c r="AD202" t="str">
        <f t="shared" si="74"/>
        <v>Pass_Completed</v>
      </c>
      <c r="AE202" t="str">
        <f t="shared" si="75"/>
        <v>Pass-Forehand</v>
      </c>
      <c r="AF202" t="str">
        <f t="shared" si="76"/>
        <v>Offensive</v>
      </c>
      <c r="AG202">
        <f t="shared" si="82"/>
        <v>18981</v>
      </c>
      <c r="AH202" t="str">
        <f t="shared" si="83"/>
        <v>Nelson</v>
      </c>
      <c r="AI202" t="str">
        <f t="shared" si="84"/>
        <v>Velodrome</v>
      </c>
      <c r="AJ202" s="18">
        <f t="shared" si="77"/>
        <v>0</v>
      </c>
      <c r="AP202" s="18">
        <f t="shared" si="78"/>
        <v>0</v>
      </c>
      <c r="AQ202">
        <f t="shared" si="79"/>
        <v>0</v>
      </c>
      <c r="AR202" s="23">
        <f t="shared" si="80"/>
        <v>245</v>
      </c>
      <c r="AS202">
        <f t="shared" si="85"/>
        <v>240</v>
      </c>
      <c r="AT202" s="21">
        <f t="shared" si="86"/>
        <v>245</v>
      </c>
      <c r="AU202" s="21"/>
      <c r="AV202" s="21"/>
      <c r="AW202" s="21"/>
    </row>
    <row r="203" spans="1:49" x14ac:dyDescent="0.2">
      <c r="A203">
        <v>110</v>
      </c>
      <c r="E203">
        <f t="shared" si="81"/>
        <v>1</v>
      </c>
      <c r="F203" s="5" t="s">
        <v>488</v>
      </c>
      <c r="G203" s="5" t="s">
        <v>524</v>
      </c>
      <c r="J203" t="str">
        <f t="shared" si="88"/>
        <v>13</v>
      </c>
      <c r="K203" t="str">
        <f t="shared" si="89"/>
        <v>52</v>
      </c>
      <c r="L203" t="str">
        <f t="shared" si="90"/>
        <v/>
      </c>
      <c r="M203" s="6" t="str">
        <f t="shared" si="91"/>
        <v/>
      </c>
      <c r="N203" t="s">
        <v>179</v>
      </c>
      <c r="O203">
        <v>61</v>
      </c>
      <c r="P203" t="s">
        <v>424</v>
      </c>
      <c r="Q203" t="s">
        <v>277</v>
      </c>
      <c r="R203" t="s">
        <v>201</v>
      </c>
      <c r="S203" t="s">
        <v>433</v>
      </c>
      <c r="Y203" t="str">
        <f t="shared" si="71"/>
        <v/>
      </c>
      <c r="Z203" t="str">
        <f t="shared" si="72"/>
        <v/>
      </c>
      <c r="AC203" t="str">
        <f t="shared" si="73"/>
        <v>Zone_Entry_Exit</v>
      </c>
      <c r="AD203" t="str">
        <f t="shared" si="74"/>
        <v>Zone_Exit</v>
      </c>
      <c r="AE203" t="str">
        <f t="shared" si="75"/>
        <v>ZoneExit-PassMiss/Misplay</v>
      </c>
      <c r="AF203" t="str">
        <f t="shared" si="76"/>
        <v>Offensive</v>
      </c>
      <c r="AG203">
        <f t="shared" si="82"/>
        <v>18981</v>
      </c>
      <c r="AH203" t="str">
        <f t="shared" si="83"/>
        <v>Nelson</v>
      </c>
      <c r="AI203" t="str">
        <f t="shared" si="84"/>
        <v>Velodrome</v>
      </c>
      <c r="AJ203" s="18">
        <f t="shared" si="77"/>
        <v>0</v>
      </c>
      <c r="AP203" s="18">
        <f t="shared" si="78"/>
        <v>0</v>
      </c>
      <c r="AQ203">
        <f t="shared" si="79"/>
        <v>0</v>
      </c>
      <c r="AR203" s="23">
        <f t="shared" si="80"/>
        <v>248</v>
      </c>
      <c r="AS203">
        <f t="shared" si="85"/>
        <v>243</v>
      </c>
      <c r="AT203" s="21">
        <f t="shared" si="86"/>
        <v>248</v>
      </c>
      <c r="AU203" s="21"/>
      <c r="AV203" s="21"/>
      <c r="AW203" s="21"/>
    </row>
    <row r="204" spans="1:49" x14ac:dyDescent="0.2">
      <c r="A204">
        <v>111</v>
      </c>
      <c r="E204">
        <f t="shared" si="81"/>
        <v>1</v>
      </c>
      <c r="F204" s="5" t="s">
        <v>488</v>
      </c>
      <c r="G204" s="5" t="s">
        <v>524</v>
      </c>
      <c r="J204" t="str">
        <f t="shared" si="88"/>
        <v>13</v>
      </c>
      <c r="K204" t="str">
        <f t="shared" si="89"/>
        <v>52</v>
      </c>
      <c r="L204" t="str">
        <f t="shared" si="90"/>
        <v/>
      </c>
      <c r="M204" s="6" t="str">
        <f t="shared" si="91"/>
        <v/>
      </c>
      <c r="N204" t="s">
        <v>179</v>
      </c>
      <c r="O204">
        <v>61</v>
      </c>
      <c r="P204" t="s">
        <v>424</v>
      </c>
      <c r="Q204" t="s">
        <v>10</v>
      </c>
      <c r="R204" t="s">
        <v>190</v>
      </c>
      <c r="S204" t="s">
        <v>73</v>
      </c>
      <c r="Y204" t="str">
        <f t="shared" si="71"/>
        <v/>
      </c>
      <c r="Z204" t="str">
        <f t="shared" si="72"/>
        <v/>
      </c>
      <c r="AC204" t="str">
        <f t="shared" si="73"/>
        <v>Turnover</v>
      </c>
      <c r="AD204" t="str">
        <f t="shared" si="74"/>
        <v>Turnover_Giveaway</v>
      </c>
      <c r="AE204" t="str">
        <f t="shared" si="75"/>
        <v>Giveaway-Misplayed</v>
      </c>
      <c r="AF204" t="str">
        <f t="shared" si="76"/>
        <v>Offensive</v>
      </c>
      <c r="AG204">
        <f t="shared" si="82"/>
        <v>18981</v>
      </c>
      <c r="AH204" t="str">
        <f t="shared" si="83"/>
        <v>Nelson</v>
      </c>
      <c r="AI204" t="str">
        <f t="shared" si="84"/>
        <v>Velodrome</v>
      </c>
      <c r="AJ204" s="18">
        <f t="shared" si="77"/>
        <v>0</v>
      </c>
      <c r="AP204" s="18">
        <f t="shared" si="78"/>
        <v>0</v>
      </c>
      <c r="AQ204">
        <f t="shared" si="79"/>
        <v>0</v>
      </c>
      <c r="AR204" s="23">
        <f t="shared" si="80"/>
        <v>248</v>
      </c>
      <c r="AS204">
        <f t="shared" si="85"/>
        <v>243</v>
      </c>
      <c r="AT204" s="21">
        <f t="shared" si="86"/>
        <v>248</v>
      </c>
      <c r="AU204" s="21"/>
      <c r="AV204" s="21"/>
      <c r="AW204" s="21"/>
    </row>
    <row r="205" spans="1:49" x14ac:dyDescent="0.2">
      <c r="A205">
        <v>112</v>
      </c>
      <c r="E205">
        <f t="shared" si="81"/>
        <v>1</v>
      </c>
      <c r="F205" s="5" t="s">
        <v>488</v>
      </c>
      <c r="G205" s="5" t="s">
        <v>519</v>
      </c>
      <c r="J205" t="str">
        <f t="shared" si="88"/>
        <v>13</v>
      </c>
      <c r="K205" t="str">
        <f t="shared" si="89"/>
        <v>47</v>
      </c>
      <c r="L205" t="str">
        <f t="shared" si="90"/>
        <v/>
      </c>
      <c r="M205" s="6" t="str">
        <f t="shared" si="91"/>
        <v/>
      </c>
      <c r="N205" t="s">
        <v>178</v>
      </c>
      <c r="O205">
        <v>37</v>
      </c>
      <c r="P205" t="s">
        <v>424</v>
      </c>
      <c r="Q205" t="s">
        <v>8</v>
      </c>
      <c r="R205" t="s">
        <v>199</v>
      </c>
      <c r="S205" t="s">
        <v>70</v>
      </c>
      <c r="Y205" t="str">
        <f t="shared" si="71"/>
        <v/>
      </c>
      <c r="Z205" t="str">
        <f t="shared" si="72"/>
        <v/>
      </c>
      <c r="AC205" t="str">
        <f t="shared" si="73"/>
        <v>Pass</v>
      </c>
      <c r="AD205" t="str">
        <f t="shared" si="74"/>
        <v>Pass_Missed</v>
      </c>
      <c r="AE205" t="str">
        <f t="shared" si="75"/>
        <v>Pass-Forehand</v>
      </c>
      <c r="AF205" t="str">
        <f t="shared" si="76"/>
        <v>Offensive</v>
      </c>
      <c r="AG205">
        <f t="shared" si="82"/>
        <v>18981</v>
      </c>
      <c r="AH205" t="str">
        <f t="shared" si="83"/>
        <v>Nelson</v>
      </c>
      <c r="AI205" t="str">
        <f t="shared" si="84"/>
        <v>Velodrome</v>
      </c>
      <c r="AJ205" s="18">
        <f t="shared" si="77"/>
        <v>0</v>
      </c>
      <c r="AP205" s="18">
        <f t="shared" si="78"/>
        <v>0</v>
      </c>
      <c r="AQ205">
        <f t="shared" si="79"/>
        <v>0</v>
      </c>
      <c r="AR205" s="23">
        <f t="shared" si="80"/>
        <v>253</v>
      </c>
      <c r="AS205">
        <f t="shared" si="85"/>
        <v>248</v>
      </c>
      <c r="AT205" s="21">
        <f t="shared" si="86"/>
        <v>253</v>
      </c>
      <c r="AU205" s="21"/>
      <c r="AV205" s="21"/>
      <c r="AW205" s="21"/>
    </row>
    <row r="206" spans="1:49" x14ac:dyDescent="0.2">
      <c r="A206">
        <v>112</v>
      </c>
      <c r="E206">
        <f t="shared" si="81"/>
        <v>1</v>
      </c>
      <c r="J206" t="str">
        <f t="shared" si="88"/>
        <v>13</v>
      </c>
      <c r="K206" t="str">
        <f t="shared" si="89"/>
        <v>47</v>
      </c>
      <c r="L206" t="str">
        <f t="shared" si="90"/>
        <v/>
      </c>
      <c r="M206" s="6" t="str">
        <f t="shared" si="91"/>
        <v/>
      </c>
      <c r="N206" t="str">
        <f t="shared" si="87"/>
        <v>Home</v>
      </c>
      <c r="O206">
        <v>44</v>
      </c>
      <c r="P206" t="s">
        <v>424</v>
      </c>
      <c r="Y206" t="str">
        <f t="shared" si="71"/>
        <v/>
      </c>
      <c r="Z206" t="str">
        <f t="shared" si="72"/>
        <v/>
      </c>
      <c r="AC206" t="str">
        <f t="shared" si="73"/>
        <v>Pass</v>
      </c>
      <c r="AD206" t="str">
        <f t="shared" si="74"/>
        <v>Pass_Missed</v>
      </c>
      <c r="AE206" t="str">
        <f t="shared" si="75"/>
        <v>Pass-Forehand</v>
      </c>
      <c r="AF206" t="str">
        <f t="shared" si="76"/>
        <v>Offensive</v>
      </c>
      <c r="AG206">
        <f t="shared" si="82"/>
        <v>18981</v>
      </c>
      <c r="AH206" t="str">
        <f t="shared" si="83"/>
        <v>Nelson</v>
      </c>
      <c r="AI206" t="str">
        <f t="shared" si="84"/>
        <v>Velodrome</v>
      </c>
      <c r="AJ206" s="18">
        <f t="shared" si="77"/>
        <v>0</v>
      </c>
      <c r="AP206" s="18">
        <f t="shared" si="78"/>
        <v>0</v>
      </c>
      <c r="AQ206">
        <f t="shared" si="79"/>
        <v>0</v>
      </c>
      <c r="AR206" s="23">
        <f t="shared" si="80"/>
        <v>253</v>
      </c>
      <c r="AS206">
        <f t="shared" si="85"/>
        <v>248</v>
      </c>
      <c r="AT206" s="21">
        <f t="shared" si="86"/>
        <v>253</v>
      </c>
      <c r="AU206" s="21"/>
      <c r="AV206" s="21"/>
      <c r="AW206" s="21"/>
    </row>
    <row r="207" spans="1:49" x14ac:dyDescent="0.2">
      <c r="A207">
        <v>113</v>
      </c>
      <c r="E207">
        <f t="shared" si="81"/>
        <v>1</v>
      </c>
      <c r="F207" s="5" t="s">
        <v>488</v>
      </c>
      <c r="G207" s="5" t="s">
        <v>515</v>
      </c>
      <c r="J207" t="str">
        <f t="shared" si="88"/>
        <v>13</v>
      </c>
      <c r="K207" t="str">
        <f t="shared" si="89"/>
        <v>43</v>
      </c>
      <c r="L207" t="str">
        <f t="shared" si="90"/>
        <v/>
      </c>
      <c r="M207" s="6" t="str">
        <f t="shared" si="91"/>
        <v/>
      </c>
      <c r="N207" t="s">
        <v>178</v>
      </c>
      <c r="O207">
        <v>44</v>
      </c>
      <c r="P207" t="s">
        <v>424</v>
      </c>
      <c r="Q207" t="s">
        <v>277</v>
      </c>
      <c r="R207" t="s">
        <v>191</v>
      </c>
      <c r="S207" t="s">
        <v>87</v>
      </c>
      <c r="Y207" t="str">
        <f t="shared" si="71"/>
        <v/>
      </c>
      <c r="Z207" t="str">
        <f t="shared" si="72"/>
        <v/>
      </c>
      <c r="AC207" t="str">
        <f t="shared" si="73"/>
        <v>Zone_Entry_Exit</v>
      </c>
      <c r="AD207" t="str">
        <f t="shared" si="74"/>
        <v>Zone_Entry</v>
      </c>
      <c r="AE207" t="str">
        <f t="shared" si="75"/>
        <v>ZoneEntry-Rush</v>
      </c>
      <c r="AF207" t="str">
        <f t="shared" si="76"/>
        <v>Offensive</v>
      </c>
      <c r="AG207">
        <f t="shared" si="82"/>
        <v>18981</v>
      </c>
      <c r="AH207" t="str">
        <f t="shared" si="83"/>
        <v>Nelson</v>
      </c>
      <c r="AI207" t="str">
        <f t="shared" si="84"/>
        <v>Velodrome</v>
      </c>
      <c r="AJ207" s="18">
        <f t="shared" si="77"/>
        <v>0</v>
      </c>
      <c r="AP207" s="18">
        <f t="shared" si="78"/>
        <v>0</v>
      </c>
      <c r="AQ207">
        <f t="shared" si="79"/>
        <v>0</v>
      </c>
      <c r="AR207" s="23">
        <f t="shared" si="80"/>
        <v>257</v>
      </c>
      <c r="AS207">
        <f t="shared" si="85"/>
        <v>252</v>
      </c>
      <c r="AT207" s="21">
        <f t="shared" si="86"/>
        <v>257</v>
      </c>
      <c r="AU207" s="21"/>
      <c r="AV207" s="21"/>
      <c r="AW207" s="21"/>
    </row>
    <row r="208" spans="1:49" x14ac:dyDescent="0.2">
      <c r="A208">
        <v>113</v>
      </c>
      <c r="E208">
        <f t="shared" si="81"/>
        <v>1</v>
      </c>
      <c r="J208" t="str">
        <f t="shared" si="88"/>
        <v>13</v>
      </c>
      <c r="K208" t="str">
        <f t="shared" si="89"/>
        <v>43</v>
      </c>
      <c r="L208" t="str">
        <f t="shared" si="90"/>
        <v/>
      </c>
      <c r="M208" s="6" t="str">
        <f t="shared" si="91"/>
        <v/>
      </c>
      <c r="N208" t="str">
        <f t="shared" si="87"/>
        <v>Home</v>
      </c>
      <c r="O208">
        <v>14</v>
      </c>
      <c r="P208" t="s">
        <v>425</v>
      </c>
      <c r="Y208" t="str">
        <f t="shared" si="71"/>
        <v/>
      </c>
      <c r="Z208" t="str">
        <f t="shared" si="72"/>
        <v/>
      </c>
      <c r="AC208" t="str">
        <f t="shared" si="73"/>
        <v>Zone_Entry_Exit</v>
      </c>
      <c r="AD208" t="str">
        <f t="shared" si="74"/>
        <v>Zone_Entry</v>
      </c>
      <c r="AE208" t="str">
        <f t="shared" si="75"/>
        <v>ZoneEntry-Rush</v>
      </c>
      <c r="AF208" t="str">
        <f t="shared" si="76"/>
        <v>Defensive</v>
      </c>
      <c r="AG208">
        <f t="shared" si="82"/>
        <v>18981</v>
      </c>
      <c r="AH208" t="str">
        <f t="shared" si="83"/>
        <v>Nelson</v>
      </c>
      <c r="AI208" t="str">
        <f t="shared" si="84"/>
        <v>Velodrome</v>
      </c>
      <c r="AJ208" s="18">
        <f t="shared" si="77"/>
        <v>0</v>
      </c>
      <c r="AP208" s="18">
        <f t="shared" si="78"/>
        <v>0</v>
      </c>
      <c r="AQ208">
        <f t="shared" si="79"/>
        <v>0</v>
      </c>
      <c r="AR208" s="23">
        <f t="shared" si="80"/>
        <v>257</v>
      </c>
      <c r="AS208">
        <f t="shared" si="85"/>
        <v>252</v>
      </c>
      <c r="AT208" s="21">
        <f t="shared" si="86"/>
        <v>257</v>
      </c>
      <c r="AU208" s="21"/>
      <c r="AV208" s="21"/>
      <c r="AW208" s="21"/>
    </row>
    <row r="209" spans="1:49" x14ac:dyDescent="0.2">
      <c r="A209">
        <v>114</v>
      </c>
      <c r="E209">
        <f t="shared" si="81"/>
        <v>1</v>
      </c>
      <c r="F209" s="5" t="s">
        <v>488</v>
      </c>
      <c r="G209" s="5" t="s">
        <v>514</v>
      </c>
      <c r="J209" t="str">
        <f t="shared" si="88"/>
        <v>13</v>
      </c>
      <c r="K209" t="str">
        <f t="shared" si="89"/>
        <v>42</v>
      </c>
      <c r="L209" t="str">
        <f t="shared" si="90"/>
        <v/>
      </c>
      <c r="M209" s="6" t="str">
        <f t="shared" si="91"/>
        <v/>
      </c>
      <c r="N209" t="s">
        <v>179</v>
      </c>
      <c r="O209">
        <v>49</v>
      </c>
      <c r="P209" t="s">
        <v>424</v>
      </c>
      <c r="Q209" t="s">
        <v>10</v>
      </c>
      <c r="R209" t="s">
        <v>200</v>
      </c>
      <c r="S209" t="s">
        <v>82</v>
      </c>
      <c r="Y209" t="str">
        <f t="shared" si="71"/>
        <v/>
      </c>
      <c r="Z209" t="str">
        <f t="shared" si="72"/>
        <v/>
      </c>
      <c r="AC209" t="str">
        <f t="shared" si="73"/>
        <v>Turnover</v>
      </c>
      <c r="AD209" t="str">
        <f t="shared" si="74"/>
        <v>Turnover_Takeaway</v>
      </c>
      <c r="AE209" t="str">
        <f t="shared" si="75"/>
        <v>Takeaway-PokeCheck</v>
      </c>
      <c r="AF209" t="str">
        <f t="shared" si="76"/>
        <v>Defensive</v>
      </c>
      <c r="AG209">
        <f t="shared" si="82"/>
        <v>18981</v>
      </c>
      <c r="AH209" t="str">
        <f t="shared" si="83"/>
        <v>Nelson</v>
      </c>
      <c r="AI209" t="str">
        <f t="shared" si="84"/>
        <v>Velodrome</v>
      </c>
      <c r="AJ209" s="18">
        <f t="shared" si="77"/>
        <v>0</v>
      </c>
      <c r="AP209" s="18">
        <f t="shared" si="78"/>
        <v>0</v>
      </c>
      <c r="AQ209">
        <f t="shared" si="79"/>
        <v>0</v>
      </c>
      <c r="AR209" s="23">
        <f t="shared" si="80"/>
        <v>258</v>
      </c>
      <c r="AS209">
        <f t="shared" si="85"/>
        <v>253</v>
      </c>
      <c r="AT209" s="21">
        <f t="shared" si="86"/>
        <v>258</v>
      </c>
      <c r="AU209" s="21"/>
      <c r="AV209" s="21"/>
      <c r="AW209" s="21"/>
    </row>
    <row r="210" spans="1:49" x14ac:dyDescent="0.2">
      <c r="A210">
        <v>114</v>
      </c>
      <c r="E210">
        <f t="shared" si="81"/>
        <v>1</v>
      </c>
      <c r="J210" t="str">
        <f t="shared" si="88"/>
        <v>13</v>
      </c>
      <c r="K210" t="str">
        <f t="shared" si="89"/>
        <v>42</v>
      </c>
      <c r="L210" t="str">
        <f t="shared" si="90"/>
        <v/>
      </c>
      <c r="M210" s="6" t="str">
        <f t="shared" si="91"/>
        <v/>
      </c>
      <c r="N210" t="str">
        <f t="shared" si="87"/>
        <v>Away</v>
      </c>
      <c r="O210">
        <v>44</v>
      </c>
      <c r="P210" t="s">
        <v>425</v>
      </c>
      <c r="Y210" t="str">
        <f t="shared" si="71"/>
        <v/>
      </c>
      <c r="Z210" t="str">
        <f t="shared" si="72"/>
        <v/>
      </c>
      <c r="AC210" t="str">
        <f t="shared" si="73"/>
        <v>Turnover</v>
      </c>
      <c r="AD210" t="str">
        <f t="shared" si="74"/>
        <v>Turnover_Takeaway</v>
      </c>
      <c r="AE210" t="str">
        <f t="shared" si="75"/>
        <v>Takeaway-PokeCheck</v>
      </c>
      <c r="AF210" t="str">
        <f t="shared" si="76"/>
        <v>Offensive</v>
      </c>
      <c r="AG210">
        <f t="shared" si="82"/>
        <v>18981</v>
      </c>
      <c r="AH210" t="str">
        <f t="shared" si="83"/>
        <v>Nelson</v>
      </c>
      <c r="AI210" t="str">
        <f t="shared" si="84"/>
        <v>Velodrome</v>
      </c>
      <c r="AJ210" s="18">
        <f t="shared" si="77"/>
        <v>0</v>
      </c>
      <c r="AP210" s="18">
        <f t="shared" si="78"/>
        <v>0</v>
      </c>
      <c r="AQ210">
        <f t="shared" si="79"/>
        <v>0</v>
      </c>
      <c r="AR210" s="23">
        <f t="shared" si="80"/>
        <v>258</v>
      </c>
      <c r="AS210">
        <f t="shared" si="85"/>
        <v>253</v>
      </c>
      <c r="AT210" s="21">
        <f t="shared" si="86"/>
        <v>258</v>
      </c>
      <c r="AU210" s="21"/>
      <c r="AV210" s="21"/>
      <c r="AW210" s="21"/>
    </row>
    <row r="211" spans="1:49" x14ac:dyDescent="0.2">
      <c r="A211">
        <v>115</v>
      </c>
      <c r="E211">
        <f t="shared" si="81"/>
        <v>1</v>
      </c>
      <c r="F211" s="5" t="s">
        <v>488</v>
      </c>
      <c r="G211" s="5" t="s">
        <v>514</v>
      </c>
      <c r="J211" t="str">
        <f t="shared" si="88"/>
        <v>13</v>
      </c>
      <c r="K211" t="str">
        <f t="shared" si="89"/>
        <v>42</v>
      </c>
      <c r="L211" t="str">
        <f t="shared" si="90"/>
        <v/>
      </c>
      <c r="M211" s="6" t="str">
        <f t="shared" si="91"/>
        <v/>
      </c>
      <c r="N211" t="s">
        <v>179</v>
      </c>
      <c r="O211">
        <v>49</v>
      </c>
      <c r="P211" t="s">
        <v>424</v>
      </c>
      <c r="Q211" t="s">
        <v>277</v>
      </c>
      <c r="R211" t="s">
        <v>201</v>
      </c>
      <c r="S211" t="s">
        <v>183</v>
      </c>
      <c r="Y211" t="str">
        <f t="shared" si="71"/>
        <v/>
      </c>
      <c r="Z211" t="str">
        <f t="shared" si="72"/>
        <v/>
      </c>
      <c r="AC211" t="str">
        <f t="shared" si="73"/>
        <v>Zone_Entry_Exit</v>
      </c>
      <c r="AD211" t="str">
        <f t="shared" si="74"/>
        <v>Zone_Exit</v>
      </c>
      <c r="AE211" t="str">
        <f t="shared" si="75"/>
        <v>ZoneExit-Other</v>
      </c>
      <c r="AF211" t="str">
        <f t="shared" si="76"/>
        <v>Offensive</v>
      </c>
      <c r="AG211">
        <f t="shared" si="82"/>
        <v>18981</v>
      </c>
      <c r="AH211" t="str">
        <f t="shared" si="83"/>
        <v>Nelson</v>
      </c>
      <c r="AI211" t="str">
        <f t="shared" si="84"/>
        <v>Velodrome</v>
      </c>
      <c r="AJ211" s="18">
        <f t="shared" si="77"/>
        <v>0</v>
      </c>
      <c r="AP211" s="18">
        <f t="shared" si="78"/>
        <v>0</v>
      </c>
      <c r="AQ211">
        <f t="shared" si="79"/>
        <v>0</v>
      </c>
      <c r="AR211" s="23">
        <f t="shared" si="80"/>
        <v>258</v>
      </c>
      <c r="AS211">
        <f t="shared" si="85"/>
        <v>253</v>
      </c>
      <c r="AT211" s="21">
        <f t="shared" si="86"/>
        <v>258</v>
      </c>
      <c r="AU211" s="21"/>
      <c r="AV211" s="21"/>
      <c r="AW211" s="21"/>
    </row>
    <row r="212" spans="1:49" x14ac:dyDescent="0.2">
      <c r="A212">
        <v>115</v>
      </c>
      <c r="E212">
        <f t="shared" si="81"/>
        <v>1</v>
      </c>
      <c r="J212" t="str">
        <f t="shared" si="88"/>
        <v>13</v>
      </c>
      <c r="K212" t="str">
        <f t="shared" si="89"/>
        <v>42</v>
      </c>
      <c r="L212" t="str">
        <f t="shared" si="90"/>
        <v/>
      </c>
      <c r="M212" s="6" t="str">
        <f t="shared" si="91"/>
        <v/>
      </c>
      <c r="N212" t="str">
        <f t="shared" si="87"/>
        <v>Away</v>
      </c>
      <c r="O212">
        <v>44</v>
      </c>
      <c r="P212" t="s">
        <v>425</v>
      </c>
      <c r="Y212" t="str">
        <f t="shared" si="71"/>
        <v/>
      </c>
      <c r="Z212" t="str">
        <f t="shared" si="72"/>
        <v/>
      </c>
      <c r="AC212" t="str">
        <f t="shared" si="73"/>
        <v>Zone_Entry_Exit</v>
      </c>
      <c r="AD212" t="str">
        <f t="shared" si="74"/>
        <v>Zone_Exit</v>
      </c>
      <c r="AE212" t="str">
        <f t="shared" si="75"/>
        <v>ZoneExit-Other</v>
      </c>
      <c r="AF212" t="str">
        <f t="shared" si="76"/>
        <v>Defensive</v>
      </c>
      <c r="AG212">
        <f t="shared" si="82"/>
        <v>18981</v>
      </c>
      <c r="AH212" t="str">
        <f t="shared" si="83"/>
        <v>Nelson</v>
      </c>
      <c r="AI212" t="str">
        <f t="shared" si="84"/>
        <v>Velodrome</v>
      </c>
      <c r="AJ212" s="18">
        <f t="shared" si="77"/>
        <v>0</v>
      </c>
      <c r="AP212" s="18">
        <f t="shared" si="78"/>
        <v>0</v>
      </c>
      <c r="AQ212">
        <f t="shared" si="79"/>
        <v>0</v>
      </c>
      <c r="AR212" s="23">
        <f t="shared" si="80"/>
        <v>258</v>
      </c>
      <c r="AS212">
        <f t="shared" si="85"/>
        <v>253</v>
      </c>
      <c r="AT212" s="21">
        <f t="shared" si="86"/>
        <v>258</v>
      </c>
      <c r="AU212" s="21"/>
      <c r="AV212" s="21"/>
      <c r="AW212" s="21"/>
    </row>
    <row r="213" spans="1:49" x14ac:dyDescent="0.2">
      <c r="A213">
        <v>116</v>
      </c>
      <c r="E213">
        <f t="shared" si="81"/>
        <v>1</v>
      </c>
      <c r="F213" s="5" t="s">
        <v>488</v>
      </c>
      <c r="G213" s="5" t="s">
        <v>512</v>
      </c>
      <c r="J213" t="str">
        <f t="shared" si="88"/>
        <v>13</v>
      </c>
      <c r="K213" t="str">
        <f t="shared" si="89"/>
        <v>40</v>
      </c>
      <c r="L213" t="str">
        <f t="shared" si="90"/>
        <v/>
      </c>
      <c r="M213" s="6" t="str">
        <f t="shared" si="91"/>
        <v/>
      </c>
      <c r="N213" t="s">
        <v>178</v>
      </c>
      <c r="O213">
        <v>79</v>
      </c>
      <c r="P213" t="s">
        <v>424</v>
      </c>
      <c r="Q213" t="s">
        <v>277</v>
      </c>
      <c r="R213" t="s">
        <v>191</v>
      </c>
      <c r="S213" t="s">
        <v>447</v>
      </c>
      <c r="Y213" t="str">
        <f t="shared" si="71"/>
        <v/>
      </c>
      <c r="Z213" t="str">
        <f t="shared" si="72"/>
        <v/>
      </c>
      <c r="AC213" t="str">
        <f t="shared" si="73"/>
        <v>Zone_Entry_Exit</v>
      </c>
      <c r="AD213" t="str">
        <f t="shared" si="74"/>
        <v>Zone_Entry</v>
      </c>
      <c r="AE213" t="str">
        <f t="shared" si="75"/>
        <v>ZoneEntry-PassMiss/Misplay</v>
      </c>
      <c r="AF213" t="str">
        <f t="shared" si="76"/>
        <v>Offensive</v>
      </c>
      <c r="AG213">
        <f t="shared" si="82"/>
        <v>18981</v>
      </c>
      <c r="AH213" t="str">
        <f t="shared" si="83"/>
        <v>Nelson</v>
      </c>
      <c r="AI213" t="str">
        <f t="shared" si="84"/>
        <v>Velodrome</v>
      </c>
      <c r="AJ213" s="18">
        <f t="shared" si="77"/>
        <v>0</v>
      </c>
      <c r="AP213" s="18">
        <f t="shared" si="78"/>
        <v>0</v>
      </c>
      <c r="AQ213">
        <f t="shared" si="79"/>
        <v>0</v>
      </c>
      <c r="AR213" s="23">
        <f t="shared" si="80"/>
        <v>260</v>
      </c>
      <c r="AS213">
        <f t="shared" si="85"/>
        <v>255</v>
      </c>
      <c r="AT213" s="21">
        <f t="shared" si="86"/>
        <v>260</v>
      </c>
      <c r="AU213" s="21"/>
      <c r="AV213" s="21"/>
      <c r="AW213" s="21"/>
    </row>
    <row r="214" spans="1:49" x14ac:dyDescent="0.2">
      <c r="A214">
        <v>117</v>
      </c>
      <c r="E214">
        <f t="shared" si="81"/>
        <v>1</v>
      </c>
      <c r="F214" s="5" t="s">
        <v>488</v>
      </c>
      <c r="G214" s="5" t="s">
        <v>512</v>
      </c>
      <c r="J214" t="str">
        <f t="shared" si="88"/>
        <v>13</v>
      </c>
      <c r="K214" t="str">
        <f t="shared" si="89"/>
        <v>40</v>
      </c>
      <c r="L214" t="str">
        <f t="shared" si="90"/>
        <v/>
      </c>
      <c r="M214" s="6" t="str">
        <f t="shared" si="91"/>
        <v/>
      </c>
      <c r="N214" t="s">
        <v>178</v>
      </c>
      <c r="O214">
        <v>79</v>
      </c>
      <c r="P214" t="s">
        <v>424</v>
      </c>
      <c r="Q214" t="s">
        <v>10</v>
      </c>
      <c r="R214" t="s">
        <v>190</v>
      </c>
      <c r="S214" t="s">
        <v>440</v>
      </c>
      <c r="Y214" t="str">
        <f t="shared" si="71"/>
        <v/>
      </c>
      <c r="Z214" t="str">
        <f t="shared" si="72"/>
        <v/>
      </c>
      <c r="AC214" t="str">
        <f t="shared" si="73"/>
        <v>Turnover</v>
      </c>
      <c r="AD214" t="str">
        <f t="shared" si="74"/>
        <v>Turnover_Giveaway</v>
      </c>
      <c r="AE214" t="str">
        <f t="shared" si="75"/>
        <v>Giveaway-ZoneEntry/ExitMisplay</v>
      </c>
      <c r="AF214" t="str">
        <f t="shared" si="76"/>
        <v>Offensive</v>
      </c>
      <c r="AG214">
        <f t="shared" si="82"/>
        <v>18981</v>
      </c>
      <c r="AH214" t="str">
        <f t="shared" si="83"/>
        <v>Nelson</v>
      </c>
      <c r="AI214" t="str">
        <f t="shared" si="84"/>
        <v>Velodrome</v>
      </c>
      <c r="AJ214" s="18">
        <f t="shared" si="77"/>
        <v>0</v>
      </c>
      <c r="AP214" s="18">
        <f t="shared" si="78"/>
        <v>0</v>
      </c>
      <c r="AQ214">
        <f t="shared" si="79"/>
        <v>0</v>
      </c>
      <c r="AR214" s="23">
        <f t="shared" si="80"/>
        <v>260</v>
      </c>
      <c r="AS214">
        <f t="shared" si="85"/>
        <v>255</v>
      </c>
      <c r="AT214" s="21">
        <f t="shared" si="86"/>
        <v>260</v>
      </c>
      <c r="AU214" s="21"/>
      <c r="AV214" s="21"/>
      <c r="AW214" s="21"/>
    </row>
    <row r="215" spans="1:49" x14ac:dyDescent="0.2">
      <c r="A215">
        <v>118</v>
      </c>
      <c r="E215">
        <f t="shared" si="81"/>
        <v>1</v>
      </c>
      <c r="F215" s="5" t="s">
        <v>488</v>
      </c>
      <c r="G215" s="5" t="s">
        <v>509</v>
      </c>
      <c r="H215" s="5" t="s">
        <v>488</v>
      </c>
      <c r="I215" s="7" t="s">
        <v>506</v>
      </c>
      <c r="J215" t="str">
        <f t="shared" si="88"/>
        <v>13</v>
      </c>
      <c r="K215" t="str">
        <f t="shared" si="89"/>
        <v>37</v>
      </c>
      <c r="L215" t="str">
        <f t="shared" si="90"/>
        <v>13</v>
      </c>
      <c r="M215" s="6" t="str">
        <f t="shared" si="91"/>
        <v>34</v>
      </c>
      <c r="N215" t="s">
        <v>179</v>
      </c>
      <c r="O215">
        <v>9</v>
      </c>
      <c r="P215" t="s">
        <v>424</v>
      </c>
      <c r="Q215" t="s">
        <v>15</v>
      </c>
      <c r="Y215" t="str">
        <f t="shared" si="71"/>
        <v/>
      </c>
      <c r="Z215" t="str">
        <f t="shared" si="72"/>
        <v/>
      </c>
      <c r="AC215" t="str">
        <f t="shared" si="73"/>
        <v>Possession</v>
      </c>
      <c r="AD215" t="str">
        <f t="shared" si="74"/>
        <v/>
      </c>
      <c r="AE215" t="str">
        <f t="shared" si="75"/>
        <v/>
      </c>
      <c r="AF215" t="str">
        <f t="shared" si="76"/>
        <v>Offensive</v>
      </c>
      <c r="AG215">
        <f t="shared" si="82"/>
        <v>18981</v>
      </c>
      <c r="AH215" t="str">
        <f t="shared" si="83"/>
        <v>Nelson</v>
      </c>
      <c r="AI215" t="str">
        <f t="shared" si="84"/>
        <v>Velodrome</v>
      </c>
      <c r="AJ215" s="18">
        <f t="shared" si="77"/>
        <v>3</v>
      </c>
      <c r="AP215" s="18">
        <f t="shared" si="78"/>
        <v>0</v>
      </c>
      <c r="AQ215">
        <f t="shared" si="79"/>
        <v>0</v>
      </c>
      <c r="AR215" s="23">
        <f t="shared" si="80"/>
        <v>263</v>
      </c>
      <c r="AS215">
        <f t="shared" si="85"/>
        <v>258</v>
      </c>
      <c r="AT215" s="21">
        <f t="shared" si="86"/>
        <v>266</v>
      </c>
      <c r="AU215" s="21"/>
      <c r="AV215" s="21"/>
      <c r="AW215" s="21"/>
    </row>
    <row r="216" spans="1:49" x14ac:dyDescent="0.2">
      <c r="A216">
        <v>119</v>
      </c>
      <c r="E216">
        <f t="shared" si="81"/>
        <v>1</v>
      </c>
      <c r="F216" s="5" t="s">
        <v>488</v>
      </c>
      <c r="G216" s="5" t="s">
        <v>506</v>
      </c>
      <c r="J216" t="str">
        <f t="shared" si="88"/>
        <v>13</v>
      </c>
      <c r="K216" t="str">
        <f t="shared" si="89"/>
        <v>34</v>
      </c>
      <c r="L216" t="str">
        <f t="shared" si="90"/>
        <v/>
      </c>
      <c r="M216" s="6" t="str">
        <f t="shared" si="91"/>
        <v/>
      </c>
      <c r="N216" t="s">
        <v>179</v>
      </c>
      <c r="O216">
        <v>9</v>
      </c>
      <c r="P216" t="s">
        <v>424</v>
      </c>
      <c r="Q216" t="s">
        <v>8</v>
      </c>
      <c r="R216" t="s">
        <v>189</v>
      </c>
      <c r="S216" t="s">
        <v>70</v>
      </c>
      <c r="Y216" t="str">
        <f t="shared" si="71"/>
        <v/>
      </c>
      <c r="Z216" t="str">
        <f t="shared" si="72"/>
        <v/>
      </c>
      <c r="AC216" t="str">
        <f t="shared" si="73"/>
        <v>Pass</v>
      </c>
      <c r="AD216" t="str">
        <f t="shared" si="74"/>
        <v>Pass_Completed</v>
      </c>
      <c r="AE216" t="str">
        <f t="shared" si="75"/>
        <v>Pass-Forehand</v>
      </c>
      <c r="AF216" t="str">
        <f t="shared" si="76"/>
        <v>Offensive</v>
      </c>
      <c r="AG216">
        <f t="shared" si="82"/>
        <v>18981</v>
      </c>
      <c r="AH216" t="str">
        <f t="shared" si="83"/>
        <v>Nelson</v>
      </c>
      <c r="AI216" t="str">
        <f t="shared" si="84"/>
        <v>Velodrome</v>
      </c>
      <c r="AJ216" s="18">
        <f t="shared" si="77"/>
        <v>0</v>
      </c>
      <c r="AP216" s="18">
        <f t="shared" si="78"/>
        <v>0</v>
      </c>
      <c r="AQ216">
        <f t="shared" si="79"/>
        <v>0</v>
      </c>
      <c r="AR216" s="23">
        <f t="shared" si="80"/>
        <v>266</v>
      </c>
      <c r="AS216">
        <f t="shared" si="85"/>
        <v>261</v>
      </c>
      <c r="AT216" s="21">
        <f t="shared" si="86"/>
        <v>266</v>
      </c>
      <c r="AU216" s="21"/>
      <c r="AV216" s="21"/>
      <c r="AW216" s="21"/>
    </row>
    <row r="217" spans="1:49" x14ac:dyDescent="0.2">
      <c r="A217">
        <v>119</v>
      </c>
      <c r="E217">
        <f t="shared" si="81"/>
        <v>1</v>
      </c>
      <c r="J217" t="str">
        <f t="shared" si="88"/>
        <v>13</v>
      </c>
      <c r="K217" t="str">
        <f t="shared" si="89"/>
        <v>34</v>
      </c>
      <c r="L217" t="str">
        <f t="shared" si="90"/>
        <v/>
      </c>
      <c r="M217" s="6" t="str">
        <f t="shared" si="91"/>
        <v/>
      </c>
      <c r="N217" t="s">
        <v>179</v>
      </c>
      <c r="O217">
        <v>87</v>
      </c>
      <c r="P217" t="s">
        <v>424</v>
      </c>
      <c r="Y217" t="str">
        <f t="shared" si="71"/>
        <v/>
      </c>
      <c r="Z217" t="str">
        <f t="shared" si="72"/>
        <v/>
      </c>
      <c r="AC217" t="str">
        <f t="shared" si="73"/>
        <v>Pass</v>
      </c>
      <c r="AD217" t="str">
        <f t="shared" si="74"/>
        <v>Pass_Completed</v>
      </c>
      <c r="AE217" t="str">
        <f t="shared" si="75"/>
        <v>Pass-Forehand</v>
      </c>
      <c r="AF217" t="str">
        <f t="shared" si="76"/>
        <v>Offensive</v>
      </c>
      <c r="AG217">
        <f t="shared" si="82"/>
        <v>18981</v>
      </c>
      <c r="AH217" t="str">
        <f t="shared" si="83"/>
        <v>Nelson</v>
      </c>
      <c r="AI217" t="str">
        <f t="shared" si="84"/>
        <v>Velodrome</v>
      </c>
      <c r="AJ217" s="18">
        <f t="shared" si="77"/>
        <v>0</v>
      </c>
      <c r="AP217" s="18">
        <f t="shared" si="78"/>
        <v>0</v>
      </c>
      <c r="AQ217">
        <f t="shared" si="79"/>
        <v>0</v>
      </c>
      <c r="AR217" s="23">
        <f t="shared" si="80"/>
        <v>266</v>
      </c>
      <c r="AS217">
        <f t="shared" si="85"/>
        <v>261</v>
      </c>
      <c r="AT217" s="21">
        <f t="shared" si="86"/>
        <v>266</v>
      </c>
      <c r="AU217" s="21"/>
      <c r="AV217" s="21"/>
      <c r="AW217" s="21"/>
    </row>
    <row r="218" spans="1:49" x14ac:dyDescent="0.2">
      <c r="A218">
        <v>120</v>
      </c>
      <c r="E218">
        <f t="shared" si="81"/>
        <v>1</v>
      </c>
      <c r="F218" s="5" t="s">
        <v>488</v>
      </c>
      <c r="G218" s="5" t="s">
        <v>506</v>
      </c>
      <c r="J218" t="str">
        <f t="shared" si="88"/>
        <v>13</v>
      </c>
      <c r="K218" t="str">
        <f t="shared" si="89"/>
        <v>34</v>
      </c>
      <c r="L218" t="str">
        <f t="shared" si="90"/>
        <v/>
      </c>
      <c r="M218" s="6" t="str">
        <f t="shared" si="91"/>
        <v/>
      </c>
      <c r="N218" t="s">
        <v>179</v>
      </c>
      <c r="O218">
        <v>9</v>
      </c>
      <c r="P218" t="s">
        <v>424</v>
      </c>
      <c r="Q218" t="s">
        <v>277</v>
      </c>
      <c r="R218" t="s">
        <v>201</v>
      </c>
      <c r="S218" t="s">
        <v>91</v>
      </c>
      <c r="Y218" t="str">
        <f t="shared" si="71"/>
        <v/>
      </c>
      <c r="Z218" t="str">
        <f t="shared" si="72"/>
        <v/>
      </c>
      <c r="AC218" t="str">
        <f t="shared" si="73"/>
        <v>Zone_Entry_Exit</v>
      </c>
      <c r="AD218" t="str">
        <f t="shared" si="74"/>
        <v>Zone_Exit</v>
      </c>
      <c r="AE218" t="str">
        <f t="shared" si="75"/>
        <v>ZoneExit-Pass</v>
      </c>
      <c r="AF218" t="str">
        <f t="shared" si="76"/>
        <v>Offensive</v>
      </c>
      <c r="AG218">
        <f t="shared" si="82"/>
        <v>18981</v>
      </c>
      <c r="AH218" t="str">
        <f t="shared" si="83"/>
        <v>Nelson</v>
      </c>
      <c r="AI218" t="str">
        <f t="shared" si="84"/>
        <v>Velodrome</v>
      </c>
      <c r="AJ218" s="18">
        <f t="shared" si="77"/>
        <v>0</v>
      </c>
      <c r="AP218" s="18">
        <f t="shared" si="78"/>
        <v>0</v>
      </c>
      <c r="AQ218">
        <f t="shared" si="79"/>
        <v>0</v>
      </c>
      <c r="AR218" s="23">
        <f t="shared" si="80"/>
        <v>266</v>
      </c>
      <c r="AS218">
        <f t="shared" si="85"/>
        <v>261</v>
      </c>
      <c r="AT218" s="21">
        <f t="shared" si="86"/>
        <v>266</v>
      </c>
      <c r="AU218" s="21"/>
      <c r="AV218" s="21"/>
      <c r="AW218" s="21"/>
    </row>
    <row r="219" spans="1:49" x14ac:dyDescent="0.2">
      <c r="A219">
        <v>120</v>
      </c>
      <c r="E219">
        <f t="shared" si="81"/>
        <v>1</v>
      </c>
      <c r="J219" t="str">
        <f t="shared" si="88"/>
        <v>13</v>
      </c>
      <c r="K219" t="str">
        <f t="shared" si="89"/>
        <v>34</v>
      </c>
      <c r="L219" t="str">
        <f t="shared" si="90"/>
        <v/>
      </c>
      <c r="M219" s="6" t="str">
        <f t="shared" si="91"/>
        <v/>
      </c>
      <c r="N219" t="str">
        <f t="shared" si="87"/>
        <v>Away</v>
      </c>
      <c r="O219">
        <v>87</v>
      </c>
      <c r="P219" t="s">
        <v>424</v>
      </c>
      <c r="Y219" t="str">
        <f t="shared" si="71"/>
        <v/>
      </c>
      <c r="Z219" t="str">
        <f t="shared" si="72"/>
        <v/>
      </c>
      <c r="AC219" t="str">
        <f t="shared" si="73"/>
        <v>Zone_Entry_Exit</v>
      </c>
      <c r="AD219" t="str">
        <f t="shared" si="74"/>
        <v>Zone_Exit</v>
      </c>
      <c r="AE219" t="str">
        <f t="shared" si="75"/>
        <v>ZoneExit-Pass</v>
      </c>
      <c r="AF219" t="str">
        <f t="shared" si="76"/>
        <v>Offensive</v>
      </c>
      <c r="AG219">
        <f t="shared" si="82"/>
        <v>18981</v>
      </c>
      <c r="AH219" t="str">
        <f t="shared" si="83"/>
        <v>Nelson</v>
      </c>
      <c r="AI219" t="str">
        <f t="shared" si="84"/>
        <v>Velodrome</v>
      </c>
      <c r="AJ219" s="18">
        <f t="shared" si="77"/>
        <v>0</v>
      </c>
      <c r="AP219" s="18">
        <f t="shared" si="78"/>
        <v>0</v>
      </c>
      <c r="AQ219">
        <f t="shared" si="79"/>
        <v>0</v>
      </c>
      <c r="AR219" s="23">
        <f t="shared" si="80"/>
        <v>266</v>
      </c>
      <c r="AS219">
        <f t="shared" si="85"/>
        <v>261</v>
      </c>
      <c r="AT219" s="21">
        <f t="shared" si="86"/>
        <v>266</v>
      </c>
      <c r="AU219" s="21"/>
      <c r="AV219" s="21"/>
      <c r="AW219" s="21"/>
    </row>
    <row r="220" spans="1:49" x14ac:dyDescent="0.2">
      <c r="A220">
        <v>121</v>
      </c>
      <c r="E220">
        <f t="shared" si="81"/>
        <v>1</v>
      </c>
      <c r="F220" s="5" t="s">
        <v>488</v>
      </c>
      <c r="G220" s="5" t="s">
        <v>502</v>
      </c>
      <c r="J220" t="str">
        <f t="shared" si="88"/>
        <v>13</v>
      </c>
      <c r="K220" t="str">
        <f t="shared" si="89"/>
        <v>30</v>
      </c>
      <c r="L220" t="str">
        <f t="shared" si="90"/>
        <v/>
      </c>
      <c r="M220" s="6" t="str">
        <f t="shared" si="91"/>
        <v/>
      </c>
      <c r="N220" t="s">
        <v>179</v>
      </c>
      <c r="O220">
        <v>87</v>
      </c>
      <c r="P220" t="s">
        <v>424</v>
      </c>
      <c r="Q220" t="s">
        <v>10</v>
      </c>
      <c r="R220" t="s">
        <v>190</v>
      </c>
      <c r="S220" t="s">
        <v>73</v>
      </c>
      <c r="Y220" t="str">
        <f t="shared" si="71"/>
        <v/>
      </c>
      <c r="Z220" t="str">
        <f t="shared" si="72"/>
        <v/>
      </c>
      <c r="AC220" t="str">
        <f t="shared" si="73"/>
        <v>Turnover</v>
      </c>
      <c r="AD220" t="str">
        <f t="shared" si="74"/>
        <v>Turnover_Giveaway</v>
      </c>
      <c r="AE220" t="str">
        <f t="shared" si="75"/>
        <v>Giveaway-Misplayed</v>
      </c>
      <c r="AF220" t="str">
        <f t="shared" si="76"/>
        <v>Offensive</v>
      </c>
      <c r="AG220">
        <f t="shared" si="82"/>
        <v>18981</v>
      </c>
      <c r="AH220" t="str">
        <f t="shared" si="83"/>
        <v>Nelson</v>
      </c>
      <c r="AI220" t="str">
        <f t="shared" si="84"/>
        <v>Velodrome</v>
      </c>
      <c r="AJ220" s="18">
        <f t="shared" si="77"/>
        <v>0</v>
      </c>
      <c r="AP220" s="18">
        <f t="shared" si="78"/>
        <v>0</v>
      </c>
      <c r="AQ220">
        <f t="shared" si="79"/>
        <v>0</v>
      </c>
      <c r="AR220" s="23">
        <f t="shared" si="80"/>
        <v>270</v>
      </c>
      <c r="AS220">
        <f t="shared" si="85"/>
        <v>265</v>
      </c>
      <c r="AT220" s="21">
        <f t="shared" si="86"/>
        <v>270</v>
      </c>
      <c r="AU220" s="21"/>
      <c r="AV220" s="21"/>
      <c r="AW220" s="21"/>
    </row>
    <row r="221" spans="1:49" x14ac:dyDescent="0.2">
      <c r="A221">
        <v>122</v>
      </c>
      <c r="E221">
        <f t="shared" si="81"/>
        <v>1</v>
      </c>
      <c r="F221" s="5" t="s">
        <v>488</v>
      </c>
      <c r="G221" s="5" t="s">
        <v>500</v>
      </c>
      <c r="J221" t="str">
        <f t="shared" si="88"/>
        <v>13</v>
      </c>
      <c r="K221" t="str">
        <f t="shared" si="89"/>
        <v>28</v>
      </c>
      <c r="L221" t="str">
        <f t="shared" si="90"/>
        <v/>
      </c>
      <c r="M221" s="6" t="str">
        <f t="shared" si="91"/>
        <v/>
      </c>
      <c r="N221" t="s">
        <v>178</v>
      </c>
      <c r="O221">
        <v>80</v>
      </c>
      <c r="P221" t="s">
        <v>424</v>
      </c>
      <c r="Q221" t="s">
        <v>8</v>
      </c>
      <c r="R221" t="s">
        <v>189</v>
      </c>
      <c r="S221" t="s">
        <v>70</v>
      </c>
      <c r="Y221" t="str">
        <f t="shared" si="71"/>
        <v/>
      </c>
      <c r="Z221" t="str">
        <f t="shared" si="72"/>
        <v/>
      </c>
      <c r="AC221" t="str">
        <f t="shared" si="73"/>
        <v>Pass</v>
      </c>
      <c r="AD221" t="str">
        <f t="shared" si="74"/>
        <v>Pass_Completed</v>
      </c>
      <c r="AE221" t="str">
        <f t="shared" si="75"/>
        <v>Pass-Forehand</v>
      </c>
      <c r="AF221" t="str">
        <f t="shared" si="76"/>
        <v>Offensive</v>
      </c>
      <c r="AG221">
        <f t="shared" si="82"/>
        <v>18981</v>
      </c>
      <c r="AH221" t="str">
        <f t="shared" si="83"/>
        <v>Nelson</v>
      </c>
      <c r="AI221" t="str">
        <f t="shared" si="84"/>
        <v>Velodrome</v>
      </c>
      <c r="AJ221" s="18">
        <f t="shared" si="77"/>
        <v>0</v>
      </c>
      <c r="AP221" s="18">
        <f t="shared" si="78"/>
        <v>0</v>
      </c>
      <c r="AQ221">
        <f t="shared" si="79"/>
        <v>0</v>
      </c>
      <c r="AR221" s="23">
        <f t="shared" si="80"/>
        <v>272</v>
      </c>
      <c r="AS221">
        <f t="shared" si="85"/>
        <v>267</v>
      </c>
      <c r="AT221" s="21">
        <f t="shared" si="86"/>
        <v>272</v>
      </c>
      <c r="AU221" s="21"/>
      <c r="AV221" s="21"/>
      <c r="AW221" s="21"/>
    </row>
    <row r="222" spans="1:49" x14ac:dyDescent="0.2">
      <c r="A222">
        <v>122</v>
      </c>
      <c r="E222">
        <f t="shared" si="81"/>
        <v>1</v>
      </c>
      <c r="J222" t="str">
        <f t="shared" si="88"/>
        <v>13</v>
      </c>
      <c r="K222" t="str">
        <f t="shared" si="89"/>
        <v>28</v>
      </c>
      <c r="L222" t="str">
        <f t="shared" si="90"/>
        <v/>
      </c>
      <c r="M222" s="6" t="str">
        <f t="shared" si="91"/>
        <v/>
      </c>
      <c r="N222" t="str">
        <f t="shared" si="87"/>
        <v>Home</v>
      </c>
      <c r="O222">
        <v>44</v>
      </c>
      <c r="P222" t="s">
        <v>424</v>
      </c>
      <c r="Y222" t="str">
        <f t="shared" si="71"/>
        <v/>
      </c>
      <c r="Z222" t="str">
        <f t="shared" si="72"/>
        <v/>
      </c>
      <c r="AC222" t="str">
        <f t="shared" si="73"/>
        <v>Pass</v>
      </c>
      <c r="AD222" t="str">
        <f t="shared" si="74"/>
        <v>Pass_Completed</v>
      </c>
      <c r="AE222" t="str">
        <f t="shared" si="75"/>
        <v>Pass-Forehand</v>
      </c>
      <c r="AF222" t="str">
        <f t="shared" si="76"/>
        <v>Offensive</v>
      </c>
      <c r="AG222">
        <f t="shared" si="82"/>
        <v>18981</v>
      </c>
      <c r="AH222" t="str">
        <f t="shared" si="83"/>
        <v>Nelson</v>
      </c>
      <c r="AI222" t="str">
        <f t="shared" si="84"/>
        <v>Velodrome</v>
      </c>
      <c r="AJ222" s="18">
        <f t="shared" si="77"/>
        <v>0</v>
      </c>
      <c r="AP222" s="18">
        <f t="shared" si="78"/>
        <v>0</v>
      </c>
      <c r="AQ222">
        <f t="shared" si="79"/>
        <v>0</v>
      </c>
      <c r="AR222" s="23">
        <f t="shared" si="80"/>
        <v>272</v>
      </c>
      <c r="AS222">
        <f t="shared" si="85"/>
        <v>267</v>
      </c>
      <c r="AT222" s="21">
        <f t="shared" si="86"/>
        <v>272</v>
      </c>
      <c r="AU222" s="21"/>
      <c r="AV222" s="21"/>
      <c r="AW222" s="21"/>
    </row>
    <row r="223" spans="1:49" x14ac:dyDescent="0.2">
      <c r="A223">
        <v>123</v>
      </c>
      <c r="E223">
        <f t="shared" si="81"/>
        <v>1</v>
      </c>
      <c r="F223" s="5" t="s">
        <v>488</v>
      </c>
      <c r="G223" s="5" t="s">
        <v>497</v>
      </c>
      <c r="J223" t="str">
        <f t="shared" si="88"/>
        <v>13</v>
      </c>
      <c r="K223" t="str">
        <f t="shared" si="89"/>
        <v>25</v>
      </c>
      <c r="L223" t="str">
        <f t="shared" si="90"/>
        <v/>
      </c>
      <c r="M223" s="6" t="str">
        <f t="shared" si="91"/>
        <v/>
      </c>
      <c r="N223" t="s">
        <v>178</v>
      </c>
      <c r="O223">
        <v>44</v>
      </c>
      <c r="P223" t="s">
        <v>424</v>
      </c>
      <c r="Q223" t="s">
        <v>277</v>
      </c>
      <c r="R223" t="s">
        <v>191</v>
      </c>
      <c r="S223" t="s">
        <v>447</v>
      </c>
      <c r="Y223" t="str">
        <f t="shared" si="71"/>
        <v/>
      </c>
      <c r="Z223" t="str">
        <f t="shared" si="72"/>
        <v/>
      </c>
      <c r="AC223" t="str">
        <f t="shared" si="73"/>
        <v>Zone_Entry_Exit</v>
      </c>
      <c r="AD223" t="str">
        <f t="shared" si="74"/>
        <v>Zone_Entry</v>
      </c>
      <c r="AE223" t="str">
        <f t="shared" si="75"/>
        <v>ZoneEntry-PassMiss/Misplay</v>
      </c>
      <c r="AF223" t="str">
        <f t="shared" si="76"/>
        <v>Offensive</v>
      </c>
      <c r="AG223">
        <f t="shared" si="82"/>
        <v>18981</v>
      </c>
      <c r="AH223" t="str">
        <f t="shared" si="83"/>
        <v>Nelson</v>
      </c>
      <c r="AI223" t="str">
        <f t="shared" si="84"/>
        <v>Velodrome</v>
      </c>
      <c r="AJ223" s="18">
        <f t="shared" si="77"/>
        <v>0</v>
      </c>
      <c r="AP223" s="18">
        <f t="shared" si="78"/>
        <v>0</v>
      </c>
      <c r="AQ223">
        <f t="shared" si="79"/>
        <v>0</v>
      </c>
      <c r="AR223" s="23">
        <f t="shared" si="80"/>
        <v>275</v>
      </c>
      <c r="AS223">
        <f t="shared" si="85"/>
        <v>270</v>
      </c>
      <c r="AT223" s="21">
        <f t="shared" si="86"/>
        <v>275</v>
      </c>
      <c r="AU223" s="21"/>
      <c r="AV223" s="21"/>
      <c r="AW223" s="21"/>
    </row>
    <row r="224" spans="1:49" x14ac:dyDescent="0.2">
      <c r="A224">
        <v>124</v>
      </c>
      <c r="E224">
        <f t="shared" si="81"/>
        <v>1</v>
      </c>
      <c r="F224" s="5" t="s">
        <v>488</v>
      </c>
      <c r="G224" s="5" t="s">
        <v>497</v>
      </c>
      <c r="H224" s="5" t="s">
        <v>488</v>
      </c>
      <c r="I224" s="7" t="s">
        <v>495</v>
      </c>
      <c r="J224" t="str">
        <f t="shared" si="88"/>
        <v>13</v>
      </c>
      <c r="K224" t="str">
        <f t="shared" si="89"/>
        <v>25</v>
      </c>
      <c r="L224" t="str">
        <f t="shared" si="90"/>
        <v>13</v>
      </c>
      <c r="M224" s="6" t="str">
        <f t="shared" si="91"/>
        <v>23</v>
      </c>
      <c r="N224" t="s">
        <v>179</v>
      </c>
      <c r="O224">
        <v>22</v>
      </c>
      <c r="P224" t="s">
        <v>424</v>
      </c>
      <c r="Q224" t="s">
        <v>15</v>
      </c>
      <c r="Y224" t="str">
        <f t="shared" si="71"/>
        <v/>
      </c>
      <c r="Z224" t="str">
        <f t="shared" si="72"/>
        <v/>
      </c>
      <c r="AC224" t="str">
        <f t="shared" si="73"/>
        <v>Possession</v>
      </c>
      <c r="AD224" t="str">
        <f t="shared" si="74"/>
        <v/>
      </c>
      <c r="AE224" t="str">
        <f t="shared" si="75"/>
        <v/>
      </c>
      <c r="AF224" t="str">
        <f t="shared" si="76"/>
        <v>Offensive</v>
      </c>
      <c r="AG224">
        <f t="shared" si="82"/>
        <v>18981</v>
      </c>
      <c r="AH224" t="str">
        <f t="shared" si="83"/>
        <v>Nelson</v>
      </c>
      <c r="AI224" t="str">
        <f t="shared" si="84"/>
        <v>Velodrome</v>
      </c>
      <c r="AJ224" s="18">
        <f t="shared" si="77"/>
        <v>2</v>
      </c>
      <c r="AP224" s="18">
        <f t="shared" si="78"/>
        <v>0</v>
      </c>
      <c r="AQ224">
        <f t="shared" si="79"/>
        <v>0</v>
      </c>
      <c r="AR224" s="23">
        <f t="shared" si="80"/>
        <v>275</v>
      </c>
      <c r="AS224">
        <f t="shared" si="85"/>
        <v>270</v>
      </c>
      <c r="AT224" s="21">
        <f t="shared" si="86"/>
        <v>277</v>
      </c>
      <c r="AU224" s="21"/>
      <c r="AV224" s="21"/>
      <c r="AW224" s="21"/>
    </row>
    <row r="225" spans="1:49" x14ac:dyDescent="0.2">
      <c r="A225">
        <v>125</v>
      </c>
      <c r="E225">
        <f t="shared" si="81"/>
        <v>1</v>
      </c>
      <c r="F225" s="5" t="s">
        <v>488</v>
      </c>
      <c r="G225" s="5" t="s">
        <v>495</v>
      </c>
      <c r="J225" t="str">
        <f t="shared" si="88"/>
        <v>13</v>
      </c>
      <c r="K225" t="str">
        <f t="shared" si="89"/>
        <v>23</v>
      </c>
      <c r="L225" t="str">
        <f t="shared" si="90"/>
        <v/>
      </c>
      <c r="M225" s="6" t="str">
        <f t="shared" si="91"/>
        <v/>
      </c>
      <c r="N225" t="s">
        <v>179</v>
      </c>
      <c r="O225">
        <v>22</v>
      </c>
      <c r="P225" t="s">
        <v>424</v>
      </c>
      <c r="Q225" t="s">
        <v>277</v>
      </c>
      <c r="R225" t="s">
        <v>201</v>
      </c>
      <c r="S225" t="s">
        <v>92</v>
      </c>
      <c r="Y225" t="str">
        <f t="shared" si="71"/>
        <v/>
      </c>
      <c r="Z225" t="str">
        <f t="shared" si="72"/>
        <v/>
      </c>
      <c r="AC225" t="str">
        <f t="shared" si="73"/>
        <v>Zone_Entry_Exit</v>
      </c>
      <c r="AD225" t="str">
        <f t="shared" si="74"/>
        <v>Zone_Exit</v>
      </c>
      <c r="AE225" t="str">
        <f t="shared" si="75"/>
        <v>ZoneExit-Clear</v>
      </c>
      <c r="AF225" t="str">
        <f t="shared" si="76"/>
        <v>Offensive</v>
      </c>
      <c r="AG225">
        <f t="shared" si="82"/>
        <v>18981</v>
      </c>
      <c r="AH225" t="str">
        <f t="shared" si="83"/>
        <v>Nelson</v>
      </c>
      <c r="AI225" t="str">
        <f t="shared" si="84"/>
        <v>Velodrome</v>
      </c>
      <c r="AJ225" s="18">
        <f t="shared" si="77"/>
        <v>0</v>
      </c>
      <c r="AP225" s="18">
        <f t="shared" si="78"/>
        <v>0</v>
      </c>
      <c r="AQ225">
        <f t="shared" si="79"/>
        <v>0</v>
      </c>
      <c r="AR225" s="23">
        <f t="shared" si="80"/>
        <v>277</v>
      </c>
      <c r="AS225">
        <f t="shared" si="85"/>
        <v>272</v>
      </c>
      <c r="AT225" s="21">
        <f t="shared" si="86"/>
        <v>277</v>
      </c>
      <c r="AU225" s="21"/>
      <c r="AV225" s="21"/>
      <c r="AW225" s="21"/>
    </row>
    <row r="226" spans="1:49" x14ac:dyDescent="0.2">
      <c r="A226">
        <v>126</v>
      </c>
      <c r="E226">
        <f t="shared" si="81"/>
        <v>1</v>
      </c>
      <c r="F226" s="5" t="s">
        <v>488</v>
      </c>
      <c r="G226" s="5" t="s">
        <v>495</v>
      </c>
      <c r="J226" t="str">
        <f t="shared" si="88"/>
        <v>13</v>
      </c>
      <c r="K226" t="str">
        <f t="shared" si="89"/>
        <v>23</v>
      </c>
      <c r="L226" t="str">
        <f t="shared" si="90"/>
        <v/>
      </c>
      <c r="M226" s="6" t="str">
        <f t="shared" si="91"/>
        <v/>
      </c>
      <c r="N226" t="s">
        <v>179</v>
      </c>
      <c r="O226">
        <v>22</v>
      </c>
      <c r="P226" t="s">
        <v>424</v>
      </c>
      <c r="Q226" t="s">
        <v>10</v>
      </c>
      <c r="R226" t="s">
        <v>190</v>
      </c>
      <c r="S226" t="s">
        <v>411</v>
      </c>
      <c r="Y226" t="str">
        <f t="shared" si="71"/>
        <v/>
      </c>
      <c r="Z226" t="str">
        <f t="shared" si="72"/>
        <v/>
      </c>
      <c r="AC226" t="str">
        <f t="shared" si="73"/>
        <v>Turnover</v>
      </c>
      <c r="AD226" t="str">
        <f t="shared" si="74"/>
        <v>Turnover_Giveaway</v>
      </c>
      <c r="AE226" t="str">
        <f t="shared" si="75"/>
        <v>Giveaway-ZoneClear/Dump</v>
      </c>
      <c r="AF226" t="str">
        <f t="shared" si="76"/>
        <v>Offensive</v>
      </c>
      <c r="AG226">
        <f t="shared" si="82"/>
        <v>18981</v>
      </c>
      <c r="AH226" t="str">
        <f t="shared" si="83"/>
        <v>Nelson</v>
      </c>
      <c r="AI226" t="str">
        <f t="shared" si="84"/>
        <v>Velodrome</v>
      </c>
      <c r="AJ226" s="18">
        <f t="shared" si="77"/>
        <v>0</v>
      </c>
      <c r="AP226" s="18">
        <f t="shared" si="78"/>
        <v>0</v>
      </c>
      <c r="AQ226">
        <f t="shared" si="79"/>
        <v>0</v>
      </c>
      <c r="AR226" s="23">
        <f t="shared" si="80"/>
        <v>277</v>
      </c>
      <c r="AS226">
        <f t="shared" si="85"/>
        <v>272</v>
      </c>
      <c r="AT226" s="21">
        <f t="shared" si="86"/>
        <v>277</v>
      </c>
      <c r="AU226" s="21"/>
      <c r="AV226" s="21"/>
      <c r="AW226" s="21"/>
    </row>
    <row r="227" spans="1:49" x14ac:dyDescent="0.2">
      <c r="A227">
        <v>127</v>
      </c>
      <c r="E227">
        <f t="shared" si="81"/>
        <v>1</v>
      </c>
      <c r="F227" s="5" t="s">
        <v>488</v>
      </c>
      <c r="G227" s="5" t="s">
        <v>491</v>
      </c>
      <c r="H227" s="5" t="s">
        <v>488</v>
      </c>
      <c r="I227" s="7" t="s">
        <v>477</v>
      </c>
      <c r="J227" t="str">
        <f t="shared" si="88"/>
        <v>13</v>
      </c>
      <c r="K227" t="str">
        <f t="shared" si="89"/>
        <v>19</v>
      </c>
      <c r="L227" t="str">
        <f t="shared" si="90"/>
        <v>13</v>
      </c>
      <c r="M227" s="6" t="str">
        <f t="shared" si="91"/>
        <v>16</v>
      </c>
      <c r="N227" t="s">
        <v>178</v>
      </c>
      <c r="O227">
        <v>80</v>
      </c>
      <c r="P227" t="s">
        <v>424</v>
      </c>
      <c r="Q227" t="s">
        <v>15</v>
      </c>
      <c r="Y227" t="str">
        <f t="shared" si="71"/>
        <v/>
      </c>
      <c r="Z227" t="str">
        <f t="shared" si="72"/>
        <v/>
      </c>
      <c r="AC227" t="str">
        <f t="shared" si="73"/>
        <v>Possession</v>
      </c>
      <c r="AD227" t="str">
        <f t="shared" si="74"/>
        <v/>
      </c>
      <c r="AE227" t="str">
        <f t="shared" si="75"/>
        <v/>
      </c>
      <c r="AF227" t="str">
        <f t="shared" si="76"/>
        <v>Offensive</v>
      </c>
      <c r="AG227">
        <f t="shared" si="82"/>
        <v>18981</v>
      </c>
      <c r="AH227" t="str">
        <f t="shared" si="83"/>
        <v>Nelson</v>
      </c>
      <c r="AI227" t="str">
        <f t="shared" si="84"/>
        <v>Velodrome</v>
      </c>
      <c r="AJ227" s="18">
        <f t="shared" si="77"/>
        <v>3</v>
      </c>
      <c r="AP227" s="18">
        <f t="shared" si="78"/>
        <v>0</v>
      </c>
      <c r="AQ227">
        <f t="shared" si="79"/>
        <v>0</v>
      </c>
      <c r="AR227" s="23">
        <f t="shared" si="80"/>
        <v>281</v>
      </c>
      <c r="AS227">
        <f t="shared" si="85"/>
        <v>276</v>
      </c>
      <c r="AT227" s="21">
        <f t="shared" si="86"/>
        <v>284</v>
      </c>
      <c r="AU227" s="21"/>
      <c r="AV227" s="21"/>
      <c r="AW227" s="21"/>
    </row>
    <row r="228" spans="1:49" x14ac:dyDescent="0.2">
      <c r="A228">
        <v>128</v>
      </c>
      <c r="E228">
        <f t="shared" si="81"/>
        <v>1</v>
      </c>
      <c r="F228" s="5" t="s">
        <v>488</v>
      </c>
      <c r="G228" s="5" t="s">
        <v>478</v>
      </c>
      <c r="J228" t="str">
        <f t="shared" si="88"/>
        <v>13</v>
      </c>
      <c r="K228" t="str">
        <f t="shared" si="89"/>
        <v>15</v>
      </c>
      <c r="L228" t="str">
        <f t="shared" si="90"/>
        <v/>
      </c>
      <c r="M228" s="6" t="str">
        <f t="shared" si="91"/>
        <v/>
      </c>
      <c r="N228" t="s">
        <v>178</v>
      </c>
      <c r="O228">
        <v>80</v>
      </c>
      <c r="P228" t="s">
        <v>424</v>
      </c>
      <c r="Q228" t="s">
        <v>8</v>
      </c>
      <c r="R228" t="s">
        <v>189</v>
      </c>
      <c r="S228" t="s">
        <v>70</v>
      </c>
      <c r="Y228" t="str">
        <f t="shared" si="71"/>
        <v/>
      </c>
      <c r="Z228" t="str">
        <f t="shared" si="72"/>
        <v/>
      </c>
      <c r="AC228" t="str">
        <f t="shared" si="73"/>
        <v>Pass</v>
      </c>
      <c r="AD228" t="str">
        <f t="shared" si="74"/>
        <v>Pass_Completed</v>
      </c>
      <c r="AE228" t="str">
        <f t="shared" si="75"/>
        <v>Pass-Forehand</v>
      </c>
      <c r="AF228" t="str">
        <f t="shared" si="76"/>
        <v>Offensive</v>
      </c>
      <c r="AG228">
        <f t="shared" si="82"/>
        <v>18981</v>
      </c>
      <c r="AH228" t="str">
        <f t="shared" si="83"/>
        <v>Nelson</v>
      </c>
      <c r="AI228" t="str">
        <f t="shared" si="84"/>
        <v>Velodrome</v>
      </c>
      <c r="AJ228" s="18">
        <f t="shared" si="77"/>
        <v>0</v>
      </c>
      <c r="AP228" s="18">
        <f t="shared" si="78"/>
        <v>0</v>
      </c>
      <c r="AQ228">
        <f t="shared" si="79"/>
        <v>0</v>
      </c>
      <c r="AR228" s="23">
        <f t="shared" si="80"/>
        <v>285</v>
      </c>
      <c r="AS228">
        <f t="shared" si="85"/>
        <v>280</v>
      </c>
      <c r="AT228" s="21">
        <f t="shared" si="86"/>
        <v>285</v>
      </c>
      <c r="AU228" s="21"/>
      <c r="AV228" s="21"/>
      <c r="AW228" s="21"/>
    </row>
    <row r="229" spans="1:49" x14ac:dyDescent="0.2">
      <c r="A229">
        <v>128</v>
      </c>
      <c r="E229">
        <f t="shared" si="81"/>
        <v>1</v>
      </c>
      <c r="J229" t="str">
        <f t="shared" si="88"/>
        <v>13</v>
      </c>
      <c r="K229" t="str">
        <f t="shared" si="89"/>
        <v>15</v>
      </c>
      <c r="L229" t="str">
        <f t="shared" si="90"/>
        <v/>
      </c>
      <c r="M229" s="6" t="str">
        <f t="shared" si="91"/>
        <v/>
      </c>
      <c r="N229" t="str">
        <f t="shared" si="87"/>
        <v>Home</v>
      </c>
      <c r="O229">
        <v>44</v>
      </c>
      <c r="P229" t="s">
        <v>424</v>
      </c>
      <c r="Y229" t="str">
        <f t="shared" si="71"/>
        <v/>
      </c>
      <c r="Z229" t="str">
        <f t="shared" si="72"/>
        <v/>
      </c>
      <c r="AC229" t="str">
        <f t="shared" si="73"/>
        <v>Pass</v>
      </c>
      <c r="AD229" t="str">
        <f t="shared" si="74"/>
        <v>Pass_Completed</v>
      </c>
      <c r="AE229" t="str">
        <f t="shared" si="75"/>
        <v>Pass-Forehand</v>
      </c>
      <c r="AF229" t="str">
        <f t="shared" si="76"/>
        <v>Offensive</v>
      </c>
      <c r="AG229">
        <f t="shared" si="82"/>
        <v>18981</v>
      </c>
      <c r="AH229" t="str">
        <f t="shared" si="83"/>
        <v>Nelson</v>
      </c>
      <c r="AI229" t="str">
        <f t="shared" si="84"/>
        <v>Velodrome</v>
      </c>
      <c r="AJ229" s="18">
        <f t="shared" si="77"/>
        <v>0</v>
      </c>
      <c r="AP229" s="18">
        <f t="shared" si="78"/>
        <v>0</v>
      </c>
      <c r="AQ229">
        <f t="shared" si="79"/>
        <v>0</v>
      </c>
      <c r="AR229" s="23">
        <f t="shared" si="80"/>
        <v>285</v>
      </c>
      <c r="AS229">
        <f t="shared" si="85"/>
        <v>280</v>
      </c>
      <c r="AT229" s="21">
        <f t="shared" si="86"/>
        <v>285</v>
      </c>
      <c r="AU229" s="21"/>
      <c r="AV229" s="21"/>
      <c r="AW229" s="21"/>
    </row>
    <row r="230" spans="1:49" x14ac:dyDescent="0.2">
      <c r="A230">
        <v>129</v>
      </c>
      <c r="E230">
        <f t="shared" si="81"/>
        <v>1</v>
      </c>
      <c r="F230" s="5" t="s">
        <v>488</v>
      </c>
      <c r="G230" s="5" t="s">
        <v>478</v>
      </c>
      <c r="J230" t="str">
        <f t="shared" si="88"/>
        <v>13</v>
      </c>
      <c r="K230" t="str">
        <f t="shared" si="89"/>
        <v>15</v>
      </c>
      <c r="L230" t="str">
        <f t="shared" si="90"/>
        <v/>
      </c>
      <c r="M230" s="6" t="str">
        <f t="shared" si="91"/>
        <v/>
      </c>
      <c r="N230" t="s">
        <v>178</v>
      </c>
      <c r="O230">
        <v>80</v>
      </c>
      <c r="P230" t="s">
        <v>424</v>
      </c>
      <c r="Q230" t="s">
        <v>277</v>
      </c>
      <c r="R230" t="s">
        <v>191</v>
      </c>
      <c r="S230" t="s">
        <v>447</v>
      </c>
      <c r="Y230" t="str">
        <f t="shared" si="71"/>
        <v/>
      </c>
      <c r="Z230" t="str">
        <f t="shared" si="72"/>
        <v/>
      </c>
      <c r="AC230" t="str">
        <f t="shared" si="73"/>
        <v>Zone_Entry_Exit</v>
      </c>
      <c r="AD230" t="str">
        <f t="shared" si="74"/>
        <v>Zone_Entry</v>
      </c>
      <c r="AE230" t="str">
        <f t="shared" si="75"/>
        <v>ZoneEntry-PassMiss/Misplay</v>
      </c>
      <c r="AF230" t="str">
        <f t="shared" si="76"/>
        <v>Offensive</v>
      </c>
      <c r="AG230">
        <f t="shared" si="82"/>
        <v>18981</v>
      </c>
      <c r="AH230" t="str">
        <f t="shared" si="83"/>
        <v>Nelson</v>
      </c>
      <c r="AI230" t="str">
        <f t="shared" si="84"/>
        <v>Velodrome</v>
      </c>
      <c r="AJ230" s="18">
        <f t="shared" si="77"/>
        <v>0</v>
      </c>
      <c r="AP230" s="18">
        <f t="shared" si="78"/>
        <v>0</v>
      </c>
      <c r="AQ230">
        <f t="shared" si="79"/>
        <v>0</v>
      </c>
      <c r="AR230" s="23">
        <f t="shared" si="80"/>
        <v>285</v>
      </c>
      <c r="AS230">
        <f t="shared" si="85"/>
        <v>280</v>
      </c>
      <c r="AT230" s="21">
        <f t="shared" si="86"/>
        <v>285</v>
      </c>
      <c r="AU230" s="21"/>
      <c r="AV230" s="21"/>
      <c r="AW230" s="21"/>
    </row>
    <row r="231" spans="1:49" x14ac:dyDescent="0.2">
      <c r="A231">
        <v>130</v>
      </c>
      <c r="E231">
        <f t="shared" si="81"/>
        <v>1</v>
      </c>
      <c r="F231" s="5" t="s">
        <v>488</v>
      </c>
      <c r="G231" s="5" t="s">
        <v>478</v>
      </c>
      <c r="J231" t="str">
        <f t="shared" si="88"/>
        <v>13</v>
      </c>
      <c r="K231" t="str">
        <f t="shared" si="89"/>
        <v>15</v>
      </c>
      <c r="L231" t="str">
        <f t="shared" si="90"/>
        <v/>
      </c>
      <c r="M231" s="6" t="str">
        <f t="shared" si="91"/>
        <v/>
      </c>
      <c r="N231" t="s">
        <v>178</v>
      </c>
      <c r="O231">
        <v>80</v>
      </c>
      <c r="P231" t="s">
        <v>424</v>
      </c>
      <c r="Q231" t="s">
        <v>10</v>
      </c>
      <c r="R231" t="s">
        <v>190</v>
      </c>
      <c r="S231" t="s">
        <v>440</v>
      </c>
      <c r="Y231" t="str">
        <f t="shared" si="71"/>
        <v/>
      </c>
      <c r="Z231" t="str">
        <f t="shared" si="72"/>
        <v/>
      </c>
      <c r="AC231" t="str">
        <f t="shared" si="73"/>
        <v>Turnover</v>
      </c>
      <c r="AD231" t="str">
        <f t="shared" si="74"/>
        <v>Turnover_Giveaway</v>
      </c>
      <c r="AE231" t="str">
        <f t="shared" si="75"/>
        <v>Giveaway-ZoneEntry/ExitMisplay</v>
      </c>
      <c r="AF231" t="str">
        <f t="shared" si="76"/>
        <v>Offensive</v>
      </c>
      <c r="AG231">
        <f t="shared" si="82"/>
        <v>18981</v>
      </c>
      <c r="AH231" t="str">
        <f t="shared" si="83"/>
        <v>Nelson</v>
      </c>
      <c r="AI231" t="str">
        <f t="shared" si="84"/>
        <v>Velodrome</v>
      </c>
      <c r="AJ231" s="18">
        <f t="shared" si="77"/>
        <v>0</v>
      </c>
      <c r="AP231" s="18">
        <f t="shared" si="78"/>
        <v>0</v>
      </c>
      <c r="AQ231">
        <f t="shared" si="79"/>
        <v>0</v>
      </c>
      <c r="AR231" s="23">
        <f t="shared" si="80"/>
        <v>285</v>
      </c>
      <c r="AS231">
        <f t="shared" si="85"/>
        <v>280</v>
      </c>
      <c r="AT231" s="21">
        <f t="shared" si="86"/>
        <v>285</v>
      </c>
      <c r="AU231" s="21"/>
      <c r="AV231" s="21"/>
      <c r="AW231" s="21"/>
    </row>
    <row r="232" spans="1:49" x14ac:dyDescent="0.2">
      <c r="A232">
        <v>131</v>
      </c>
      <c r="E232">
        <f t="shared" si="81"/>
        <v>1</v>
      </c>
      <c r="F232" s="5" t="s">
        <v>488</v>
      </c>
      <c r="G232" s="5" t="s">
        <v>488</v>
      </c>
      <c r="H232" s="5" t="s">
        <v>488</v>
      </c>
      <c r="I232" s="7" t="s">
        <v>485</v>
      </c>
      <c r="J232" t="str">
        <f t="shared" si="88"/>
        <v>13</v>
      </c>
      <c r="K232" t="str">
        <f t="shared" si="89"/>
        <v>13</v>
      </c>
      <c r="L232" t="str">
        <f t="shared" si="90"/>
        <v>13</v>
      </c>
      <c r="M232" s="6" t="str">
        <f t="shared" si="91"/>
        <v>10</v>
      </c>
      <c r="N232" t="s">
        <v>179</v>
      </c>
      <c r="O232">
        <v>87</v>
      </c>
      <c r="P232" t="s">
        <v>424</v>
      </c>
      <c r="Q232" t="s">
        <v>15</v>
      </c>
      <c r="Y232" t="str">
        <f t="shared" si="71"/>
        <v/>
      </c>
      <c r="Z232" t="str">
        <f t="shared" si="72"/>
        <v/>
      </c>
      <c r="AC232" t="str">
        <f t="shared" si="73"/>
        <v>Possession</v>
      </c>
      <c r="AD232" t="str">
        <f t="shared" si="74"/>
        <v/>
      </c>
      <c r="AE232" t="str">
        <f t="shared" si="75"/>
        <v/>
      </c>
      <c r="AF232" t="str">
        <f t="shared" si="76"/>
        <v>Offensive</v>
      </c>
      <c r="AG232">
        <f t="shared" si="82"/>
        <v>18981</v>
      </c>
      <c r="AH232" t="str">
        <f t="shared" si="83"/>
        <v>Nelson</v>
      </c>
      <c r="AI232" t="str">
        <f t="shared" si="84"/>
        <v>Velodrome</v>
      </c>
      <c r="AJ232" s="18">
        <f t="shared" si="77"/>
        <v>3</v>
      </c>
      <c r="AP232" s="18">
        <f t="shared" si="78"/>
        <v>0</v>
      </c>
      <c r="AQ232">
        <f t="shared" si="79"/>
        <v>0</v>
      </c>
      <c r="AR232" s="23">
        <f t="shared" si="80"/>
        <v>287</v>
      </c>
      <c r="AS232">
        <f t="shared" si="85"/>
        <v>282</v>
      </c>
      <c r="AT232" s="21">
        <f t="shared" si="86"/>
        <v>290</v>
      </c>
      <c r="AU232" s="21"/>
      <c r="AV232" s="21"/>
      <c r="AW232" s="21"/>
    </row>
    <row r="233" spans="1:49" x14ac:dyDescent="0.2">
      <c r="A233">
        <v>132</v>
      </c>
      <c r="E233">
        <f t="shared" si="81"/>
        <v>1</v>
      </c>
      <c r="F233" s="5" t="s">
        <v>488</v>
      </c>
      <c r="G233" s="5" t="s">
        <v>485</v>
      </c>
      <c r="J233" t="str">
        <f t="shared" si="88"/>
        <v>13</v>
      </c>
      <c r="K233" t="str">
        <f t="shared" si="89"/>
        <v>10</v>
      </c>
      <c r="L233" t="str">
        <f t="shared" si="90"/>
        <v/>
      </c>
      <c r="M233" s="6" t="str">
        <f t="shared" si="91"/>
        <v/>
      </c>
      <c r="N233" t="s">
        <v>179</v>
      </c>
      <c r="O233">
        <v>87</v>
      </c>
      <c r="P233" t="s">
        <v>424</v>
      </c>
      <c r="Q233" t="s">
        <v>277</v>
      </c>
      <c r="R233" t="s">
        <v>201</v>
      </c>
      <c r="S233" t="s">
        <v>92</v>
      </c>
      <c r="Y233" t="str">
        <f t="shared" si="71"/>
        <v/>
      </c>
      <c r="Z233" t="str">
        <f t="shared" si="72"/>
        <v/>
      </c>
      <c r="AC233" t="str">
        <f t="shared" si="73"/>
        <v>Zone_Entry_Exit</v>
      </c>
      <c r="AD233" t="str">
        <f t="shared" si="74"/>
        <v>Zone_Exit</v>
      </c>
      <c r="AE233" t="str">
        <f t="shared" si="75"/>
        <v>ZoneExit-Clear</v>
      </c>
      <c r="AF233" t="str">
        <f t="shared" si="76"/>
        <v>Offensive</v>
      </c>
      <c r="AG233">
        <f t="shared" si="82"/>
        <v>18981</v>
      </c>
      <c r="AH233" t="str">
        <f t="shared" si="83"/>
        <v>Nelson</v>
      </c>
      <c r="AI233" t="str">
        <f t="shared" si="84"/>
        <v>Velodrome</v>
      </c>
      <c r="AJ233" s="18">
        <f t="shared" si="77"/>
        <v>0</v>
      </c>
      <c r="AP233" s="18">
        <f t="shared" si="78"/>
        <v>0</v>
      </c>
      <c r="AQ233">
        <f t="shared" si="79"/>
        <v>0</v>
      </c>
      <c r="AR233" s="23">
        <f t="shared" si="80"/>
        <v>290</v>
      </c>
      <c r="AS233">
        <f t="shared" si="85"/>
        <v>285</v>
      </c>
      <c r="AT233" s="21">
        <f t="shared" si="86"/>
        <v>290</v>
      </c>
      <c r="AU233" s="21"/>
      <c r="AV233" s="21"/>
      <c r="AW233" s="21"/>
    </row>
    <row r="234" spans="1:49" x14ac:dyDescent="0.2">
      <c r="A234">
        <v>133</v>
      </c>
      <c r="E234">
        <f t="shared" si="81"/>
        <v>1</v>
      </c>
      <c r="F234" s="5" t="s">
        <v>488</v>
      </c>
      <c r="G234" s="5" t="s">
        <v>485</v>
      </c>
      <c r="J234" t="str">
        <f t="shared" si="88"/>
        <v>13</v>
      </c>
      <c r="K234" t="str">
        <f t="shared" si="89"/>
        <v>10</v>
      </c>
      <c r="L234" t="str">
        <f t="shared" si="90"/>
        <v/>
      </c>
      <c r="M234" s="6" t="str">
        <f t="shared" si="91"/>
        <v/>
      </c>
      <c r="N234" t="s">
        <v>179</v>
      </c>
      <c r="O234">
        <v>87</v>
      </c>
      <c r="P234" t="s">
        <v>424</v>
      </c>
      <c r="Q234" t="s">
        <v>10</v>
      </c>
      <c r="R234" t="s">
        <v>190</v>
      </c>
      <c r="S234" t="s">
        <v>411</v>
      </c>
      <c r="Y234" t="str">
        <f t="shared" si="71"/>
        <v/>
      </c>
      <c r="Z234" t="str">
        <f t="shared" si="72"/>
        <v/>
      </c>
      <c r="AC234" t="str">
        <f t="shared" si="73"/>
        <v>Turnover</v>
      </c>
      <c r="AD234" t="str">
        <f t="shared" si="74"/>
        <v>Turnover_Giveaway</v>
      </c>
      <c r="AE234" t="str">
        <f t="shared" si="75"/>
        <v>Giveaway-ZoneClear/Dump</v>
      </c>
      <c r="AF234" t="str">
        <f t="shared" si="76"/>
        <v>Offensive</v>
      </c>
      <c r="AG234">
        <f t="shared" si="82"/>
        <v>18981</v>
      </c>
      <c r="AH234" t="str">
        <f t="shared" si="83"/>
        <v>Nelson</v>
      </c>
      <c r="AI234" t="str">
        <f t="shared" si="84"/>
        <v>Velodrome</v>
      </c>
      <c r="AJ234" s="18">
        <f t="shared" si="77"/>
        <v>0</v>
      </c>
      <c r="AP234" s="18">
        <f t="shared" si="78"/>
        <v>0</v>
      </c>
      <c r="AQ234">
        <f t="shared" si="79"/>
        <v>0</v>
      </c>
      <c r="AR234" s="23">
        <f t="shared" si="80"/>
        <v>290</v>
      </c>
      <c r="AS234">
        <f t="shared" si="85"/>
        <v>285</v>
      </c>
      <c r="AT234" s="21">
        <f t="shared" si="86"/>
        <v>290</v>
      </c>
      <c r="AU234" s="21"/>
      <c r="AV234" s="21"/>
      <c r="AW234" s="21"/>
    </row>
    <row r="235" spans="1:49" x14ac:dyDescent="0.2">
      <c r="A235">
        <v>134</v>
      </c>
      <c r="E235">
        <f t="shared" si="81"/>
        <v>1</v>
      </c>
      <c r="F235" s="5" t="s">
        <v>488</v>
      </c>
      <c r="G235" s="5" t="s">
        <v>484</v>
      </c>
      <c r="H235" s="5" t="s">
        <v>488</v>
      </c>
      <c r="I235" s="7" t="s">
        <v>476</v>
      </c>
      <c r="J235" t="str">
        <f t="shared" si="88"/>
        <v>13</v>
      </c>
      <c r="K235" t="str">
        <f t="shared" si="89"/>
        <v>09</v>
      </c>
      <c r="L235" t="str">
        <f t="shared" si="90"/>
        <v>13</v>
      </c>
      <c r="M235" s="6" t="str">
        <f t="shared" si="91"/>
        <v>06</v>
      </c>
      <c r="N235" t="s">
        <v>178</v>
      </c>
      <c r="O235">
        <v>80</v>
      </c>
      <c r="P235" t="s">
        <v>424</v>
      </c>
      <c r="Q235" t="s">
        <v>15</v>
      </c>
      <c r="Y235" t="str">
        <f t="shared" si="71"/>
        <v/>
      </c>
      <c r="Z235" t="str">
        <f t="shared" si="72"/>
        <v/>
      </c>
      <c r="AC235" t="str">
        <f t="shared" si="73"/>
        <v>Possession</v>
      </c>
      <c r="AD235" t="str">
        <f t="shared" si="74"/>
        <v/>
      </c>
      <c r="AE235" t="str">
        <f t="shared" si="75"/>
        <v/>
      </c>
      <c r="AF235" t="str">
        <f t="shared" si="76"/>
        <v>Offensive</v>
      </c>
      <c r="AG235">
        <f t="shared" si="82"/>
        <v>18981</v>
      </c>
      <c r="AH235" t="str">
        <f t="shared" si="83"/>
        <v>Nelson</v>
      </c>
      <c r="AI235" t="str">
        <f t="shared" si="84"/>
        <v>Velodrome</v>
      </c>
      <c r="AJ235" s="18">
        <f t="shared" si="77"/>
        <v>3</v>
      </c>
      <c r="AP235" s="18">
        <f t="shared" si="78"/>
        <v>0</v>
      </c>
      <c r="AQ235">
        <f t="shared" si="79"/>
        <v>0</v>
      </c>
      <c r="AR235" s="23">
        <f t="shared" si="80"/>
        <v>291</v>
      </c>
      <c r="AS235">
        <f t="shared" si="85"/>
        <v>286</v>
      </c>
      <c r="AT235" s="21">
        <f t="shared" si="86"/>
        <v>294</v>
      </c>
      <c r="AU235" s="21"/>
      <c r="AV235" s="21"/>
      <c r="AW235" s="21"/>
    </row>
    <row r="236" spans="1:49" x14ac:dyDescent="0.2">
      <c r="A236">
        <v>135</v>
      </c>
      <c r="E236">
        <f t="shared" si="81"/>
        <v>1</v>
      </c>
      <c r="F236" s="5" t="s">
        <v>488</v>
      </c>
      <c r="G236" s="5" t="s">
        <v>476</v>
      </c>
      <c r="H236" s="5" t="s">
        <v>488</v>
      </c>
      <c r="I236" s="7" t="s">
        <v>480</v>
      </c>
      <c r="J236" t="str">
        <f t="shared" si="88"/>
        <v>13</v>
      </c>
      <c r="K236" t="str">
        <f t="shared" si="89"/>
        <v>06</v>
      </c>
      <c r="L236" t="str">
        <f t="shared" si="90"/>
        <v>13</v>
      </c>
      <c r="M236" s="6" t="str">
        <f t="shared" si="91"/>
        <v>04</v>
      </c>
      <c r="N236" t="s">
        <v>178</v>
      </c>
      <c r="O236">
        <v>80</v>
      </c>
      <c r="P236" t="s">
        <v>424</v>
      </c>
      <c r="Q236" t="s">
        <v>277</v>
      </c>
      <c r="R236" t="s">
        <v>191</v>
      </c>
      <c r="S236" t="s">
        <v>87</v>
      </c>
      <c r="Y236" t="str">
        <f t="shared" si="71"/>
        <v/>
      </c>
      <c r="Z236" t="str">
        <f t="shared" si="72"/>
        <v/>
      </c>
      <c r="AC236" t="str">
        <f t="shared" si="73"/>
        <v>Zone_Entry_Exit</v>
      </c>
      <c r="AD236" t="str">
        <f t="shared" si="74"/>
        <v>Zone_Entry</v>
      </c>
      <c r="AE236" t="str">
        <f t="shared" si="75"/>
        <v>ZoneEntry-Rush</v>
      </c>
      <c r="AF236" t="str">
        <f t="shared" si="76"/>
        <v>Offensive</v>
      </c>
      <c r="AG236">
        <f t="shared" si="82"/>
        <v>18981</v>
      </c>
      <c r="AH236" t="str">
        <f t="shared" si="83"/>
        <v>Nelson</v>
      </c>
      <c r="AI236" t="str">
        <f t="shared" si="84"/>
        <v>Velodrome</v>
      </c>
      <c r="AJ236" s="18">
        <f t="shared" si="77"/>
        <v>2</v>
      </c>
      <c r="AP236" s="18">
        <f t="shared" si="78"/>
        <v>0</v>
      </c>
      <c r="AQ236">
        <f t="shared" si="79"/>
        <v>0</v>
      </c>
      <c r="AR236" s="23">
        <f t="shared" si="80"/>
        <v>294</v>
      </c>
      <c r="AS236">
        <f t="shared" si="85"/>
        <v>289</v>
      </c>
      <c r="AT236" s="21">
        <f t="shared" si="86"/>
        <v>296</v>
      </c>
      <c r="AU236" s="21"/>
      <c r="AV236" s="21"/>
      <c r="AW236" s="21"/>
    </row>
    <row r="237" spans="1:49" x14ac:dyDescent="0.2">
      <c r="A237">
        <v>135</v>
      </c>
      <c r="E237">
        <f t="shared" si="81"/>
        <v>1</v>
      </c>
      <c r="J237" t="str">
        <f t="shared" si="88"/>
        <v>13</v>
      </c>
      <c r="K237" t="str">
        <f t="shared" si="89"/>
        <v>06</v>
      </c>
      <c r="L237" t="str">
        <f t="shared" si="90"/>
        <v>13</v>
      </c>
      <c r="M237" s="6" t="str">
        <f t="shared" si="91"/>
        <v>04</v>
      </c>
      <c r="N237" t="str">
        <f t="shared" si="87"/>
        <v>Home</v>
      </c>
      <c r="O237">
        <v>87</v>
      </c>
      <c r="P237" t="s">
        <v>425</v>
      </c>
      <c r="Y237" t="str">
        <f t="shared" si="71"/>
        <v/>
      </c>
      <c r="Z237" t="str">
        <f t="shared" si="72"/>
        <v/>
      </c>
      <c r="AC237" t="str">
        <f t="shared" si="73"/>
        <v>Zone_Entry_Exit</v>
      </c>
      <c r="AD237" t="str">
        <f t="shared" si="74"/>
        <v>Zone_Entry</v>
      </c>
      <c r="AE237" t="str">
        <f t="shared" si="75"/>
        <v>ZoneEntry-Rush</v>
      </c>
      <c r="AF237" t="str">
        <f t="shared" si="76"/>
        <v>Defensive</v>
      </c>
      <c r="AG237">
        <f t="shared" si="82"/>
        <v>18981</v>
      </c>
      <c r="AH237" t="str">
        <f t="shared" si="83"/>
        <v>Nelson</v>
      </c>
      <c r="AI237" t="str">
        <f t="shared" si="84"/>
        <v>Velodrome</v>
      </c>
      <c r="AJ237" s="18">
        <f t="shared" si="77"/>
        <v>2</v>
      </c>
      <c r="AP237" s="18">
        <f t="shared" si="78"/>
        <v>0</v>
      </c>
      <c r="AQ237">
        <f t="shared" si="79"/>
        <v>0</v>
      </c>
      <c r="AR237" s="23">
        <f t="shared" si="80"/>
        <v>294</v>
      </c>
      <c r="AS237">
        <f t="shared" si="85"/>
        <v>289</v>
      </c>
      <c r="AT237" s="21">
        <f t="shared" si="86"/>
        <v>296</v>
      </c>
      <c r="AU237" s="21"/>
      <c r="AV237" s="21"/>
      <c r="AW237" s="21"/>
    </row>
    <row r="238" spans="1:49" x14ac:dyDescent="0.2">
      <c r="A238">
        <v>135</v>
      </c>
      <c r="E238">
        <f t="shared" si="81"/>
        <v>1</v>
      </c>
      <c r="J238" t="str">
        <f t="shared" si="88"/>
        <v>13</v>
      </c>
      <c r="K238" t="str">
        <f t="shared" si="89"/>
        <v>06</v>
      </c>
      <c r="L238" t="str">
        <f t="shared" si="90"/>
        <v>13</v>
      </c>
      <c r="M238" s="6" t="str">
        <f t="shared" si="91"/>
        <v>04</v>
      </c>
      <c r="N238" t="str">
        <f t="shared" si="87"/>
        <v>Home</v>
      </c>
      <c r="O238">
        <v>52</v>
      </c>
      <c r="P238" t="s">
        <v>425</v>
      </c>
      <c r="Y238" t="str">
        <f t="shared" si="71"/>
        <v/>
      </c>
      <c r="Z238" t="str">
        <f t="shared" si="72"/>
        <v/>
      </c>
      <c r="AC238" t="str">
        <f t="shared" si="73"/>
        <v>Zone_Entry_Exit</v>
      </c>
      <c r="AD238" t="str">
        <f t="shared" si="74"/>
        <v>Zone_Entry</v>
      </c>
      <c r="AE238" t="str">
        <f t="shared" si="75"/>
        <v>ZoneEntry-Rush</v>
      </c>
      <c r="AF238" t="str">
        <f t="shared" si="76"/>
        <v>Defensive</v>
      </c>
      <c r="AG238">
        <f t="shared" si="82"/>
        <v>18981</v>
      </c>
      <c r="AH238" t="str">
        <f t="shared" si="83"/>
        <v>Nelson</v>
      </c>
      <c r="AI238" t="str">
        <f t="shared" si="84"/>
        <v>Velodrome</v>
      </c>
      <c r="AJ238" s="18">
        <f t="shared" si="77"/>
        <v>2</v>
      </c>
      <c r="AP238" s="18">
        <f t="shared" si="78"/>
        <v>0</v>
      </c>
      <c r="AQ238">
        <f t="shared" si="79"/>
        <v>0</v>
      </c>
      <c r="AR238" s="23">
        <f t="shared" si="80"/>
        <v>294</v>
      </c>
      <c r="AS238">
        <f t="shared" si="85"/>
        <v>289</v>
      </c>
      <c r="AT238" s="21">
        <f t="shared" si="86"/>
        <v>296</v>
      </c>
      <c r="AU238" s="21"/>
      <c r="AV238" s="21"/>
      <c r="AW238" s="21"/>
    </row>
    <row r="239" spans="1:49" x14ac:dyDescent="0.2">
      <c r="A239">
        <v>135</v>
      </c>
      <c r="E239">
        <f t="shared" si="81"/>
        <v>1</v>
      </c>
      <c r="J239" t="str">
        <f t="shared" si="88"/>
        <v>13</v>
      </c>
      <c r="K239" t="str">
        <f t="shared" si="89"/>
        <v>06</v>
      </c>
      <c r="L239" t="str">
        <f t="shared" si="90"/>
        <v>13</v>
      </c>
      <c r="M239" s="6" t="str">
        <f t="shared" si="91"/>
        <v>04</v>
      </c>
      <c r="N239" t="str">
        <f t="shared" si="87"/>
        <v>Home</v>
      </c>
      <c r="O239">
        <v>70</v>
      </c>
      <c r="P239" t="s">
        <v>425</v>
      </c>
      <c r="Y239" t="str">
        <f t="shared" si="71"/>
        <v/>
      </c>
      <c r="Z239" t="str">
        <f t="shared" si="72"/>
        <v/>
      </c>
      <c r="AC239" t="str">
        <f t="shared" si="73"/>
        <v>Zone_Entry_Exit</v>
      </c>
      <c r="AD239" t="str">
        <f t="shared" si="74"/>
        <v>Zone_Entry</v>
      </c>
      <c r="AE239" t="str">
        <f t="shared" si="75"/>
        <v>ZoneEntry-Rush</v>
      </c>
      <c r="AF239" t="str">
        <f t="shared" si="76"/>
        <v>Defensive</v>
      </c>
      <c r="AG239">
        <f t="shared" si="82"/>
        <v>18981</v>
      </c>
      <c r="AH239" t="str">
        <f t="shared" si="83"/>
        <v>Nelson</v>
      </c>
      <c r="AI239" t="str">
        <f t="shared" si="84"/>
        <v>Velodrome</v>
      </c>
      <c r="AJ239" s="18">
        <f t="shared" si="77"/>
        <v>2</v>
      </c>
      <c r="AP239" s="18">
        <f t="shared" si="78"/>
        <v>0</v>
      </c>
      <c r="AQ239">
        <f t="shared" si="79"/>
        <v>0</v>
      </c>
      <c r="AR239" s="23">
        <f t="shared" si="80"/>
        <v>294</v>
      </c>
      <c r="AS239">
        <f t="shared" si="85"/>
        <v>289</v>
      </c>
      <c r="AT239" s="21">
        <f t="shared" si="86"/>
        <v>296</v>
      </c>
      <c r="AU239" s="21"/>
      <c r="AV239" s="21"/>
      <c r="AW239" s="21"/>
    </row>
    <row r="240" spans="1:49" x14ac:dyDescent="0.2">
      <c r="A240">
        <v>136</v>
      </c>
      <c r="E240">
        <f t="shared" si="81"/>
        <v>1</v>
      </c>
      <c r="F240" s="5" t="s">
        <v>488</v>
      </c>
      <c r="G240" s="5" t="s">
        <v>480</v>
      </c>
      <c r="J240" t="str">
        <f t="shared" si="88"/>
        <v>13</v>
      </c>
      <c r="K240" t="str">
        <f t="shared" si="89"/>
        <v>04</v>
      </c>
      <c r="L240" t="str">
        <f t="shared" si="90"/>
        <v/>
      </c>
      <c r="M240" s="6" t="str">
        <f t="shared" si="91"/>
        <v/>
      </c>
      <c r="N240" t="s">
        <v>178</v>
      </c>
      <c r="O240">
        <v>80</v>
      </c>
      <c r="P240" t="s">
        <v>424</v>
      </c>
      <c r="Q240" t="s">
        <v>7</v>
      </c>
      <c r="R240" t="s">
        <v>222</v>
      </c>
      <c r="S240" t="s">
        <v>53</v>
      </c>
      <c r="Y240" t="str">
        <f t="shared" si="71"/>
        <v/>
      </c>
      <c r="Z240" t="str">
        <f t="shared" si="72"/>
        <v/>
      </c>
      <c r="AC240" t="str">
        <f t="shared" si="73"/>
        <v>Shot</v>
      </c>
      <c r="AD240" t="str">
        <f t="shared" si="74"/>
        <v>Shot_OnNetSaved</v>
      </c>
      <c r="AE240" t="str">
        <f t="shared" si="75"/>
        <v>Shot-Wrist</v>
      </c>
      <c r="AF240" t="str">
        <f t="shared" si="76"/>
        <v>Offensive</v>
      </c>
      <c r="AG240">
        <f t="shared" si="82"/>
        <v>18981</v>
      </c>
      <c r="AH240" t="str">
        <f t="shared" si="83"/>
        <v>Nelson</v>
      </c>
      <c r="AI240" t="str">
        <f t="shared" si="84"/>
        <v>Velodrome</v>
      </c>
      <c r="AJ240" s="18">
        <f t="shared" si="77"/>
        <v>0</v>
      </c>
      <c r="AP240" s="18">
        <f t="shared" si="78"/>
        <v>0</v>
      </c>
      <c r="AQ240">
        <f t="shared" si="79"/>
        <v>0</v>
      </c>
      <c r="AR240" s="23">
        <f t="shared" si="80"/>
        <v>296</v>
      </c>
      <c r="AS240">
        <f t="shared" si="85"/>
        <v>291</v>
      </c>
      <c r="AT240" s="21">
        <f t="shared" si="86"/>
        <v>296</v>
      </c>
      <c r="AU240" s="21"/>
      <c r="AV240" s="21"/>
      <c r="AW240" s="21"/>
    </row>
    <row r="241" spans="1:49" x14ac:dyDescent="0.2">
      <c r="A241">
        <v>136</v>
      </c>
      <c r="E241">
        <f t="shared" si="81"/>
        <v>1</v>
      </c>
      <c r="J241" t="str">
        <f t="shared" si="88"/>
        <v>13</v>
      </c>
      <c r="K241" t="str">
        <f t="shared" si="89"/>
        <v>04</v>
      </c>
      <c r="L241" t="str">
        <f t="shared" si="90"/>
        <v/>
      </c>
      <c r="M241" s="6" t="str">
        <f t="shared" si="91"/>
        <v/>
      </c>
      <c r="N241" t="s">
        <v>178</v>
      </c>
      <c r="O241">
        <v>39</v>
      </c>
      <c r="P241" t="s">
        <v>425</v>
      </c>
      <c r="Y241" t="str">
        <f t="shared" si="71"/>
        <v/>
      </c>
      <c r="Z241" t="str">
        <f t="shared" si="72"/>
        <v/>
      </c>
      <c r="AC241" t="str">
        <f t="shared" si="73"/>
        <v>Shot</v>
      </c>
      <c r="AD241" t="str">
        <f t="shared" si="74"/>
        <v>Shot_OnNetSaved</v>
      </c>
      <c r="AE241" t="str">
        <f t="shared" si="75"/>
        <v>Shot-Wrist</v>
      </c>
      <c r="AF241" t="str">
        <f t="shared" si="76"/>
        <v>Defensive</v>
      </c>
      <c r="AG241">
        <f t="shared" si="82"/>
        <v>18981</v>
      </c>
      <c r="AH241" t="str">
        <f t="shared" si="83"/>
        <v>Nelson</v>
      </c>
      <c r="AI241" t="str">
        <f t="shared" si="84"/>
        <v>Velodrome</v>
      </c>
      <c r="AJ241" s="18">
        <f t="shared" si="77"/>
        <v>0</v>
      </c>
      <c r="AP241" s="18">
        <f t="shared" si="78"/>
        <v>0</v>
      </c>
      <c r="AQ241">
        <f t="shared" si="79"/>
        <v>0</v>
      </c>
      <c r="AR241" s="23">
        <f t="shared" si="80"/>
        <v>296</v>
      </c>
      <c r="AS241">
        <f t="shared" si="85"/>
        <v>291</v>
      </c>
      <c r="AT241" s="21">
        <f t="shared" si="86"/>
        <v>296</v>
      </c>
      <c r="AU241" s="21"/>
      <c r="AV241" s="21"/>
      <c r="AW241" s="21"/>
    </row>
    <row r="242" spans="1:49" x14ac:dyDescent="0.2">
      <c r="A242">
        <v>136</v>
      </c>
      <c r="E242">
        <f t="shared" si="81"/>
        <v>1</v>
      </c>
      <c r="J242" t="str">
        <f t="shared" si="88"/>
        <v>13</v>
      </c>
      <c r="K242" t="str">
        <f t="shared" si="89"/>
        <v>04</v>
      </c>
      <c r="L242" t="str">
        <f t="shared" si="90"/>
        <v/>
      </c>
      <c r="M242" s="6" t="str">
        <f t="shared" si="91"/>
        <v/>
      </c>
      <c r="N242" t="s">
        <v>178</v>
      </c>
      <c r="O242">
        <v>70</v>
      </c>
      <c r="P242" t="s">
        <v>425</v>
      </c>
      <c r="Y242" t="str">
        <f t="shared" si="71"/>
        <v/>
      </c>
      <c r="Z242" t="str">
        <f t="shared" si="72"/>
        <v/>
      </c>
      <c r="AC242" t="str">
        <f t="shared" si="73"/>
        <v>Shot</v>
      </c>
      <c r="AD242" t="str">
        <f t="shared" si="74"/>
        <v>Shot_OnNetSaved</v>
      </c>
      <c r="AE242" t="str">
        <f t="shared" si="75"/>
        <v>Shot-Wrist</v>
      </c>
      <c r="AF242" t="str">
        <f t="shared" si="76"/>
        <v>Defensive</v>
      </c>
      <c r="AG242">
        <f t="shared" si="82"/>
        <v>18981</v>
      </c>
      <c r="AH242" t="str">
        <f t="shared" si="83"/>
        <v>Nelson</v>
      </c>
      <c r="AI242" t="str">
        <f t="shared" si="84"/>
        <v>Velodrome</v>
      </c>
      <c r="AJ242" s="18">
        <f t="shared" si="77"/>
        <v>0</v>
      </c>
      <c r="AP242" s="18">
        <f t="shared" si="78"/>
        <v>0</v>
      </c>
      <c r="AQ242">
        <f t="shared" si="79"/>
        <v>0</v>
      </c>
      <c r="AR242" s="23">
        <f t="shared" si="80"/>
        <v>296</v>
      </c>
      <c r="AS242">
        <f t="shared" si="85"/>
        <v>291</v>
      </c>
      <c r="AT242" s="21">
        <f t="shared" si="86"/>
        <v>296</v>
      </c>
      <c r="AU242" s="21"/>
      <c r="AV242" s="21"/>
      <c r="AW242" s="21"/>
    </row>
    <row r="243" spans="1:49" x14ac:dyDescent="0.2">
      <c r="A243">
        <v>137</v>
      </c>
      <c r="E243">
        <f t="shared" si="81"/>
        <v>1</v>
      </c>
      <c r="F243" s="5" t="s">
        <v>488</v>
      </c>
      <c r="G243" s="5" t="s">
        <v>480</v>
      </c>
      <c r="J243" t="str">
        <f t="shared" si="88"/>
        <v>13</v>
      </c>
      <c r="K243" t="str">
        <f t="shared" si="89"/>
        <v>04</v>
      </c>
      <c r="L243" t="str">
        <f t="shared" si="90"/>
        <v/>
      </c>
      <c r="M243" s="6" t="str">
        <f t="shared" si="91"/>
        <v/>
      </c>
      <c r="N243" t="s">
        <v>179</v>
      </c>
      <c r="O243">
        <v>39</v>
      </c>
      <c r="P243" t="s">
        <v>424</v>
      </c>
      <c r="Q243" t="s">
        <v>17</v>
      </c>
      <c r="R243" t="s">
        <v>196</v>
      </c>
      <c r="S243" t="s">
        <v>102</v>
      </c>
      <c r="Y243" t="str">
        <f t="shared" si="71"/>
        <v/>
      </c>
      <c r="Z243" t="str">
        <f t="shared" si="72"/>
        <v/>
      </c>
      <c r="AC243" t="str">
        <f t="shared" si="73"/>
        <v>Save</v>
      </c>
      <c r="AD243" t="str">
        <f t="shared" si="74"/>
        <v>Save_Rebound</v>
      </c>
      <c r="AE243" t="str">
        <f t="shared" si="75"/>
        <v>Save-Butterfly</v>
      </c>
      <c r="AF243" t="str">
        <f t="shared" si="76"/>
        <v>Defensive</v>
      </c>
      <c r="AG243">
        <f t="shared" si="82"/>
        <v>18981</v>
      </c>
      <c r="AH243" t="str">
        <f t="shared" si="83"/>
        <v>Nelson</v>
      </c>
      <c r="AI243" t="str">
        <f t="shared" si="84"/>
        <v>Velodrome</v>
      </c>
      <c r="AJ243" s="18">
        <f t="shared" si="77"/>
        <v>0</v>
      </c>
      <c r="AP243" s="18">
        <f t="shared" si="78"/>
        <v>0</v>
      </c>
      <c r="AQ243">
        <f t="shared" si="79"/>
        <v>0</v>
      </c>
      <c r="AR243" s="23">
        <f t="shared" si="80"/>
        <v>296</v>
      </c>
      <c r="AS243">
        <f t="shared" si="85"/>
        <v>291</v>
      </c>
      <c r="AT243" s="21">
        <f t="shared" si="86"/>
        <v>296</v>
      </c>
      <c r="AU243" s="21"/>
      <c r="AV243" s="21"/>
      <c r="AW243" s="21"/>
    </row>
    <row r="244" spans="1:49" x14ac:dyDescent="0.2">
      <c r="A244">
        <v>137</v>
      </c>
      <c r="E244">
        <f t="shared" si="81"/>
        <v>1</v>
      </c>
      <c r="J244" t="str">
        <f t="shared" si="88"/>
        <v>13</v>
      </c>
      <c r="K244" t="str">
        <f t="shared" si="89"/>
        <v>04</v>
      </c>
      <c r="L244" t="str">
        <f t="shared" si="90"/>
        <v/>
      </c>
      <c r="M244" s="6" t="str">
        <f t="shared" si="91"/>
        <v/>
      </c>
      <c r="N244" t="str">
        <f t="shared" si="87"/>
        <v>Away</v>
      </c>
      <c r="O244">
        <v>70</v>
      </c>
      <c r="P244" t="s">
        <v>424</v>
      </c>
      <c r="Y244" t="str">
        <f t="shared" si="71"/>
        <v/>
      </c>
      <c r="Z244" t="str">
        <f t="shared" si="72"/>
        <v/>
      </c>
      <c r="AC244" t="str">
        <f t="shared" si="73"/>
        <v>Save</v>
      </c>
      <c r="AD244" t="str">
        <f t="shared" si="74"/>
        <v>Save_Rebound</v>
      </c>
      <c r="AE244" t="str">
        <f t="shared" si="75"/>
        <v>Save-Butterfly</v>
      </c>
      <c r="AF244" t="str">
        <f t="shared" si="76"/>
        <v>Defensive</v>
      </c>
      <c r="AG244">
        <f t="shared" si="82"/>
        <v>18981</v>
      </c>
      <c r="AH244" t="str">
        <f t="shared" si="83"/>
        <v>Nelson</v>
      </c>
      <c r="AI244" t="str">
        <f t="shared" si="84"/>
        <v>Velodrome</v>
      </c>
      <c r="AJ244" s="18">
        <f t="shared" si="77"/>
        <v>0</v>
      </c>
      <c r="AP244" s="18">
        <f t="shared" si="78"/>
        <v>0</v>
      </c>
      <c r="AQ244">
        <f t="shared" si="79"/>
        <v>0</v>
      </c>
      <c r="AR244" s="23">
        <f t="shared" si="80"/>
        <v>296</v>
      </c>
      <c r="AS244">
        <f t="shared" si="85"/>
        <v>291</v>
      </c>
      <c r="AT244" s="21">
        <f t="shared" si="86"/>
        <v>296</v>
      </c>
      <c r="AU244" s="21"/>
      <c r="AV244" s="21"/>
      <c r="AW244" s="21"/>
    </row>
    <row r="245" spans="1:49" x14ac:dyDescent="0.2">
      <c r="A245">
        <v>137</v>
      </c>
      <c r="E245">
        <f t="shared" si="81"/>
        <v>1</v>
      </c>
      <c r="J245" t="str">
        <f t="shared" si="88"/>
        <v>13</v>
      </c>
      <c r="K245" t="str">
        <f t="shared" si="89"/>
        <v>04</v>
      </c>
      <c r="L245" t="str">
        <f t="shared" si="90"/>
        <v/>
      </c>
      <c r="M245" s="6" t="str">
        <f t="shared" si="91"/>
        <v/>
      </c>
      <c r="N245" t="str">
        <f t="shared" si="87"/>
        <v>Away</v>
      </c>
      <c r="O245">
        <v>80</v>
      </c>
      <c r="P245" t="s">
        <v>425</v>
      </c>
      <c r="Y245" t="str">
        <f t="shared" si="71"/>
        <v/>
      </c>
      <c r="Z245" t="str">
        <f t="shared" si="72"/>
        <v/>
      </c>
      <c r="AC245" t="str">
        <f t="shared" si="73"/>
        <v>Save</v>
      </c>
      <c r="AD245" t="str">
        <f t="shared" si="74"/>
        <v>Save_Rebound</v>
      </c>
      <c r="AE245" t="str">
        <f t="shared" si="75"/>
        <v>Save-Butterfly</v>
      </c>
      <c r="AF245" t="str">
        <f t="shared" si="76"/>
        <v>Offensive</v>
      </c>
      <c r="AG245">
        <f t="shared" si="82"/>
        <v>18981</v>
      </c>
      <c r="AH245" t="str">
        <f t="shared" si="83"/>
        <v>Nelson</v>
      </c>
      <c r="AI245" t="str">
        <f t="shared" si="84"/>
        <v>Velodrome</v>
      </c>
      <c r="AJ245" s="18">
        <f t="shared" si="77"/>
        <v>0</v>
      </c>
      <c r="AP245" s="18">
        <f t="shared" si="78"/>
        <v>0</v>
      </c>
      <c r="AQ245">
        <f t="shared" si="79"/>
        <v>0</v>
      </c>
      <c r="AR245" s="23">
        <f t="shared" si="80"/>
        <v>296</v>
      </c>
      <c r="AS245">
        <f t="shared" si="85"/>
        <v>291</v>
      </c>
      <c r="AT245" s="21">
        <f t="shared" si="86"/>
        <v>296</v>
      </c>
      <c r="AU245" s="21"/>
      <c r="AV245" s="21"/>
      <c r="AW245" s="21"/>
    </row>
    <row r="246" spans="1:49" x14ac:dyDescent="0.2">
      <c r="A246">
        <v>138</v>
      </c>
      <c r="E246">
        <f t="shared" si="81"/>
        <v>1</v>
      </c>
      <c r="F246" s="5" t="s">
        <v>488</v>
      </c>
      <c r="G246" s="5" t="s">
        <v>480</v>
      </c>
      <c r="J246" t="str">
        <f t="shared" si="88"/>
        <v>13</v>
      </c>
      <c r="K246" t="str">
        <f t="shared" si="89"/>
        <v>04</v>
      </c>
      <c r="L246" t="str">
        <f t="shared" si="90"/>
        <v/>
      </c>
      <c r="M246" s="6" t="str">
        <f t="shared" si="91"/>
        <v/>
      </c>
      <c r="N246" t="s">
        <v>179</v>
      </c>
      <c r="O246">
        <v>39</v>
      </c>
      <c r="P246" t="s">
        <v>424</v>
      </c>
      <c r="Q246" t="s">
        <v>270</v>
      </c>
      <c r="R246" t="s">
        <v>271</v>
      </c>
      <c r="Y246" t="str">
        <f t="shared" si="71"/>
        <v/>
      </c>
      <c r="Z246" t="str">
        <f t="shared" si="72"/>
        <v/>
      </c>
      <c r="AC246" t="str">
        <f t="shared" si="73"/>
        <v>Rebound</v>
      </c>
      <c r="AD246" t="str">
        <f t="shared" si="74"/>
        <v>Rebound_TeamRecovered</v>
      </c>
      <c r="AE246" t="str">
        <f t="shared" si="75"/>
        <v/>
      </c>
      <c r="AF246" t="str">
        <f t="shared" si="76"/>
        <v>Offensive</v>
      </c>
      <c r="AG246">
        <f t="shared" si="82"/>
        <v>18981</v>
      </c>
      <c r="AH246" t="str">
        <f t="shared" si="83"/>
        <v>Nelson</v>
      </c>
      <c r="AI246" t="str">
        <f t="shared" si="84"/>
        <v>Velodrome</v>
      </c>
      <c r="AJ246" s="18">
        <f t="shared" si="77"/>
        <v>0</v>
      </c>
      <c r="AP246" s="18">
        <f t="shared" si="78"/>
        <v>0</v>
      </c>
      <c r="AQ246">
        <f t="shared" si="79"/>
        <v>0</v>
      </c>
      <c r="AR246" s="23">
        <f t="shared" si="80"/>
        <v>296</v>
      </c>
      <c r="AS246">
        <f t="shared" si="85"/>
        <v>291</v>
      </c>
      <c r="AT246" s="21">
        <f t="shared" si="86"/>
        <v>296</v>
      </c>
      <c r="AU246" s="21"/>
      <c r="AV246" s="21"/>
      <c r="AW246" s="21"/>
    </row>
    <row r="247" spans="1:49" x14ac:dyDescent="0.2">
      <c r="A247">
        <v>139</v>
      </c>
      <c r="E247">
        <f t="shared" si="81"/>
        <v>1</v>
      </c>
      <c r="F247" s="5" t="s">
        <v>488</v>
      </c>
      <c r="G247" s="5" t="s">
        <v>471</v>
      </c>
      <c r="H247" s="5" t="s">
        <v>487</v>
      </c>
      <c r="I247" s="7" t="s">
        <v>479</v>
      </c>
      <c r="J247" t="str">
        <f t="shared" si="88"/>
        <v>13</v>
      </c>
      <c r="K247" t="str">
        <f t="shared" si="89"/>
        <v>01</v>
      </c>
      <c r="L247" t="str">
        <f t="shared" si="90"/>
        <v>12</v>
      </c>
      <c r="M247" s="6" t="str">
        <f t="shared" si="91"/>
        <v>59</v>
      </c>
      <c r="N247" t="s">
        <v>179</v>
      </c>
      <c r="O247">
        <v>70</v>
      </c>
      <c r="P247" t="s">
        <v>424</v>
      </c>
      <c r="Q247" t="s">
        <v>15</v>
      </c>
      <c r="Y247" t="str">
        <f t="shared" si="71"/>
        <v/>
      </c>
      <c r="Z247" t="str">
        <f t="shared" si="72"/>
        <v/>
      </c>
      <c r="AC247" t="str">
        <f t="shared" si="73"/>
        <v>Possession</v>
      </c>
      <c r="AD247" t="str">
        <f t="shared" si="74"/>
        <v/>
      </c>
      <c r="AE247" t="str">
        <f t="shared" si="75"/>
        <v/>
      </c>
      <c r="AF247" t="str">
        <f t="shared" si="76"/>
        <v>Offensive</v>
      </c>
      <c r="AG247">
        <f t="shared" si="82"/>
        <v>18981</v>
      </c>
      <c r="AH247" t="str">
        <f t="shared" si="83"/>
        <v>Nelson</v>
      </c>
      <c r="AI247" t="str">
        <f t="shared" si="84"/>
        <v>Velodrome</v>
      </c>
      <c r="AJ247" s="18">
        <f t="shared" si="77"/>
        <v>2</v>
      </c>
      <c r="AP247" s="18">
        <f t="shared" si="78"/>
        <v>0</v>
      </c>
      <c r="AQ247">
        <f t="shared" si="79"/>
        <v>0</v>
      </c>
      <c r="AR247" s="23">
        <f t="shared" si="80"/>
        <v>299</v>
      </c>
      <c r="AS247">
        <f t="shared" si="85"/>
        <v>294</v>
      </c>
      <c r="AT247" s="21">
        <f t="shared" si="86"/>
        <v>301</v>
      </c>
      <c r="AU247" s="21"/>
      <c r="AV247" s="21"/>
      <c r="AW247" s="21"/>
    </row>
    <row r="248" spans="1:49" x14ac:dyDescent="0.2">
      <c r="A248">
        <v>139</v>
      </c>
      <c r="E248">
        <f t="shared" si="81"/>
        <v>1</v>
      </c>
      <c r="J248" t="str">
        <f t="shared" si="88"/>
        <v>13</v>
      </c>
      <c r="K248" t="str">
        <f t="shared" si="89"/>
        <v>01</v>
      </c>
      <c r="L248" t="str">
        <f t="shared" si="90"/>
        <v>12</v>
      </c>
      <c r="M248" s="6" t="str">
        <f t="shared" si="91"/>
        <v>59</v>
      </c>
      <c r="N248" t="str">
        <f t="shared" si="87"/>
        <v>Away</v>
      </c>
      <c r="O248">
        <v>79</v>
      </c>
      <c r="P248" t="s">
        <v>425</v>
      </c>
      <c r="Y248" t="str">
        <f t="shared" si="71"/>
        <v/>
      </c>
      <c r="Z248" t="str">
        <f t="shared" si="72"/>
        <v/>
      </c>
      <c r="AC248" t="str">
        <f t="shared" si="73"/>
        <v>Possession</v>
      </c>
      <c r="AD248" t="str">
        <f t="shared" si="74"/>
        <v/>
      </c>
      <c r="AE248" t="str">
        <f t="shared" si="75"/>
        <v/>
      </c>
      <c r="AF248" t="str">
        <f t="shared" si="76"/>
        <v>Defensive</v>
      </c>
      <c r="AG248">
        <f t="shared" si="82"/>
        <v>18981</v>
      </c>
      <c r="AH248" t="str">
        <f t="shared" si="83"/>
        <v>Nelson</v>
      </c>
      <c r="AI248" t="str">
        <f t="shared" si="84"/>
        <v>Velodrome</v>
      </c>
      <c r="AJ248" s="18">
        <f t="shared" si="77"/>
        <v>2</v>
      </c>
      <c r="AP248" s="18">
        <f t="shared" si="78"/>
        <v>0</v>
      </c>
      <c r="AQ248">
        <f t="shared" si="79"/>
        <v>0</v>
      </c>
      <c r="AR248" s="23">
        <f t="shared" si="80"/>
        <v>299</v>
      </c>
      <c r="AS248">
        <f t="shared" si="85"/>
        <v>294</v>
      </c>
      <c r="AT248" s="21">
        <f t="shared" si="86"/>
        <v>301</v>
      </c>
      <c r="AU248" s="21"/>
      <c r="AV248" s="21"/>
      <c r="AW248" s="21"/>
    </row>
    <row r="249" spans="1:49" x14ac:dyDescent="0.2">
      <c r="A249">
        <v>140</v>
      </c>
      <c r="E249">
        <f t="shared" si="81"/>
        <v>1</v>
      </c>
      <c r="F249" s="5" t="s">
        <v>487</v>
      </c>
      <c r="G249" s="5" t="s">
        <v>479</v>
      </c>
      <c r="J249" t="str">
        <f t="shared" si="88"/>
        <v>12</v>
      </c>
      <c r="K249" t="str">
        <f t="shared" si="89"/>
        <v>59</v>
      </c>
      <c r="L249" t="str">
        <f t="shared" si="90"/>
        <v/>
      </c>
      <c r="M249" s="6" t="str">
        <f t="shared" si="91"/>
        <v/>
      </c>
      <c r="N249" t="s">
        <v>179</v>
      </c>
      <c r="O249">
        <v>70</v>
      </c>
      <c r="P249" t="s">
        <v>424</v>
      </c>
      <c r="Q249" t="s">
        <v>8</v>
      </c>
      <c r="R249" t="s">
        <v>189</v>
      </c>
      <c r="S249" t="s">
        <v>442</v>
      </c>
      <c r="Y249" t="str">
        <f t="shared" si="71"/>
        <v/>
      </c>
      <c r="Z249" t="str">
        <f t="shared" si="72"/>
        <v/>
      </c>
      <c r="AC249" t="str">
        <f t="shared" si="73"/>
        <v>Pass</v>
      </c>
      <c r="AD249" t="str">
        <f t="shared" si="74"/>
        <v>Pass_Completed</v>
      </c>
      <c r="AE249" t="str">
        <f t="shared" si="75"/>
        <v>Pass-Drop</v>
      </c>
      <c r="AF249" t="str">
        <f t="shared" si="76"/>
        <v>Offensive</v>
      </c>
      <c r="AG249">
        <f t="shared" si="82"/>
        <v>18981</v>
      </c>
      <c r="AH249" t="str">
        <f t="shared" si="83"/>
        <v>Nelson</v>
      </c>
      <c r="AI249" t="str">
        <f t="shared" si="84"/>
        <v>Velodrome</v>
      </c>
      <c r="AJ249" s="18">
        <f t="shared" si="77"/>
        <v>0</v>
      </c>
      <c r="AP249" s="18">
        <f t="shared" si="78"/>
        <v>0</v>
      </c>
      <c r="AQ249">
        <f t="shared" si="79"/>
        <v>0</v>
      </c>
      <c r="AR249" s="23">
        <f t="shared" si="80"/>
        <v>301</v>
      </c>
      <c r="AS249">
        <f t="shared" si="85"/>
        <v>296</v>
      </c>
      <c r="AT249" s="21">
        <f t="shared" si="86"/>
        <v>301</v>
      </c>
      <c r="AU249" s="21"/>
      <c r="AV249" s="21"/>
      <c r="AW249" s="21"/>
    </row>
    <row r="250" spans="1:49" x14ac:dyDescent="0.2">
      <c r="A250">
        <v>140</v>
      </c>
      <c r="E250">
        <f t="shared" si="81"/>
        <v>1</v>
      </c>
      <c r="F250" s="5" t="s">
        <v>487</v>
      </c>
      <c r="G250" s="5" t="s">
        <v>479</v>
      </c>
      <c r="H250" s="5" t="s">
        <v>487</v>
      </c>
      <c r="I250" s="7" t="s">
        <v>528</v>
      </c>
      <c r="J250" t="str">
        <f t="shared" si="88"/>
        <v>12</v>
      </c>
      <c r="K250" t="str">
        <f t="shared" si="89"/>
        <v>59</v>
      </c>
      <c r="L250" t="str">
        <f t="shared" si="90"/>
        <v>12</v>
      </c>
      <c r="M250" s="6" t="str">
        <f t="shared" si="91"/>
        <v>56</v>
      </c>
      <c r="N250" t="str">
        <f t="shared" si="87"/>
        <v>Away</v>
      </c>
      <c r="O250">
        <v>52</v>
      </c>
      <c r="P250" t="s">
        <v>424</v>
      </c>
      <c r="Q250" t="s">
        <v>15</v>
      </c>
      <c r="Y250" t="str">
        <f t="shared" si="71"/>
        <v/>
      </c>
      <c r="Z250" t="str">
        <f t="shared" si="72"/>
        <v/>
      </c>
      <c r="AC250" t="str">
        <f t="shared" si="73"/>
        <v>Possession</v>
      </c>
      <c r="AD250" t="str">
        <f t="shared" si="74"/>
        <v>Pass_Completed</v>
      </c>
      <c r="AE250" t="str">
        <f t="shared" si="75"/>
        <v>Pass-Drop</v>
      </c>
      <c r="AF250" t="str">
        <f t="shared" si="76"/>
        <v>Offensive</v>
      </c>
      <c r="AG250">
        <f t="shared" si="82"/>
        <v>18981</v>
      </c>
      <c r="AH250" t="str">
        <f t="shared" si="83"/>
        <v>Nelson</v>
      </c>
      <c r="AI250" t="str">
        <f t="shared" si="84"/>
        <v>Velodrome</v>
      </c>
      <c r="AJ250" s="18">
        <f t="shared" si="77"/>
        <v>3</v>
      </c>
      <c r="AP250" s="18">
        <f t="shared" si="78"/>
        <v>0</v>
      </c>
      <c r="AQ250">
        <f t="shared" si="79"/>
        <v>0</v>
      </c>
      <c r="AR250" s="23">
        <f t="shared" si="80"/>
        <v>301</v>
      </c>
      <c r="AS250">
        <f t="shared" si="85"/>
        <v>296</v>
      </c>
      <c r="AT250" s="21">
        <f t="shared" si="86"/>
        <v>304</v>
      </c>
      <c r="AU250" s="21"/>
      <c r="AV250" s="21"/>
      <c r="AW250" s="21"/>
    </row>
    <row r="251" spans="1:49" x14ac:dyDescent="0.2">
      <c r="A251">
        <v>141</v>
      </c>
      <c r="E251">
        <f t="shared" si="81"/>
        <v>1</v>
      </c>
      <c r="F251" s="5" t="s">
        <v>487</v>
      </c>
      <c r="G251" s="5" t="s">
        <v>528</v>
      </c>
      <c r="J251" t="str">
        <f t="shared" si="88"/>
        <v>12</v>
      </c>
      <c r="K251" t="str">
        <f t="shared" si="89"/>
        <v>56</v>
      </c>
      <c r="L251" t="str">
        <f t="shared" si="90"/>
        <v/>
      </c>
      <c r="M251" s="6" t="str">
        <f t="shared" si="91"/>
        <v/>
      </c>
      <c r="N251" t="s">
        <v>179</v>
      </c>
      <c r="O251">
        <v>52</v>
      </c>
      <c r="P251" t="s">
        <v>424</v>
      </c>
      <c r="Q251" t="s">
        <v>13</v>
      </c>
      <c r="R251" t="s">
        <v>204</v>
      </c>
      <c r="S251" t="s">
        <v>108</v>
      </c>
      <c r="Y251" t="str">
        <f t="shared" si="71"/>
        <v/>
      </c>
      <c r="Z251" t="str">
        <f t="shared" si="72"/>
        <v/>
      </c>
      <c r="AC251" t="str">
        <f t="shared" si="73"/>
        <v>Stoppage</v>
      </c>
      <c r="AD251" t="str">
        <f t="shared" si="74"/>
        <v>Stoppage_Play</v>
      </c>
      <c r="AE251" t="str">
        <f t="shared" si="75"/>
        <v>Stoppage-Icing</v>
      </c>
      <c r="AF251" t="str">
        <f t="shared" si="76"/>
        <v/>
      </c>
      <c r="AG251">
        <f t="shared" si="82"/>
        <v>18981</v>
      </c>
      <c r="AH251" t="str">
        <f t="shared" si="83"/>
        <v>Nelson</v>
      </c>
      <c r="AI251" t="str">
        <f t="shared" si="84"/>
        <v>Velodrome</v>
      </c>
      <c r="AJ251" s="18">
        <f t="shared" si="77"/>
        <v>0</v>
      </c>
      <c r="AP251" s="18">
        <f t="shared" si="78"/>
        <v>0</v>
      </c>
      <c r="AQ251">
        <f t="shared" si="79"/>
        <v>0</v>
      </c>
      <c r="AR251" s="23">
        <f t="shared" si="80"/>
        <v>304</v>
      </c>
      <c r="AS251">
        <f t="shared" si="85"/>
        <v>299</v>
      </c>
      <c r="AT251" s="21">
        <f t="shared" si="86"/>
        <v>304</v>
      </c>
      <c r="AU251" s="21"/>
      <c r="AV251" s="21"/>
      <c r="AW251" s="21"/>
    </row>
    <row r="252" spans="1:49" x14ac:dyDescent="0.2">
      <c r="A252">
        <v>142</v>
      </c>
      <c r="E252">
        <f t="shared" si="81"/>
        <v>1</v>
      </c>
      <c r="F252" s="5" t="s">
        <v>487</v>
      </c>
      <c r="G252" s="5" t="s">
        <v>528</v>
      </c>
      <c r="H252" s="5" t="s">
        <v>487</v>
      </c>
      <c r="I252" s="7" t="s">
        <v>504</v>
      </c>
      <c r="J252" t="str">
        <f t="shared" si="88"/>
        <v>12</v>
      </c>
      <c r="K252" t="str">
        <f t="shared" si="89"/>
        <v>56</v>
      </c>
      <c r="L252" t="str">
        <f t="shared" si="90"/>
        <v>12</v>
      </c>
      <c r="M252" s="6" t="str">
        <f t="shared" si="91"/>
        <v>32</v>
      </c>
      <c r="N252" t="s">
        <v>179</v>
      </c>
      <c r="O252">
        <v>52</v>
      </c>
      <c r="P252" t="s">
        <v>424</v>
      </c>
      <c r="Q252" t="s">
        <v>282</v>
      </c>
      <c r="Y252" t="str">
        <f t="shared" si="71"/>
        <v/>
      </c>
      <c r="Z252" t="str">
        <f t="shared" si="72"/>
        <v/>
      </c>
      <c r="AC252" t="str">
        <f t="shared" si="73"/>
        <v>DeadIce</v>
      </c>
      <c r="AD252" t="str">
        <f t="shared" si="74"/>
        <v/>
      </c>
      <c r="AE252" t="str">
        <f t="shared" si="75"/>
        <v/>
      </c>
      <c r="AF252" t="str">
        <f t="shared" si="76"/>
        <v/>
      </c>
      <c r="AG252">
        <f t="shared" si="82"/>
        <v>18981</v>
      </c>
      <c r="AH252" t="str">
        <f t="shared" si="83"/>
        <v>Nelson</v>
      </c>
      <c r="AI252" t="str">
        <f t="shared" si="84"/>
        <v>Velodrome</v>
      </c>
      <c r="AJ252" s="18">
        <f t="shared" si="77"/>
        <v>24</v>
      </c>
      <c r="AP252" s="18">
        <f t="shared" si="78"/>
        <v>0</v>
      </c>
      <c r="AQ252">
        <f t="shared" si="79"/>
        <v>0</v>
      </c>
      <c r="AR252" s="23">
        <f t="shared" si="80"/>
        <v>304</v>
      </c>
      <c r="AS252">
        <f t="shared" si="85"/>
        <v>299</v>
      </c>
      <c r="AT252" s="21">
        <f t="shared" si="86"/>
        <v>328</v>
      </c>
      <c r="AU252" s="21"/>
      <c r="AV252" s="21"/>
      <c r="AW252" s="21"/>
    </row>
    <row r="253" spans="1:49" x14ac:dyDescent="0.2">
      <c r="A253">
        <v>143</v>
      </c>
      <c r="E253">
        <f t="shared" si="81"/>
        <v>1</v>
      </c>
      <c r="F253" s="5" t="s">
        <v>487</v>
      </c>
      <c r="G253" s="5" t="s">
        <v>504</v>
      </c>
      <c r="J253" t="str">
        <f t="shared" si="88"/>
        <v>12</v>
      </c>
      <c r="K253" t="str">
        <f t="shared" si="89"/>
        <v>32</v>
      </c>
      <c r="L253" t="str">
        <f t="shared" si="90"/>
        <v/>
      </c>
      <c r="M253" s="6" t="str">
        <f t="shared" si="91"/>
        <v/>
      </c>
      <c r="N253" t="s">
        <v>178</v>
      </c>
      <c r="O253">
        <v>79</v>
      </c>
      <c r="P253" t="s">
        <v>424</v>
      </c>
      <c r="Q253" t="s">
        <v>6</v>
      </c>
      <c r="R253" t="s">
        <v>275</v>
      </c>
      <c r="Y253" t="str">
        <f t="shared" si="71"/>
        <v/>
      </c>
      <c r="Z253" t="str">
        <f t="shared" si="72"/>
        <v/>
      </c>
      <c r="AC253" t="str">
        <f t="shared" si="73"/>
        <v>Faceoff</v>
      </c>
      <c r="AD253" t="str">
        <f t="shared" si="74"/>
        <v>Faceoff_AfterStoppage</v>
      </c>
      <c r="AE253" t="str">
        <f t="shared" si="75"/>
        <v/>
      </c>
      <c r="AF253" t="str">
        <f t="shared" si="76"/>
        <v>Offensive</v>
      </c>
      <c r="AG253">
        <f t="shared" si="82"/>
        <v>18981</v>
      </c>
      <c r="AH253" t="str">
        <f t="shared" si="83"/>
        <v>Nelson</v>
      </c>
      <c r="AI253" t="str">
        <f t="shared" si="84"/>
        <v>Velodrome</v>
      </c>
      <c r="AJ253" s="18">
        <f t="shared" si="77"/>
        <v>0</v>
      </c>
      <c r="AP253" s="18">
        <f t="shared" si="78"/>
        <v>0</v>
      </c>
      <c r="AQ253">
        <f t="shared" si="79"/>
        <v>0</v>
      </c>
      <c r="AR253" s="23">
        <f t="shared" si="80"/>
        <v>328</v>
      </c>
      <c r="AS253">
        <f t="shared" si="85"/>
        <v>323</v>
      </c>
      <c r="AT253" s="21">
        <f t="shared" si="86"/>
        <v>328</v>
      </c>
      <c r="AU253" s="21"/>
      <c r="AV253" s="21"/>
      <c r="AW253" s="21"/>
    </row>
    <row r="254" spans="1:49" x14ac:dyDescent="0.2">
      <c r="A254">
        <v>143</v>
      </c>
      <c r="E254">
        <f t="shared" si="81"/>
        <v>1</v>
      </c>
      <c r="J254" t="str">
        <f t="shared" si="88"/>
        <v>12</v>
      </c>
      <c r="K254" t="str">
        <f t="shared" si="89"/>
        <v>32</v>
      </c>
      <c r="L254" t="str">
        <f t="shared" si="90"/>
        <v/>
      </c>
      <c r="M254" s="6" t="str">
        <f t="shared" si="91"/>
        <v/>
      </c>
      <c r="N254" t="str">
        <f t="shared" si="87"/>
        <v>Home</v>
      </c>
      <c r="O254">
        <v>8</v>
      </c>
      <c r="P254" t="s">
        <v>424</v>
      </c>
      <c r="Y254" t="str">
        <f t="shared" si="71"/>
        <v/>
      </c>
      <c r="Z254" t="str">
        <f t="shared" si="72"/>
        <v/>
      </c>
      <c r="AC254" t="str">
        <f t="shared" si="73"/>
        <v>Faceoff</v>
      </c>
      <c r="AD254" t="str">
        <f t="shared" si="74"/>
        <v>Faceoff_AfterStoppage</v>
      </c>
      <c r="AE254" t="str">
        <f t="shared" si="75"/>
        <v/>
      </c>
      <c r="AF254" t="str">
        <f t="shared" si="76"/>
        <v>Offensive</v>
      </c>
      <c r="AG254">
        <f t="shared" si="82"/>
        <v>18981</v>
      </c>
      <c r="AH254" t="str">
        <f t="shared" si="83"/>
        <v>Nelson</v>
      </c>
      <c r="AI254" t="str">
        <f t="shared" si="84"/>
        <v>Velodrome</v>
      </c>
      <c r="AJ254" s="18">
        <f t="shared" si="77"/>
        <v>0</v>
      </c>
      <c r="AP254" s="18">
        <f t="shared" si="78"/>
        <v>0</v>
      </c>
      <c r="AQ254">
        <f t="shared" si="79"/>
        <v>0</v>
      </c>
      <c r="AR254" s="23">
        <f t="shared" si="80"/>
        <v>328</v>
      </c>
      <c r="AS254">
        <f t="shared" si="85"/>
        <v>323</v>
      </c>
      <c r="AT254" s="21">
        <f t="shared" si="86"/>
        <v>328</v>
      </c>
      <c r="AU254" s="21"/>
      <c r="AV254" s="21"/>
      <c r="AW254" s="21"/>
    </row>
    <row r="255" spans="1:49" x14ac:dyDescent="0.2">
      <c r="A255">
        <v>143</v>
      </c>
      <c r="E255">
        <f t="shared" si="81"/>
        <v>1</v>
      </c>
      <c r="J255" t="str">
        <f t="shared" si="88"/>
        <v>12</v>
      </c>
      <c r="K255" t="str">
        <f t="shared" si="89"/>
        <v>32</v>
      </c>
      <c r="L255" t="str">
        <f t="shared" si="90"/>
        <v/>
      </c>
      <c r="M255" s="6" t="str">
        <f t="shared" si="91"/>
        <v/>
      </c>
      <c r="N255" t="str">
        <f t="shared" si="87"/>
        <v>Home</v>
      </c>
      <c r="O255">
        <v>70</v>
      </c>
      <c r="P255" t="s">
        <v>425</v>
      </c>
      <c r="Y255" t="str">
        <f t="shared" si="71"/>
        <v/>
      </c>
      <c r="Z255" t="str">
        <f t="shared" si="72"/>
        <v/>
      </c>
      <c r="AC255" t="str">
        <f t="shared" si="73"/>
        <v>Faceoff</v>
      </c>
      <c r="AD255" t="str">
        <f t="shared" si="74"/>
        <v>Faceoff_AfterStoppage</v>
      </c>
      <c r="AE255" t="str">
        <f t="shared" si="75"/>
        <v/>
      </c>
      <c r="AF255" t="str">
        <f t="shared" si="76"/>
        <v>Defensive</v>
      </c>
      <c r="AG255">
        <f t="shared" si="82"/>
        <v>18981</v>
      </c>
      <c r="AH255" t="str">
        <f t="shared" si="83"/>
        <v>Nelson</v>
      </c>
      <c r="AI255" t="str">
        <f t="shared" si="84"/>
        <v>Velodrome</v>
      </c>
      <c r="AJ255" s="18">
        <f t="shared" si="77"/>
        <v>0</v>
      </c>
      <c r="AP255" s="18">
        <f t="shared" si="78"/>
        <v>0</v>
      </c>
      <c r="AQ255">
        <f t="shared" si="79"/>
        <v>0</v>
      </c>
      <c r="AR255" s="23">
        <f t="shared" si="80"/>
        <v>328</v>
      </c>
      <c r="AS255">
        <f t="shared" si="85"/>
        <v>323</v>
      </c>
      <c r="AT255" s="21">
        <f t="shared" si="86"/>
        <v>328</v>
      </c>
      <c r="AU255" s="21"/>
      <c r="AV255" s="21"/>
      <c r="AW255" s="21"/>
    </row>
    <row r="256" spans="1:49" x14ac:dyDescent="0.2">
      <c r="A256">
        <v>144</v>
      </c>
      <c r="E256">
        <f t="shared" si="81"/>
        <v>1</v>
      </c>
      <c r="F256" s="5" t="s">
        <v>487</v>
      </c>
      <c r="G256" s="5" t="s">
        <v>503</v>
      </c>
      <c r="J256" t="str">
        <f t="shared" si="88"/>
        <v>12</v>
      </c>
      <c r="K256" t="str">
        <f t="shared" si="89"/>
        <v>31</v>
      </c>
      <c r="L256" t="str">
        <f t="shared" si="90"/>
        <v/>
      </c>
      <c r="M256" s="6" t="str">
        <f t="shared" si="91"/>
        <v/>
      </c>
      <c r="N256" t="s">
        <v>178</v>
      </c>
      <c r="O256">
        <v>8</v>
      </c>
      <c r="P256" t="s">
        <v>424</v>
      </c>
      <c r="Q256" t="s">
        <v>7</v>
      </c>
      <c r="R256" t="s">
        <v>198</v>
      </c>
      <c r="S256" t="s">
        <v>53</v>
      </c>
      <c r="Y256" t="str">
        <f t="shared" si="71"/>
        <v/>
      </c>
      <c r="Z256" t="str">
        <f t="shared" si="72"/>
        <v/>
      </c>
      <c r="AC256" t="str">
        <f t="shared" si="73"/>
        <v>Shot</v>
      </c>
      <c r="AD256" t="str">
        <f t="shared" si="74"/>
        <v>Shot_Missed</v>
      </c>
      <c r="AE256" t="str">
        <f t="shared" si="75"/>
        <v>Shot-Wrist</v>
      </c>
      <c r="AF256" t="str">
        <f t="shared" si="76"/>
        <v>Offensive</v>
      </c>
      <c r="AG256">
        <f t="shared" si="82"/>
        <v>18981</v>
      </c>
      <c r="AH256" t="str">
        <f t="shared" si="83"/>
        <v>Nelson</v>
      </c>
      <c r="AI256" t="str">
        <f t="shared" si="84"/>
        <v>Velodrome</v>
      </c>
      <c r="AJ256" s="18">
        <f t="shared" si="77"/>
        <v>0</v>
      </c>
      <c r="AP256" s="18">
        <f t="shared" si="78"/>
        <v>0</v>
      </c>
      <c r="AQ256">
        <f t="shared" si="79"/>
        <v>0</v>
      </c>
      <c r="AR256" s="23">
        <f t="shared" si="80"/>
        <v>329</v>
      </c>
      <c r="AS256">
        <f t="shared" si="85"/>
        <v>324</v>
      </c>
      <c r="AT256" s="21">
        <f t="shared" si="86"/>
        <v>329</v>
      </c>
      <c r="AU256" s="21"/>
      <c r="AV256" s="21"/>
      <c r="AW256" s="21"/>
    </row>
    <row r="257" spans="1:49" x14ac:dyDescent="0.2">
      <c r="A257">
        <v>145</v>
      </c>
      <c r="E257">
        <f t="shared" si="81"/>
        <v>1</v>
      </c>
      <c r="F257" s="5" t="s">
        <v>487</v>
      </c>
      <c r="G257" s="5" t="s">
        <v>494</v>
      </c>
      <c r="H257" s="5" t="s">
        <v>487</v>
      </c>
      <c r="I257" s="7" t="s">
        <v>493</v>
      </c>
      <c r="J257" t="str">
        <f t="shared" si="88"/>
        <v>12</v>
      </c>
      <c r="K257" t="str">
        <f t="shared" si="89"/>
        <v>22</v>
      </c>
      <c r="L257" t="str">
        <f t="shared" si="90"/>
        <v>12</v>
      </c>
      <c r="M257" s="6" t="str">
        <f t="shared" si="91"/>
        <v>21</v>
      </c>
      <c r="N257" t="s">
        <v>179</v>
      </c>
      <c r="O257">
        <v>70</v>
      </c>
      <c r="P257" t="s">
        <v>424</v>
      </c>
      <c r="Q257" t="s">
        <v>15</v>
      </c>
      <c r="Y257" t="str">
        <f t="shared" si="71"/>
        <v/>
      </c>
      <c r="Z257" t="str">
        <f t="shared" si="72"/>
        <v/>
      </c>
      <c r="AC257" t="str">
        <f t="shared" si="73"/>
        <v>Possession</v>
      </c>
      <c r="AD257" t="str">
        <f t="shared" si="74"/>
        <v/>
      </c>
      <c r="AE257" t="str">
        <f t="shared" si="75"/>
        <v/>
      </c>
      <c r="AF257" t="str">
        <f t="shared" si="76"/>
        <v>Offensive</v>
      </c>
      <c r="AG257">
        <f t="shared" si="82"/>
        <v>18981</v>
      </c>
      <c r="AH257" t="str">
        <f t="shared" si="83"/>
        <v>Nelson</v>
      </c>
      <c r="AI257" t="str">
        <f t="shared" si="84"/>
        <v>Velodrome</v>
      </c>
      <c r="AJ257" s="18">
        <f t="shared" si="77"/>
        <v>1</v>
      </c>
      <c r="AP257" s="18">
        <f t="shared" si="78"/>
        <v>0</v>
      </c>
      <c r="AQ257">
        <f t="shared" si="79"/>
        <v>0</v>
      </c>
      <c r="AR257" s="23">
        <f t="shared" si="80"/>
        <v>338</v>
      </c>
      <c r="AS257">
        <f t="shared" si="85"/>
        <v>333</v>
      </c>
      <c r="AT257" s="21">
        <f t="shared" si="86"/>
        <v>339</v>
      </c>
      <c r="AU257" s="21"/>
      <c r="AV257" s="21"/>
      <c r="AW257" s="21"/>
    </row>
    <row r="258" spans="1:49" x14ac:dyDescent="0.2">
      <c r="A258">
        <v>146</v>
      </c>
      <c r="E258">
        <f t="shared" si="81"/>
        <v>1</v>
      </c>
      <c r="F258" s="5" t="s">
        <v>487</v>
      </c>
      <c r="G258" s="5" t="s">
        <v>493</v>
      </c>
      <c r="H258" s="5" t="s">
        <v>487</v>
      </c>
      <c r="I258" s="7" t="s">
        <v>490</v>
      </c>
      <c r="J258" t="str">
        <f t="shared" si="88"/>
        <v>12</v>
      </c>
      <c r="K258" t="str">
        <f t="shared" si="89"/>
        <v>21</v>
      </c>
      <c r="L258" t="str">
        <f t="shared" si="90"/>
        <v>12</v>
      </c>
      <c r="M258" s="6" t="str">
        <f t="shared" si="91"/>
        <v>18</v>
      </c>
      <c r="N258" t="s">
        <v>179</v>
      </c>
      <c r="O258">
        <v>70</v>
      </c>
      <c r="P258" t="s">
        <v>424</v>
      </c>
      <c r="Q258" t="s">
        <v>15</v>
      </c>
      <c r="Y258" t="str">
        <f t="shared" si="71"/>
        <v/>
      </c>
      <c r="Z258" t="str">
        <f t="shared" si="72"/>
        <v/>
      </c>
      <c r="AC258" t="str">
        <f t="shared" si="73"/>
        <v>Possession</v>
      </c>
      <c r="AD258" t="str">
        <f t="shared" si="74"/>
        <v/>
      </c>
      <c r="AE258" t="str">
        <f t="shared" si="75"/>
        <v/>
      </c>
      <c r="AF258" t="str">
        <f t="shared" si="76"/>
        <v>Offensive</v>
      </c>
      <c r="AG258">
        <f t="shared" si="82"/>
        <v>18981</v>
      </c>
      <c r="AH258" t="str">
        <f t="shared" si="83"/>
        <v>Nelson</v>
      </c>
      <c r="AI258" t="str">
        <f t="shared" si="84"/>
        <v>Velodrome</v>
      </c>
      <c r="AJ258" s="18">
        <f t="shared" si="77"/>
        <v>3</v>
      </c>
      <c r="AP258" s="18">
        <f t="shared" si="78"/>
        <v>0</v>
      </c>
      <c r="AQ258">
        <f t="shared" si="79"/>
        <v>0</v>
      </c>
      <c r="AR258" s="23">
        <f t="shared" si="80"/>
        <v>339</v>
      </c>
      <c r="AS258">
        <f t="shared" si="85"/>
        <v>334</v>
      </c>
      <c r="AT258" s="21">
        <f t="shared" si="86"/>
        <v>342</v>
      </c>
      <c r="AU258" s="21"/>
      <c r="AV258" s="21"/>
      <c r="AW258" s="21"/>
    </row>
    <row r="259" spans="1:49" x14ac:dyDescent="0.2">
      <c r="A259">
        <v>147</v>
      </c>
      <c r="E259">
        <f t="shared" si="81"/>
        <v>1</v>
      </c>
      <c r="F259" s="5" t="s">
        <v>487</v>
      </c>
      <c r="G259" s="5" t="s">
        <v>490</v>
      </c>
      <c r="J259" t="str">
        <f t="shared" si="88"/>
        <v>12</v>
      </c>
      <c r="K259" t="str">
        <f t="shared" si="89"/>
        <v>18</v>
      </c>
      <c r="L259" t="str">
        <f t="shared" si="90"/>
        <v/>
      </c>
      <c r="M259" s="6" t="str">
        <f t="shared" si="91"/>
        <v/>
      </c>
      <c r="N259" t="s">
        <v>179</v>
      </c>
      <c r="O259">
        <v>70</v>
      </c>
      <c r="P259" t="s">
        <v>424</v>
      </c>
      <c r="Q259" t="s">
        <v>8</v>
      </c>
      <c r="R259" t="s">
        <v>189</v>
      </c>
      <c r="S259" t="s">
        <v>67</v>
      </c>
      <c r="Y259" t="str">
        <f t="shared" ref="Y259:Y322" si="92">IF($N259="","",IF(X259="","",IF($N259="Home",$X259,IF($X259="n","n",IF($X259="d","o",IF($X259="o","d",""))))))</f>
        <v/>
      </c>
      <c r="Z259" t="str">
        <f t="shared" ref="Z259:Z322" si="93">IF($N259="","",IF(X259="","",IF($N259="Away",$X259,IF($X259="n","n",IF($X259="d","o",IF($X259="o","d",""))))))</f>
        <v/>
      </c>
      <c r="AC259" t="str">
        <f t="shared" ref="AC259:AC322" si="94">IF(Q259&lt;&gt;"",Q259,IF($A259=$A258,AC258,""))</f>
        <v>Pass</v>
      </c>
      <c r="AD259" t="str">
        <f t="shared" ref="AD259:AD322" si="95">IF(R259&lt;&gt;"",R259,IF($A259=$A258,AD258,""))</f>
        <v>Pass_Completed</v>
      </c>
      <c r="AE259" t="str">
        <f t="shared" ref="AE259:AE322" si="96">IF(S259&lt;&gt;"",S259,IF($A259=$A258,AE258,""))</f>
        <v>Pass-Stretch</v>
      </c>
      <c r="AF259" t="str">
        <f t="shared" ref="AF259:AF322" si="97">IF(AND(P259="e",OR(AC259="Save",AD259="Turnover_Takeaway",AD259="Play_Defensive")),"Defensive",IF(AND(P259="o",OR(AC259="Save",AD259="Turnover_Takeaway",AD259="Play_Defensive")),"Offensive",IF(OR(AC259="Deadice",AC259="Stoppage",AC259="Intermission"),"",IF(P259="e","Offensive",IF(P259="o","Defensive","")))))</f>
        <v>Offensive</v>
      </c>
      <c r="AG259">
        <f t="shared" si="82"/>
        <v>18981</v>
      </c>
      <c r="AH259" t="str">
        <f t="shared" si="83"/>
        <v>Nelson</v>
      </c>
      <c r="AI259" t="str">
        <f t="shared" si="84"/>
        <v>Velodrome</v>
      </c>
      <c r="AJ259" s="18">
        <f t="shared" ref="AJ259:AJ322" si="98">IF(AND(L259="",M259=""),0,((J259*60)+K259)-((L259*60)+M259))</f>
        <v>0</v>
      </c>
      <c r="AP259" s="18">
        <f t="shared" ref="AP259:AP322" si="99">SUMIFS(AJ259:AJ259,Q259:Q259,"=Intermission")</f>
        <v>0</v>
      </c>
      <c r="AQ259">
        <f t="shared" ref="AQ259:AQ322" si="100">IF(E259=1,0,IF(E259=2,1080+AP259,IF(E259=3,(1080*2)+AP259,0)))</f>
        <v>0</v>
      </c>
      <c r="AR259" s="23">
        <f t="shared" ref="AR259:AR322" si="101">IF(Q259="Intermission",AR258,((1080)-((J259*60)+K259))+AQ259)</f>
        <v>342</v>
      </c>
      <c r="AS259">
        <f t="shared" si="85"/>
        <v>337</v>
      </c>
      <c r="AT259" s="21">
        <f t="shared" si="86"/>
        <v>342</v>
      </c>
      <c r="AU259" s="21"/>
      <c r="AV259" s="21"/>
      <c r="AW259" s="21"/>
    </row>
    <row r="260" spans="1:49" x14ac:dyDescent="0.2">
      <c r="A260">
        <v>147</v>
      </c>
      <c r="E260">
        <f t="shared" ref="E260:E323" si="102">IF(Q260="Intermission",E259+1,E259)</f>
        <v>1</v>
      </c>
      <c r="J260" t="str">
        <f t="shared" si="88"/>
        <v>12</v>
      </c>
      <c r="K260" t="str">
        <f t="shared" si="89"/>
        <v>18</v>
      </c>
      <c r="L260" t="str">
        <f t="shared" si="90"/>
        <v/>
      </c>
      <c r="M260" s="6" t="str">
        <f t="shared" si="91"/>
        <v/>
      </c>
      <c r="N260" t="str">
        <f t="shared" si="87"/>
        <v>Away</v>
      </c>
      <c r="O260">
        <v>87</v>
      </c>
      <c r="P260" t="s">
        <v>424</v>
      </c>
      <c r="Y260" t="str">
        <f t="shared" si="92"/>
        <v/>
      </c>
      <c r="Z260" t="str">
        <f t="shared" si="93"/>
        <v/>
      </c>
      <c r="AC260" t="str">
        <f t="shared" si="94"/>
        <v>Pass</v>
      </c>
      <c r="AD260" t="str">
        <f t="shared" si="95"/>
        <v>Pass_Completed</v>
      </c>
      <c r="AE260" t="str">
        <f t="shared" si="96"/>
        <v>Pass-Stretch</v>
      </c>
      <c r="AF260" t="str">
        <f t="shared" si="97"/>
        <v>Offensive</v>
      </c>
      <c r="AG260">
        <f t="shared" ref="AG260:AG323" si="103">AG259</f>
        <v>18981</v>
      </c>
      <c r="AH260" t="str">
        <f t="shared" ref="AH260:AH323" si="104">AH259</f>
        <v>Nelson</v>
      </c>
      <c r="AI260" t="str">
        <f t="shared" ref="AI260:AI323" si="105">AI259</f>
        <v>Velodrome</v>
      </c>
      <c r="AJ260" s="18">
        <f t="shared" si="98"/>
        <v>0</v>
      </c>
      <c r="AP260" s="18">
        <f t="shared" si="99"/>
        <v>0</v>
      </c>
      <c r="AQ260">
        <f t="shared" si="100"/>
        <v>0</v>
      </c>
      <c r="AR260" s="23">
        <f t="shared" si="101"/>
        <v>342</v>
      </c>
      <c r="AS260">
        <f t="shared" ref="AS260:AS323" si="106">IF(AR260&lt;5,0,AR260-5)</f>
        <v>337</v>
      </c>
      <c r="AT260" s="21">
        <f t="shared" ref="AT260:AT323" si="107">AS260+AJ260+5</f>
        <v>342</v>
      </c>
      <c r="AU260" s="21"/>
      <c r="AV260" s="21"/>
      <c r="AW260" s="21"/>
    </row>
    <row r="261" spans="1:49" x14ac:dyDescent="0.2">
      <c r="A261">
        <v>148</v>
      </c>
      <c r="E261">
        <f t="shared" si="102"/>
        <v>1</v>
      </c>
      <c r="F261" s="5" t="s">
        <v>487</v>
      </c>
      <c r="G261" s="5" t="s">
        <v>490</v>
      </c>
      <c r="J261" t="str">
        <f t="shared" si="88"/>
        <v>12</v>
      </c>
      <c r="K261" t="str">
        <f t="shared" si="89"/>
        <v>18</v>
      </c>
      <c r="L261" t="str">
        <f t="shared" si="90"/>
        <v/>
      </c>
      <c r="M261" s="6" t="str">
        <f t="shared" si="91"/>
        <v/>
      </c>
      <c r="N261" t="s">
        <v>179</v>
      </c>
      <c r="O261">
        <v>70</v>
      </c>
      <c r="P261" t="s">
        <v>424</v>
      </c>
      <c r="Q261" t="s">
        <v>277</v>
      </c>
      <c r="R261" t="s">
        <v>201</v>
      </c>
      <c r="S261" t="s">
        <v>91</v>
      </c>
      <c r="Y261" t="str">
        <f t="shared" si="92"/>
        <v/>
      </c>
      <c r="Z261" t="str">
        <f t="shared" si="93"/>
        <v/>
      </c>
      <c r="AC261" t="str">
        <f t="shared" si="94"/>
        <v>Zone_Entry_Exit</v>
      </c>
      <c r="AD261" t="str">
        <f t="shared" si="95"/>
        <v>Zone_Exit</v>
      </c>
      <c r="AE261" t="str">
        <f t="shared" si="96"/>
        <v>ZoneExit-Pass</v>
      </c>
      <c r="AF261" t="str">
        <f t="shared" si="97"/>
        <v>Offensive</v>
      </c>
      <c r="AG261">
        <f t="shared" si="103"/>
        <v>18981</v>
      </c>
      <c r="AH261" t="str">
        <f t="shared" si="104"/>
        <v>Nelson</v>
      </c>
      <c r="AI261" t="str">
        <f t="shared" si="105"/>
        <v>Velodrome</v>
      </c>
      <c r="AJ261" s="18">
        <f t="shared" si="98"/>
        <v>0</v>
      </c>
      <c r="AP261" s="18">
        <f t="shared" si="99"/>
        <v>0</v>
      </c>
      <c r="AQ261">
        <f t="shared" si="100"/>
        <v>0</v>
      </c>
      <c r="AR261" s="23">
        <f t="shared" si="101"/>
        <v>342</v>
      </c>
      <c r="AS261">
        <f t="shared" si="106"/>
        <v>337</v>
      </c>
      <c r="AT261" s="21">
        <f t="shared" si="107"/>
        <v>342</v>
      </c>
      <c r="AU261" s="21"/>
      <c r="AV261" s="21"/>
      <c r="AW261" s="21"/>
    </row>
    <row r="262" spans="1:49" x14ac:dyDescent="0.2">
      <c r="A262">
        <v>148</v>
      </c>
      <c r="E262">
        <f t="shared" si="102"/>
        <v>1</v>
      </c>
      <c r="J262" t="str">
        <f t="shared" si="88"/>
        <v>12</v>
      </c>
      <c r="K262" t="str">
        <f t="shared" si="89"/>
        <v>18</v>
      </c>
      <c r="L262" t="str">
        <f t="shared" si="90"/>
        <v/>
      </c>
      <c r="M262" s="6" t="str">
        <f t="shared" si="91"/>
        <v/>
      </c>
      <c r="N262" t="str">
        <f t="shared" ref="N262:N322" si="108">IF(A262=A261,N261,"")</f>
        <v>Away</v>
      </c>
      <c r="O262">
        <v>87</v>
      </c>
      <c r="P262" t="s">
        <v>424</v>
      </c>
      <c r="Y262" t="str">
        <f t="shared" si="92"/>
        <v/>
      </c>
      <c r="Z262" t="str">
        <f t="shared" si="93"/>
        <v/>
      </c>
      <c r="AC262" t="str">
        <f t="shared" si="94"/>
        <v>Zone_Entry_Exit</v>
      </c>
      <c r="AD262" t="str">
        <f t="shared" si="95"/>
        <v>Zone_Exit</v>
      </c>
      <c r="AE262" t="str">
        <f t="shared" si="96"/>
        <v>ZoneExit-Pass</v>
      </c>
      <c r="AF262" t="str">
        <f t="shared" si="97"/>
        <v>Offensive</v>
      </c>
      <c r="AG262">
        <f t="shared" si="103"/>
        <v>18981</v>
      </c>
      <c r="AH262" t="str">
        <f t="shared" si="104"/>
        <v>Nelson</v>
      </c>
      <c r="AI262" t="str">
        <f t="shared" si="105"/>
        <v>Velodrome</v>
      </c>
      <c r="AJ262" s="18">
        <f t="shared" si="98"/>
        <v>0</v>
      </c>
      <c r="AP262" s="18">
        <f t="shared" si="99"/>
        <v>0</v>
      </c>
      <c r="AQ262">
        <f t="shared" si="100"/>
        <v>0</v>
      </c>
      <c r="AR262" s="23">
        <f t="shared" si="101"/>
        <v>342</v>
      </c>
      <c r="AS262">
        <f t="shared" si="106"/>
        <v>337</v>
      </c>
      <c r="AT262" s="21">
        <f t="shared" si="107"/>
        <v>342</v>
      </c>
      <c r="AU262" s="21"/>
      <c r="AV262" s="21"/>
      <c r="AW262" s="21"/>
    </row>
    <row r="263" spans="1:49" x14ac:dyDescent="0.2">
      <c r="A263">
        <v>149</v>
      </c>
      <c r="E263">
        <f t="shared" si="102"/>
        <v>1</v>
      </c>
      <c r="F263" s="5" t="s">
        <v>487</v>
      </c>
      <c r="G263" s="5" t="s">
        <v>490</v>
      </c>
      <c r="H263" s="5" t="s">
        <v>487</v>
      </c>
      <c r="I263" s="7" t="s">
        <v>472</v>
      </c>
      <c r="J263" t="str">
        <f t="shared" si="88"/>
        <v>12</v>
      </c>
      <c r="K263" t="str">
        <f t="shared" si="89"/>
        <v>18</v>
      </c>
      <c r="L263" t="str">
        <f t="shared" si="90"/>
        <v>12</v>
      </c>
      <c r="M263" s="6" t="str">
        <f t="shared" si="91"/>
        <v>17</v>
      </c>
      <c r="N263" t="s">
        <v>179</v>
      </c>
      <c r="O263">
        <v>87</v>
      </c>
      <c r="P263" t="s">
        <v>424</v>
      </c>
      <c r="Q263" t="s">
        <v>15</v>
      </c>
      <c r="Y263" t="str">
        <f t="shared" si="92"/>
        <v/>
      </c>
      <c r="Z263" t="str">
        <f t="shared" si="93"/>
        <v/>
      </c>
      <c r="AC263" t="str">
        <f t="shared" si="94"/>
        <v>Possession</v>
      </c>
      <c r="AD263" t="str">
        <f t="shared" si="95"/>
        <v/>
      </c>
      <c r="AE263" t="str">
        <f t="shared" si="96"/>
        <v/>
      </c>
      <c r="AF263" t="str">
        <f t="shared" si="97"/>
        <v>Offensive</v>
      </c>
      <c r="AG263">
        <f t="shared" si="103"/>
        <v>18981</v>
      </c>
      <c r="AH263" t="str">
        <f t="shared" si="104"/>
        <v>Nelson</v>
      </c>
      <c r="AI263" t="str">
        <f t="shared" si="105"/>
        <v>Velodrome</v>
      </c>
      <c r="AJ263" s="18">
        <f t="shared" si="98"/>
        <v>1</v>
      </c>
      <c r="AP263" s="18">
        <f t="shared" si="99"/>
        <v>0</v>
      </c>
      <c r="AQ263">
        <f t="shared" si="100"/>
        <v>0</v>
      </c>
      <c r="AR263" s="23">
        <f t="shared" si="101"/>
        <v>342</v>
      </c>
      <c r="AS263">
        <f t="shared" si="106"/>
        <v>337</v>
      </c>
      <c r="AT263" s="21">
        <f t="shared" si="107"/>
        <v>343</v>
      </c>
      <c r="AU263" s="21"/>
      <c r="AV263" s="21"/>
      <c r="AW263" s="21"/>
    </row>
    <row r="264" spans="1:49" x14ac:dyDescent="0.2">
      <c r="A264">
        <v>150</v>
      </c>
      <c r="E264">
        <f t="shared" si="102"/>
        <v>1</v>
      </c>
      <c r="F264" s="5" t="s">
        <v>487</v>
      </c>
      <c r="G264" s="5" t="s">
        <v>472</v>
      </c>
      <c r="H264" s="5" t="s">
        <v>487</v>
      </c>
      <c r="I264" s="7" t="s">
        <v>489</v>
      </c>
      <c r="J264" t="str">
        <f t="shared" si="88"/>
        <v>12</v>
      </c>
      <c r="K264" t="str">
        <f t="shared" si="89"/>
        <v>17</v>
      </c>
      <c r="L264" t="str">
        <f t="shared" si="90"/>
        <v>12</v>
      </c>
      <c r="M264" s="6" t="str">
        <f t="shared" si="91"/>
        <v>14</v>
      </c>
      <c r="N264" t="s">
        <v>179</v>
      </c>
      <c r="O264">
        <v>87</v>
      </c>
      <c r="P264" t="s">
        <v>424</v>
      </c>
      <c r="Q264" t="s">
        <v>277</v>
      </c>
      <c r="R264" t="s">
        <v>191</v>
      </c>
      <c r="S264" t="s">
        <v>87</v>
      </c>
      <c r="Y264" t="str">
        <f t="shared" si="92"/>
        <v/>
      </c>
      <c r="Z264" t="str">
        <f t="shared" si="93"/>
        <v/>
      </c>
      <c r="AC264" t="str">
        <f t="shared" si="94"/>
        <v>Zone_Entry_Exit</v>
      </c>
      <c r="AD264" t="str">
        <f t="shared" si="95"/>
        <v>Zone_Entry</v>
      </c>
      <c r="AE264" t="str">
        <f t="shared" si="96"/>
        <v>ZoneEntry-Rush</v>
      </c>
      <c r="AF264" t="str">
        <f t="shared" si="97"/>
        <v>Offensive</v>
      </c>
      <c r="AG264">
        <f t="shared" si="103"/>
        <v>18981</v>
      </c>
      <c r="AH264" t="str">
        <f t="shared" si="104"/>
        <v>Nelson</v>
      </c>
      <c r="AI264" t="str">
        <f t="shared" si="105"/>
        <v>Velodrome</v>
      </c>
      <c r="AJ264" s="18">
        <f t="shared" si="98"/>
        <v>3</v>
      </c>
      <c r="AP264" s="18">
        <f t="shared" si="99"/>
        <v>0</v>
      </c>
      <c r="AQ264">
        <f t="shared" si="100"/>
        <v>0</v>
      </c>
      <c r="AR264" s="23">
        <f t="shared" si="101"/>
        <v>343</v>
      </c>
      <c r="AS264">
        <f t="shared" si="106"/>
        <v>338</v>
      </c>
      <c r="AT264" s="21">
        <f t="shared" si="107"/>
        <v>346</v>
      </c>
      <c r="AU264" s="21"/>
      <c r="AV264" s="21"/>
      <c r="AW264" s="21"/>
    </row>
    <row r="265" spans="1:49" x14ac:dyDescent="0.2">
      <c r="A265">
        <v>150</v>
      </c>
      <c r="E265">
        <f t="shared" si="102"/>
        <v>1</v>
      </c>
      <c r="J265" t="str">
        <f t="shared" ref="J265:J328" si="109">IF(F265&lt;&gt;"",F265,IF($A265=$A264,J264,J265))</f>
        <v>12</v>
      </c>
      <c r="K265" t="str">
        <f t="shared" ref="K265:K328" si="110">IF($A265=$A264,K264,G265)</f>
        <v>17</v>
      </c>
      <c r="L265" t="str">
        <f t="shared" ref="L265:L328" si="111">IF(H265&lt;&gt;"",H265,IF($A265=$A264,L264,""))</f>
        <v>12</v>
      </c>
      <c r="M265" s="6" t="str">
        <f t="shared" ref="M265:M328" si="112">IF(I265&lt;&gt;"",I265,IF($A265=$A264,M264,""))</f>
        <v>14</v>
      </c>
      <c r="N265" t="str">
        <f t="shared" si="108"/>
        <v>Away</v>
      </c>
      <c r="O265">
        <v>8</v>
      </c>
      <c r="P265" t="s">
        <v>425</v>
      </c>
      <c r="Y265" t="str">
        <f t="shared" si="92"/>
        <v/>
      </c>
      <c r="Z265" t="str">
        <f t="shared" si="93"/>
        <v/>
      </c>
      <c r="AC265" t="str">
        <f t="shared" si="94"/>
        <v>Zone_Entry_Exit</v>
      </c>
      <c r="AD265" t="str">
        <f t="shared" si="95"/>
        <v>Zone_Entry</v>
      </c>
      <c r="AE265" t="str">
        <f t="shared" si="96"/>
        <v>ZoneEntry-Rush</v>
      </c>
      <c r="AF265" t="str">
        <f t="shared" si="97"/>
        <v>Defensive</v>
      </c>
      <c r="AG265">
        <f t="shared" si="103"/>
        <v>18981</v>
      </c>
      <c r="AH265" t="str">
        <f t="shared" si="104"/>
        <v>Nelson</v>
      </c>
      <c r="AI265" t="str">
        <f t="shared" si="105"/>
        <v>Velodrome</v>
      </c>
      <c r="AJ265" s="18">
        <f t="shared" si="98"/>
        <v>3</v>
      </c>
      <c r="AP265" s="18">
        <f t="shared" si="99"/>
        <v>0</v>
      </c>
      <c r="AQ265">
        <f t="shared" si="100"/>
        <v>0</v>
      </c>
      <c r="AR265" s="23">
        <f t="shared" si="101"/>
        <v>343</v>
      </c>
      <c r="AS265">
        <f t="shared" si="106"/>
        <v>338</v>
      </c>
      <c r="AT265" s="21">
        <f t="shared" si="107"/>
        <v>346</v>
      </c>
      <c r="AU265" s="21"/>
      <c r="AV265" s="21"/>
      <c r="AW265" s="21"/>
    </row>
    <row r="266" spans="1:49" x14ac:dyDescent="0.2">
      <c r="A266">
        <v>151</v>
      </c>
      <c r="E266">
        <f t="shared" si="102"/>
        <v>1</v>
      </c>
      <c r="F266" s="5" t="s">
        <v>487</v>
      </c>
      <c r="G266" s="5" t="s">
        <v>489</v>
      </c>
      <c r="J266" t="str">
        <f t="shared" si="109"/>
        <v>12</v>
      </c>
      <c r="K266" t="str">
        <f t="shared" si="110"/>
        <v>14</v>
      </c>
      <c r="L266" t="str">
        <f t="shared" si="111"/>
        <v/>
      </c>
      <c r="M266" s="6" t="str">
        <f t="shared" si="112"/>
        <v/>
      </c>
      <c r="N266" t="s">
        <v>179</v>
      </c>
      <c r="O266">
        <v>87</v>
      </c>
      <c r="P266" t="s">
        <v>424</v>
      </c>
      <c r="Q266" t="s">
        <v>7</v>
      </c>
      <c r="R266" t="s">
        <v>222</v>
      </c>
      <c r="S266" t="s">
        <v>53</v>
      </c>
      <c r="Y266" t="str">
        <f t="shared" si="92"/>
        <v/>
      </c>
      <c r="Z266" t="str">
        <f t="shared" si="93"/>
        <v/>
      </c>
      <c r="AC266" t="str">
        <f t="shared" si="94"/>
        <v>Shot</v>
      </c>
      <c r="AD266" t="str">
        <f t="shared" si="95"/>
        <v>Shot_OnNetSaved</v>
      </c>
      <c r="AE266" t="str">
        <f t="shared" si="96"/>
        <v>Shot-Wrist</v>
      </c>
      <c r="AF266" t="str">
        <f t="shared" si="97"/>
        <v>Offensive</v>
      </c>
      <c r="AG266">
        <f t="shared" si="103"/>
        <v>18981</v>
      </c>
      <c r="AH266" t="str">
        <f t="shared" si="104"/>
        <v>Nelson</v>
      </c>
      <c r="AI266" t="str">
        <f t="shared" si="105"/>
        <v>Velodrome</v>
      </c>
      <c r="AJ266" s="18">
        <f t="shared" si="98"/>
        <v>0</v>
      </c>
      <c r="AP266" s="18">
        <f t="shared" si="99"/>
        <v>0</v>
      </c>
      <c r="AQ266">
        <f t="shared" si="100"/>
        <v>0</v>
      </c>
      <c r="AR266" s="23">
        <f t="shared" si="101"/>
        <v>346</v>
      </c>
      <c r="AS266">
        <f t="shared" si="106"/>
        <v>341</v>
      </c>
      <c r="AT266" s="21">
        <f t="shared" si="107"/>
        <v>346</v>
      </c>
      <c r="AU266" s="21"/>
      <c r="AV266" s="21"/>
      <c r="AW266" s="21"/>
    </row>
    <row r="267" spans="1:49" x14ac:dyDescent="0.2">
      <c r="A267">
        <v>151</v>
      </c>
      <c r="E267">
        <f t="shared" si="102"/>
        <v>1</v>
      </c>
      <c r="J267" t="str">
        <f t="shared" si="109"/>
        <v>12</v>
      </c>
      <c r="K267" t="str">
        <f t="shared" si="110"/>
        <v>14</v>
      </c>
      <c r="L267" t="str">
        <f t="shared" si="111"/>
        <v/>
      </c>
      <c r="M267" s="6" t="str">
        <f t="shared" si="112"/>
        <v/>
      </c>
      <c r="N267" t="str">
        <f t="shared" si="108"/>
        <v>Away</v>
      </c>
      <c r="O267">
        <v>31</v>
      </c>
      <c r="P267" t="s">
        <v>425</v>
      </c>
      <c r="Y267" t="str">
        <f t="shared" si="92"/>
        <v/>
      </c>
      <c r="Z267" t="str">
        <f t="shared" si="93"/>
        <v/>
      </c>
      <c r="AC267" t="str">
        <f t="shared" si="94"/>
        <v>Shot</v>
      </c>
      <c r="AD267" t="str">
        <f t="shared" si="95"/>
        <v>Shot_OnNetSaved</v>
      </c>
      <c r="AE267" t="str">
        <f t="shared" si="96"/>
        <v>Shot-Wrist</v>
      </c>
      <c r="AF267" t="str">
        <f t="shared" si="97"/>
        <v>Defensive</v>
      </c>
      <c r="AG267">
        <f t="shared" si="103"/>
        <v>18981</v>
      </c>
      <c r="AH267" t="str">
        <f t="shared" si="104"/>
        <v>Nelson</v>
      </c>
      <c r="AI267" t="str">
        <f t="shared" si="105"/>
        <v>Velodrome</v>
      </c>
      <c r="AJ267" s="18">
        <f t="shared" si="98"/>
        <v>0</v>
      </c>
      <c r="AP267" s="18">
        <f t="shared" si="99"/>
        <v>0</v>
      </c>
      <c r="AQ267">
        <f t="shared" si="100"/>
        <v>0</v>
      </c>
      <c r="AR267" s="23">
        <f t="shared" si="101"/>
        <v>346</v>
      </c>
      <c r="AS267">
        <f t="shared" si="106"/>
        <v>341</v>
      </c>
      <c r="AT267" s="21">
        <f t="shared" si="107"/>
        <v>346</v>
      </c>
      <c r="AU267" s="21"/>
      <c r="AV267" s="21"/>
      <c r="AW267" s="21"/>
    </row>
    <row r="268" spans="1:49" x14ac:dyDescent="0.2">
      <c r="A268">
        <v>151</v>
      </c>
      <c r="E268">
        <f t="shared" si="102"/>
        <v>1</v>
      </c>
      <c r="J268" t="str">
        <f t="shared" si="109"/>
        <v>12</v>
      </c>
      <c r="K268" t="str">
        <f t="shared" si="110"/>
        <v>14</v>
      </c>
      <c r="L268" t="str">
        <f t="shared" si="111"/>
        <v/>
      </c>
      <c r="M268" s="6" t="str">
        <f t="shared" si="112"/>
        <v/>
      </c>
      <c r="N268" t="str">
        <f t="shared" si="108"/>
        <v>Away</v>
      </c>
      <c r="O268">
        <v>8</v>
      </c>
      <c r="P268" t="s">
        <v>425</v>
      </c>
      <c r="Y268" t="str">
        <f t="shared" si="92"/>
        <v/>
      </c>
      <c r="Z268" t="str">
        <f t="shared" si="93"/>
        <v/>
      </c>
      <c r="AC268" t="str">
        <f t="shared" si="94"/>
        <v>Shot</v>
      </c>
      <c r="AD268" t="str">
        <f t="shared" si="95"/>
        <v>Shot_OnNetSaved</v>
      </c>
      <c r="AE268" t="str">
        <f t="shared" si="96"/>
        <v>Shot-Wrist</v>
      </c>
      <c r="AF268" t="str">
        <f t="shared" si="97"/>
        <v>Defensive</v>
      </c>
      <c r="AG268">
        <f t="shared" si="103"/>
        <v>18981</v>
      </c>
      <c r="AH268" t="str">
        <f t="shared" si="104"/>
        <v>Nelson</v>
      </c>
      <c r="AI268" t="str">
        <f t="shared" si="105"/>
        <v>Velodrome</v>
      </c>
      <c r="AJ268" s="18">
        <f t="shared" si="98"/>
        <v>0</v>
      </c>
      <c r="AP268" s="18">
        <f t="shared" si="99"/>
        <v>0</v>
      </c>
      <c r="AQ268">
        <f t="shared" si="100"/>
        <v>0</v>
      </c>
      <c r="AR268" s="23">
        <f t="shared" si="101"/>
        <v>346</v>
      </c>
      <c r="AS268">
        <f t="shared" si="106"/>
        <v>341</v>
      </c>
      <c r="AT268" s="21">
        <f t="shared" si="107"/>
        <v>346</v>
      </c>
      <c r="AU268" s="21"/>
      <c r="AV268" s="21"/>
      <c r="AW268" s="21"/>
    </row>
    <row r="269" spans="1:49" x14ac:dyDescent="0.2">
      <c r="A269">
        <v>152</v>
      </c>
      <c r="E269">
        <f t="shared" si="102"/>
        <v>1</v>
      </c>
      <c r="F269" s="5" t="s">
        <v>487</v>
      </c>
      <c r="G269" s="5" t="s">
        <v>489</v>
      </c>
      <c r="J269" t="str">
        <f t="shared" si="109"/>
        <v>12</v>
      </c>
      <c r="K269" t="str">
        <f t="shared" si="110"/>
        <v>14</v>
      </c>
      <c r="L269" t="str">
        <f t="shared" si="111"/>
        <v/>
      </c>
      <c r="M269" s="6" t="str">
        <f t="shared" si="112"/>
        <v/>
      </c>
      <c r="N269" t="s">
        <v>178</v>
      </c>
      <c r="O269">
        <v>31</v>
      </c>
      <c r="P269" t="s">
        <v>424</v>
      </c>
      <c r="Q269" t="s">
        <v>17</v>
      </c>
      <c r="R269" t="s">
        <v>206</v>
      </c>
      <c r="S269" t="s">
        <v>103</v>
      </c>
      <c r="Y269" t="str">
        <f t="shared" si="92"/>
        <v/>
      </c>
      <c r="Z269" t="str">
        <f t="shared" si="93"/>
        <v/>
      </c>
      <c r="AC269" t="str">
        <f t="shared" si="94"/>
        <v>Save</v>
      </c>
      <c r="AD269" t="str">
        <f t="shared" si="95"/>
        <v>Save_Freeze</v>
      </c>
      <c r="AE269" t="str">
        <f t="shared" si="96"/>
        <v>Save-Chest</v>
      </c>
      <c r="AF269" t="str">
        <f t="shared" si="97"/>
        <v>Defensive</v>
      </c>
      <c r="AG269">
        <f t="shared" si="103"/>
        <v>18981</v>
      </c>
      <c r="AH269" t="str">
        <f t="shared" si="104"/>
        <v>Nelson</v>
      </c>
      <c r="AI269" t="str">
        <f t="shared" si="105"/>
        <v>Velodrome</v>
      </c>
      <c r="AJ269" s="18">
        <f t="shared" si="98"/>
        <v>0</v>
      </c>
      <c r="AP269" s="18">
        <f t="shared" si="99"/>
        <v>0</v>
      </c>
      <c r="AQ269">
        <f t="shared" si="100"/>
        <v>0</v>
      </c>
      <c r="AR269" s="23">
        <f t="shared" si="101"/>
        <v>346</v>
      </c>
      <c r="AS269">
        <f t="shared" si="106"/>
        <v>341</v>
      </c>
      <c r="AT269" s="21">
        <f t="shared" si="107"/>
        <v>346</v>
      </c>
      <c r="AU269" s="21"/>
      <c r="AV269" s="21"/>
      <c r="AW269" s="21"/>
    </row>
    <row r="270" spans="1:49" x14ac:dyDescent="0.2">
      <c r="A270">
        <v>152</v>
      </c>
      <c r="E270">
        <f t="shared" si="102"/>
        <v>1</v>
      </c>
      <c r="J270" t="str">
        <f t="shared" si="109"/>
        <v>12</v>
      </c>
      <c r="K270" t="str">
        <f t="shared" si="110"/>
        <v>14</v>
      </c>
      <c r="L270" t="str">
        <f t="shared" si="111"/>
        <v/>
      </c>
      <c r="M270" s="6" t="str">
        <f t="shared" si="112"/>
        <v/>
      </c>
      <c r="N270" t="str">
        <f t="shared" si="108"/>
        <v>Home</v>
      </c>
      <c r="O270">
        <v>8</v>
      </c>
      <c r="P270" t="s">
        <v>424</v>
      </c>
      <c r="Y270" t="str">
        <f t="shared" si="92"/>
        <v/>
      </c>
      <c r="Z270" t="str">
        <f t="shared" si="93"/>
        <v/>
      </c>
      <c r="AC270" t="str">
        <f t="shared" si="94"/>
        <v>Save</v>
      </c>
      <c r="AD270" t="str">
        <f t="shared" si="95"/>
        <v>Save_Freeze</v>
      </c>
      <c r="AE270" t="str">
        <f t="shared" si="96"/>
        <v>Save-Chest</v>
      </c>
      <c r="AF270" t="str">
        <f t="shared" si="97"/>
        <v>Defensive</v>
      </c>
      <c r="AG270">
        <f t="shared" si="103"/>
        <v>18981</v>
      </c>
      <c r="AH270" t="str">
        <f t="shared" si="104"/>
        <v>Nelson</v>
      </c>
      <c r="AI270" t="str">
        <f t="shared" si="105"/>
        <v>Velodrome</v>
      </c>
      <c r="AJ270" s="18">
        <f t="shared" si="98"/>
        <v>0</v>
      </c>
      <c r="AP270" s="18">
        <f t="shared" si="99"/>
        <v>0</v>
      </c>
      <c r="AQ270">
        <f t="shared" si="100"/>
        <v>0</v>
      </c>
      <c r="AR270" s="23">
        <f t="shared" si="101"/>
        <v>346</v>
      </c>
      <c r="AS270">
        <f t="shared" si="106"/>
        <v>341</v>
      </c>
      <c r="AT270" s="21">
        <f t="shared" si="107"/>
        <v>346</v>
      </c>
      <c r="AU270" s="21"/>
      <c r="AV270" s="21"/>
      <c r="AW270" s="21"/>
    </row>
    <row r="271" spans="1:49" x14ac:dyDescent="0.2">
      <c r="A271">
        <v>152</v>
      </c>
      <c r="E271">
        <f t="shared" si="102"/>
        <v>1</v>
      </c>
      <c r="J271" t="str">
        <f t="shared" si="109"/>
        <v>12</v>
      </c>
      <c r="K271" t="str">
        <f t="shared" si="110"/>
        <v>14</v>
      </c>
      <c r="L271" t="str">
        <f t="shared" si="111"/>
        <v/>
      </c>
      <c r="M271" s="6" t="str">
        <f t="shared" si="112"/>
        <v/>
      </c>
      <c r="N271" t="str">
        <f t="shared" si="108"/>
        <v>Home</v>
      </c>
      <c r="O271">
        <v>87</v>
      </c>
      <c r="P271" t="s">
        <v>425</v>
      </c>
      <c r="Y271" t="str">
        <f t="shared" si="92"/>
        <v/>
      </c>
      <c r="Z271" t="str">
        <f t="shared" si="93"/>
        <v/>
      </c>
      <c r="AC271" t="str">
        <f t="shared" si="94"/>
        <v>Save</v>
      </c>
      <c r="AD271" t="str">
        <f t="shared" si="95"/>
        <v>Save_Freeze</v>
      </c>
      <c r="AE271" t="str">
        <f t="shared" si="96"/>
        <v>Save-Chest</v>
      </c>
      <c r="AF271" t="str">
        <f t="shared" si="97"/>
        <v>Offensive</v>
      </c>
      <c r="AG271">
        <f t="shared" si="103"/>
        <v>18981</v>
      </c>
      <c r="AH271" t="str">
        <f t="shared" si="104"/>
        <v>Nelson</v>
      </c>
      <c r="AI271" t="str">
        <f t="shared" si="105"/>
        <v>Velodrome</v>
      </c>
      <c r="AJ271" s="18">
        <f t="shared" si="98"/>
        <v>0</v>
      </c>
      <c r="AP271" s="18">
        <f t="shared" si="99"/>
        <v>0</v>
      </c>
      <c r="AQ271">
        <f t="shared" si="100"/>
        <v>0</v>
      </c>
      <c r="AR271" s="23">
        <f t="shared" si="101"/>
        <v>346</v>
      </c>
      <c r="AS271">
        <f t="shared" si="106"/>
        <v>341</v>
      </c>
      <c r="AT271" s="21">
        <f t="shared" si="107"/>
        <v>346</v>
      </c>
      <c r="AU271" s="21"/>
      <c r="AV271" s="21"/>
      <c r="AW271" s="21"/>
    </row>
    <row r="272" spans="1:49" x14ac:dyDescent="0.2">
      <c r="A272">
        <v>153</v>
      </c>
      <c r="E272">
        <f t="shared" si="102"/>
        <v>1</v>
      </c>
      <c r="F272" s="5" t="s">
        <v>487</v>
      </c>
      <c r="G272" s="5" t="s">
        <v>489</v>
      </c>
      <c r="J272" t="str">
        <f t="shared" si="109"/>
        <v>12</v>
      </c>
      <c r="K272" t="str">
        <f t="shared" si="110"/>
        <v>14</v>
      </c>
      <c r="L272" t="str">
        <f t="shared" si="111"/>
        <v/>
      </c>
      <c r="M272" s="6" t="str">
        <f t="shared" si="112"/>
        <v/>
      </c>
      <c r="N272" t="s">
        <v>178</v>
      </c>
      <c r="O272">
        <v>31</v>
      </c>
      <c r="P272" t="s">
        <v>424</v>
      </c>
      <c r="Q272" t="s">
        <v>13</v>
      </c>
      <c r="R272" t="s">
        <v>204</v>
      </c>
      <c r="S272" t="s">
        <v>110</v>
      </c>
      <c r="Y272" t="str">
        <f t="shared" si="92"/>
        <v/>
      </c>
      <c r="Z272" t="str">
        <f t="shared" si="93"/>
        <v/>
      </c>
      <c r="AC272" t="str">
        <f t="shared" si="94"/>
        <v>Stoppage</v>
      </c>
      <c r="AD272" t="str">
        <f t="shared" si="95"/>
        <v>Stoppage_Play</v>
      </c>
      <c r="AE272" t="str">
        <f t="shared" si="96"/>
        <v>Stoppage-GoalieStoppage</v>
      </c>
      <c r="AF272" t="str">
        <f t="shared" si="97"/>
        <v/>
      </c>
      <c r="AG272">
        <f t="shared" si="103"/>
        <v>18981</v>
      </c>
      <c r="AH272" t="str">
        <f t="shared" si="104"/>
        <v>Nelson</v>
      </c>
      <c r="AI272" t="str">
        <f t="shared" si="105"/>
        <v>Velodrome</v>
      </c>
      <c r="AJ272" s="18">
        <f t="shared" si="98"/>
        <v>0</v>
      </c>
      <c r="AP272" s="18">
        <f t="shared" si="99"/>
        <v>0</v>
      </c>
      <c r="AQ272">
        <f t="shared" si="100"/>
        <v>0</v>
      </c>
      <c r="AR272" s="23">
        <f t="shared" si="101"/>
        <v>346</v>
      </c>
      <c r="AS272">
        <f t="shared" si="106"/>
        <v>341</v>
      </c>
      <c r="AT272" s="21">
        <f t="shared" si="107"/>
        <v>346</v>
      </c>
      <c r="AU272" s="21"/>
      <c r="AV272" s="21"/>
      <c r="AW272" s="21"/>
    </row>
    <row r="273" spans="1:49" x14ac:dyDescent="0.2">
      <c r="A273">
        <v>154</v>
      </c>
      <c r="E273">
        <f t="shared" si="102"/>
        <v>1</v>
      </c>
      <c r="F273" s="5" t="s">
        <v>487</v>
      </c>
      <c r="G273" s="5" t="s">
        <v>489</v>
      </c>
      <c r="H273" s="5" t="s">
        <v>486</v>
      </c>
      <c r="I273" s="7" t="s">
        <v>479</v>
      </c>
      <c r="J273" t="str">
        <f t="shared" si="109"/>
        <v>12</v>
      </c>
      <c r="K273" t="str">
        <f t="shared" si="110"/>
        <v>14</v>
      </c>
      <c r="L273" t="str">
        <f t="shared" si="111"/>
        <v>11</v>
      </c>
      <c r="M273" s="6" t="str">
        <f t="shared" si="112"/>
        <v>59</v>
      </c>
      <c r="N273" t="s">
        <v>178</v>
      </c>
      <c r="O273">
        <v>31</v>
      </c>
      <c r="P273" t="s">
        <v>424</v>
      </c>
      <c r="Q273" t="s">
        <v>282</v>
      </c>
      <c r="Y273" t="str">
        <f t="shared" si="92"/>
        <v/>
      </c>
      <c r="Z273" t="str">
        <f t="shared" si="93"/>
        <v/>
      </c>
      <c r="AC273" t="str">
        <f t="shared" si="94"/>
        <v>DeadIce</v>
      </c>
      <c r="AD273" t="str">
        <f t="shared" si="95"/>
        <v/>
      </c>
      <c r="AE273" t="str">
        <f t="shared" si="96"/>
        <v/>
      </c>
      <c r="AF273" t="str">
        <f t="shared" si="97"/>
        <v/>
      </c>
      <c r="AG273">
        <f t="shared" si="103"/>
        <v>18981</v>
      </c>
      <c r="AH273" t="str">
        <f t="shared" si="104"/>
        <v>Nelson</v>
      </c>
      <c r="AI273" t="str">
        <f t="shared" si="105"/>
        <v>Velodrome</v>
      </c>
      <c r="AJ273" s="18">
        <f t="shared" si="98"/>
        <v>15</v>
      </c>
      <c r="AP273" s="18">
        <f t="shared" si="99"/>
        <v>0</v>
      </c>
      <c r="AQ273">
        <f t="shared" si="100"/>
        <v>0</v>
      </c>
      <c r="AR273" s="23">
        <f t="shared" si="101"/>
        <v>346</v>
      </c>
      <c r="AS273">
        <f t="shared" si="106"/>
        <v>341</v>
      </c>
      <c r="AT273" s="21">
        <f t="shared" si="107"/>
        <v>361</v>
      </c>
      <c r="AU273" s="21"/>
      <c r="AV273" s="21"/>
      <c r="AW273" s="21"/>
    </row>
    <row r="274" spans="1:49" x14ac:dyDescent="0.2">
      <c r="A274">
        <v>155</v>
      </c>
      <c r="E274">
        <f t="shared" si="102"/>
        <v>1</v>
      </c>
      <c r="F274" s="5" t="s">
        <v>486</v>
      </c>
      <c r="G274" s="5" t="s">
        <v>479</v>
      </c>
      <c r="J274" t="str">
        <f t="shared" si="109"/>
        <v>11</v>
      </c>
      <c r="K274" t="str">
        <f t="shared" si="110"/>
        <v>59</v>
      </c>
      <c r="L274" t="str">
        <f t="shared" si="111"/>
        <v/>
      </c>
      <c r="M274" s="6" t="str">
        <f t="shared" si="112"/>
        <v/>
      </c>
      <c r="N274" t="s">
        <v>179</v>
      </c>
      <c r="O274">
        <v>70</v>
      </c>
      <c r="P274" t="s">
        <v>424</v>
      </c>
      <c r="Q274" t="s">
        <v>6</v>
      </c>
      <c r="R274" t="s">
        <v>275</v>
      </c>
      <c r="Y274" t="str">
        <f t="shared" si="92"/>
        <v/>
      </c>
      <c r="Z274" t="str">
        <f t="shared" si="93"/>
        <v/>
      </c>
      <c r="AC274" t="str">
        <f t="shared" si="94"/>
        <v>Faceoff</v>
      </c>
      <c r="AD274" t="str">
        <f t="shared" si="95"/>
        <v>Faceoff_AfterStoppage</v>
      </c>
      <c r="AE274" t="str">
        <f t="shared" si="96"/>
        <v/>
      </c>
      <c r="AF274" t="str">
        <f t="shared" si="97"/>
        <v>Offensive</v>
      </c>
      <c r="AG274">
        <f t="shared" si="103"/>
        <v>18981</v>
      </c>
      <c r="AH274" t="str">
        <f t="shared" si="104"/>
        <v>Nelson</v>
      </c>
      <c r="AI274" t="str">
        <f t="shared" si="105"/>
        <v>Velodrome</v>
      </c>
      <c r="AJ274" s="18">
        <f t="shared" si="98"/>
        <v>0</v>
      </c>
      <c r="AP274" s="18">
        <f t="shared" si="99"/>
        <v>0</v>
      </c>
      <c r="AQ274">
        <f t="shared" si="100"/>
        <v>0</v>
      </c>
      <c r="AR274" s="23">
        <f t="shared" si="101"/>
        <v>361</v>
      </c>
      <c r="AS274">
        <f t="shared" si="106"/>
        <v>356</v>
      </c>
      <c r="AT274" s="21">
        <f t="shared" si="107"/>
        <v>361</v>
      </c>
      <c r="AU274" s="21"/>
      <c r="AV274" s="21"/>
      <c r="AW274" s="21"/>
    </row>
    <row r="275" spans="1:49" x14ac:dyDescent="0.2">
      <c r="A275">
        <v>155</v>
      </c>
      <c r="E275">
        <f t="shared" si="102"/>
        <v>1</v>
      </c>
      <c r="J275" t="str">
        <f t="shared" si="109"/>
        <v>11</v>
      </c>
      <c r="K275" t="str">
        <f t="shared" si="110"/>
        <v>59</v>
      </c>
      <c r="L275" t="str">
        <f t="shared" si="111"/>
        <v/>
      </c>
      <c r="M275" s="6" t="str">
        <f t="shared" si="112"/>
        <v/>
      </c>
      <c r="N275" t="str">
        <f t="shared" si="108"/>
        <v>Away</v>
      </c>
      <c r="O275">
        <v>22</v>
      </c>
      <c r="P275" t="s">
        <v>424</v>
      </c>
      <c r="Y275" t="str">
        <f t="shared" si="92"/>
        <v/>
      </c>
      <c r="Z275" t="str">
        <f t="shared" si="93"/>
        <v/>
      </c>
      <c r="AC275" t="str">
        <f t="shared" si="94"/>
        <v>Faceoff</v>
      </c>
      <c r="AD275" t="str">
        <f t="shared" si="95"/>
        <v>Faceoff_AfterStoppage</v>
      </c>
      <c r="AE275" t="str">
        <f t="shared" si="96"/>
        <v/>
      </c>
      <c r="AF275" t="str">
        <f t="shared" si="97"/>
        <v>Offensive</v>
      </c>
      <c r="AG275">
        <f t="shared" si="103"/>
        <v>18981</v>
      </c>
      <c r="AH275" t="str">
        <f t="shared" si="104"/>
        <v>Nelson</v>
      </c>
      <c r="AI275" t="str">
        <f t="shared" si="105"/>
        <v>Velodrome</v>
      </c>
      <c r="AJ275" s="18">
        <f t="shared" si="98"/>
        <v>0</v>
      </c>
      <c r="AP275" s="18">
        <f t="shared" si="99"/>
        <v>0</v>
      </c>
      <c r="AQ275">
        <f t="shared" si="100"/>
        <v>0</v>
      </c>
      <c r="AR275" s="23">
        <f t="shared" si="101"/>
        <v>361</v>
      </c>
      <c r="AS275">
        <f t="shared" si="106"/>
        <v>356</v>
      </c>
      <c r="AT275" s="21">
        <f t="shared" si="107"/>
        <v>361</v>
      </c>
      <c r="AU275" s="21"/>
      <c r="AV275" s="21"/>
      <c r="AW275" s="21"/>
    </row>
    <row r="276" spans="1:49" x14ac:dyDescent="0.2">
      <c r="A276">
        <v>155</v>
      </c>
      <c r="E276">
        <f t="shared" si="102"/>
        <v>1</v>
      </c>
      <c r="J276" t="str">
        <f t="shared" si="109"/>
        <v>11</v>
      </c>
      <c r="K276" t="str">
        <f t="shared" si="110"/>
        <v>59</v>
      </c>
      <c r="L276" t="str">
        <f t="shared" si="111"/>
        <v/>
      </c>
      <c r="M276" s="6" t="str">
        <f t="shared" si="112"/>
        <v/>
      </c>
      <c r="N276" t="str">
        <f t="shared" si="108"/>
        <v>Away</v>
      </c>
      <c r="O276">
        <v>79</v>
      </c>
      <c r="P276" t="s">
        <v>425</v>
      </c>
      <c r="Y276" t="str">
        <f t="shared" si="92"/>
        <v/>
      </c>
      <c r="Z276" t="str">
        <f t="shared" si="93"/>
        <v/>
      </c>
      <c r="AC276" t="str">
        <f t="shared" si="94"/>
        <v>Faceoff</v>
      </c>
      <c r="AD276" t="str">
        <f t="shared" si="95"/>
        <v>Faceoff_AfterStoppage</v>
      </c>
      <c r="AE276" t="str">
        <f t="shared" si="96"/>
        <v/>
      </c>
      <c r="AF276" t="str">
        <f t="shared" si="97"/>
        <v>Defensive</v>
      </c>
      <c r="AG276">
        <f t="shared" si="103"/>
        <v>18981</v>
      </c>
      <c r="AH276" t="str">
        <f t="shared" si="104"/>
        <v>Nelson</v>
      </c>
      <c r="AI276" t="str">
        <f t="shared" si="105"/>
        <v>Velodrome</v>
      </c>
      <c r="AJ276" s="18">
        <f t="shared" si="98"/>
        <v>0</v>
      </c>
      <c r="AP276" s="18">
        <f t="shared" si="99"/>
        <v>0</v>
      </c>
      <c r="AQ276">
        <f t="shared" si="100"/>
        <v>0</v>
      </c>
      <c r="AR276" s="23">
        <f t="shared" si="101"/>
        <v>361</v>
      </c>
      <c r="AS276">
        <f t="shared" si="106"/>
        <v>356</v>
      </c>
      <c r="AT276" s="21">
        <f t="shared" si="107"/>
        <v>361</v>
      </c>
      <c r="AU276" s="21"/>
      <c r="AV276" s="21"/>
      <c r="AW276" s="21"/>
    </row>
    <row r="277" spans="1:49" x14ac:dyDescent="0.2">
      <c r="A277">
        <v>156</v>
      </c>
      <c r="E277">
        <f t="shared" si="102"/>
        <v>1</v>
      </c>
      <c r="F277" s="5" t="s">
        <v>486</v>
      </c>
      <c r="G277" s="5" t="s">
        <v>530</v>
      </c>
      <c r="J277" t="str">
        <f t="shared" si="109"/>
        <v>11</v>
      </c>
      <c r="K277" t="str">
        <f t="shared" si="110"/>
        <v>58</v>
      </c>
      <c r="L277" t="str">
        <f t="shared" si="111"/>
        <v/>
      </c>
      <c r="M277" s="6" t="str">
        <f t="shared" si="112"/>
        <v/>
      </c>
      <c r="N277" t="s">
        <v>179</v>
      </c>
      <c r="O277">
        <v>22</v>
      </c>
      <c r="P277" t="s">
        <v>424</v>
      </c>
      <c r="Q277" t="s">
        <v>7</v>
      </c>
      <c r="R277" t="s">
        <v>218</v>
      </c>
      <c r="S277" t="s">
        <v>53</v>
      </c>
      <c r="Y277" t="str">
        <f t="shared" si="92"/>
        <v/>
      </c>
      <c r="Z277" t="str">
        <f t="shared" si="93"/>
        <v/>
      </c>
      <c r="AC277" t="str">
        <f t="shared" si="94"/>
        <v>Shot</v>
      </c>
      <c r="AD277" t="str">
        <f t="shared" si="95"/>
        <v>Shot_Deflected</v>
      </c>
      <c r="AE277" t="str">
        <f t="shared" si="96"/>
        <v>Shot-Wrist</v>
      </c>
      <c r="AF277" t="str">
        <f t="shared" si="97"/>
        <v>Offensive</v>
      </c>
      <c r="AG277">
        <f t="shared" si="103"/>
        <v>18981</v>
      </c>
      <c r="AH277" t="str">
        <f t="shared" si="104"/>
        <v>Nelson</v>
      </c>
      <c r="AI277" t="str">
        <f t="shared" si="105"/>
        <v>Velodrome</v>
      </c>
      <c r="AJ277" s="18">
        <f t="shared" si="98"/>
        <v>0</v>
      </c>
      <c r="AP277" s="18">
        <f t="shared" si="99"/>
        <v>0</v>
      </c>
      <c r="AQ277">
        <f t="shared" si="100"/>
        <v>0</v>
      </c>
      <c r="AR277" s="23">
        <f t="shared" si="101"/>
        <v>362</v>
      </c>
      <c r="AS277">
        <f t="shared" si="106"/>
        <v>357</v>
      </c>
      <c r="AT277" s="21">
        <f t="shared" si="107"/>
        <v>362</v>
      </c>
      <c r="AU277" s="21"/>
      <c r="AV277" s="21"/>
      <c r="AW277" s="21"/>
    </row>
    <row r="278" spans="1:49" x14ac:dyDescent="0.2">
      <c r="A278">
        <v>156</v>
      </c>
      <c r="E278">
        <f t="shared" si="102"/>
        <v>1</v>
      </c>
      <c r="J278" t="str">
        <f t="shared" si="109"/>
        <v>11</v>
      </c>
      <c r="K278" t="str">
        <f t="shared" si="110"/>
        <v>58</v>
      </c>
      <c r="L278" t="str">
        <f t="shared" si="111"/>
        <v/>
      </c>
      <c r="M278" s="6" t="str">
        <f t="shared" si="112"/>
        <v/>
      </c>
      <c r="N278" t="str">
        <f t="shared" si="108"/>
        <v>Away</v>
      </c>
      <c r="O278">
        <v>80</v>
      </c>
      <c r="P278" t="s">
        <v>425</v>
      </c>
      <c r="Y278" t="str">
        <f t="shared" si="92"/>
        <v/>
      </c>
      <c r="Z278" t="str">
        <f t="shared" si="93"/>
        <v/>
      </c>
      <c r="AC278" t="str">
        <f t="shared" si="94"/>
        <v>Shot</v>
      </c>
      <c r="AD278" t="str">
        <f t="shared" si="95"/>
        <v>Shot_Deflected</v>
      </c>
      <c r="AE278" t="str">
        <f t="shared" si="96"/>
        <v>Shot-Wrist</v>
      </c>
      <c r="AF278" t="str">
        <f t="shared" si="97"/>
        <v>Defensive</v>
      </c>
      <c r="AG278">
        <f t="shared" si="103"/>
        <v>18981</v>
      </c>
      <c r="AH278" t="str">
        <f t="shared" si="104"/>
        <v>Nelson</v>
      </c>
      <c r="AI278" t="str">
        <f t="shared" si="105"/>
        <v>Velodrome</v>
      </c>
      <c r="AJ278" s="18">
        <f t="shared" si="98"/>
        <v>0</v>
      </c>
      <c r="AP278" s="18">
        <f t="shared" si="99"/>
        <v>0</v>
      </c>
      <c r="AQ278">
        <f t="shared" si="100"/>
        <v>0</v>
      </c>
      <c r="AR278" s="23">
        <f t="shared" si="101"/>
        <v>362</v>
      </c>
      <c r="AS278">
        <f t="shared" si="106"/>
        <v>357</v>
      </c>
      <c r="AT278" s="21">
        <f t="shared" si="107"/>
        <v>362</v>
      </c>
      <c r="AU278" s="21"/>
      <c r="AV278" s="21"/>
      <c r="AW278" s="21"/>
    </row>
    <row r="279" spans="1:49" x14ac:dyDescent="0.2">
      <c r="A279">
        <v>156</v>
      </c>
      <c r="E279">
        <f t="shared" si="102"/>
        <v>1</v>
      </c>
      <c r="J279" t="str">
        <f t="shared" si="109"/>
        <v>11</v>
      </c>
      <c r="K279" t="str">
        <f t="shared" si="110"/>
        <v>58</v>
      </c>
      <c r="L279" t="str">
        <f t="shared" si="111"/>
        <v/>
      </c>
      <c r="M279" s="6" t="str">
        <f t="shared" si="112"/>
        <v/>
      </c>
      <c r="N279" t="str">
        <f t="shared" si="108"/>
        <v>Away</v>
      </c>
      <c r="O279">
        <v>79</v>
      </c>
      <c r="P279" t="s">
        <v>425</v>
      </c>
      <c r="Y279" t="str">
        <f t="shared" si="92"/>
        <v/>
      </c>
      <c r="Z279" t="str">
        <f t="shared" si="93"/>
        <v/>
      </c>
      <c r="AC279" t="str">
        <f t="shared" si="94"/>
        <v>Shot</v>
      </c>
      <c r="AD279" t="str">
        <f t="shared" si="95"/>
        <v>Shot_Deflected</v>
      </c>
      <c r="AE279" t="str">
        <f t="shared" si="96"/>
        <v>Shot-Wrist</v>
      </c>
      <c r="AF279" t="str">
        <f t="shared" si="97"/>
        <v>Defensive</v>
      </c>
      <c r="AG279">
        <f t="shared" si="103"/>
        <v>18981</v>
      </c>
      <c r="AH279" t="str">
        <f t="shared" si="104"/>
        <v>Nelson</v>
      </c>
      <c r="AI279" t="str">
        <f t="shared" si="105"/>
        <v>Velodrome</v>
      </c>
      <c r="AJ279" s="18">
        <f t="shared" si="98"/>
        <v>0</v>
      </c>
      <c r="AP279" s="18">
        <f t="shared" si="99"/>
        <v>0</v>
      </c>
      <c r="AQ279">
        <f t="shared" si="100"/>
        <v>0</v>
      </c>
      <c r="AR279" s="23">
        <f t="shared" si="101"/>
        <v>362</v>
      </c>
      <c r="AS279">
        <f t="shared" si="106"/>
        <v>357</v>
      </c>
      <c r="AT279" s="21">
        <f t="shared" si="107"/>
        <v>362</v>
      </c>
      <c r="AU279" s="21"/>
      <c r="AV279" s="21"/>
      <c r="AW279" s="21"/>
    </row>
    <row r="280" spans="1:49" x14ac:dyDescent="0.2">
      <c r="A280">
        <v>157</v>
      </c>
      <c r="E280">
        <f t="shared" si="102"/>
        <v>1</v>
      </c>
      <c r="F280" s="5" t="s">
        <v>486</v>
      </c>
      <c r="G280" s="5" t="s">
        <v>529</v>
      </c>
      <c r="J280" t="str">
        <f t="shared" si="109"/>
        <v>11</v>
      </c>
      <c r="K280" t="str">
        <f t="shared" si="110"/>
        <v>57</v>
      </c>
      <c r="L280" t="str">
        <f t="shared" si="111"/>
        <v/>
      </c>
      <c r="M280" s="6" t="str">
        <f t="shared" si="112"/>
        <v/>
      </c>
      <c r="N280" t="s">
        <v>178</v>
      </c>
      <c r="O280">
        <v>31</v>
      </c>
      <c r="P280" t="s">
        <v>424</v>
      </c>
      <c r="Q280" t="s">
        <v>13</v>
      </c>
      <c r="R280" t="s">
        <v>204</v>
      </c>
      <c r="S280" t="s">
        <v>110</v>
      </c>
      <c r="Y280" t="str">
        <f t="shared" si="92"/>
        <v/>
      </c>
      <c r="Z280" t="str">
        <f t="shared" si="93"/>
        <v/>
      </c>
      <c r="AC280" t="str">
        <f t="shared" si="94"/>
        <v>Stoppage</v>
      </c>
      <c r="AD280" t="str">
        <f t="shared" si="95"/>
        <v>Stoppage_Play</v>
      </c>
      <c r="AE280" t="str">
        <f t="shared" si="96"/>
        <v>Stoppage-GoalieStoppage</v>
      </c>
      <c r="AF280" t="str">
        <f t="shared" si="97"/>
        <v/>
      </c>
      <c r="AG280">
        <f t="shared" si="103"/>
        <v>18981</v>
      </c>
      <c r="AH280" t="str">
        <f t="shared" si="104"/>
        <v>Nelson</v>
      </c>
      <c r="AI280" t="str">
        <f t="shared" si="105"/>
        <v>Velodrome</v>
      </c>
      <c r="AJ280" s="18">
        <f t="shared" si="98"/>
        <v>0</v>
      </c>
      <c r="AP280" s="18">
        <f t="shared" si="99"/>
        <v>0</v>
      </c>
      <c r="AQ280">
        <f t="shared" si="100"/>
        <v>0</v>
      </c>
      <c r="AR280" s="23">
        <f t="shared" si="101"/>
        <v>363</v>
      </c>
      <c r="AS280">
        <f t="shared" si="106"/>
        <v>358</v>
      </c>
      <c r="AT280" s="21">
        <f t="shared" si="107"/>
        <v>363</v>
      </c>
      <c r="AU280" s="21"/>
      <c r="AV280" s="21"/>
      <c r="AW280" s="21"/>
    </row>
    <row r="281" spans="1:49" x14ac:dyDescent="0.2">
      <c r="A281">
        <v>158</v>
      </c>
      <c r="E281">
        <f t="shared" si="102"/>
        <v>1</v>
      </c>
      <c r="F281" s="5" t="s">
        <v>486</v>
      </c>
      <c r="G281" s="5" t="s">
        <v>528</v>
      </c>
      <c r="H281" s="5" t="s">
        <v>486</v>
      </c>
      <c r="I281" s="7" t="s">
        <v>514</v>
      </c>
      <c r="J281" t="str">
        <f t="shared" si="109"/>
        <v>11</v>
      </c>
      <c r="K281" t="str">
        <f t="shared" si="110"/>
        <v>56</v>
      </c>
      <c r="L281" t="str">
        <f t="shared" si="111"/>
        <v>11</v>
      </c>
      <c r="M281" s="6" t="str">
        <f t="shared" si="112"/>
        <v>42</v>
      </c>
      <c r="N281" t="s">
        <v>178</v>
      </c>
      <c r="O281">
        <v>31</v>
      </c>
      <c r="P281" t="s">
        <v>424</v>
      </c>
      <c r="Q281" t="s">
        <v>282</v>
      </c>
      <c r="Y281" t="str">
        <f t="shared" si="92"/>
        <v/>
      </c>
      <c r="Z281" t="str">
        <f t="shared" si="93"/>
        <v/>
      </c>
      <c r="AC281" t="str">
        <f t="shared" si="94"/>
        <v>DeadIce</v>
      </c>
      <c r="AD281" t="str">
        <f t="shared" si="95"/>
        <v/>
      </c>
      <c r="AE281" t="str">
        <f t="shared" si="96"/>
        <v/>
      </c>
      <c r="AF281" t="str">
        <f t="shared" si="97"/>
        <v/>
      </c>
      <c r="AG281">
        <f t="shared" si="103"/>
        <v>18981</v>
      </c>
      <c r="AH281" t="str">
        <f t="shared" si="104"/>
        <v>Nelson</v>
      </c>
      <c r="AI281" t="str">
        <f t="shared" si="105"/>
        <v>Velodrome</v>
      </c>
      <c r="AJ281" s="18">
        <f t="shared" si="98"/>
        <v>14</v>
      </c>
      <c r="AP281" s="18">
        <f t="shared" si="99"/>
        <v>0</v>
      </c>
      <c r="AQ281">
        <f t="shared" si="100"/>
        <v>0</v>
      </c>
      <c r="AR281" s="23">
        <f t="shared" si="101"/>
        <v>364</v>
      </c>
      <c r="AS281">
        <f t="shared" si="106"/>
        <v>359</v>
      </c>
      <c r="AT281" s="21">
        <f t="shared" si="107"/>
        <v>378</v>
      </c>
      <c r="AU281" s="21"/>
      <c r="AV281" s="21"/>
      <c r="AW281" s="21"/>
    </row>
    <row r="282" spans="1:49" x14ac:dyDescent="0.2">
      <c r="A282">
        <v>159</v>
      </c>
      <c r="E282">
        <f t="shared" si="102"/>
        <v>1</v>
      </c>
      <c r="F282" s="5" t="s">
        <v>486</v>
      </c>
      <c r="G282" s="5" t="s">
        <v>514</v>
      </c>
      <c r="J282" t="str">
        <f t="shared" si="109"/>
        <v>11</v>
      </c>
      <c r="K282" t="str">
        <f t="shared" si="110"/>
        <v>42</v>
      </c>
      <c r="L282" t="str">
        <f t="shared" si="111"/>
        <v/>
      </c>
      <c r="M282" s="6" t="str">
        <f t="shared" si="112"/>
        <v/>
      </c>
      <c r="N282" t="s">
        <v>179</v>
      </c>
      <c r="O282">
        <v>70</v>
      </c>
      <c r="P282" t="s">
        <v>424</v>
      </c>
      <c r="Q282" t="s">
        <v>6</v>
      </c>
      <c r="R282" t="s">
        <v>275</v>
      </c>
      <c r="Y282" t="str">
        <f t="shared" si="92"/>
        <v/>
      </c>
      <c r="Z282" t="str">
        <f t="shared" si="93"/>
        <v/>
      </c>
      <c r="AC282" t="str">
        <f t="shared" si="94"/>
        <v>Faceoff</v>
      </c>
      <c r="AD282" t="str">
        <f t="shared" si="95"/>
        <v>Faceoff_AfterStoppage</v>
      </c>
      <c r="AE282" t="str">
        <f t="shared" si="96"/>
        <v/>
      </c>
      <c r="AF282" t="str">
        <f t="shared" si="97"/>
        <v>Offensive</v>
      </c>
      <c r="AG282">
        <f t="shared" si="103"/>
        <v>18981</v>
      </c>
      <c r="AH282" t="str">
        <f t="shared" si="104"/>
        <v>Nelson</v>
      </c>
      <c r="AI282" t="str">
        <f t="shared" si="105"/>
        <v>Velodrome</v>
      </c>
      <c r="AJ282" s="18">
        <f t="shared" si="98"/>
        <v>0</v>
      </c>
      <c r="AP282" s="18">
        <f t="shared" si="99"/>
        <v>0</v>
      </c>
      <c r="AQ282">
        <f t="shared" si="100"/>
        <v>0</v>
      </c>
      <c r="AR282" s="23">
        <f t="shared" si="101"/>
        <v>378</v>
      </c>
      <c r="AS282">
        <f t="shared" si="106"/>
        <v>373</v>
      </c>
      <c r="AT282" s="21">
        <f t="shared" si="107"/>
        <v>378</v>
      </c>
      <c r="AU282" s="21"/>
      <c r="AV282" s="21"/>
      <c r="AW282" s="21"/>
    </row>
    <row r="283" spans="1:49" x14ac:dyDescent="0.2">
      <c r="A283">
        <v>159</v>
      </c>
      <c r="E283">
        <f t="shared" si="102"/>
        <v>1</v>
      </c>
      <c r="J283" t="str">
        <f t="shared" si="109"/>
        <v>11</v>
      </c>
      <c r="K283" t="str">
        <f t="shared" si="110"/>
        <v>42</v>
      </c>
      <c r="L283" t="str">
        <f t="shared" si="111"/>
        <v/>
      </c>
      <c r="M283" s="6" t="str">
        <f t="shared" si="112"/>
        <v/>
      </c>
      <c r="N283" t="str">
        <f t="shared" si="108"/>
        <v>Away</v>
      </c>
      <c r="O283">
        <v>87</v>
      </c>
      <c r="P283" t="s">
        <v>424</v>
      </c>
      <c r="Y283" t="str">
        <f t="shared" si="92"/>
        <v/>
      </c>
      <c r="Z283" t="str">
        <f t="shared" si="93"/>
        <v/>
      </c>
      <c r="AC283" t="str">
        <f t="shared" si="94"/>
        <v>Faceoff</v>
      </c>
      <c r="AD283" t="str">
        <f t="shared" si="95"/>
        <v>Faceoff_AfterStoppage</v>
      </c>
      <c r="AE283" t="str">
        <f t="shared" si="96"/>
        <v/>
      </c>
      <c r="AF283" t="str">
        <f t="shared" si="97"/>
        <v>Offensive</v>
      </c>
      <c r="AG283">
        <f t="shared" si="103"/>
        <v>18981</v>
      </c>
      <c r="AH283" t="str">
        <f t="shared" si="104"/>
        <v>Nelson</v>
      </c>
      <c r="AI283" t="str">
        <f t="shared" si="105"/>
        <v>Velodrome</v>
      </c>
      <c r="AJ283" s="18">
        <f t="shared" si="98"/>
        <v>0</v>
      </c>
      <c r="AP283" s="18">
        <f t="shared" si="99"/>
        <v>0</v>
      </c>
      <c r="AQ283">
        <f t="shared" si="100"/>
        <v>0</v>
      </c>
      <c r="AR283" s="23">
        <f t="shared" si="101"/>
        <v>378</v>
      </c>
      <c r="AS283">
        <f t="shared" si="106"/>
        <v>373</v>
      </c>
      <c r="AT283" s="21">
        <f t="shared" si="107"/>
        <v>378</v>
      </c>
      <c r="AU283" s="21"/>
      <c r="AV283" s="21"/>
      <c r="AW283" s="21"/>
    </row>
    <row r="284" spans="1:49" x14ac:dyDescent="0.2">
      <c r="A284">
        <v>159</v>
      </c>
      <c r="E284">
        <f t="shared" si="102"/>
        <v>1</v>
      </c>
      <c r="J284" t="str">
        <f t="shared" si="109"/>
        <v>11</v>
      </c>
      <c r="K284" t="str">
        <f t="shared" si="110"/>
        <v>42</v>
      </c>
      <c r="L284" t="str">
        <f t="shared" si="111"/>
        <v/>
      </c>
      <c r="M284" s="6" t="str">
        <f t="shared" si="112"/>
        <v/>
      </c>
      <c r="N284" t="str">
        <f t="shared" si="108"/>
        <v>Away</v>
      </c>
      <c r="O284">
        <v>79</v>
      </c>
      <c r="P284" t="s">
        <v>425</v>
      </c>
      <c r="Y284" t="str">
        <f t="shared" si="92"/>
        <v/>
      </c>
      <c r="Z284" t="str">
        <f t="shared" si="93"/>
        <v/>
      </c>
      <c r="AC284" t="str">
        <f t="shared" si="94"/>
        <v>Faceoff</v>
      </c>
      <c r="AD284" t="str">
        <f t="shared" si="95"/>
        <v>Faceoff_AfterStoppage</v>
      </c>
      <c r="AE284" t="str">
        <f t="shared" si="96"/>
        <v/>
      </c>
      <c r="AF284" t="str">
        <f t="shared" si="97"/>
        <v>Defensive</v>
      </c>
      <c r="AG284">
        <f t="shared" si="103"/>
        <v>18981</v>
      </c>
      <c r="AH284" t="str">
        <f t="shared" si="104"/>
        <v>Nelson</v>
      </c>
      <c r="AI284" t="str">
        <f t="shared" si="105"/>
        <v>Velodrome</v>
      </c>
      <c r="AJ284" s="18">
        <f t="shared" si="98"/>
        <v>0</v>
      </c>
      <c r="AP284" s="18">
        <f t="shared" si="99"/>
        <v>0</v>
      </c>
      <c r="AQ284">
        <f t="shared" si="100"/>
        <v>0</v>
      </c>
      <c r="AR284" s="23">
        <f t="shared" si="101"/>
        <v>378</v>
      </c>
      <c r="AS284">
        <f t="shared" si="106"/>
        <v>373</v>
      </c>
      <c r="AT284" s="21">
        <f t="shared" si="107"/>
        <v>378</v>
      </c>
      <c r="AU284" s="21"/>
      <c r="AV284" s="21"/>
      <c r="AW284" s="21"/>
    </row>
    <row r="285" spans="1:49" x14ac:dyDescent="0.2">
      <c r="A285">
        <v>160</v>
      </c>
      <c r="E285">
        <f t="shared" si="102"/>
        <v>1</v>
      </c>
      <c r="F285" s="5" t="s">
        <v>486</v>
      </c>
      <c r="G285" s="5" t="s">
        <v>513</v>
      </c>
      <c r="J285" t="str">
        <f t="shared" si="109"/>
        <v>11</v>
      </c>
      <c r="K285" t="str">
        <f t="shared" si="110"/>
        <v>41</v>
      </c>
      <c r="L285" t="str">
        <f t="shared" si="111"/>
        <v/>
      </c>
      <c r="M285" s="6" t="str">
        <f t="shared" si="112"/>
        <v/>
      </c>
      <c r="N285" t="s">
        <v>179</v>
      </c>
      <c r="O285">
        <v>87</v>
      </c>
      <c r="P285" t="s">
        <v>424</v>
      </c>
      <c r="Q285" t="s">
        <v>8</v>
      </c>
      <c r="R285" t="s">
        <v>189</v>
      </c>
      <c r="S285" t="s">
        <v>70</v>
      </c>
      <c r="Y285" t="str">
        <f t="shared" si="92"/>
        <v/>
      </c>
      <c r="Z285" t="str">
        <f t="shared" si="93"/>
        <v/>
      </c>
      <c r="AC285" t="str">
        <f t="shared" si="94"/>
        <v>Pass</v>
      </c>
      <c r="AD285" t="str">
        <f t="shared" si="95"/>
        <v>Pass_Completed</v>
      </c>
      <c r="AE285" t="str">
        <f t="shared" si="96"/>
        <v>Pass-Forehand</v>
      </c>
      <c r="AF285" t="str">
        <f t="shared" si="97"/>
        <v>Offensive</v>
      </c>
      <c r="AG285">
        <f t="shared" si="103"/>
        <v>18981</v>
      </c>
      <c r="AH285" t="str">
        <f t="shared" si="104"/>
        <v>Nelson</v>
      </c>
      <c r="AI285" t="str">
        <f t="shared" si="105"/>
        <v>Velodrome</v>
      </c>
      <c r="AJ285" s="18">
        <f t="shared" si="98"/>
        <v>0</v>
      </c>
      <c r="AP285" s="18">
        <f t="shared" si="99"/>
        <v>0</v>
      </c>
      <c r="AQ285">
        <f t="shared" si="100"/>
        <v>0</v>
      </c>
      <c r="AR285" s="23">
        <f t="shared" si="101"/>
        <v>379</v>
      </c>
      <c r="AS285">
        <f t="shared" si="106"/>
        <v>374</v>
      </c>
      <c r="AT285" s="21">
        <f t="shared" si="107"/>
        <v>379</v>
      </c>
      <c r="AU285" s="21"/>
      <c r="AV285" s="21"/>
      <c r="AW285" s="21"/>
    </row>
    <row r="286" spans="1:49" x14ac:dyDescent="0.2">
      <c r="A286">
        <v>160</v>
      </c>
      <c r="E286">
        <f t="shared" si="102"/>
        <v>1</v>
      </c>
      <c r="J286" t="str">
        <f t="shared" si="109"/>
        <v>11</v>
      </c>
      <c r="K286" t="str">
        <f t="shared" si="110"/>
        <v>41</v>
      </c>
      <c r="L286" t="str">
        <f t="shared" si="111"/>
        <v/>
      </c>
      <c r="M286" s="6" t="str">
        <f t="shared" si="112"/>
        <v/>
      </c>
      <c r="N286" t="str">
        <f t="shared" si="108"/>
        <v>Away</v>
      </c>
      <c r="O286">
        <v>22</v>
      </c>
      <c r="P286" t="s">
        <v>424</v>
      </c>
      <c r="Y286" t="str">
        <f t="shared" si="92"/>
        <v/>
      </c>
      <c r="Z286" t="str">
        <f t="shared" si="93"/>
        <v/>
      </c>
      <c r="AC286" t="str">
        <f t="shared" si="94"/>
        <v>Pass</v>
      </c>
      <c r="AD286" t="str">
        <f t="shared" si="95"/>
        <v>Pass_Completed</v>
      </c>
      <c r="AE286" t="str">
        <f t="shared" si="96"/>
        <v>Pass-Forehand</v>
      </c>
      <c r="AF286" t="str">
        <f t="shared" si="97"/>
        <v>Offensive</v>
      </c>
      <c r="AG286">
        <f t="shared" si="103"/>
        <v>18981</v>
      </c>
      <c r="AH286" t="str">
        <f t="shared" si="104"/>
        <v>Nelson</v>
      </c>
      <c r="AI286" t="str">
        <f t="shared" si="105"/>
        <v>Velodrome</v>
      </c>
      <c r="AJ286" s="18">
        <f t="shared" si="98"/>
        <v>0</v>
      </c>
      <c r="AP286" s="18">
        <f t="shared" si="99"/>
        <v>0</v>
      </c>
      <c r="AQ286">
        <f t="shared" si="100"/>
        <v>0</v>
      </c>
      <c r="AR286" s="23">
        <f t="shared" si="101"/>
        <v>379</v>
      </c>
      <c r="AS286">
        <f t="shared" si="106"/>
        <v>374</v>
      </c>
      <c r="AT286" s="21">
        <f t="shared" si="107"/>
        <v>379</v>
      </c>
      <c r="AU286" s="21"/>
      <c r="AV286" s="21"/>
      <c r="AW286" s="21"/>
    </row>
    <row r="287" spans="1:49" x14ac:dyDescent="0.2">
      <c r="A287">
        <v>161</v>
      </c>
      <c r="E287">
        <f t="shared" si="102"/>
        <v>1</v>
      </c>
      <c r="F287" s="5" t="s">
        <v>486</v>
      </c>
      <c r="G287" s="5" t="s">
        <v>513</v>
      </c>
      <c r="H287" s="5" t="s">
        <v>486</v>
      </c>
      <c r="I287" s="7" t="s">
        <v>511</v>
      </c>
      <c r="J287" t="str">
        <f t="shared" si="109"/>
        <v>11</v>
      </c>
      <c r="K287" t="str">
        <f t="shared" si="110"/>
        <v>41</v>
      </c>
      <c r="L287" t="str">
        <f t="shared" si="111"/>
        <v>11</v>
      </c>
      <c r="M287" s="6" t="str">
        <f t="shared" si="112"/>
        <v>39</v>
      </c>
      <c r="N287" t="s">
        <v>179</v>
      </c>
      <c r="O287">
        <v>22</v>
      </c>
      <c r="P287" t="s">
        <v>424</v>
      </c>
      <c r="Q287" t="s">
        <v>15</v>
      </c>
      <c r="Y287" t="str">
        <f t="shared" si="92"/>
        <v/>
      </c>
      <c r="Z287" t="str">
        <f t="shared" si="93"/>
        <v/>
      </c>
      <c r="AC287" t="str">
        <f t="shared" si="94"/>
        <v>Possession</v>
      </c>
      <c r="AD287" t="str">
        <f t="shared" si="95"/>
        <v/>
      </c>
      <c r="AE287" t="str">
        <f t="shared" si="96"/>
        <v/>
      </c>
      <c r="AF287" t="str">
        <f t="shared" si="97"/>
        <v>Offensive</v>
      </c>
      <c r="AG287">
        <f t="shared" si="103"/>
        <v>18981</v>
      </c>
      <c r="AH287" t="str">
        <f t="shared" si="104"/>
        <v>Nelson</v>
      </c>
      <c r="AI287" t="str">
        <f t="shared" si="105"/>
        <v>Velodrome</v>
      </c>
      <c r="AJ287" s="18">
        <f t="shared" si="98"/>
        <v>2</v>
      </c>
      <c r="AP287" s="18">
        <f t="shared" si="99"/>
        <v>0</v>
      </c>
      <c r="AQ287">
        <f t="shared" si="100"/>
        <v>0</v>
      </c>
      <c r="AR287" s="23">
        <f t="shared" si="101"/>
        <v>379</v>
      </c>
      <c r="AS287">
        <f t="shared" si="106"/>
        <v>374</v>
      </c>
      <c r="AT287" s="21">
        <f t="shared" si="107"/>
        <v>381</v>
      </c>
      <c r="AU287" s="21"/>
      <c r="AV287" s="21"/>
      <c r="AW287" s="21"/>
    </row>
    <row r="288" spans="1:49" x14ac:dyDescent="0.2">
      <c r="A288">
        <v>162</v>
      </c>
      <c r="E288">
        <f t="shared" si="102"/>
        <v>1</v>
      </c>
      <c r="F288" s="5" t="s">
        <v>486</v>
      </c>
      <c r="G288" s="5" t="s">
        <v>511</v>
      </c>
      <c r="J288" t="str">
        <f t="shared" si="109"/>
        <v>11</v>
      </c>
      <c r="K288" t="str">
        <f t="shared" si="110"/>
        <v>39</v>
      </c>
      <c r="L288" t="str">
        <f t="shared" si="111"/>
        <v/>
      </c>
      <c r="M288" s="6" t="str">
        <f t="shared" si="112"/>
        <v/>
      </c>
      <c r="N288" t="s">
        <v>179</v>
      </c>
      <c r="O288">
        <v>22</v>
      </c>
      <c r="P288" t="s">
        <v>424</v>
      </c>
      <c r="Q288" t="s">
        <v>247</v>
      </c>
      <c r="R288" t="s">
        <v>445</v>
      </c>
      <c r="S288" t="s">
        <v>155</v>
      </c>
      <c r="Y288" t="str">
        <f t="shared" si="92"/>
        <v/>
      </c>
      <c r="Z288" t="str">
        <f t="shared" si="93"/>
        <v/>
      </c>
      <c r="AC288" t="str">
        <f t="shared" si="94"/>
        <v>Play</v>
      </c>
      <c r="AD288" t="str">
        <f t="shared" si="95"/>
        <v>Play_Offensive</v>
      </c>
      <c r="AE288" t="str">
        <f t="shared" si="96"/>
        <v>DumpChase</v>
      </c>
      <c r="AF288" t="str">
        <f t="shared" si="97"/>
        <v>Offensive</v>
      </c>
      <c r="AG288">
        <f t="shared" si="103"/>
        <v>18981</v>
      </c>
      <c r="AH288" t="str">
        <f t="shared" si="104"/>
        <v>Nelson</v>
      </c>
      <c r="AI288" t="str">
        <f t="shared" si="105"/>
        <v>Velodrome</v>
      </c>
      <c r="AJ288" s="18">
        <f t="shared" si="98"/>
        <v>0</v>
      </c>
      <c r="AP288" s="18">
        <f t="shared" si="99"/>
        <v>0</v>
      </c>
      <c r="AQ288">
        <f t="shared" si="100"/>
        <v>0</v>
      </c>
      <c r="AR288" s="23">
        <f t="shared" si="101"/>
        <v>381</v>
      </c>
      <c r="AS288">
        <f t="shared" si="106"/>
        <v>376</v>
      </c>
      <c r="AT288" s="21">
        <f t="shared" si="107"/>
        <v>381</v>
      </c>
      <c r="AU288" s="21"/>
      <c r="AV288" s="21"/>
      <c r="AW288" s="21"/>
    </row>
    <row r="289" spans="1:49" x14ac:dyDescent="0.2">
      <c r="A289">
        <v>163</v>
      </c>
      <c r="E289">
        <f t="shared" si="102"/>
        <v>1</v>
      </c>
      <c r="F289" s="5" t="s">
        <v>486</v>
      </c>
      <c r="G289" s="5" t="s">
        <v>511</v>
      </c>
      <c r="J289" t="str">
        <f t="shared" si="109"/>
        <v>11</v>
      </c>
      <c r="K289" t="str">
        <f t="shared" si="110"/>
        <v>39</v>
      </c>
      <c r="L289" t="str">
        <f t="shared" si="111"/>
        <v/>
      </c>
      <c r="M289" s="6" t="str">
        <f t="shared" si="112"/>
        <v/>
      </c>
      <c r="N289" t="s">
        <v>179</v>
      </c>
      <c r="O289">
        <v>22</v>
      </c>
      <c r="P289" t="s">
        <v>424</v>
      </c>
      <c r="Q289" t="s">
        <v>10</v>
      </c>
      <c r="R289" t="s">
        <v>190</v>
      </c>
      <c r="S289" t="s">
        <v>448</v>
      </c>
      <c r="Y289" t="str">
        <f t="shared" si="92"/>
        <v/>
      </c>
      <c r="Z289" t="str">
        <f t="shared" si="93"/>
        <v/>
      </c>
      <c r="AC289" t="str">
        <f t="shared" si="94"/>
        <v>Turnover</v>
      </c>
      <c r="AD289" t="str">
        <f t="shared" si="95"/>
        <v>Turnover_Giveaway</v>
      </c>
      <c r="AE289" t="str">
        <f t="shared" si="96"/>
        <v>Giveaway-DumpInZone</v>
      </c>
      <c r="AF289" t="str">
        <f t="shared" si="97"/>
        <v>Offensive</v>
      </c>
      <c r="AG289">
        <f t="shared" si="103"/>
        <v>18981</v>
      </c>
      <c r="AH289" t="str">
        <f t="shared" si="104"/>
        <v>Nelson</v>
      </c>
      <c r="AI289" t="str">
        <f t="shared" si="105"/>
        <v>Velodrome</v>
      </c>
      <c r="AJ289" s="18">
        <f t="shared" si="98"/>
        <v>0</v>
      </c>
      <c r="AP289" s="18">
        <f t="shared" si="99"/>
        <v>0</v>
      </c>
      <c r="AQ289">
        <f t="shared" si="100"/>
        <v>0</v>
      </c>
      <c r="AR289" s="23">
        <f t="shared" si="101"/>
        <v>381</v>
      </c>
      <c r="AS289">
        <f t="shared" si="106"/>
        <v>376</v>
      </c>
      <c r="AT289" s="21">
        <f t="shared" si="107"/>
        <v>381</v>
      </c>
      <c r="AU289" s="21"/>
      <c r="AV289" s="21"/>
      <c r="AW289" s="21"/>
    </row>
    <row r="290" spans="1:49" x14ac:dyDescent="0.2">
      <c r="A290">
        <v>164</v>
      </c>
      <c r="E290">
        <f t="shared" si="102"/>
        <v>1</v>
      </c>
      <c r="F290" s="5" t="s">
        <v>486</v>
      </c>
      <c r="G290" s="5" t="s">
        <v>506</v>
      </c>
      <c r="J290" t="str">
        <f t="shared" si="109"/>
        <v>11</v>
      </c>
      <c r="K290" t="str">
        <f t="shared" si="110"/>
        <v>34</v>
      </c>
      <c r="L290" t="str">
        <f t="shared" si="111"/>
        <v/>
      </c>
      <c r="M290" s="6" t="str">
        <f t="shared" si="112"/>
        <v/>
      </c>
      <c r="N290" t="s">
        <v>178</v>
      </c>
      <c r="O290">
        <v>8</v>
      </c>
      <c r="P290" t="s">
        <v>424</v>
      </c>
      <c r="Q290" t="s">
        <v>8</v>
      </c>
      <c r="R290" t="s">
        <v>189</v>
      </c>
      <c r="S290" t="s">
        <v>68</v>
      </c>
      <c r="Y290" t="str">
        <f t="shared" si="92"/>
        <v/>
      </c>
      <c r="Z290" t="str">
        <f t="shared" si="93"/>
        <v/>
      </c>
      <c r="AC290" t="str">
        <f t="shared" si="94"/>
        <v>Pass</v>
      </c>
      <c r="AD290" t="str">
        <f t="shared" si="95"/>
        <v>Pass_Completed</v>
      </c>
      <c r="AE290" t="str">
        <f t="shared" si="96"/>
        <v>Pass-Rim/Wrap</v>
      </c>
      <c r="AF290" t="str">
        <f t="shared" si="97"/>
        <v>Offensive</v>
      </c>
      <c r="AG290">
        <f t="shared" si="103"/>
        <v>18981</v>
      </c>
      <c r="AH290" t="str">
        <f t="shared" si="104"/>
        <v>Nelson</v>
      </c>
      <c r="AI290" t="str">
        <f t="shared" si="105"/>
        <v>Velodrome</v>
      </c>
      <c r="AJ290" s="18">
        <f t="shared" si="98"/>
        <v>0</v>
      </c>
      <c r="AP290" s="18">
        <f t="shared" si="99"/>
        <v>0</v>
      </c>
      <c r="AQ290">
        <f t="shared" si="100"/>
        <v>0</v>
      </c>
      <c r="AR290" s="23">
        <f t="shared" si="101"/>
        <v>386</v>
      </c>
      <c r="AS290">
        <f t="shared" si="106"/>
        <v>381</v>
      </c>
      <c r="AT290" s="21">
        <f t="shared" si="107"/>
        <v>386</v>
      </c>
      <c r="AU290" s="21"/>
      <c r="AV290" s="21"/>
      <c r="AW290" s="21"/>
    </row>
    <row r="291" spans="1:49" x14ac:dyDescent="0.2">
      <c r="A291">
        <v>164</v>
      </c>
      <c r="E291">
        <f t="shared" si="102"/>
        <v>1</v>
      </c>
      <c r="J291" t="str">
        <f t="shared" si="109"/>
        <v>11</v>
      </c>
      <c r="K291" t="str">
        <f t="shared" si="110"/>
        <v>34</v>
      </c>
      <c r="L291" t="str">
        <f t="shared" si="111"/>
        <v/>
      </c>
      <c r="M291" s="6" t="str">
        <f t="shared" si="112"/>
        <v/>
      </c>
      <c r="N291" t="str">
        <f t="shared" si="108"/>
        <v>Home</v>
      </c>
      <c r="O291">
        <v>44</v>
      </c>
      <c r="P291" t="s">
        <v>424</v>
      </c>
      <c r="Y291" t="str">
        <f t="shared" si="92"/>
        <v/>
      </c>
      <c r="Z291" t="str">
        <f t="shared" si="93"/>
        <v/>
      </c>
      <c r="AC291" t="str">
        <f t="shared" si="94"/>
        <v>Pass</v>
      </c>
      <c r="AD291" t="str">
        <f t="shared" si="95"/>
        <v>Pass_Completed</v>
      </c>
      <c r="AE291" t="str">
        <f t="shared" si="96"/>
        <v>Pass-Rim/Wrap</v>
      </c>
      <c r="AF291" t="str">
        <f t="shared" si="97"/>
        <v>Offensive</v>
      </c>
      <c r="AG291">
        <f t="shared" si="103"/>
        <v>18981</v>
      </c>
      <c r="AH291" t="str">
        <f t="shared" si="104"/>
        <v>Nelson</v>
      </c>
      <c r="AI291" t="str">
        <f t="shared" si="105"/>
        <v>Velodrome</v>
      </c>
      <c r="AJ291" s="18">
        <f t="shared" si="98"/>
        <v>0</v>
      </c>
      <c r="AP291" s="18">
        <f t="shared" si="99"/>
        <v>0</v>
      </c>
      <c r="AQ291">
        <f t="shared" si="100"/>
        <v>0</v>
      </c>
      <c r="AR291" s="23">
        <f t="shared" si="101"/>
        <v>386</v>
      </c>
      <c r="AS291">
        <f t="shared" si="106"/>
        <v>381</v>
      </c>
      <c r="AT291" s="21">
        <f t="shared" si="107"/>
        <v>386</v>
      </c>
      <c r="AU291" s="21"/>
      <c r="AV291" s="21"/>
      <c r="AW291" s="21"/>
    </row>
    <row r="292" spans="1:49" x14ac:dyDescent="0.2">
      <c r="A292">
        <v>165</v>
      </c>
      <c r="E292">
        <f t="shared" si="102"/>
        <v>1</v>
      </c>
      <c r="F292" s="5" t="s">
        <v>486</v>
      </c>
      <c r="G292" s="5" t="s">
        <v>504</v>
      </c>
      <c r="H292" s="5" t="s">
        <v>486</v>
      </c>
      <c r="I292" s="7" t="s">
        <v>503</v>
      </c>
      <c r="J292" t="str">
        <f t="shared" si="109"/>
        <v>11</v>
      </c>
      <c r="K292" t="str">
        <f t="shared" si="110"/>
        <v>32</v>
      </c>
      <c r="L292" t="str">
        <f t="shared" si="111"/>
        <v>11</v>
      </c>
      <c r="M292" s="6" t="str">
        <f t="shared" si="112"/>
        <v>31</v>
      </c>
      <c r="N292" t="s">
        <v>178</v>
      </c>
      <c r="O292">
        <v>44</v>
      </c>
      <c r="P292" t="s">
        <v>424</v>
      </c>
      <c r="Q292" t="s">
        <v>15</v>
      </c>
      <c r="Y292" t="str">
        <f t="shared" si="92"/>
        <v/>
      </c>
      <c r="Z292" t="str">
        <f t="shared" si="93"/>
        <v/>
      </c>
      <c r="AC292" t="str">
        <f t="shared" si="94"/>
        <v>Possession</v>
      </c>
      <c r="AD292" t="str">
        <f t="shared" si="95"/>
        <v/>
      </c>
      <c r="AE292" t="str">
        <f t="shared" si="96"/>
        <v/>
      </c>
      <c r="AF292" t="str">
        <f t="shared" si="97"/>
        <v>Offensive</v>
      </c>
      <c r="AG292">
        <f t="shared" si="103"/>
        <v>18981</v>
      </c>
      <c r="AH292" t="str">
        <f t="shared" si="104"/>
        <v>Nelson</v>
      </c>
      <c r="AI292" t="str">
        <f t="shared" si="105"/>
        <v>Velodrome</v>
      </c>
      <c r="AJ292" s="18">
        <f t="shared" si="98"/>
        <v>1</v>
      </c>
      <c r="AP292" s="18">
        <f t="shared" si="99"/>
        <v>0</v>
      </c>
      <c r="AQ292">
        <f t="shared" si="100"/>
        <v>0</v>
      </c>
      <c r="AR292" s="23">
        <f t="shared" si="101"/>
        <v>388</v>
      </c>
      <c r="AS292">
        <f t="shared" si="106"/>
        <v>383</v>
      </c>
      <c r="AT292" s="21">
        <f t="shared" si="107"/>
        <v>389</v>
      </c>
      <c r="AU292" s="21"/>
      <c r="AV292" s="21"/>
      <c r="AW292" s="21"/>
    </row>
    <row r="293" spans="1:49" x14ac:dyDescent="0.2">
      <c r="A293">
        <v>166</v>
      </c>
      <c r="E293">
        <f t="shared" si="102"/>
        <v>1</v>
      </c>
      <c r="F293" s="5" t="s">
        <v>486</v>
      </c>
      <c r="G293" s="5" t="s">
        <v>503</v>
      </c>
      <c r="J293" t="str">
        <f t="shared" si="109"/>
        <v>11</v>
      </c>
      <c r="K293" t="str">
        <f t="shared" si="110"/>
        <v>31</v>
      </c>
      <c r="L293" t="str">
        <f t="shared" si="111"/>
        <v/>
      </c>
      <c r="M293" s="6" t="str">
        <f t="shared" si="112"/>
        <v/>
      </c>
      <c r="N293" t="s">
        <v>178</v>
      </c>
      <c r="O293">
        <v>44</v>
      </c>
      <c r="P293" t="s">
        <v>424</v>
      </c>
      <c r="Q293" t="s">
        <v>8</v>
      </c>
      <c r="R293" t="s">
        <v>189</v>
      </c>
      <c r="S293" t="s">
        <v>442</v>
      </c>
      <c r="Y293" t="str">
        <f t="shared" si="92"/>
        <v/>
      </c>
      <c r="Z293" t="str">
        <f t="shared" si="93"/>
        <v/>
      </c>
      <c r="AC293" t="str">
        <f t="shared" si="94"/>
        <v>Pass</v>
      </c>
      <c r="AD293" t="str">
        <f t="shared" si="95"/>
        <v>Pass_Completed</v>
      </c>
      <c r="AE293" t="str">
        <f t="shared" si="96"/>
        <v>Pass-Drop</v>
      </c>
      <c r="AF293" t="str">
        <f t="shared" si="97"/>
        <v>Offensive</v>
      </c>
      <c r="AG293">
        <f t="shared" si="103"/>
        <v>18981</v>
      </c>
      <c r="AH293" t="str">
        <f t="shared" si="104"/>
        <v>Nelson</v>
      </c>
      <c r="AI293" t="str">
        <f t="shared" si="105"/>
        <v>Velodrome</v>
      </c>
      <c r="AJ293" s="18">
        <f t="shared" si="98"/>
        <v>0</v>
      </c>
      <c r="AP293" s="18">
        <f t="shared" si="99"/>
        <v>0</v>
      </c>
      <c r="AQ293">
        <f t="shared" si="100"/>
        <v>0</v>
      </c>
      <c r="AR293" s="23">
        <f t="shared" si="101"/>
        <v>389</v>
      </c>
      <c r="AS293">
        <f t="shared" si="106"/>
        <v>384</v>
      </c>
      <c r="AT293" s="21">
        <f t="shared" si="107"/>
        <v>389</v>
      </c>
      <c r="AU293" s="21"/>
      <c r="AV293" s="21"/>
      <c r="AW293" s="21"/>
    </row>
    <row r="294" spans="1:49" x14ac:dyDescent="0.2">
      <c r="A294">
        <v>166</v>
      </c>
      <c r="E294">
        <f t="shared" si="102"/>
        <v>1</v>
      </c>
      <c r="J294" t="str">
        <f t="shared" si="109"/>
        <v>11</v>
      </c>
      <c r="K294" t="str">
        <f t="shared" si="110"/>
        <v>31</v>
      </c>
      <c r="L294" t="str">
        <f t="shared" si="111"/>
        <v/>
      </c>
      <c r="M294" s="6" t="str">
        <f t="shared" si="112"/>
        <v/>
      </c>
      <c r="N294" t="str">
        <f t="shared" si="108"/>
        <v>Home</v>
      </c>
      <c r="O294">
        <v>80</v>
      </c>
      <c r="P294" t="s">
        <v>424</v>
      </c>
      <c r="Y294" t="str">
        <f t="shared" si="92"/>
        <v/>
      </c>
      <c r="Z294" t="str">
        <f t="shared" si="93"/>
        <v/>
      </c>
      <c r="AC294" t="str">
        <f t="shared" si="94"/>
        <v>Pass</v>
      </c>
      <c r="AD294" t="str">
        <f t="shared" si="95"/>
        <v>Pass_Completed</v>
      </c>
      <c r="AE294" t="str">
        <f t="shared" si="96"/>
        <v>Pass-Drop</v>
      </c>
      <c r="AF294" t="str">
        <f t="shared" si="97"/>
        <v>Offensive</v>
      </c>
      <c r="AG294">
        <f t="shared" si="103"/>
        <v>18981</v>
      </c>
      <c r="AH294" t="str">
        <f t="shared" si="104"/>
        <v>Nelson</v>
      </c>
      <c r="AI294" t="str">
        <f t="shared" si="105"/>
        <v>Velodrome</v>
      </c>
      <c r="AJ294" s="18">
        <f t="shared" si="98"/>
        <v>0</v>
      </c>
      <c r="AP294" s="18">
        <f t="shared" si="99"/>
        <v>0</v>
      </c>
      <c r="AQ294">
        <f t="shared" si="100"/>
        <v>0</v>
      </c>
      <c r="AR294" s="23">
        <f t="shared" si="101"/>
        <v>389</v>
      </c>
      <c r="AS294">
        <f t="shared" si="106"/>
        <v>384</v>
      </c>
      <c r="AT294" s="21">
        <f t="shared" si="107"/>
        <v>389</v>
      </c>
      <c r="AU294" s="21"/>
      <c r="AV294" s="21"/>
      <c r="AW294" s="21"/>
    </row>
    <row r="295" spans="1:49" x14ac:dyDescent="0.2">
      <c r="A295">
        <v>167</v>
      </c>
      <c r="E295">
        <f t="shared" si="102"/>
        <v>1</v>
      </c>
      <c r="F295" s="5" t="s">
        <v>486</v>
      </c>
      <c r="G295" s="5" t="s">
        <v>503</v>
      </c>
      <c r="H295" s="5" t="s">
        <v>486</v>
      </c>
      <c r="I295" s="7" t="s">
        <v>502</v>
      </c>
      <c r="J295" t="str">
        <f t="shared" si="109"/>
        <v>11</v>
      </c>
      <c r="K295" t="str">
        <f t="shared" si="110"/>
        <v>31</v>
      </c>
      <c r="L295" t="str">
        <f t="shared" si="111"/>
        <v>11</v>
      </c>
      <c r="M295" s="6" t="str">
        <f t="shared" si="112"/>
        <v>30</v>
      </c>
      <c r="N295" t="s">
        <v>178</v>
      </c>
      <c r="O295">
        <v>80</v>
      </c>
      <c r="P295" t="s">
        <v>424</v>
      </c>
      <c r="Q295" t="s">
        <v>277</v>
      </c>
      <c r="R295" t="s">
        <v>201</v>
      </c>
      <c r="S295" t="s">
        <v>90</v>
      </c>
      <c r="Y295" t="str">
        <f t="shared" si="92"/>
        <v/>
      </c>
      <c r="Z295" t="str">
        <f t="shared" si="93"/>
        <v/>
      </c>
      <c r="AC295" t="str">
        <f t="shared" si="94"/>
        <v>Zone_Entry_Exit</v>
      </c>
      <c r="AD295" t="str">
        <f t="shared" si="95"/>
        <v>Zone_Exit</v>
      </c>
      <c r="AE295" t="str">
        <f t="shared" si="96"/>
        <v>ZoneExit-Rush</v>
      </c>
      <c r="AF295" t="str">
        <f t="shared" si="97"/>
        <v>Offensive</v>
      </c>
      <c r="AG295">
        <f t="shared" si="103"/>
        <v>18981</v>
      </c>
      <c r="AH295" t="str">
        <f t="shared" si="104"/>
        <v>Nelson</v>
      </c>
      <c r="AI295" t="str">
        <f t="shared" si="105"/>
        <v>Velodrome</v>
      </c>
      <c r="AJ295" s="18">
        <f t="shared" si="98"/>
        <v>1</v>
      </c>
      <c r="AP295" s="18">
        <f t="shared" si="99"/>
        <v>0</v>
      </c>
      <c r="AQ295">
        <f t="shared" si="100"/>
        <v>0</v>
      </c>
      <c r="AR295" s="23">
        <f t="shared" si="101"/>
        <v>389</v>
      </c>
      <c r="AS295">
        <f t="shared" si="106"/>
        <v>384</v>
      </c>
      <c r="AT295" s="21">
        <f t="shared" si="107"/>
        <v>390</v>
      </c>
      <c r="AU295" s="21"/>
      <c r="AV295" s="21"/>
      <c r="AW295" s="21"/>
    </row>
    <row r="296" spans="1:49" x14ac:dyDescent="0.2">
      <c r="A296">
        <v>168</v>
      </c>
      <c r="E296">
        <f t="shared" si="102"/>
        <v>1</v>
      </c>
      <c r="F296" s="5" t="s">
        <v>486</v>
      </c>
      <c r="G296" s="5" t="s">
        <v>502</v>
      </c>
      <c r="H296" s="5" t="s">
        <v>486</v>
      </c>
      <c r="I296" s="7" t="s">
        <v>501</v>
      </c>
      <c r="J296" t="str">
        <f t="shared" si="109"/>
        <v>11</v>
      </c>
      <c r="K296" t="str">
        <f t="shared" si="110"/>
        <v>30</v>
      </c>
      <c r="L296" t="str">
        <f t="shared" si="111"/>
        <v>11</v>
      </c>
      <c r="M296" s="6" t="str">
        <f t="shared" si="112"/>
        <v>29</v>
      </c>
      <c r="N296" t="s">
        <v>178</v>
      </c>
      <c r="O296">
        <v>80</v>
      </c>
      <c r="P296" t="s">
        <v>424</v>
      </c>
      <c r="Q296" t="s">
        <v>15</v>
      </c>
      <c r="Y296" t="str">
        <f t="shared" si="92"/>
        <v/>
      </c>
      <c r="Z296" t="str">
        <f t="shared" si="93"/>
        <v/>
      </c>
      <c r="AC296" t="str">
        <f t="shared" si="94"/>
        <v>Possession</v>
      </c>
      <c r="AD296" t="str">
        <f t="shared" si="95"/>
        <v/>
      </c>
      <c r="AE296" t="str">
        <f t="shared" si="96"/>
        <v/>
      </c>
      <c r="AF296" t="str">
        <f t="shared" si="97"/>
        <v>Offensive</v>
      </c>
      <c r="AG296">
        <f t="shared" si="103"/>
        <v>18981</v>
      </c>
      <c r="AH296" t="str">
        <f t="shared" si="104"/>
        <v>Nelson</v>
      </c>
      <c r="AI296" t="str">
        <f t="shared" si="105"/>
        <v>Velodrome</v>
      </c>
      <c r="AJ296" s="18">
        <f t="shared" si="98"/>
        <v>1</v>
      </c>
      <c r="AP296" s="18">
        <f t="shared" si="99"/>
        <v>0</v>
      </c>
      <c r="AQ296">
        <f t="shared" si="100"/>
        <v>0</v>
      </c>
      <c r="AR296" s="23">
        <f t="shared" si="101"/>
        <v>390</v>
      </c>
      <c r="AS296">
        <f t="shared" si="106"/>
        <v>385</v>
      </c>
      <c r="AT296" s="21">
        <f t="shared" si="107"/>
        <v>391</v>
      </c>
      <c r="AU296" s="21"/>
      <c r="AV296" s="21"/>
      <c r="AW296" s="21"/>
    </row>
    <row r="297" spans="1:49" x14ac:dyDescent="0.2">
      <c r="A297">
        <v>169</v>
      </c>
      <c r="E297">
        <f t="shared" si="102"/>
        <v>1</v>
      </c>
      <c r="F297" s="5" t="s">
        <v>486</v>
      </c>
      <c r="G297" s="5" t="s">
        <v>501</v>
      </c>
      <c r="J297" t="str">
        <f t="shared" si="109"/>
        <v>11</v>
      </c>
      <c r="K297" t="str">
        <f t="shared" si="110"/>
        <v>29</v>
      </c>
      <c r="L297" t="str">
        <f t="shared" si="111"/>
        <v/>
      </c>
      <c r="M297" s="6" t="str">
        <f t="shared" si="112"/>
        <v/>
      </c>
      <c r="N297" t="s">
        <v>178</v>
      </c>
      <c r="O297">
        <v>80</v>
      </c>
      <c r="P297" t="s">
        <v>424</v>
      </c>
      <c r="Q297" t="s">
        <v>277</v>
      </c>
      <c r="R297" t="s">
        <v>191</v>
      </c>
      <c r="S297" t="s">
        <v>89</v>
      </c>
      <c r="Y297" t="str">
        <f t="shared" si="92"/>
        <v/>
      </c>
      <c r="Z297" t="str">
        <f t="shared" si="93"/>
        <v/>
      </c>
      <c r="AC297" t="str">
        <f t="shared" si="94"/>
        <v>Zone_Entry_Exit</v>
      </c>
      <c r="AD297" t="str">
        <f t="shared" si="95"/>
        <v>Zone_Entry</v>
      </c>
      <c r="AE297" t="str">
        <f t="shared" si="96"/>
        <v>ZoneEntry-DumpIn</v>
      </c>
      <c r="AF297" t="str">
        <f t="shared" si="97"/>
        <v>Offensive</v>
      </c>
      <c r="AG297">
        <f t="shared" si="103"/>
        <v>18981</v>
      </c>
      <c r="AH297" t="str">
        <f t="shared" si="104"/>
        <v>Nelson</v>
      </c>
      <c r="AI297" t="str">
        <f t="shared" si="105"/>
        <v>Velodrome</v>
      </c>
      <c r="AJ297" s="18">
        <f t="shared" si="98"/>
        <v>0</v>
      </c>
      <c r="AP297" s="18">
        <f t="shared" si="99"/>
        <v>0</v>
      </c>
      <c r="AQ297">
        <f t="shared" si="100"/>
        <v>0</v>
      </c>
      <c r="AR297" s="23">
        <f t="shared" si="101"/>
        <v>391</v>
      </c>
      <c r="AS297">
        <f t="shared" si="106"/>
        <v>386</v>
      </c>
      <c r="AT297" s="21">
        <f t="shared" si="107"/>
        <v>391</v>
      </c>
      <c r="AU297" s="21"/>
      <c r="AV297" s="21"/>
      <c r="AW297" s="21"/>
    </row>
    <row r="298" spans="1:49" x14ac:dyDescent="0.2">
      <c r="A298">
        <v>170</v>
      </c>
      <c r="E298">
        <f t="shared" si="102"/>
        <v>1</v>
      </c>
      <c r="F298" s="5" t="s">
        <v>486</v>
      </c>
      <c r="G298" s="5" t="s">
        <v>494</v>
      </c>
      <c r="H298" s="5" t="s">
        <v>486</v>
      </c>
      <c r="I298" s="7" t="s">
        <v>492</v>
      </c>
      <c r="J298" t="str">
        <f t="shared" si="109"/>
        <v>11</v>
      </c>
      <c r="K298" t="str">
        <f t="shared" si="110"/>
        <v>22</v>
      </c>
      <c r="L298" t="str">
        <f t="shared" si="111"/>
        <v>11</v>
      </c>
      <c r="M298" s="6" t="str">
        <f t="shared" si="112"/>
        <v>20</v>
      </c>
      <c r="N298" t="s">
        <v>179</v>
      </c>
      <c r="O298">
        <v>87</v>
      </c>
      <c r="P298" t="s">
        <v>424</v>
      </c>
      <c r="Q298" t="s">
        <v>15</v>
      </c>
      <c r="Y298" t="str">
        <f t="shared" si="92"/>
        <v/>
      </c>
      <c r="Z298" t="str">
        <f t="shared" si="93"/>
        <v/>
      </c>
      <c r="AC298" t="str">
        <f t="shared" si="94"/>
        <v>Possession</v>
      </c>
      <c r="AD298" t="str">
        <f t="shared" si="95"/>
        <v/>
      </c>
      <c r="AE298" t="str">
        <f t="shared" si="96"/>
        <v/>
      </c>
      <c r="AF298" t="str">
        <f t="shared" si="97"/>
        <v>Offensive</v>
      </c>
      <c r="AG298">
        <f t="shared" si="103"/>
        <v>18981</v>
      </c>
      <c r="AH298" t="str">
        <f t="shared" si="104"/>
        <v>Nelson</v>
      </c>
      <c r="AI298" t="str">
        <f t="shared" si="105"/>
        <v>Velodrome</v>
      </c>
      <c r="AJ298" s="18">
        <f t="shared" si="98"/>
        <v>2</v>
      </c>
      <c r="AP298" s="18">
        <f t="shared" si="99"/>
        <v>0</v>
      </c>
      <c r="AQ298">
        <f t="shared" si="100"/>
        <v>0</v>
      </c>
      <c r="AR298" s="23">
        <f t="shared" si="101"/>
        <v>398</v>
      </c>
      <c r="AS298">
        <f t="shared" si="106"/>
        <v>393</v>
      </c>
      <c r="AT298" s="21">
        <f t="shared" si="107"/>
        <v>400</v>
      </c>
      <c r="AU298" s="21"/>
      <c r="AV298" s="21"/>
      <c r="AW298" s="21"/>
    </row>
    <row r="299" spans="1:49" x14ac:dyDescent="0.2">
      <c r="A299">
        <v>171</v>
      </c>
      <c r="E299">
        <f t="shared" si="102"/>
        <v>1</v>
      </c>
      <c r="F299" s="5" t="s">
        <v>486</v>
      </c>
      <c r="G299" s="5" t="s">
        <v>492</v>
      </c>
      <c r="J299" t="str">
        <f t="shared" si="109"/>
        <v>11</v>
      </c>
      <c r="K299" t="str">
        <f t="shared" si="110"/>
        <v>20</v>
      </c>
      <c r="L299" t="str">
        <f t="shared" si="111"/>
        <v/>
      </c>
      <c r="M299" s="6" t="str">
        <f t="shared" si="112"/>
        <v/>
      </c>
      <c r="N299" t="s">
        <v>179</v>
      </c>
      <c r="O299">
        <v>87</v>
      </c>
      <c r="P299" t="s">
        <v>424</v>
      </c>
      <c r="Q299" t="s">
        <v>277</v>
      </c>
      <c r="R299" t="s">
        <v>201</v>
      </c>
      <c r="S299" t="s">
        <v>437</v>
      </c>
      <c r="Y299" t="str">
        <f t="shared" si="92"/>
        <v/>
      </c>
      <c r="Z299" t="str">
        <f t="shared" si="93"/>
        <v/>
      </c>
      <c r="AC299" t="str">
        <f t="shared" si="94"/>
        <v>Zone_Entry_Exit</v>
      </c>
      <c r="AD299" t="str">
        <f t="shared" si="95"/>
        <v>Zone_Exit</v>
      </c>
      <c r="AE299" t="str">
        <f t="shared" si="96"/>
        <v>ZoneExit-Lob</v>
      </c>
      <c r="AF299" t="str">
        <f t="shared" si="97"/>
        <v>Offensive</v>
      </c>
      <c r="AG299">
        <f t="shared" si="103"/>
        <v>18981</v>
      </c>
      <c r="AH299" t="str">
        <f t="shared" si="104"/>
        <v>Nelson</v>
      </c>
      <c r="AI299" t="str">
        <f t="shared" si="105"/>
        <v>Velodrome</v>
      </c>
      <c r="AJ299" s="18">
        <f t="shared" si="98"/>
        <v>0</v>
      </c>
      <c r="AP299" s="18">
        <f t="shared" si="99"/>
        <v>0</v>
      </c>
      <c r="AQ299">
        <f t="shared" si="100"/>
        <v>0</v>
      </c>
      <c r="AR299" s="23">
        <f t="shared" si="101"/>
        <v>400</v>
      </c>
      <c r="AS299">
        <f t="shared" si="106"/>
        <v>395</v>
      </c>
      <c r="AT299" s="21">
        <f t="shared" si="107"/>
        <v>400</v>
      </c>
      <c r="AU299" s="21"/>
      <c r="AV299" s="21"/>
      <c r="AW299" s="21"/>
    </row>
    <row r="300" spans="1:49" x14ac:dyDescent="0.2">
      <c r="A300">
        <v>172</v>
      </c>
      <c r="E300">
        <f t="shared" si="102"/>
        <v>1</v>
      </c>
      <c r="F300" s="5" t="s">
        <v>486</v>
      </c>
      <c r="G300" s="5" t="s">
        <v>492</v>
      </c>
      <c r="J300" t="str">
        <f t="shared" si="109"/>
        <v>11</v>
      </c>
      <c r="K300" t="str">
        <f t="shared" si="110"/>
        <v>20</v>
      </c>
      <c r="L300" t="str">
        <f t="shared" si="111"/>
        <v/>
      </c>
      <c r="M300" s="6" t="str">
        <f t="shared" si="112"/>
        <v/>
      </c>
      <c r="N300" t="s">
        <v>179</v>
      </c>
      <c r="O300">
        <v>87</v>
      </c>
      <c r="P300" t="s">
        <v>424</v>
      </c>
      <c r="Q300" t="s">
        <v>10</v>
      </c>
      <c r="R300" t="s">
        <v>190</v>
      </c>
      <c r="S300" t="s">
        <v>411</v>
      </c>
      <c r="Y300" t="str">
        <f t="shared" si="92"/>
        <v/>
      </c>
      <c r="Z300" t="str">
        <f t="shared" si="93"/>
        <v/>
      </c>
      <c r="AC300" t="str">
        <f t="shared" si="94"/>
        <v>Turnover</v>
      </c>
      <c r="AD300" t="str">
        <f t="shared" si="95"/>
        <v>Turnover_Giveaway</v>
      </c>
      <c r="AE300" t="str">
        <f t="shared" si="96"/>
        <v>Giveaway-ZoneClear/Dump</v>
      </c>
      <c r="AF300" t="str">
        <f t="shared" si="97"/>
        <v>Offensive</v>
      </c>
      <c r="AG300">
        <f t="shared" si="103"/>
        <v>18981</v>
      </c>
      <c r="AH300" t="str">
        <f t="shared" si="104"/>
        <v>Nelson</v>
      </c>
      <c r="AI300" t="str">
        <f t="shared" si="105"/>
        <v>Velodrome</v>
      </c>
      <c r="AJ300" s="18">
        <f t="shared" si="98"/>
        <v>0</v>
      </c>
      <c r="AP300" s="18">
        <f t="shared" si="99"/>
        <v>0</v>
      </c>
      <c r="AQ300">
        <f t="shared" si="100"/>
        <v>0</v>
      </c>
      <c r="AR300" s="23">
        <f t="shared" si="101"/>
        <v>400</v>
      </c>
      <c r="AS300">
        <f t="shared" si="106"/>
        <v>395</v>
      </c>
      <c r="AT300" s="21">
        <f t="shared" si="107"/>
        <v>400</v>
      </c>
      <c r="AU300" s="21"/>
      <c r="AV300" s="21"/>
      <c r="AW300" s="21"/>
    </row>
    <row r="301" spans="1:49" x14ac:dyDescent="0.2">
      <c r="A301">
        <v>173</v>
      </c>
      <c r="E301">
        <f t="shared" si="102"/>
        <v>1</v>
      </c>
      <c r="F301" s="5" t="s">
        <v>486</v>
      </c>
      <c r="G301" s="5" t="s">
        <v>477</v>
      </c>
      <c r="H301" s="5" t="s">
        <v>486</v>
      </c>
      <c r="I301" s="7" t="s">
        <v>478</v>
      </c>
      <c r="J301" t="str">
        <f t="shared" si="109"/>
        <v>11</v>
      </c>
      <c r="K301" t="str">
        <f t="shared" si="110"/>
        <v>16</v>
      </c>
      <c r="L301" t="str">
        <f t="shared" si="111"/>
        <v>11</v>
      </c>
      <c r="M301" s="6" t="str">
        <f t="shared" si="112"/>
        <v>15</v>
      </c>
      <c r="N301" t="s">
        <v>178</v>
      </c>
      <c r="O301">
        <v>16</v>
      </c>
      <c r="P301" t="s">
        <v>424</v>
      </c>
      <c r="Q301" t="s">
        <v>15</v>
      </c>
      <c r="Y301" t="str">
        <f t="shared" si="92"/>
        <v/>
      </c>
      <c r="Z301" t="str">
        <f t="shared" si="93"/>
        <v/>
      </c>
      <c r="AC301" t="str">
        <f t="shared" si="94"/>
        <v>Possession</v>
      </c>
      <c r="AD301" t="str">
        <f t="shared" si="95"/>
        <v/>
      </c>
      <c r="AE301" t="str">
        <f t="shared" si="96"/>
        <v/>
      </c>
      <c r="AF301" t="str">
        <f t="shared" si="97"/>
        <v>Offensive</v>
      </c>
      <c r="AG301">
        <f t="shared" si="103"/>
        <v>18981</v>
      </c>
      <c r="AH301" t="str">
        <f t="shared" si="104"/>
        <v>Nelson</v>
      </c>
      <c r="AI301" t="str">
        <f t="shared" si="105"/>
        <v>Velodrome</v>
      </c>
      <c r="AJ301" s="18">
        <f t="shared" si="98"/>
        <v>1</v>
      </c>
      <c r="AP301" s="18">
        <f t="shared" si="99"/>
        <v>0</v>
      </c>
      <c r="AQ301">
        <f t="shared" si="100"/>
        <v>0</v>
      </c>
      <c r="AR301" s="23">
        <f t="shared" si="101"/>
        <v>404</v>
      </c>
      <c r="AS301">
        <f t="shared" si="106"/>
        <v>399</v>
      </c>
      <c r="AT301" s="21">
        <f t="shared" si="107"/>
        <v>405</v>
      </c>
      <c r="AU301" s="21"/>
      <c r="AV301" s="21"/>
      <c r="AW301" s="21"/>
    </row>
    <row r="302" spans="1:49" x14ac:dyDescent="0.2">
      <c r="A302">
        <v>174</v>
      </c>
      <c r="E302">
        <f t="shared" si="102"/>
        <v>1</v>
      </c>
      <c r="F302" s="5" t="s">
        <v>486</v>
      </c>
      <c r="G302" s="5" t="s">
        <v>478</v>
      </c>
      <c r="H302" s="5" t="s">
        <v>486</v>
      </c>
      <c r="I302" s="7" t="s">
        <v>487</v>
      </c>
      <c r="J302" t="str">
        <f t="shared" si="109"/>
        <v>11</v>
      </c>
      <c r="K302" t="str">
        <f t="shared" si="110"/>
        <v>15</v>
      </c>
      <c r="L302" t="str">
        <f t="shared" si="111"/>
        <v>11</v>
      </c>
      <c r="M302" s="6" t="str">
        <f t="shared" si="112"/>
        <v>12</v>
      </c>
      <c r="N302" t="s">
        <v>178</v>
      </c>
      <c r="O302">
        <v>16</v>
      </c>
      <c r="P302" t="s">
        <v>424</v>
      </c>
      <c r="Q302" t="s">
        <v>277</v>
      </c>
      <c r="R302" t="s">
        <v>191</v>
      </c>
      <c r="S302" t="s">
        <v>87</v>
      </c>
      <c r="Y302" t="str">
        <f t="shared" si="92"/>
        <v/>
      </c>
      <c r="Z302" t="str">
        <f t="shared" si="93"/>
        <v/>
      </c>
      <c r="AC302" t="str">
        <f t="shared" si="94"/>
        <v>Zone_Entry_Exit</v>
      </c>
      <c r="AD302" t="str">
        <f t="shared" si="95"/>
        <v>Zone_Entry</v>
      </c>
      <c r="AE302" t="str">
        <f t="shared" si="96"/>
        <v>ZoneEntry-Rush</v>
      </c>
      <c r="AF302" t="str">
        <f t="shared" si="97"/>
        <v>Offensive</v>
      </c>
      <c r="AG302">
        <f t="shared" si="103"/>
        <v>18981</v>
      </c>
      <c r="AH302" t="str">
        <f t="shared" si="104"/>
        <v>Nelson</v>
      </c>
      <c r="AI302" t="str">
        <f t="shared" si="105"/>
        <v>Velodrome</v>
      </c>
      <c r="AJ302" s="18">
        <f t="shared" si="98"/>
        <v>3</v>
      </c>
      <c r="AP302" s="18">
        <f t="shared" si="99"/>
        <v>0</v>
      </c>
      <c r="AQ302">
        <f t="shared" si="100"/>
        <v>0</v>
      </c>
      <c r="AR302" s="23">
        <f t="shared" si="101"/>
        <v>405</v>
      </c>
      <c r="AS302">
        <f t="shared" si="106"/>
        <v>400</v>
      </c>
      <c r="AT302" s="21">
        <f t="shared" si="107"/>
        <v>408</v>
      </c>
      <c r="AU302" s="21"/>
      <c r="AV302" s="21"/>
      <c r="AW302" s="21"/>
    </row>
    <row r="303" spans="1:49" x14ac:dyDescent="0.2">
      <c r="A303">
        <v>174</v>
      </c>
      <c r="E303">
        <f t="shared" si="102"/>
        <v>1</v>
      </c>
      <c r="J303" t="str">
        <f t="shared" si="109"/>
        <v>11</v>
      </c>
      <c r="K303" t="str">
        <f t="shared" si="110"/>
        <v>15</v>
      </c>
      <c r="L303" t="str">
        <f t="shared" si="111"/>
        <v>11</v>
      </c>
      <c r="M303" s="6" t="str">
        <f t="shared" si="112"/>
        <v>12</v>
      </c>
      <c r="N303" t="str">
        <f t="shared" si="108"/>
        <v>Home</v>
      </c>
      <c r="O303">
        <v>70</v>
      </c>
      <c r="P303" t="s">
        <v>425</v>
      </c>
      <c r="Y303" t="str">
        <f t="shared" si="92"/>
        <v/>
      </c>
      <c r="Z303" t="str">
        <f t="shared" si="93"/>
        <v/>
      </c>
      <c r="AC303" t="str">
        <f t="shared" si="94"/>
        <v>Zone_Entry_Exit</v>
      </c>
      <c r="AD303" t="str">
        <f t="shared" si="95"/>
        <v>Zone_Entry</v>
      </c>
      <c r="AE303" t="str">
        <f t="shared" si="96"/>
        <v>ZoneEntry-Rush</v>
      </c>
      <c r="AF303" t="str">
        <f t="shared" si="97"/>
        <v>Defensive</v>
      </c>
      <c r="AG303">
        <f t="shared" si="103"/>
        <v>18981</v>
      </c>
      <c r="AH303" t="str">
        <f t="shared" si="104"/>
        <v>Nelson</v>
      </c>
      <c r="AI303" t="str">
        <f t="shared" si="105"/>
        <v>Velodrome</v>
      </c>
      <c r="AJ303" s="18">
        <f t="shared" si="98"/>
        <v>3</v>
      </c>
      <c r="AP303" s="18">
        <f t="shared" si="99"/>
        <v>0</v>
      </c>
      <c r="AQ303">
        <f t="shared" si="100"/>
        <v>0</v>
      </c>
      <c r="AR303" s="23">
        <f t="shared" si="101"/>
        <v>405</v>
      </c>
      <c r="AS303">
        <f t="shared" si="106"/>
        <v>400</v>
      </c>
      <c r="AT303" s="21">
        <f t="shared" si="107"/>
        <v>408</v>
      </c>
      <c r="AU303" s="21"/>
      <c r="AV303" s="21"/>
      <c r="AW303" s="21"/>
    </row>
    <row r="304" spans="1:49" x14ac:dyDescent="0.2">
      <c r="A304">
        <v>174</v>
      </c>
      <c r="E304">
        <f t="shared" si="102"/>
        <v>1</v>
      </c>
      <c r="J304" t="str">
        <f t="shared" si="109"/>
        <v>11</v>
      </c>
      <c r="K304" t="str">
        <f t="shared" si="110"/>
        <v>15</v>
      </c>
      <c r="L304" t="str">
        <f t="shared" si="111"/>
        <v>11</v>
      </c>
      <c r="M304" s="6" t="str">
        <f t="shared" si="112"/>
        <v>12</v>
      </c>
      <c r="N304" t="str">
        <f t="shared" si="108"/>
        <v>Home</v>
      </c>
      <c r="O304">
        <v>52</v>
      </c>
      <c r="P304" t="s">
        <v>425</v>
      </c>
      <c r="Y304" t="str">
        <f t="shared" si="92"/>
        <v/>
      </c>
      <c r="Z304" t="str">
        <f t="shared" si="93"/>
        <v/>
      </c>
      <c r="AC304" t="str">
        <f t="shared" si="94"/>
        <v>Zone_Entry_Exit</v>
      </c>
      <c r="AD304" t="str">
        <f t="shared" si="95"/>
        <v>Zone_Entry</v>
      </c>
      <c r="AE304" t="str">
        <f t="shared" si="96"/>
        <v>ZoneEntry-Rush</v>
      </c>
      <c r="AF304" t="str">
        <f t="shared" si="97"/>
        <v>Defensive</v>
      </c>
      <c r="AG304">
        <f t="shared" si="103"/>
        <v>18981</v>
      </c>
      <c r="AH304" t="str">
        <f t="shared" si="104"/>
        <v>Nelson</v>
      </c>
      <c r="AI304" t="str">
        <f t="shared" si="105"/>
        <v>Velodrome</v>
      </c>
      <c r="AJ304" s="18">
        <f t="shared" si="98"/>
        <v>3</v>
      </c>
      <c r="AP304" s="18">
        <f t="shared" si="99"/>
        <v>0</v>
      </c>
      <c r="AQ304">
        <f t="shared" si="100"/>
        <v>0</v>
      </c>
      <c r="AR304" s="23">
        <f t="shared" si="101"/>
        <v>405</v>
      </c>
      <c r="AS304">
        <f t="shared" si="106"/>
        <v>400</v>
      </c>
      <c r="AT304" s="21">
        <f t="shared" si="107"/>
        <v>408</v>
      </c>
      <c r="AU304" s="21"/>
      <c r="AV304" s="21"/>
      <c r="AW304" s="21"/>
    </row>
    <row r="305" spans="1:49" x14ac:dyDescent="0.2">
      <c r="A305">
        <v>174</v>
      </c>
      <c r="E305">
        <f t="shared" si="102"/>
        <v>1</v>
      </c>
      <c r="J305" t="str">
        <f t="shared" si="109"/>
        <v>11</v>
      </c>
      <c r="K305" t="str">
        <f t="shared" si="110"/>
        <v>15</v>
      </c>
      <c r="L305" t="str">
        <f t="shared" si="111"/>
        <v>11</v>
      </c>
      <c r="M305" s="6" t="str">
        <f t="shared" si="112"/>
        <v>12</v>
      </c>
      <c r="N305" t="str">
        <f t="shared" si="108"/>
        <v>Home</v>
      </c>
      <c r="O305">
        <v>22</v>
      </c>
      <c r="P305" t="s">
        <v>425</v>
      </c>
      <c r="Y305" t="str">
        <f t="shared" si="92"/>
        <v/>
      </c>
      <c r="Z305" t="str">
        <f t="shared" si="93"/>
        <v/>
      </c>
      <c r="AC305" t="str">
        <f t="shared" si="94"/>
        <v>Zone_Entry_Exit</v>
      </c>
      <c r="AD305" t="str">
        <f t="shared" si="95"/>
        <v>Zone_Entry</v>
      </c>
      <c r="AE305" t="str">
        <f t="shared" si="96"/>
        <v>ZoneEntry-Rush</v>
      </c>
      <c r="AF305" t="str">
        <f t="shared" si="97"/>
        <v>Defensive</v>
      </c>
      <c r="AG305">
        <f t="shared" si="103"/>
        <v>18981</v>
      </c>
      <c r="AH305" t="str">
        <f t="shared" si="104"/>
        <v>Nelson</v>
      </c>
      <c r="AI305" t="str">
        <f t="shared" si="105"/>
        <v>Velodrome</v>
      </c>
      <c r="AJ305" s="18">
        <f t="shared" si="98"/>
        <v>3</v>
      </c>
      <c r="AP305" s="18">
        <f t="shared" si="99"/>
        <v>0</v>
      </c>
      <c r="AQ305">
        <f t="shared" si="100"/>
        <v>0</v>
      </c>
      <c r="AR305" s="23">
        <f t="shared" si="101"/>
        <v>405</v>
      </c>
      <c r="AS305">
        <f t="shared" si="106"/>
        <v>400</v>
      </c>
      <c r="AT305" s="21">
        <f t="shared" si="107"/>
        <v>408</v>
      </c>
      <c r="AU305" s="21"/>
      <c r="AV305" s="21"/>
      <c r="AW305" s="21"/>
    </row>
    <row r="306" spans="1:49" x14ac:dyDescent="0.2">
      <c r="A306">
        <v>175</v>
      </c>
      <c r="E306">
        <f t="shared" si="102"/>
        <v>1</v>
      </c>
      <c r="F306" s="5" t="s">
        <v>486</v>
      </c>
      <c r="G306" s="5" t="s">
        <v>486</v>
      </c>
      <c r="H306" s="5" t="s">
        <v>486</v>
      </c>
      <c r="I306" s="7" t="s">
        <v>486</v>
      </c>
      <c r="J306" t="str">
        <f t="shared" si="109"/>
        <v>11</v>
      </c>
      <c r="K306" t="str">
        <f t="shared" si="110"/>
        <v>11</v>
      </c>
      <c r="L306" t="str">
        <f t="shared" si="111"/>
        <v>11</v>
      </c>
      <c r="M306" s="6" t="str">
        <f t="shared" si="112"/>
        <v>11</v>
      </c>
      <c r="N306" t="s">
        <v>179</v>
      </c>
      <c r="O306">
        <v>70</v>
      </c>
      <c r="P306" t="s">
        <v>424</v>
      </c>
      <c r="Q306" t="s">
        <v>10</v>
      </c>
      <c r="R306" t="s">
        <v>200</v>
      </c>
      <c r="S306" t="s">
        <v>82</v>
      </c>
      <c r="Y306" t="str">
        <f t="shared" si="92"/>
        <v/>
      </c>
      <c r="Z306" t="str">
        <f t="shared" si="93"/>
        <v/>
      </c>
      <c r="AC306" t="str">
        <f t="shared" si="94"/>
        <v>Turnover</v>
      </c>
      <c r="AD306" t="str">
        <f t="shared" si="95"/>
        <v>Turnover_Takeaway</v>
      </c>
      <c r="AE306" t="str">
        <f t="shared" si="96"/>
        <v>Takeaway-PokeCheck</v>
      </c>
      <c r="AF306" t="str">
        <f t="shared" si="97"/>
        <v>Defensive</v>
      </c>
      <c r="AG306">
        <f t="shared" si="103"/>
        <v>18981</v>
      </c>
      <c r="AH306" t="str">
        <f t="shared" si="104"/>
        <v>Nelson</v>
      </c>
      <c r="AI306" t="str">
        <f t="shared" si="105"/>
        <v>Velodrome</v>
      </c>
      <c r="AJ306" s="18">
        <f t="shared" si="98"/>
        <v>0</v>
      </c>
      <c r="AP306" s="18">
        <f t="shared" si="99"/>
        <v>0</v>
      </c>
      <c r="AQ306">
        <f t="shared" si="100"/>
        <v>0</v>
      </c>
      <c r="AR306" s="23">
        <f t="shared" si="101"/>
        <v>409</v>
      </c>
      <c r="AS306">
        <f t="shared" si="106"/>
        <v>404</v>
      </c>
      <c r="AT306" s="21">
        <f t="shared" si="107"/>
        <v>409</v>
      </c>
      <c r="AU306" s="21"/>
      <c r="AV306" s="21"/>
      <c r="AW306" s="21"/>
    </row>
    <row r="307" spans="1:49" x14ac:dyDescent="0.2">
      <c r="A307">
        <v>175</v>
      </c>
      <c r="E307">
        <f t="shared" si="102"/>
        <v>1</v>
      </c>
      <c r="J307" t="str">
        <f t="shared" si="109"/>
        <v>11</v>
      </c>
      <c r="K307" t="str">
        <f t="shared" si="110"/>
        <v>11</v>
      </c>
      <c r="L307" t="str">
        <f t="shared" si="111"/>
        <v>11</v>
      </c>
      <c r="M307" s="6" t="str">
        <f t="shared" si="112"/>
        <v>11</v>
      </c>
      <c r="N307" t="str">
        <f t="shared" si="108"/>
        <v>Away</v>
      </c>
      <c r="O307">
        <v>16</v>
      </c>
      <c r="P307" t="s">
        <v>425</v>
      </c>
      <c r="Y307" t="str">
        <f t="shared" si="92"/>
        <v/>
      </c>
      <c r="Z307" t="str">
        <f t="shared" si="93"/>
        <v/>
      </c>
      <c r="AC307" t="str">
        <f t="shared" si="94"/>
        <v>Turnover</v>
      </c>
      <c r="AD307" t="str">
        <f t="shared" si="95"/>
        <v>Turnover_Takeaway</v>
      </c>
      <c r="AE307" t="str">
        <f t="shared" si="96"/>
        <v>Takeaway-PokeCheck</v>
      </c>
      <c r="AF307" t="str">
        <f t="shared" si="97"/>
        <v>Offensive</v>
      </c>
      <c r="AG307">
        <f t="shared" si="103"/>
        <v>18981</v>
      </c>
      <c r="AH307" t="str">
        <f t="shared" si="104"/>
        <v>Nelson</v>
      </c>
      <c r="AI307" t="str">
        <f t="shared" si="105"/>
        <v>Velodrome</v>
      </c>
      <c r="AJ307" s="18">
        <f t="shared" si="98"/>
        <v>0</v>
      </c>
      <c r="AP307" s="18">
        <f t="shared" si="99"/>
        <v>0</v>
      </c>
      <c r="AQ307">
        <f t="shared" si="100"/>
        <v>0</v>
      </c>
      <c r="AR307" s="23">
        <f t="shared" si="101"/>
        <v>409</v>
      </c>
      <c r="AS307">
        <f t="shared" si="106"/>
        <v>404</v>
      </c>
      <c r="AT307" s="21">
        <f t="shared" si="107"/>
        <v>409</v>
      </c>
      <c r="AU307" s="21"/>
      <c r="AV307" s="21"/>
      <c r="AW307" s="21"/>
    </row>
    <row r="308" spans="1:49" x14ac:dyDescent="0.2">
      <c r="A308">
        <v>176</v>
      </c>
      <c r="E308">
        <f t="shared" si="102"/>
        <v>1</v>
      </c>
      <c r="F308" s="5" t="s">
        <v>486</v>
      </c>
      <c r="G308" s="5" t="s">
        <v>486</v>
      </c>
      <c r="J308" t="str">
        <f t="shared" si="109"/>
        <v>11</v>
      </c>
      <c r="K308" t="str">
        <f t="shared" si="110"/>
        <v>11</v>
      </c>
      <c r="L308" t="str">
        <f t="shared" si="111"/>
        <v/>
      </c>
      <c r="M308" s="6" t="str">
        <f t="shared" si="112"/>
        <v/>
      </c>
      <c r="N308" t="s">
        <v>179</v>
      </c>
      <c r="O308">
        <v>70</v>
      </c>
      <c r="P308" t="s">
        <v>424</v>
      </c>
      <c r="Q308" t="s">
        <v>277</v>
      </c>
      <c r="R308" t="s">
        <v>201</v>
      </c>
      <c r="S308" t="s">
        <v>536</v>
      </c>
      <c r="Y308" t="str">
        <f t="shared" si="92"/>
        <v/>
      </c>
      <c r="Z308" t="str">
        <f t="shared" si="93"/>
        <v/>
      </c>
      <c r="AC308" t="str">
        <f t="shared" si="94"/>
        <v>Zone_Entry_Exit</v>
      </c>
      <c r="AD308" t="str">
        <f t="shared" si="95"/>
        <v>Zone_Exit</v>
      </c>
      <c r="AE308" t="str">
        <f t="shared" si="96"/>
        <v>ZoneExit-CausedTurnover</v>
      </c>
      <c r="AF308" t="str">
        <f t="shared" si="97"/>
        <v>Offensive</v>
      </c>
      <c r="AG308">
        <f t="shared" si="103"/>
        <v>18981</v>
      </c>
      <c r="AH308" t="str">
        <f t="shared" si="104"/>
        <v>Nelson</v>
      </c>
      <c r="AI308" t="str">
        <f t="shared" si="105"/>
        <v>Velodrome</v>
      </c>
      <c r="AJ308" s="18">
        <f t="shared" si="98"/>
        <v>0</v>
      </c>
      <c r="AP308" s="18">
        <f t="shared" si="99"/>
        <v>0</v>
      </c>
      <c r="AQ308">
        <f t="shared" si="100"/>
        <v>0</v>
      </c>
      <c r="AR308" s="23">
        <f t="shared" si="101"/>
        <v>409</v>
      </c>
      <c r="AS308">
        <f t="shared" si="106"/>
        <v>404</v>
      </c>
      <c r="AT308" s="21">
        <f t="shared" si="107"/>
        <v>409</v>
      </c>
      <c r="AU308" s="21"/>
      <c r="AV308" s="21"/>
      <c r="AW308" s="21"/>
    </row>
    <row r="309" spans="1:49" x14ac:dyDescent="0.2">
      <c r="A309">
        <v>177</v>
      </c>
      <c r="E309">
        <f t="shared" si="102"/>
        <v>1</v>
      </c>
      <c r="F309" s="5" t="s">
        <v>486</v>
      </c>
      <c r="G309" s="5" t="s">
        <v>484</v>
      </c>
      <c r="H309" s="5" t="s">
        <v>486</v>
      </c>
      <c r="I309" s="7" t="s">
        <v>482</v>
      </c>
      <c r="J309" t="str">
        <f t="shared" si="109"/>
        <v>11</v>
      </c>
      <c r="K309" t="str">
        <f t="shared" si="110"/>
        <v>09</v>
      </c>
      <c r="L309" t="str">
        <f t="shared" si="111"/>
        <v>11</v>
      </c>
      <c r="M309" s="6" t="str">
        <f t="shared" si="112"/>
        <v>07</v>
      </c>
      <c r="N309" t="s">
        <v>178</v>
      </c>
      <c r="O309">
        <v>10</v>
      </c>
      <c r="P309" t="s">
        <v>424</v>
      </c>
      <c r="Q309" t="s">
        <v>15</v>
      </c>
      <c r="Y309" t="str">
        <f t="shared" si="92"/>
        <v/>
      </c>
      <c r="Z309" t="str">
        <f t="shared" si="93"/>
        <v/>
      </c>
      <c r="AC309" t="str">
        <f t="shared" si="94"/>
        <v>Possession</v>
      </c>
      <c r="AD309" t="str">
        <f t="shared" si="95"/>
        <v/>
      </c>
      <c r="AE309" t="str">
        <f t="shared" si="96"/>
        <v/>
      </c>
      <c r="AF309" t="str">
        <f t="shared" si="97"/>
        <v>Offensive</v>
      </c>
      <c r="AG309">
        <f t="shared" si="103"/>
        <v>18981</v>
      </c>
      <c r="AH309" t="str">
        <f t="shared" si="104"/>
        <v>Nelson</v>
      </c>
      <c r="AI309" t="str">
        <f t="shared" si="105"/>
        <v>Velodrome</v>
      </c>
      <c r="AJ309" s="18">
        <f t="shared" si="98"/>
        <v>2</v>
      </c>
      <c r="AP309" s="18">
        <f t="shared" si="99"/>
        <v>0</v>
      </c>
      <c r="AQ309">
        <f t="shared" si="100"/>
        <v>0</v>
      </c>
      <c r="AR309" s="23">
        <f t="shared" si="101"/>
        <v>411</v>
      </c>
      <c r="AS309">
        <f t="shared" si="106"/>
        <v>406</v>
      </c>
      <c r="AT309" s="21">
        <f t="shared" si="107"/>
        <v>413</v>
      </c>
      <c r="AU309" s="21"/>
      <c r="AV309" s="21"/>
      <c r="AW309" s="21"/>
    </row>
    <row r="310" spans="1:49" x14ac:dyDescent="0.2">
      <c r="A310">
        <v>177</v>
      </c>
      <c r="E310">
        <f t="shared" si="102"/>
        <v>1</v>
      </c>
      <c r="J310" t="str">
        <f t="shared" si="109"/>
        <v>11</v>
      </c>
      <c r="K310" t="str">
        <f t="shared" si="110"/>
        <v>09</v>
      </c>
      <c r="L310" t="str">
        <f t="shared" si="111"/>
        <v>11</v>
      </c>
      <c r="M310" s="6" t="str">
        <f t="shared" si="112"/>
        <v>07</v>
      </c>
      <c r="N310" t="str">
        <f t="shared" si="108"/>
        <v>Home</v>
      </c>
      <c r="O310">
        <v>70</v>
      </c>
      <c r="P310" t="s">
        <v>425</v>
      </c>
      <c r="Y310" t="str">
        <f t="shared" si="92"/>
        <v/>
      </c>
      <c r="Z310" t="str">
        <f t="shared" si="93"/>
        <v/>
      </c>
      <c r="AC310" t="str">
        <f t="shared" si="94"/>
        <v>Possession</v>
      </c>
      <c r="AD310" t="str">
        <f t="shared" si="95"/>
        <v/>
      </c>
      <c r="AE310" t="str">
        <f t="shared" si="96"/>
        <v/>
      </c>
      <c r="AF310" t="str">
        <f t="shared" si="97"/>
        <v>Defensive</v>
      </c>
      <c r="AG310">
        <f t="shared" si="103"/>
        <v>18981</v>
      </c>
      <c r="AH310" t="str">
        <f t="shared" si="104"/>
        <v>Nelson</v>
      </c>
      <c r="AI310" t="str">
        <f t="shared" si="105"/>
        <v>Velodrome</v>
      </c>
      <c r="AJ310" s="18">
        <f t="shared" si="98"/>
        <v>2</v>
      </c>
      <c r="AP310" s="18">
        <f t="shared" si="99"/>
        <v>0</v>
      </c>
      <c r="AQ310">
        <f t="shared" si="100"/>
        <v>0</v>
      </c>
      <c r="AR310" s="23">
        <f t="shared" si="101"/>
        <v>411</v>
      </c>
      <c r="AS310">
        <f t="shared" si="106"/>
        <v>406</v>
      </c>
      <c r="AT310" s="21">
        <f t="shared" si="107"/>
        <v>413</v>
      </c>
      <c r="AU310" s="21"/>
      <c r="AV310" s="21"/>
      <c r="AW310" s="21"/>
    </row>
    <row r="311" spans="1:49" x14ac:dyDescent="0.2">
      <c r="A311">
        <v>178</v>
      </c>
      <c r="E311">
        <f t="shared" si="102"/>
        <v>1</v>
      </c>
      <c r="F311" s="5" t="s">
        <v>486</v>
      </c>
      <c r="G311" s="5" t="s">
        <v>482</v>
      </c>
      <c r="J311" t="str">
        <f t="shared" si="109"/>
        <v>11</v>
      </c>
      <c r="K311" t="str">
        <f t="shared" si="110"/>
        <v>07</v>
      </c>
      <c r="L311" t="str">
        <f t="shared" si="111"/>
        <v/>
      </c>
      <c r="M311" s="6" t="str">
        <f t="shared" si="112"/>
        <v/>
      </c>
      <c r="N311" t="s">
        <v>178</v>
      </c>
      <c r="O311">
        <v>10</v>
      </c>
      <c r="P311" t="s">
        <v>424</v>
      </c>
      <c r="Q311" t="s">
        <v>8</v>
      </c>
      <c r="R311" t="s">
        <v>189</v>
      </c>
      <c r="S311" t="s">
        <v>442</v>
      </c>
      <c r="Y311" t="str">
        <f t="shared" si="92"/>
        <v/>
      </c>
      <c r="Z311" t="str">
        <f t="shared" si="93"/>
        <v/>
      </c>
      <c r="AC311" t="str">
        <f t="shared" si="94"/>
        <v>Pass</v>
      </c>
      <c r="AD311" t="str">
        <f t="shared" si="95"/>
        <v>Pass_Completed</v>
      </c>
      <c r="AE311" t="str">
        <f t="shared" si="96"/>
        <v>Pass-Drop</v>
      </c>
      <c r="AF311" t="str">
        <f t="shared" si="97"/>
        <v>Offensive</v>
      </c>
      <c r="AG311">
        <f t="shared" si="103"/>
        <v>18981</v>
      </c>
      <c r="AH311" t="str">
        <f t="shared" si="104"/>
        <v>Nelson</v>
      </c>
      <c r="AI311" t="str">
        <f t="shared" si="105"/>
        <v>Velodrome</v>
      </c>
      <c r="AJ311" s="18">
        <f t="shared" si="98"/>
        <v>0</v>
      </c>
      <c r="AP311" s="18">
        <f t="shared" si="99"/>
        <v>0</v>
      </c>
      <c r="AQ311">
        <f t="shared" si="100"/>
        <v>0</v>
      </c>
      <c r="AR311" s="23">
        <f t="shared" si="101"/>
        <v>413</v>
      </c>
      <c r="AS311">
        <f t="shared" si="106"/>
        <v>408</v>
      </c>
      <c r="AT311" s="21">
        <f t="shared" si="107"/>
        <v>413</v>
      </c>
      <c r="AU311" s="21"/>
      <c r="AV311" s="21"/>
      <c r="AW311" s="21"/>
    </row>
    <row r="312" spans="1:49" x14ac:dyDescent="0.2">
      <c r="A312">
        <v>178</v>
      </c>
      <c r="E312">
        <f t="shared" si="102"/>
        <v>1</v>
      </c>
      <c r="J312" t="str">
        <f t="shared" si="109"/>
        <v>11</v>
      </c>
      <c r="K312" t="str">
        <f t="shared" si="110"/>
        <v>07</v>
      </c>
      <c r="L312" t="str">
        <f t="shared" si="111"/>
        <v/>
      </c>
      <c r="M312" s="6" t="str">
        <f t="shared" si="112"/>
        <v/>
      </c>
      <c r="N312" t="str">
        <f t="shared" si="108"/>
        <v>Home</v>
      </c>
      <c r="O312">
        <v>8</v>
      </c>
      <c r="P312" t="s">
        <v>424</v>
      </c>
      <c r="Y312" t="str">
        <f t="shared" si="92"/>
        <v/>
      </c>
      <c r="Z312" t="str">
        <f t="shared" si="93"/>
        <v/>
      </c>
      <c r="AC312" t="str">
        <f t="shared" si="94"/>
        <v>Pass</v>
      </c>
      <c r="AD312" t="str">
        <f t="shared" si="95"/>
        <v>Pass_Completed</v>
      </c>
      <c r="AE312" t="str">
        <f t="shared" si="96"/>
        <v>Pass-Drop</v>
      </c>
      <c r="AF312" t="str">
        <f t="shared" si="97"/>
        <v>Offensive</v>
      </c>
      <c r="AG312">
        <f t="shared" si="103"/>
        <v>18981</v>
      </c>
      <c r="AH312" t="str">
        <f t="shared" si="104"/>
        <v>Nelson</v>
      </c>
      <c r="AI312" t="str">
        <f t="shared" si="105"/>
        <v>Velodrome</v>
      </c>
      <c r="AJ312" s="18">
        <f t="shared" si="98"/>
        <v>0</v>
      </c>
      <c r="AP312" s="18">
        <f t="shared" si="99"/>
        <v>0</v>
      </c>
      <c r="AQ312">
        <f t="shared" si="100"/>
        <v>0</v>
      </c>
      <c r="AR312" s="23">
        <f t="shared" si="101"/>
        <v>413</v>
      </c>
      <c r="AS312">
        <f t="shared" si="106"/>
        <v>408</v>
      </c>
      <c r="AT312" s="21">
        <f t="shared" si="107"/>
        <v>413</v>
      </c>
      <c r="AU312" s="21"/>
      <c r="AV312" s="21"/>
      <c r="AW312" s="21"/>
    </row>
    <row r="313" spans="1:49" x14ac:dyDescent="0.2">
      <c r="A313">
        <v>179</v>
      </c>
      <c r="E313">
        <f t="shared" si="102"/>
        <v>1</v>
      </c>
      <c r="F313" s="5" t="s">
        <v>486</v>
      </c>
      <c r="G313" s="5" t="s">
        <v>482</v>
      </c>
      <c r="H313" s="5" t="s">
        <v>486</v>
      </c>
      <c r="I313" s="7" t="s">
        <v>481</v>
      </c>
      <c r="J313" t="str">
        <f t="shared" si="109"/>
        <v>11</v>
      </c>
      <c r="K313" t="str">
        <f t="shared" si="110"/>
        <v>07</v>
      </c>
      <c r="L313" t="str">
        <f t="shared" si="111"/>
        <v>11</v>
      </c>
      <c r="M313" s="6" t="str">
        <f t="shared" si="112"/>
        <v>05</v>
      </c>
      <c r="N313" t="s">
        <v>178</v>
      </c>
      <c r="O313">
        <v>8</v>
      </c>
      <c r="P313" t="s">
        <v>424</v>
      </c>
      <c r="Q313" t="s">
        <v>15</v>
      </c>
      <c r="Y313" t="str">
        <f t="shared" si="92"/>
        <v/>
      </c>
      <c r="Z313" t="str">
        <f t="shared" si="93"/>
        <v/>
      </c>
      <c r="AC313" t="str">
        <f t="shared" si="94"/>
        <v>Possession</v>
      </c>
      <c r="AD313" t="str">
        <f t="shared" si="95"/>
        <v/>
      </c>
      <c r="AE313" t="str">
        <f t="shared" si="96"/>
        <v/>
      </c>
      <c r="AF313" t="str">
        <f t="shared" si="97"/>
        <v>Offensive</v>
      </c>
      <c r="AG313">
        <f t="shared" si="103"/>
        <v>18981</v>
      </c>
      <c r="AH313" t="str">
        <f t="shared" si="104"/>
        <v>Nelson</v>
      </c>
      <c r="AI313" t="str">
        <f t="shared" si="105"/>
        <v>Velodrome</v>
      </c>
      <c r="AJ313" s="18">
        <f t="shared" si="98"/>
        <v>2</v>
      </c>
      <c r="AP313" s="18">
        <f t="shared" si="99"/>
        <v>0</v>
      </c>
      <c r="AQ313">
        <f t="shared" si="100"/>
        <v>0</v>
      </c>
      <c r="AR313" s="23">
        <f t="shared" si="101"/>
        <v>413</v>
      </c>
      <c r="AS313">
        <f t="shared" si="106"/>
        <v>408</v>
      </c>
      <c r="AT313" s="21">
        <f t="shared" si="107"/>
        <v>415</v>
      </c>
      <c r="AU313" s="21"/>
      <c r="AV313" s="21"/>
      <c r="AW313" s="21"/>
    </row>
    <row r="314" spans="1:49" x14ac:dyDescent="0.2">
      <c r="A314">
        <v>180</v>
      </c>
      <c r="E314">
        <f t="shared" si="102"/>
        <v>1</v>
      </c>
      <c r="F314" s="5" t="s">
        <v>486</v>
      </c>
      <c r="G314" s="5" t="s">
        <v>481</v>
      </c>
      <c r="J314" t="str">
        <f t="shared" si="109"/>
        <v>11</v>
      </c>
      <c r="K314" t="str">
        <f t="shared" si="110"/>
        <v>05</v>
      </c>
      <c r="L314" t="str">
        <f t="shared" si="111"/>
        <v/>
      </c>
      <c r="M314" s="6" t="str">
        <f t="shared" si="112"/>
        <v/>
      </c>
      <c r="N314" t="s">
        <v>178</v>
      </c>
      <c r="O314">
        <v>8</v>
      </c>
      <c r="P314" t="s">
        <v>424</v>
      </c>
      <c r="Q314" t="s">
        <v>277</v>
      </c>
      <c r="R314" t="s">
        <v>191</v>
      </c>
      <c r="S314" t="s">
        <v>89</v>
      </c>
      <c r="Y314" t="str">
        <f t="shared" si="92"/>
        <v/>
      </c>
      <c r="Z314" t="str">
        <f t="shared" si="93"/>
        <v/>
      </c>
      <c r="AC314" t="str">
        <f t="shared" si="94"/>
        <v>Zone_Entry_Exit</v>
      </c>
      <c r="AD314" t="str">
        <f t="shared" si="95"/>
        <v>Zone_Entry</v>
      </c>
      <c r="AE314" t="str">
        <f t="shared" si="96"/>
        <v>ZoneEntry-DumpIn</v>
      </c>
      <c r="AF314" t="str">
        <f t="shared" si="97"/>
        <v>Offensive</v>
      </c>
      <c r="AG314">
        <f t="shared" si="103"/>
        <v>18981</v>
      </c>
      <c r="AH314" t="str">
        <f t="shared" si="104"/>
        <v>Nelson</v>
      </c>
      <c r="AI314" t="str">
        <f t="shared" si="105"/>
        <v>Velodrome</v>
      </c>
      <c r="AJ314" s="18">
        <f t="shared" si="98"/>
        <v>0</v>
      </c>
      <c r="AP314" s="18">
        <f t="shared" si="99"/>
        <v>0</v>
      </c>
      <c r="AQ314">
        <f t="shared" si="100"/>
        <v>0</v>
      </c>
      <c r="AR314" s="23">
        <f t="shared" si="101"/>
        <v>415</v>
      </c>
      <c r="AS314">
        <f t="shared" si="106"/>
        <v>410</v>
      </c>
      <c r="AT314" s="21">
        <f t="shared" si="107"/>
        <v>415</v>
      </c>
      <c r="AU314" s="21"/>
      <c r="AV314" s="21"/>
      <c r="AW314" s="21"/>
    </row>
    <row r="315" spans="1:49" x14ac:dyDescent="0.2">
      <c r="A315">
        <v>180</v>
      </c>
      <c r="E315">
        <f t="shared" si="102"/>
        <v>1</v>
      </c>
      <c r="J315" t="str">
        <f t="shared" si="109"/>
        <v>11</v>
      </c>
      <c r="K315" t="str">
        <f t="shared" si="110"/>
        <v>05</v>
      </c>
      <c r="L315" t="str">
        <f t="shared" si="111"/>
        <v/>
      </c>
      <c r="M315" s="6" t="str">
        <f t="shared" si="112"/>
        <v/>
      </c>
      <c r="N315" t="str">
        <f t="shared" si="108"/>
        <v>Home</v>
      </c>
      <c r="O315">
        <v>87</v>
      </c>
      <c r="P315" t="s">
        <v>425</v>
      </c>
      <c r="Y315" t="str">
        <f t="shared" si="92"/>
        <v/>
      </c>
      <c r="Z315" t="str">
        <f t="shared" si="93"/>
        <v/>
      </c>
      <c r="AC315" t="str">
        <f t="shared" si="94"/>
        <v>Zone_Entry_Exit</v>
      </c>
      <c r="AD315" t="str">
        <f t="shared" si="95"/>
        <v>Zone_Entry</v>
      </c>
      <c r="AE315" t="str">
        <f t="shared" si="96"/>
        <v>ZoneEntry-DumpIn</v>
      </c>
      <c r="AF315" t="str">
        <f t="shared" si="97"/>
        <v>Defensive</v>
      </c>
      <c r="AG315">
        <f t="shared" si="103"/>
        <v>18981</v>
      </c>
      <c r="AH315" t="str">
        <f t="shared" si="104"/>
        <v>Nelson</v>
      </c>
      <c r="AI315" t="str">
        <f t="shared" si="105"/>
        <v>Velodrome</v>
      </c>
      <c r="AJ315" s="18">
        <f t="shared" si="98"/>
        <v>0</v>
      </c>
      <c r="AP315" s="18">
        <f t="shared" si="99"/>
        <v>0</v>
      </c>
      <c r="AQ315">
        <f t="shared" si="100"/>
        <v>0</v>
      </c>
      <c r="AR315" s="23">
        <f t="shared" si="101"/>
        <v>415</v>
      </c>
      <c r="AS315">
        <f t="shared" si="106"/>
        <v>410</v>
      </c>
      <c r="AT315" s="21">
        <f t="shared" si="107"/>
        <v>415</v>
      </c>
      <c r="AU315" s="21"/>
      <c r="AV315" s="21"/>
      <c r="AW315" s="21"/>
    </row>
    <row r="316" spans="1:49" x14ac:dyDescent="0.2">
      <c r="A316">
        <v>181</v>
      </c>
      <c r="E316">
        <f t="shared" si="102"/>
        <v>1</v>
      </c>
      <c r="F316" s="5" t="s">
        <v>486</v>
      </c>
      <c r="G316" s="5" t="s">
        <v>481</v>
      </c>
      <c r="J316" t="str">
        <f t="shared" si="109"/>
        <v>11</v>
      </c>
      <c r="K316" t="str">
        <f t="shared" si="110"/>
        <v>05</v>
      </c>
      <c r="L316" t="str">
        <f t="shared" si="111"/>
        <v/>
      </c>
      <c r="M316" s="6" t="str">
        <f t="shared" si="112"/>
        <v/>
      </c>
      <c r="N316" t="s">
        <v>178</v>
      </c>
      <c r="O316">
        <v>8</v>
      </c>
      <c r="P316" t="s">
        <v>424</v>
      </c>
      <c r="Q316" t="s">
        <v>10</v>
      </c>
      <c r="R316" t="s">
        <v>190</v>
      </c>
      <c r="S316" t="s">
        <v>411</v>
      </c>
      <c r="Y316" t="str">
        <f t="shared" si="92"/>
        <v/>
      </c>
      <c r="Z316" t="str">
        <f t="shared" si="93"/>
        <v/>
      </c>
      <c r="AC316" t="str">
        <f t="shared" si="94"/>
        <v>Turnover</v>
      </c>
      <c r="AD316" t="str">
        <f t="shared" si="95"/>
        <v>Turnover_Giveaway</v>
      </c>
      <c r="AE316" t="str">
        <f t="shared" si="96"/>
        <v>Giveaway-ZoneClear/Dump</v>
      </c>
      <c r="AF316" t="str">
        <f t="shared" si="97"/>
        <v>Offensive</v>
      </c>
      <c r="AG316">
        <f t="shared" si="103"/>
        <v>18981</v>
      </c>
      <c r="AH316" t="str">
        <f t="shared" si="104"/>
        <v>Nelson</v>
      </c>
      <c r="AI316" t="str">
        <f t="shared" si="105"/>
        <v>Velodrome</v>
      </c>
      <c r="AJ316" s="18">
        <f t="shared" si="98"/>
        <v>0</v>
      </c>
      <c r="AP316" s="18">
        <f t="shared" si="99"/>
        <v>0</v>
      </c>
      <c r="AQ316">
        <f t="shared" si="100"/>
        <v>0</v>
      </c>
      <c r="AR316" s="23">
        <f t="shared" si="101"/>
        <v>415</v>
      </c>
      <c r="AS316">
        <f t="shared" si="106"/>
        <v>410</v>
      </c>
      <c r="AT316" s="21">
        <f t="shared" si="107"/>
        <v>415</v>
      </c>
      <c r="AU316" s="21"/>
      <c r="AV316" s="21"/>
      <c r="AW316" s="21"/>
    </row>
    <row r="317" spans="1:49" x14ac:dyDescent="0.2">
      <c r="A317">
        <v>182</v>
      </c>
      <c r="E317">
        <f t="shared" si="102"/>
        <v>1</v>
      </c>
      <c r="F317" s="5" t="s">
        <v>485</v>
      </c>
      <c r="G317" s="5" t="s">
        <v>479</v>
      </c>
      <c r="J317" t="str">
        <f t="shared" si="109"/>
        <v>10</v>
      </c>
      <c r="K317" t="str">
        <f t="shared" si="110"/>
        <v>59</v>
      </c>
      <c r="L317" t="str">
        <f t="shared" si="111"/>
        <v/>
      </c>
      <c r="M317" s="6" t="str">
        <f t="shared" si="112"/>
        <v/>
      </c>
      <c r="N317" t="s">
        <v>179</v>
      </c>
      <c r="O317">
        <v>52</v>
      </c>
      <c r="P317" t="s">
        <v>424</v>
      </c>
      <c r="Q317" t="s">
        <v>8</v>
      </c>
      <c r="R317" t="s">
        <v>189</v>
      </c>
      <c r="S317" t="s">
        <v>69</v>
      </c>
      <c r="Y317" t="str">
        <f t="shared" si="92"/>
        <v/>
      </c>
      <c r="Z317" t="str">
        <f t="shared" si="93"/>
        <v/>
      </c>
      <c r="AC317" t="str">
        <f t="shared" si="94"/>
        <v>Pass</v>
      </c>
      <c r="AD317" t="str">
        <f t="shared" si="95"/>
        <v>Pass_Completed</v>
      </c>
      <c r="AE317" t="str">
        <f t="shared" si="96"/>
        <v>Pass-Backhand</v>
      </c>
      <c r="AF317" t="str">
        <f t="shared" si="97"/>
        <v>Offensive</v>
      </c>
      <c r="AG317">
        <f t="shared" si="103"/>
        <v>18981</v>
      </c>
      <c r="AH317" t="str">
        <f t="shared" si="104"/>
        <v>Nelson</v>
      </c>
      <c r="AI317" t="str">
        <f t="shared" si="105"/>
        <v>Velodrome</v>
      </c>
      <c r="AJ317" s="18">
        <f t="shared" si="98"/>
        <v>0</v>
      </c>
      <c r="AP317" s="18">
        <f t="shared" si="99"/>
        <v>0</v>
      </c>
      <c r="AQ317">
        <f t="shared" si="100"/>
        <v>0</v>
      </c>
      <c r="AR317" s="23">
        <f t="shared" si="101"/>
        <v>421</v>
      </c>
      <c r="AS317">
        <f t="shared" si="106"/>
        <v>416</v>
      </c>
      <c r="AT317" s="21">
        <f t="shared" si="107"/>
        <v>421</v>
      </c>
      <c r="AU317" s="21"/>
      <c r="AV317" s="21"/>
      <c r="AW317" s="21"/>
    </row>
    <row r="318" spans="1:49" x14ac:dyDescent="0.2">
      <c r="A318">
        <v>182</v>
      </c>
      <c r="E318">
        <f t="shared" si="102"/>
        <v>1</v>
      </c>
      <c r="J318" t="str">
        <f t="shared" si="109"/>
        <v>10</v>
      </c>
      <c r="K318" t="str">
        <f t="shared" si="110"/>
        <v>59</v>
      </c>
      <c r="L318" t="str">
        <f t="shared" si="111"/>
        <v/>
      </c>
      <c r="M318" s="6" t="str">
        <f t="shared" si="112"/>
        <v/>
      </c>
      <c r="N318" t="str">
        <f t="shared" si="108"/>
        <v>Away</v>
      </c>
      <c r="O318">
        <v>22</v>
      </c>
      <c r="P318" t="s">
        <v>424</v>
      </c>
      <c r="Y318" t="str">
        <f t="shared" si="92"/>
        <v/>
      </c>
      <c r="Z318" t="str">
        <f t="shared" si="93"/>
        <v/>
      </c>
      <c r="AC318" t="str">
        <f t="shared" si="94"/>
        <v>Pass</v>
      </c>
      <c r="AD318" t="str">
        <f t="shared" si="95"/>
        <v>Pass_Completed</v>
      </c>
      <c r="AE318" t="str">
        <f t="shared" si="96"/>
        <v>Pass-Backhand</v>
      </c>
      <c r="AF318" t="str">
        <f t="shared" si="97"/>
        <v>Offensive</v>
      </c>
      <c r="AG318">
        <f t="shared" si="103"/>
        <v>18981</v>
      </c>
      <c r="AH318" t="str">
        <f t="shared" si="104"/>
        <v>Nelson</v>
      </c>
      <c r="AI318" t="str">
        <f t="shared" si="105"/>
        <v>Velodrome</v>
      </c>
      <c r="AJ318" s="18">
        <f t="shared" si="98"/>
        <v>0</v>
      </c>
      <c r="AP318" s="18">
        <f t="shared" si="99"/>
        <v>0</v>
      </c>
      <c r="AQ318">
        <f t="shared" si="100"/>
        <v>0</v>
      </c>
      <c r="AR318" s="23">
        <f t="shared" si="101"/>
        <v>421</v>
      </c>
      <c r="AS318">
        <f t="shared" si="106"/>
        <v>416</v>
      </c>
      <c r="AT318" s="21">
        <f t="shared" si="107"/>
        <v>421</v>
      </c>
      <c r="AU318" s="21"/>
      <c r="AV318" s="21"/>
      <c r="AW318" s="21"/>
    </row>
    <row r="319" spans="1:49" x14ac:dyDescent="0.2">
      <c r="A319">
        <v>182</v>
      </c>
      <c r="E319">
        <f t="shared" si="102"/>
        <v>1</v>
      </c>
      <c r="J319" t="str">
        <f t="shared" si="109"/>
        <v>10</v>
      </c>
      <c r="K319" t="str">
        <f t="shared" si="110"/>
        <v>59</v>
      </c>
      <c r="L319" t="str">
        <f t="shared" si="111"/>
        <v/>
      </c>
      <c r="M319" s="6" t="str">
        <f t="shared" si="112"/>
        <v/>
      </c>
      <c r="N319" t="str">
        <f t="shared" si="108"/>
        <v>Away</v>
      </c>
      <c r="O319">
        <v>8</v>
      </c>
      <c r="P319" t="s">
        <v>425</v>
      </c>
      <c r="Y319" t="str">
        <f t="shared" si="92"/>
        <v/>
      </c>
      <c r="Z319" t="str">
        <f t="shared" si="93"/>
        <v/>
      </c>
      <c r="AC319" t="str">
        <f t="shared" si="94"/>
        <v>Pass</v>
      </c>
      <c r="AD319" t="str">
        <f t="shared" si="95"/>
        <v>Pass_Completed</v>
      </c>
      <c r="AE319" t="str">
        <f t="shared" si="96"/>
        <v>Pass-Backhand</v>
      </c>
      <c r="AF319" t="str">
        <f t="shared" si="97"/>
        <v>Defensive</v>
      </c>
      <c r="AG319">
        <f t="shared" si="103"/>
        <v>18981</v>
      </c>
      <c r="AH319" t="str">
        <f t="shared" si="104"/>
        <v>Nelson</v>
      </c>
      <c r="AI319" t="str">
        <f t="shared" si="105"/>
        <v>Velodrome</v>
      </c>
      <c r="AJ319" s="18">
        <f t="shared" si="98"/>
        <v>0</v>
      </c>
      <c r="AP319" s="18">
        <f t="shared" si="99"/>
        <v>0</v>
      </c>
      <c r="AQ319">
        <f t="shared" si="100"/>
        <v>0</v>
      </c>
      <c r="AR319" s="23">
        <f t="shared" si="101"/>
        <v>421</v>
      </c>
      <c r="AS319">
        <f t="shared" si="106"/>
        <v>416</v>
      </c>
      <c r="AT319" s="21">
        <f t="shared" si="107"/>
        <v>421</v>
      </c>
      <c r="AU319" s="21"/>
      <c r="AV319" s="21"/>
      <c r="AW319" s="21"/>
    </row>
    <row r="320" spans="1:49" x14ac:dyDescent="0.2">
      <c r="A320">
        <v>183</v>
      </c>
      <c r="E320">
        <f t="shared" si="102"/>
        <v>1</v>
      </c>
      <c r="F320" s="5" t="s">
        <v>485</v>
      </c>
      <c r="G320" s="5" t="s">
        <v>479</v>
      </c>
      <c r="H320" s="5" t="s">
        <v>485</v>
      </c>
      <c r="I320" s="7" t="s">
        <v>528</v>
      </c>
      <c r="J320" t="str">
        <f t="shared" si="109"/>
        <v>10</v>
      </c>
      <c r="K320" t="str">
        <f t="shared" si="110"/>
        <v>59</v>
      </c>
      <c r="L320" t="str">
        <f t="shared" si="111"/>
        <v>10</v>
      </c>
      <c r="M320" s="6" t="str">
        <f t="shared" si="112"/>
        <v>56</v>
      </c>
      <c r="N320" t="s">
        <v>179</v>
      </c>
      <c r="O320">
        <v>22</v>
      </c>
      <c r="P320" t="s">
        <v>424</v>
      </c>
      <c r="Q320" t="s">
        <v>15</v>
      </c>
      <c r="Y320" t="str">
        <f t="shared" si="92"/>
        <v/>
      </c>
      <c r="Z320" t="str">
        <f t="shared" si="93"/>
        <v/>
      </c>
      <c r="AC320" t="str">
        <f t="shared" si="94"/>
        <v>Possession</v>
      </c>
      <c r="AD320" t="str">
        <f t="shared" si="95"/>
        <v/>
      </c>
      <c r="AE320" t="str">
        <f t="shared" si="96"/>
        <v/>
      </c>
      <c r="AF320" t="str">
        <f t="shared" si="97"/>
        <v>Offensive</v>
      </c>
      <c r="AG320">
        <f t="shared" si="103"/>
        <v>18981</v>
      </c>
      <c r="AH320" t="str">
        <f t="shared" si="104"/>
        <v>Nelson</v>
      </c>
      <c r="AI320" t="str">
        <f t="shared" si="105"/>
        <v>Velodrome</v>
      </c>
      <c r="AJ320" s="18">
        <f t="shared" si="98"/>
        <v>3</v>
      </c>
      <c r="AP320" s="18">
        <f t="shared" si="99"/>
        <v>0</v>
      </c>
      <c r="AQ320">
        <f t="shared" si="100"/>
        <v>0</v>
      </c>
      <c r="AR320" s="23">
        <f t="shared" si="101"/>
        <v>421</v>
      </c>
      <c r="AS320">
        <f t="shared" si="106"/>
        <v>416</v>
      </c>
      <c r="AT320" s="21">
        <f t="shared" si="107"/>
        <v>424</v>
      </c>
      <c r="AU320" s="21"/>
      <c r="AV320" s="21"/>
      <c r="AW320" s="21"/>
    </row>
    <row r="321" spans="1:49" x14ac:dyDescent="0.2">
      <c r="A321">
        <v>184</v>
      </c>
      <c r="E321">
        <f t="shared" si="102"/>
        <v>1</v>
      </c>
      <c r="F321" s="5" t="s">
        <v>485</v>
      </c>
      <c r="G321" s="5" t="s">
        <v>528</v>
      </c>
      <c r="J321" t="str">
        <f t="shared" si="109"/>
        <v>10</v>
      </c>
      <c r="K321" t="str">
        <f t="shared" si="110"/>
        <v>56</v>
      </c>
      <c r="L321" t="str">
        <f t="shared" si="111"/>
        <v/>
      </c>
      <c r="M321" s="6" t="str">
        <f t="shared" si="112"/>
        <v/>
      </c>
      <c r="N321" t="s">
        <v>179</v>
      </c>
      <c r="O321">
        <v>22</v>
      </c>
      <c r="P321" t="s">
        <v>424</v>
      </c>
      <c r="Q321" t="s">
        <v>8</v>
      </c>
      <c r="R321" t="s">
        <v>189</v>
      </c>
      <c r="S321" t="s">
        <v>70</v>
      </c>
      <c r="Y321" t="str">
        <f t="shared" si="92"/>
        <v/>
      </c>
      <c r="Z321" t="str">
        <f t="shared" si="93"/>
        <v/>
      </c>
      <c r="AC321" t="str">
        <f t="shared" si="94"/>
        <v>Pass</v>
      </c>
      <c r="AD321" t="str">
        <f t="shared" si="95"/>
        <v>Pass_Completed</v>
      </c>
      <c r="AE321" t="str">
        <f t="shared" si="96"/>
        <v>Pass-Forehand</v>
      </c>
      <c r="AF321" t="str">
        <f t="shared" si="97"/>
        <v>Offensive</v>
      </c>
      <c r="AG321">
        <f t="shared" si="103"/>
        <v>18981</v>
      </c>
      <c r="AH321" t="str">
        <f t="shared" si="104"/>
        <v>Nelson</v>
      </c>
      <c r="AI321" t="str">
        <f t="shared" si="105"/>
        <v>Velodrome</v>
      </c>
      <c r="AJ321" s="18">
        <f t="shared" si="98"/>
        <v>0</v>
      </c>
      <c r="AP321" s="18">
        <f t="shared" si="99"/>
        <v>0</v>
      </c>
      <c r="AQ321">
        <f t="shared" si="100"/>
        <v>0</v>
      </c>
      <c r="AR321" s="23">
        <f t="shared" si="101"/>
        <v>424</v>
      </c>
      <c r="AS321">
        <f t="shared" si="106"/>
        <v>419</v>
      </c>
      <c r="AT321" s="21">
        <f t="shared" si="107"/>
        <v>424</v>
      </c>
      <c r="AU321" s="21"/>
      <c r="AV321" s="21"/>
      <c r="AW321" s="21"/>
    </row>
    <row r="322" spans="1:49" x14ac:dyDescent="0.2">
      <c r="A322">
        <v>184</v>
      </c>
      <c r="E322">
        <f t="shared" si="102"/>
        <v>1</v>
      </c>
      <c r="J322" t="str">
        <f t="shared" si="109"/>
        <v>10</v>
      </c>
      <c r="K322" t="str">
        <f t="shared" si="110"/>
        <v>56</v>
      </c>
      <c r="L322" t="str">
        <f t="shared" si="111"/>
        <v/>
      </c>
      <c r="M322" s="6" t="str">
        <f t="shared" si="112"/>
        <v/>
      </c>
      <c r="N322" t="str">
        <f t="shared" si="108"/>
        <v>Away</v>
      </c>
      <c r="O322">
        <v>70</v>
      </c>
      <c r="P322" t="s">
        <v>424</v>
      </c>
      <c r="Y322" t="str">
        <f t="shared" si="92"/>
        <v/>
      </c>
      <c r="Z322" t="str">
        <f t="shared" si="93"/>
        <v/>
      </c>
      <c r="AC322" t="str">
        <f t="shared" si="94"/>
        <v>Pass</v>
      </c>
      <c r="AD322" t="str">
        <f t="shared" si="95"/>
        <v>Pass_Completed</v>
      </c>
      <c r="AE322" t="str">
        <f t="shared" si="96"/>
        <v>Pass-Forehand</v>
      </c>
      <c r="AF322" t="str">
        <f t="shared" si="97"/>
        <v>Offensive</v>
      </c>
      <c r="AG322">
        <f t="shared" si="103"/>
        <v>18981</v>
      </c>
      <c r="AH322" t="str">
        <f t="shared" si="104"/>
        <v>Nelson</v>
      </c>
      <c r="AI322" t="str">
        <f t="shared" si="105"/>
        <v>Velodrome</v>
      </c>
      <c r="AJ322" s="18">
        <f t="shared" si="98"/>
        <v>0</v>
      </c>
      <c r="AP322" s="18">
        <f t="shared" si="99"/>
        <v>0</v>
      </c>
      <c r="AQ322">
        <f t="shared" si="100"/>
        <v>0</v>
      </c>
      <c r="AR322" s="23">
        <f t="shared" si="101"/>
        <v>424</v>
      </c>
      <c r="AS322">
        <f t="shared" si="106"/>
        <v>419</v>
      </c>
      <c r="AT322" s="21">
        <f t="shared" si="107"/>
        <v>424</v>
      </c>
      <c r="AU322" s="21"/>
      <c r="AV322" s="21"/>
      <c r="AW322" s="21"/>
    </row>
    <row r="323" spans="1:49" x14ac:dyDescent="0.2">
      <c r="A323">
        <v>185</v>
      </c>
      <c r="E323">
        <f t="shared" si="102"/>
        <v>1</v>
      </c>
      <c r="F323" s="5" t="s">
        <v>485</v>
      </c>
      <c r="G323" s="5" t="s">
        <v>527</v>
      </c>
      <c r="H323" s="5" t="s">
        <v>485</v>
      </c>
      <c r="I323" s="7" t="s">
        <v>525</v>
      </c>
      <c r="J323" t="str">
        <f t="shared" si="109"/>
        <v>10</v>
      </c>
      <c r="K323" t="str">
        <f t="shared" si="110"/>
        <v>55</v>
      </c>
      <c r="L323" t="str">
        <f t="shared" si="111"/>
        <v>10</v>
      </c>
      <c r="M323" s="6" t="str">
        <f t="shared" si="112"/>
        <v>53</v>
      </c>
      <c r="N323" t="s">
        <v>179</v>
      </c>
      <c r="O323">
        <v>70</v>
      </c>
      <c r="P323" t="s">
        <v>424</v>
      </c>
      <c r="Q323" t="s">
        <v>15</v>
      </c>
      <c r="Y323" t="str">
        <f t="shared" ref="Y323:Y386" si="113">IF($N323="","",IF(X323="","",IF($N323="Home",$X323,IF($X323="n","n",IF($X323="d","o",IF($X323="o","d",""))))))</f>
        <v/>
      </c>
      <c r="Z323" t="str">
        <f t="shared" ref="Z323:Z386" si="114">IF($N323="","",IF(X323="","",IF($N323="Away",$X323,IF($X323="n","n",IF($X323="d","o",IF($X323="o","d",""))))))</f>
        <v/>
      </c>
      <c r="AC323" t="str">
        <f t="shared" ref="AC323:AC386" si="115">IF(Q323&lt;&gt;"",Q323,IF($A323=$A322,AC322,""))</f>
        <v>Possession</v>
      </c>
      <c r="AD323" t="str">
        <f t="shared" ref="AD323:AD386" si="116">IF(R323&lt;&gt;"",R323,IF($A323=$A322,AD322,""))</f>
        <v/>
      </c>
      <c r="AE323" t="str">
        <f t="shared" ref="AE323:AE386" si="117">IF(S323&lt;&gt;"",S323,IF($A323=$A322,AE322,""))</f>
        <v/>
      </c>
      <c r="AF323" t="str">
        <f t="shared" ref="AF323:AF386" si="118">IF(AND(P323="e",OR(AC323="Save",AD323="Turnover_Takeaway",AD323="Play_Defensive")),"Defensive",IF(AND(P323="o",OR(AC323="Save",AD323="Turnover_Takeaway",AD323="Play_Defensive")),"Offensive",IF(OR(AC323="Deadice",AC323="Stoppage",AC323="Intermission"),"",IF(P323="e","Offensive",IF(P323="o","Defensive","")))))</f>
        <v>Offensive</v>
      </c>
      <c r="AG323">
        <f t="shared" si="103"/>
        <v>18981</v>
      </c>
      <c r="AH323" t="str">
        <f t="shared" si="104"/>
        <v>Nelson</v>
      </c>
      <c r="AI323" t="str">
        <f t="shared" si="105"/>
        <v>Velodrome</v>
      </c>
      <c r="AJ323" s="18">
        <f t="shared" ref="AJ323:AJ386" si="119">IF(AND(L323="",M323=""),0,((J323*60)+K323)-((L323*60)+M323))</f>
        <v>2</v>
      </c>
      <c r="AP323" s="18">
        <f t="shared" ref="AP323:AP386" si="120">SUMIFS(AJ323:AJ323,Q323:Q323,"=Intermission")</f>
        <v>0</v>
      </c>
      <c r="AQ323">
        <f t="shared" ref="AQ323:AQ386" si="121">IF(E323=1,0,IF(E323=2,1080+AP323,IF(E323=3,(1080*2)+AP323,0)))</f>
        <v>0</v>
      </c>
      <c r="AR323" s="23">
        <f t="shared" ref="AR323:AR386" si="122">IF(Q323="Intermission",AR322,((1080)-((J323*60)+K323))+AQ323)</f>
        <v>425</v>
      </c>
      <c r="AS323">
        <f t="shared" si="106"/>
        <v>420</v>
      </c>
      <c r="AT323" s="21">
        <f t="shared" si="107"/>
        <v>427</v>
      </c>
      <c r="AU323" s="21"/>
      <c r="AV323" s="21"/>
      <c r="AW323" s="21"/>
    </row>
    <row r="324" spans="1:49" x14ac:dyDescent="0.2">
      <c r="A324">
        <v>186</v>
      </c>
      <c r="E324">
        <f t="shared" ref="E324:E387" si="123">IF(Q324="Intermission",E323+1,E323)</f>
        <v>1</v>
      </c>
      <c r="F324" s="5" t="s">
        <v>485</v>
      </c>
      <c r="G324" s="5" t="s">
        <v>525</v>
      </c>
      <c r="H324" s="5" t="s">
        <v>485</v>
      </c>
      <c r="I324" s="7" t="s">
        <v>520</v>
      </c>
      <c r="J324" t="str">
        <f t="shared" si="109"/>
        <v>10</v>
      </c>
      <c r="K324" t="str">
        <f t="shared" si="110"/>
        <v>53</v>
      </c>
      <c r="L324" t="str">
        <f t="shared" si="111"/>
        <v>10</v>
      </c>
      <c r="M324" s="6" t="str">
        <f t="shared" si="112"/>
        <v>48</v>
      </c>
      <c r="N324" t="s">
        <v>179</v>
      </c>
      <c r="O324">
        <v>70</v>
      </c>
      <c r="P324" t="s">
        <v>424</v>
      </c>
      <c r="Q324" t="s">
        <v>15</v>
      </c>
      <c r="Y324" t="str">
        <f t="shared" si="113"/>
        <v/>
      </c>
      <c r="Z324" t="str">
        <f t="shared" si="114"/>
        <v/>
      </c>
      <c r="AC324" t="str">
        <f t="shared" si="115"/>
        <v>Possession</v>
      </c>
      <c r="AD324" t="str">
        <f t="shared" si="116"/>
        <v/>
      </c>
      <c r="AE324" t="str">
        <f t="shared" si="117"/>
        <v/>
      </c>
      <c r="AF324" t="str">
        <f t="shared" si="118"/>
        <v>Offensive</v>
      </c>
      <c r="AG324">
        <f t="shared" ref="AG324:AG387" si="124">AG323</f>
        <v>18981</v>
      </c>
      <c r="AH324" t="str">
        <f t="shared" ref="AH324:AH387" si="125">AH323</f>
        <v>Nelson</v>
      </c>
      <c r="AI324" t="str">
        <f t="shared" ref="AI324:AI387" si="126">AI323</f>
        <v>Velodrome</v>
      </c>
      <c r="AJ324" s="18">
        <f t="shared" si="119"/>
        <v>5</v>
      </c>
      <c r="AP324" s="18">
        <f t="shared" si="120"/>
        <v>0</v>
      </c>
      <c r="AQ324">
        <f t="shared" si="121"/>
        <v>0</v>
      </c>
      <c r="AR324" s="23">
        <f t="shared" si="122"/>
        <v>427</v>
      </c>
      <c r="AS324">
        <f t="shared" ref="AS324:AS387" si="127">IF(AR324&lt;5,0,AR324-5)</f>
        <v>422</v>
      </c>
      <c r="AT324" s="21">
        <f t="shared" ref="AT324:AT387" si="128">AS324+AJ324+5</f>
        <v>432</v>
      </c>
      <c r="AU324" s="21"/>
      <c r="AV324" s="21"/>
      <c r="AW324" s="21"/>
    </row>
    <row r="325" spans="1:49" x14ac:dyDescent="0.2">
      <c r="A325">
        <v>187</v>
      </c>
      <c r="E325">
        <f t="shared" si="123"/>
        <v>1</v>
      </c>
      <c r="F325" s="5" t="s">
        <v>485</v>
      </c>
      <c r="G325" s="5" t="s">
        <v>520</v>
      </c>
      <c r="J325" t="str">
        <f t="shared" si="109"/>
        <v>10</v>
      </c>
      <c r="K325" t="str">
        <f t="shared" si="110"/>
        <v>48</v>
      </c>
      <c r="L325" t="str">
        <f t="shared" si="111"/>
        <v/>
      </c>
      <c r="M325" s="6" t="str">
        <f t="shared" si="112"/>
        <v/>
      </c>
      <c r="N325" t="s">
        <v>179</v>
      </c>
      <c r="O325">
        <v>70</v>
      </c>
      <c r="P325" t="s">
        <v>424</v>
      </c>
      <c r="Q325" t="s">
        <v>277</v>
      </c>
      <c r="R325" t="s">
        <v>201</v>
      </c>
      <c r="S325" t="s">
        <v>92</v>
      </c>
      <c r="Y325" t="str">
        <f t="shared" si="113"/>
        <v/>
      </c>
      <c r="Z325" t="str">
        <f t="shared" si="114"/>
        <v/>
      </c>
      <c r="AC325" t="str">
        <f t="shared" si="115"/>
        <v>Zone_Entry_Exit</v>
      </c>
      <c r="AD325" t="str">
        <f t="shared" si="116"/>
        <v>Zone_Exit</v>
      </c>
      <c r="AE325" t="str">
        <f t="shared" si="117"/>
        <v>ZoneExit-Clear</v>
      </c>
      <c r="AF325" t="str">
        <f t="shared" si="118"/>
        <v>Offensive</v>
      </c>
      <c r="AG325">
        <f t="shared" si="124"/>
        <v>18981</v>
      </c>
      <c r="AH325" t="str">
        <f t="shared" si="125"/>
        <v>Nelson</v>
      </c>
      <c r="AI325" t="str">
        <f t="shared" si="126"/>
        <v>Velodrome</v>
      </c>
      <c r="AJ325" s="18">
        <f t="shared" si="119"/>
        <v>0</v>
      </c>
      <c r="AP325" s="18">
        <f t="shared" si="120"/>
        <v>0</v>
      </c>
      <c r="AQ325">
        <f t="shared" si="121"/>
        <v>0</v>
      </c>
      <c r="AR325" s="23">
        <f t="shared" si="122"/>
        <v>432</v>
      </c>
      <c r="AS325">
        <f t="shared" si="127"/>
        <v>427</v>
      </c>
      <c r="AT325" s="21">
        <f t="shared" si="128"/>
        <v>432</v>
      </c>
      <c r="AU325" s="21"/>
      <c r="AV325" s="21"/>
      <c r="AW325" s="21"/>
    </row>
    <row r="326" spans="1:49" x14ac:dyDescent="0.2">
      <c r="A326">
        <v>188</v>
      </c>
      <c r="E326">
        <f t="shared" si="123"/>
        <v>1</v>
      </c>
      <c r="F326" s="5" t="s">
        <v>485</v>
      </c>
      <c r="G326" s="5" t="s">
        <v>520</v>
      </c>
      <c r="J326" t="str">
        <f t="shared" si="109"/>
        <v>10</v>
      </c>
      <c r="K326" t="str">
        <f t="shared" si="110"/>
        <v>48</v>
      </c>
      <c r="L326" t="str">
        <f t="shared" si="111"/>
        <v/>
      </c>
      <c r="M326" s="6" t="str">
        <f t="shared" si="112"/>
        <v/>
      </c>
      <c r="N326" t="s">
        <v>179</v>
      </c>
      <c r="O326">
        <v>70</v>
      </c>
      <c r="P326" t="s">
        <v>424</v>
      </c>
      <c r="Q326" t="s">
        <v>277</v>
      </c>
      <c r="R326" t="s">
        <v>191</v>
      </c>
      <c r="S326" t="s">
        <v>432</v>
      </c>
      <c r="Y326" t="str">
        <f t="shared" si="113"/>
        <v/>
      </c>
      <c r="Z326" t="str">
        <f t="shared" si="114"/>
        <v/>
      </c>
      <c r="AC326" t="str">
        <f t="shared" si="115"/>
        <v>Zone_Entry_Exit</v>
      </c>
      <c r="AD326" t="str">
        <f t="shared" si="116"/>
        <v>Zone_Entry</v>
      </c>
      <c r="AE326" t="str">
        <f t="shared" si="117"/>
        <v>ZoneEntry-FromExitClear</v>
      </c>
      <c r="AF326" t="str">
        <f t="shared" si="118"/>
        <v>Offensive</v>
      </c>
      <c r="AG326">
        <f t="shared" si="124"/>
        <v>18981</v>
      </c>
      <c r="AH326" t="str">
        <f t="shared" si="125"/>
        <v>Nelson</v>
      </c>
      <c r="AI326" t="str">
        <f t="shared" si="126"/>
        <v>Velodrome</v>
      </c>
      <c r="AJ326" s="18">
        <f t="shared" si="119"/>
        <v>0</v>
      </c>
      <c r="AP326" s="18">
        <f t="shared" si="120"/>
        <v>0</v>
      </c>
      <c r="AQ326">
        <f t="shared" si="121"/>
        <v>0</v>
      </c>
      <c r="AR326" s="23">
        <f t="shared" si="122"/>
        <v>432</v>
      </c>
      <c r="AS326">
        <f t="shared" si="127"/>
        <v>427</v>
      </c>
      <c r="AT326" s="21">
        <f t="shared" si="128"/>
        <v>432</v>
      </c>
      <c r="AU326" s="21"/>
      <c r="AV326" s="21"/>
      <c r="AW326" s="21"/>
    </row>
    <row r="327" spans="1:49" x14ac:dyDescent="0.2">
      <c r="A327">
        <v>189</v>
      </c>
      <c r="E327">
        <f t="shared" si="123"/>
        <v>1</v>
      </c>
      <c r="F327" s="5" t="s">
        <v>485</v>
      </c>
      <c r="G327" s="5" t="s">
        <v>514</v>
      </c>
      <c r="J327" t="str">
        <f t="shared" si="109"/>
        <v>10</v>
      </c>
      <c r="K327" t="str">
        <f t="shared" si="110"/>
        <v>42</v>
      </c>
      <c r="L327" t="str">
        <f t="shared" si="111"/>
        <v/>
      </c>
      <c r="M327" s="6" t="str">
        <f t="shared" si="112"/>
        <v/>
      </c>
      <c r="N327" t="s">
        <v>178</v>
      </c>
      <c r="O327">
        <v>8</v>
      </c>
      <c r="P327" t="s">
        <v>424</v>
      </c>
      <c r="Q327" t="s">
        <v>277</v>
      </c>
      <c r="R327" t="s">
        <v>201</v>
      </c>
      <c r="S327" t="s">
        <v>433</v>
      </c>
      <c r="Y327" t="str">
        <f t="shared" si="113"/>
        <v/>
      </c>
      <c r="Z327" t="str">
        <f t="shared" si="114"/>
        <v/>
      </c>
      <c r="AC327" t="str">
        <f t="shared" si="115"/>
        <v>Zone_Entry_Exit</v>
      </c>
      <c r="AD327" t="str">
        <f t="shared" si="116"/>
        <v>Zone_Exit</v>
      </c>
      <c r="AE327" t="str">
        <f t="shared" si="117"/>
        <v>ZoneExit-PassMiss/Misplay</v>
      </c>
      <c r="AF327" t="str">
        <f t="shared" si="118"/>
        <v>Offensive</v>
      </c>
      <c r="AG327">
        <f t="shared" si="124"/>
        <v>18981</v>
      </c>
      <c r="AH327" t="str">
        <f t="shared" si="125"/>
        <v>Nelson</v>
      </c>
      <c r="AI327" t="str">
        <f t="shared" si="126"/>
        <v>Velodrome</v>
      </c>
      <c r="AJ327" s="18">
        <f t="shared" si="119"/>
        <v>0</v>
      </c>
      <c r="AP327" s="18">
        <f t="shared" si="120"/>
        <v>0</v>
      </c>
      <c r="AQ327">
        <f t="shared" si="121"/>
        <v>0</v>
      </c>
      <c r="AR327" s="23">
        <f t="shared" si="122"/>
        <v>438</v>
      </c>
      <c r="AS327">
        <f t="shared" si="127"/>
        <v>433</v>
      </c>
      <c r="AT327" s="21">
        <f t="shared" si="128"/>
        <v>438</v>
      </c>
      <c r="AU327" s="21"/>
      <c r="AV327" s="21"/>
      <c r="AW327" s="21"/>
    </row>
    <row r="328" spans="1:49" x14ac:dyDescent="0.2">
      <c r="A328">
        <v>189</v>
      </c>
      <c r="E328">
        <f t="shared" si="123"/>
        <v>1</v>
      </c>
      <c r="J328" t="str">
        <f t="shared" si="109"/>
        <v>10</v>
      </c>
      <c r="K328" t="str">
        <f t="shared" si="110"/>
        <v>42</v>
      </c>
      <c r="L328" t="str">
        <f t="shared" si="111"/>
        <v/>
      </c>
      <c r="M328" s="6" t="str">
        <f t="shared" si="112"/>
        <v/>
      </c>
      <c r="N328" t="str">
        <f t="shared" ref="N328:N387" si="129">IF(A328=A327,N327,"")</f>
        <v>Home</v>
      </c>
      <c r="O328">
        <v>91</v>
      </c>
      <c r="P328" t="s">
        <v>425</v>
      </c>
      <c r="Y328" t="str">
        <f t="shared" si="113"/>
        <v/>
      </c>
      <c r="Z328" t="str">
        <f t="shared" si="114"/>
        <v/>
      </c>
      <c r="AC328" t="str">
        <f t="shared" si="115"/>
        <v>Zone_Entry_Exit</v>
      </c>
      <c r="AD328" t="str">
        <f t="shared" si="116"/>
        <v>Zone_Exit</v>
      </c>
      <c r="AE328" t="str">
        <f t="shared" si="117"/>
        <v>ZoneExit-PassMiss/Misplay</v>
      </c>
      <c r="AF328" t="str">
        <f t="shared" si="118"/>
        <v>Defensive</v>
      </c>
      <c r="AG328">
        <f t="shared" si="124"/>
        <v>18981</v>
      </c>
      <c r="AH328" t="str">
        <f t="shared" si="125"/>
        <v>Nelson</v>
      </c>
      <c r="AI328" t="str">
        <f t="shared" si="126"/>
        <v>Velodrome</v>
      </c>
      <c r="AJ328" s="18">
        <f t="shared" si="119"/>
        <v>0</v>
      </c>
      <c r="AP328" s="18">
        <f t="shared" si="120"/>
        <v>0</v>
      </c>
      <c r="AQ328">
        <f t="shared" si="121"/>
        <v>0</v>
      </c>
      <c r="AR328" s="23">
        <f t="shared" si="122"/>
        <v>438</v>
      </c>
      <c r="AS328">
        <f t="shared" si="127"/>
        <v>433</v>
      </c>
      <c r="AT328" s="21">
        <f t="shared" si="128"/>
        <v>438</v>
      </c>
      <c r="AU328" s="21"/>
      <c r="AV328" s="21"/>
      <c r="AW328" s="21"/>
    </row>
    <row r="329" spans="1:49" x14ac:dyDescent="0.2">
      <c r="A329">
        <v>190</v>
      </c>
      <c r="E329">
        <f t="shared" si="123"/>
        <v>1</v>
      </c>
      <c r="F329" s="5" t="s">
        <v>485</v>
      </c>
      <c r="G329" s="5" t="s">
        <v>513</v>
      </c>
      <c r="H329" s="5" t="s">
        <v>485</v>
      </c>
      <c r="I329" s="7" t="s">
        <v>511</v>
      </c>
      <c r="J329" t="str">
        <f t="shared" ref="J329:J392" si="130">IF(F329&lt;&gt;"",F329,IF($A329=$A328,J328,J329))</f>
        <v>10</v>
      </c>
      <c r="K329" t="str">
        <f t="shared" ref="K329:K392" si="131">IF($A329=$A328,K328,G329)</f>
        <v>41</v>
      </c>
      <c r="L329" t="str">
        <f t="shared" ref="L329:L392" si="132">IF(H329&lt;&gt;"",H329,IF($A329=$A328,L328,""))</f>
        <v>10</v>
      </c>
      <c r="M329" s="6" t="str">
        <f t="shared" ref="M329:M392" si="133">IF(I329&lt;&gt;"",I329,IF($A329=$A328,M328,""))</f>
        <v>39</v>
      </c>
      <c r="N329" t="s">
        <v>178</v>
      </c>
      <c r="O329">
        <v>10</v>
      </c>
      <c r="P329" t="s">
        <v>424</v>
      </c>
      <c r="Q329" t="s">
        <v>15</v>
      </c>
      <c r="Y329" t="str">
        <f t="shared" si="113"/>
        <v/>
      </c>
      <c r="Z329" t="str">
        <f t="shared" si="114"/>
        <v/>
      </c>
      <c r="AC329" t="str">
        <f t="shared" si="115"/>
        <v>Possession</v>
      </c>
      <c r="AD329" t="str">
        <f t="shared" si="116"/>
        <v/>
      </c>
      <c r="AE329" t="str">
        <f t="shared" si="117"/>
        <v/>
      </c>
      <c r="AF329" t="str">
        <f t="shared" si="118"/>
        <v>Offensive</v>
      </c>
      <c r="AG329">
        <f t="shared" si="124"/>
        <v>18981</v>
      </c>
      <c r="AH329" t="str">
        <f t="shared" si="125"/>
        <v>Nelson</v>
      </c>
      <c r="AI329" t="str">
        <f t="shared" si="126"/>
        <v>Velodrome</v>
      </c>
      <c r="AJ329" s="18">
        <f t="shared" si="119"/>
        <v>2</v>
      </c>
      <c r="AP329" s="18">
        <f t="shared" si="120"/>
        <v>0</v>
      </c>
      <c r="AQ329">
        <f t="shared" si="121"/>
        <v>0</v>
      </c>
      <c r="AR329" s="23">
        <f t="shared" si="122"/>
        <v>439</v>
      </c>
      <c r="AS329">
        <f t="shared" si="127"/>
        <v>434</v>
      </c>
      <c r="AT329" s="21">
        <f t="shared" si="128"/>
        <v>441</v>
      </c>
      <c r="AU329" s="21"/>
      <c r="AV329" s="21"/>
      <c r="AW329" s="21"/>
    </row>
    <row r="330" spans="1:49" x14ac:dyDescent="0.2">
      <c r="A330">
        <v>190</v>
      </c>
      <c r="E330">
        <f t="shared" si="123"/>
        <v>1</v>
      </c>
      <c r="J330" t="str">
        <f t="shared" si="130"/>
        <v>10</v>
      </c>
      <c r="K330" t="str">
        <f t="shared" si="131"/>
        <v>41</v>
      </c>
      <c r="L330" t="str">
        <f t="shared" si="132"/>
        <v>10</v>
      </c>
      <c r="M330" s="6" t="str">
        <f t="shared" si="133"/>
        <v>39</v>
      </c>
      <c r="N330" t="s">
        <v>178</v>
      </c>
      <c r="O330">
        <v>70</v>
      </c>
      <c r="P330" t="s">
        <v>425</v>
      </c>
      <c r="Y330" t="str">
        <f t="shared" si="113"/>
        <v/>
      </c>
      <c r="Z330" t="str">
        <f t="shared" si="114"/>
        <v/>
      </c>
      <c r="AC330" t="str">
        <f t="shared" si="115"/>
        <v>Possession</v>
      </c>
      <c r="AD330" t="str">
        <f t="shared" si="116"/>
        <v/>
      </c>
      <c r="AE330" t="str">
        <f t="shared" si="117"/>
        <v/>
      </c>
      <c r="AF330" t="str">
        <f t="shared" si="118"/>
        <v>Defensive</v>
      </c>
      <c r="AG330">
        <f t="shared" si="124"/>
        <v>18981</v>
      </c>
      <c r="AH330" t="str">
        <f t="shared" si="125"/>
        <v>Nelson</v>
      </c>
      <c r="AI330" t="str">
        <f t="shared" si="126"/>
        <v>Velodrome</v>
      </c>
      <c r="AJ330" s="18">
        <f t="shared" si="119"/>
        <v>2</v>
      </c>
      <c r="AP330" s="18">
        <f t="shared" si="120"/>
        <v>0</v>
      </c>
      <c r="AQ330">
        <f t="shared" si="121"/>
        <v>0</v>
      </c>
      <c r="AR330" s="23">
        <f t="shared" si="122"/>
        <v>439</v>
      </c>
      <c r="AS330">
        <f t="shared" si="127"/>
        <v>434</v>
      </c>
      <c r="AT330" s="21">
        <f t="shared" si="128"/>
        <v>441</v>
      </c>
      <c r="AU330" s="21"/>
      <c r="AV330" s="21"/>
      <c r="AW330" s="21"/>
    </row>
    <row r="331" spans="1:49" x14ac:dyDescent="0.2">
      <c r="A331">
        <v>191</v>
      </c>
      <c r="E331">
        <f t="shared" si="123"/>
        <v>1</v>
      </c>
      <c r="F331" s="5" t="s">
        <v>485</v>
      </c>
      <c r="G331" s="5" t="s">
        <v>511</v>
      </c>
      <c r="H331" s="5" t="s">
        <v>485</v>
      </c>
      <c r="I331" s="7" t="s">
        <v>509</v>
      </c>
      <c r="J331" t="str">
        <f t="shared" si="130"/>
        <v>10</v>
      </c>
      <c r="K331" t="str">
        <f t="shared" si="131"/>
        <v>39</v>
      </c>
      <c r="L331" t="str">
        <f t="shared" si="132"/>
        <v>10</v>
      </c>
      <c r="M331" s="6" t="str">
        <f t="shared" si="133"/>
        <v>37</v>
      </c>
      <c r="N331" t="s">
        <v>178</v>
      </c>
      <c r="O331">
        <v>10</v>
      </c>
      <c r="P331" t="s">
        <v>424</v>
      </c>
      <c r="Q331" t="s">
        <v>277</v>
      </c>
      <c r="R331" t="s">
        <v>191</v>
      </c>
      <c r="S331" t="s">
        <v>87</v>
      </c>
      <c r="Y331" t="str">
        <f t="shared" si="113"/>
        <v/>
      </c>
      <c r="Z331" t="str">
        <f t="shared" si="114"/>
        <v/>
      </c>
      <c r="AC331" t="str">
        <f t="shared" si="115"/>
        <v>Zone_Entry_Exit</v>
      </c>
      <c r="AD331" t="str">
        <f t="shared" si="116"/>
        <v>Zone_Entry</v>
      </c>
      <c r="AE331" t="str">
        <f t="shared" si="117"/>
        <v>ZoneEntry-Rush</v>
      </c>
      <c r="AF331" t="str">
        <f t="shared" si="118"/>
        <v>Offensive</v>
      </c>
      <c r="AG331">
        <f t="shared" si="124"/>
        <v>18981</v>
      </c>
      <c r="AH331" t="str">
        <f t="shared" si="125"/>
        <v>Nelson</v>
      </c>
      <c r="AI331" t="str">
        <f t="shared" si="126"/>
        <v>Velodrome</v>
      </c>
      <c r="AJ331" s="18">
        <f t="shared" si="119"/>
        <v>2</v>
      </c>
      <c r="AP331" s="18">
        <f t="shared" si="120"/>
        <v>0</v>
      </c>
      <c r="AQ331">
        <f t="shared" si="121"/>
        <v>0</v>
      </c>
      <c r="AR331" s="23">
        <f t="shared" si="122"/>
        <v>441</v>
      </c>
      <c r="AS331">
        <f t="shared" si="127"/>
        <v>436</v>
      </c>
      <c r="AT331" s="21">
        <f t="shared" si="128"/>
        <v>443</v>
      </c>
      <c r="AU331" s="21"/>
      <c r="AV331" s="21"/>
      <c r="AW331" s="21"/>
    </row>
    <row r="332" spans="1:49" x14ac:dyDescent="0.2">
      <c r="A332">
        <v>191</v>
      </c>
      <c r="E332">
        <f t="shared" si="123"/>
        <v>1</v>
      </c>
      <c r="J332" t="str">
        <f t="shared" si="130"/>
        <v>10</v>
      </c>
      <c r="K332" t="str">
        <f t="shared" si="131"/>
        <v>39</v>
      </c>
      <c r="L332" t="str">
        <f t="shared" si="132"/>
        <v>10</v>
      </c>
      <c r="M332" s="6" t="str">
        <f t="shared" si="133"/>
        <v>37</v>
      </c>
      <c r="N332" t="str">
        <f t="shared" si="129"/>
        <v>Home</v>
      </c>
      <c r="O332">
        <v>93</v>
      </c>
      <c r="P332" t="s">
        <v>425</v>
      </c>
      <c r="Y332" t="str">
        <f t="shared" si="113"/>
        <v/>
      </c>
      <c r="Z332" t="str">
        <f t="shared" si="114"/>
        <v/>
      </c>
      <c r="AC332" t="str">
        <f t="shared" si="115"/>
        <v>Zone_Entry_Exit</v>
      </c>
      <c r="AD332" t="str">
        <f t="shared" si="116"/>
        <v>Zone_Entry</v>
      </c>
      <c r="AE332" t="str">
        <f t="shared" si="117"/>
        <v>ZoneEntry-Rush</v>
      </c>
      <c r="AF332" t="str">
        <f t="shared" si="118"/>
        <v>Defensive</v>
      </c>
      <c r="AG332">
        <f t="shared" si="124"/>
        <v>18981</v>
      </c>
      <c r="AH332" t="str">
        <f t="shared" si="125"/>
        <v>Nelson</v>
      </c>
      <c r="AI332" t="str">
        <f t="shared" si="126"/>
        <v>Velodrome</v>
      </c>
      <c r="AJ332" s="18">
        <f t="shared" si="119"/>
        <v>2</v>
      </c>
      <c r="AP332" s="18">
        <f t="shared" si="120"/>
        <v>0</v>
      </c>
      <c r="AQ332">
        <f t="shared" si="121"/>
        <v>0</v>
      </c>
      <c r="AR332" s="23">
        <f t="shared" si="122"/>
        <v>441</v>
      </c>
      <c r="AS332">
        <f t="shared" si="127"/>
        <v>436</v>
      </c>
      <c r="AT332" s="21">
        <f t="shared" si="128"/>
        <v>443</v>
      </c>
      <c r="AU332" s="21"/>
      <c r="AV332" s="21"/>
      <c r="AW332" s="21"/>
    </row>
    <row r="333" spans="1:49" x14ac:dyDescent="0.2">
      <c r="A333">
        <v>191</v>
      </c>
      <c r="E333">
        <f t="shared" si="123"/>
        <v>1</v>
      </c>
      <c r="J333" t="str">
        <f t="shared" si="130"/>
        <v>10</v>
      </c>
      <c r="K333" t="str">
        <f t="shared" si="131"/>
        <v>39</v>
      </c>
      <c r="L333" t="str">
        <f t="shared" si="132"/>
        <v>10</v>
      </c>
      <c r="M333" s="6" t="str">
        <f t="shared" si="133"/>
        <v>37</v>
      </c>
      <c r="N333" t="str">
        <f t="shared" si="129"/>
        <v>Home</v>
      </c>
      <c r="O333">
        <v>84</v>
      </c>
      <c r="P333" t="s">
        <v>425</v>
      </c>
      <c r="Y333" t="str">
        <f t="shared" si="113"/>
        <v/>
      </c>
      <c r="Z333" t="str">
        <f t="shared" si="114"/>
        <v/>
      </c>
      <c r="AC333" t="str">
        <f t="shared" si="115"/>
        <v>Zone_Entry_Exit</v>
      </c>
      <c r="AD333" t="str">
        <f t="shared" si="116"/>
        <v>Zone_Entry</v>
      </c>
      <c r="AE333" t="str">
        <f t="shared" si="117"/>
        <v>ZoneEntry-Rush</v>
      </c>
      <c r="AF333" t="str">
        <f t="shared" si="118"/>
        <v>Defensive</v>
      </c>
      <c r="AG333">
        <f t="shared" si="124"/>
        <v>18981</v>
      </c>
      <c r="AH333" t="str">
        <f t="shared" si="125"/>
        <v>Nelson</v>
      </c>
      <c r="AI333" t="str">
        <f t="shared" si="126"/>
        <v>Velodrome</v>
      </c>
      <c r="AJ333" s="18">
        <f t="shared" si="119"/>
        <v>2</v>
      </c>
      <c r="AP333" s="18">
        <f t="shared" si="120"/>
        <v>0</v>
      </c>
      <c r="AQ333">
        <f t="shared" si="121"/>
        <v>0</v>
      </c>
      <c r="AR333" s="23">
        <f t="shared" si="122"/>
        <v>441</v>
      </c>
      <c r="AS333">
        <f t="shared" si="127"/>
        <v>436</v>
      </c>
      <c r="AT333" s="21">
        <f t="shared" si="128"/>
        <v>443</v>
      </c>
      <c r="AU333" s="21"/>
      <c r="AV333" s="21"/>
      <c r="AW333" s="21"/>
    </row>
    <row r="334" spans="1:49" x14ac:dyDescent="0.2">
      <c r="A334">
        <v>191</v>
      </c>
      <c r="E334">
        <f t="shared" si="123"/>
        <v>1</v>
      </c>
      <c r="J334" t="str">
        <f t="shared" si="130"/>
        <v>10</v>
      </c>
      <c r="K334" t="str">
        <f t="shared" si="131"/>
        <v>39</v>
      </c>
      <c r="L334" t="str">
        <f t="shared" si="132"/>
        <v>10</v>
      </c>
      <c r="M334" s="6" t="str">
        <f t="shared" si="133"/>
        <v>37</v>
      </c>
      <c r="N334" t="str">
        <f t="shared" si="129"/>
        <v>Home</v>
      </c>
      <c r="O334">
        <v>91</v>
      </c>
      <c r="P334" t="s">
        <v>425</v>
      </c>
      <c r="Y334" t="str">
        <f t="shared" si="113"/>
        <v/>
      </c>
      <c r="Z334" t="str">
        <f t="shared" si="114"/>
        <v/>
      </c>
      <c r="AC334" t="str">
        <f t="shared" si="115"/>
        <v>Zone_Entry_Exit</v>
      </c>
      <c r="AD334" t="str">
        <f t="shared" si="116"/>
        <v>Zone_Entry</v>
      </c>
      <c r="AE334" t="str">
        <f t="shared" si="117"/>
        <v>ZoneEntry-Rush</v>
      </c>
      <c r="AF334" t="str">
        <f t="shared" si="118"/>
        <v>Defensive</v>
      </c>
      <c r="AG334">
        <f t="shared" si="124"/>
        <v>18981</v>
      </c>
      <c r="AH334" t="str">
        <f t="shared" si="125"/>
        <v>Nelson</v>
      </c>
      <c r="AI334" t="str">
        <f t="shared" si="126"/>
        <v>Velodrome</v>
      </c>
      <c r="AJ334" s="18">
        <f t="shared" si="119"/>
        <v>2</v>
      </c>
      <c r="AP334" s="18">
        <f t="shared" si="120"/>
        <v>0</v>
      </c>
      <c r="AQ334">
        <f t="shared" si="121"/>
        <v>0</v>
      </c>
      <c r="AR334" s="23">
        <f t="shared" si="122"/>
        <v>441</v>
      </c>
      <c r="AS334">
        <f t="shared" si="127"/>
        <v>436</v>
      </c>
      <c r="AT334" s="21">
        <f t="shared" si="128"/>
        <v>443</v>
      </c>
      <c r="AU334" s="21"/>
      <c r="AV334" s="21"/>
      <c r="AW334" s="21"/>
    </row>
    <row r="335" spans="1:49" x14ac:dyDescent="0.2">
      <c r="A335">
        <v>192</v>
      </c>
      <c r="E335">
        <f t="shared" si="123"/>
        <v>1</v>
      </c>
      <c r="F335" s="5" t="s">
        <v>485</v>
      </c>
      <c r="G335" s="5" t="s">
        <v>509</v>
      </c>
      <c r="J335" t="str">
        <f t="shared" si="130"/>
        <v>10</v>
      </c>
      <c r="K335" t="str">
        <f t="shared" si="131"/>
        <v>37</v>
      </c>
      <c r="L335" t="str">
        <f t="shared" si="132"/>
        <v/>
      </c>
      <c r="M335" s="6" t="str">
        <f t="shared" si="133"/>
        <v/>
      </c>
      <c r="N335" t="s">
        <v>179</v>
      </c>
      <c r="O335">
        <v>39</v>
      </c>
      <c r="P335" t="s">
        <v>424</v>
      </c>
      <c r="Q335" t="s">
        <v>10</v>
      </c>
      <c r="R335" t="s">
        <v>200</v>
      </c>
      <c r="S335" t="s">
        <v>82</v>
      </c>
      <c r="Y335" t="str">
        <f t="shared" si="113"/>
        <v/>
      </c>
      <c r="Z335" t="str">
        <f t="shared" si="114"/>
        <v/>
      </c>
      <c r="AC335" t="str">
        <f t="shared" si="115"/>
        <v>Turnover</v>
      </c>
      <c r="AD335" t="str">
        <f t="shared" si="116"/>
        <v>Turnover_Takeaway</v>
      </c>
      <c r="AE335" t="str">
        <f t="shared" si="117"/>
        <v>Takeaway-PokeCheck</v>
      </c>
      <c r="AF335" t="str">
        <f t="shared" si="118"/>
        <v>Defensive</v>
      </c>
      <c r="AG335">
        <f t="shared" si="124"/>
        <v>18981</v>
      </c>
      <c r="AH335" t="str">
        <f t="shared" si="125"/>
        <v>Nelson</v>
      </c>
      <c r="AI335" t="str">
        <f t="shared" si="126"/>
        <v>Velodrome</v>
      </c>
      <c r="AJ335" s="18">
        <f t="shared" si="119"/>
        <v>0</v>
      </c>
      <c r="AP335" s="18">
        <f t="shared" si="120"/>
        <v>0</v>
      </c>
      <c r="AQ335">
        <f t="shared" si="121"/>
        <v>0</v>
      </c>
      <c r="AR335" s="23">
        <f t="shared" si="122"/>
        <v>443</v>
      </c>
      <c r="AS335">
        <f t="shared" si="127"/>
        <v>438</v>
      </c>
      <c r="AT335" s="21">
        <f t="shared" si="128"/>
        <v>443</v>
      </c>
      <c r="AU335" s="21"/>
      <c r="AV335" s="21"/>
      <c r="AW335" s="21"/>
    </row>
    <row r="336" spans="1:49" x14ac:dyDescent="0.2">
      <c r="A336">
        <v>192</v>
      </c>
      <c r="E336">
        <f t="shared" si="123"/>
        <v>1</v>
      </c>
      <c r="J336" t="str">
        <f t="shared" si="130"/>
        <v>10</v>
      </c>
      <c r="K336" t="str">
        <f t="shared" si="131"/>
        <v>37</v>
      </c>
      <c r="L336" t="str">
        <f t="shared" si="132"/>
        <v/>
      </c>
      <c r="M336" s="6" t="str">
        <f t="shared" si="133"/>
        <v/>
      </c>
      <c r="N336" t="str">
        <f t="shared" si="129"/>
        <v>Away</v>
      </c>
      <c r="O336">
        <v>93</v>
      </c>
      <c r="P336" t="s">
        <v>425</v>
      </c>
      <c r="Y336" t="str">
        <f t="shared" si="113"/>
        <v/>
      </c>
      <c r="Z336" t="str">
        <f t="shared" si="114"/>
        <v/>
      </c>
      <c r="AC336" t="str">
        <f t="shared" si="115"/>
        <v>Turnover</v>
      </c>
      <c r="AD336" t="str">
        <f t="shared" si="116"/>
        <v>Turnover_Takeaway</v>
      </c>
      <c r="AE336" t="str">
        <f t="shared" si="117"/>
        <v>Takeaway-PokeCheck</v>
      </c>
      <c r="AF336" t="str">
        <f t="shared" si="118"/>
        <v>Offensive</v>
      </c>
      <c r="AG336">
        <f t="shared" si="124"/>
        <v>18981</v>
      </c>
      <c r="AH336" t="str">
        <f t="shared" si="125"/>
        <v>Nelson</v>
      </c>
      <c r="AI336" t="str">
        <f t="shared" si="126"/>
        <v>Velodrome</v>
      </c>
      <c r="AJ336" s="18">
        <f t="shared" si="119"/>
        <v>0</v>
      </c>
      <c r="AP336" s="18">
        <f t="shared" si="120"/>
        <v>0</v>
      </c>
      <c r="AQ336">
        <f t="shared" si="121"/>
        <v>0</v>
      </c>
      <c r="AR336" s="23">
        <f t="shared" si="122"/>
        <v>443</v>
      </c>
      <c r="AS336">
        <f t="shared" si="127"/>
        <v>438</v>
      </c>
      <c r="AT336" s="21">
        <f t="shared" si="128"/>
        <v>443</v>
      </c>
      <c r="AU336" s="21"/>
      <c r="AV336" s="21"/>
      <c r="AW336" s="21"/>
    </row>
    <row r="337" spans="1:49" x14ac:dyDescent="0.2">
      <c r="A337">
        <v>192</v>
      </c>
      <c r="E337">
        <f t="shared" si="123"/>
        <v>1</v>
      </c>
      <c r="J337" t="str">
        <f t="shared" si="130"/>
        <v>10</v>
      </c>
      <c r="K337" t="str">
        <f t="shared" si="131"/>
        <v>37</v>
      </c>
      <c r="L337" t="str">
        <f t="shared" si="132"/>
        <v/>
      </c>
      <c r="M337" s="6" t="str">
        <f t="shared" si="133"/>
        <v/>
      </c>
      <c r="N337" t="str">
        <f t="shared" si="129"/>
        <v>Away</v>
      </c>
      <c r="O337">
        <v>10</v>
      </c>
      <c r="P337" t="s">
        <v>425</v>
      </c>
      <c r="Y337" t="str">
        <f t="shared" si="113"/>
        <v/>
      </c>
      <c r="Z337" t="str">
        <f t="shared" si="114"/>
        <v/>
      </c>
      <c r="AC337" t="str">
        <f t="shared" si="115"/>
        <v>Turnover</v>
      </c>
      <c r="AD337" t="str">
        <f t="shared" si="116"/>
        <v>Turnover_Takeaway</v>
      </c>
      <c r="AE337" t="str">
        <f t="shared" si="117"/>
        <v>Takeaway-PokeCheck</v>
      </c>
      <c r="AF337" t="str">
        <f t="shared" si="118"/>
        <v>Offensive</v>
      </c>
      <c r="AG337">
        <f t="shared" si="124"/>
        <v>18981</v>
      </c>
      <c r="AH337" t="str">
        <f t="shared" si="125"/>
        <v>Nelson</v>
      </c>
      <c r="AI337" t="str">
        <f t="shared" si="126"/>
        <v>Velodrome</v>
      </c>
      <c r="AJ337" s="18">
        <f t="shared" si="119"/>
        <v>0</v>
      </c>
      <c r="AP337" s="18">
        <f t="shared" si="120"/>
        <v>0</v>
      </c>
      <c r="AQ337">
        <f t="shared" si="121"/>
        <v>0</v>
      </c>
      <c r="AR337" s="23">
        <f t="shared" si="122"/>
        <v>443</v>
      </c>
      <c r="AS337">
        <f t="shared" si="127"/>
        <v>438</v>
      </c>
      <c r="AT337" s="21">
        <f t="shared" si="128"/>
        <v>443</v>
      </c>
      <c r="AU337" s="21"/>
      <c r="AV337" s="21"/>
      <c r="AW337" s="21"/>
    </row>
    <row r="338" spans="1:49" x14ac:dyDescent="0.2">
      <c r="A338">
        <v>193</v>
      </c>
      <c r="E338">
        <f t="shared" si="123"/>
        <v>1</v>
      </c>
      <c r="F338" s="5" t="s">
        <v>485</v>
      </c>
      <c r="G338" s="5" t="s">
        <v>509</v>
      </c>
      <c r="H338" s="5" t="s">
        <v>485</v>
      </c>
      <c r="I338" s="7" t="s">
        <v>506</v>
      </c>
      <c r="J338" t="str">
        <f t="shared" si="130"/>
        <v>10</v>
      </c>
      <c r="K338" t="str">
        <f t="shared" si="131"/>
        <v>37</v>
      </c>
      <c r="L338" t="str">
        <f t="shared" si="132"/>
        <v>10</v>
      </c>
      <c r="M338" s="6" t="str">
        <f t="shared" si="133"/>
        <v>34</v>
      </c>
      <c r="N338" t="s">
        <v>179</v>
      </c>
      <c r="O338">
        <v>70</v>
      </c>
      <c r="P338" t="s">
        <v>424</v>
      </c>
      <c r="Q338" t="s">
        <v>15</v>
      </c>
      <c r="Y338" t="str">
        <f t="shared" si="113"/>
        <v/>
      </c>
      <c r="Z338" t="str">
        <f t="shared" si="114"/>
        <v/>
      </c>
      <c r="AC338" t="str">
        <f t="shared" si="115"/>
        <v>Possession</v>
      </c>
      <c r="AD338" t="str">
        <f t="shared" si="116"/>
        <v/>
      </c>
      <c r="AE338" t="str">
        <f t="shared" si="117"/>
        <v/>
      </c>
      <c r="AF338" t="str">
        <f t="shared" si="118"/>
        <v>Offensive</v>
      </c>
      <c r="AG338">
        <f t="shared" si="124"/>
        <v>18981</v>
      </c>
      <c r="AH338" t="str">
        <f t="shared" si="125"/>
        <v>Nelson</v>
      </c>
      <c r="AI338" t="str">
        <f t="shared" si="126"/>
        <v>Velodrome</v>
      </c>
      <c r="AJ338" s="18">
        <f t="shared" si="119"/>
        <v>3</v>
      </c>
      <c r="AP338" s="18">
        <f t="shared" si="120"/>
        <v>0</v>
      </c>
      <c r="AQ338">
        <f t="shared" si="121"/>
        <v>0</v>
      </c>
      <c r="AR338" s="23">
        <f t="shared" si="122"/>
        <v>443</v>
      </c>
      <c r="AS338">
        <f t="shared" si="127"/>
        <v>438</v>
      </c>
      <c r="AT338" s="21">
        <f t="shared" si="128"/>
        <v>446</v>
      </c>
      <c r="AU338" s="21"/>
      <c r="AV338" s="21"/>
      <c r="AW338" s="21"/>
    </row>
    <row r="339" spans="1:49" x14ac:dyDescent="0.2">
      <c r="A339">
        <v>194</v>
      </c>
      <c r="E339">
        <f t="shared" si="123"/>
        <v>1</v>
      </c>
      <c r="F339" s="5" t="s">
        <v>485</v>
      </c>
      <c r="G339" s="5" t="s">
        <v>506</v>
      </c>
      <c r="J339" t="str">
        <f t="shared" si="130"/>
        <v>10</v>
      </c>
      <c r="K339" t="str">
        <f t="shared" si="131"/>
        <v>34</v>
      </c>
      <c r="L339" t="str">
        <f t="shared" si="132"/>
        <v/>
      </c>
      <c r="M339" s="6" t="str">
        <f t="shared" si="133"/>
        <v/>
      </c>
      <c r="N339" t="s">
        <v>179</v>
      </c>
      <c r="O339">
        <v>70</v>
      </c>
      <c r="P339" t="s">
        <v>424</v>
      </c>
      <c r="Q339" t="s">
        <v>8</v>
      </c>
      <c r="R339" t="s">
        <v>189</v>
      </c>
      <c r="S339" t="s">
        <v>438</v>
      </c>
      <c r="Y339" t="str">
        <f t="shared" si="113"/>
        <v/>
      </c>
      <c r="Z339" t="str">
        <f t="shared" si="114"/>
        <v/>
      </c>
      <c r="AC339" t="str">
        <f t="shared" si="115"/>
        <v>Pass</v>
      </c>
      <c r="AD339" t="str">
        <f t="shared" si="116"/>
        <v>Pass_Completed</v>
      </c>
      <c r="AE339" t="str">
        <f t="shared" si="117"/>
        <v>Pass-Lob</v>
      </c>
      <c r="AF339" t="str">
        <f t="shared" si="118"/>
        <v>Offensive</v>
      </c>
      <c r="AG339">
        <f t="shared" si="124"/>
        <v>18981</v>
      </c>
      <c r="AH339" t="str">
        <f t="shared" si="125"/>
        <v>Nelson</v>
      </c>
      <c r="AI339" t="str">
        <f t="shared" si="126"/>
        <v>Velodrome</v>
      </c>
      <c r="AJ339" s="18">
        <f t="shared" si="119"/>
        <v>0</v>
      </c>
      <c r="AP339" s="18">
        <f t="shared" si="120"/>
        <v>0</v>
      </c>
      <c r="AQ339">
        <f t="shared" si="121"/>
        <v>0</v>
      </c>
      <c r="AR339" s="23">
        <f t="shared" si="122"/>
        <v>446</v>
      </c>
      <c r="AS339">
        <f t="shared" si="127"/>
        <v>441</v>
      </c>
      <c r="AT339" s="21">
        <f t="shared" si="128"/>
        <v>446</v>
      </c>
      <c r="AU339" s="21"/>
      <c r="AV339" s="21"/>
      <c r="AW339" s="21"/>
    </row>
    <row r="340" spans="1:49" x14ac:dyDescent="0.2">
      <c r="A340">
        <v>194</v>
      </c>
      <c r="E340">
        <f t="shared" si="123"/>
        <v>1</v>
      </c>
      <c r="J340" t="str">
        <f t="shared" si="130"/>
        <v>10</v>
      </c>
      <c r="K340" t="str">
        <f t="shared" si="131"/>
        <v>34</v>
      </c>
      <c r="L340" t="str">
        <f t="shared" si="132"/>
        <v/>
      </c>
      <c r="M340" s="6" t="str">
        <f t="shared" si="133"/>
        <v/>
      </c>
      <c r="N340" t="s">
        <v>179</v>
      </c>
      <c r="O340">
        <v>24</v>
      </c>
      <c r="P340" t="s">
        <v>424</v>
      </c>
      <c r="Y340" t="str">
        <f t="shared" si="113"/>
        <v/>
      </c>
      <c r="Z340" t="str">
        <f t="shared" si="114"/>
        <v/>
      </c>
      <c r="AC340" t="str">
        <f t="shared" si="115"/>
        <v>Pass</v>
      </c>
      <c r="AD340" t="str">
        <f t="shared" si="116"/>
        <v>Pass_Completed</v>
      </c>
      <c r="AE340" t="str">
        <f t="shared" si="117"/>
        <v>Pass-Lob</v>
      </c>
      <c r="AF340" t="str">
        <f t="shared" si="118"/>
        <v>Offensive</v>
      </c>
      <c r="AG340">
        <f t="shared" si="124"/>
        <v>18981</v>
      </c>
      <c r="AH340" t="str">
        <f t="shared" si="125"/>
        <v>Nelson</v>
      </c>
      <c r="AI340" t="str">
        <f t="shared" si="126"/>
        <v>Velodrome</v>
      </c>
      <c r="AJ340" s="18">
        <f t="shared" si="119"/>
        <v>0</v>
      </c>
      <c r="AP340" s="18">
        <f t="shared" si="120"/>
        <v>0</v>
      </c>
      <c r="AQ340">
        <f t="shared" si="121"/>
        <v>0</v>
      </c>
      <c r="AR340" s="23">
        <f t="shared" si="122"/>
        <v>446</v>
      </c>
      <c r="AS340">
        <f t="shared" si="127"/>
        <v>441</v>
      </c>
      <c r="AT340" s="21">
        <f t="shared" si="128"/>
        <v>446</v>
      </c>
      <c r="AU340" s="21"/>
      <c r="AV340" s="21"/>
      <c r="AW340" s="21"/>
    </row>
    <row r="341" spans="1:49" x14ac:dyDescent="0.2">
      <c r="A341">
        <v>194</v>
      </c>
      <c r="E341">
        <f t="shared" si="123"/>
        <v>1</v>
      </c>
      <c r="J341" t="str">
        <f t="shared" si="130"/>
        <v>10</v>
      </c>
      <c r="K341" t="str">
        <f t="shared" si="131"/>
        <v>34</v>
      </c>
      <c r="L341" t="str">
        <f t="shared" si="132"/>
        <v/>
      </c>
      <c r="M341" s="6" t="str">
        <f t="shared" si="133"/>
        <v/>
      </c>
      <c r="N341" t="s">
        <v>179</v>
      </c>
      <c r="O341">
        <v>3</v>
      </c>
      <c r="P341" t="s">
        <v>425</v>
      </c>
      <c r="Y341" t="str">
        <f t="shared" si="113"/>
        <v/>
      </c>
      <c r="Z341" t="str">
        <f t="shared" si="114"/>
        <v/>
      </c>
      <c r="AC341" t="str">
        <f t="shared" si="115"/>
        <v>Pass</v>
      </c>
      <c r="AD341" t="str">
        <f t="shared" si="116"/>
        <v>Pass_Completed</v>
      </c>
      <c r="AE341" t="str">
        <f t="shared" si="117"/>
        <v>Pass-Lob</v>
      </c>
      <c r="AF341" t="str">
        <f t="shared" si="118"/>
        <v>Defensive</v>
      </c>
      <c r="AG341">
        <f t="shared" si="124"/>
        <v>18981</v>
      </c>
      <c r="AH341" t="str">
        <f t="shared" si="125"/>
        <v>Nelson</v>
      </c>
      <c r="AI341" t="str">
        <f t="shared" si="126"/>
        <v>Velodrome</v>
      </c>
      <c r="AJ341" s="18">
        <f t="shared" si="119"/>
        <v>0</v>
      </c>
      <c r="AP341" s="18">
        <f t="shared" si="120"/>
        <v>0</v>
      </c>
      <c r="AQ341">
        <f t="shared" si="121"/>
        <v>0</v>
      </c>
      <c r="AR341" s="23">
        <f t="shared" si="122"/>
        <v>446</v>
      </c>
      <c r="AS341">
        <f t="shared" si="127"/>
        <v>441</v>
      </c>
      <c r="AT341" s="21">
        <f t="shared" si="128"/>
        <v>446</v>
      </c>
      <c r="AU341" s="21"/>
      <c r="AV341" s="21"/>
      <c r="AW341" s="21"/>
    </row>
    <row r="342" spans="1:49" x14ac:dyDescent="0.2">
      <c r="A342">
        <v>195</v>
      </c>
      <c r="E342">
        <f t="shared" si="123"/>
        <v>1</v>
      </c>
      <c r="F342" s="5" t="s">
        <v>485</v>
      </c>
      <c r="G342" s="5" t="s">
        <v>506</v>
      </c>
      <c r="J342" t="str">
        <f t="shared" si="130"/>
        <v>10</v>
      </c>
      <c r="K342" t="str">
        <f t="shared" si="131"/>
        <v>34</v>
      </c>
      <c r="L342" t="str">
        <f t="shared" si="132"/>
        <v/>
      </c>
      <c r="M342" s="6" t="str">
        <f t="shared" si="133"/>
        <v/>
      </c>
      <c r="N342" t="s">
        <v>179</v>
      </c>
      <c r="O342">
        <v>70</v>
      </c>
      <c r="P342" t="s">
        <v>424</v>
      </c>
      <c r="Q342" t="s">
        <v>277</v>
      </c>
      <c r="R342" t="s">
        <v>201</v>
      </c>
      <c r="S342" t="s">
        <v>437</v>
      </c>
      <c r="Y342" t="str">
        <f t="shared" si="113"/>
        <v/>
      </c>
      <c r="Z342" t="str">
        <f t="shared" si="114"/>
        <v/>
      </c>
      <c r="AC342" t="str">
        <f t="shared" si="115"/>
        <v>Zone_Entry_Exit</v>
      </c>
      <c r="AD342" t="str">
        <f t="shared" si="116"/>
        <v>Zone_Exit</v>
      </c>
      <c r="AE342" t="str">
        <f t="shared" si="117"/>
        <v>ZoneExit-Lob</v>
      </c>
      <c r="AF342" t="str">
        <f t="shared" si="118"/>
        <v>Offensive</v>
      </c>
      <c r="AG342">
        <f t="shared" si="124"/>
        <v>18981</v>
      </c>
      <c r="AH342" t="str">
        <f t="shared" si="125"/>
        <v>Nelson</v>
      </c>
      <c r="AI342" t="str">
        <f t="shared" si="126"/>
        <v>Velodrome</v>
      </c>
      <c r="AJ342" s="18">
        <f t="shared" si="119"/>
        <v>0</v>
      </c>
      <c r="AP342" s="18">
        <f t="shared" si="120"/>
        <v>0</v>
      </c>
      <c r="AQ342">
        <f t="shared" si="121"/>
        <v>0</v>
      </c>
      <c r="AR342" s="23">
        <f t="shared" si="122"/>
        <v>446</v>
      </c>
      <c r="AS342">
        <f t="shared" si="127"/>
        <v>441</v>
      </c>
      <c r="AT342" s="21">
        <f t="shared" si="128"/>
        <v>446</v>
      </c>
      <c r="AU342" s="21"/>
      <c r="AV342" s="21"/>
      <c r="AW342" s="21"/>
    </row>
    <row r="343" spans="1:49" x14ac:dyDescent="0.2">
      <c r="A343">
        <v>195</v>
      </c>
      <c r="E343">
        <f t="shared" si="123"/>
        <v>1</v>
      </c>
      <c r="J343" t="str">
        <f t="shared" si="130"/>
        <v>10</v>
      </c>
      <c r="K343" t="str">
        <f t="shared" si="131"/>
        <v>34</v>
      </c>
      <c r="L343" t="str">
        <f t="shared" si="132"/>
        <v/>
      </c>
      <c r="M343" s="6" t="str">
        <f t="shared" si="133"/>
        <v/>
      </c>
      <c r="N343" t="s">
        <v>179</v>
      </c>
      <c r="O343">
        <v>24</v>
      </c>
      <c r="P343" t="s">
        <v>424</v>
      </c>
      <c r="Y343" t="str">
        <f t="shared" si="113"/>
        <v/>
      </c>
      <c r="Z343" t="str">
        <f t="shared" si="114"/>
        <v/>
      </c>
      <c r="AC343" t="str">
        <f t="shared" si="115"/>
        <v>Zone_Entry_Exit</v>
      </c>
      <c r="AD343" t="str">
        <f t="shared" si="116"/>
        <v>Zone_Exit</v>
      </c>
      <c r="AE343" t="str">
        <f t="shared" si="117"/>
        <v>ZoneExit-Lob</v>
      </c>
      <c r="AF343" t="str">
        <f t="shared" si="118"/>
        <v>Offensive</v>
      </c>
      <c r="AG343">
        <f t="shared" si="124"/>
        <v>18981</v>
      </c>
      <c r="AH343" t="str">
        <f t="shared" si="125"/>
        <v>Nelson</v>
      </c>
      <c r="AI343" t="str">
        <f t="shared" si="126"/>
        <v>Velodrome</v>
      </c>
      <c r="AJ343" s="18">
        <f t="shared" si="119"/>
        <v>0</v>
      </c>
      <c r="AP343" s="18">
        <f t="shared" si="120"/>
        <v>0</v>
      </c>
      <c r="AQ343">
        <f t="shared" si="121"/>
        <v>0</v>
      </c>
      <c r="AR343" s="23">
        <f t="shared" si="122"/>
        <v>446</v>
      </c>
      <c r="AS343">
        <f t="shared" si="127"/>
        <v>441</v>
      </c>
      <c r="AT343" s="21">
        <f t="shared" si="128"/>
        <v>446</v>
      </c>
      <c r="AU343" s="21"/>
      <c r="AV343" s="21"/>
      <c r="AW343" s="21"/>
    </row>
    <row r="344" spans="1:49" x14ac:dyDescent="0.2">
      <c r="A344">
        <v>195</v>
      </c>
      <c r="E344">
        <f t="shared" si="123"/>
        <v>1</v>
      </c>
      <c r="J344" t="str">
        <f t="shared" si="130"/>
        <v>10</v>
      </c>
      <c r="K344" t="str">
        <f t="shared" si="131"/>
        <v>34</v>
      </c>
      <c r="L344" t="str">
        <f t="shared" si="132"/>
        <v/>
      </c>
      <c r="M344" s="6" t="str">
        <f t="shared" si="133"/>
        <v/>
      </c>
      <c r="N344" t="s">
        <v>179</v>
      </c>
      <c r="O344">
        <v>3</v>
      </c>
      <c r="P344" t="s">
        <v>425</v>
      </c>
      <c r="Y344" t="str">
        <f t="shared" si="113"/>
        <v/>
      </c>
      <c r="Z344" t="str">
        <f t="shared" si="114"/>
        <v/>
      </c>
      <c r="AC344" t="str">
        <f t="shared" si="115"/>
        <v>Zone_Entry_Exit</v>
      </c>
      <c r="AD344" t="str">
        <f t="shared" si="116"/>
        <v>Zone_Exit</v>
      </c>
      <c r="AE344" t="str">
        <f t="shared" si="117"/>
        <v>ZoneExit-Lob</v>
      </c>
      <c r="AF344" t="str">
        <f t="shared" si="118"/>
        <v>Defensive</v>
      </c>
      <c r="AG344">
        <f t="shared" si="124"/>
        <v>18981</v>
      </c>
      <c r="AH344" t="str">
        <f t="shared" si="125"/>
        <v>Nelson</v>
      </c>
      <c r="AI344" t="str">
        <f t="shared" si="126"/>
        <v>Velodrome</v>
      </c>
      <c r="AJ344" s="18">
        <f t="shared" si="119"/>
        <v>0</v>
      </c>
      <c r="AP344" s="18">
        <f t="shared" si="120"/>
        <v>0</v>
      </c>
      <c r="AQ344">
        <f t="shared" si="121"/>
        <v>0</v>
      </c>
      <c r="AR344" s="23">
        <f t="shared" si="122"/>
        <v>446</v>
      </c>
      <c r="AS344">
        <f t="shared" si="127"/>
        <v>441</v>
      </c>
      <c r="AT344" s="21">
        <f t="shared" si="128"/>
        <v>446</v>
      </c>
      <c r="AU344" s="21"/>
      <c r="AV344" s="21"/>
      <c r="AW344" s="21"/>
    </row>
    <row r="345" spans="1:49" x14ac:dyDescent="0.2">
      <c r="A345">
        <v>196</v>
      </c>
      <c r="E345">
        <f t="shared" si="123"/>
        <v>1</v>
      </c>
      <c r="F345" s="5" t="s">
        <v>485</v>
      </c>
      <c r="G345" s="5" t="s">
        <v>503</v>
      </c>
      <c r="H345" s="5" t="s">
        <v>485</v>
      </c>
      <c r="I345" s="7" t="s">
        <v>501</v>
      </c>
      <c r="J345" t="str">
        <f t="shared" si="130"/>
        <v>10</v>
      </c>
      <c r="K345" t="str">
        <f t="shared" si="131"/>
        <v>31</v>
      </c>
      <c r="L345" t="str">
        <f t="shared" si="132"/>
        <v>10</v>
      </c>
      <c r="M345" s="6" t="str">
        <f t="shared" si="133"/>
        <v>29</v>
      </c>
      <c r="N345" t="s">
        <v>179</v>
      </c>
      <c r="O345">
        <v>24</v>
      </c>
      <c r="P345" t="s">
        <v>424</v>
      </c>
      <c r="Q345" t="s">
        <v>15</v>
      </c>
      <c r="Y345" t="str">
        <f t="shared" si="113"/>
        <v/>
      </c>
      <c r="Z345" t="str">
        <f t="shared" si="114"/>
        <v/>
      </c>
      <c r="AC345" t="str">
        <f t="shared" si="115"/>
        <v>Possession</v>
      </c>
      <c r="AD345" t="str">
        <f t="shared" si="116"/>
        <v/>
      </c>
      <c r="AE345" t="str">
        <f t="shared" si="117"/>
        <v/>
      </c>
      <c r="AF345" t="str">
        <f t="shared" si="118"/>
        <v>Offensive</v>
      </c>
      <c r="AG345">
        <f t="shared" si="124"/>
        <v>18981</v>
      </c>
      <c r="AH345" t="str">
        <f t="shared" si="125"/>
        <v>Nelson</v>
      </c>
      <c r="AI345" t="str">
        <f t="shared" si="126"/>
        <v>Velodrome</v>
      </c>
      <c r="AJ345" s="18">
        <f t="shared" si="119"/>
        <v>2</v>
      </c>
      <c r="AP345" s="18">
        <f t="shared" si="120"/>
        <v>0</v>
      </c>
      <c r="AQ345">
        <f t="shared" si="121"/>
        <v>0</v>
      </c>
      <c r="AR345" s="23">
        <f t="shared" si="122"/>
        <v>449</v>
      </c>
      <c r="AS345">
        <f t="shared" si="127"/>
        <v>444</v>
      </c>
      <c r="AT345" s="21">
        <f t="shared" si="128"/>
        <v>451</v>
      </c>
      <c r="AU345" s="21"/>
      <c r="AV345" s="21"/>
      <c r="AW345" s="21"/>
    </row>
    <row r="346" spans="1:49" x14ac:dyDescent="0.2">
      <c r="A346">
        <v>196</v>
      </c>
      <c r="E346">
        <f t="shared" si="123"/>
        <v>1</v>
      </c>
      <c r="J346" t="str">
        <f t="shared" si="130"/>
        <v>10</v>
      </c>
      <c r="K346" t="str">
        <f t="shared" si="131"/>
        <v>31</v>
      </c>
      <c r="L346" t="str">
        <f t="shared" si="132"/>
        <v>10</v>
      </c>
      <c r="M346" s="6" t="str">
        <f t="shared" si="133"/>
        <v>29</v>
      </c>
      <c r="N346" t="str">
        <f t="shared" si="129"/>
        <v>Away</v>
      </c>
      <c r="O346">
        <v>80</v>
      </c>
      <c r="P346" t="s">
        <v>425</v>
      </c>
      <c r="Y346" t="str">
        <f t="shared" si="113"/>
        <v/>
      </c>
      <c r="Z346" t="str">
        <f t="shared" si="114"/>
        <v/>
      </c>
      <c r="AC346" t="str">
        <f t="shared" si="115"/>
        <v>Possession</v>
      </c>
      <c r="AD346" t="str">
        <f t="shared" si="116"/>
        <v/>
      </c>
      <c r="AE346" t="str">
        <f t="shared" si="117"/>
        <v/>
      </c>
      <c r="AF346" t="str">
        <f t="shared" si="118"/>
        <v>Defensive</v>
      </c>
      <c r="AG346">
        <f t="shared" si="124"/>
        <v>18981</v>
      </c>
      <c r="AH346" t="str">
        <f t="shared" si="125"/>
        <v>Nelson</v>
      </c>
      <c r="AI346" t="str">
        <f t="shared" si="126"/>
        <v>Velodrome</v>
      </c>
      <c r="AJ346" s="18">
        <f t="shared" si="119"/>
        <v>2</v>
      </c>
      <c r="AP346" s="18">
        <f t="shared" si="120"/>
        <v>0</v>
      </c>
      <c r="AQ346">
        <f t="shared" si="121"/>
        <v>0</v>
      </c>
      <c r="AR346" s="23">
        <f t="shared" si="122"/>
        <v>449</v>
      </c>
      <c r="AS346">
        <f t="shared" si="127"/>
        <v>444</v>
      </c>
      <c r="AT346" s="21">
        <f t="shared" si="128"/>
        <v>451</v>
      </c>
      <c r="AU346" s="21"/>
      <c r="AV346" s="21"/>
      <c r="AW346" s="21"/>
    </row>
    <row r="347" spans="1:49" x14ac:dyDescent="0.2">
      <c r="A347">
        <v>197</v>
      </c>
      <c r="E347">
        <f t="shared" si="123"/>
        <v>1</v>
      </c>
      <c r="F347" s="5" t="s">
        <v>485</v>
      </c>
      <c r="G347" s="5" t="s">
        <v>501</v>
      </c>
      <c r="H347" s="5" t="s">
        <v>485</v>
      </c>
      <c r="I347" s="7" t="s">
        <v>500</v>
      </c>
      <c r="J347" t="str">
        <f t="shared" si="130"/>
        <v>10</v>
      </c>
      <c r="K347" t="str">
        <f t="shared" si="131"/>
        <v>29</v>
      </c>
      <c r="L347" t="str">
        <f t="shared" si="132"/>
        <v>10</v>
      </c>
      <c r="M347" s="6" t="str">
        <f t="shared" si="133"/>
        <v>28</v>
      </c>
      <c r="N347" t="s">
        <v>179</v>
      </c>
      <c r="O347">
        <v>24</v>
      </c>
      <c r="P347" t="s">
        <v>424</v>
      </c>
      <c r="Q347" t="s">
        <v>277</v>
      </c>
      <c r="R347" t="s">
        <v>191</v>
      </c>
      <c r="S347" t="s">
        <v>87</v>
      </c>
      <c r="Y347" t="str">
        <f t="shared" si="113"/>
        <v/>
      </c>
      <c r="Z347" t="str">
        <f t="shared" si="114"/>
        <v/>
      </c>
      <c r="AC347" t="str">
        <f t="shared" si="115"/>
        <v>Zone_Entry_Exit</v>
      </c>
      <c r="AD347" t="str">
        <f t="shared" si="116"/>
        <v>Zone_Entry</v>
      </c>
      <c r="AE347" t="str">
        <f t="shared" si="117"/>
        <v>ZoneEntry-Rush</v>
      </c>
      <c r="AF347" t="str">
        <f t="shared" si="118"/>
        <v>Offensive</v>
      </c>
      <c r="AG347">
        <f t="shared" si="124"/>
        <v>18981</v>
      </c>
      <c r="AH347" t="str">
        <f t="shared" si="125"/>
        <v>Nelson</v>
      </c>
      <c r="AI347" t="str">
        <f t="shared" si="126"/>
        <v>Velodrome</v>
      </c>
      <c r="AJ347" s="18">
        <f t="shared" si="119"/>
        <v>1</v>
      </c>
      <c r="AP347" s="18">
        <f t="shared" si="120"/>
        <v>0</v>
      </c>
      <c r="AQ347">
        <f t="shared" si="121"/>
        <v>0</v>
      </c>
      <c r="AR347" s="23">
        <f t="shared" si="122"/>
        <v>451</v>
      </c>
      <c r="AS347">
        <f t="shared" si="127"/>
        <v>446</v>
      </c>
      <c r="AT347" s="21">
        <f t="shared" si="128"/>
        <v>452</v>
      </c>
      <c r="AU347" s="21"/>
      <c r="AV347" s="21"/>
      <c r="AW347" s="21"/>
    </row>
    <row r="348" spans="1:49" x14ac:dyDescent="0.2">
      <c r="A348">
        <v>197</v>
      </c>
      <c r="E348">
        <f t="shared" si="123"/>
        <v>1</v>
      </c>
      <c r="J348" t="str">
        <f t="shared" si="130"/>
        <v>10</v>
      </c>
      <c r="K348" t="str">
        <f t="shared" si="131"/>
        <v>29</v>
      </c>
      <c r="L348" t="str">
        <f t="shared" si="132"/>
        <v>10</v>
      </c>
      <c r="M348" s="6" t="str">
        <f t="shared" si="133"/>
        <v>28</v>
      </c>
      <c r="N348" t="str">
        <f t="shared" si="129"/>
        <v>Away</v>
      </c>
      <c r="O348">
        <v>91</v>
      </c>
      <c r="P348" t="s">
        <v>424</v>
      </c>
      <c r="Y348" t="str">
        <f t="shared" si="113"/>
        <v/>
      </c>
      <c r="Z348" t="str">
        <f t="shared" si="114"/>
        <v/>
      </c>
      <c r="AC348" t="str">
        <f t="shared" si="115"/>
        <v>Zone_Entry_Exit</v>
      </c>
      <c r="AD348" t="str">
        <f t="shared" si="116"/>
        <v>Zone_Entry</v>
      </c>
      <c r="AE348" t="str">
        <f t="shared" si="117"/>
        <v>ZoneEntry-Rush</v>
      </c>
      <c r="AF348" t="str">
        <f t="shared" si="118"/>
        <v>Offensive</v>
      </c>
      <c r="AG348">
        <f t="shared" si="124"/>
        <v>18981</v>
      </c>
      <c r="AH348" t="str">
        <f t="shared" si="125"/>
        <v>Nelson</v>
      </c>
      <c r="AI348" t="str">
        <f t="shared" si="126"/>
        <v>Velodrome</v>
      </c>
      <c r="AJ348" s="18">
        <f t="shared" si="119"/>
        <v>1</v>
      </c>
      <c r="AP348" s="18">
        <f t="shared" si="120"/>
        <v>0</v>
      </c>
      <c r="AQ348">
        <f t="shared" si="121"/>
        <v>0</v>
      </c>
      <c r="AR348" s="23">
        <f t="shared" si="122"/>
        <v>451</v>
      </c>
      <c r="AS348">
        <f t="shared" si="127"/>
        <v>446</v>
      </c>
      <c r="AT348" s="21">
        <f t="shared" si="128"/>
        <v>452</v>
      </c>
      <c r="AU348" s="21"/>
      <c r="AV348" s="21"/>
      <c r="AW348" s="21"/>
    </row>
    <row r="349" spans="1:49" x14ac:dyDescent="0.2">
      <c r="A349">
        <v>197</v>
      </c>
      <c r="E349">
        <f t="shared" si="123"/>
        <v>1</v>
      </c>
      <c r="J349" t="str">
        <f t="shared" si="130"/>
        <v>10</v>
      </c>
      <c r="K349" t="str">
        <f t="shared" si="131"/>
        <v>29</v>
      </c>
      <c r="L349" t="str">
        <f t="shared" si="132"/>
        <v>10</v>
      </c>
      <c r="M349" s="6" t="str">
        <f t="shared" si="133"/>
        <v>28</v>
      </c>
      <c r="N349" t="str">
        <f t="shared" si="129"/>
        <v>Away</v>
      </c>
      <c r="O349">
        <v>80</v>
      </c>
      <c r="P349" t="s">
        <v>425</v>
      </c>
      <c r="Y349" t="str">
        <f t="shared" si="113"/>
        <v/>
      </c>
      <c r="Z349" t="str">
        <f t="shared" si="114"/>
        <v/>
      </c>
      <c r="AC349" t="str">
        <f t="shared" si="115"/>
        <v>Zone_Entry_Exit</v>
      </c>
      <c r="AD349" t="str">
        <f t="shared" si="116"/>
        <v>Zone_Entry</v>
      </c>
      <c r="AE349" t="str">
        <f t="shared" si="117"/>
        <v>ZoneEntry-Rush</v>
      </c>
      <c r="AF349" t="str">
        <f t="shared" si="118"/>
        <v>Defensive</v>
      </c>
      <c r="AG349">
        <f t="shared" si="124"/>
        <v>18981</v>
      </c>
      <c r="AH349" t="str">
        <f t="shared" si="125"/>
        <v>Nelson</v>
      </c>
      <c r="AI349" t="str">
        <f t="shared" si="126"/>
        <v>Velodrome</v>
      </c>
      <c r="AJ349" s="18">
        <f t="shared" si="119"/>
        <v>1</v>
      </c>
      <c r="AP349" s="18">
        <f t="shared" si="120"/>
        <v>0</v>
      </c>
      <c r="AQ349">
        <f t="shared" si="121"/>
        <v>0</v>
      </c>
      <c r="AR349" s="23">
        <f t="shared" si="122"/>
        <v>451</v>
      </c>
      <c r="AS349">
        <f t="shared" si="127"/>
        <v>446</v>
      </c>
      <c r="AT349" s="21">
        <f t="shared" si="128"/>
        <v>452</v>
      </c>
      <c r="AU349" s="21"/>
      <c r="AV349" s="21"/>
      <c r="AW349" s="21"/>
    </row>
    <row r="350" spans="1:49" x14ac:dyDescent="0.2">
      <c r="A350">
        <v>197</v>
      </c>
      <c r="E350">
        <f t="shared" si="123"/>
        <v>1</v>
      </c>
      <c r="J350" t="str">
        <f t="shared" si="130"/>
        <v>10</v>
      </c>
      <c r="K350" t="str">
        <f t="shared" si="131"/>
        <v>29</v>
      </c>
      <c r="L350" t="str">
        <f t="shared" si="132"/>
        <v>10</v>
      </c>
      <c r="M350" s="6" t="str">
        <f t="shared" si="133"/>
        <v>28</v>
      </c>
      <c r="N350" t="str">
        <f t="shared" si="129"/>
        <v>Away</v>
      </c>
      <c r="O350">
        <v>23</v>
      </c>
      <c r="P350" t="s">
        <v>425</v>
      </c>
      <c r="Y350" t="str">
        <f t="shared" si="113"/>
        <v/>
      </c>
      <c r="Z350" t="str">
        <f t="shared" si="114"/>
        <v/>
      </c>
      <c r="AC350" t="str">
        <f t="shared" si="115"/>
        <v>Zone_Entry_Exit</v>
      </c>
      <c r="AD350" t="str">
        <f t="shared" si="116"/>
        <v>Zone_Entry</v>
      </c>
      <c r="AE350" t="str">
        <f t="shared" si="117"/>
        <v>ZoneEntry-Rush</v>
      </c>
      <c r="AF350" t="str">
        <f t="shared" si="118"/>
        <v>Defensive</v>
      </c>
      <c r="AG350">
        <f t="shared" si="124"/>
        <v>18981</v>
      </c>
      <c r="AH350" t="str">
        <f t="shared" si="125"/>
        <v>Nelson</v>
      </c>
      <c r="AI350" t="str">
        <f t="shared" si="126"/>
        <v>Velodrome</v>
      </c>
      <c r="AJ350" s="18">
        <f t="shared" si="119"/>
        <v>1</v>
      </c>
      <c r="AP350" s="18">
        <f t="shared" si="120"/>
        <v>0</v>
      </c>
      <c r="AQ350">
        <f t="shared" si="121"/>
        <v>0</v>
      </c>
      <c r="AR350" s="23">
        <f t="shared" si="122"/>
        <v>451</v>
      </c>
      <c r="AS350">
        <f t="shared" si="127"/>
        <v>446</v>
      </c>
      <c r="AT350" s="21">
        <f t="shared" si="128"/>
        <v>452</v>
      </c>
      <c r="AU350" s="21"/>
      <c r="AV350" s="21"/>
      <c r="AW350" s="21"/>
    </row>
    <row r="351" spans="1:49" x14ac:dyDescent="0.2">
      <c r="A351">
        <v>198</v>
      </c>
      <c r="E351">
        <f t="shared" si="123"/>
        <v>1</v>
      </c>
      <c r="F351" s="5" t="s">
        <v>485</v>
      </c>
      <c r="G351" s="5" t="s">
        <v>500</v>
      </c>
      <c r="J351" t="str">
        <f t="shared" si="130"/>
        <v>10</v>
      </c>
      <c r="K351" t="str">
        <f t="shared" si="131"/>
        <v>28</v>
      </c>
      <c r="L351" t="str">
        <f t="shared" si="132"/>
        <v/>
      </c>
      <c r="M351" s="6" t="str">
        <f t="shared" si="133"/>
        <v/>
      </c>
      <c r="N351" t="s">
        <v>178</v>
      </c>
      <c r="O351">
        <v>80</v>
      </c>
      <c r="P351" t="s">
        <v>424</v>
      </c>
      <c r="Q351" t="s">
        <v>247</v>
      </c>
      <c r="R351" t="s">
        <v>446</v>
      </c>
      <c r="S351" t="s">
        <v>158</v>
      </c>
      <c r="Y351" t="str">
        <f t="shared" si="113"/>
        <v/>
      </c>
      <c r="Z351" t="str">
        <f t="shared" si="114"/>
        <v/>
      </c>
      <c r="AC351" t="str">
        <f t="shared" si="115"/>
        <v>Play</v>
      </c>
      <c r="AD351" t="str">
        <f t="shared" si="116"/>
        <v>Play_Defensive</v>
      </c>
      <c r="AE351" t="str">
        <f t="shared" si="117"/>
        <v>PokeCheck</v>
      </c>
      <c r="AF351" t="str">
        <f t="shared" si="118"/>
        <v>Defensive</v>
      </c>
      <c r="AG351">
        <f t="shared" si="124"/>
        <v>18981</v>
      </c>
      <c r="AH351" t="str">
        <f t="shared" si="125"/>
        <v>Nelson</v>
      </c>
      <c r="AI351" t="str">
        <f t="shared" si="126"/>
        <v>Velodrome</v>
      </c>
      <c r="AJ351" s="18">
        <f t="shared" si="119"/>
        <v>0</v>
      </c>
      <c r="AP351" s="18">
        <f t="shared" si="120"/>
        <v>0</v>
      </c>
      <c r="AQ351">
        <f t="shared" si="121"/>
        <v>0</v>
      </c>
      <c r="AR351" s="23">
        <f t="shared" si="122"/>
        <v>452</v>
      </c>
      <c r="AS351">
        <f t="shared" si="127"/>
        <v>447</v>
      </c>
      <c r="AT351" s="21">
        <f t="shared" si="128"/>
        <v>452</v>
      </c>
      <c r="AU351" s="21"/>
      <c r="AV351" s="21"/>
      <c r="AW351" s="21"/>
    </row>
    <row r="352" spans="1:49" x14ac:dyDescent="0.2">
      <c r="A352">
        <v>198</v>
      </c>
      <c r="E352">
        <f t="shared" si="123"/>
        <v>1</v>
      </c>
      <c r="J352" t="str">
        <f t="shared" si="130"/>
        <v>10</v>
      </c>
      <c r="K352" t="str">
        <f t="shared" si="131"/>
        <v>28</v>
      </c>
      <c r="L352" t="str">
        <f t="shared" si="132"/>
        <v/>
      </c>
      <c r="M352" s="6" t="str">
        <f t="shared" si="133"/>
        <v/>
      </c>
      <c r="N352" t="str">
        <f t="shared" si="129"/>
        <v>Home</v>
      </c>
      <c r="O352">
        <v>24</v>
      </c>
      <c r="P352" t="s">
        <v>425</v>
      </c>
      <c r="Y352" t="str">
        <f t="shared" si="113"/>
        <v/>
      </c>
      <c r="Z352" t="str">
        <f t="shared" si="114"/>
        <v/>
      </c>
      <c r="AC352" t="str">
        <f t="shared" si="115"/>
        <v>Play</v>
      </c>
      <c r="AD352" t="str">
        <f t="shared" si="116"/>
        <v>Play_Defensive</v>
      </c>
      <c r="AE352" t="str">
        <f t="shared" si="117"/>
        <v>PokeCheck</v>
      </c>
      <c r="AF352" t="str">
        <f t="shared" si="118"/>
        <v>Offensive</v>
      </c>
      <c r="AG352">
        <f t="shared" si="124"/>
        <v>18981</v>
      </c>
      <c r="AH352" t="str">
        <f t="shared" si="125"/>
        <v>Nelson</v>
      </c>
      <c r="AI352" t="str">
        <f t="shared" si="126"/>
        <v>Velodrome</v>
      </c>
      <c r="AJ352" s="18">
        <f t="shared" si="119"/>
        <v>0</v>
      </c>
      <c r="AP352" s="18">
        <f t="shared" si="120"/>
        <v>0</v>
      </c>
      <c r="AQ352">
        <f t="shared" si="121"/>
        <v>0</v>
      </c>
      <c r="AR352" s="23">
        <f t="shared" si="122"/>
        <v>452</v>
      </c>
      <c r="AS352">
        <f t="shared" si="127"/>
        <v>447</v>
      </c>
      <c r="AT352" s="21">
        <f t="shared" si="128"/>
        <v>452</v>
      </c>
      <c r="AU352" s="21"/>
      <c r="AV352" s="21"/>
      <c r="AW352" s="21"/>
    </row>
    <row r="353" spans="1:49" x14ac:dyDescent="0.2">
      <c r="A353">
        <v>199</v>
      </c>
      <c r="E353">
        <f t="shared" si="123"/>
        <v>1</v>
      </c>
      <c r="F353" s="5" t="s">
        <v>485</v>
      </c>
      <c r="G353" s="5" t="s">
        <v>493</v>
      </c>
      <c r="H353" s="5" t="s">
        <v>485</v>
      </c>
      <c r="I353" s="7" t="s">
        <v>490</v>
      </c>
      <c r="J353" t="str">
        <f t="shared" si="130"/>
        <v>10</v>
      </c>
      <c r="K353" t="str">
        <f t="shared" si="131"/>
        <v>21</v>
      </c>
      <c r="L353" t="str">
        <f t="shared" si="132"/>
        <v>10</v>
      </c>
      <c r="M353" s="6" t="str">
        <f t="shared" si="133"/>
        <v>18</v>
      </c>
      <c r="N353" t="s">
        <v>179</v>
      </c>
      <c r="O353">
        <v>42</v>
      </c>
      <c r="P353" t="s">
        <v>424</v>
      </c>
      <c r="Q353" t="s">
        <v>15</v>
      </c>
      <c r="Y353" t="str">
        <f t="shared" si="113"/>
        <v/>
      </c>
      <c r="Z353" t="str">
        <f t="shared" si="114"/>
        <v/>
      </c>
      <c r="AC353" t="str">
        <f t="shared" si="115"/>
        <v>Possession</v>
      </c>
      <c r="AD353" t="str">
        <f t="shared" si="116"/>
        <v/>
      </c>
      <c r="AE353" t="str">
        <f t="shared" si="117"/>
        <v/>
      </c>
      <c r="AF353" t="str">
        <f t="shared" si="118"/>
        <v>Offensive</v>
      </c>
      <c r="AG353">
        <f t="shared" si="124"/>
        <v>18981</v>
      </c>
      <c r="AH353" t="str">
        <f t="shared" si="125"/>
        <v>Nelson</v>
      </c>
      <c r="AI353" t="str">
        <f t="shared" si="126"/>
        <v>Velodrome</v>
      </c>
      <c r="AJ353" s="18">
        <f t="shared" si="119"/>
        <v>3</v>
      </c>
      <c r="AP353" s="18">
        <f t="shared" si="120"/>
        <v>0</v>
      </c>
      <c r="AQ353">
        <f t="shared" si="121"/>
        <v>0</v>
      </c>
      <c r="AR353" s="23">
        <f t="shared" si="122"/>
        <v>459</v>
      </c>
      <c r="AS353">
        <f t="shared" si="127"/>
        <v>454</v>
      </c>
      <c r="AT353" s="21">
        <f t="shared" si="128"/>
        <v>462</v>
      </c>
      <c r="AU353" s="21"/>
      <c r="AV353" s="21"/>
      <c r="AW353" s="21"/>
    </row>
    <row r="354" spans="1:49" x14ac:dyDescent="0.2">
      <c r="A354">
        <v>199</v>
      </c>
      <c r="E354">
        <f t="shared" si="123"/>
        <v>1</v>
      </c>
      <c r="J354" t="str">
        <f t="shared" si="130"/>
        <v>10</v>
      </c>
      <c r="K354" t="str">
        <f t="shared" si="131"/>
        <v>21</v>
      </c>
      <c r="L354" t="str">
        <f t="shared" si="132"/>
        <v>10</v>
      </c>
      <c r="M354" s="6" t="str">
        <f t="shared" si="133"/>
        <v>18</v>
      </c>
      <c r="N354" t="str">
        <f t="shared" si="129"/>
        <v>Away</v>
      </c>
      <c r="O354">
        <v>23</v>
      </c>
      <c r="P354" t="s">
        <v>424</v>
      </c>
      <c r="Y354" t="str">
        <f t="shared" si="113"/>
        <v/>
      </c>
      <c r="Z354" t="str">
        <f t="shared" si="114"/>
        <v/>
      </c>
      <c r="AC354" t="str">
        <f t="shared" si="115"/>
        <v>Possession</v>
      </c>
      <c r="AD354" t="str">
        <f t="shared" si="116"/>
        <v/>
      </c>
      <c r="AE354" t="str">
        <f t="shared" si="117"/>
        <v/>
      </c>
      <c r="AF354" t="str">
        <f t="shared" si="118"/>
        <v>Offensive</v>
      </c>
      <c r="AG354">
        <f t="shared" si="124"/>
        <v>18981</v>
      </c>
      <c r="AH354" t="str">
        <f t="shared" si="125"/>
        <v>Nelson</v>
      </c>
      <c r="AI354" t="str">
        <f t="shared" si="126"/>
        <v>Velodrome</v>
      </c>
      <c r="AJ354" s="18">
        <f t="shared" si="119"/>
        <v>3</v>
      </c>
      <c r="AP354" s="18">
        <f t="shared" si="120"/>
        <v>0</v>
      </c>
      <c r="AQ354">
        <f t="shared" si="121"/>
        <v>0</v>
      </c>
      <c r="AR354" s="23">
        <f t="shared" si="122"/>
        <v>459</v>
      </c>
      <c r="AS354">
        <f t="shared" si="127"/>
        <v>454</v>
      </c>
      <c r="AT354" s="21">
        <f t="shared" si="128"/>
        <v>462</v>
      </c>
      <c r="AU354" s="21"/>
      <c r="AV354" s="21"/>
      <c r="AW354" s="21"/>
    </row>
    <row r="355" spans="1:49" x14ac:dyDescent="0.2">
      <c r="A355">
        <v>200</v>
      </c>
      <c r="E355">
        <f t="shared" si="123"/>
        <v>1</v>
      </c>
      <c r="F355" s="5" t="s">
        <v>485</v>
      </c>
      <c r="G355" s="5" t="s">
        <v>490</v>
      </c>
      <c r="J355" t="str">
        <f t="shared" si="130"/>
        <v>10</v>
      </c>
      <c r="K355" t="str">
        <f t="shared" si="131"/>
        <v>18</v>
      </c>
      <c r="L355" t="str">
        <f t="shared" si="132"/>
        <v/>
      </c>
      <c r="M355" s="6" t="str">
        <f t="shared" si="133"/>
        <v/>
      </c>
      <c r="N355" t="s">
        <v>179</v>
      </c>
      <c r="O355">
        <v>42</v>
      </c>
      <c r="P355" t="s">
        <v>424</v>
      </c>
      <c r="Q355" t="s">
        <v>10</v>
      </c>
      <c r="R355" t="s">
        <v>190</v>
      </c>
      <c r="S355" t="s">
        <v>75</v>
      </c>
      <c r="Y355" t="str">
        <f t="shared" si="113"/>
        <v/>
      </c>
      <c r="Z355" t="str">
        <f t="shared" si="114"/>
        <v/>
      </c>
      <c r="AC355" t="str">
        <f t="shared" si="115"/>
        <v>Turnover</v>
      </c>
      <c r="AD355" t="str">
        <f t="shared" si="116"/>
        <v>Turnover_Giveaway</v>
      </c>
      <c r="AE355" t="str">
        <f t="shared" si="117"/>
        <v>Giveaway-PassIntercepted</v>
      </c>
      <c r="AF355" t="str">
        <f t="shared" si="118"/>
        <v>Offensive</v>
      </c>
      <c r="AG355">
        <f t="shared" si="124"/>
        <v>18981</v>
      </c>
      <c r="AH355" t="str">
        <f t="shared" si="125"/>
        <v>Nelson</v>
      </c>
      <c r="AI355" t="str">
        <f t="shared" si="126"/>
        <v>Velodrome</v>
      </c>
      <c r="AJ355" s="18">
        <f t="shared" si="119"/>
        <v>0</v>
      </c>
      <c r="AP355" s="18">
        <f t="shared" si="120"/>
        <v>0</v>
      </c>
      <c r="AQ355">
        <f t="shared" si="121"/>
        <v>0</v>
      </c>
      <c r="AR355" s="23">
        <f t="shared" si="122"/>
        <v>462</v>
      </c>
      <c r="AS355">
        <f t="shared" si="127"/>
        <v>457</v>
      </c>
      <c r="AT355" s="21">
        <f t="shared" si="128"/>
        <v>462</v>
      </c>
      <c r="AU355" s="21"/>
      <c r="AV355" s="21"/>
      <c r="AW355" s="21"/>
    </row>
    <row r="356" spans="1:49" x14ac:dyDescent="0.2">
      <c r="A356">
        <v>200</v>
      </c>
      <c r="E356">
        <f t="shared" si="123"/>
        <v>1</v>
      </c>
      <c r="J356" t="str">
        <f t="shared" si="130"/>
        <v>10</v>
      </c>
      <c r="K356" t="str">
        <f t="shared" si="131"/>
        <v>18</v>
      </c>
      <c r="L356" t="str">
        <f t="shared" si="132"/>
        <v/>
      </c>
      <c r="M356" s="6" t="str">
        <f t="shared" si="133"/>
        <v/>
      </c>
      <c r="N356" t="str">
        <f t="shared" si="129"/>
        <v>Away</v>
      </c>
      <c r="O356">
        <v>16</v>
      </c>
      <c r="P356" t="s">
        <v>425</v>
      </c>
      <c r="Y356" t="str">
        <f t="shared" si="113"/>
        <v/>
      </c>
      <c r="Z356" t="str">
        <f t="shared" si="114"/>
        <v/>
      </c>
      <c r="AC356" t="str">
        <f t="shared" si="115"/>
        <v>Turnover</v>
      </c>
      <c r="AD356" t="str">
        <f t="shared" si="116"/>
        <v>Turnover_Giveaway</v>
      </c>
      <c r="AE356" t="str">
        <f t="shared" si="117"/>
        <v>Giveaway-PassIntercepted</v>
      </c>
      <c r="AF356" t="str">
        <f t="shared" si="118"/>
        <v>Defensive</v>
      </c>
      <c r="AG356">
        <f t="shared" si="124"/>
        <v>18981</v>
      </c>
      <c r="AH356" t="str">
        <f t="shared" si="125"/>
        <v>Nelson</v>
      </c>
      <c r="AI356" t="str">
        <f t="shared" si="126"/>
        <v>Velodrome</v>
      </c>
      <c r="AJ356" s="18">
        <f t="shared" si="119"/>
        <v>0</v>
      </c>
      <c r="AP356" s="18">
        <f t="shared" si="120"/>
        <v>0</v>
      </c>
      <c r="AQ356">
        <f t="shared" si="121"/>
        <v>0</v>
      </c>
      <c r="AR356" s="23">
        <f t="shared" si="122"/>
        <v>462</v>
      </c>
      <c r="AS356">
        <f t="shared" si="127"/>
        <v>457</v>
      </c>
      <c r="AT356" s="21">
        <f t="shared" si="128"/>
        <v>462</v>
      </c>
      <c r="AU356" s="21"/>
      <c r="AV356" s="21"/>
      <c r="AW356" s="21"/>
    </row>
    <row r="357" spans="1:49" x14ac:dyDescent="0.2">
      <c r="A357">
        <v>200</v>
      </c>
      <c r="E357">
        <f t="shared" si="123"/>
        <v>1</v>
      </c>
      <c r="J357" t="str">
        <f t="shared" si="130"/>
        <v>10</v>
      </c>
      <c r="K357" t="str">
        <f t="shared" si="131"/>
        <v>18</v>
      </c>
      <c r="L357" t="str">
        <f t="shared" si="132"/>
        <v/>
      </c>
      <c r="M357" s="6" t="str">
        <f t="shared" si="133"/>
        <v/>
      </c>
      <c r="N357" t="str">
        <f t="shared" si="129"/>
        <v>Away</v>
      </c>
      <c r="O357">
        <v>23</v>
      </c>
      <c r="P357" t="s">
        <v>425</v>
      </c>
      <c r="Y357" t="str">
        <f t="shared" si="113"/>
        <v/>
      </c>
      <c r="Z357" t="str">
        <f t="shared" si="114"/>
        <v/>
      </c>
      <c r="AC357" t="str">
        <f t="shared" si="115"/>
        <v>Turnover</v>
      </c>
      <c r="AD357" t="str">
        <f t="shared" si="116"/>
        <v>Turnover_Giveaway</v>
      </c>
      <c r="AE357" t="str">
        <f t="shared" si="117"/>
        <v>Giveaway-PassIntercepted</v>
      </c>
      <c r="AF357" t="str">
        <f t="shared" si="118"/>
        <v>Defensive</v>
      </c>
      <c r="AG357">
        <f t="shared" si="124"/>
        <v>18981</v>
      </c>
      <c r="AH357" t="str">
        <f t="shared" si="125"/>
        <v>Nelson</v>
      </c>
      <c r="AI357" t="str">
        <f t="shared" si="126"/>
        <v>Velodrome</v>
      </c>
      <c r="AJ357" s="18">
        <f t="shared" si="119"/>
        <v>0</v>
      </c>
      <c r="AP357" s="18">
        <f t="shared" si="120"/>
        <v>0</v>
      </c>
      <c r="AQ357">
        <f t="shared" si="121"/>
        <v>0</v>
      </c>
      <c r="AR357" s="23">
        <f t="shared" si="122"/>
        <v>462</v>
      </c>
      <c r="AS357">
        <f t="shared" si="127"/>
        <v>457</v>
      </c>
      <c r="AT357" s="21">
        <f t="shared" si="128"/>
        <v>462</v>
      </c>
      <c r="AU357" s="21"/>
      <c r="AV357" s="21"/>
      <c r="AW357" s="21"/>
    </row>
    <row r="358" spans="1:49" x14ac:dyDescent="0.2">
      <c r="A358">
        <v>201</v>
      </c>
      <c r="E358">
        <f t="shared" si="123"/>
        <v>1</v>
      </c>
      <c r="F358" s="5" t="s">
        <v>485</v>
      </c>
      <c r="G358" s="5" t="s">
        <v>472</v>
      </c>
      <c r="H358" s="5" t="s">
        <v>485</v>
      </c>
      <c r="I358" s="7" t="s">
        <v>489</v>
      </c>
      <c r="J358" t="str">
        <f t="shared" si="130"/>
        <v>10</v>
      </c>
      <c r="K358" t="str">
        <f t="shared" si="131"/>
        <v>17</v>
      </c>
      <c r="L358" t="str">
        <f t="shared" si="132"/>
        <v>10</v>
      </c>
      <c r="M358" s="6" t="str">
        <f t="shared" si="133"/>
        <v>14</v>
      </c>
      <c r="N358" t="s">
        <v>178</v>
      </c>
      <c r="O358">
        <v>16</v>
      </c>
      <c r="P358" t="s">
        <v>424</v>
      </c>
      <c r="Q358" t="s">
        <v>277</v>
      </c>
      <c r="R358" t="s">
        <v>201</v>
      </c>
      <c r="S358" t="s">
        <v>90</v>
      </c>
      <c r="Y358" t="str">
        <f t="shared" si="113"/>
        <v/>
      </c>
      <c r="Z358" t="str">
        <f t="shared" si="114"/>
        <v/>
      </c>
      <c r="AC358" t="str">
        <f t="shared" si="115"/>
        <v>Zone_Entry_Exit</v>
      </c>
      <c r="AD358" t="str">
        <f t="shared" si="116"/>
        <v>Zone_Exit</v>
      </c>
      <c r="AE358" t="str">
        <f t="shared" si="117"/>
        <v>ZoneExit-Rush</v>
      </c>
      <c r="AF358" t="str">
        <f t="shared" si="118"/>
        <v>Offensive</v>
      </c>
      <c r="AG358">
        <f t="shared" si="124"/>
        <v>18981</v>
      </c>
      <c r="AH358" t="str">
        <f t="shared" si="125"/>
        <v>Nelson</v>
      </c>
      <c r="AI358" t="str">
        <f t="shared" si="126"/>
        <v>Velodrome</v>
      </c>
      <c r="AJ358" s="18">
        <f t="shared" si="119"/>
        <v>3</v>
      </c>
      <c r="AP358" s="18">
        <f t="shared" si="120"/>
        <v>0</v>
      </c>
      <c r="AQ358">
        <f t="shared" si="121"/>
        <v>0</v>
      </c>
      <c r="AR358" s="23">
        <f t="shared" si="122"/>
        <v>463</v>
      </c>
      <c r="AS358">
        <f t="shared" si="127"/>
        <v>458</v>
      </c>
      <c r="AT358" s="21">
        <f t="shared" si="128"/>
        <v>466</v>
      </c>
      <c r="AU358" s="21"/>
      <c r="AV358" s="21"/>
      <c r="AW358" s="21"/>
    </row>
    <row r="359" spans="1:49" x14ac:dyDescent="0.2">
      <c r="A359">
        <v>202</v>
      </c>
      <c r="E359">
        <f t="shared" si="123"/>
        <v>1</v>
      </c>
      <c r="F359" s="5" t="s">
        <v>485</v>
      </c>
      <c r="G359" s="5" t="s">
        <v>489</v>
      </c>
      <c r="H359" s="5" t="s">
        <v>485</v>
      </c>
      <c r="I359" s="7" t="s">
        <v>487</v>
      </c>
      <c r="J359" t="str">
        <f t="shared" si="130"/>
        <v>10</v>
      </c>
      <c r="K359" t="str">
        <f t="shared" si="131"/>
        <v>14</v>
      </c>
      <c r="L359" t="str">
        <f t="shared" si="132"/>
        <v>10</v>
      </c>
      <c r="M359" s="6" t="str">
        <f t="shared" si="133"/>
        <v>12</v>
      </c>
      <c r="N359" t="s">
        <v>178</v>
      </c>
      <c r="O359">
        <v>16</v>
      </c>
      <c r="P359" t="s">
        <v>424</v>
      </c>
      <c r="Q359" t="s">
        <v>15</v>
      </c>
      <c r="Y359" t="str">
        <f t="shared" si="113"/>
        <v/>
      </c>
      <c r="Z359" t="str">
        <f t="shared" si="114"/>
        <v/>
      </c>
      <c r="AC359" t="str">
        <f t="shared" si="115"/>
        <v>Possession</v>
      </c>
      <c r="AD359" t="str">
        <f t="shared" si="116"/>
        <v/>
      </c>
      <c r="AE359" t="str">
        <f t="shared" si="117"/>
        <v/>
      </c>
      <c r="AF359" t="str">
        <f t="shared" si="118"/>
        <v>Offensive</v>
      </c>
      <c r="AG359">
        <f t="shared" si="124"/>
        <v>18981</v>
      </c>
      <c r="AH359" t="str">
        <f t="shared" si="125"/>
        <v>Nelson</v>
      </c>
      <c r="AI359" t="str">
        <f t="shared" si="126"/>
        <v>Velodrome</v>
      </c>
      <c r="AJ359" s="18">
        <f t="shared" si="119"/>
        <v>2</v>
      </c>
      <c r="AP359" s="18">
        <f t="shared" si="120"/>
        <v>0</v>
      </c>
      <c r="AQ359">
        <f t="shared" si="121"/>
        <v>0</v>
      </c>
      <c r="AR359" s="23">
        <f t="shared" si="122"/>
        <v>466</v>
      </c>
      <c r="AS359">
        <f t="shared" si="127"/>
        <v>461</v>
      </c>
      <c r="AT359" s="21">
        <f t="shared" si="128"/>
        <v>468</v>
      </c>
      <c r="AU359" s="21"/>
      <c r="AV359" s="21"/>
      <c r="AW359" s="21"/>
    </row>
    <row r="360" spans="1:49" x14ac:dyDescent="0.2">
      <c r="A360">
        <v>203</v>
      </c>
      <c r="E360">
        <f t="shared" si="123"/>
        <v>1</v>
      </c>
      <c r="F360" s="5" t="s">
        <v>485</v>
      </c>
      <c r="G360" s="5" t="s">
        <v>487</v>
      </c>
      <c r="H360" s="5" t="s">
        <v>485</v>
      </c>
      <c r="I360" s="7" t="s">
        <v>484</v>
      </c>
      <c r="J360" t="str">
        <f t="shared" si="130"/>
        <v>10</v>
      </c>
      <c r="K360" t="str">
        <f t="shared" si="131"/>
        <v>12</v>
      </c>
      <c r="L360" t="str">
        <f t="shared" si="132"/>
        <v>10</v>
      </c>
      <c r="M360" s="6" t="str">
        <f t="shared" si="133"/>
        <v>09</v>
      </c>
      <c r="N360" t="s">
        <v>178</v>
      </c>
      <c r="O360">
        <v>16</v>
      </c>
      <c r="P360" t="s">
        <v>424</v>
      </c>
      <c r="Q360" t="s">
        <v>277</v>
      </c>
      <c r="R360" t="s">
        <v>201</v>
      </c>
      <c r="S360" t="s">
        <v>90</v>
      </c>
      <c r="Y360" t="str">
        <f t="shared" si="113"/>
        <v/>
      </c>
      <c r="Z360" t="str">
        <f t="shared" si="114"/>
        <v/>
      </c>
      <c r="AC360" t="str">
        <f t="shared" si="115"/>
        <v>Zone_Entry_Exit</v>
      </c>
      <c r="AD360" t="str">
        <f t="shared" si="116"/>
        <v>Zone_Exit</v>
      </c>
      <c r="AE360" t="str">
        <f t="shared" si="117"/>
        <v>ZoneExit-Rush</v>
      </c>
      <c r="AF360" t="str">
        <f t="shared" si="118"/>
        <v>Offensive</v>
      </c>
      <c r="AG360">
        <f t="shared" si="124"/>
        <v>18981</v>
      </c>
      <c r="AH360" t="str">
        <f t="shared" si="125"/>
        <v>Nelson</v>
      </c>
      <c r="AI360" t="str">
        <f t="shared" si="126"/>
        <v>Velodrome</v>
      </c>
      <c r="AJ360" s="18">
        <f t="shared" si="119"/>
        <v>3</v>
      </c>
      <c r="AP360" s="18">
        <f t="shared" si="120"/>
        <v>0</v>
      </c>
      <c r="AQ360">
        <f t="shared" si="121"/>
        <v>0</v>
      </c>
      <c r="AR360" s="23">
        <f t="shared" si="122"/>
        <v>468</v>
      </c>
      <c r="AS360">
        <f t="shared" si="127"/>
        <v>463</v>
      </c>
      <c r="AT360" s="21">
        <f t="shared" si="128"/>
        <v>471</v>
      </c>
      <c r="AU360" s="21"/>
      <c r="AV360" s="21"/>
      <c r="AW360" s="21"/>
    </row>
    <row r="361" spans="1:49" x14ac:dyDescent="0.2">
      <c r="A361">
        <v>203</v>
      </c>
      <c r="E361">
        <f t="shared" si="123"/>
        <v>1</v>
      </c>
      <c r="J361" t="str">
        <f t="shared" si="130"/>
        <v>10</v>
      </c>
      <c r="K361" t="str">
        <f t="shared" si="131"/>
        <v>12</v>
      </c>
      <c r="L361" t="str">
        <f t="shared" si="132"/>
        <v>10</v>
      </c>
      <c r="M361" s="6" t="str">
        <f t="shared" si="133"/>
        <v>09</v>
      </c>
      <c r="N361" t="str">
        <f t="shared" si="129"/>
        <v>Home</v>
      </c>
      <c r="O361">
        <v>7</v>
      </c>
      <c r="P361" t="s">
        <v>424</v>
      </c>
      <c r="Y361" t="str">
        <f t="shared" si="113"/>
        <v/>
      </c>
      <c r="Z361" t="str">
        <f t="shared" si="114"/>
        <v/>
      </c>
      <c r="AC361" t="str">
        <f t="shared" si="115"/>
        <v>Zone_Entry_Exit</v>
      </c>
      <c r="AD361" t="str">
        <f t="shared" si="116"/>
        <v>Zone_Exit</v>
      </c>
      <c r="AE361" t="str">
        <f t="shared" si="117"/>
        <v>ZoneExit-Rush</v>
      </c>
      <c r="AF361" t="str">
        <f t="shared" si="118"/>
        <v>Offensive</v>
      </c>
      <c r="AG361">
        <f t="shared" si="124"/>
        <v>18981</v>
      </c>
      <c r="AH361" t="str">
        <f t="shared" si="125"/>
        <v>Nelson</v>
      </c>
      <c r="AI361" t="str">
        <f t="shared" si="126"/>
        <v>Velodrome</v>
      </c>
      <c r="AJ361" s="18">
        <f t="shared" si="119"/>
        <v>3</v>
      </c>
      <c r="AP361" s="18">
        <f t="shared" si="120"/>
        <v>0</v>
      </c>
      <c r="AQ361">
        <f t="shared" si="121"/>
        <v>0</v>
      </c>
      <c r="AR361" s="23">
        <f t="shared" si="122"/>
        <v>468</v>
      </c>
      <c r="AS361">
        <f t="shared" si="127"/>
        <v>463</v>
      </c>
      <c r="AT361" s="21">
        <f t="shared" si="128"/>
        <v>471</v>
      </c>
      <c r="AU361" s="21"/>
      <c r="AV361" s="21"/>
      <c r="AW361" s="21"/>
    </row>
    <row r="362" spans="1:49" x14ac:dyDescent="0.2">
      <c r="A362">
        <v>203</v>
      </c>
      <c r="E362">
        <f t="shared" si="123"/>
        <v>1</v>
      </c>
      <c r="J362" t="str">
        <f t="shared" si="130"/>
        <v>10</v>
      </c>
      <c r="K362" t="str">
        <f t="shared" si="131"/>
        <v>12</v>
      </c>
      <c r="L362" t="str">
        <f t="shared" si="132"/>
        <v>10</v>
      </c>
      <c r="M362" s="6" t="str">
        <f t="shared" si="133"/>
        <v>09</v>
      </c>
      <c r="N362" t="str">
        <f t="shared" si="129"/>
        <v>Home</v>
      </c>
      <c r="O362">
        <v>84</v>
      </c>
      <c r="P362" t="s">
        <v>425</v>
      </c>
      <c r="Y362" t="str">
        <f t="shared" si="113"/>
        <v/>
      </c>
      <c r="Z362" t="str">
        <f t="shared" si="114"/>
        <v/>
      </c>
      <c r="AC362" t="str">
        <f t="shared" si="115"/>
        <v>Zone_Entry_Exit</v>
      </c>
      <c r="AD362" t="str">
        <f t="shared" si="116"/>
        <v>Zone_Exit</v>
      </c>
      <c r="AE362" t="str">
        <f t="shared" si="117"/>
        <v>ZoneExit-Rush</v>
      </c>
      <c r="AF362" t="str">
        <f t="shared" si="118"/>
        <v>Defensive</v>
      </c>
      <c r="AG362">
        <f t="shared" si="124"/>
        <v>18981</v>
      </c>
      <c r="AH362" t="str">
        <f t="shared" si="125"/>
        <v>Nelson</v>
      </c>
      <c r="AI362" t="str">
        <f t="shared" si="126"/>
        <v>Velodrome</v>
      </c>
      <c r="AJ362" s="18">
        <f t="shared" si="119"/>
        <v>3</v>
      </c>
      <c r="AP362" s="18">
        <f t="shared" si="120"/>
        <v>0</v>
      </c>
      <c r="AQ362">
        <f t="shared" si="121"/>
        <v>0</v>
      </c>
      <c r="AR362" s="23">
        <f t="shared" si="122"/>
        <v>468</v>
      </c>
      <c r="AS362">
        <f t="shared" si="127"/>
        <v>463</v>
      </c>
      <c r="AT362" s="21">
        <f t="shared" si="128"/>
        <v>471</v>
      </c>
      <c r="AU362" s="21"/>
      <c r="AV362" s="21"/>
      <c r="AW362" s="21"/>
    </row>
    <row r="363" spans="1:49" x14ac:dyDescent="0.2">
      <c r="A363">
        <v>203</v>
      </c>
      <c r="E363">
        <f t="shared" si="123"/>
        <v>1</v>
      </c>
      <c r="J363" t="str">
        <f t="shared" si="130"/>
        <v>10</v>
      </c>
      <c r="K363" t="str">
        <f t="shared" si="131"/>
        <v>12</v>
      </c>
      <c r="L363" t="str">
        <f t="shared" si="132"/>
        <v>10</v>
      </c>
      <c r="M363" s="6" t="str">
        <f t="shared" si="133"/>
        <v>09</v>
      </c>
      <c r="N363" t="str">
        <f t="shared" si="129"/>
        <v>Home</v>
      </c>
      <c r="O363">
        <v>93</v>
      </c>
      <c r="P363" t="s">
        <v>425</v>
      </c>
      <c r="Y363" t="str">
        <f t="shared" si="113"/>
        <v/>
      </c>
      <c r="Z363" t="str">
        <f t="shared" si="114"/>
        <v/>
      </c>
      <c r="AC363" t="str">
        <f t="shared" si="115"/>
        <v>Zone_Entry_Exit</v>
      </c>
      <c r="AD363" t="str">
        <f t="shared" si="116"/>
        <v>Zone_Exit</v>
      </c>
      <c r="AE363" t="str">
        <f t="shared" si="117"/>
        <v>ZoneExit-Rush</v>
      </c>
      <c r="AF363" t="str">
        <f t="shared" si="118"/>
        <v>Defensive</v>
      </c>
      <c r="AG363">
        <f t="shared" si="124"/>
        <v>18981</v>
      </c>
      <c r="AH363" t="str">
        <f t="shared" si="125"/>
        <v>Nelson</v>
      </c>
      <c r="AI363" t="str">
        <f t="shared" si="126"/>
        <v>Velodrome</v>
      </c>
      <c r="AJ363" s="18">
        <f t="shared" si="119"/>
        <v>3</v>
      </c>
      <c r="AP363" s="18">
        <f t="shared" si="120"/>
        <v>0</v>
      </c>
      <c r="AQ363">
        <f t="shared" si="121"/>
        <v>0</v>
      </c>
      <c r="AR363" s="23">
        <f t="shared" si="122"/>
        <v>468</v>
      </c>
      <c r="AS363">
        <f t="shared" si="127"/>
        <v>463</v>
      </c>
      <c r="AT363" s="21">
        <f t="shared" si="128"/>
        <v>471</v>
      </c>
      <c r="AU363" s="21"/>
      <c r="AV363" s="21"/>
      <c r="AW363" s="21"/>
    </row>
    <row r="364" spans="1:49" x14ac:dyDescent="0.2">
      <c r="A364">
        <v>204</v>
      </c>
      <c r="E364">
        <f t="shared" si="123"/>
        <v>1</v>
      </c>
      <c r="F364" s="5" t="s">
        <v>485</v>
      </c>
      <c r="G364" s="5" t="s">
        <v>484</v>
      </c>
      <c r="J364" t="str">
        <f t="shared" si="130"/>
        <v>10</v>
      </c>
      <c r="K364" t="str">
        <f t="shared" si="131"/>
        <v>09</v>
      </c>
      <c r="L364" t="str">
        <f t="shared" si="132"/>
        <v/>
      </c>
      <c r="M364" s="6" t="str">
        <f t="shared" si="133"/>
        <v/>
      </c>
      <c r="N364" t="s">
        <v>178</v>
      </c>
      <c r="O364">
        <v>16</v>
      </c>
      <c r="P364" t="s">
        <v>424</v>
      </c>
      <c r="Q364" t="s">
        <v>7</v>
      </c>
      <c r="R364" t="s">
        <v>198</v>
      </c>
      <c r="S364" t="s">
        <v>53</v>
      </c>
      <c r="Y364" t="str">
        <f t="shared" si="113"/>
        <v/>
      </c>
      <c r="Z364" t="str">
        <f t="shared" si="114"/>
        <v/>
      </c>
      <c r="AC364" t="str">
        <f t="shared" si="115"/>
        <v>Shot</v>
      </c>
      <c r="AD364" t="str">
        <f t="shared" si="116"/>
        <v>Shot_Missed</v>
      </c>
      <c r="AE364" t="str">
        <f t="shared" si="117"/>
        <v>Shot-Wrist</v>
      </c>
      <c r="AF364" t="str">
        <f t="shared" si="118"/>
        <v>Offensive</v>
      </c>
      <c r="AG364">
        <f t="shared" si="124"/>
        <v>18981</v>
      </c>
      <c r="AH364" t="str">
        <f t="shared" si="125"/>
        <v>Nelson</v>
      </c>
      <c r="AI364" t="str">
        <f t="shared" si="126"/>
        <v>Velodrome</v>
      </c>
      <c r="AJ364" s="18">
        <f t="shared" si="119"/>
        <v>0</v>
      </c>
      <c r="AP364" s="18">
        <f t="shared" si="120"/>
        <v>0</v>
      </c>
      <c r="AQ364">
        <f t="shared" si="121"/>
        <v>0</v>
      </c>
      <c r="AR364" s="23">
        <f t="shared" si="122"/>
        <v>471</v>
      </c>
      <c r="AS364">
        <f t="shared" si="127"/>
        <v>466</v>
      </c>
      <c r="AT364" s="21">
        <f t="shared" si="128"/>
        <v>471</v>
      </c>
      <c r="AU364" s="21"/>
      <c r="AV364" s="21"/>
      <c r="AW364" s="21"/>
    </row>
    <row r="365" spans="1:49" x14ac:dyDescent="0.2">
      <c r="A365">
        <v>204</v>
      </c>
      <c r="E365">
        <f t="shared" si="123"/>
        <v>1</v>
      </c>
      <c r="J365" t="str">
        <f t="shared" si="130"/>
        <v>10</v>
      </c>
      <c r="K365" t="str">
        <f t="shared" si="131"/>
        <v>09</v>
      </c>
      <c r="L365" t="str">
        <f t="shared" si="132"/>
        <v/>
      </c>
      <c r="M365" s="6" t="str">
        <f t="shared" si="133"/>
        <v/>
      </c>
      <c r="N365" t="str">
        <f t="shared" si="129"/>
        <v>Home</v>
      </c>
      <c r="O365">
        <v>84</v>
      </c>
      <c r="P365" t="s">
        <v>425</v>
      </c>
      <c r="Y365" t="str">
        <f t="shared" si="113"/>
        <v/>
      </c>
      <c r="Z365" t="str">
        <f t="shared" si="114"/>
        <v/>
      </c>
      <c r="AC365" t="str">
        <f t="shared" si="115"/>
        <v>Shot</v>
      </c>
      <c r="AD365" t="str">
        <f t="shared" si="116"/>
        <v>Shot_Missed</v>
      </c>
      <c r="AE365" t="str">
        <f t="shared" si="117"/>
        <v>Shot-Wrist</v>
      </c>
      <c r="AF365" t="str">
        <f t="shared" si="118"/>
        <v>Defensive</v>
      </c>
      <c r="AG365">
        <f t="shared" si="124"/>
        <v>18981</v>
      </c>
      <c r="AH365" t="str">
        <f t="shared" si="125"/>
        <v>Nelson</v>
      </c>
      <c r="AI365" t="str">
        <f t="shared" si="126"/>
        <v>Velodrome</v>
      </c>
      <c r="AJ365" s="18">
        <f t="shared" si="119"/>
        <v>0</v>
      </c>
      <c r="AP365" s="18">
        <f t="shared" si="120"/>
        <v>0</v>
      </c>
      <c r="AQ365">
        <f t="shared" si="121"/>
        <v>0</v>
      </c>
      <c r="AR365" s="23">
        <f t="shared" si="122"/>
        <v>471</v>
      </c>
      <c r="AS365">
        <f t="shared" si="127"/>
        <v>466</v>
      </c>
      <c r="AT365" s="21">
        <f t="shared" si="128"/>
        <v>471</v>
      </c>
      <c r="AU365" s="21"/>
      <c r="AV365" s="21"/>
      <c r="AW365" s="21"/>
    </row>
    <row r="366" spans="1:49" x14ac:dyDescent="0.2">
      <c r="A366">
        <v>204</v>
      </c>
      <c r="E366">
        <f t="shared" si="123"/>
        <v>1</v>
      </c>
      <c r="J366" t="str">
        <f t="shared" si="130"/>
        <v>10</v>
      </c>
      <c r="K366" t="str">
        <f t="shared" si="131"/>
        <v>09</v>
      </c>
      <c r="L366" t="str">
        <f t="shared" si="132"/>
        <v/>
      </c>
      <c r="M366" s="6" t="str">
        <f t="shared" si="133"/>
        <v/>
      </c>
      <c r="N366" t="str">
        <f t="shared" si="129"/>
        <v>Home</v>
      </c>
      <c r="O366">
        <v>39</v>
      </c>
      <c r="P366" t="s">
        <v>425</v>
      </c>
      <c r="Y366" t="str">
        <f t="shared" si="113"/>
        <v/>
      </c>
      <c r="Z366" t="str">
        <f t="shared" si="114"/>
        <v/>
      </c>
      <c r="AC366" t="str">
        <f t="shared" si="115"/>
        <v>Shot</v>
      </c>
      <c r="AD366" t="str">
        <f t="shared" si="116"/>
        <v>Shot_Missed</v>
      </c>
      <c r="AE366" t="str">
        <f t="shared" si="117"/>
        <v>Shot-Wrist</v>
      </c>
      <c r="AF366" t="str">
        <f t="shared" si="118"/>
        <v>Defensive</v>
      </c>
      <c r="AG366">
        <f t="shared" si="124"/>
        <v>18981</v>
      </c>
      <c r="AH366" t="str">
        <f t="shared" si="125"/>
        <v>Nelson</v>
      </c>
      <c r="AI366" t="str">
        <f t="shared" si="126"/>
        <v>Velodrome</v>
      </c>
      <c r="AJ366" s="18">
        <f t="shared" si="119"/>
        <v>0</v>
      </c>
      <c r="AP366" s="18">
        <f t="shared" si="120"/>
        <v>0</v>
      </c>
      <c r="AQ366">
        <f t="shared" si="121"/>
        <v>0</v>
      </c>
      <c r="AR366" s="23">
        <f t="shared" si="122"/>
        <v>471</v>
      </c>
      <c r="AS366">
        <f t="shared" si="127"/>
        <v>466</v>
      </c>
      <c r="AT366" s="21">
        <f t="shared" si="128"/>
        <v>471</v>
      </c>
      <c r="AU366" s="21"/>
      <c r="AV366" s="21"/>
      <c r="AW366" s="21"/>
    </row>
    <row r="367" spans="1:49" x14ac:dyDescent="0.2">
      <c r="A367">
        <v>205</v>
      </c>
      <c r="E367">
        <f t="shared" si="123"/>
        <v>1</v>
      </c>
      <c r="F367" s="5" t="s">
        <v>485</v>
      </c>
      <c r="G367" s="5" t="s">
        <v>482</v>
      </c>
      <c r="J367" t="str">
        <f t="shared" si="130"/>
        <v>10</v>
      </c>
      <c r="K367" t="str">
        <f t="shared" si="131"/>
        <v>07</v>
      </c>
      <c r="L367" t="str">
        <f t="shared" si="132"/>
        <v/>
      </c>
      <c r="M367" s="6" t="str">
        <f t="shared" si="133"/>
        <v/>
      </c>
      <c r="N367" t="s">
        <v>178</v>
      </c>
      <c r="O367">
        <v>16</v>
      </c>
      <c r="P367" t="s">
        <v>424</v>
      </c>
      <c r="Q367" t="s">
        <v>8</v>
      </c>
      <c r="R367" t="s">
        <v>209</v>
      </c>
      <c r="S367" t="s">
        <v>70</v>
      </c>
      <c r="Y367" t="str">
        <f t="shared" si="113"/>
        <v/>
      </c>
      <c r="Z367" t="str">
        <f t="shared" si="114"/>
        <v/>
      </c>
      <c r="AC367" t="str">
        <f t="shared" si="115"/>
        <v>Pass</v>
      </c>
      <c r="AD367" t="str">
        <f t="shared" si="116"/>
        <v>Pass_Deflected</v>
      </c>
      <c r="AE367" t="str">
        <f t="shared" si="117"/>
        <v>Pass-Forehand</v>
      </c>
      <c r="AF367" t="str">
        <f t="shared" si="118"/>
        <v>Offensive</v>
      </c>
      <c r="AG367">
        <f t="shared" si="124"/>
        <v>18981</v>
      </c>
      <c r="AH367" t="str">
        <f t="shared" si="125"/>
        <v>Nelson</v>
      </c>
      <c r="AI367" t="str">
        <f t="shared" si="126"/>
        <v>Velodrome</v>
      </c>
      <c r="AJ367" s="18">
        <f t="shared" si="119"/>
        <v>0</v>
      </c>
      <c r="AP367" s="18">
        <f t="shared" si="120"/>
        <v>0</v>
      </c>
      <c r="AQ367">
        <f t="shared" si="121"/>
        <v>0</v>
      </c>
      <c r="AR367" s="23">
        <f t="shared" si="122"/>
        <v>473</v>
      </c>
      <c r="AS367">
        <f t="shared" si="127"/>
        <v>468</v>
      </c>
      <c r="AT367" s="21">
        <f t="shared" si="128"/>
        <v>473</v>
      </c>
      <c r="AU367" s="21"/>
      <c r="AV367" s="21"/>
      <c r="AW367" s="21"/>
    </row>
    <row r="368" spans="1:49" x14ac:dyDescent="0.2">
      <c r="A368">
        <v>205</v>
      </c>
      <c r="E368">
        <f t="shared" si="123"/>
        <v>1</v>
      </c>
      <c r="J368" t="str">
        <f t="shared" si="130"/>
        <v>10</v>
      </c>
      <c r="K368" t="str">
        <f t="shared" si="131"/>
        <v>07</v>
      </c>
      <c r="L368" t="str">
        <f t="shared" si="132"/>
        <v/>
      </c>
      <c r="M368" s="6" t="str">
        <f t="shared" si="133"/>
        <v/>
      </c>
      <c r="N368" t="str">
        <f t="shared" si="129"/>
        <v>Home</v>
      </c>
      <c r="O368">
        <v>93</v>
      </c>
      <c r="P368" t="s">
        <v>425</v>
      </c>
      <c r="Y368" t="str">
        <f t="shared" si="113"/>
        <v/>
      </c>
      <c r="Z368" t="str">
        <f t="shared" si="114"/>
        <v/>
      </c>
      <c r="AC368" t="str">
        <f t="shared" si="115"/>
        <v>Pass</v>
      </c>
      <c r="AD368" t="str">
        <f t="shared" si="116"/>
        <v>Pass_Deflected</v>
      </c>
      <c r="AE368" t="str">
        <f t="shared" si="117"/>
        <v>Pass-Forehand</v>
      </c>
      <c r="AF368" t="str">
        <f t="shared" si="118"/>
        <v>Defensive</v>
      </c>
      <c r="AG368">
        <f t="shared" si="124"/>
        <v>18981</v>
      </c>
      <c r="AH368" t="str">
        <f t="shared" si="125"/>
        <v>Nelson</v>
      </c>
      <c r="AI368" t="str">
        <f t="shared" si="126"/>
        <v>Velodrome</v>
      </c>
      <c r="AJ368" s="18">
        <f t="shared" si="119"/>
        <v>0</v>
      </c>
      <c r="AP368" s="18">
        <f t="shared" si="120"/>
        <v>0</v>
      </c>
      <c r="AQ368">
        <f t="shared" si="121"/>
        <v>0</v>
      </c>
      <c r="AR368" s="23">
        <f t="shared" si="122"/>
        <v>473</v>
      </c>
      <c r="AS368">
        <f t="shared" si="127"/>
        <v>468</v>
      </c>
      <c r="AT368" s="21">
        <f t="shared" si="128"/>
        <v>473</v>
      </c>
      <c r="AU368" s="21"/>
      <c r="AV368" s="21"/>
      <c r="AW368" s="21"/>
    </row>
    <row r="369" spans="1:49" x14ac:dyDescent="0.2">
      <c r="A369">
        <v>205</v>
      </c>
      <c r="E369">
        <f t="shared" si="123"/>
        <v>1</v>
      </c>
      <c r="J369" t="str">
        <f t="shared" si="130"/>
        <v>10</v>
      </c>
      <c r="K369" t="str">
        <f t="shared" si="131"/>
        <v>07</v>
      </c>
      <c r="L369" t="str">
        <f t="shared" si="132"/>
        <v/>
      </c>
      <c r="M369" s="6" t="str">
        <f t="shared" si="133"/>
        <v/>
      </c>
      <c r="N369" t="str">
        <f t="shared" si="129"/>
        <v>Home</v>
      </c>
      <c r="O369">
        <v>84</v>
      </c>
      <c r="P369" t="s">
        <v>425</v>
      </c>
      <c r="Y369" t="str">
        <f t="shared" si="113"/>
        <v/>
      </c>
      <c r="Z369" t="str">
        <f t="shared" si="114"/>
        <v/>
      </c>
      <c r="AC369" t="str">
        <f t="shared" si="115"/>
        <v>Pass</v>
      </c>
      <c r="AD369" t="str">
        <f t="shared" si="116"/>
        <v>Pass_Deflected</v>
      </c>
      <c r="AE369" t="str">
        <f t="shared" si="117"/>
        <v>Pass-Forehand</v>
      </c>
      <c r="AF369" t="str">
        <f t="shared" si="118"/>
        <v>Defensive</v>
      </c>
      <c r="AG369">
        <f t="shared" si="124"/>
        <v>18981</v>
      </c>
      <c r="AH369" t="str">
        <f t="shared" si="125"/>
        <v>Nelson</v>
      </c>
      <c r="AI369" t="str">
        <f t="shared" si="126"/>
        <v>Velodrome</v>
      </c>
      <c r="AJ369" s="18">
        <f t="shared" si="119"/>
        <v>0</v>
      </c>
      <c r="AP369" s="18">
        <f t="shared" si="120"/>
        <v>0</v>
      </c>
      <c r="AQ369">
        <f t="shared" si="121"/>
        <v>0</v>
      </c>
      <c r="AR369" s="23">
        <f t="shared" si="122"/>
        <v>473</v>
      </c>
      <c r="AS369">
        <f t="shared" si="127"/>
        <v>468</v>
      </c>
      <c r="AT369" s="21">
        <f t="shared" si="128"/>
        <v>473</v>
      </c>
      <c r="AU369" s="21"/>
      <c r="AV369" s="21"/>
      <c r="AW369" s="21"/>
    </row>
    <row r="370" spans="1:49" x14ac:dyDescent="0.2">
      <c r="A370">
        <v>206</v>
      </c>
      <c r="E370">
        <f t="shared" si="123"/>
        <v>1</v>
      </c>
      <c r="F370" s="5" t="s">
        <v>485</v>
      </c>
      <c r="G370" s="5" t="s">
        <v>482</v>
      </c>
      <c r="J370" t="str">
        <f t="shared" si="130"/>
        <v>10</v>
      </c>
      <c r="K370" t="str">
        <f t="shared" si="131"/>
        <v>07</v>
      </c>
      <c r="L370" t="str">
        <f t="shared" si="132"/>
        <v/>
      </c>
      <c r="M370" s="6" t="str">
        <f t="shared" si="133"/>
        <v/>
      </c>
      <c r="N370" t="s">
        <v>178</v>
      </c>
      <c r="O370">
        <v>16</v>
      </c>
      <c r="P370" t="s">
        <v>424</v>
      </c>
      <c r="Q370" t="s">
        <v>10</v>
      </c>
      <c r="R370" t="s">
        <v>190</v>
      </c>
      <c r="S370" t="s">
        <v>77</v>
      </c>
      <c r="Y370" t="str">
        <f t="shared" si="113"/>
        <v/>
      </c>
      <c r="Z370" t="str">
        <f t="shared" si="114"/>
        <v/>
      </c>
      <c r="AC370" t="str">
        <f t="shared" si="115"/>
        <v>Turnover</v>
      </c>
      <c r="AD370" t="str">
        <f t="shared" si="116"/>
        <v>Turnover_Giveaway</v>
      </c>
      <c r="AE370" t="str">
        <f t="shared" si="117"/>
        <v>Giveaway-PassBlocked</v>
      </c>
      <c r="AF370" t="str">
        <f t="shared" si="118"/>
        <v>Offensive</v>
      </c>
      <c r="AG370">
        <f t="shared" si="124"/>
        <v>18981</v>
      </c>
      <c r="AH370" t="str">
        <f t="shared" si="125"/>
        <v>Nelson</v>
      </c>
      <c r="AI370" t="str">
        <f t="shared" si="126"/>
        <v>Velodrome</v>
      </c>
      <c r="AJ370" s="18">
        <f t="shared" si="119"/>
        <v>0</v>
      </c>
      <c r="AP370" s="18">
        <f t="shared" si="120"/>
        <v>0</v>
      </c>
      <c r="AQ370">
        <f t="shared" si="121"/>
        <v>0</v>
      </c>
      <c r="AR370" s="23">
        <f t="shared" si="122"/>
        <v>473</v>
      </c>
      <c r="AS370">
        <f t="shared" si="127"/>
        <v>468</v>
      </c>
      <c r="AT370" s="21">
        <f t="shared" si="128"/>
        <v>473</v>
      </c>
      <c r="AU370" s="21"/>
      <c r="AV370" s="21"/>
      <c r="AW370" s="21"/>
    </row>
    <row r="371" spans="1:49" x14ac:dyDescent="0.2">
      <c r="A371">
        <v>206</v>
      </c>
      <c r="E371">
        <f t="shared" si="123"/>
        <v>1</v>
      </c>
      <c r="J371" t="str">
        <f t="shared" si="130"/>
        <v>10</v>
      </c>
      <c r="K371" t="str">
        <f t="shared" si="131"/>
        <v>07</v>
      </c>
      <c r="L371" t="str">
        <f t="shared" si="132"/>
        <v/>
      </c>
      <c r="M371" s="6" t="str">
        <f t="shared" si="133"/>
        <v/>
      </c>
      <c r="N371" t="str">
        <f t="shared" si="129"/>
        <v>Home</v>
      </c>
      <c r="O371">
        <v>93</v>
      </c>
      <c r="P371" t="s">
        <v>425</v>
      </c>
      <c r="Y371" t="str">
        <f t="shared" si="113"/>
        <v/>
      </c>
      <c r="Z371" t="str">
        <f t="shared" si="114"/>
        <v/>
      </c>
      <c r="AC371" t="str">
        <f t="shared" si="115"/>
        <v>Turnover</v>
      </c>
      <c r="AD371" t="str">
        <f t="shared" si="116"/>
        <v>Turnover_Giveaway</v>
      </c>
      <c r="AE371" t="str">
        <f t="shared" si="117"/>
        <v>Giveaway-PassBlocked</v>
      </c>
      <c r="AF371" t="str">
        <f t="shared" si="118"/>
        <v>Defensive</v>
      </c>
      <c r="AG371">
        <f t="shared" si="124"/>
        <v>18981</v>
      </c>
      <c r="AH371" t="str">
        <f t="shared" si="125"/>
        <v>Nelson</v>
      </c>
      <c r="AI371" t="str">
        <f t="shared" si="126"/>
        <v>Velodrome</v>
      </c>
      <c r="AJ371" s="18">
        <f t="shared" si="119"/>
        <v>0</v>
      </c>
      <c r="AP371" s="18">
        <f t="shared" si="120"/>
        <v>0</v>
      </c>
      <c r="AQ371">
        <f t="shared" si="121"/>
        <v>0</v>
      </c>
      <c r="AR371" s="23">
        <f t="shared" si="122"/>
        <v>473</v>
      </c>
      <c r="AS371">
        <f t="shared" si="127"/>
        <v>468</v>
      </c>
      <c r="AT371" s="21">
        <f t="shared" si="128"/>
        <v>473</v>
      </c>
      <c r="AU371" s="21"/>
      <c r="AV371" s="21"/>
      <c r="AW371" s="21"/>
    </row>
    <row r="372" spans="1:49" x14ac:dyDescent="0.2">
      <c r="A372">
        <v>206</v>
      </c>
      <c r="E372">
        <f t="shared" si="123"/>
        <v>1</v>
      </c>
      <c r="J372" t="str">
        <f t="shared" si="130"/>
        <v>10</v>
      </c>
      <c r="K372" t="str">
        <f t="shared" si="131"/>
        <v>07</v>
      </c>
      <c r="L372" t="str">
        <f t="shared" si="132"/>
        <v/>
      </c>
      <c r="M372" s="6" t="str">
        <f t="shared" si="133"/>
        <v/>
      </c>
      <c r="N372" t="str">
        <f t="shared" si="129"/>
        <v>Home</v>
      </c>
      <c r="O372">
        <v>84</v>
      </c>
      <c r="P372" t="s">
        <v>425</v>
      </c>
      <c r="Y372" t="str">
        <f t="shared" si="113"/>
        <v/>
      </c>
      <c r="Z372" t="str">
        <f t="shared" si="114"/>
        <v/>
      </c>
      <c r="AC372" t="str">
        <f t="shared" si="115"/>
        <v>Turnover</v>
      </c>
      <c r="AD372" t="str">
        <f t="shared" si="116"/>
        <v>Turnover_Giveaway</v>
      </c>
      <c r="AE372" t="str">
        <f t="shared" si="117"/>
        <v>Giveaway-PassBlocked</v>
      </c>
      <c r="AF372" t="str">
        <f t="shared" si="118"/>
        <v>Defensive</v>
      </c>
      <c r="AG372">
        <f t="shared" si="124"/>
        <v>18981</v>
      </c>
      <c r="AH372" t="str">
        <f t="shared" si="125"/>
        <v>Nelson</v>
      </c>
      <c r="AI372" t="str">
        <f t="shared" si="126"/>
        <v>Velodrome</v>
      </c>
      <c r="AJ372" s="18">
        <f t="shared" si="119"/>
        <v>0</v>
      </c>
      <c r="AP372" s="18">
        <f t="shared" si="120"/>
        <v>0</v>
      </c>
      <c r="AQ372">
        <f t="shared" si="121"/>
        <v>0</v>
      </c>
      <c r="AR372" s="23">
        <f t="shared" si="122"/>
        <v>473</v>
      </c>
      <c r="AS372">
        <f t="shared" si="127"/>
        <v>468</v>
      </c>
      <c r="AT372" s="21">
        <f t="shared" si="128"/>
        <v>473</v>
      </c>
      <c r="AU372" s="21"/>
      <c r="AV372" s="21"/>
      <c r="AW372" s="21"/>
    </row>
    <row r="373" spans="1:49" x14ac:dyDescent="0.2">
      <c r="A373">
        <v>207</v>
      </c>
      <c r="E373">
        <f t="shared" si="123"/>
        <v>1</v>
      </c>
      <c r="F373" s="5" t="s">
        <v>485</v>
      </c>
      <c r="G373" s="5" t="s">
        <v>480</v>
      </c>
      <c r="H373" s="5" t="s">
        <v>485</v>
      </c>
      <c r="I373" s="7" t="s">
        <v>471</v>
      </c>
      <c r="J373" t="str">
        <f t="shared" si="130"/>
        <v>10</v>
      </c>
      <c r="K373" t="str">
        <f t="shared" si="131"/>
        <v>04</v>
      </c>
      <c r="L373" t="str">
        <f t="shared" si="132"/>
        <v>10</v>
      </c>
      <c r="M373" s="6" t="str">
        <f t="shared" si="133"/>
        <v>01</v>
      </c>
      <c r="N373" t="s">
        <v>179</v>
      </c>
      <c r="O373">
        <v>84</v>
      </c>
      <c r="P373" t="s">
        <v>424</v>
      </c>
      <c r="Q373" t="s">
        <v>15</v>
      </c>
      <c r="Y373" t="str">
        <f t="shared" si="113"/>
        <v/>
      </c>
      <c r="Z373" t="str">
        <f t="shared" si="114"/>
        <v/>
      </c>
      <c r="AC373" t="str">
        <f t="shared" si="115"/>
        <v>Possession</v>
      </c>
      <c r="AD373" t="str">
        <f t="shared" si="116"/>
        <v/>
      </c>
      <c r="AE373" t="str">
        <f t="shared" si="117"/>
        <v/>
      </c>
      <c r="AF373" t="str">
        <f t="shared" si="118"/>
        <v>Offensive</v>
      </c>
      <c r="AG373">
        <f t="shared" si="124"/>
        <v>18981</v>
      </c>
      <c r="AH373" t="str">
        <f t="shared" si="125"/>
        <v>Nelson</v>
      </c>
      <c r="AI373" t="str">
        <f t="shared" si="126"/>
        <v>Velodrome</v>
      </c>
      <c r="AJ373" s="18">
        <f t="shared" si="119"/>
        <v>3</v>
      </c>
      <c r="AP373" s="18">
        <f t="shared" si="120"/>
        <v>0</v>
      </c>
      <c r="AQ373">
        <f t="shared" si="121"/>
        <v>0</v>
      </c>
      <c r="AR373" s="23">
        <f t="shared" si="122"/>
        <v>476</v>
      </c>
      <c r="AS373">
        <f t="shared" si="127"/>
        <v>471</v>
      </c>
      <c r="AT373" s="21">
        <f t="shared" si="128"/>
        <v>479</v>
      </c>
      <c r="AU373" s="21"/>
      <c r="AV373" s="21"/>
      <c r="AW373" s="21"/>
    </row>
    <row r="374" spans="1:49" x14ac:dyDescent="0.2">
      <c r="A374">
        <v>207</v>
      </c>
      <c r="E374">
        <f t="shared" si="123"/>
        <v>1</v>
      </c>
      <c r="J374" t="str">
        <f t="shared" si="130"/>
        <v>10</v>
      </c>
      <c r="K374" t="str">
        <f t="shared" si="131"/>
        <v>04</v>
      </c>
      <c r="L374" t="str">
        <f t="shared" si="132"/>
        <v>10</v>
      </c>
      <c r="M374" s="6" t="str">
        <f t="shared" si="133"/>
        <v>01</v>
      </c>
      <c r="N374" t="str">
        <f t="shared" si="129"/>
        <v>Away</v>
      </c>
      <c r="O374">
        <v>7</v>
      </c>
      <c r="P374" t="s">
        <v>425</v>
      </c>
      <c r="Y374" t="str">
        <f t="shared" si="113"/>
        <v/>
      </c>
      <c r="Z374" t="str">
        <f t="shared" si="114"/>
        <v/>
      </c>
      <c r="AC374" t="str">
        <f t="shared" si="115"/>
        <v>Possession</v>
      </c>
      <c r="AD374" t="str">
        <f t="shared" si="116"/>
        <v/>
      </c>
      <c r="AE374" t="str">
        <f t="shared" si="117"/>
        <v/>
      </c>
      <c r="AF374" t="str">
        <f t="shared" si="118"/>
        <v>Defensive</v>
      </c>
      <c r="AG374">
        <f t="shared" si="124"/>
        <v>18981</v>
      </c>
      <c r="AH374" t="str">
        <f t="shared" si="125"/>
        <v>Nelson</v>
      </c>
      <c r="AI374" t="str">
        <f t="shared" si="126"/>
        <v>Velodrome</v>
      </c>
      <c r="AJ374" s="18">
        <f t="shared" si="119"/>
        <v>3</v>
      </c>
      <c r="AP374" s="18">
        <f t="shared" si="120"/>
        <v>0</v>
      </c>
      <c r="AQ374">
        <f t="shared" si="121"/>
        <v>0</v>
      </c>
      <c r="AR374" s="23">
        <f t="shared" si="122"/>
        <v>476</v>
      </c>
      <c r="AS374">
        <f t="shared" si="127"/>
        <v>471</v>
      </c>
      <c r="AT374" s="21">
        <f t="shared" si="128"/>
        <v>479</v>
      </c>
      <c r="AU374" s="21"/>
      <c r="AV374" s="21"/>
      <c r="AW374" s="21"/>
    </row>
    <row r="375" spans="1:49" x14ac:dyDescent="0.2">
      <c r="A375">
        <v>208</v>
      </c>
      <c r="E375">
        <f t="shared" si="123"/>
        <v>1</v>
      </c>
      <c r="F375" s="5" t="s">
        <v>485</v>
      </c>
      <c r="G375" s="5" t="s">
        <v>471</v>
      </c>
      <c r="J375" t="str">
        <f t="shared" si="130"/>
        <v>10</v>
      </c>
      <c r="K375" t="str">
        <f t="shared" si="131"/>
        <v>01</v>
      </c>
      <c r="L375" t="str">
        <f t="shared" si="132"/>
        <v/>
      </c>
      <c r="M375" s="6" t="str">
        <f t="shared" si="133"/>
        <v/>
      </c>
      <c r="N375" t="s">
        <v>179</v>
      </c>
      <c r="O375">
        <v>84</v>
      </c>
      <c r="P375" t="s">
        <v>424</v>
      </c>
      <c r="Q375" t="s">
        <v>10</v>
      </c>
      <c r="R375" t="s">
        <v>190</v>
      </c>
      <c r="S375" t="s">
        <v>422</v>
      </c>
      <c r="Y375" t="str">
        <f t="shared" si="113"/>
        <v/>
      </c>
      <c r="Z375" t="str">
        <f t="shared" si="114"/>
        <v/>
      </c>
      <c r="AC375" t="str">
        <f t="shared" si="115"/>
        <v>Turnover</v>
      </c>
      <c r="AD375" t="str">
        <f t="shared" si="116"/>
        <v>Turnover_Giveaway</v>
      </c>
      <c r="AE375" t="str">
        <f t="shared" si="117"/>
        <v>Giveaway-AttemptedZoneClear/Dump</v>
      </c>
      <c r="AF375" t="str">
        <f t="shared" si="118"/>
        <v>Offensive</v>
      </c>
      <c r="AG375">
        <f t="shared" si="124"/>
        <v>18981</v>
      </c>
      <c r="AH375" t="str">
        <f t="shared" si="125"/>
        <v>Nelson</v>
      </c>
      <c r="AI375" t="str">
        <f t="shared" si="126"/>
        <v>Velodrome</v>
      </c>
      <c r="AJ375" s="18">
        <f t="shared" si="119"/>
        <v>0</v>
      </c>
      <c r="AP375" s="18">
        <f t="shared" si="120"/>
        <v>0</v>
      </c>
      <c r="AQ375">
        <f t="shared" si="121"/>
        <v>0</v>
      </c>
      <c r="AR375" s="23">
        <f t="shared" si="122"/>
        <v>479</v>
      </c>
      <c r="AS375">
        <f t="shared" si="127"/>
        <v>474</v>
      </c>
      <c r="AT375" s="21">
        <f t="shared" si="128"/>
        <v>479</v>
      </c>
      <c r="AU375" s="21"/>
      <c r="AV375" s="21"/>
      <c r="AW375" s="21"/>
    </row>
    <row r="376" spans="1:49" x14ac:dyDescent="0.2">
      <c r="A376">
        <v>208</v>
      </c>
      <c r="E376">
        <f t="shared" si="123"/>
        <v>1</v>
      </c>
      <c r="J376" t="str">
        <f t="shared" si="130"/>
        <v>10</v>
      </c>
      <c r="K376" t="str">
        <f t="shared" si="131"/>
        <v>01</v>
      </c>
      <c r="L376" t="str">
        <f t="shared" si="132"/>
        <v/>
      </c>
      <c r="M376" s="6" t="str">
        <f t="shared" si="133"/>
        <v/>
      </c>
      <c r="N376" t="str">
        <f t="shared" si="129"/>
        <v>Away</v>
      </c>
      <c r="O376">
        <v>7</v>
      </c>
      <c r="P376" t="s">
        <v>425</v>
      </c>
      <c r="Y376" t="str">
        <f t="shared" si="113"/>
        <v/>
      </c>
      <c r="Z376" t="str">
        <f t="shared" si="114"/>
        <v/>
      </c>
      <c r="AC376" t="str">
        <f t="shared" si="115"/>
        <v>Turnover</v>
      </c>
      <c r="AD376" t="str">
        <f t="shared" si="116"/>
        <v>Turnover_Giveaway</v>
      </c>
      <c r="AE376" t="str">
        <f t="shared" si="117"/>
        <v>Giveaway-AttemptedZoneClear/Dump</v>
      </c>
      <c r="AF376" t="str">
        <f t="shared" si="118"/>
        <v>Defensive</v>
      </c>
      <c r="AG376">
        <f t="shared" si="124"/>
        <v>18981</v>
      </c>
      <c r="AH376" t="str">
        <f t="shared" si="125"/>
        <v>Nelson</v>
      </c>
      <c r="AI376" t="str">
        <f t="shared" si="126"/>
        <v>Velodrome</v>
      </c>
      <c r="AJ376" s="18">
        <f t="shared" si="119"/>
        <v>0</v>
      </c>
      <c r="AP376" s="18">
        <f t="shared" si="120"/>
        <v>0</v>
      </c>
      <c r="AQ376">
        <f t="shared" si="121"/>
        <v>0</v>
      </c>
      <c r="AR376" s="23">
        <f t="shared" si="122"/>
        <v>479</v>
      </c>
      <c r="AS376">
        <f t="shared" si="127"/>
        <v>474</v>
      </c>
      <c r="AT376" s="21">
        <f t="shared" si="128"/>
        <v>479</v>
      </c>
      <c r="AU376" s="21"/>
      <c r="AV376" s="21"/>
      <c r="AW376" s="21"/>
    </row>
    <row r="377" spans="1:49" x14ac:dyDescent="0.2">
      <c r="A377">
        <v>209</v>
      </c>
      <c r="E377">
        <f t="shared" si="123"/>
        <v>1</v>
      </c>
      <c r="F377" s="5" t="s">
        <v>537</v>
      </c>
      <c r="G377" s="5" t="s">
        <v>530</v>
      </c>
      <c r="J377" t="str">
        <f t="shared" si="130"/>
        <v>9</v>
      </c>
      <c r="K377" t="str">
        <f t="shared" si="131"/>
        <v>58</v>
      </c>
      <c r="L377" t="str">
        <f t="shared" si="132"/>
        <v/>
      </c>
      <c r="M377" s="6" t="str">
        <f t="shared" si="133"/>
        <v/>
      </c>
      <c r="N377" t="s">
        <v>178</v>
      </c>
      <c r="O377">
        <v>79</v>
      </c>
      <c r="P377" t="s">
        <v>424</v>
      </c>
      <c r="Q377" t="s">
        <v>277</v>
      </c>
      <c r="R377" t="s">
        <v>210</v>
      </c>
      <c r="S377" t="s">
        <v>93</v>
      </c>
      <c r="Y377" t="str">
        <f t="shared" si="113"/>
        <v/>
      </c>
      <c r="Z377" t="str">
        <f t="shared" si="114"/>
        <v/>
      </c>
      <c r="AC377" t="str">
        <f t="shared" si="115"/>
        <v>Zone_Entry_Exit</v>
      </c>
      <c r="AD377" t="str">
        <f t="shared" si="116"/>
        <v>Zone_Keepin</v>
      </c>
      <c r="AE377" t="str">
        <f t="shared" si="117"/>
        <v>Zone-KeepIn</v>
      </c>
      <c r="AF377" t="str">
        <f t="shared" si="118"/>
        <v>Offensive</v>
      </c>
      <c r="AG377">
        <f t="shared" si="124"/>
        <v>18981</v>
      </c>
      <c r="AH377" t="str">
        <f t="shared" si="125"/>
        <v>Nelson</v>
      </c>
      <c r="AI377" t="str">
        <f t="shared" si="126"/>
        <v>Velodrome</v>
      </c>
      <c r="AJ377" s="18">
        <f t="shared" si="119"/>
        <v>0</v>
      </c>
      <c r="AP377" s="18">
        <f t="shared" si="120"/>
        <v>0</v>
      </c>
      <c r="AQ377">
        <f t="shared" si="121"/>
        <v>0</v>
      </c>
      <c r="AR377" s="23">
        <f t="shared" si="122"/>
        <v>482</v>
      </c>
      <c r="AS377">
        <f t="shared" si="127"/>
        <v>477</v>
      </c>
      <c r="AT377" s="21">
        <f t="shared" si="128"/>
        <v>482</v>
      </c>
      <c r="AU377" s="21"/>
      <c r="AV377" s="21"/>
      <c r="AW377" s="21"/>
    </row>
    <row r="378" spans="1:49" x14ac:dyDescent="0.2">
      <c r="A378">
        <v>210</v>
      </c>
      <c r="E378">
        <f t="shared" si="123"/>
        <v>1</v>
      </c>
      <c r="F378" s="5" t="s">
        <v>537</v>
      </c>
      <c r="G378" s="5" t="s">
        <v>530</v>
      </c>
      <c r="J378" t="str">
        <f t="shared" si="130"/>
        <v>9</v>
      </c>
      <c r="K378" t="str">
        <f t="shared" si="131"/>
        <v>58</v>
      </c>
      <c r="L378" t="str">
        <f t="shared" si="132"/>
        <v/>
      </c>
      <c r="M378" s="6" t="str">
        <f t="shared" si="133"/>
        <v/>
      </c>
      <c r="N378" t="s">
        <v>179</v>
      </c>
      <c r="O378">
        <v>79</v>
      </c>
      <c r="P378" t="s">
        <v>424</v>
      </c>
      <c r="Q378" t="s">
        <v>7</v>
      </c>
      <c r="R378" t="s">
        <v>218</v>
      </c>
      <c r="S378" t="s">
        <v>53</v>
      </c>
      <c r="Y378" t="str">
        <f t="shared" si="113"/>
        <v/>
      </c>
      <c r="Z378" t="str">
        <f t="shared" si="114"/>
        <v/>
      </c>
      <c r="AC378" t="str">
        <f t="shared" si="115"/>
        <v>Shot</v>
      </c>
      <c r="AD378" t="str">
        <f t="shared" si="116"/>
        <v>Shot_Deflected</v>
      </c>
      <c r="AE378" t="str">
        <f t="shared" si="117"/>
        <v>Shot-Wrist</v>
      </c>
      <c r="AF378" t="str">
        <f t="shared" si="118"/>
        <v>Offensive</v>
      </c>
      <c r="AG378">
        <f t="shared" si="124"/>
        <v>18981</v>
      </c>
      <c r="AH378" t="str">
        <f t="shared" si="125"/>
        <v>Nelson</v>
      </c>
      <c r="AI378" t="str">
        <f t="shared" si="126"/>
        <v>Velodrome</v>
      </c>
      <c r="AJ378" s="18">
        <f t="shared" si="119"/>
        <v>0</v>
      </c>
      <c r="AP378" s="18">
        <f t="shared" si="120"/>
        <v>0</v>
      </c>
      <c r="AQ378">
        <f t="shared" si="121"/>
        <v>0</v>
      </c>
      <c r="AR378" s="23">
        <f t="shared" si="122"/>
        <v>482</v>
      </c>
      <c r="AS378">
        <f t="shared" si="127"/>
        <v>477</v>
      </c>
      <c r="AT378" s="21">
        <f t="shared" si="128"/>
        <v>482</v>
      </c>
      <c r="AU378" s="21"/>
      <c r="AV378" s="21"/>
      <c r="AW378" s="21"/>
    </row>
    <row r="379" spans="1:49" x14ac:dyDescent="0.2">
      <c r="A379">
        <v>210</v>
      </c>
      <c r="E379">
        <f t="shared" si="123"/>
        <v>1</v>
      </c>
      <c r="J379" t="str">
        <f t="shared" si="130"/>
        <v>9</v>
      </c>
      <c r="K379" t="str">
        <f t="shared" si="131"/>
        <v>58</v>
      </c>
      <c r="L379" t="str">
        <f t="shared" si="132"/>
        <v/>
      </c>
      <c r="M379" s="6" t="str">
        <f t="shared" si="133"/>
        <v/>
      </c>
      <c r="N379" t="str">
        <f t="shared" si="129"/>
        <v>Away</v>
      </c>
      <c r="O379">
        <v>93</v>
      </c>
      <c r="P379" t="s">
        <v>425</v>
      </c>
      <c r="Y379" t="str">
        <f t="shared" si="113"/>
        <v/>
      </c>
      <c r="Z379" t="str">
        <f t="shared" si="114"/>
        <v/>
      </c>
      <c r="AC379" t="str">
        <f t="shared" si="115"/>
        <v>Shot</v>
      </c>
      <c r="AD379" t="str">
        <f t="shared" si="116"/>
        <v>Shot_Deflected</v>
      </c>
      <c r="AE379" t="str">
        <f t="shared" si="117"/>
        <v>Shot-Wrist</v>
      </c>
      <c r="AF379" t="str">
        <f t="shared" si="118"/>
        <v>Defensive</v>
      </c>
      <c r="AG379">
        <f t="shared" si="124"/>
        <v>18981</v>
      </c>
      <c r="AH379" t="str">
        <f t="shared" si="125"/>
        <v>Nelson</v>
      </c>
      <c r="AI379" t="str">
        <f t="shared" si="126"/>
        <v>Velodrome</v>
      </c>
      <c r="AJ379" s="18">
        <f t="shared" si="119"/>
        <v>0</v>
      </c>
      <c r="AP379" s="18">
        <f t="shared" si="120"/>
        <v>0</v>
      </c>
      <c r="AQ379">
        <f t="shared" si="121"/>
        <v>0</v>
      </c>
      <c r="AR379" s="23">
        <f t="shared" si="122"/>
        <v>482</v>
      </c>
      <c r="AS379">
        <f t="shared" si="127"/>
        <v>477</v>
      </c>
      <c r="AT379" s="21">
        <f t="shared" si="128"/>
        <v>482</v>
      </c>
      <c r="AU379" s="21"/>
      <c r="AV379" s="21"/>
      <c r="AW379" s="21"/>
    </row>
    <row r="380" spans="1:49" x14ac:dyDescent="0.2">
      <c r="A380">
        <v>211</v>
      </c>
      <c r="E380">
        <f t="shared" si="123"/>
        <v>1</v>
      </c>
      <c r="F380" s="5" t="s">
        <v>537</v>
      </c>
      <c r="G380" s="5" t="s">
        <v>530</v>
      </c>
      <c r="J380" t="str">
        <f t="shared" si="130"/>
        <v>9</v>
      </c>
      <c r="K380" t="str">
        <f t="shared" si="131"/>
        <v>58</v>
      </c>
      <c r="L380" t="str">
        <f t="shared" si="132"/>
        <v/>
      </c>
      <c r="M380" s="6" t="str">
        <f t="shared" si="133"/>
        <v/>
      </c>
      <c r="N380" t="s">
        <v>179</v>
      </c>
      <c r="O380">
        <v>79</v>
      </c>
      <c r="P380" t="s">
        <v>424</v>
      </c>
      <c r="Q380" t="s">
        <v>10</v>
      </c>
      <c r="R380" t="s">
        <v>190</v>
      </c>
      <c r="S380" t="s">
        <v>77</v>
      </c>
      <c r="Y380" t="str">
        <f t="shared" si="113"/>
        <v/>
      </c>
      <c r="Z380" t="str">
        <f t="shared" si="114"/>
        <v/>
      </c>
      <c r="AC380" t="str">
        <f t="shared" si="115"/>
        <v>Turnover</v>
      </c>
      <c r="AD380" t="str">
        <f t="shared" si="116"/>
        <v>Turnover_Giveaway</v>
      </c>
      <c r="AE380" t="str">
        <f t="shared" si="117"/>
        <v>Giveaway-PassBlocked</v>
      </c>
      <c r="AF380" t="str">
        <f t="shared" si="118"/>
        <v>Offensive</v>
      </c>
      <c r="AG380">
        <f t="shared" si="124"/>
        <v>18981</v>
      </c>
      <c r="AH380" t="str">
        <f t="shared" si="125"/>
        <v>Nelson</v>
      </c>
      <c r="AI380" t="str">
        <f t="shared" si="126"/>
        <v>Velodrome</v>
      </c>
      <c r="AJ380" s="18">
        <f t="shared" si="119"/>
        <v>0</v>
      </c>
      <c r="AP380" s="18">
        <f t="shared" si="120"/>
        <v>0</v>
      </c>
      <c r="AQ380">
        <f t="shared" si="121"/>
        <v>0</v>
      </c>
      <c r="AR380" s="23">
        <f t="shared" si="122"/>
        <v>482</v>
      </c>
      <c r="AS380">
        <f t="shared" si="127"/>
        <v>477</v>
      </c>
      <c r="AT380" s="21">
        <f t="shared" si="128"/>
        <v>482</v>
      </c>
      <c r="AU380" s="21"/>
      <c r="AV380" s="21"/>
      <c r="AW380" s="21"/>
    </row>
    <row r="381" spans="1:49" x14ac:dyDescent="0.2">
      <c r="A381">
        <v>211</v>
      </c>
      <c r="E381">
        <f t="shared" si="123"/>
        <v>1</v>
      </c>
      <c r="J381" t="str">
        <f t="shared" si="130"/>
        <v>9</v>
      </c>
      <c r="K381" t="str">
        <f t="shared" si="131"/>
        <v>58</v>
      </c>
      <c r="L381" t="str">
        <f t="shared" si="132"/>
        <v/>
      </c>
      <c r="M381" s="6" t="str">
        <f t="shared" si="133"/>
        <v/>
      </c>
      <c r="N381" t="str">
        <f t="shared" si="129"/>
        <v>Away</v>
      </c>
      <c r="O381">
        <v>93</v>
      </c>
      <c r="P381" t="s">
        <v>425</v>
      </c>
      <c r="Y381" t="str">
        <f t="shared" si="113"/>
        <v/>
      </c>
      <c r="Z381" t="str">
        <f t="shared" si="114"/>
        <v/>
      </c>
      <c r="AC381" t="str">
        <f t="shared" si="115"/>
        <v>Turnover</v>
      </c>
      <c r="AD381" t="str">
        <f t="shared" si="116"/>
        <v>Turnover_Giveaway</v>
      </c>
      <c r="AE381" t="str">
        <f t="shared" si="117"/>
        <v>Giveaway-PassBlocked</v>
      </c>
      <c r="AF381" t="str">
        <f t="shared" si="118"/>
        <v>Defensive</v>
      </c>
      <c r="AG381">
        <f t="shared" si="124"/>
        <v>18981</v>
      </c>
      <c r="AH381" t="str">
        <f t="shared" si="125"/>
        <v>Nelson</v>
      </c>
      <c r="AI381" t="str">
        <f t="shared" si="126"/>
        <v>Velodrome</v>
      </c>
      <c r="AJ381" s="18">
        <f t="shared" si="119"/>
        <v>0</v>
      </c>
      <c r="AP381" s="18">
        <f t="shared" si="120"/>
        <v>0</v>
      </c>
      <c r="AQ381">
        <f t="shared" si="121"/>
        <v>0</v>
      </c>
      <c r="AR381" s="23">
        <f t="shared" si="122"/>
        <v>482</v>
      </c>
      <c r="AS381">
        <f t="shared" si="127"/>
        <v>477</v>
      </c>
      <c r="AT381" s="21">
        <f t="shared" si="128"/>
        <v>482</v>
      </c>
      <c r="AU381" s="21"/>
      <c r="AV381" s="21"/>
      <c r="AW381" s="21"/>
    </row>
    <row r="382" spans="1:49" x14ac:dyDescent="0.2">
      <c r="A382">
        <v>212</v>
      </c>
      <c r="E382">
        <f t="shared" si="123"/>
        <v>1</v>
      </c>
      <c r="F382" s="5" t="s">
        <v>537</v>
      </c>
      <c r="G382" s="5" t="s">
        <v>526</v>
      </c>
      <c r="H382" s="5" t="s">
        <v>537</v>
      </c>
      <c r="I382" s="7" t="s">
        <v>522</v>
      </c>
      <c r="J382" t="str">
        <f t="shared" si="130"/>
        <v>9</v>
      </c>
      <c r="K382" t="str">
        <f t="shared" si="131"/>
        <v>54</v>
      </c>
      <c r="L382" t="str">
        <f t="shared" si="132"/>
        <v>9</v>
      </c>
      <c r="M382" s="6" t="str">
        <f t="shared" si="133"/>
        <v>50</v>
      </c>
      <c r="N382" t="s">
        <v>179</v>
      </c>
      <c r="O382">
        <v>93</v>
      </c>
      <c r="P382" t="s">
        <v>424</v>
      </c>
      <c r="Q382" t="s">
        <v>277</v>
      </c>
      <c r="R382" t="s">
        <v>201</v>
      </c>
      <c r="S382" t="s">
        <v>90</v>
      </c>
      <c r="Y382" t="str">
        <f t="shared" si="113"/>
        <v/>
      </c>
      <c r="Z382" t="str">
        <f t="shared" si="114"/>
        <v/>
      </c>
      <c r="AC382" t="str">
        <f t="shared" si="115"/>
        <v>Zone_Entry_Exit</v>
      </c>
      <c r="AD382" t="str">
        <f t="shared" si="116"/>
        <v>Zone_Exit</v>
      </c>
      <c r="AE382" t="str">
        <f t="shared" si="117"/>
        <v>ZoneExit-Rush</v>
      </c>
      <c r="AF382" t="str">
        <f t="shared" si="118"/>
        <v>Offensive</v>
      </c>
      <c r="AG382">
        <f t="shared" si="124"/>
        <v>18981</v>
      </c>
      <c r="AH382" t="str">
        <f t="shared" si="125"/>
        <v>Nelson</v>
      </c>
      <c r="AI382" t="str">
        <f t="shared" si="126"/>
        <v>Velodrome</v>
      </c>
      <c r="AJ382" s="18">
        <f t="shared" si="119"/>
        <v>4</v>
      </c>
      <c r="AP382" s="18">
        <f t="shared" si="120"/>
        <v>0</v>
      </c>
      <c r="AQ382">
        <f t="shared" si="121"/>
        <v>0</v>
      </c>
      <c r="AR382" s="23">
        <f t="shared" si="122"/>
        <v>486</v>
      </c>
      <c r="AS382">
        <f t="shared" si="127"/>
        <v>481</v>
      </c>
      <c r="AT382" s="21">
        <f t="shared" si="128"/>
        <v>490</v>
      </c>
      <c r="AU382" s="21"/>
      <c r="AV382" s="21"/>
      <c r="AW382" s="21"/>
    </row>
    <row r="383" spans="1:49" x14ac:dyDescent="0.2">
      <c r="A383">
        <v>212</v>
      </c>
      <c r="E383">
        <f t="shared" si="123"/>
        <v>1</v>
      </c>
      <c r="J383" t="str">
        <f t="shared" si="130"/>
        <v>9</v>
      </c>
      <c r="K383" t="str">
        <f t="shared" si="131"/>
        <v>54</v>
      </c>
      <c r="L383" t="str">
        <f t="shared" si="132"/>
        <v>9</v>
      </c>
      <c r="M383" s="6" t="str">
        <f t="shared" si="133"/>
        <v>50</v>
      </c>
      <c r="N383" t="str">
        <f t="shared" si="129"/>
        <v>Away</v>
      </c>
      <c r="O383">
        <v>79</v>
      </c>
      <c r="P383" t="s">
        <v>425</v>
      </c>
      <c r="Y383" t="str">
        <f t="shared" si="113"/>
        <v/>
      </c>
      <c r="Z383" t="str">
        <f t="shared" si="114"/>
        <v/>
      </c>
      <c r="AC383" t="str">
        <f t="shared" si="115"/>
        <v>Zone_Entry_Exit</v>
      </c>
      <c r="AD383" t="str">
        <f t="shared" si="116"/>
        <v>Zone_Exit</v>
      </c>
      <c r="AE383" t="str">
        <f t="shared" si="117"/>
        <v>ZoneExit-Rush</v>
      </c>
      <c r="AF383" t="str">
        <f t="shared" si="118"/>
        <v>Defensive</v>
      </c>
      <c r="AG383">
        <f t="shared" si="124"/>
        <v>18981</v>
      </c>
      <c r="AH383" t="str">
        <f t="shared" si="125"/>
        <v>Nelson</v>
      </c>
      <c r="AI383" t="str">
        <f t="shared" si="126"/>
        <v>Velodrome</v>
      </c>
      <c r="AJ383" s="18">
        <f t="shared" si="119"/>
        <v>4</v>
      </c>
      <c r="AP383" s="18">
        <f t="shared" si="120"/>
        <v>0</v>
      </c>
      <c r="AQ383">
        <f t="shared" si="121"/>
        <v>0</v>
      </c>
      <c r="AR383" s="23">
        <f t="shared" si="122"/>
        <v>486</v>
      </c>
      <c r="AS383">
        <f t="shared" si="127"/>
        <v>481</v>
      </c>
      <c r="AT383" s="21">
        <f t="shared" si="128"/>
        <v>490</v>
      </c>
      <c r="AU383" s="21"/>
      <c r="AV383" s="21"/>
      <c r="AW383" s="21"/>
    </row>
    <row r="384" spans="1:49" x14ac:dyDescent="0.2">
      <c r="A384">
        <v>213</v>
      </c>
      <c r="E384">
        <f t="shared" si="123"/>
        <v>1</v>
      </c>
      <c r="F384" s="5" t="s">
        <v>537</v>
      </c>
      <c r="G384" s="5" t="s">
        <v>522</v>
      </c>
      <c r="H384" s="5" t="s">
        <v>537</v>
      </c>
      <c r="I384" s="7" t="s">
        <v>520</v>
      </c>
      <c r="J384" t="str">
        <f t="shared" si="130"/>
        <v>9</v>
      </c>
      <c r="K384" t="str">
        <f t="shared" si="131"/>
        <v>50</v>
      </c>
      <c r="L384" t="str">
        <f t="shared" si="132"/>
        <v>9</v>
      </c>
      <c r="M384" s="6" t="str">
        <f t="shared" si="133"/>
        <v>48</v>
      </c>
      <c r="N384" t="s">
        <v>179</v>
      </c>
      <c r="O384">
        <v>93</v>
      </c>
      <c r="P384" t="s">
        <v>424</v>
      </c>
      <c r="Q384" t="s">
        <v>15</v>
      </c>
      <c r="Y384" t="str">
        <f t="shared" si="113"/>
        <v/>
      </c>
      <c r="Z384" t="str">
        <f t="shared" si="114"/>
        <v/>
      </c>
      <c r="AC384" t="str">
        <f t="shared" si="115"/>
        <v>Possession</v>
      </c>
      <c r="AD384" t="str">
        <f t="shared" si="116"/>
        <v/>
      </c>
      <c r="AE384" t="str">
        <f t="shared" si="117"/>
        <v/>
      </c>
      <c r="AF384" t="str">
        <f t="shared" si="118"/>
        <v>Offensive</v>
      </c>
      <c r="AG384">
        <f t="shared" si="124"/>
        <v>18981</v>
      </c>
      <c r="AH384" t="str">
        <f t="shared" si="125"/>
        <v>Nelson</v>
      </c>
      <c r="AI384" t="str">
        <f t="shared" si="126"/>
        <v>Velodrome</v>
      </c>
      <c r="AJ384" s="18">
        <f t="shared" si="119"/>
        <v>2</v>
      </c>
      <c r="AP384" s="18">
        <f t="shared" si="120"/>
        <v>0</v>
      </c>
      <c r="AQ384">
        <f t="shared" si="121"/>
        <v>0</v>
      </c>
      <c r="AR384" s="23">
        <f t="shared" si="122"/>
        <v>490</v>
      </c>
      <c r="AS384">
        <f t="shared" si="127"/>
        <v>485</v>
      </c>
      <c r="AT384" s="21">
        <f t="shared" si="128"/>
        <v>492</v>
      </c>
      <c r="AU384" s="21"/>
      <c r="AV384" s="21"/>
      <c r="AW384" s="21"/>
    </row>
    <row r="385" spans="1:49" x14ac:dyDescent="0.2">
      <c r="A385">
        <v>213</v>
      </c>
      <c r="E385">
        <f t="shared" si="123"/>
        <v>1</v>
      </c>
      <c r="J385" t="str">
        <f t="shared" si="130"/>
        <v>9</v>
      </c>
      <c r="K385" t="str">
        <f t="shared" si="131"/>
        <v>50</v>
      </c>
      <c r="L385" t="str">
        <f t="shared" si="132"/>
        <v>9</v>
      </c>
      <c r="M385" s="6" t="str">
        <f t="shared" si="133"/>
        <v>48</v>
      </c>
      <c r="N385" t="str">
        <f t="shared" si="129"/>
        <v>Away</v>
      </c>
      <c r="O385">
        <v>79</v>
      </c>
      <c r="P385" t="s">
        <v>425</v>
      </c>
      <c r="Y385" t="str">
        <f t="shared" si="113"/>
        <v/>
      </c>
      <c r="Z385" t="str">
        <f t="shared" si="114"/>
        <v/>
      </c>
      <c r="AC385" t="str">
        <f t="shared" si="115"/>
        <v>Possession</v>
      </c>
      <c r="AD385" t="str">
        <f t="shared" si="116"/>
        <v/>
      </c>
      <c r="AE385" t="str">
        <f t="shared" si="117"/>
        <v/>
      </c>
      <c r="AF385" t="str">
        <f t="shared" si="118"/>
        <v>Defensive</v>
      </c>
      <c r="AG385">
        <f t="shared" si="124"/>
        <v>18981</v>
      </c>
      <c r="AH385" t="str">
        <f t="shared" si="125"/>
        <v>Nelson</v>
      </c>
      <c r="AI385" t="str">
        <f t="shared" si="126"/>
        <v>Velodrome</v>
      </c>
      <c r="AJ385" s="18">
        <f t="shared" si="119"/>
        <v>2</v>
      </c>
      <c r="AP385" s="18">
        <f t="shared" si="120"/>
        <v>0</v>
      </c>
      <c r="AQ385">
        <f t="shared" si="121"/>
        <v>0</v>
      </c>
      <c r="AR385" s="23">
        <f t="shared" si="122"/>
        <v>490</v>
      </c>
      <c r="AS385">
        <f t="shared" si="127"/>
        <v>485</v>
      </c>
      <c r="AT385" s="21">
        <f t="shared" si="128"/>
        <v>492</v>
      </c>
      <c r="AU385" s="21"/>
      <c r="AV385" s="21"/>
      <c r="AW385" s="21"/>
    </row>
    <row r="386" spans="1:49" x14ac:dyDescent="0.2">
      <c r="A386">
        <v>214</v>
      </c>
      <c r="E386">
        <f t="shared" si="123"/>
        <v>1</v>
      </c>
      <c r="F386" s="5" t="s">
        <v>537</v>
      </c>
      <c r="G386" s="5" t="s">
        <v>520</v>
      </c>
      <c r="J386" t="str">
        <f t="shared" si="130"/>
        <v>9</v>
      </c>
      <c r="K386" t="str">
        <f t="shared" si="131"/>
        <v>48</v>
      </c>
      <c r="L386" t="str">
        <f t="shared" si="132"/>
        <v/>
      </c>
      <c r="M386" s="6" t="str">
        <f t="shared" si="133"/>
        <v/>
      </c>
      <c r="N386" t="s">
        <v>179</v>
      </c>
      <c r="O386">
        <v>93</v>
      </c>
      <c r="P386" t="s">
        <v>424</v>
      </c>
      <c r="Q386" t="s">
        <v>277</v>
      </c>
      <c r="R386" t="s">
        <v>191</v>
      </c>
      <c r="S386" t="s">
        <v>89</v>
      </c>
      <c r="Y386" t="str">
        <f t="shared" si="113"/>
        <v/>
      </c>
      <c r="Z386" t="str">
        <f t="shared" si="114"/>
        <v/>
      </c>
      <c r="AC386" t="str">
        <f t="shared" si="115"/>
        <v>Zone_Entry_Exit</v>
      </c>
      <c r="AD386" t="str">
        <f t="shared" si="116"/>
        <v>Zone_Entry</v>
      </c>
      <c r="AE386" t="str">
        <f t="shared" si="117"/>
        <v>ZoneEntry-DumpIn</v>
      </c>
      <c r="AF386" t="str">
        <f t="shared" si="118"/>
        <v>Offensive</v>
      </c>
      <c r="AG386">
        <f t="shared" si="124"/>
        <v>18981</v>
      </c>
      <c r="AH386" t="str">
        <f t="shared" si="125"/>
        <v>Nelson</v>
      </c>
      <c r="AI386" t="str">
        <f t="shared" si="126"/>
        <v>Velodrome</v>
      </c>
      <c r="AJ386" s="18">
        <f t="shared" si="119"/>
        <v>0</v>
      </c>
      <c r="AP386" s="18">
        <f t="shared" si="120"/>
        <v>0</v>
      </c>
      <c r="AQ386">
        <f t="shared" si="121"/>
        <v>0</v>
      </c>
      <c r="AR386" s="23">
        <f t="shared" si="122"/>
        <v>492</v>
      </c>
      <c r="AS386">
        <f t="shared" si="127"/>
        <v>487</v>
      </c>
      <c r="AT386" s="21">
        <f t="shared" si="128"/>
        <v>492</v>
      </c>
      <c r="AU386" s="21"/>
      <c r="AV386" s="21"/>
      <c r="AW386" s="21"/>
    </row>
    <row r="387" spans="1:49" x14ac:dyDescent="0.2">
      <c r="A387">
        <v>214</v>
      </c>
      <c r="E387">
        <f t="shared" si="123"/>
        <v>1</v>
      </c>
      <c r="J387" t="str">
        <f t="shared" si="130"/>
        <v>9</v>
      </c>
      <c r="K387" t="str">
        <f t="shared" si="131"/>
        <v>48</v>
      </c>
      <c r="L387" t="str">
        <f t="shared" si="132"/>
        <v/>
      </c>
      <c r="M387" s="6" t="str">
        <f t="shared" si="133"/>
        <v/>
      </c>
      <c r="N387" t="str">
        <f t="shared" si="129"/>
        <v>Away</v>
      </c>
      <c r="O387">
        <v>79</v>
      </c>
      <c r="P387" t="s">
        <v>425</v>
      </c>
      <c r="Y387" t="str">
        <f t="shared" ref="Y387:Y450" si="134">IF($N387="","",IF(X387="","",IF($N387="Home",$X387,IF($X387="n","n",IF($X387="d","o",IF($X387="o","d",""))))))</f>
        <v/>
      </c>
      <c r="Z387" t="str">
        <f t="shared" ref="Z387:Z450" si="135">IF($N387="","",IF(X387="","",IF($N387="Away",$X387,IF($X387="n","n",IF($X387="d","o",IF($X387="o","d",""))))))</f>
        <v/>
      </c>
      <c r="AC387" t="str">
        <f t="shared" ref="AC387:AC450" si="136">IF(Q387&lt;&gt;"",Q387,IF($A387=$A386,AC386,""))</f>
        <v>Zone_Entry_Exit</v>
      </c>
      <c r="AD387" t="str">
        <f t="shared" ref="AD387:AD450" si="137">IF(R387&lt;&gt;"",R387,IF($A387=$A386,AD386,""))</f>
        <v>Zone_Entry</v>
      </c>
      <c r="AE387" t="str">
        <f t="shared" ref="AE387:AE450" si="138">IF(S387&lt;&gt;"",S387,IF($A387=$A386,AE386,""))</f>
        <v>ZoneEntry-DumpIn</v>
      </c>
      <c r="AF387" t="str">
        <f t="shared" ref="AF387:AF450" si="139">IF(AND(P387="e",OR(AC387="Save",AD387="Turnover_Takeaway",AD387="Play_Defensive")),"Defensive",IF(AND(P387="o",OR(AC387="Save",AD387="Turnover_Takeaway",AD387="Play_Defensive")),"Offensive",IF(OR(AC387="Deadice",AC387="Stoppage",AC387="Intermission"),"",IF(P387="e","Offensive",IF(P387="o","Defensive","")))))</f>
        <v>Defensive</v>
      </c>
      <c r="AG387">
        <f t="shared" si="124"/>
        <v>18981</v>
      </c>
      <c r="AH387" t="str">
        <f t="shared" si="125"/>
        <v>Nelson</v>
      </c>
      <c r="AI387" t="str">
        <f t="shared" si="126"/>
        <v>Velodrome</v>
      </c>
      <c r="AJ387" s="18">
        <f t="shared" ref="AJ387:AJ450" si="140">IF(AND(L387="",M387=""),0,((J387*60)+K387)-((L387*60)+M387))</f>
        <v>0</v>
      </c>
      <c r="AP387" s="18">
        <f t="shared" ref="AP387:AP450" si="141">SUMIFS(AJ387:AJ387,Q387:Q387,"=Intermission")</f>
        <v>0</v>
      </c>
      <c r="AQ387">
        <f t="shared" ref="AQ387:AQ450" si="142">IF(E387=1,0,IF(E387=2,1080+AP387,IF(E387=3,(1080*2)+AP387,0)))</f>
        <v>0</v>
      </c>
      <c r="AR387" s="23">
        <f t="shared" ref="AR387:AR450" si="143">IF(Q387="Intermission",AR386,((1080)-((J387*60)+K387))+AQ387)</f>
        <v>492</v>
      </c>
      <c r="AS387">
        <f t="shared" si="127"/>
        <v>487</v>
      </c>
      <c r="AT387" s="21">
        <f t="shared" si="128"/>
        <v>492</v>
      </c>
      <c r="AU387" s="21"/>
      <c r="AV387" s="21"/>
      <c r="AW387" s="21"/>
    </row>
    <row r="388" spans="1:49" x14ac:dyDescent="0.2">
      <c r="A388">
        <v>215</v>
      </c>
      <c r="E388">
        <f t="shared" ref="E388:E451" si="144">IF(Q388="Intermission",E387+1,E387)</f>
        <v>1</v>
      </c>
      <c r="F388" s="5" t="s">
        <v>537</v>
      </c>
      <c r="G388" s="5" t="s">
        <v>519</v>
      </c>
      <c r="J388" t="str">
        <f t="shared" si="130"/>
        <v>9</v>
      </c>
      <c r="K388" t="str">
        <f t="shared" si="131"/>
        <v>47</v>
      </c>
      <c r="L388" t="str">
        <f t="shared" si="132"/>
        <v/>
      </c>
      <c r="M388" s="6" t="str">
        <f t="shared" si="133"/>
        <v/>
      </c>
      <c r="N388" t="s">
        <v>179</v>
      </c>
      <c r="O388">
        <v>93</v>
      </c>
      <c r="P388" t="s">
        <v>424</v>
      </c>
      <c r="Q388" t="s">
        <v>10</v>
      </c>
      <c r="R388" t="s">
        <v>190</v>
      </c>
      <c r="S388" t="s">
        <v>411</v>
      </c>
      <c r="Y388" t="str">
        <f t="shared" si="134"/>
        <v/>
      </c>
      <c r="Z388" t="str">
        <f t="shared" si="135"/>
        <v/>
      </c>
      <c r="AC388" t="str">
        <f t="shared" si="136"/>
        <v>Turnover</v>
      </c>
      <c r="AD388" t="str">
        <f t="shared" si="137"/>
        <v>Turnover_Giveaway</v>
      </c>
      <c r="AE388" t="str">
        <f t="shared" si="138"/>
        <v>Giveaway-ZoneClear/Dump</v>
      </c>
      <c r="AF388" t="str">
        <f t="shared" si="139"/>
        <v>Offensive</v>
      </c>
      <c r="AG388">
        <f t="shared" ref="AG388:AG451" si="145">AG387</f>
        <v>18981</v>
      </c>
      <c r="AH388" t="str">
        <f t="shared" ref="AH388:AH451" si="146">AH387</f>
        <v>Nelson</v>
      </c>
      <c r="AI388" t="str">
        <f t="shared" ref="AI388:AI451" si="147">AI387</f>
        <v>Velodrome</v>
      </c>
      <c r="AJ388" s="18">
        <f t="shared" si="140"/>
        <v>0</v>
      </c>
      <c r="AP388" s="18">
        <f t="shared" si="141"/>
        <v>0</v>
      </c>
      <c r="AQ388">
        <f t="shared" si="142"/>
        <v>0</v>
      </c>
      <c r="AR388" s="23">
        <f t="shared" si="143"/>
        <v>493</v>
      </c>
      <c r="AS388">
        <f t="shared" ref="AS388:AS451" si="148">IF(AR388&lt;5,0,AR388-5)</f>
        <v>488</v>
      </c>
      <c r="AT388" s="21">
        <f t="shared" ref="AT388:AT451" si="149">AS388+AJ388+5</f>
        <v>493</v>
      </c>
      <c r="AU388" s="21"/>
      <c r="AV388" s="21"/>
      <c r="AW388" s="21"/>
    </row>
    <row r="389" spans="1:49" x14ac:dyDescent="0.2">
      <c r="A389">
        <v>216</v>
      </c>
      <c r="E389">
        <f t="shared" si="144"/>
        <v>1</v>
      </c>
      <c r="F389" s="5" t="s">
        <v>537</v>
      </c>
      <c r="G389" s="5" t="s">
        <v>519</v>
      </c>
      <c r="H389" s="5" t="s">
        <v>537</v>
      </c>
      <c r="I389" s="7" t="s">
        <v>517</v>
      </c>
      <c r="J389" t="str">
        <f t="shared" si="130"/>
        <v>9</v>
      </c>
      <c r="K389" t="str">
        <f t="shared" si="131"/>
        <v>47</v>
      </c>
      <c r="L389" t="str">
        <f t="shared" si="132"/>
        <v>9</v>
      </c>
      <c r="M389" s="6" t="str">
        <f t="shared" si="133"/>
        <v>45</v>
      </c>
      <c r="N389" t="s">
        <v>178</v>
      </c>
      <c r="O389">
        <v>79</v>
      </c>
      <c r="P389" t="s">
        <v>424</v>
      </c>
      <c r="Q389" t="s">
        <v>15</v>
      </c>
      <c r="Y389" t="str">
        <f t="shared" si="134"/>
        <v/>
      </c>
      <c r="Z389" t="str">
        <f t="shared" si="135"/>
        <v/>
      </c>
      <c r="AC389" t="str">
        <f t="shared" si="136"/>
        <v>Possession</v>
      </c>
      <c r="AD389" t="str">
        <f t="shared" si="137"/>
        <v/>
      </c>
      <c r="AE389" t="str">
        <f t="shared" si="138"/>
        <v/>
      </c>
      <c r="AF389" t="str">
        <f t="shared" si="139"/>
        <v>Offensive</v>
      </c>
      <c r="AG389">
        <f t="shared" si="145"/>
        <v>18981</v>
      </c>
      <c r="AH389" t="str">
        <f t="shared" si="146"/>
        <v>Nelson</v>
      </c>
      <c r="AI389" t="str">
        <f t="shared" si="147"/>
        <v>Velodrome</v>
      </c>
      <c r="AJ389" s="18">
        <f t="shared" si="140"/>
        <v>2</v>
      </c>
      <c r="AP389" s="18">
        <f t="shared" si="141"/>
        <v>0</v>
      </c>
      <c r="AQ389">
        <f t="shared" si="142"/>
        <v>0</v>
      </c>
      <c r="AR389" s="23">
        <f t="shared" si="143"/>
        <v>493</v>
      </c>
      <c r="AS389">
        <f t="shared" si="148"/>
        <v>488</v>
      </c>
      <c r="AT389" s="21">
        <f t="shared" si="149"/>
        <v>495</v>
      </c>
      <c r="AU389" s="21"/>
      <c r="AV389" s="21"/>
      <c r="AW389" s="21"/>
    </row>
    <row r="390" spans="1:49" x14ac:dyDescent="0.2">
      <c r="A390">
        <v>217</v>
      </c>
      <c r="E390">
        <f t="shared" si="144"/>
        <v>1</v>
      </c>
      <c r="F390" s="5" t="s">
        <v>537</v>
      </c>
      <c r="G390" s="5" t="s">
        <v>517</v>
      </c>
      <c r="J390" t="str">
        <f t="shared" si="130"/>
        <v>9</v>
      </c>
      <c r="K390" t="str">
        <f t="shared" si="131"/>
        <v>45</v>
      </c>
      <c r="L390" t="str">
        <f t="shared" si="132"/>
        <v/>
      </c>
      <c r="M390" s="6" t="str">
        <f t="shared" si="133"/>
        <v/>
      </c>
      <c r="N390" t="s">
        <v>178</v>
      </c>
      <c r="O390">
        <v>79</v>
      </c>
      <c r="P390" t="s">
        <v>424</v>
      </c>
      <c r="Q390" t="s">
        <v>8</v>
      </c>
      <c r="R390" t="s">
        <v>209</v>
      </c>
      <c r="S390" t="s">
        <v>70</v>
      </c>
      <c r="Y390" t="str">
        <f t="shared" si="134"/>
        <v/>
      </c>
      <c r="Z390" t="str">
        <f t="shared" si="135"/>
        <v/>
      </c>
      <c r="AC390" t="str">
        <f t="shared" si="136"/>
        <v>Pass</v>
      </c>
      <c r="AD390" t="str">
        <f t="shared" si="137"/>
        <v>Pass_Deflected</v>
      </c>
      <c r="AE390" t="str">
        <f t="shared" si="138"/>
        <v>Pass-Forehand</v>
      </c>
      <c r="AF390" t="str">
        <f t="shared" si="139"/>
        <v>Offensive</v>
      </c>
      <c r="AG390">
        <f t="shared" si="145"/>
        <v>18981</v>
      </c>
      <c r="AH390" t="str">
        <f t="shared" si="146"/>
        <v>Nelson</v>
      </c>
      <c r="AI390" t="str">
        <f t="shared" si="147"/>
        <v>Velodrome</v>
      </c>
      <c r="AJ390" s="18">
        <f t="shared" si="140"/>
        <v>0</v>
      </c>
      <c r="AP390" s="18">
        <f t="shared" si="141"/>
        <v>0</v>
      </c>
      <c r="AQ390">
        <f t="shared" si="142"/>
        <v>0</v>
      </c>
      <c r="AR390" s="23">
        <f t="shared" si="143"/>
        <v>495</v>
      </c>
      <c r="AS390">
        <f t="shared" si="148"/>
        <v>490</v>
      </c>
      <c r="AT390" s="21">
        <f t="shared" si="149"/>
        <v>495</v>
      </c>
      <c r="AU390" s="21"/>
      <c r="AV390" s="21"/>
      <c r="AW390" s="21"/>
    </row>
    <row r="391" spans="1:49" x14ac:dyDescent="0.2">
      <c r="A391">
        <v>217</v>
      </c>
      <c r="E391">
        <f t="shared" si="144"/>
        <v>1</v>
      </c>
      <c r="J391" t="str">
        <f t="shared" si="130"/>
        <v>9</v>
      </c>
      <c r="K391" t="str">
        <f t="shared" si="131"/>
        <v>45</v>
      </c>
      <c r="L391" t="str">
        <f t="shared" si="132"/>
        <v/>
      </c>
      <c r="M391" s="6" t="str">
        <f t="shared" si="133"/>
        <v/>
      </c>
      <c r="N391" t="str">
        <f t="shared" ref="N391:N453" si="150">IF(A391=A390,N390,"")</f>
        <v>Home</v>
      </c>
      <c r="O391">
        <v>37</v>
      </c>
      <c r="P391" t="s">
        <v>424</v>
      </c>
      <c r="Y391" t="str">
        <f t="shared" si="134"/>
        <v/>
      </c>
      <c r="Z391" t="str">
        <f t="shared" si="135"/>
        <v/>
      </c>
      <c r="AC391" t="str">
        <f t="shared" si="136"/>
        <v>Pass</v>
      </c>
      <c r="AD391" t="str">
        <f t="shared" si="137"/>
        <v>Pass_Deflected</v>
      </c>
      <c r="AE391" t="str">
        <f t="shared" si="138"/>
        <v>Pass-Forehand</v>
      </c>
      <c r="AF391" t="str">
        <f t="shared" si="139"/>
        <v>Offensive</v>
      </c>
      <c r="AG391">
        <f t="shared" si="145"/>
        <v>18981</v>
      </c>
      <c r="AH391" t="str">
        <f t="shared" si="146"/>
        <v>Nelson</v>
      </c>
      <c r="AI391" t="str">
        <f t="shared" si="147"/>
        <v>Velodrome</v>
      </c>
      <c r="AJ391" s="18">
        <f t="shared" si="140"/>
        <v>0</v>
      </c>
      <c r="AP391" s="18">
        <f t="shared" si="141"/>
        <v>0</v>
      </c>
      <c r="AQ391">
        <f t="shared" si="142"/>
        <v>0</v>
      </c>
      <c r="AR391" s="23">
        <f t="shared" si="143"/>
        <v>495</v>
      </c>
      <c r="AS391">
        <f t="shared" si="148"/>
        <v>490</v>
      </c>
      <c r="AT391" s="21">
        <f t="shared" si="149"/>
        <v>495</v>
      </c>
      <c r="AU391" s="21"/>
      <c r="AV391" s="21"/>
      <c r="AW391" s="21"/>
    </row>
    <row r="392" spans="1:49" x14ac:dyDescent="0.2">
      <c r="A392">
        <v>217</v>
      </c>
      <c r="E392">
        <f t="shared" si="144"/>
        <v>1</v>
      </c>
      <c r="J392" t="str">
        <f t="shared" si="130"/>
        <v>9</v>
      </c>
      <c r="K392" t="str">
        <f t="shared" si="131"/>
        <v>45</v>
      </c>
      <c r="L392" t="str">
        <f t="shared" si="132"/>
        <v/>
      </c>
      <c r="M392" s="6" t="str">
        <f t="shared" si="133"/>
        <v/>
      </c>
      <c r="N392" t="str">
        <f t="shared" si="150"/>
        <v>Home</v>
      </c>
      <c r="O392">
        <v>91</v>
      </c>
      <c r="P392" t="s">
        <v>425</v>
      </c>
      <c r="Y392" t="str">
        <f t="shared" si="134"/>
        <v/>
      </c>
      <c r="Z392" t="str">
        <f t="shared" si="135"/>
        <v/>
      </c>
      <c r="AC392" t="str">
        <f t="shared" si="136"/>
        <v>Pass</v>
      </c>
      <c r="AD392" t="str">
        <f t="shared" si="137"/>
        <v>Pass_Deflected</v>
      </c>
      <c r="AE392" t="str">
        <f t="shared" si="138"/>
        <v>Pass-Forehand</v>
      </c>
      <c r="AF392" t="str">
        <f t="shared" si="139"/>
        <v>Defensive</v>
      </c>
      <c r="AG392">
        <f t="shared" si="145"/>
        <v>18981</v>
      </c>
      <c r="AH392" t="str">
        <f t="shared" si="146"/>
        <v>Nelson</v>
      </c>
      <c r="AI392" t="str">
        <f t="shared" si="147"/>
        <v>Velodrome</v>
      </c>
      <c r="AJ392" s="18">
        <f t="shared" si="140"/>
        <v>0</v>
      </c>
      <c r="AP392" s="18">
        <f t="shared" si="141"/>
        <v>0</v>
      </c>
      <c r="AQ392">
        <f t="shared" si="142"/>
        <v>0</v>
      </c>
      <c r="AR392" s="23">
        <f t="shared" si="143"/>
        <v>495</v>
      </c>
      <c r="AS392">
        <f t="shared" si="148"/>
        <v>490</v>
      </c>
      <c r="AT392" s="21">
        <f t="shared" si="149"/>
        <v>495</v>
      </c>
      <c r="AU392" s="21"/>
      <c r="AV392" s="21"/>
      <c r="AW392" s="21"/>
    </row>
    <row r="393" spans="1:49" x14ac:dyDescent="0.2">
      <c r="A393">
        <v>218</v>
      </c>
      <c r="E393">
        <f t="shared" si="144"/>
        <v>1</v>
      </c>
      <c r="F393" s="5" t="s">
        <v>537</v>
      </c>
      <c r="G393" s="5" t="s">
        <v>517</v>
      </c>
      <c r="J393" t="str">
        <f t="shared" ref="J393:J456" si="151">IF(F393&lt;&gt;"",F393,IF($A393=$A392,J392,J393))</f>
        <v>9</v>
      </c>
      <c r="K393" t="str">
        <f t="shared" ref="K393:K456" si="152">IF($A393=$A392,K392,G393)</f>
        <v>45</v>
      </c>
      <c r="L393" t="str">
        <f t="shared" ref="L393:L456" si="153">IF(H393&lt;&gt;"",H393,IF($A393=$A392,L392,""))</f>
        <v/>
      </c>
      <c r="M393" s="6" t="str">
        <f t="shared" ref="M393:M456" si="154">IF(I393&lt;&gt;"",I393,IF($A393=$A392,M392,""))</f>
        <v/>
      </c>
      <c r="N393" t="s">
        <v>179</v>
      </c>
      <c r="O393">
        <v>91</v>
      </c>
      <c r="P393" t="s">
        <v>424</v>
      </c>
      <c r="Q393" t="s">
        <v>13</v>
      </c>
      <c r="R393" t="s">
        <v>204</v>
      </c>
      <c r="S393" t="s">
        <v>107</v>
      </c>
      <c r="Y393" t="str">
        <f t="shared" si="134"/>
        <v/>
      </c>
      <c r="Z393" t="str">
        <f t="shared" si="135"/>
        <v/>
      </c>
      <c r="AC393" t="str">
        <f t="shared" si="136"/>
        <v>Stoppage</v>
      </c>
      <c r="AD393" t="str">
        <f t="shared" si="137"/>
        <v>Stoppage_Play</v>
      </c>
      <c r="AE393" t="str">
        <f t="shared" si="138"/>
        <v>Stoppage-PuckOutofPlay</v>
      </c>
      <c r="AF393" t="str">
        <f t="shared" si="139"/>
        <v/>
      </c>
      <c r="AG393">
        <f t="shared" si="145"/>
        <v>18981</v>
      </c>
      <c r="AH393" t="str">
        <f t="shared" si="146"/>
        <v>Nelson</v>
      </c>
      <c r="AI393" t="str">
        <f t="shared" si="147"/>
        <v>Velodrome</v>
      </c>
      <c r="AJ393" s="18">
        <f t="shared" si="140"/>
        <v>0</v>
      </c>
      <c r="AP393" s="18">
        <f t="shared" si="141"/>
        <v>0</v>
      </c>
      <c r="AQ393">
        <f t="shared" si="142"/>
        <v>0</v>
      </c>
      <c r="AR393" s="23">
        <f t="shared" si="143"/>
        <v>495</v>
      </c>
      <c r="AS393">
        <f t="shared" si="148"/>
        <v>490</v>
      </c>
      <c r="AT393" s="21">
        <f t="shared" si="149"/>
        <v>495</v>
      </c>
      <c r="AU393" s="21"/>
      <c r="AV393" s="21"/>
      <c r="AW393" s="21"/>
    </row>
    <row r="394" spans="1:49" x14ac:dyDescent="0.2">
      <c r="A394">
        <v>219</v>
      </c>
      <c r="E394">
        <f t="shared" si="144"/>
        <v>1</v>
      </c>
      <c r="F394" s="5" t="s">
        <v>537</v>
      </c>
      <c r="G394" s="5" t="s">
        <v>517</v>
      </c>
      <c r="H394" s="5" t="s">
        <v>537</v>
      </c>
      <c r="I394" s="7" t="s">
        <v>495</v>
      </c>
      <c r="J394" t="str">
        <f t="shared" si="151"/>
        <v>9</v>
      </c>
      <c r="K394" t="str">
        <f t="shared" si="152"/>
        <v>45</v>
      </c>
      <c r="L394" t="str">
        <f t="shared" si="153"/>
        <v>9</v>
      </c>
      <c r="M394" s="6" t="str">
        <f t="shared" si="154"/>
        <v>23</v>
      </c>
      <c r="N394" t="s">
        <v>179</v>
      </c>
      <c r="O394">
        <v>91</v>
      </c>
      <c r="P394" t="s">
        <v>424</v>
      </c>
      <c r="Q394" t="s">
        <v>282</v>
      </c>
      <c r="Y394" t="str">
        <f t="shared" si="134"/>
        <v/>
      </c>
      <c r="Z394" t="str">
        <f t="shared" si="135"/>
        <v/>
      </c>
      <c r="AC394" t="str">
        <f t="shared" si="136"/>
        <v>DeadIce</v>
      </c>
      <c r="AD394" t="str">
        <f t="shared" si="137"/>
        <v/>
      </c>
      <c r="AE394" t="str">
        <f t="shared" si="138"/>
        <v/>
      </c>
      <c r="AF394" t="str">
        <f t="shared" si="139"/>
        <v/>
      </c>
      <c r="AG394">
        <f t="shared" si="145"/>
        <v>18981</v>
      </c>
      <c r="AH394" t="str">
        <f t="shared" si="146"/>
        <v>Nelson</v>
      </c>
      <c r="AI394" t="str">
        <f t="shared" si="147"/>
        <v>Velodrome</v>
      </c>
      <c r="AJ394" s="18">
        <f t="shared" si="140"/>
        <v>22</v>
      </c>
      <c r="AP394" s="18">
        <f t="shared" si="141"/>
        <v>0</v>
      </c>
      <c r="AQ394">
        <f t="shared" si="142"/>
        <v>0</v>
      </c>
      <c r="AR394" s="23">
        <f t="shared" si="143"/>
        <v>495</v>
      </c>
      <c r="AS394">
        <f t="shared" si="148"/>
        <v>490</v>
      </c>
      <c r="AT394" s="21">
        <f t="shared" si="149"/>
        <v>517</v>
      </c>
      <c r="AU394" s="21"/>
      <c r="AV394" s="21"/>
      <c r="AW394" s="21"/>
    </row>
    <row r="395" spans="1:49" x14ac:dyDescent="0.2">
      <c r="A395">
        <v>220</v>
      </c>
      <c r="E395">
        <f t="shared" si="144"/>
        <v>1</v>
      </c>
      <c r="F395" s="5" t="s">
        <v>537</v>
      </c>
      <c r="G395" s="5" t="s">
        <v>495</v>
      </c>
      <c r="J395" t="str">
        <f t="shared" si="151"/>
        <v>9</v>
      </c>
      <c r="K395" t="str">
        <f t="shared" si="152"/>
        <v>23</v>
      </c>
      <c r="L395" t="str">
        <f t="shared" si="153"/>
        <v/>
      </c>
      <c r="M395" s="6" t="str">
        <f t="shared" si="154"/>
        <v/>
      </c>
      <c r="N395" t="s">
        <v>178</v>
      </c>
      <c r="O395">
        <v>79</v>
      </c>
      <c r="P395" t="s">
        <v>424</v>
      </c>
      <c r="Q395" t="s">
        <v>6</v>
      </c>
      <c r="R395" t="s">
        <v>275</v>
      </c>
      <c r="Y395" t="str">
        <f t="shared" si="134"/>
        <v/>
      </c>
      <c r="Z395" t="str">
        <f t="shared" si="135"/>
        <v/>
      </c>
      <c r="AC395" t="str">
        <f t="shared" si="136"/>
        <v>Faceoff</v>
      </c>
      <c r="AD395" t="str">
        <f t="shared" si="137"/>
        <v>Faceoff_AfterStoppage</v>
      </c>
      <c r="AE395" t="str">
        <f t="shared" si="138"/>
        <v/>
      </c>
      <c r="AF395" t="str">
        <f t="shared" si="139"/>
        <v>Offensive</v>
      </c>
      <c r="AG395">
        <f t="shared" si="145"/>
        <v>18981</v>
      </c>
      <c r="AH395" t="str">
        <f t="shared" si="146"/>
        <v>Nelson</v>
      </c>
      <c r="AI395" t="str">
        <f t="shared" si="147"/>
        <v>Velodrome</v>
      </c>
      <c r="AJ395" s="18">
        <f t="shared" si="140"/>
        <v>0</v>
      </c>
      <c r="AP395" s="18">
        <f t="shared" si="141"/>
        <v>0</v>
      </c>
      <c r="AQ395">
        <f t="shared" si="142"/>
        <v>0</v>
      </c>
      <c r="AR395" s="23">
        <f t="shared" si="143"/>
        <v>517</v>
      </c>
      <c r="AS395">
        <f t="shared" si="148"/>
        <v>512</v>
      </c>
      <c r="AT395" s="21">
        <f t="shared" si="149"/>
        <v>517</v>
      </c>
      <c r="AU395" s="21"/>
      <c r="AV395" s="21"/>
      <c r="AW395" s="21"/>
    </row>
    <row r="396" spans="1:49" x14ac:dyDescent="0.2">
      <c r="A396">
        <v>220</v>
      </c>
      <c r="E396">
        <f t="shared" si="144"/>
        <v>1</v>
      </c>
      <c r="J396" t="str">
        <f t="shared" si="151"/>
        <v>9</v>
      </c>
      <c r="K396" t="str">
        <f t="shared" si="152"/>
        <v>23</v>
      </c>
      <c r="L396" t="str">
        <f t="shared" si="153"/>
        <v/>
      </c>
      <c r="M396" s="6" t="str">
        <f t="shared" si="154"/>
        <v/>
      </c>
      <c r="N396" t="str">
        <f t="shared" si="150"/>
        <v>Home</v>
      </c>
      <c r="O396">
        <v>37</v>
      </c>
      <c r="P396" t="s">
        <v>424</v>
      </c>
      <c r="Y396" t="str">
        <f t="shared" si="134"/>
        <v/>
      </c>
      <c r="Z396" t="str">
        <f t="shared" si="135"/>
        <v/>
      </c>
      <c r="AC396" t="str">
        <f t="shared" si="136"/>
        <v>Faceoff</v>
      </c>
      <c r="AD396" t="str">
        <f t="shared" si="137"/>
        <v>Faceoff_AfterStoppage</v>
      </c>
      <c r="AE396" t="str">
        <f t="shared" si="138"/>
        <v/>
      </c>
      <c r="AF396" t="str">
        <f t="shared" si="139"/>
        <v>Offensive</v>
      </c>
      <c r="AG396">
        <f t="shared" si="145"/>
        <v>18981</v>
      </c>
      <c r="AH396" t="str">
        <f t="shared" si="146"/>
        <v>Nelson</v>
      </c>
      <c r="AI396" t="str">
        <f t="shared" si="147"/>
        <v>Velodrome</v>
      </c>
      <c r="AJ396" s="18">
        <f t="shared" si="140"/>
        <v>0</v>
      </c>
      <c r="AP396" s="18">
        <f t="shared" si="141"/>
        <v>0</v>
      </c>
      <c r="AQ396">
        <f t="shared" si="142"/>
        <v>0</v>
      </c>
      <c r="AR396" s="23">
        <f t="shared" si="143"/>
        <v>517</v>
      </c>
      <c r="AS396">
        <f t="shared" si="148"/>
        <v>512</v>
      </c>
      <c r="AT396" s="21">
        <f t="shared" si="149"/>
        <v>517</v>
      </c>
      <c r="AU396" s="21"/>
      <c r="AV396" s="21"/>
      <c r="AW396" s="21"/>
    </row>
    <row r="397" spans="1:49" x14ac:dyDescent="0.2">
      <c r="A397">
        <v>220</v>
      </c>
      <c r="E397">
        <f t="shared" si="144"/>
        <v>1</v>
      </c>
      <c r="J397" t="str">
        <f t="shared" si="151"/>
        <v>9</v>
      </c>
      <c r="K397" t="str">
        <f t="shared" si="152"/>
        <v>23</v>
      </c>
      <c r="L397" t="str">
        <f t="shared" si="153"/>
        <v/>
      </c>
      <c r="M397" s="6" t="str">
        <f t="shared" si="154"/>
        <v/>
      </c>
      <c r="N397" t="str">
        <f t="shared" si="150"/>
        <v>Home</v>
      </c>
      <c r="O397">
        <v>42</v>
      </c>
      <c r="P397" t="s">
        <v>425</v>
      </c>
      <c r="Y397" t="str">
        <f t="shared" si="134"/>
        <v/>
      </c>
      <c r="Z397" t="str">
        <f t="shared" si="135"/>
        <v/>
      </c>
      <c r="AC397" t="str">
        <f t="shared" si="136"/>
        <v>Faceoff</v>
      </c>
      <c r="AD397" t="str">
        <f t="shared" si="137"/>
        <v>Faceoff_AfterStoppage</v>
      </c>
      <c r="AE397" t="str">
        <f t="shared" si="138"/>
        <v/>
      </c>
      <c r="AF397" t="str">
        <f t="shared" si="139"/>
        <v>Defensive</v>
      </c>
      <c r="AG397">
        <f t="shared" si="145"/>
        <v>18981</v>
      </c>
      <c r="AH397" t="str">
        <f t="shared" si="146"/>
        <v>Nelson</v>
      </c>
      <c r="AI397" t="str">
        <f t="shared" si="147"/>
        <v>Velodrome</v>
      </c>
      <c r="AJ397" s="18">
        <f t="shared" si="140"/>
        <v>0</v>
      </c>
      <c r="AP397" s="18">
        <f t="shared" si="141"/>
        <v>0</v>
      </c>
      <c r="AQ397">
        <f t="shared" si="142"/>
        <v>0</v>
      </c>
      <c r="AR397" s="23">
        <f t="shared" si="143"/>
        <v>517</v>
      </c>
      <c r="AS397">
        <f t="shared" si="148"/>
        <v>512</v>
      </c>
      <c r="AT397" s="21">
        <f t="shared" si="149"/>
        <v>517</v>
      </c>
      <c r="AU397" s="21"/>
      <c r="AV397" s="21"/>
      <c r="AW397" s="21"/>
    </row>
    <row r="398" spans="1:49" x14ac:dyDescent="0.2">
      <c r="A398">
        <v>221</v>
      </c>
      <c r="E398">
        <f t="shared" si="144"/>
        <v>1</v>
      </c>
      <c r="F398" s="5" t="s">
        <v>537</v>
      </c>
      <c r="G398" s="5" t="s">
        <v>494</v>
      </c>
      <c r="J398" t="str">
        <f t="shared" si="151"/>
        <v>9</v>
      </c>
      <c r="K398" t="str">
        <f t="shared" si="152"/>
        <v>22</v>
      </c>
      <c r="L398" t="str">
        <f t="shared" si="153"/>
        <v/>
      </c>
      <c r="M398" s="6" t="str">
        <f t="shared" si="154"/>
        <v/>
      </c>
      <c r="N398" t="s">
        <v>178</v>
      </c>
      <c r="O398">
        <v>37</v>
      </c>
      <c r="P398" t="s">
        <v>424</v>
      </c>
      <c r="Q398" t="s">
        <v>10</v>
      </c>
      <c r="R398" t="s">
        <v>190</v>
      </c>
      <c r="S398" t="s">
        <v>422</v>
      </c>
      <c r="Y398" t="str">
        <f t="shared" si="134"/>
        <v/>
      </c>
      <c r="Z398" t="str">
        <f t="shared" si="135"/>
        <v/>
      </c>
      <c r="AC398" t="str">
        <f t="shared" si="136"/>
        <v>Turnover</v>
      </c>
      <c r="AD398" t="str">
        <f t="shared" si="137"/>
        <v>Turnover_Giveaway</v>
      </c>
      <c r="AE398" t="str">
        <f t="shared" si="138"/>
        <v>Giveaway-AttemptedZoneClear/Dump</v>
      </c>
      <c r="AF398" t="str">
        <f t="shared" si="139"/>
        <v>Offensive</v>
      </c>
      <c r="AG398">
        <f t="shared" si="145"/>
        <v>18981</v>
      </c>
      <c r="AH398" t="str">
        <f t="shared" si="146"/>
        <v>Nelson</v>
      </c>
      <c r="AI398" t="str">
        <f t="shared" si="147"/>
        <v>Velodrome</v>
      </c>
      <c r="AJ398" s="18">
        <f t="shared" si="140"/>
        <v>0</v>
      </c>
      <c r="AP398" s="18">
        <f t="shared" si="141"/>
        <v>0</v>
      </c>
      <c r="AQ398">
        <f t="shared" si="142"/>
        <v>0</v>
      </c>
      <c r="AR398" s="23">
        <f t="shared" si="143"/>
        <v>518</v>
      </c>
      <c r="AS398">
        <f t="shared" si="148"/>
        <v>513</v>
      </c>
      <c r="AT398" s="21">
        <f t="shared" si="149"/>
        <v>518</v>
      </c>
      <c r="AU398" s="21"/>
      <c r="AV398" s="21"/>
      <c r="AW398" s="21"/>
    </row>
    <row r="399" spans="1:49" x14ac:dyDescent="0.2">
      <c r="A399">
        <v>222</v>
      </c>
      <c r="E399">
        <f t="shared" si="144"/>
        <v>1</v>
      </c>
      <c r="F399" s="5" t="s">
        <v>537</v>
      </c>
      <c r="G399" s="5" t="s">
        <v>490</v>
      </c>
      <c r="J399" t="str">
        <f t="shared" si="151"/>
        <v>9</v>
      </c>
      <c r="K399" t="str">
        <f t="shared" si="152"/>
        <v>18</v>
      </c>
      <c r="L399" t="str">
        <f t="shared" si="153"/>
        <v/>
      </c>
      <c r="M399" s="6" t="str">
        <f t="shared" si="154"/>
        <v/>
      </c>
      <c r="N399" t="s">
        <v>179</v>
      </c>
      <c r="O399">
        <v>93</v>
      </c>
      <c r="P399" t="s">
        <v>424</v>
      </c>
      <c r="Q399" t="s">
        <v>277</v>
      </c>
      <c r="R399" t="s">
        <v>210</v>
      </c>
      <c r="S399" t="s">
        <v>93</v>
      </c>
      <c r="Y399" t="str">
        <f t="shared" si="134"/>
        <v/>
      </c>
      <c r="Z399" t="str">
        <f t="shared" si="135"/>
        <v/>
      </c>
      <c r="AC399" t="str">
        <f t="shared" si="136"/>
        <v>Zone_Entry_Exit</v>
      </c>
      <c r="AD399" t="str">
        <f t="shared" si="137"/>
        <v>Zone_Keepin</v>
      </c>
      <c r="AE399" t="str">
        <f t="shared" si="138"/>
        <v>Zone-KeepIn</v>
      </c>
      <c r="AF399" t="str">
        <f t="shared" si="139"/>
        <v>Offensive</v>
      </c>
      <c r="AG399">
        <f t="shared" si="145"/>
        <v>18981</v>
      </c>
      <c r="AH399" t="str">
        <f t="shared" si="146"/>
        <v>Nelson</v>
      </c>
      <c r="AI399" t="str">
        <f t="shared" si="147"/>
        <v>Velodrome</v>
      </c>
      <c r="AJ399" s="18">
        <f t="shared" si="140"/>
        <v>0</v>
      </c>
      <c r="AP399" s="18">
        <f t="shared" si="141"/>
        <v>0</v>
      </c>
      <c r="AQ399">
        <f t="shared" si="142"/>
        <v>0</v>
      </c>
      <c r="AR399" s="23">
        <f t="shared" si="143"/>
        <v>522</v>
      </c>
      <c r="AS399">
        <f t="shared" si="148"/>
        <v>517</v>
      </c>
      <c r="AT399" s="21">
        <f t="shared" si="149"/>
        <v>522</v>
      </c>
      <c r="AU399" s="21"/>
      <c r="AV399" s="21"/>
      <c r="AW399" s="21"/>
    </row>
    <row r="400" spans="1:49" x14ac:dyDescent="0.2">
      <c r="A400">
        <v>222</v>
      </c>
      <c r="E400">
        <f t="shared" si="144"/>
        <v>1</v>
      </c>
      <c r="J400" t="str">
        <f t="shared" si="151"/>
        <v>9</v>
      </c>
      <c r="K400" t="str">
        <f t="shared" si="152"/>
        <v>18</v>
      </c>
      <c r="L400" t="str">
        <f t="shared" si="153"/>
        <v/>
      </c>
      <c r="M400" s="6" t="str">
        <f t="shared" si="154"/>
        <v/>
      </c>
      <c r="N400" t="str">
        <f t="shared" si="150"/>
        <v>Away</v>
      </c>
      <c r="O400">
        <v>44</v>
      </c>
      <c r="P400" t="s">
        <v>425</v>
      </c>
      <c r="Y400" t="str">
        <f t="shared" si="134"/>
        <v/>
      </c>
      <c r="Z400" t="str">
        <f t="shared" si="135"/>
        <v/>
      </c>
      <c r="AC400" t="str">
        <f t="shared" si="136"/>
        <v>Zone_Entry_Exit</v>
      </c>
      <c r="AD400" t="str">
        <f t="shared" si="137"/>
        <v>Zone_Keepin</v>
      </c>
      <c r="AE400" t="str">
        <f t="shared" si="138"/>
        <v>Zone-KeepIn</v>
      </c>
      <c r="AF400" t="str">
        <f t="shared" si="139"/>
        <v>Defensive</v>
      </c>
      <c r="AG400">
        <f t="shared" si="145"/>
        <v>18981</v>
      </c>
      <c r="AH400" t="str">
        <f t="shared" si="146"/>
        <v>Nelson</v>
      </c>
      <c r="AI400" t="str">
        <f t="shared" si="147"/>
        <v>Velodrome</v>
      </c>
      <c r="AJ400" s="18">
        <f t="shared" si="140"/>
        <v>0</v>
      </c>
      <c r="AP400" s="18">
        <f t="shared" si="141"/>
        <v>0</v>
      </c>
      <c r="AQ400">
        <f t="shared" si="142"/>
        <v>0</v>
      </c>
      <c r="AR400" s="23">
        <f t="shared" si="143"/>
        <v>522</v>
      </c>
      <c r="AS400">
        <f t="shared" si="148"/>
        <v>517</v>
      </c>
      <c r="AT400" s="21">
        <f t="shared" si="149"/>
        <v>522</v>
      </c>
      <c r="AU400" s="21"/>
      <c r="AV400" s="21"/>
      <c r="AW400" s="21"/>
    </row>
    <row r="401" spans="1:49" x14ac:dyDescent="0.2">
      <c r="A401">
        <v>223</v>
      </c>
      <c r="E401">
        <f t="shared" si="144"/>
        <v>1</v>
      </c>
      <c r="F401" s="5" t="s">
        <v>537</v>
      </c>
      <c r="G401" s="5" t="s">
        <v>490</v>
      </c>
      <c r="H401" s="5" t="s">
        <v>537</v>
      </c>
      <c r="I401" s="7" t="s">
        <v>489</v>
      </c>
      <c r="J401" t="str">
        <f t="shared" si="151"/>
        <v>9</v>
      </c>
      <c r="K401" t="str">
        <f t="shared" si="152"/>
        <v>18</v>
      </c>
      <c r="L401" t="str">
        <f t="shared" si="153"/>
        <v>9</v>
      </c>
      <c r="M401" s="6" t="str">
        <f t="shared" si="154"/>
        <v>14</v>
      </c>
      <c r="N401" t="s">
        <v>179</v>
      </c>
      <c r="O401">
        <v>93</v>
      </c>
      <c r="P401" t="s">
        <v>424</v>
      </c>
      <c r="Q401" t="s">
        <v>15</v>
      </c>
      <c r="Y401" t="str">
        <f t="shared" si="134"/>
        <v/>
      </c>
      <c r="Z401" t="str">
        <f t="shared" si="135"/>
        <v/>
      </c>
      <c r="AC401" t="str">
        <f t="shared" si="136"/>
        <v>Possession</v>
      </c>
      <c r="AD401" t="str">
        <f t="shared" si="137"/>
        <v/>
      </c>
      <c r="AE401" t="str">
        <f t="shared" si="138"/>
        <v/>
      </c>
      <c r="AF401" t="str">
        <f t="shared" si="139"/>
        <v>Offensive</v>
      </c>
      <c r="AG401">
        <f t="shared" si="145"/>
        <v>18981</v>
      </c>
      <c r="AH401" t="str">
        <f t="shared" si="146"/>
        <v>Nelson</v>
      </c>
      <c r="AI401" t="str">
        <f t="shared" si="147"/>
        <v>Velodrome</v>
      </c>
      <c r="AJ401" s="18">
        <f t="shared" si="140"/>
        <v>4</v>
      </c>
      <c r="AP401" s="18">
        <f t="shared" si="141"/>
        <v>0</v>
      </c>
      <c r="AQ401">
        <f t="shared" si="142"/>
        <v>0</v>
      </c>
      <c r="AR401" s="23">
        <f t="shared" si="143"/>
        <v>522</v>
      </c>
      <c r="AS401">
        <f t="shared" si="148"/>
        <v>517</v>
      </c>
      <c r="AT401" s="21">
        <f t="shared" si="149"/>
        <v>526</v>
      </c>
      <c r="AU401" s="21"/>
      <c r="AV401" s="21"/>
      <c r="AW401" s="21"/>
    </row>
    <row r="402" spans="1:49" x14ac:dyDescent="0.2">
      <c r="A402">
        <v>223</v>
      </c>
      <c r="E402">
        <f t="shared" si="144"/>
        <v>1</v>
      </c>
      <c r="J402" t="str">
        <f t="shared" si="151"/>
        <v>9</v>
      </c>
      <c r="K402" t="str">
        <f t="shared" si="152"/>
        <v>18</v>
      </c>
      <c r="L402" t="str">
        <f t="shared" si="153"/>
        <v>9</v>
      </c>
      <c r="M402" s="6" t="str">
        <f t="shared" si="154"/>
        <v>14</v>
      </c>
      <c r="N402" t="str">
        <f t="shared" si="150"/>
        <v>Away</v>
      </c>
      <c r="O402">
        <v>44</v>
      </c>
      <c r="P402" t="s">
        <v>425</v>
      </c>
      <c r="Y402" t="str">
        <f t="shared" si="134"/>
        <v/>
      </c>
      <c r="Z402" t="str">
        <f t="shared" si="135"/>
        <v/>
      </c>
      <c r="AC402" t="str">
        <f t="shared" si="136"/>
        <v>Possession</v>
      </c>
      <c r="AD402" t="str">
        <f t="shared" si="137"/>
        <v/>
      </c>
      <c r="AE402" t="str">
        <f t="shared" si="138"/>
        <v/>
      </c>
      <c r="AF402" t="str">
        <f t="shared" si="139"/>
        <v>Defensive</v>
      </c>
      <c r="AG402">
        <f t="shared" si="145"/>
        <v>18981</v>
      </c>
      <c r="AH402" t="str">
        <f t="shared" si="146"/>
        <v>Nelson</v>
      </c>
      <c r="AI402" t="str">
        <f t="shared" si="147"/>
        <v>Velodrome</v>
      </c>
      <c r="AJ402" s="18">
        <f t="shared" si="140"/>
        <v>4</v>
      </c>
      <c r="AP402" s="18">
        <f t="shared" si="141"/>
        <v>0</v>
      </c>
      <c r="AQ402">
        <f t="shared" si="142"/>
        <v>0</v>
      </c>
      <c r="AR402" s="23">
        <f t="shared" si="143"/>
        <v>522</v>
      </c>
      <c r="AS402">
        <f t="shared" si="148"/>
        <v>517</v>
      </c>
      <c r="AT402" s="21">
        <f t="shared" si="149"/>
        <v>526</v>
      </c>
      <c r="AU402" s="21"/>
      <c r="AV402" s="21"/>
      <c r="AW402" s="21"/>
    </row>
    <row r="403" spans="1:49" x14ac:dyDescent="0.2">
      <c r="A403">
        <v>224</v>
      </c>
      <c r="E403">
        <f t="shared" si="144"/>
        <v>1</v>
      </c>
      <c r="F403" s="5" t="s">
        <v>537</v>
      </c>
      <c r="G403" s="5" t="s">
        <v>489</v>
      </c>
      <c r="J403" t="str">
        <f t="shared" si="151"/>
        <v>9</v>
      </c>
      <c r="K403" t="str">
        <f t="shared" si="152"/>
        <v>14</v>
      </c>
      <c r="L403" t="str">
        <f t="shared" si="153"/>
        <v/>
      </c>
      <c r="M403" s="6" t="str">
        <f t="shared" si="154"/>
        <v/>
      </c>
      <c r="N403" t="s">
        <v>179</v>
      </c>
      <c r="O403">
        <v>93</v>
      </c>
      <c r="P403" t="s">
        <v>424</v>
      </c>
      <c r="Q403" t="s">
        <v>7</v>
      </c>
      <c r="R403" t="s">
        <v>198</v>
      </c>
      <c r="S403" t="s">
        <v>53</v>
      </c>
      <c r="Y403" t="str">
        <f t="shared" si="134"/>
        <v/>
      </c>
      <c r="Z403" t="str">
        <f t="shared" si="135"/>
        <v/>
      </c>
      <c r="AC403" t="str">
        <f t="shared" si="136"/>
        <v>Shot</v>
      </c>
      <c r="AD403" t="str">
        <f t="shared" si="137"/>
        <v>Shot_Missed</v>
      </c>
      <c r="AE403" t="str">
        <f t="shared" si="138"/>
        <v>Shot-Wrist</v>
      </c>
      <c r="AF403" t="str">
        <f t="shared" si="139"/>
        <v>Offensive</v>
      </c>
      <c r="AG403">
        <f t="shared" si="145"/>
        <v>18981</v>
      </c>
      <c r="AH403" t="str">
        <f t="shared" si="146"/>
        <v>Nelson</v>
      </c>
      <c r="AI403" t="str">
        <f t="shared" si="147"/>
        <v>Velodrome</v>
      </c>
      <c r="AJ403" s="18">
        <f t="shared" si="140"/>
        <v>0</v>
      </c>
      <c r="AP403" s="18">
        <f t="shared" si="141"/>
        <v>0</v>
      </c>
      <c r="AQ403">
        <f t="shared" si="142"/>
        <v>0</v>
      </c>
      <c r="AR403" s="23">
        <f t="shared" si="143"/>
        <v>526</v>
      </c>
      <c r="AS403">
        <f t="shared" si="148"/>
        <v>521</v>
      </c>
      <c r="AT403" s="21">
        <f t="shared" si="149"/>
        <v>526</v>
      </c>
      <c r="AU403" s="21"/>
      <c r="AV403" s="21"/>
      <c r="AW403" s="21"/>
    </row>
    <row r="404" spans="1:49" x14ac:dyDescent="0.2">
      <c r="A404">
        <v>224</v>
      </c>
      <c r="E404">
        <f t="shared" si="144"/>
        <v>1</v>
      </c>
      <c r="J404" t="str">
        <f t="shared" si="151"/>
        <v>9</v>
      </c>
      <c r="K404" t="str">
        <f t="shared" si="152"/>
        <v>14</v>
      </c>
      <c r="L404" t="str">
        <f t="shared" si="153"/>
        <v/>
      </c>
      <c r="M404" s="6" t="str">
        <f t="shared" si="154"/>
        <v/>
      </c>
      <c r="N404" t="str">
        <f t="shared" si="150"/>
        <v>Away</v>
      </c>
      <c r="O404">
        <v>37</v>
      </c>
      <c r="P404" t="s">
        <v>425</v>
      </c>
      <c r="Y404" t="str">
        <f t="shared" si="134"/>
        <v/>
      </c>
      <c r="Z404" t="str">
        <f t="shared" si="135"/>
        <v/>
      </c>
      <c r="AC404" t="str">
        <f t="shared" si="136"/>
        <v>Shot</v>
      </c>
      <c r="AD404" t="str">
        <f t="shared" si="137"/>
        <v>Shot_Missed</v>
      </c>
      <c r="AE404" t="str">
        <f t="shared" si="138"/>
        <v>Shot-Wrist</v>
      </c>
      <c r="AF404" t="str">
        <f t="shared" si="139"/>
        <v>Defensive</v>
      </c>
      <c r="AG404">
        <f t="shared" si="145"/>
        <v>18981</v>
      </c>
      <c r="AH404" t="str">
        <f t="shared" si="146"/>
        <v>Nelson</v>
      </c>
      <c r="AI404" t="str">
        <f t="shared" si="147"/>
        <v>Velodrome</v>
      </c>
      <c r="AJ404" s="18">
        <f t="shared" si="140"/>
        <v>0</v>
      </c>
      <c r="AP404" s="18">
        <f t="shared" si="141"/>
        <v>0</v>
      </c>
      <c r="AQ404">
        <f t="shared" si="142"/>
        <v>0</v>
      </c>
      <c r="AR404" s="23">
        <f t="shared" si="143"/>
        <v>526</v>
      </c>
      <c r="AS404">
        <f t="shared" si="148"/>
        <v>521</v>
      </c>
      <c r="AT404" s="21">
        <f t="shared" si="149"/>
        <v>526</v>
      </c>
      <c r="AU404" s="21"/>
      <c r="AV404" s="21"/>
      <c r="AW404" s="21"/>
    </row>
    <row r="405" spans="1:49" x14ac:dyDescent="0.2">
      <c r="A405">
        <v>225</v>
      </c>
      <c r="E405">
        <f t="shared" si="144"/>
        <v>1</v>
      </c>
      <c r="F405" s="5" t="s">
        <v>537</v>
      </c>
      <c r="G405" s="5" t="s">
        <v>487</v>
      </c>
      <c r="H405" s="5" t="s">
        <v>537</v>
      </c>
      <c r="I405" s="7" t="s">
        <v>485</v>
      </c>
      <c r="J405" t="str">
        <f t="shared" si="151"/>
        <v>9</v>
      </c>
      <c r="K405" t="str">
        <f t="shared" si="152"/>
        <v>12</v>
      </c>
      <c r="L405" t="str">
        <f t="shared" si="153"/>
        <v>9</v>
      </c>
      <c r="M405" s="6" t="str">
        <f t="shared" si="154"/>
        <v>10</v>
      </c>
      <c r="N405" t="s">
        <v>179</v>
      </c>
      <c r="O405">
        <v>91</v>
      </c>
      <c r="P405" t="s">
        <v>424</v>
      </c>
      <c r="Q405" t="s">
        <v>15</v>
      </c>
      <c r="Y405" t="str">
        <f t="shared" si="134"/>
        <v/>
      </c>
      <c r="Z405" t="str">
        <f t="shared" si="135"/>
        <v/>
      </c>
      <c r="AC405" t="str">
        <f t="shared" si="136"/>
        <v>Possession</v>
      </c>
      <c r="AD405" t="str">
        <f t="shared" si="137"/>
        <v/>
      </c>
      <c r="AE405" t="str">
        <f t="shared" si="138"/>
        <v/>
      </c>
      <c r="AF405" t="str">
        <f t="shared" si="139"/>
        <v>Offensive</v>
      </c>
      <c r="AG405">
        <f t="shared" si="145"/>
        <v>18981</v>
      </c>
      <c r="AH405" t="str">
        <f t="shared" si="146"/>
        <v>Nelson</v>
      </c>
      <c r="AI405" t="str">
        <f t="shared" si="147"/>
        <v>Velodrome</v>
      </c>
      <c r="AJ405" s="18">
        <f t="shared" si="140"/>
        <v>2</v>
      </c>
      <c r="AP405" s="18">
        <f t="shared" si="141"/>
        <v>0</v>
      </c>
      <c r="AQ405">
        <f t="shared" si="142"/>
        <v>0</v>
      </c>
      <c r="AR405" s="23">
        <f t="shared" si="143"/>
        <v>528</v>
      </c>
      <c r="AS405">
        <f t="shared" si="148"/>
        <v>523</v>
      </c>
      <c r="AT405" s="21">
        <f t="shared" si="149"/>
        <v>530</v>
      </c>
      <c r="AU405" s="21"/>
      <c r="AV405" s="21"/>
      <c r="AW405" s="21"/>
    </row>
    <row r="406" spans="1:49" x14ac:dyDescent="0.2">
      <c r="A406">
        <v>225</v>
      </c>
      <c r="E406">
        <f t="shared" si="144"/>
        <v>1</v>
      </c>
      <c r="J406" t="str">
        <f t="shared" si="151"/>
        <v>9</v>
      </c>
      <c r="K406" t="str">
        <f t="shared" si="152"/>
        <v>12</v>
      </c>
      <c r="L406" t="str">
        <f t="shared" si="153"/>
        <v>9</v>
      </c>
      <c r="M406" s="6" t="str">
        <f t="shared" si="154"/>
        <v>10</v>
      </c>
      <c r="N406" t="str">
        <f t="shared" si="150"/>
        <v>Away</v>
      </c>
      <c r="O406">
        <v>7</v>
      </c>
      <c r="P406" t="s">
        <v>425</v>
      </c>
      <c r="Y406" t="str">
        <f t="shared" si="134"/>
        <v/>
      </c>
      <c r="Z406" t="str">
        <f t="shared" si="135"/>
        <v/>
      </c>
      <c r="AC406" t="str">
        <f t="shared" si="136"/>
        <v>Possession</v>
      </c>
      <c r="AD406" t="str">
        <f t="shared" si="137"/>
        <v/>
      </c>
      <c r="AE406" t="str">
        <f t="shared" si="138"/>
        <v/>
      </c>
      <c r="AF406" t="str">
        <f t="shared" si="139"/>
        <v>Defensive</v>
      </c>
      <c r="AG406">
        <f t="shared" si="145"/>
        <v>18981</v>
      </c>
      <c r="AH406" t="str">
        <f t="shared" si="146"/>
        <v>Nelson</v>
      </c>
      <c r="AI406" t="str">
        <f t="shared" si="147"/>
        <v>Velodrome</v>
      </c>
      <c r="AJ406" s="18">
        <f t="shared" si="140"/>
        <v>2</v>
      </c>
      <c r="AP406" s="18">
        <f t="shared" si="141"/>
        <v>0</v>
      </c>
      <c r="AQ406">
        <f t="shared" si="142"/>
        <v>0</v>
      </c>
      <c r="AR406" s="23">
        <f t="shared" si="143"/>
        <v>528</v>
      </c>
      <c r="AS406">
        <f t="shared" si="148"/>
        <v>523</v>
      </c>
      <c r="AT406" s="21">
        <f t="shared" si="149"/>
        <v>530</v>
      </c>
      <c r="AU406" s="21"/>
      <c r="AV406" s="21"/>
      <c r="AW406" s="21"/>
    </row>
    <row r="407" spans="1:49" x14ac:dyDescent="0.2">
      <c r="A407">
        <v>226</v>
      </c>
      <c r="E407">
        <f t="shared" si="144"/>
        <v>1</v>
      </c>
      <c r="F407" s="5" t="s">
        <v>537</v>
      </c>
      <c r="G407" s="5" t="s">
        <v>485</v>
      </c>
      <c r="J407" t="str">
        <f t="shared" si="151"/>
        <v>9</v>
      </c>
      <c r="K407" t="str">
        <f t="shared" si="152"/>
        <v>10</v>
      </c>
      <c r="L407" t="str">
        <f t="shared" si="153"/>
        <v/>
      </c>
      <c r="M407" s="6" t="str">
        <f t="shared" si="154"/>
        <v/>
      </c>
      <c r="N407" t="s">
        <v>179</v>
      </c>
      <c r="O407">
        <v>91</v>
      </c>
      <c r="P407" t="s">
        <v>424</v>
      </c>
      <c r="Q407" t="s">
        <v>8</v>
      </c>
      <c r="R407" t="s">
        <v>189</v>
      </c>
      <c r="S407" t="s">
        <v>68</v>
      </c>
      <c r="Y407" t="str">
        <f t="shared" si="134"/>
        <v/>
      </c>
      <c r="Z407" t="str">
        <f t="shared" si="135"/>
        <v/>
      </c>
      <c r="AC407" t="str">
        <f t="shared" si="136"/>
        <v>Pass</v>
      </c>
      <c r="AD407" t="str">
        <f t="shared" si="137"/>
        <v>Pass_Completed</v>
      </c>
      <c r="AE407" t="str">
        <f t="shared" si="138"/>
        <v>Pass-Rim/Wrap</v>
      </c>
      <c r="AF407" t="str">
        <f t="shared" si="139"/>
        <v>Offensive</v>
      </c>
      <c r="AG407">
        <f t="shared" si="145"/>
        <v>18981</v>
      </c>
      <c r="AH407" t="str">
        <f t="shared" si="146"/>
        <v>Nelson</v>
      </c>
      <c r="AI407" t="str">
        <f t="shared" si="147"/>
        <v>Velodrome</v>
      </c>
      <c r="AJ407" s="18">
        <f t="shared" si="140"/>
        <v>0</v>
      </c>
      <c r="AP407" s="18">
        <f t="shared" si="141"/>
        <v>0</v>
      </c>
      <c r="AQ407">
        <f t="shared" si="142"/>
        <v>0</v>
      </c>
      <c r="AR407" s="23">
        <f t="shared" si="143"/>
        <v>530</v>
      </c>
      <c r="AS407">
        <f t="shared" si="148"/>
        <v>525</v>
      </c>
      <c r="AT407" s="21">
        <f t="shared" si="149"/>
        <v>530</v>
      </c>
      <c r="AU407" s="21"/>
      <c r="AV407" s="21"/>
      <c r="AW407" s="21"/>
    </row>
    <row r="408" spans="1:49" x14ac:dyDescent="0.2">
      <c r="A408">
        <v>226</v>
      </c>
      <c r="E408">
        <f t="shared" si="144"/>
        <v>1</v>
      </c>
      <c r="J408" t="str">
        <f t="shared" si="151"/>
        <v>9</v>
      </c>
      <c r="K408" t="str">
        <f t="shared" si="152"/>
        <v>10</v>
      </c>
      <c r="L408" t="str">
        <f t="shared" si="153"/>
        <v/>
      </c>
      <c r="M408" s="6" t="str">
        <f t="shared" si="154"/>
        <v/>
      </c>
      <c r="N408" t="str">
        <f t="shared" si="150"/>
        <v>Away</v>
      </c>
      <c r="O408">
        <v>42</v>
      </c>
      <c r="P408" t="s">
        <v>424</v>
      </c>
      <c r="Y408" t="str">
        <f t="shared" si="134"/>
        <v/>
      </c>
      <c r="Z408" t="str">
        <f t="shared" si="135"/>
        <v/>
      </c>
      <c r="AC408" t="str">
        <f t="shared" si="136"/>
        <v>Pass</v>
      </c>
      <c r="AD408" t="str">
        <f t="shared" si="137"/>
        <v>Pass_Completed</v>
      </c>
      <c r="AE408" t="str">
        <f t="shared" si="138"/>
        <v>Pass-Rim/Wrap</v>
      </c>
      <c r="AF408" t="str">
        <f t="shared" si="139"/>
        <v>Offensive</v>
      </c>
      <c r="AG408">
        <f t="shared" si="145"/>
        <v>18981</v>
      </c>
      <c r="AH408" t="str">
        <f t="shared" si="146"/>
        <v>Nelson</v>
      </c>
      <c r="AI408" t="str">
        <f t="shared" si="147"/>
        <v>Velodrome</v>
      </c>
      <c r="AJ408" s="18">
        <f t="shared" si="140"/>
        <v>0</v>
      </c>
      <c r="AP408" s="18">
        <f t="shared" si="141"/>
        <v>0</v>
      </c>
      <c r="AQ408">
        <f t="shared" si="142"/>
        <v>0</v>
      </c>
      <c r="AR408" s="23">
        <f t="shared" si="143"/>
        <v>530</v>
      </c>
      <c r="AS408">
        <f t="shared" si="148"/>
        <v>525</v>
      </c>
      <c r="AT408" s="21">
        <f t="shared" si="149"/>
        <v>530</v>
      </c>
      <c r="AU408" s="21"/>
      <c r="AV408" s="21"/>
      <c r="AW408" s="21"/>
    </row>
    <row r="409" spans="1:49" x14ac:dyDescent="0.2">
      <c r="A409">
        <v>226</v>
      </c>
      <c r="E409">
        <f t="shared" si="144"/>
        <v>1</v>
      </c>
      <c r="J409" t="str">
        <f>IF(F409&lt;&gt;"",F409,IF($A409=$A408,J408,J409))</f>
        <v>9</v>
      </c>
      <c r="K409" t="str">
        <f t="shared" si="152"/>
        <v>10</v>
      </c>
      <c r="L409" t="str">
        <f t="shared" si="153"/>
        <v/>
      </c>
      <c r="M409" s="6" t="str">
        <f t="shared" si="154"/>
        <v/>
      </c>
      <c r="N409" t="str">
        <f t="shared" si="150"/>
        <v>Away</v>
      </c>
      <c r="O409">
        <v>7</v>
      </c>
      <c r="P409" t="s">
        <v>425</v>
      </c>
      <c r="Y409" t="str">
        <f t="shared" si="134"/>
        <v/>
      </c>
      <c r="Z409" t="str">
        <f t="shared" si="135"/>
        <v/>
      </c>
      <c r="AC409" t="str">
        <f t="shared" si="136"/>
        <v>Pass</v>
      </c>
      <c r="AD409" t="str">
        <f t="shared" si="137"/>
        <v>Pass_Completed</v>
      </c>
      <c r="AE409" t="str">
        <f t="shared" si="138"/>
        <v>Pass-Rim/Wrap</v>
      </c>
      <c r="AF409" t="str">
        <f t="shared" si="139"/>
        <v>Defensive</v>
      </c>
      <c r="AG409">
        <f t="shared" si="145"/>
        <v>18981</v>
      </c>
      <c r="AH409" t="str">
        <f t="shared" si="146"/>
        <v>Nelson</v>
      </c>
      <c r="AI409" t="str">
        <f t="shared" si="147"/>
        <v>Velodrome</v>
      </c>
      <c r="AJ409" s="18">
        <f t="shared" si="140"/>
        <v>0</v>
      </c>
      <c r="AP409" s="18">
        <f t="shared" si="141"/>
        <v>0</v>
      </c>
      <c r="AQ409">
        <f t="shared" si="142"/>
        <v>0</v>
      </c>
      <c r="AR409" s="23">
        <f t="shared" si="143"/>
        <v>530</v>
      </c>
      <c r="AS409">
        <f t="shared" si="148"/>
        <v>525</v>
      </c>
      <c r="AT409" s="21">
        <f t="shared" si="149"/>
        <v>530</v>
      </c>
      <c r="AU409" s="21"/>
      <c r="AV409" s="21"/>
      <c r="AW409" s="21"/>
    </row>
    <row r="410" spans="1:49" x14ac:dyDescent="0.2">
      <c r="A410">
        <v>227</v>
      </c>
      <c r="E410">
        <f t="shared" si="144"/>
        <v>1</v>
      </c>
      <c r="F410" s="5" t="s">
        <v>537</v>
      </c>
      <c r="G410" s="5" t="s">
        <v>484</v>
      </c>
      <c r="H410" s="5" t="s">
        <v>537</v>
      </c>
      <c r="I410" s="7" t="s">
        <v>481</v>
      </c>
      <c r="J410" t="str">
        <f>IF(F410&lt;&gt;"",F410,IF($A410=$A409,J409,J410))</f>
        <v>9</v>
      </c>
      <c r="K410" t="str">
        <f t="shared" si="152"/>
        <v>09</v>
      </c>
      <c r="L410" t="str">
        <f t="shared" si="153"/>
        <v>9</v>
      </c>
      <c r="M410" s="6" t="str">
        <f t="shared" si="154"/>
        <v>05</v>
      </c>
      <c r="N410" t="s">
        <v>179</v>
      </c>
      <c r="O410">
        <v>42</v>
      </c>
      <c r="P410" t="s">
        <v>424</v>
      </c>
      <c r="Q410" t="s">
        <v>15</v>
      </c>
      <c r="Y410" t="str">
        <f t="shared" si="134"/>
        <v/>
      </c>
      <c r="Z410" t="str">
        <f t="shared" si="135"/>
        <v/>
      </c>
      <c r="AC410" t="str">
        <f t="shared" si="136"/>
        <v>Possession</v>
      </c>
      <c r="AD410" t="str">
        <f t="shared" si="137"/>
        <v/>
      </c>
      <c r="AE410" t="str">
        <f t="shared" si="138"/>
        <v/>
      </c>
      <c r="AF410" t="str">
        <f t="shared" si="139"/>
        <v>Offensive</v>
      </c>
      <c r="AG410">
        <f t="shared" si="145"/>
        <v>18981</v>
      </c>
      <c r="AH410" t="str">
        <f t="shared" si="146"/>
        <v>Nelson</v>
      </c>
      <c r="AI410" t="str">
        <f t="shared" si="147"/>
        <v>Velodrome</v>
      </c>
      <c r="AJ410" s="18">
        <f t="shared" si="140"/>
        <v>4</v>
      </c>
      <c r="AP410" s="18">
        <f t="shared" si="141"/>
        <v>0</v>
      </c>
      <c r="AQ410">
        <f t="shared" si="142"/>
        <v>0</v>
      </c>
      <c r="AR410" s="23">
        <f t="shared" si="143"/>
        <v>531</v>
      </c>
      <c r="AS410">
        <f t="shared" si="148"/>
        <v>526</v>
      </c>
      <c r="AT410" s="21">
        <f t="shared" si="149"/>
        <v>535</v>
      </c>
      <c r="AU410" s="21"/>
      <c r="AV410" s="21"/>
      <c r="AW410" s="21"/>
    </row>
    <row r="411" spans="1:49" x14ac:dyDescent="0.2">
      <c r="A411">
        <v>227</v>
      </c>
      <c r="E411">
        <f t="shared" si="144"/>
        <v>1</v>
      </c>
      <c r="J411" t="str">
        <f t="shared" si="151"/>
        <v>9</v>
      </c>
      <c r="K411" t="str">
        <f t="shared" si="152"/>
        <v>09</v>
      </c>
      <c r="L411" t="str">
        <f t="shared" si="153"/>
        <v>9</v>
      </c>
      <c r="M411" s="6" t="str">
        <f t="shared" si="154"/>
        <v>05</v>
      </c>
      <c r="N411" t="str">
        <f t="shared" si="150"/>
        <v>Away</v>
      </c>
      <c r="O411">
        <v>37</v>
      </c>
      <c r="P411" t="s">
        <v>425</v>
      </c>
      <c r="Y411" t="str">
        <f t="shared" si="134"/>
        <v/>
      </c>
      <c r="Z411" t="str">
        <f t="shared" si="135"/>
        <v/>
      </c>
      <c r="AC411" t="str">
        <f t="shared" si="136"/>
        <v>Possession</v>
      </c>
      <c r="AD411" t="str">
        <f t="shared" si="137"/>
        <v/>
      </c>
      <c r="AE411" t="str">
        <f t="shared" si="138"/>
        <v/>
      </c>
      <c r="AF411" t="str">
        <f t="shared" si="139"/>
        <v>Defensive</v>
      </c>
      <c r="AG411">
        <f t="shared" si="145"/>
        <v>18981</v>
      </c>
      <c r="AH411" t="str">
        <f t="shared" si="146"/>
        <v>Nelson</v>
      </c>
      <c r="AI411" t="str">
        <f t="shared" si="147"/>
        <v>Velodrome</v>
      </c>
      <c r="AJ411" s="18">
        <f t="shared" si="140"/>
        <v>4</v>
      </c>
      <c r="AP411" s="18">
        <f t="shared" si="141"/>
        <v>0</v>
      </c>
      <c r="AQ411">
        <f t="shared" si="142"/>
        <v>0</v>
      </c>
      <c r="AR411" s="23">
        <f t="shared" si="143"/>
        <v>531</v>
      </c>
      <c r="AS411">
        <f t="shared" si="148"/>
        <v>526</v>
      </c>
      <c r="AT411" s="21">
        <f t="shared" si="149"/>
        <v>535</v>
      </c>
      <c r="AU411" s="21"/>
      <c r="AV411" s="21"/>
      <c r="AW411" s="21"/>
    </row>
    <row r="412" spans="1:49" x14ac:dyDescent="0.2">
      <c r="A412">
        <v>228</v>
      </c>
      <c r="E412">
        <f t="shared" si="144"/>
        <v>1</v>
      </c>
      <c r="F412" s="5" t="s">
        <v>537</v>
      </c>
      <c r="G412" s="5" t="s">
        <v>481</v>
      </c>
      <c r="J412" t="str">
        <f t="shared" si="151"/>
        <v>9</v>
      </c>
      <c r="K412" t="str">
        <f t="shared" si="152"/>
        <v>05</v>
      </c>
      <c r="L412" t="str">
        <f t="shared" si="153"/>
        <v/>
      </c>
      <c r="M412" s="6" t="str">
        <f t="shared" si="154"/>
        <v/>
      </c>
      <c r="N412" t="s">
        <v>179</v>
      </c>
      <c r="O412">
        <v>42</v>
      </c>
      <c r="P412" t="s">
        <v>424</v>
      </c>
      <c r="Q412" t="s">
        <v>8</v>
      </c>
      <c r="R412" t="s">
        <v>189</v>
      </c>
      <c r="S412" t="s">
        <v>438</v>
      </c>
      <c r="Y412" t="str">
        <f t="shared" si="134"/>
        <v/>
      </c>
      <c r="Z412" t="str">
        <f t="shared" si="135"/>
        <v/>
      </c>
      <c r="AC412" t="str">
        <f t="shared" si="136"/>
        <v>Pass</v>
      </c>
      <c r="AD412" t="str">
        <f t="shared" si="137"/>
        <v>Pass_Completed</v>
      </c>
      <c r="AE412" t="str">
        <f t="shared" si="138"/>
        <v>Pass-Lob</v>
      </c>
      <c r="AF412" t="str">
        <f t="shared" si="139"/>
        <v>Offensive</v>
      </c>
      <c r="AG412">
        <f t="shared" si="145"/>
        <v>18981</v>
      </c>
      <c r="AH412" t="str">
        <f t="shared" si="146"/>
        <v>Nelson</v>
      </c>
      <c r="AI412" t="str">
        <f t="shared" si="147"/>
        <v>Velodrome</v>
      </c>
      <c r="AJ412" s="18">
        <f t="shared" si="140"/>
        <v>0</v>
      </c>
      <c r="AP412" s="18">
        <f t="shared" si="141"/>
        <v>0</v>
      </c>
      <c r="AQ412">
        <f t="shared" si="142"/>
        <v>0</v>
      </c>
      <c r="AR412" s="23">
        <f t="shared" si="143"/>
        <v>535</v>
      </c>
      <c r="AS412">
        <f t="shared" si="148"/>
        <v>530</v>
      </c>
      <c r="AT412" s="21">
        <f t="shared" si="149"/>
        <v>535</v>
      </c>
      <c r="AU412" s="21"/>
      <c r="AV412" s="21"/>
      <c r="AW412" s="21"/>
    </row>
    <row r="413" spans="1:49" x14ac:dyDescent="0.2">
      <c r="A413">
        <v>228</v>
      </c>
      <c r="E413">
        <f t="shared" si="144"/>
        <v>1</v>
      </c>
      <c r="J413" t="str">
        <f t="shared" si="151"/>
        <v>9</v>
      </c>
      <c r="K413" t="str">
        <f t="shared" si="152"/>
        <v>05</v>
      </c>
      <c r="L413" t="str">
        <f t="shared" si="153"/>
        <v/>
      </c>
      <c r="M413" s="6" t="str">
        <f t="shared" si="154"/>
        <v/>
      </c>
      <c r="N413" t="str">
        <f t="shared" si="150"/>
        <v>Away</v>
      </c>
      <c r="O413">
        <v>91</v>
      </c>
      <c r="P413" t="s">
        <v>424</v>
      </c>
      <c r="Y413" t="str">
        <f t="shared" si="134"/>
        <v/>
      </c>
      <c r="Z413" t="str">
        <f t="shared" si="135"/>
        <v/>
      </c>
      <c r="AC413" t="str">
        <f t="shared" si="136"/>
        <v>Pass</v>
      </c>
      <c r="AD413" t="str">
        <f t="shared" si="137"/>
        <v>Pass_Completed</v>
      </c>
      <c r="AE413" t="str">
        <f t="shared" si="138"/>
        <v>Pass-Lob</v>
      </c>
      <c r="AF413" t="str">
        <f t="shared" si="139"/>
        <v>Offensive</v>
      </c>
      <c r="AG413">
        <f t="shared" si="145"/>
        <v>18981</v>
      </c>
      <c r="AH413" t="str">
        <f t="shared" si="146"/>
        <v>Nelson</v>
      </c>
      <c r="AI413" t="str">
        <f t="shared" si="147"/>
        <v>Velodrome</v>
      </c>
      <c r="AJ413" s="18">
        <f t="shared" si="140"/>
        <v>0</v>
      </c>
      <c r="AP413" s="18">
        <f t="shared" si="141"/>
        <v>0</v>
      </c>
      <c r="AQ413">
        <f t="shared" si="142"/>
        <v>0</v>
      </c>
      <c r="AR413" s="23">
        <f t="shared" si="143"/>
        <v>535</v>
      </c>
      <c r="AS413">
        <f t="shared" si="148"/>
        <v>530</v>
      </c>
      <c r="AT413" s="21">
        <f t="shared" si="149"/>
        <v>535</v>
      </c>
      <c r="AU413" s="21"/>
      <c r="AV413" s="21"/>
      <c r="AW413" s="21"/>
    </row>
    <row r="414" spans="1:49" x14ac:dyDescent="0.2">
      <c r="A414">
        <v>228</v>
      </c>
      <c r="E414">
        <f t="shared" si="144"/>
        <v>1</v>
      </c>
      <c r="J414" t="str">
        <f t="shared" si="151"/>
        <v>9</v>
      </c>
      <c r="K414" t="str">
        <f t="shared" si="152"/>
        <v>05</v>
      </c>
      <c r="L414" t="str">
        <f t="shared" si="153"/>
        <v/>
      </c>
      <c r="M414" s="6" t="str">
        <f t="shared" si="154"/>
        <v/>
      </c>
      <c r="N414" t="str">
        <f t="shared" si="150"/>
        <v>Away</v>
      </c>
      <c r="O414">
        <v>37</v>
      </c>
      <c r="P414" t="s">
        <v>425</v>
      </c>
      <c r="Y414" t="str">
        <f t="shared" si="134"/>
        <v/>
      </c>
      <c r="Z414" t="str">
        <f t="shared" si="135"/>
        <v/>
      </c>
      <c r="AC414" t="str">
        <f t="shared" si="136"/>
        <v>Pass</v>
      </c>
      <c r="AD414" t="str">
        <f t="shared" si="137"/>
        <v>Pass_Completed</v>
      </c>
      <c r="AE414" t="str">
        <f t="shared" si="138"/>
        <v>Pass-Lob</v>
      </c>
      <c r="AF414" t="str">
        <f t="shared" si="139"/>
        <v>Defensive</v>
      </c>
      <c r="AG414">
        <f t="shared" si="145"/>
        <v>18981</v>
      </c>
      <c r="AH414" t="str">
        <f t="shared" si="146"/>
        <v>Nelson</v>
      </c>
      <c r="AI414" t="str">
        <f t="shared" si="147"/>
        <v>Velodrome</v>
      </c>
      <c r="AJ414" s="18">
        <f t="shared" si="140"/>
        <v>0</v>
      </c>
      <c r="AP414" s="18">
        <f t="shared" si="141"/>
        <v>0</v>
      </c>
      <c r="AQ414">
        <f t="shared" si="142"/>
        <v>0</v>
      </c>
      <c r="AR414" s="23">
        <f t="shared" si="143"/>
        <v>535</v>
      </c>
      <c r="AS414">
        <f t="shared" si="148"/>
        <v>530</v>
      </c>
      <c r="AT414" s="21">
        <f t="shared" si="149"/>
        <v>535</v>
      </c>
      <c r="AU414" s="21"/>
      <c r="AV414" s="21"/>
      <c r="AW414" s="21"/>
    </row>
    <row r="415" spans="1:49" x14ac:dyDescent="0.2">
      <c r="A415">
        <v>229</v>
      </c>
      <c r="E415">
        <f t="shared" si="144"/>
        <v>1</v>
      </c>
      <c r="F415" s="5" t="s">
        <v>537</v>
      </c>
      <c r="G415" s="5" t="s">
        <v>474</v>
      </c>
      <c r="J415" t="str">
        <f t="shared" si="151"/>
        <v>9</v>
      </c>
      <c r="K415" t="str">
        <f t="shared" si="152"/>
        <v>02</v>
      </c>
      <c r="L415" t="str">
        <f t="shared" si="153"/>
        <v/>
      </c>
      <c r="M415" s="6" t="str">
        <f t="shared" si="154"/>
        <v/>
      </c>
      <c r="N415" t="s">
        <v>179</v>
      </c>
      <c r="O415">
        <v>91</v>
      </c>
      <c r="P415" t="s">
        <v>424</v>
      </c>
      <c r="Q415" t="s">
        <v>7</v>
      </c>
      <c r="R415" t="s">
        <v>208</v>
      </c>
      <c r="S415" t="s">
        <v>53</v>
      </c>
      <c r="Y415" t="str">
        <f t="shared" si="134"/>
        <v/>
      </c>
      <c r="Z415" t="str">
        <f t="shared" si="135"/>
        <v/>
      </c>
      <c r="AC415" t="str">
        <f t="shared" si="136"/>
        <v>Shot</v>
      </c>
      <c r="AD415" t="str">
        <f t="shared" si="137"/>
        <v>Shot_Blocked</v>
      </c>
      <c r="AE415" t="str">
        <f t="shared" si="138"/>
        <v>Shot-Wrist</v>
      </c>
      <c r="AF415" t="str">
        <f t="shared" si="139"/>
        <v>Offensive</v>
      </c>
      <c r="AG415">
        <f t="shared" si="145"/>
        <v>18981</v>
      </c>
      <c r="AH415" t="str">
        <f t="shared" si="146"/>
        <v>Nelson</v>
      </c>
      <c r="AI415" t="str">
        <f t="shared" si="147"/>
        <v>Velodrome</v>
      </c>
      <c r="AJ415" s="18">
        <f t="shared" si="140"/>
        <v>0</v>
      </c>
      <c r="AP415" s="18">
        <f t="shared" si="141"/>
        <v>0</v>
      </c>
      <c r="AQ415">
        <f t="shared" si="142"/>
        <v>0</v>
      </c>
      <c r="AR415" s="23">
        <f t="shared" si="143"/>
        <v>538</v>
      </c>
      <c r="AS415">
        <f t="shared" si="148"/>
        <v>533</v>
      </c>
      <c r="AT415" s="21">
        <f t="shared" si="149"/>
        <v>538</v>
      </c>
      <c r="AU415" s="21"/>
      <c r="AV415" s="21"/>
      <c r="AW415" s="21"/>
    </row>
    <row r="416" spans="1:49" x14ac:dyDescent="0.2">
      <c r="A416">
        <v>229</v>
      </c>
      <c r="E416">
        <f t="shared" si="144"/>
        <v>1</v>
      </c>
      <c r="J416" t="str">
        <f t="shared" si="151"/>
        <v>9</v>
      </c>
      <c r="K416" t="str">
        <f t="shared" si="152"/>
        <v>02</v>
      </c>
      <c r="L416" t="str">
        <f t="shared" si="153"/>
        <v/>
      </c>
      <c r="M416" s="6" t="str">
        <f t="shared" si="154"/>
        <v/>
      </c>
      <c r="N416" t="s">
        <v>179</v>
      </c>
      <c r="O416">
        <v>79</v>
      </c>
      <c r="P416" t="s">
        <v>425</v>
      </c>
      <c r="Y416" t="str">
        <f t="shared" si="134"/>
        <v/>
      </c>
      <c r="Z416" t="str">
        <f t="shared" si="135"/>
        <v/>
      </c>
      <c r="AC416" t="str">
        <f t="shared" si="136"/>
        <v>Shot</v>
      </c>
      <c r="AD416" t="str">
        <f t="shared" si="137"/>
        <v>Shot_Blocked</v>
      </c>
      <c r="AE416" t="str">
        <f t="shared" si="138"/>
        <v>Shot-Wrist</v>
      </c>
      <c r="AF416" t="str">
        <f t="shared" si="139"/>
        <v>Defensive</v>
      </c>
      <c r="AG416">
        <f t="shared" si="145"/>
        <v>18981</v>
      </c>
      <c r="AH416" t="str">
        <f t="shared" si="146"/>
        <v>Nelson</v>
      </c>
      <c r="AI416" t="str">
        <f t="shared" si="147"/>
        <v>Velodrome</v>
      </c>
      <c r="AJ416" s="18">
        <f t="shared" si="140"/>
        <v>0</v>
      </c>
      <c r="AP416" s="18">
        <f t="shared" si="141"/>
        <v>0</v>
      </c>
      <c r="AQ416">
        <f t="shared" si="142"/>
        <v>0</v>
      </c>
      <c r="AR416" s="23">
        <f t="shared" si="143"/>
        <v>538</v>
      </c>
      <c r="AS416">
        <f t="shared" si="148"/>
        <v>533</v>
      </c>
      <c r="AT416" s="21">
        <f t="shared" si="149"/>
        <v>538</v>
      </c>
      <c r="AU416" s="21"/>
      <c r="AV416" s="21"/>
      <c r="AW416" s="21"/>
    </row>
    <row r="417" spans="1:49" x14ac:dyDescent="0.2">
      <c r="A417">
        <v>230</v>
      </c>
      <c r="E417">
        <f t="shared" si="144"/>
        <v>1</v>
      </c>
      <c r="F417" s="5" t="s">
        <v>538</v>
      </c>
      <c r="G417" s="5" t="s">
        <v>479</v>
      </c>
      <c r="H417" s="5" t="s">
        <v>538</v>
      </c>
      <c r="I417" s="7" t="s">
        <v>529</v>
      </c>
      <c r="J417" t="str">
        <f t="shared" si="151"/>
        <v>8</v>
      </c>
      <c r="K417" t="str">
        <f t="shared" si="152"/>
        <v>59</v>
      </c>
      <c r="L417" t="str">
        <f t="shared" si="153"/>
        <v>8</v>
      </c>
      <c r="M417" s="6" t="str">
        <f t="shared" si="154"/>
        <v>57</v>
      </c>
      <c r="N417" t="s">
        <v>179</v>
      </c>
      <c r="O417">
        <v>91</v>
      </c>
      <c r="P417" t="s">
        <v>424</v>
      </c>
      <c r="Q417" t="s">
        <v>15</v>
      </c>
      <c r="Y417" t="str">
        <f t="shared" si="134"/>
        <v/>
      </c>
      <c r="Z417" t="str">
        <f t="shared" si="135"/>
        <v/>
      </c>
      <c r="AC417" t="str">
        <f t="shared" si="136"/>
        <v>Possession</v>
      </c>
      <c r="AD417" t="str">
        <f t="shared" si="137"/>
        <v/>
      </c>
      <c r="AE417" t="str">
        <f t="shared" si="138"/>
        <v/>
      </c>
      <c r="AF417" t="str">
        <f t="shared" si="139"/>
        <v>Offensive</v>
      </c>
      <c r="AG417">
        <f t="shared" si="145"/>
        <v>18981</v>
      </c>
      <c r="AH417" t="str">
        <f t="shared" si="146"/>
        <v>Nelson</v>
      </c>
      <c r="AI417" t="str">
        <f t="shared" si="147"/>
        <v>Velodrome</v>
      </c>
      <c r="AJ417" s="18">
        <f t="shared" si="140"/>
        <v>2</v>
      </c>
      <c r="AP417" s="18">
        <f t="shared" si="141"/>
        <v>0</v>
      </c>
      <c r="AQ417">
        <f t="shared" si="142"/>
        <v>0</v>
      </c>
      <c r="AR417" s="23">
        <f t="shared" si="143"/>
        <v>541</v>
      </c>
      <c r="AS417">
        <f t="shared" si="148"/>
        <v>536</v>
      </c>
      <c r="AT417" s="21">
        <f t="shared" si="149"/>
        <v>543</v>
      </c>
      <c r="AU417" s="21"/>
      <c r="AV417" s="21"/>
      <c r="AW417" s="21"/>
    </row>
    <row r="418" spans="1:49" x14ac:dyDescent="0.2">
      <c r="A418">
        <v>230</v>
      </c>
      <c r="E418">
        <f t="shared" si="144"/>
        <v>1</v>
      </c>
      <c r="J418" t="str">
        <f t="shared" si="151"/>
        <v>8</v>
      </c>
      <c r="K418" t="str">
        <f t="shared" si="152"/>
        <v>59</v>
      </c>
      <c r="L418" t="str">
        <f t="shared" si="153"/>
        <v>8</v>
      </c>
      <c r="M418" s="6" t="str">
        <f t="shared" si="154"/>
        <v>57</v>
      </c>
      <c r="N418" t="str">
        <f t="shared" si="150"/>
        <v>Away</v>
      </c>
      <c r="O418">
        <v>23</v>
      </c>
      <c r="P418" t="s">
        <v>425</v>
      </c>
      <c r="Y418" t="str">
        <f t="shared" si="134"/>
        <v/>
      </c>
      <c r="Z418" t="str">
        <f t="shared" si="135"/>
        <v/>
      </c>
      <c r="AC418" t="str">
        <f t="shared" si="136"/>
        <v>Possession</v>
      </c>
      <c r="AD418" t="str">
        <f t="shared" si="137"/>
        <v/>
      </c>
      <c r="AE418" t="str">
        <f t="shared" si="138"/>
        <v/>
      </c>
      <c r="AF418" t="str">
        <f t="shared" si="139"/>
        <v>Defensive</v>
      </c>
      <c r="AG418">
        <f t="shared" si="145"/>
        <v>18981</v>
      </c>
      <c r="AH418" t="str">
        <f t="shared" si="146"/>
        <v>Nelson</v>
      </c>
      <c r="AI418" t="str">
        <f t="shared" si="147"/>
        <v>Velodrome</v>
      </c>
      <c r="AJ418" s="18">
        <f t="shared" si="140"/>
        <v>2</v>
      </c>
      <c r="AP418" s="18">
        <f t="shared" si="141"/>
        <v>0</v>
      </c>
      <c r="AQ418">
        <f t="shared" si="142"/>
        <v>0</v>
      </c>
      <c r="AR418" s="23">
        <f t="shared" si="143"/>
        <v>541</v>
      </c>
      <c r="AS418">
        <f t="shared" si="148"/>
        <v>536</v>
      </c>
      <c r="AT418" s="21">
        <f t="shared" si="149"/>
        <v>543</v>
      </c>
      <c r="AU418" s="21"/>
      <c r="AV418" s="21"/>
      <c r="AW418" s="21"/>
    </row>
    <row r="419" spans="1:49" x14ac:dyDescent="0.2">
      <c r="A419">
        <v>231</v>
      </c>
      <c r="E419">
        <f t="shared" si="144"/>
        <v>1</v>
      </c>
      <c r="F419" s="5" t="s">
        <v>538</v>
      </c>
      <c r="G419" s="5" t="s">
        <v>529</v>
      </c>
      <c r="J419" t="str">
        <f t="shared" si="151"/>
        <v>8</v>
      </c>
      <c r="K419" t="str">
        <f t="shared" si="152"/>
        <v>57</v>
      </c>
      <c r="L419" t="str">
        <f t="shared" si="153"/>
        <v/>
      </c>
      <c r="M419" s="6" t="str">
        <f t="shared" si="154"/>
        <v/>
      </c>
      <c r="N419" t="s">
        <v>179</v>
      </c>
      <c r="O419">
        <v>91</v>
      </c>
      <c r="P419" t="s">
        <v>424</v>
      </c>
      <c r="Q419" t="s">
        <v>8</v>
      </c>
      <c r="R419" t="s">
        <v>209</v>
      </c>
      <c r="S419" t="s">
        <v>70</v>
      </c>
      <c r="Y419" t="str">
        <f t="shared" si="134"/>
        <v/>
      </c>
      <c r="Z419" t="str">
        <f t="shared" si="135"/>
        <v/>
      </c>
      <c r="AC419" t="str">
        <f t="shared" si="136"/>
        <v>Pass</v>
      </c>
      <c r="AD419" t="str">
        <f t="shared" si="137"/>
        <v>Pass_Deflected</v>
      </c>
      <c r="AE419" t="str">
        <f t="shared" si="138"/>
        <v>Pass-Forehand</v>
      </c>
      <c r="AF419" t="str">
        <f t="shared" si="139"/>
        <v>Offensive</v>
      </c>
      <c r="AG419">
        <f t="shared" si="145"/>
        <v>18981</v>
      </c>
      <c r="AH419" t="str">
        <f t="shared" si="146"/>
        <v>Nelson</v>
      </c>
      <c r="AI419" t="str">
        <f t="shared" si="147"/>
        <v>Velodrome</v>
      </c>
      <c r="AJ419" s="18">
        <f t="shared" si="140"/>
        <v>0</v>
      </c>
      <c r="AP419" s="18">
        <f t="shared" si="141"/>
        <v>0</v>
      </c>
      <c r="AQ419">
        <f t="shared" si="142"/>
        <v>0</v>
      </c>
      <c r="AR419" s="23">
        <f t="shared" si="143"/>
        <v>543</v>
      </c>
      <c r="AS419">
        <f t="shared" si="148"/>
        <v>538</v>
      </c>
      <c r="AT419" s="21">
        <f t="shared" si="149"/>
        <v>543</v>
      </c>
      <c r="AU419" s="21"/>
      <c r="AV419" s="21"/>
      <c r="AW419" s="21"/>
    </row>
    <row r="420" spans="1:49" x14ac:dyDescent="0.2">
      <c r="A420">
        <v>231</v>
      </c>
      <c r="E420">
        <f t="shared" si="144"/>
        <v>1</v>
      </c>
      <c r="J420" t="str">
        <f t="shared" si="151"/>
        <v>8</v>
      </c>
      <c r="K420" t="str">
        <f t="shared" si="152"/>
        <v>57</v>
      </c>
      <c r="L420" t="str">
        <f t="shared" si="153"/>
        <v/>
      </c>
      <c r="M420" s="6" t="str">
        <f t="shared" si="154"/>
        <v/>
      </c>
      <c r="N420" t="str">
        <f t="shared" si="150"/>
        <v>Away</v>
      </c>
      <c r="O420">
        <v>24</v>
      </c>
      <c r="P420" t="s">
        <v>424</v>
      </c>
      <c r="Y420" t="str">
        <f t="shared" si="134"/>
        <v/>
      </c>
      <c r="Z420" t="str">
        <f t="shared" si="135"/>
        <v/>
      </c>
      <c r="AC420" t="str">
        <f t="shared" si="136"/>
        <v>Pass</v>
      </c>
      <c r="AD420" t="str">
        <f t="shared" si="137"/>
        <v>Pass_Deflected</v>
      </c>
      <c r="AE420" t="str">
        <f t="shared" si="138"/>
        <v>Pass-Forehand</v>
      </c>
      <c r="AF420" t="str">
        <f t="shared" si="139"/>
        <v>Offensive</v>
      </c>
      <c r="AG420">
        <f t="shared" si="145"/>
        <v>18981</v>
      </c>
      <c r="AH420" t="str">
        <f t="shared" si="146"/>
        <v>Nelson</v>
      </c>
      <c r="AI420" t="str">
        <f t="shared" si="147"/>
        <v>Velodrome</v>
      </c>
      <c r="AJ420" s="18">
        <f t="shared" si="140"/>
        <v>0</v>
      </c>
      <c r="AP420" s="18">
        <f t="shared" si="141"/>
        <v>0</v>
      </c>
      <c r="AQ420">
        <f t="shared" si="142"/>
        <v>0</v>
      </c>
      <c r="AR420" s="23">
        <f t="shared" si="143"/>
        <v>543</v>
      </c>
      <c r="AS420">
        <f t="shared" si="148"/>
        <v>538</v>
      </c>
      <c r="AT420" s="21">
        <f t="shared" si="149"/>
        <v>543</v>
      </c>
      <c r="AU420" s="21"/>
      <c r="AV420" s="21"/>
      <c r="AW420" s="21"/>
    </row>
    <row r="421" spans="1:49" x14ac:dyDescent="0.2">
      <c r="A421">
        <v>231</v>
      </c>
      <c r="E421">
        <f t="shared" si="144"/>
        <v>1</v>
      </c>
      <c r="J421" t="str">
        <f t="shared" si="151"/>
        <v>8</v>
      </c>
      <c r="K421" t="str">
        <f t="shared" si="152"/>
        <v>57</v>
      </c>
      <c r="L421" t="str">
        <f t="shared" si="153"/>
        <v/>
      </c>
      <c r="M421" s="6" t="str">
        <f t="shared" si="154"/>
        <v/>
      </c>
      <c r="N421" t="str">
        <f t="shared" si="150"/>
        <v>Away</v>
      </c>
      <c r="O421">
        <v>37</v>
      </c>
      <c r="P421" t="s">
        <v>425</v>
      </c>
      <c r="Y421" t="str">
        <f t="shared" si="134"/>
        <v/>
      </c>
      <c r="Z421" t="str">
        <f t="shared" si="135"/>
        <v/>
      </c>
      <c r="AC421" t="str">
        <f t="shared" si="136"/>
        <v>Pass</v>
      </c>
      <c r="AD421" t="str">
        <f t="shared" si="137"/>
        <v>Pass_Deflected</v>
      </c>
      <c r="AE421" t="str">
        <f t="shared" si="138"/>
        <v>Pass-Forehand</v>
      </c>
      <c r="AF421" t="str">
        <f t="shared" si="139"/>
        <v>Defensive</v>
      </c>
      <c r="AG421">
        <f t="shared" si="145"/>
        <v>18981</v>
      </c>
      <c r="AH421" t="str">
        <f t="shared" si="146"/>
        <v>Nelson</v>
      </c>
      <c r="AI421" t="str">
        <f t="shared" si="147"/>
        <v>Velodrome</v>
      </c>
      <c r="AJ421" s="18">
        <f t="shared" si="140"/>
        <v>0</v>
      </c>
      <c r="AP421" s="18">
        <f t="shared" si="141"/>
        <v>0</v>
      </c>
      <c r="AQ421">
        <f t="shared" si="142"/>
        <v>0</v>
      </c>
      <c r="AR421" s="23">
        <f t="shared" si="143"/>
        <v>543</v>
      </c>
      <c r="AS421">
        <f t="shared" si="148"/>
        <v>538</v>
      </c>
      <c r="AT421" s="21">
        <f t="shared" si="149"/>
        <v>543</v>
      </c>
      <c r="AU421" s="21"/>
      <c r="AV421" s="21"/>
      <c r="AW421" s="21"/>
    </row>
    <row r="422" spans="1:49" x14ac:dyDescent="0.2">
      <c r="A422">
        <v>231</v>
      </c>
      <c r="E422">
        <f t="shared" si="144"/>
        <v>1</v>
      </c>
      <c r="J422" t="str">
        <f t="shared" si="151"/>
        <v>8</v>
      </c>
      <c r="K422" t="str">
        <f t="shared" si="152"/>
        <v>57</v>
      </c>
      <c r="L422" t="str">
        <f t="shared" si="153"/>
        <v/>
      </c>
      <c r="M422" s="6" t="str">
        <f t="shared" si="154"/>
        <v/>
      </c>
      <c r="N422" t="str">
        <f t="shared" si="150"/>
        <v>Away</v>
      </c>
      <c r="O422">
        <v>23</v>
      </c>
      <c r="P422" t="s">
        <v>425</v>
      </c>
      <c r="Y422" t="str">
        <f t="shared" si="134"/>
        <v/>
      </c>
      <c r="Z422" t="str">
        <f t="shared" si="135"/>
        <v/>
      </c>
      <c r="AC422" t="str">
        <f t="shared" si="136"/>
        <v>Pass</v>
      </c>
      <c r="AD422" t="str">
        <f t="shared" si="137"/>
        <v>Pass_Deflected</v>
      </c>
      <c r="AE422" t="str">
        <f t="shared" si="138"/>
        <v>Pass-Forehand</v>
      </c>
      <c r="AF422" t="str">
        <f t="shared" si="139"/>
        <v>Defensive</v>
      </c>
      <c r="AG422">
        <f t="shared" si="145"/>
        <v>18981</v>
      </c>
      <c r="AH422" t="str">
        <f t="shared" si="146"/>
        <v>Nelson</v>
      </c>
      <c r="AI422" t="str">
        <f t="shared" si="147"/>
        <v>Velodrome</v>
      </c>
      <c r="AJ422" s="18">
        <f t="shared" si="140"/>
        <v>0</v>
      </c>
      <c r="AP422" s="18">
        <f t="shared" si="141"/>
        <v>0</v>
      </c>
      <c r="AQ422">
        <f t="shared" si="142"/>
        <v>0</v>
      </c>
      <c r="AR422" s="23">
        <f t="shared" si="143"/>
        <v>543</v>
      </c>
      <c r="AS422">
        <f t="shared" si="148"/>
        <v>538</v>
      </c>
      <c r="AT422" s="21">
        <f t="shared" si="149"/>
        <v>543</v>
      </c>
      <c r="AU422" s="21"/>
      <c r="AV422" s="21"/>
      <c r="AW422" s="21"/>
    </row>
    <row r="423" spans="1:49" x14ac:dyDescent="0.2">
      <c r="A423">
        <v>232</v>
      </c>
      <c r="E423">
        <f t="shared" si="144"/>
        <v>1</v>
      </c>
      <c r="F423" s="5" t="s">
        <v>538</v>
      </c>
      <c r="G423" s="5" t="s">
        <v>525</v>
      </c>
      <c r="J423" t="str">
        <f t="shared" si="151"/>
        <v>8</v>
      </c>
      <c r="K423" t="str">
        <f t="shared" si="152"/>
        <v>53</v>
      </c>
      <c r="L423" t="str">
        <f t="shared" si="153"/>
        <v/>
      </c>
      <c r="M423" s="6" t="str">
        <f t="shared" si="154"/>
        <v/>
      </c>
      <c r="N423" t="s">
        <v>178</v>
      </c>
      <c r="O423">
        <v>23</v>
      </c>
      <c r="P423" t="s">
        <v>424</v>
      </c>
      <c r="Q423" t="s">
        <v>8</v>
      </c>
      <c r="R423" t="s">
        <v>189</v>
      </c>
      <c r="S423" t="s">
        <v>68</v>
      </c>
      <c r="Y423" t="str">
        <f t="shared" si="134"/>
        <v/>
      </c>
      <c r="Z423" t="str">
        <f t="shared" si="135"/>
        <v/>
      </c>
      <c r="AC423" t="str">
        <f t="shared" si="136"/>
        <v>Pass</v>
      </c>
      <c r="AD423" t="str">
        <f t="shared" si="137"/>
        <v>Pass_Completed</v>
      </c>
      <c r="AE423" t="str">
        <f t="shared" si="138"/>
        <v>Pass-Rim/Wrap</v>
      </c>
      <c r="AF423" t="str">
        <f t="shared" si="139"/>
        <v>Offensive</v>
      </c>
      <c r="AG423">
        <f t="shared" si="145"/>
        <v>18981</v>
      </c>
      <c r="AH423" t="str">
        <f t="shared" si="146"/>
        <v>Nelson</v>
      </c>
      <c r="AI423" t="str">
        <f t="shared" si="147"/>
        <v>Velodrome</v>
      </c>
      <c r="AJ423" s="18">
        <f t="shared" si="140"/>
        <v>0</v>
      </c>
      <c r="AP423" s="18">
        <f t="shared" si="141"/>
        <v>0</v>
      </c>
      <c r="AQ423">
        <f t="shared" si="142"/>
        <v>0</v>
      </c>
      <c r="AR423" s="23">
        <f t="shared" si="143"/>
        <v>547</v>
      </c>
      <c r="AS423">
        <f t="shared" si="148"/>
        <v>542</v>
      </c>
      <c r="AT423" s="21">
        <f t="shared" si="149"/>
        <v>547</v>
      </c>
      <c r="AU423" s="21"/>
      <c r="AV423" s="21"/>
      <c r="AW423" s="21"/>
    </row>
    <row r="424" spans="1:49" x14ac:dyDescent="0.2">
      <c r="A424">
        <v>232</v>
      </c>
      <c r="E424">
        <f t="shared" si="144"/>
        <v>1</v>
      </c>
      <c r="J424" t="str">
        <f t="shared" si="151"/>
        <v>8</v>
      </c>
      <c r="K424" t="str">
        <f t="shared" si="152"/>
        <v>53</v>
      </c>
      <c r="L424" t="str">
        <f t="shared" si="153"/>
        <v/>
      </c>
      <c r="M424" s="6" t="str">
        <f t="shared" si="154"/>
        <v/>
      </c>
      <c r="N424" t="str">
        <f t="shared" si="150"/>
        <v>Home</v>
      </c>
      <c r="O424">
        <v>7</v>
      </c>
      <c r="P424" t="s">
        <v>424</v>
      </c>
      <c r="Y424" t="str">
        <f t="shared" si="134"/>
        <v/>
      </c>
      <c r="Z424" t="str">
        <f t="shared" si="135"/>
        <v/>
      </c>
      <c r="AC424" t="str">
        <f t="shared" si="136"/>
        <v>Pass</v>
      </c>
      <c r="AD424" t="str">
        <f t="shared" si="137"/>
        <v>Pass_Completed</v>
      </c>
      <c r="AE424" t="str">
        <f t="shared" si="138"/>
        <v>Pass-Rim/Wrap</v>
      </c>
      <c r="AF424" t="str">
        <f t="shared" si="139"/>
        <v>Offensive</v>
      </c>
      <c r="AG424">
        <f t="shared" si="145"/>
        <v>18981</v>
      </c>
      <c r="AH424" t="str">
        <f t="shared" si="146"/>
        <v>Nelson</v>
      </c>
      <c r="AI424" t="str">
        <f t="shared" si="147"/>
        <v>Velodrome</v>
      </c>
      <c r="AJ424" s="18">
        <f t="shared" si="140"/>
        <v>0</v>
      </c>
      <c r="AP424" s="18">
        <f t="shared" si="141"/>
        <v>0</v>
      </c>
      <c r="AQ424">
        <f t="shared" si="142"/>
        <v>0</v>
      </c>
      <c r="AR424" s="23">
        <f t="shared" si="143"/>
        <v>547</v>
      </c>
      <c r="AS424">
        <f t="shared" si="148"/>
        <v>542</v>
      </c>
      <c r="AT424" s="21">
        <f t="shared" si="149"/>
        <v>547</v>
      </c>
      <c r="AU424" s="21"/>
      <c r="AV424" s="21"/>
      <c r="AW424" s="21"/>
    </row>
    <row r="425" spans="1:49" x14ac:dyDescent="0.2">
      <c r="A425">
        <v>232</v>
      </c>
      <c r="E425">
        <f t="shared" si="144"/>
        <v>1</v>
      </c>
      <c r="J425" t="str">
        <f t="shared" si="151"/>
        <v>8</v>
      </c>
      <c r="K425" t="str">
        <f t="shared" si="152"/>
        <v>53</v>
      </c>
      <c r="L425" t="str">
        <f t="shared" si="153"/>
        <v/>
      </c>
      <c r="M425" s="6" t="str">
        <f t="shared" si="154"/>
        <v/>
      </c>
      <c r="N425" t="str">
        <f t="shared" si="150"/>
        <v>Home</v>
      </c>
      <c r="O425">
        <v>91</v>
      </c>
      <c r="P425" t="s">
        <v>425</v>
      </c>
      <c r="Y425" t="str">
        <f t="shared" si="134"/>
        <v/>
      </c>
      <c r="Z425" t="str">
        <f t="shared" si="135"/>
        <v/>
      </c>
      <c r="AC425" t="str">
        <f t="shared" si="136"/>
        <v>Pass</v>
      </c>
      <c r="AD425" t="str">
        <f t="shared" si="137"/>
        <v>Pass_Completed</v>
      </c>
      <c r="AE425" t="str">
        <f t="shared" si="138"/>
        <v>Pass-Rim/Wrap</v>
      </c>
      <c r="AF425" t="str">
        <f t="shared" si="139"/>
        <v>Defensive</v>
      </c>
      <c r="AG425">
        <f t="shared" si="145"/>
        <v>18981</v>
      </c>
      <c r="AH425" t="str">
        <f t="shared" si="146"/>
        <v>Nelson</v>
      </c>
      <c r="AI425" t="str">
        <f t="shared" si="147"/>
        <v>Velodrome</v>
      </c>
      <c r="AJ425" s="18">
        <f t="shared" si="140"/>
        <v>0</v>
      </c>
      <c r="AP425" s="18">
        <f t="shared" si="141"/>
        <v>0</v>
      </c>
      <c r="AQ425">
        <f t="shared" si="142"/>
        <v>0</v>
      </c>
      <c r="AR425" s="23">
        <f t="shared" si="143"/>
        <v>547</v>
      </c>
      <c r="AS425">
        <f t="shared" si="148"/>
        <v>542</v>
      </c>
      <c r="AT425" s="21">
        <f t="shared" si="149"/>
        <v>547</v>
      </c>
      <c r="AU425" s="21"/>
      <c r="AV425" s="21"/>
      <c r="AW425" s="21"/>
    </row>
    <row r="426" spans="1:49" x14ac:dyDescent="0.2">
      <c r="A426">
        <v>233</v>
      </c>
      <c r="E426">
        <f t="shared" si="144"/>
        <v>1</v>
      </c>
      <c r="F426" s="5" t="s">
        <v>538</v>
      </c>
      <c r="G426" s="5" t="s">
        <v>523</v>
      </c>
      <c r="J426" t="str">
        <f t="shared" si="151"/>
        <v>8</v>
      </c>
      <c r="K426" t="str">
        <f t="shared" si="152"/>
        <v>51</v>
      </c>
      <c r="L426" t="str">
        <f t="shared" si="153"/>
        <v/>
      </c>
      <c r="M426" s="6" t="str">
        <f t="shared" si="154"/>
        <v/>
      </c>
      <c r="N426" t="s">
        <v>178</v>
      </c>
      <c r="O426">
        <v>7</v>
      </c>
      <c r="P426" t="s">
        <v>424</v>
      </c>
      <c r="Q426" t="s">
        <v>8</v>
      </c>
      <c r="R426" t="s">
        <v>199</v>
      </c>
      <c r="S426" t="s">
        <v>70</v>
      </c>
      <c r="Y426" t="str">
        <f t="shared" si="134"/>
        <v/>
      </c>
      <c r="Z426" t="str">
        <f t="shared" si="135"/>
        <v/>
      </c>
      <c r="AC426" t="str">
        <f t="shared" si="136"/>
        <v>Pass</v>
      </c>
      <c r="AD426" t="str">
        <f t="shared" si="137"/>
        <v>Pass_Missed</v>
      </c>
      <c r="AE426" t="str">
        <f t="shared" si="138"/>
        <v>Pass-Forehand</v>
      </c>
      <c r="AF426" t="str">
        <f t="shared" si="139"/>
        <v>Offensive</v>
      </c>
      <c r="AG426">
        <f t="shared" si="145"/>
        <v>18981</v>
      </c>
      <c r="AH426" t="str">
        <f t="shared" si="146"/>
        <v>Nelson</v>
      </c>
      <c r="AI426" t="str">
        <f t="shared" si="147"/>
        <v>Velodrome</v>
      </c>
      <c r="AJ426" s="18">
        <f t="shared" si="140"/>
        <v>0</v>
      </c>
      <c r="AP426" s="18">
        <f t="shared" si="141"/>
        <v>0</v>
      </c>
      <c r="AQ426">
        <f t="shared" si="142"/>
        <v>0</v>
      </c>
      <c r="AR426" s="23">
        <f t="shared" si="143"/>
        <v>549</v>
      </c>
      <c r="AS426">
        <f t="shared" si="148"/>
        <v>544</v>
      </c>
      <c r="AT426" s="21">
        <f t="shared" si="149"/>
        <v>549</v>
      </c>
      <c r="AU426" s="21"/>
      <c r="AV426" s="21"/>
      <c r="AW426" s="21"/>
    </row>
    <row r="427" spans="1:49" x14ac:dyDescent="0.2">
      <c r="A427">
        <v>233</v>
      </c>
      <c r="E427">
        <f t="shared" si="144"/>
        <v>1</v>
      </c>
      <c r="J427" t="str">
        <f t="shared" si="151"/>
        <v>8</v>
      </c>
      <c r="K427" t="str">
        <f t="shared" si="152"/>
        <v>51</v>
      </c>
      <c r="L427" t="str">
        <f t="shared" si="153"/>
        <v/>
      </c>
      <c r="M427" s="6" t="str">
        <f t="shared" si="154"/>
        <v/>
      </c>
      <c r="N427" t="str">
        <f t="shared" si="150"/>
        <v>Home</v>
      </c>
      <c r="O427">
        <v>79</v>
      </c>
      <c r="P427" t="s">
        <v>424</v>
      </c>
      <c r="Y427" t="str">
        <f t="shared" si="134"/>
        <v/>
      </c>
      <c r="Z427" t="str">
        <f t="shared" si="135"/>
        <v/>
      </c>
      <c r="AC427" t="str">
        <f t="shared" si="136"/>
        <v>Pass</v>
      </c>
      <c r="AD427" t="str">
        <f t="shared" si="137"/>
        <v>Pass_Missed</v>
      </c>
      <c r="AE427" t="str">
        <f t="shared" si="138"/>
        <v>Pass-Forehand</v>
      </c>
      <c r="AF427" t="str">
        <f t="shared" si="139"/>
        <v>Offensive</v>
      </c>
      <c r="AG427">
        <f t="shared" si="145"/>
        <v>18981</v>
      </c>
      <c r="AH427" t="str">
        <f t="shared" si="146"/>
        <v>Nelson</v>
      </c>
      <c r="AI427" t="str">
        <f t="shared" si="147"/>
        <v>Velodrome</v>
      </c>
      <c r="AJ427" s="18">
        <f t="shared" si="140"/>
        <v>0</v>
      </c>
      <c r="AP427" s="18">
        <f t="shared" si="141"/>
        <v>0</v>
      </c>
      <c r="AQ427">
        <f t="shared" si="142"/>
        <v>0</v>
      </c>
      <c r="AR427" s="23">
        <f t="shared" si="143"/>
        <v>549</v>
      </c>
      <c r="AS427">
        <f t="shared" si="148"/>
        <v>544</v>
      </c>
      <c r="AT427" s="21">
        <f t="shared" si="149"/>
        <v>549</v>
      </c>
      <c r="AU427" s="21"/>
      <c r="AV427" s="21"/>
      <c r="AW427" s="21"/>
    </row>
    <row r="428" spans="1:49" x14ac:dyDescent="0.2">
      <c r="A428">
        <v>233</v>
      </c>
      <c r="E428">
        <f t="shared" si="144"/>
        <v>1</v>
      </c>
      <c r="J428" t="str">
        <f t="shared" si="151"/>
        <v>8</v>
      </c>
      <c r="K428" t="str">
        <f t="shared" si="152"/>
        <v>51</v>
      </c>
      <c r="L428" t="str">
        <f t="shared" si="153"/>
        <v/>
      </c>
      <c r="M428" s="6" t="str">
        <f t="shared" si="154"/>
        <v/>
      </c>
      <c r="N428" t="str">
        <f t="shared" si="150"/>
        <v>Home</v>
      </c>
      <c r="O428">
        <v>84</v>
      </c>
      <c r="P428" t="s">
        <v>425</v>
      </c>
      <c r="Y428" t="str">
        <f t="shared" si="134"/>
        <v/>
      </c>
      <c r="Z428" t="str">
        <f t="shared" si="135"/>
        <v/>
      </c>
      <c r="AC428" t="str">
        <f t="shared" si="136"/>
        <v>Pass</v>
      </c>
      <c r="AD428" t="str">
        <f t="shared" si="137"/>
        <v>Pass_Missed</v>
      </c>
      <c r="AE428" t="str">
        <f t="shared" si="138"/>
        <v>Pass-Forehand</v>
      </c>
      <c r="AF428" t="str">
        <f t="shared" si="139"/>
        <v>Defensive</v>
      </c>
      <c r="AG428">
        <f t="shared" si="145"/>
        <v>18981</v>
      </c>
      <c r="AH428" t="str">
        <f t="shared" si="146"/>
        <v>Nelson</v>
      </c>
      <c r="AI428" t="str">
        <f t="shared" si="147"/>
        <v>Velodrome</v>
      </c>
      <c r="AJ428" s="18">
        <f t="shared" si="140"/>
        <v>0</v>
      </c>
      <c r="AP428" s="18">
        <f t="shared" si="141"/>
        <v>0</v>
      </c>
      <c r="AQ428">
        <f t="shared" si="142"/>
        <v>0</v>
      </c>
      <c r="AR428" s="23">
        <f t="shared" si="143"/>
        <v>549</v>
      </c>
      <c r="AS428">
        <f t="shared" si="148"/>
        <v>544</v>
      </c>
      <c r="AT428" s="21">
        <f t="shared" si="149"/>
        <v>549</v>
      </c>
      <c r="AU428" s="21"/>
      <c r="AV428" s="21"/>
      <c r="AW428" s="21"/>
    </row>
    <row r="429" spans="1:49" x14ac:dyDescent="0.2">
      <c r="A429">
        <v>234</v>
      </c>
      <c r="E429">
        <f t="shared" si="144"/>
        <v>1</v>
      </c>
      <c r="F429" s="5" t="s">
        <v>538</v>
      </c>
      <c r="G429" s="5" t="s">
        <v>523</v>
      </c>
      <c r="J429" t="str">
        <f t="shared" si="151"/>
        <v>8</v>
      </c>
      <c r="K429" t="str">
        <f t="shared" si="152"/>
        <v>51</v>
      </c>
      <c r="L429" t="str">
        <f t="shared" si="153"/>
        <v/>
      </c>
      <c r="M429" s="6" t="str">
        <f t="shared" si="154"/>
        <v/>
      </c>
      <c r="N429" t="s">
        <v>178</v>
      </c>
      <c r="O429">
        <v>7</v>
      </c>
      <c r="P429" t="s">
        <v>424</v>
      </c>
      <c r="Q429" t="s">
        <v>277</v>
      </c>
      <c r="R429" t="s">
        <v>201</v>
      </c>
      <c r="S429" t="s">
        <v>433</v>
      </c>
      <c r="Y429" t="str">
        <f t="shared" si="134"/>
        <v/>
      </c>
      <c r="Z429" t="str">
        <f t="shared" si="135"/>
        <v/>
      </c>
      <c r="AC429" t="str">
        <f t="shared" si="136"/>
        <v>Zone_Entry_Exit</v>
      </c>
      <c r="AD429" t="str">
        <f t="shared" si="137"/>
        <v>Zone_Exit</v>
      </c>
      <c r="AE429" t="str">
        <f t="shared" si="138"/>
        <v>ZoneExit-PassMiss/Misplay</v>
      </c>
      <c r="AF429" t="str">
        <f t="shared" si="139"/>
        <v>Offensive</v>
      </c>
      <c r="AG429">
        <f t="shared" si="145"/>
        <v>18981</v>
      </c>
      <c r="AH429" t="str">
        <f t="shared" si="146"/>
        <v>Nelson</v>
      </c>
      <c r="AI429" t="str">
        <f t="shared" si="147"/>
        <v>Velodrome</v>
      </c>
      <c r="AJ429" s="18">
        <f t="shared" si="140"/>
        <v>0</v>
      </c>
      <c r="AP429" s="18">
        <f t="shared" si="141"/>
        <v>0</v>
      </c>
      <c r="AQ429">
        <f t="shared" si="142"/>
        <v>0</v>
      </c>
      <c r="AR429" s="23">
        <f t="shared" si="143"/>
        <v>549</v>
      </c>
      <c r="AS429">
        <f t="shared" si="148"/>
        <v>544</v>
      </c>
      <c r="AT429" s="21">
        <f t="shared" si="149"/>
        <v>549</v>
      </c>
      <c r="AU429" s="21"/>
      <c r="AV429" s="21"/>
      <c r="AW429" s="21"/>
    </row>
    <row r="430" spans="1:49" x14ac:dyDescent="0.2">
      <c r="A430">
        <v>234</v>
      </c>
      <c r="E430">
        <f t="shared" si="144"/>
        <v>1</v>
      </c>
      <c r="J430" t="str">
        <f t="shared" si="151"/>
        <v>8</v>
      </c>
      <c r="K430" t="str">
        <f t="shared" si="152"/>
        <v>51</v>
      </c>
      <c r="L430" t="str">
        <f t="shared" si="153"/>
        <v/>
      </c>
      <c r="M430" s="6" t="str">
        <f t="shared" si="154"/>
        <v/>
      </c>
      <c r="N430" t="str">
        <f t="shared" si="150"/>
        <v>Home</v>
      </c>
      <c r="O430">
        <v>79</v>
      </c>
      <c r="P430" t="s">
        <v>424</v>
      </c>
      <c r="Y430" t="str">
        <f t="shared" si="134"/>
        <v/>
      </c>
      <c r="Z430" t="str">
        <f t="shared" si="135"/>
        <v/>
      </c>
      <c r="AC430" t="str">
        <f t="shared" si="136"/>
        <v>Zone_Entry_Exit</v>
      </c>
      <c r="AD430" t="str">
        <f t="shared" si="137"/>
        <v>Zone_Exit</v>
      </c>
      <c r="AE430" t="str">
        <f t="shared" si="138"/>
        <v>ZoneExit-PassMiss/Misplay</v>
      </c>
      <c r="AF430" t="str">
        <f t="shared" si="139"/>
        <v>Offensive</v>
      </c>
      <c r="AG430">
        <f t="shared" si="145"/>
        <v>18981</v>
      </c>
      <c r="AH430" t="str">
        <f t="shared" si="146"/>
        <v>Nelson</v>
      </c>
      <c r="AI430" t="str">
        <f t="shared" si="147"/>
        <v>Velodrome</v>
      </c>
      <c r="AJ430" s="18">
        <f t="shared" si="140"/>
        <v>0</v>
      </c>
      <c r="AP430" s="18">
        <f t="shared" si="141"/>
        <v>0</v>
      </c>
      <c r="AQ430">
        <f t="shared" si="142"/>
        <v>0</v>
      </c>
      <c r="AR430" s="23">
        <f t="shared" si="143"/>
        <v>549</v>
      </c>
      <c r="AS430">
        <f t="shared" si="148"/>
        <v>544</v>
      </c>
      <c r="AT430" s="21">
        <f t="shared" si="149"/>
        <v>549</v>
      </c>
      <c r="AU430" s="21"/>
      <c r="AV430" s="21"/>
      <c r="AW430" s="21"/>
    </row>
    <row r="431" spans="1:49" x14ac:dyDescent="0.2">
      <c r="A431">
        <v>234</v>
      </c>
      <c r="E431">
        <f t="shared" si="144"/>
        <v>1</v>
      </c>
      <c r="J431" t="str">
        <f t="shared" si="151"/>
        <v>8</v>
      </c>
      <c r="K431" t="str">
        <f t="shared" si="152"/>
        <v>51</v>
      </c>
      <c r="L431" t="str">
        <f t="shared" si="153"/>
        <v/>
      </c>
      <c r="M431" s="6" t="str">
        <f t="shared" si="154"/>
        <v/>
      </c>
      <c r="N431" t="str">
        <f t="shared" si="150"/>
        <v>Home</v>
      </c>
      <c r="O431">
        <v>84</v>
      </c>
      <c r="P431" t="s">
        <v>425</v>
      </c>
      <c r="Y431" t="str">
        <f t="shared" si="134"/>
        <v/>
      </c>
      <c r="Z431" t="str">
        <f t="shared" si="135"/>
        <v/>
      </c>
      <c r="AC431" t="str">
        <f t="shared" si="136"/>
        <v>Zone_Entry_Exit</v>
      </c>
      <c r="AD431" t="str">
        <f t="shared" si="137"/>
        <v>Zone_Exit</v>
      </c>
      <c r="AE431" t="str">
        <f t="shared" si="138"/>
        <v>ZoneExit-PassMiss/Misplay</v>
      </c>
      <c r="AF431" t="str">
        <f t="shared" si="139"/>
        <v>Defensive</v>
      </c>
      <c r="AG431">
        <f t="shared" si="145"/>
        <v>18981</v>
      </c>
      <c r="AH431" t="str">
        <f t="shared" si="146"/>
        <v>Nelson</v>
      </c>
      <c r="AI431" t="str">
        <f t="shared" si="147"/>
        <v>Velodrome</v>
      </c>
      <c r="AJ431" s="18">
        <f t="shared" si="140"/>
        <v>0</v>
      </c>
      <c r="AP431" s="18">
        <f t="shared" si="141"/>
        <v>0</v>
      </c>
      <c r="AQ431">
        <f t="shared" si="142"/>
        <v>0</v>
      </c>
      <c r="AR431" s="23">
        <f t="shared" si="143"/>
        <v>549</v>
      </c>
      <c r="AS431">
        <f t="shared" si="148"/>
        <v>544</v>
      </c>
      <c r="AT431" s="21">
        <f t="shared" si="149"/>
        <v>549</v>
      </c>
      <c r="AU431" s="21"/>
      <c r="AV431" s="21"/>
      <c r="AW431" s="21"/>
    </row>
    <row r="432" spans="1:49" x14ac:dyDescent="0.2">
      <c r="A432">
        <v>235</v>
      </c>
      <c r="E432">
        <f t="shared" si="144"/>
        <v>1</v>
      </c>
      <c r="F432" s="5" t="s">
        <v>538</v>
      </c>
      <c r="G432" s="5" t="s">
        <v>521</v>
      </c>
      <c r="J432" t="str">
        <f t="shared" si="151"/>
        <v>8</v>
      </c>
      <c r="K432" t="str">
        <f t="shared" si="152"/>
        <v>49</v>
      </c>
      <c r="L432" t="str">
        <f t="shared" si="153"/>
        <v/>
      </c>
      <c r="M432" s="6" t="str">
        <f t="shared" si="154"/>
        <v/>
      </c>
      <c r="N432" t="s">
        <v>179</v>
      </c>
      <c r="O432">
        <v>84</v>
      </c>
      <c r="P432" t="s">
        <v>424</v>
      </c>
      <c r="Q432" t="s">
        <v>277</v>
      </c>
      <c r="R432" t="s">
        <v>191</v>
      </c>
      <c r="S432" t="s">
        <v>535</v>
      </c>
      <c r="Y432" t="str">
        <f t="shared" si="134"/>
        <v/>
      </c>
      <c r="Z432" t="str">
        <f t="shared" si="135"/>
        <v/>
      </c>
      <c r="AC432" t="str">
        <f t="shared" si="136"/>
        <v>Zone_Entry_Exit</v>
      </c>
      <c r="AD432" t="str">
        <f t="shared" si="137"/>
        <v>Zone_Entry</v>
      </c>
      <c r="AE432" t="str">
        <f t="shared" si="138"/>
        <v>ZoneEntry-CausedTurnover</v>
      </c>
      <c r="AF432" t="str">
        <f t="shared" si="139"/>
        <v>Offensive</v>
      </c>
      <c r="AG432">
        <f t="shared" si="145"/>
        <v>18981</v>
      </c>
      <c r="AH432" t="str">
        <f t="shared" si="146"/>
        <v>Nelson</v>
      </c>
      <c r="AI432" t="str">
        <f t="shared" si="147"/>
        <v>Velodrome</v>
      </c>
      <c r="AJ432" s="18">
        <f t="shared" si="140"/>
        <v>0</v>
      </c>
      <c r="AP432" s="18">
        <f t="shared" si="141"/>
        <v>0</v>
      </c>
      <c r="AQ432">
        <f t="shared" si="142"/>
        <v>0</v>
      </c>
      <c r="AR432" s="23">
        <f t="shared" si="143"/>
        <v>551</v>
      </c>
      <c r="AS432">
        <f t="shared" si="148"/>
        <v>546</v>
      </c>
      <c r="AT432" s="21">
        <f t="shared" si="149"/>
        <v>551</v>
      </c>
      <c r="AU432" s="21"/>
      <c r="AV432" s="21"/>
      <c r="AW432" s="21"/>
    </row>
    <row r="433" spans="1:49" x14ac:dyDescent="0.2">
      <c r="A433">
        <v>236</v>
      </c>
      <c r="E433">
        <f t="shared" si="144"/>
        <v>1</v>
      </c>
      <c r="F433" s="5" t="s">
        <v>538</v>
      </c>
      <c r="G433" s="5" t="s">
        <v>518</v>
      </c>
      <c r="H433" s="5" t="s">
        <v>538</v>
      </c>
      <c r="I433" s="7" t="s">
        <v>517</v>
      </c>
      <c r="J433" t="str">
        <f t="shared" si="151"/>
        <v>8</v>
      </c>
      <c r="K433" t="str">
        <f t="shared" si="152"/>
        <v>46</v>
      </c>
      <c r="L433" t="str">
        <f t="shared" si="153"/>
        <v>8</v>
      </c>
      <c r="M433" s="6" t="str">
        <f t="shared" si="154"/>
        <v>45</v>
      </c>
      <c r="N433" t="s">
        <v>178</v>
      </c>
      <c r="O433">
        <v>37</v>
      </c>
      <c r="P433" t="s">
        <v>424</v>
      </c>
      <c r="Q433" t="s">
        <v>277</v>
      </c>
      <c r="R433" t="s">
        <v>201</v>
      </c>
      <c r="S433" t="s">
        <v>90</v>
      </c>
      <c r="Y433" t="str">
        <f t="shared" si="134"/>
        <v/>
      </c>
      <c r="Z433" t="str">
        <f t="shared" si="135"/>
        <v/>
      </c>
      <c r="AC433" t="str">
        <f t="shared" si="136"/>
        <v>Zone_Entry_Exit</v>
      </c>
      <c r="AD433" t="str">
        <f t="shared" si="137"/>
        <v>Zone_Exit</v>
      </c>
      <c r="AE433" t="str">
        <f t="shared" si="138"/>
        <v>ZoneExit-Rush</v>
      </c>
      <c r="AF433" t="str">
        <f t="shared" si="139"/>
        <v>Offensive</v>
      </c>
      <c r="AG433">
        <f t="shared" si="145"/>
        <v>18981</v>
      </c>
      <c r="AH433" t="str">
        <f t="shared" si="146"/>
        <v>Nelson</v>
      </c>
      <c r="AI433" t="str">
        <f t="shared" si="147"/>
        <v>Velodrome</v>
      </c>
      <c r="AJ433" s="18">
        <f t="shared" si="140"/>
        <v>1</v>
      </c>
      <c r="AP433" s="18">
        <f t="shared" si="141"/>
        <v>0</v>
      </c>
      <c r="AQ433">
        <f t="shared" si="142"/>
        <v>0</v>
      </c>
      <c r="AR433" s="23">
        <f t="shared" si="143"/>
        <v>554</v>
      </c>
      <c r="AS433">
        <f t="shared" si="148"/>
        <v>549</v>
      </c>
      <c r="AT433" s="21">
        <f t="shared" si="149"/>
        <v>555</v>
      </c>
      <c r="AU433" s="21"/>
      <c r="AV433" s="21"/>
      <c r="AW433" s="21"/>
    </row>
    <row r="434" spans="1:49" x14ac:dyDescent="0.2">
      <c r="A434">
        <v>237</v>
      </c>
      <c r="E434">
        <f t="shared" si="144"/>
        <v>1</v>
      </c>
      <c r="F434" s="5" t="s">
        <v>538</v>
      </c>
      <c r="G434" s="5" t="s">
        <v>517</v>
      </c>
      <c r="H434" s="5" t="s">
        <v>538</v>
      </c>
      <c r="I434" s="7" t="s">
        <v>515</v>
      </c>
      <c r="J434" t="str">
        <f t="shared" si="151"/>
        <v>8</v>
      </c>
      <c r="K434" t="str">
        <f t="shared" si="152"/>
        <v>45</v>
      </c>
      <c r="L434" t="str">
        <f t="shared" si="153"/>
        <v>8</v>
      </c>
      <c r="M434" s="6" t="str">
        <f t="shared" si="154"/>
        <v>43</v>
      </c>
      <c r="N434" t="s">
        <v>178</v>
      </c>
      <c r="O434">
        <v>37</v>
      </c>
      <c r="P434" t="s">
        <v>424</v>
      </c>
      <c r="Q434" t="s">
        <v>15</v>
      </c>
      <c r="Y434" t="str">
        <f t="shared" si="134"/>
        <v/>
      </c>
      <c r="Z434" t="str">
        <f t="shared" si="135"/>
        <v/>
      </c>
      <c r="AC434" t="str">
        <f t="shared" si="136"/>
        <v>Possession</v>
      </c>
      <c r="AD434" t="str">
        <f t="shared" si="137"/>
        <v/>
      </c>
      <c r="AE434" t="str">
        <f t="shared" si="138"/>
        <v/>
      </c>
      <c r="AF434" t="str">
        <f t="shared" si="139"/>
        <v>Offensive</v>
      </c>
      <c r="AG434">
        <f t="shared" si="145"/>
        <v>18981</v>
      </c>
      <c r="AH434" t="str">
        <f t="shared" si="146"/>
        <v>Nelson</v>
      </c>
      <c r="AI434" t="str">
        <f t="shared" si="147"/>
        <v>Velodrome</v>
      </c>
      <c r="AJ434" s="18">
        <f t="shared" si="140"/>
        <v>2</v>
      </c>
      <c r="AP434" s="18">
        <f t="shared" si="141"/>
        <v>0</v>
      </c>
      <c r="AQ434">
        <f t="shared" si="142"/>
        <v>0</v>
      </c>
      <c r="AR434" s="23">
        <f t="shared" si="143"/>
        <v>555</v>
      </c>
      <c r="AS434">
        <f t="shared" si="148"/>
        <v>550</v>
      </c>
      <c r="AT434" s="21">
        <f t="shared" si="149"/>
        <v>557</v>
      </c>
      <c r="AU434" s="21"/>
      <c r="AV434" s="21"/>
      <c r="AW434" s="21"/>
    </row>
    <row r="435" spans="1:49" x14ac:dyDescent="0.2">
      <c r="A435">
        <v>238</v>
      </c>
      <c r="E435">
        <f t="shared" si="144"/>
        <v>1</v>
      </c>
      <c r="F435" s="5" t="s">
        <v>538</v>
      </c>
      <c r="G435" s="5" t="s">
        <v>515</v>
      </c>
      <c r="H435" s="5" t="s">
        <v>538</v>
      </c>
      <c r="I435" s="7" t="s">
        <v>513</v>
      </c>
      <c r="J435" t="str">
        <f t="shared" si="151"/>
        <v>8</v>
      </c>
      <c r="K435" t="str">
        <f t="shared" si="152"/>
        <v>43</v>
      </c>
      <c r="L435" t="str">
        <f t="shared" si="153"/>
        <v>8</v>
      </c>
      <c r="M435" s="6" t="str">
        <f t="shared" si="154"/>
        <v>41</v>
      </c>
      <c r="N435" t="s">
        <v>178</v>
      </c>
      <c r="O435">
        <v>37</v>
      </c>
      <c r="P435" t="s">
        <v>424</v>
      </c>
      <c r="Q435" t="s">
        <v>277</v>
      </c>
      <c r="R435" t="s">
        <v>191</v>
      </c>
      <c r="S435" t="s">
        <v>87</v>
      </c>
      <c r="Y435" t="str">
        <f t="shared" si="134"/>
        <v/>
      </c>
      <c r="Z435" t="str">
        <f t="shared" si="135"/>
        <v/>
      </c>
      <c r="AC435" t="str">
        <f t="shared" si="136"/>
        <v>Zone_Entry_Exit</v>
      </c>
      <c r="AD435" t="str">
        <f t="shared" si="137"/>
        <v>Zone_Entry</v>
      </c>
      <c r="AE435" t="str">
        <f t="shared" si="138"/>
        <v>ZoneEntry-Rush</v>
      </c>
      <c r="AF435" t="str">
        <f t="shared" si="139"/>
        <v>Offensive</v>
      </c>
      <c r="AG435">
        <f t="shared" si="145"/>
        <v>18981</v>
      </c>
      <c r="AH435" t="str">
        <f t="shared" si="146"/>
        <v>Nelson</v>
      </c>
      <c r="AI435" t="str">
        <f t="shared" si="147"/>
        <v>Velodrome</v>
      </c>
      <c r="AJ435" s="18">
        <f t="shared" si="140"/>
        <v>2</v>
      </c>
      <c r="AP435" s="18">
        <f t="shared" si="141"/>
        <v>0</v>
      </c>
      <c r="AQ435">
        <f t="shared" si="142"/>
        <v>0</v>
      </c>
      <c r="AR435" s="23">
        <f t="shared" si="143"/>
        <v>557</v>
      </c>
      <c r="AS435">
        <f t="shared" si="148"/>
        <v>552</v>
      </c>
      <c r="AT435" s="21">
        <f t="shared" si="149"/>
        <v>559</v>
      </c>
      <c r="AU435" s="21"/>
      <c r="AV435" s="21"/>
      <c r="AW435" s="21"/>
    </row>
    <row r="436" spans="1:49" x14ac:dyDescent="0.2">
      <c r="A436">
        <v>238</v>
      </c>
      <c r="E436">
        <f t="shared" si="144"/>
        <v>1</v>
      </c>
      <c r="J436" t="str">
        <f t="shared" si="151"/>
        <v>8</v>
      </c>
      <c r="K436" t="str">
        <f t="shared" si="152"/>
        <v>43</v>
      </c>
      <c r="L436" t="str">
        <f t="shared" si="153"/>
        <v>8</v>
      </c>
      <c r="M436" s="6" t="str">
        <f t="shared" si="154"/>
        <v>41</v>
      </c>
      <c r="N436" t="str">
        <f t="shared" si="150"/>
        <v>Home</v>
      </c>
      <c r="O436">
        <v>79</v>
      </c>
      <c r="P436" t="s">
        <v>424</v>
      </c>
      <c r="Y436" t="str">
        <f t="shared" si="134"/>
        <v/>
      </c>
      <c r="Z436" t="str">
        <f t="shared" si="135"/>
        <v/>
      </c>
      <c r="AC436" t="str">
        <f t="shared" si="136"/>
        <v>Zone_Entry_Exit</v>
      </c>
      <c r="AD436" t="str">
        <f t="shared" si="137"/>
        <v>Zone_Entry</v>
      </c>
      <c r="AE436" t="str">
        <f t="shared" si="138"/>
        <v>ZoneEntry-Rush</v>
      </c>
      <c r="AF436" t="str">
        <f t="shared" si="139"/>
        <v>Offensive</v>
      </c>
      <c r="AG436">
        <f t="shared" si="145"/>
        <v>18981</v>
      </c>
      <c r="AH436" t="str">
        <f t="shared" si="146"/>
        <v>Nelson</v>
      </c>
      <c r="AI436" t="str">
        <f t="shared" si="147"/>
        <v>Velodrome</v>
      </c>
      <c r="AJ436" s="18">
        <f t="shared" si="140"/>
        <v>2</v>
      </c>
      <c r="AP436" s="18">
        <f t="shared" si="141"/>
        <v>0</v>
      </c>
      <c r="AQ436">
        <f t="shared" si="142"/>
        <v>0</v>
      </c>
      <c r="AR436" s="23">
        <f t="shared" si="143"/>
        <v>557</v>
      </c>
      <c r="AS436">
        <f t="shared" si="148"/>
        <v>552</v>
      </c>
      <c r="AT436" s="21">
        <f t="shared" si="149"/>
        <v>559</v>
      </c>
      <c r="AU436" s="21"/>
      <c r="AV436" s="21"/>
      <c r="AW436" s="21"/>
    </row>
    <row r="437" spans="1:49" x14ac:dyDescent="0.2">
      <c r="A437">
        <v>238</v>
      </c>
      <c r="E437">
        <f t="shared" si="144"/>
        <v>1</v>
      </c>
      <c r="J437" t="str">
        <f t="shared" si="151"/>
        <v>8</v>
      </c>
      <c r="K437" t="str">
        <f t="shared" si="152"/>
        <v>43</v>
      </c>
      <c r="L437" t="str">
        <f t="shared" si="153"/>
        <v>8</v>
      </c>
      <c r="M437" s="6" t="str">
        <f t="shared" si="154"/>
        <v>41</v>
      </c>
      <c r="N437" t="str">
        <f t="shared" si="150"/>
        <v>Home</v>
      </c>
      <c r="O437">
        <v>91</v>
      </c>
      <c r="P437" t="s">
        <v>425</v>
      </c>
      <c r="Y437" t="str">
        <f t="shared" si="134"/>
        <v/>
      </c>
      <c r="Z437" t="str">
        <f t="shared" si="135"/>
        <v/>
      </c>
      <c r="AC437" t="str">
        <f t="shared" si="136"/>
        <v>Zone_Entry_Exit</v>
      </c>
      <c r="AD437" t="str">
        <f t="shared" si="137"/>
        <v>Zone_Entry</v>
      </c>
      <c r="AE437" t="str">
        <f t="shared" si="138"/>
        <v>ZoneEntry-Rush</v>
      </c>
      <c r="AF437" t="str">
        <f t="shared" si="139"/>
        <v>Defensive</v>
      </c>
      <c r="AG437">
        <f t="shared" si="145"/>
        <v>18981</v>
      </c>
      <c r="AH437" t="str">
        <f t="shared" si="146"/>
        <v>Nelson</v>
      </c>
      <c r="AI437" t="str">
        <f t="shared" si="147"/>
        <v>Velodrome</v>
      </c>
      <c r="AJ437" s="18">
        <f t="shared" si="140"/>
        <v>2</v>
      </c>
      <c r="AP437" s="18">
        <f t="shared" si="141"/>
        <v>0</v>
      </c>
      <c r="AQ437">
        <f t="shared" si="142"/>
        <v>0</v>
      </c>
      <c r="AR437" s="23">
        <f t="shared" si="143"/>
        <v>557</v>
      </c>
      <c r="AS437">
        <f t="shared" si="148"/>
        <v>552</v>
      </c>
      <c r="AT437" s="21">
        <f t="shared" si="149"/>
        <v>559</v>
      </c>
      <c r="AU437" s="21"/>
      <c r="AV437" s="21"/>
      <c r="AW437" s="21"/>
    </row>
    <row r="438" spans="1:49" x14ac:dyDescent="0.2">
      <c r="A438">
        <v>238</v>
      </c>
      <c r="E438">
        <f t="shared" si="144"/>
        <v>1</v>
      </c>
      <c r="J438" t="str">
        <f t="shared" si="151"/>
        <v>8</v>
      </c>
      <c r="K438" t="str">
        <f t="shared" si="152"/>
        <v>43</v>
      </c>
      <c r="L438" t="str">
        <f t="shared" si="153"/>
        <v>8</v>
      </c>
      <c r="M438" s="6" t="str">
        <f t="shared" si="154"/>
        <v>41</v>
      </c>
      <c r="N438" t="str">
        <f t="shared" si="150"/>
        <v>Home</v>
      </c>
      <c r="O438">
        <v>84</v>
      </c>
      <c r="P438" t="s">
        <v>425</v>
      </c>
      <c r="Y438" t="str">
        <f t="shared" si="134"/>
        <v/>
      </c>
      <c r="Z438" t="str">
        <f t="shared" si="135"/>
        <v/>
      </c>
      <c r="AC438" t="str">
        <f t="shared" si="136"/>
        <v>Zone_Entry_Exit</v>
      </c>
      <c r="AD438" t="str">
        <f t="shared" si="137"/>
        <v>Zone_Entry</v>
      </c>
      <c r="AE438" t="str">
        <f t="shared" si="138"/>
        <v>ZoneEntry-Rush</v>
      </c>
      <c r="AF438" t="str">
        <f t="shared" si="139"/>
        <v>Defensive</v>
      </c>
      <c r="AG438">
        <f t="shared" si="145"/>
        <v>18981</v>
      </c>
      <c r="AH438" t="str">
        <f t="shared" si="146"/>
        <v>Nelson</v>
      </c>
      <c r="AI438" t="str">
        <f t="shared" si="147"/>
        <v>Velodrome</v>
      </c>
      <c r="AJ438" s="18">
        <f t="shared" si="140"/>
        <v>2</v>
      </c>
      <c r="AP438" s="18">
        <f t="shared" si="141"/>
        <v>0</v>
      </c>
      <c r="AQ438">
        <f t="shared" si="142"/>
        <v>0</v>
      </c>
      <c r="AR438" s="23">
        <f t="shared" si="143"/>
        <v>557</v>
      </c>
      <c r="AS438">
        <f t="shared" si="148"/>
        <v>552</v>
      </c>
      <c r="AT438" s="21">
        <f t="shared" si="149"/>
        <v>559</v>
      </c>
      <c r="AU438" s="21"/>
      <c r="AV438" s="21"/>
      <c r="AW438" s="21"/>
    </row>
    <row r="439" spans="1:49" x14ac:dyDescent="0.2">
      <c r="A439">
        <v>238</v>
      </c>
      <c r="E439">
        <f t="shared" si="144"/>
        <v>1</v>
      </c>
      <c r="J439" t="str">
        <f t="shared" si="151"/>
        <v>8</v>
      </c>
      <c r="K439" t="str">
        <f t="shared" si="152"/>
        <v>43</v>
      </c>
      <c r="L439" t="str">
        <f t="shared" si="153"/>
        <v>8</v>
      </c>
      <c r="M439" s="6" t="str">
        <f t="shared" si="154"/>
        <v>41</v>
      </c>
      <c r="N439" t="str">
        <f t="shared" si="150"/>
        <v>Home</v>
      </c>
      <c r="O439">
        <v>93</v>
      </c>
      <c r="P439" t="s">
        <v>425</v>
      </c>
      <c r="Y439" t="str">
        <f t="shared" si="134"/>
        <v/>
      </c>
      <c r="Z439" t="str">
        <f t="shared" si="135"/>
        <v/>
      </c>
      <c r="AC439" t="str">
        <f t="shared" si="136"/>
        <v>Zone_Entry_Exit</v>
      </c>
      <c r="AD439" t="str">
        <f t="shared" si="137"/>
        <v>Zone_Entry</v>
      </c>
      <c r="AE439" t="str">
        <f t="shared" si="138"/>
        <v>ZoneEntry-Rush</v>
      </c>
      <c r="AF439" t="str">
        <f t="shared" si="139"/>
        <v>Defensive</v>
      </c>
      <c r="AG439">
        <f t="shared" si="145"/>
        <v>18981</v>
      </c>
      <c r="AH439" t="str">
        <f t="shared" si="146"/>
        <v>Nelson</v>
      </c>
      <c r="AI439" t="str">
        <f t="shared" si="147"/>
        <v>Velodrome</v>
      </c>
      <c r="AJ439" s="18">
        <f t="shared" si="140"/>
        <v>2</v>
      </c>
      <c r="AP439" s="18">
        <f t="shared" si="141"/>
        <v>0</v>
      </c>
      <c r="AQ439">
        <f t="shared" si="142"/>
        <v>0</v>
      </c>
      <c r="AR439" s="23">
        <f t="shared" si="143"/>
        <v>557</v>
      </c>
      <c r="AS439">
        <f t="shared" si="148"/>
        <v>552</v>
      </c>
      <c r="AT439" s="21">
        <f t="shared" si="149"/>
        <v>559</v>
      </c>
      <c r="AU439" s="21"/>
      <c r="AV439" s="21"/>
      <c r="AW439" s="21"/>
    </row>
    <row r="440" spans="1:49" x14ac:dyDescent="0.2">
      <c r="A440">
        <v>239</v>
      </c>
      <c r="E440">
        <f t="shared" si="144"/>
        <v>1</v>
      </c>
      <c r="F440" s="5" t="s">
        <v>538</v>
      </c>
      <c r="G440" s="5" t="s">
        <v>513</v>
      </c>
      <c r="J440" t="str">
        <f t="shared" si="151"/>
        <v>8</v>
      </c>
      <c r="K440" t="str">
        <f t="shared" si="152"/>
        <v>41</v>
      </c>
      <c r="L440" t="str">
        <f t="shared" si="153"/>
        <v/>
      </c>
      <c r="M440" s="6" t="str">
        <f t="shared" si="154"/>
        <v/>
      </c>
      <c r="N440" t="s">
        <v>178</v>
      </c>
      <c r="O440">
        <v>37</v>
      </c>
      <c r="P440" t="s">
        <v>424</v>
      </c>
      <c r="Q440" t="s">
        <v>7</v>
      </c>
      <c r="R440" t="s">
        <v>222</v>
      </c>
      <c r="S440" t="s">
        <v>53</v>
      </c>
      <c r="Y440" t="str">
        <f t="shared" si="134"/>
        <v/>
      </c>
      <c r="Z440" t="str">
        <f t="shared" si="135"/>
        <v/>
      </c>
      <c r="AC440" t="str">
        <f t="shared" si="136"/>
        <v>Shot</v>
      </c>
      <c r="AD440" t="str">
        <f t="shared" si="137"/>
        <v>Shot_OnNetSaved</v>
      </c>
      <c r="AE440" t="str">
        <f t="shared" si="138"/>
        <v>Shot-Wrist</v>
      </c>
      <c r="AF440" t="str">
        <f t="shared" si="139"/>
        <v>Offensive</v>
      </c>
      <c r="AG440">
        <f t="shared" si="145"/>
        <v>18981</v>
      </c>
      <c r="AH440" t="str">
        <f t="shared" si="146"/>
        <v>Nelson</v>
      </c>
      <c r="AI440" t="str">
        <f t="shared" si="147"/>
        <v>Velodrome</v>
      </c>
      <c r="AJ440" s="18">
        <f t="shared" si="140"/>
        <v>0</v>
      </c>
      <c r="AP440" s="18">
        <f t="shared" si="141"/>
        <v>0</v>
      </c>
      <c r="AQ440">
        <f t="shared" si="142"/>
        <v>0</v>
      </c>
      <c r="AR440" s="23">
        <f t="shared" si="143"/>
        <v>559</v>
      </c>
      <c r="AS440">
        <f t="shared" si="148"/>
        <v>554</v>
      </c>
      <c r="AT440" s="21">
        <f t="shared" si="149"/>
        <v>559</v>
      </c>
      <c r="AU440" s="21"/>
      <c r="AV440" s="21"/>
      <c r="AW440" s="21"/>
    </row>
    <row r="441" spans="1:49" x14ac:dyDescent="0.2">
      <c r="A441">
        <v>239</v>
      </c>
      <c r="E441">
        <f t="shared" si="144"/>
        <v>1</v>
      </c>
      <c r="J441" t="str">
        <f t="shared" si="151"/>
        <v>8</v>
      </c>
      <c r="K441" t="str">
        <f t="shared" si="152"/>
        <v>41</v>
      </c>
      <c r="L441" t="str">
        <f t="shared" si="153"/>
        <v/>
      </c>
      <c r="M441" s="6" t="str">
        <f t="shared" si="154"/>
        <v/>
      </c>
      <c r="N441" t="str">
        <f t="shared" si="150"/>
        <v>Home</v>
      </c>
      <c r="O441">
        <v>39</v>
      </c>
      <c r="P441" t="s">
        <v>425</v>
      </c>
      <c r="Y441" t="str">
        <f t="shared" si="134"/>
        <v/>
      </c>
      <c r="Z441" t="str">
        <f t="shared" si="135"/>
        <v/>
      </c>
      <c r="AC441" t="str">
        <f t="shared" si="136"/>
        <v>Shot</v>
      </c>
      <c r="AD441" t="str">
        <f t="shared" si="137"/>
        <v>Shot_OnNetSaved</v>
      </c>
      <c r="AE441" t="str">
        <f t="shared" si="138"/>
        <v>Shot-Wrist</v>
      </c>
      <c r="AF441" t="str">
        <f t="shared" si="139"/>
        <v>Defensive</v>
      </c>
      <c r="AG441">
        <f t="shared" si="145"/>
        <v>18981</v>
      </c>
      <c r="AH441" t="str">
        <f t="shared" si="146"/>
        <v>Nelson</v>
      </c>
      <c r="AI441" t="str">
        <f t="shared" si="147"/>
        <v>Velodrome</v>
      </c>
      <c r="AJ441" s="18">
        <f t="shared" si="140"/>
        <v>0</v>
      </c>
      <c r="AP441" s="18">
        <f t="shared" si="141"/>
        <v>0</v>
      </c>
      <c r="AQ441">
        <f t="shared" si="142"/>
        <v>0</v>
      </c>
      <c r="AR441" s="23">
        <f t="shared" si="143"/>
        <v>559</v>
      </c>
      <c r="AS441">
        <f t="shared" si="148"/>
        <v>554</v>
      </c>
      <c r="AT441" s="21">
        <f t="shared" si="149"/>
        <v>559</v>
      </c>
      <c r="AU441" s="21"/>
      <c r="AV441" s="21"/>
      <c r="AW441" s="21"/>
    </row>
    <row r="442" spans="1:49" x14ac:dyDescent="0.2">
      <c r="A442">
        <v>239</v>
      </c>
      <c r="E442">
        <f t="shared" si="144"/>
        <v>1</v>
      </c>
      <c r="J442" t="str">
        <f t="shared" si="151"/>
        <v>8</v>
      </c>
      <c r="K442" t="str">
        <f t="shared" si="152"/>
        <v>41</v>
      </c>
      <c r="L442" t="str">
        <f t="shared" si="153"/>
        <v/>
      </c>
      <c r="M442" s="6" t="str">
        <f t="shared" si="154"/>
        <v/>
      </c>
      <c r="N442" t="str">
        <f t="shared" si="150"/>
        <v>Home</v>
      </c>
      <c r="O442">
        <v>93</v>
      </c>
      <c r="P442" t="s">
        <v>425</v>
      </c>
      <c r="Y442" t="str">
        <f t="shared" si="134"/>
        <v/>
      </c>
      <c r="Z442" t="str">
        <f t="shared" si="135"/>
        <v/>
      </c>
      <c r="AC442" t="str">
        <f t="shared" si="136"/>
        <v>Shot</v>
      </c>
      <c r="AD442" t="str">
        <f t="shared" si="137"/>
        <v>Shot_OnNetSaved</v>
      </c>
      <c r="AE442" t="str">
        <f t="shared" si="138"/>
        <v>Shot-Wrist</v>
      </c>
      <c r="AF442" t="str">
        <f t="shared" si="139"/>
        <v>Defensive</v>
      </c>
      <c r="AG442">
        <f t="shared" si="145"/>
        <v>18981</v>
      </c>
      <c r="AH442" t="str">
        <f t="shared" si="146"/>
        <v>Nelson</v>
      </c>
      <c r="AI442" t="str">
        <f t="shared" si="147"/>
        <v>Velodrome</v>
      </c>
      <c r="AJ442" s="18">
        <f t="shared" si="140"/>
        <v>0</v>
      </c>
      <c r="AP442" s="18">
        <f t="shared" si="141"/>
        <v>0</v>
      </c>
      <c r="AQ442">
        <f t="shared" si="142"/>
        <v>0</v>
      </c>
      <c r="AR442" s="23">
        <f t="shared" si="143"/>
        <v>559</v>
      </c>
      <c r="AS442">
        <f t="shared" si="148"/>
        <v>554</v>
      </c>
      <c r="AT442" s="21">
        <f t="shared" si="149"/>
        <v>559</v>
      </c>
      <c r="AU442" s="21"/>
      <c r="AV442" s="21"/>
      <c r="AW442" s="21"/>
    </row>
    <row r="443" spans="1:49" x14ac:dyDescent="0.2">
      <c r="A443">
        <v>240</v>
      </c>
      <c r="E443">
        <f t="shared" si="144"/>
        <v>1</v>
      </c>
      <c r="F443" s="5" t="s">
        <v>538</v>
      </c>
      <c r="G443" s="5" t="s">
        <v>513</v>
      </c>
      <c r="J443" t="str">
        <f t="shared" si="151"/>
        <v>8</v>
      </c>
      <c r="K443" t="str">
        <f t="shared" si="152"/>
        <v>41</v>
      </c>
      <c r="L443" t="str">
        <f t="shared" si="153"/>
        <v/>
      </c>
      <c r="M443" s="6" t="str">
        <f t="shared" si="154"/>
        <v/>
      </c>
      <c r="N443" t="s">
        <v>179</v>
      </c>
      <c r="O443">
        <v>39</v>
      </c>
      <c r="P443" t="s">
        <v>424</v>
      </c>
      <c r="Q443" t="s">
        <v>17</v>
      </c>
      <c r="R443" t="s">
        <v>206</v>
      </c>
      <c r="S443" t="s">
        <v>96</v>
      </c>
      <c r="Y443" t="str">
        <f t="shared" si="134"/>
        <v/>
      </c>
      <c r="Z443" t="str">
        <f t="shared" si="135"/>
        <v/>
      </c>
      <c r="AC443" t="str">
        <f t="shared" si="136"/>
        <v>Save</v>
      </c>
      <c r="AD443" t="str">
        <f t="shared" si="137"/>
        <v>Save_Freeze</v>
      </c>
      <c r="AE443" t="str">
        <f t="shared" si="138"/>
        <v>Save-Glove</v>
      </c>
      <c r="AF443" t="str">
        <f t="shared" si="139"/>
        <v>Defensive</v>
      </c>
      <c r="AG443">
        <f t="shared" si="145"/>
        <v>18981</v>
      </c>
      <c r="AH443" t="str">
        <f t="shared" si="146"/>
        <v>Nelson</v>
      </c>
      <c r="AI443" t="str">
        <f t="shared" si="147"/>
        <v>Velodrome</v>
      </c>
      <c r="AJ443" s="18">
        <f t="shared" si="140"/>
        <v>0</v>
      </c>
      <c r="AP443" s="18">
        <f t="shared" si="141"/>
        <v>0</v>
      </c>
      <c r="AQ443">
        <f t="shared" si="142"/>
        <v>0</v>
      </c>
      <c r="AR443" s="23">
        <f t="shared" si="143"/>
        <v>559</v>
      </c>
      <c r="AS443">
        <f t="shared" si="148"/>
        <v>554</v>
      </c>
      <c r="AT443" s="21">
        <f t="shared" si="149"/>
        <v>559</v>
      </c>
      <c r="AU443" s="21"/>
      <c r="AV443" s="21"/>
      <c r="AW443" s="21"/>
    </row>
    <row r="444" spans="1:49" x14ac:dyDescent="0.2">
      <c r="A444">
        <v>240</v>
      </c>
      <c r="E444">
        <f t="shared" si="144"/>
        <v>1</v>
      </c>
      <c r="J444" t="str">
        <f t="shared" si="151"/>
        <v>8</v>
      </c>
      <c r="K444" t="str">
        <f t="shared" si="152"/>
        <v>41</v>
      </c>
      <c r="L444" t="str">
        <f t="shared" si="153"/>
        <v/>
      </c>
      <c r="M444" s="6" t="str">
        <f t="shared" si="154"/>
        <v/>
      </c>
      <c r="N444" t="str">
        <f t="shared" si="150"/>
        <v>Away</v>
      </c>
      <c r="O444">
        <v>93</v>
      </c>
      <c r="P444" t="s">
        <v>424</v>
      </c>
      <c r="Y444" t="str">
        <f t="shared" si="134"/>
        <v/>
      </c>
      <c r="Z444" t="str">
        <f t="shared" si="135"/>
        <v/>
      </c>
      <c r="AC444" t="str">
        <f t="shared" si="136"/>
        <v>Save</v>
      </c>
      <c r="AD444" t="str">
        <f t="shared" si="137"/>
        <v>Save_Freeze</v>
      </c>
      <c r="AE444" t="str">
        <f t="shared" si="138"/>
        <v>Save-Glove</v>
      </c>
      <c r="AF444" t="str">
        <f t="shared" si="139"/>
        <v>Defensive</v>
      </c>
      <c r="AG444">
        <f t="shared" si="145"/>
        <v>18981</v>
      </c>
      <c r="AH444" t="str">
        <f t="shared" si="146"/>
        <v>Nelson</v>
      </c>
      <c r="AI444" t="str">
        <f t="shared" si="147"/>
        <v>Velodrome</v>
      </c>
      <c r="AJ444" s="18">
        <f t="shared" si="140"/>
        <v>0</v>
      </c>
      <c r="AP444" s="18">
        <f t="shared" si="141"/>
        <v>0</v>
      </c>
      <c r="AQ444">
        <f t="shared" si="142"/>
        <v>0</v>
      </c>
      <c r="AR444" s="23">
        <f t="shared" si="143"/>
        <v>559</v>
      </c>
      <c r="AS444">
        <f t="shared" si="148"/>
        <v>554</v>
      </c>
      <c r="AT444" s="21">
        <f t="shared" si="149"/>
        <v>559</v>
      </c>
      <c r="AU444" s="21"/>
      <c r="AV444" s="21"/>
      <c r="AW444" s="21"/>
    </row>
    <row r="445" spans="1:49" x14ac:dyDescent="0.2">
      <c r="A445">
        <v>240</v>
      </c>
      <c r="E445">
        <f t="shared" si="144"/>
        <v>1</v>
      </c>
      <c r="J445" t="str">
        <f t="shared" si="151"/>
        <v>8</v>
      </c>
      <c r="K445" t="str">
        <f t="shared" si="152"/>
        <v>41</v>
      </c>
      <c r="L445" t="str">
        <f t="shared" si="153"/>
        <v/>
      </c>
      <c r="M445" s="6" t="str">
        <f t="shared" si="154"/>
        <v/>
      </c>
      <c r="N445" t="str">
        <f t="shared" si="150"/>
        <v>Away</v>
      </c>
      <c r="O445">
        <v>37</v>
      </c>
      <c r="P445" t="s">
        <v>425</v>
      </c>
      <c r="Y445" t="str">
        <f t="shared" si="134"/>
        <v/>
      </c>
      <c r="Z445" t="str">
        <f t="shared" si="135"/>
        <v/>
      </c>
      <c r="AC445" t="str">
        <f t="shared" si="136"/>
        <v>Save</v>
      </c>
      <c r="AD445" t="str">
        <f t="shared" si="137"/>
        <v>Save_Freeze</v>
      </c>
      <c r="AE445" t="str">
        <f t="shared" si="138"/>
        <v>Save-Glove</v>
      </c>
      <c r="AF445" t="str">
        <f t="shared" si="139"/>
        <v>Offensive</v>
      </c>
      <c r="AG445">
        <f t="shared" si="145"/>
        <v>18981</v>
      </c>
      <c r="AH445" t="str">
        <f t="shared" si="146"/>
        <v>Nelson</v>
      </c>
      <c r="AI445" t="str">
        <f t="shared" si="147"/>
        <v>Velodrome</v>
      </c>
      <c r="AJ445" s="18">
        <f t="shared" si="140"/>
        <v>0</v>
      </c>
      <c r="AP445" s="18">
        <f t="shared" si="141"/>
        <v>0</v>
      </c>
      <c r="AQ445">
        <f t="shared" si="142"/>
        <v>0</v>
      </c>
      <c r="AR445" s="23">
        <f t="shared" si="143"/>
        <v>559</v>
      </c>
      <c r="AS445">
        <f t="shared" si="148"/>
        <v>554</v>
      </c>
      <c r="AT445" s="21">
        <f t="shared" si="149"/>
        <v>559</v>
      </c>
      <c r="AU445" s="21"/>
      <c r="AV445" s="21"/>
      <c r="AW445" s="21"/>
    </row>
    <row r="446" spans="1:49" x14ac:dyDescent="0.2">
      <c r="A446">
        <v>241</v>
      </c>
      <c r="E446">
        <f t="shared" si="144"/>
        <v>1</v>
      </c>
      <c r="F446" s="5" t="s">
        <v>538</v>
      </c>
      <c r="G446" s="5" t="s">
        <v>513</v>
      </c>
      <c r="J446" t="str">
        <f t="shared" si="151"/>
        <v>8</v>
      </c>
      <c r="K446" t="str">
        <f t="shared" si="152"/>
        <v>41</v>
      </c>
      <c r="L446" t="str">
        <f t="shared" si="153"/>
        <v/>
      </c>
      <c r="M446" s="6" t="str">
        <f t="shared" si="154"/>
        <v/>
      </c>
      <c r="N446" t="s">
        <v>179</v>
      </c>
      <c r="O446">
        <v>39</v>
      </c>
      <c r="P446" t="s">
        <v>424</v>
      </c>
      <c r="Q446" t="s">
        <v>13</v>
      </c>
      <c r="R446" t="s">
        <v>204</v>
      </c>
      <c r="S446" t="s">
        <v>110</v>
      </c>
      <c r="Y446" t="str">
        <f t="shared" si="134"/>
        <v/>
      </c>
      <c r="Z446" t="str">
        <f t="shared" si="135"/>
        <v/>
      </c>
      <c r="AC446" t="str">
        <f t="shared" si="136"/>
        <v>Stoppage</v>
      </c>
      <c r="AD446" t="str">
        <f t="shared" si="137"/>
        <v>Stoppage_Play</v>
      </c>
      <c r="AE446" t="str">
        <f t="shared" si="138"/>
        <v>Stoppage-GoalieStoppage</v>
      </c>
      <c r="AF446" t="str">
        <f t="shared" si="139"/>
        <v/>
      </c>
      <c r="AG446">
        <f t="shared" si="145"/>
        <v>18981</v>
      </c>
      <c r="AH446" t="str">
        <f t="shared" si="146"/>
        <v>Nelson</v>
      </c>
      <c r="AI446" t="str">
        <f t="shared" si="147"/>
        <v>Velodrome</v>
      </c>
      <c r="AJ446" s="18">
        <f t="shared" si="140"/>
        <v>0</v>
      </c>
      <c r="AP446" s="18">
        <f t="shared" si="141"/>
        <v>0</v>
      </c>
      <c r="AQ446">
        <f t="shared" si="142"/>
        <v>0</v>
      </c>
      <c r="AR446" s="23">
        <f t="shared" si="143"/>
        <v>559</v>
      </c>
      <c r="AS446">
        <f t="shared" si="148"/>
        <v>554</v>
      </c>
      <c r="AT446" s="21">
        <f t="shared" si="149"/>
        <v>559</v>
      </c>
      <c r="AU446" s="21"/>
      <c r="AV446" s="21"/>
      <c r="AW446" s="21"/>
    </row>
    <row r="447" spans="1:49" x14ac:dyDescent="0.2">
      <c r="A447">
        <v>242</v>
      </c>
      <c r="E447">
        <f t="shared" si="144"/>
        <v>1</v>
      </c>
      <c r="F447" s="5" t="s">
        <v>538</v>
      </c>
      <c r="G447" s="5" t="s">
        <v>513</v>
      </c>
      <c r="H447" s="5" t="s">
        <v>538</v>
      </c>
      <c r="I447" s="7" t="s">
        <v>491</v>
      </c>
      <c r="J447" t="str">
        <f t="shared" si="151"/>
        <v>8</v>
      </c>
      <c r="K447" t="str">
        <f t="shared" si="152"/>
        <v>41</v>
      </c>
      <c r="L447" t="str">
        <f t="shared" si="153"/>
        <v>8</v>
      </c>
      <c r="M447" s="6" t="str">
        <f t="shared" si="154"/>
        <v>19</v>
      </c>
      <c r="N447" t="s">
        <v>179</v>
      </c>
      <c r="O447">
        <v>39</v>
      </c>
      <c r="P447" t="s">
        <v>424</v>
      </c>
      <c r="Q447" t="s">
        <v>282</v>
      </c>
      <c r="Y447" t="str">
        <f t="shared" si="134"/>
        <v/>
      </c>
      <c r="Z447" t="str">
        <f t="shared" si="135"/>
        <v/>
      </c>
      <c r="AC447" t="str">
        <f t="shared" si="136"/>
        <v>DeadIce</v>
      </c>
      <c r="AD447" t="str">
        <f t="shared" si="137"/>
        <v/>
      </c>
      <c r="AE447" t="str">
        <f t="shared" si="138"/>
        <v/>
      </c>
      <c r="AF447" t="str">
        <f t="shared" si="139"/>
        <v/>
      </c>
      <c r="AG447">
        <f t="shared" si="145"/>
        <v>18981</v>
      </c>
      <c r="AH447" t="str">
        <f t="shared" si="146"/>
        <v>Nelson</v>
      </c>
      <c r="AI447" t="str">
        <f t="shared" si="147"/>
        <v>Velodrome</v>
      </c>
      <c r="AJ447" s="18">
        <f t="shared" si="140"/>
        <v>22</v>
      </c>
      <c r="AP447" s="18">
        <f t="shared" si="141"/>
        <v>0</v>
      </c>
      <c r="AQ447">
        <f t="shared" si="142"/>
        <v>0</v>
      </c>
      <c r="AR447" s="23">
        <f t="shared" si="143"/>
        <v>559</v>
      </c>
      <c r="AS447">
        <f t="shared" si="148"/>
        <v>554</v>
      </c>
      <c r="AT447" s="21">
        <f t="shared" si="149"/>
        <v>581</v>
      </c>
      <c r="AU447" s="21"/>
      <c r="AV447" s="21"/>
      <c r="AW447" s="21"/>
    </row>
    <row r="448" spans="1:49" x14ac:dyDescent="0.2">
      <c r="A448">
        <v>243</v>
      </c>
      <c r="E448">
        <f t="shared" si="144"/>
        <v>1</v>
      </c>
      <c r="F448" s="5" t="s">
        <v>538</v>
      </c>
      <c r="G448" s="5" t="s">
        <v>491</v>
      </c>
      <c r="J448" t="str">
        <f t="shared" si="151"/>
        <v>8</v>
      </c>
      <c r="K448" t="str">
        <f t="shared" si="152"/>
        <v>19</v>
      </c>
      <c r="L448" t="str">
        <f t="shared" si="153"/>
        <v/>
      </c>
      <c r="M448" s="6" t="str">
        <f t="shared" si="154"/>
        <v/>
      </c>
      <c r="N448" t="s">
        <v>178</v>
      </c>
      <c r="O448">
        <v>10</v>
      </c>
      <c r="P448" t="s">
        <v>424</v>
      </c>
      <c r="Q448" t="s">
        <v>6</v>
      </c>
      <c r="R448" t="s">
        <v>275</v>
      </c>
      <c r="Y448" t="str">
        <f t="shared" si="134"/>
        <v/>
      </c>
      <c r="Z448" t="str">
        <f t="shared" si="135"/>
        <v/>
      </c>
      <c r="AC448" t="str">
        <f t="shared" si="136"/>
        <v>Faceoff</v>
      </c>
      <c r="AD448" t="str">
        <f t="shared" si="137"/>
        <v>Faceoff_AfterStoppage</v>
      </c>
      <c r="AE448" t="str">
        <f t="shared" si="138"/>
        <v/>
      </c>
      <c r="AF448" t="str">
        <f t="shared" si="139"/>
        <v>Offensive</v>
      </c>
      <c r="AG448">
        <f t="shared" si="145"/>
        <v>18981</v>
      </c>
      <c r="AH448" t="str">
        <f t="shared" si="146"/>
        <v>Nelson</v>
      </c>
      <c r="AI448" t="str">
        <f t="shared" si="147"/>
        <v>Velodrome</v>
      </c>
      <c r="AJ448" s="18">
        <f t="shared" si="140"/>
        <v>0</v>
      </c>
      <c r="AP448" s="18">
        <f t="shared" si="141"/>
        <v>0</v>
      </c>
      <c r="AQ448">
        <f t="shared" si="142"/>
        <v>0</v>
      </c>
      <c r="AR448" s="23">
        <f t="shared" si="143"/>
        <v>581</v>
      </c>
      <c r="AS448">
        <f t="shared" si="148"/>
        <v>576</v>
      </c>
      <c r="AT448" s="21">
        <f t="shared" si="149"/>
        <v>581</v>
      </c>
      <c r="AU448" s="21"/>
      <c r="AV448" s="21"/>
      <c r="AW448" s="21"/>
    </row>
    <row r="449" spans="1:49" x14ac:dyDescent="0.2">
      <c r="A449">
        <v>243</v>
      </c>
      <c r="E449">
        <f t="shared" si="144"/>
        <v>1</v>
      </c>
      <c r="J449" t="str">
        <f t="shared" si="151"/>
        <v>8</v>
      </c>
      <c r="K449" t="str">
        <f t="shared" si="152"/>
        <v>19</v>
      </c>
      <c r="L449" t="str">
        <f t="shared" si="153"/>
        <v/>
      </c>
      <c r="M449" s="6" t="str">
        <f t="shared" si="154"/>
        <v/>
      </c>
      <c r="N449" t="str">
        <f t="shared" si="150"/>
        <v>Home</v>
      </c>
      <c r="O449">
        <v>23</v>
      </c>
      <c r="P449" t="s">
        <v>424</v>
      </c>
      <c r="Y449" t="str">
        <f t="shared" si="134"/>
        <v/>
      </c>
      <c r="Z449" t="str">
        <f t="shared" si="135"/>
        <v/>
      </c>
      <c r="AC449" t="str">
        <f t="shared" si="136"/>
        <v>Faceoff</v>
      </c>
      <c r="AD449" t="str">
        <f t="shared" si="137"/>
        <v>Faceoff_AfterStoppage</v>
      </c>
      <c r="AE449" t="str">
        <f t="shared" si="138"/>
        <v/>
      </c>
      <c r="AF449" t="str">
        <f t="shared" si="139"/>
        <v>Offensive</v>
      </c>
      <c r="AG449">
        <f t="shared" si="145"/>
        <v>18981</v>
      </c>
      <c r="AH449" t="str">
        <f t="shared" si="146"/>
        <v>Nelson</v>
      </c>
      <c r="AI449" t="str">
        <f t="shared" si="147"/>
        <v>Velodrome</v>
      </c>
      <c r="AJ449" s="18">
        <f t="shared" si="140"/>
        <v>0</v>
      </c>
      <c r="AP449" s="18">
        <f t="shared" si="141"/>
        <v>0</v>
      </c>
      <c r="AQ449">
        <f t="shared" si="142"/>
        <v>0</v>
      </c>
      <c r="AR449" s="23">
        <f t="shared" si="143"/>
        <v>581</v>
      </c>
      <c r="AS449">
        <f t="shared" si="148"/>
        <v>576</v>
      </c>
      <c r="AT449" s="21">
        <f t="shared" si="149"/>
        <v>581</v>
      </c>
      <c r="AU449" s="21"/>
      <c r="AV449" s="21"/>
      <c r="AW449" s="21"/>
    </row>
    <row r="450" spans="1:49" x14ac:dyDescent="0.2">
      <c r="A450">
        <v>243</v>
      </c>
      <c r="E450">
        <f t="shared" si="144"/>
        <v>1</v>
      </c>
      <c r="J450" t="str">
        <f t="shared" si="151"/>
        <v>8</v>
      </c>
      <c r="K450" t="str">
        <f t="shared" si="152"/>
        <v>19</v>
      </c>
      <c r="L450" t="str">
        <f t="shared" si="153"/>
        <v/>
      </c>
      <c r="M450" s="6" t="str">
        <f t="shared" si="154"/>
        <v/>
      </c>
      <c r="N450" t="str">
        <f t="shared" si="150"/>
        <v>Home</v>
      </c>
      <c r="O450">
        <v>49</v>
      </c>
      <c r="P450" t="s">
        <v>425</v>
      </c>
      <c r="Y450" t="str">
        <f t="shared" si="134"/>
        <v/>
      </c>
      <c r="Z450" t="str">
        <f t="shared" si="135"/>
        <v/>
      </c>
      <c r="AC450" t="str">
        <f t="shared" si="136"/>
        <v>Faceoff</v>
      </c>
      <c r="AD450" t="str">
        <f t="shared" si="137"/>
        <v>Faceoff_AfterStoppage</v>
      </c>
      <c r="AE450" t="str">
        <f t="shared" si="138"/>
        <v/>
      </c>
      <c r="AF450" t="str">
        <f t="shared" si="139"/>
        <v>Defensive</v>
      </c>
      <c r="AG450">
        <f t="shared" si="145"/>
        <v>18981</v>
      </c>
      <c r="AH450" t="str">
        <f t="shared" si="146"/>
        <v>Nelson</v>
      </c>
      <c r="AI450" t="str">
        <f t="shared" si="147"/>
        <v>Velodrome</v>
      </c>
      <c r="AJ450" s="18">
        <f t="shared" si="140"/>
        <v>0</v>
      </c>
      <c r="AP450" s="18">
        <f t="shared" si="141"/>
        <v>0</v>
      </c>
      <c r="AQ450">
        <f t="shared" si="142"/>
        <v>0</v>
      </c>
      <c r="AR450" s="23">
        <f t="shared" si="143"/>
        <v>581</v>
      </c>
      <c r="AS450">
        <f t="shared" si="148"/>
        <v>576</v>
      </c>
      <c r="AT450" s="21">
        <f t="shared" si="149"/>
        <v>581</v>
      </c>
      <c r="AU450" s="21"/>
      <c r="AV450" s="21"/>
      <c r="AW450" s="21"/>
    </row>
    <row r="451" spans="1:49" x14ac:dyDescent="0.2">
      <c r="A451">
        <v>244</v>
      </c>
      <c r="E451">
        <f t="shared" si="144"/>
        <v>1</v>
      </c>
      <c r="F451" s="5" t="s">
        <v>538</v>
      </c>
      <c r="G451" s="5" t="s">
        <v>491</v>
      </c>
      <c r="H451" s="5" t="s">
        <v>538</v>
      </c>
      <c r="I451" s="7" t="s">
        <v>472</v>
      </c>
      <c r="J451" t="str">
        <f t="shared" si="151"/>
        <v>8</v>
      </c>
      <c r="K451" t="str">
        <f t="shared" si="152"/>
        <v>19</v>
      </c>
      <c r="L451" t="str">
        <f t="shared" si="153"/>
        <v>8</v>
      </c>
      <c r="M451" s="6" t="str">
        <f t="shared" si="154"/>
        <v>17</v>
      </c>
      <c r="N451" t="s">
        <v>178</v>
      </c>
      <c r="O451">
        <v>23</v>
      </c>
      <c r="P451" t="s">
        <v>424</v>
      </c>
      <c r="Q451" t="s">
        <v>15</v>
      </c>
      <c r="Y451" t="str">
        <f t="shared" ref="Y451:Y514" si="155">IF($N451="","",IF(X451="","",IF($N451="Home",$X451,IF($X451="n","n",IF($X451="d","o",IF($X451="o","d",""))))))</f>
        <v/>
      </c>
      <c r="Z451" t="str">
        <f t="shared" ref="Z451:Z514" si="156">IF($N451="","",IF(X451="","",IF($N451="Away",$X451,IF($X451="n","n",IF($X451="d","o",IF($X451="o","d",""))))))</f>
        <v/>
      </c>
      <c r="AC451" t="str">
        <f t="shared" ref="AC451:AC514" si="157">IF(Q451&lt;&gt;"",Q451,IF($A451=$A450,AC450,""))</f>
        <v>Possession</v>
      </c>
      <c r="AD451" t="str">
        <f t="shared" ref="AD451:AD514" si="158">IF(R451&lt;&gt;"",R451,IF($A451=$A450,AD450,""))</f>
        <v/>
      </c>
      <c r="AE451" t="str">
        <f t="shared" ref="AE451:AE514" si="159">IF(S451&lt;&gt;"",S451,IF($A451=$A450,AE450,""))</f>
        <v/>
      </c>
      <c r="AF451" t="str">
        <f t="shared" ref="AF451:AF514" si="160">IF(AND(P451="e",OR(AC451="Save",AD451="Turnover_Takeaway",AD451="Play_Defensive")),"Defensive",IF(AND(P451="o",OR(AC451="Save",AD451="Turnover_Takeaway",AD451="Play_Defensive")),"Offensive",IF(OR(AC451="Deadice",AC451="Stoppage",AC451="Intermission"),"",IF(P451="e","Offensive",IF(P451="o","Defensive","")))))</f>
        <v>Offensive</v>
      </c>
      <c r="AG451">
        <f t="shared" si="145"/>
        <v>18981</v>
      </c>
      <c r="AH451" t="str">
        <f t="shared" si="146"/>
        <v>Nelson</v>
      </c>
      <c r="AI451" t="str">
        <f t="shared" si="147"/>
        <v>Velodrome</v>
      </c>
      <c r="AJ451" s="18">
        <f t="shared" ref="AJ451:AJ514" si="161">IF(AND(L451="",M451=""),0,((J451*60)+K451)-((L451*60)+M451))</f>
        <v>2</v>
      </c>
      <c r="AP451" s="18">
        <f t="shared" ref="AP451:AP514" si="162">SUMIFS(AJ451:AJ451,Q451:Q451,"=Intermission")</f>
        <v>0</v>
      </c>
      <c r="AQ451">
        <f t="shared" ref="AQ451:AQ514" si="163">IF(E451=1,0,IF(E451=2,1080+AP451,IF(E451=3,(1080*2)+AP451,0)))</f>
        <v>0</v>
      </c>
      <c r="AR451" s="23">
        <f t="shared" ref="AR451:AR514" si="164">IF(Q451="Intermission",AR450,((1080)-((J451*60)+K451))+AQ451)</f>
        <v>581</v>
      </c>
      <c r="AS451">
        <f t="shared" si="148"/>
        <v>576</v>
      </c>
      <c r="AT451" s="21">
        <f t="shared" si="149"/>
        <v>583</v>
      </c>
      <c r="AU451" s="21"/>
      <c r="AV451" s="21"/>
      <c r="AW451" s="21"/>
    </row>
    <row r="452" spans="1:49" x14ac:dyDescent="0.2">
      <c r="A452">
        <v>245</v>
      </c>
      <c r="E452">
        <f t="shared" ref="E452:E515" si="165">IF(Q452="Intermission",E451+1,E451)</f>
        <v>1</v>
      </c>
      <c r="F452" s="5" t="s">
        <v>538</v>
      </c>
      <c r="G452" s="5" t="s">
        <v>477</v>
      </c>
      <c r="J452" t="str">
        <f t="shared" si="151"/>
        <v>8</v>
      </c>
      <c r="K452" t="str">
        <f t="shared" si="152"/>
        <v>16</v>
      </c>
      <c r="L452" t="str">
        <f t="shared" si="153"/>
        <v/>
      </c>
      <c r="M452" s="6" t="str">
        <f t="shared" si="154"/>
        <v/>
      </c>
      <c r="N452" t="s">
        <v>178</v>
      </c>
      <c r="O452">
        <v>23</v>
      </c>
      <c r="P452" t="s">
        <v>424</v>
      </c>
      <c r="Q452" t="s">
        <v>8</v>
      </c>
      <c r="R452" t="s">
        <v>189</v>
      </c>
      <c r="S452" t="s">
        <v>68</v>
      </c>
      <c r="Y452" t="str">
        <f t="shared" si="155"/>
        <v/>
      </c>
      <c r="Z452" t="str">
        <f t="shared" si="156"/>
        <v/>
      </c>
      <c r="AC452" t="str">
        <f t="shared" si="157"/>
        <v>Pass</v>
      </c>
      <c r="AD452" t="str">
        <f t="shared" si="158"/>
        <v>Pass_Completed</v>
      </c>
      <c r="AE452" t="str">
        <f t="shared" si="159"/>
        <v>Pass-Rim/Wrap</v>
      </c>
      <c r="AF452" t="str">
        <f t="shared" si="160"/>
        <v>Offensive</v>
      </c>
      <c r="AG452">
        <f t="shared" ref="AG452:AG515" si="166">AG451</f>
        <v>18981</v>
      </c>
      <c r="AH452" t="str">
        <f t="shared" ref="AH452:AH515" si="167">AH451</f>
        <v>Nelson</v>
      </c>
      <c r="AI452" t="str">
        <f t="shared" ref="AI452:AI515" si="168">AI451</f>
        <v>Velodrome</v>
      </c>
      <c r="AJ452" s="18">
        <f t="shared" si="161"/>
        <v>0</v>
      </c>
      <c r="AP452" s="18">
        <f t="shared" si="162"/>
        <v>0</v>
      </c>
      <c r="AQ452">
        <f t="shared" si="163"/>
        <v>0</v>
      </c>
      <c r="AR452" s="23">
        <f t="shared" si="164"/>
        <v>584</v>
      </c>
      <c r="AS452">
        <f t="shared" ref="AS452:AS515" si="169">IF(AR452&lt;5,0,AR452-5)</f>
        <v>579</v>
      </c>
      <c r="AT452" s="21">
        <f t="shared" ref="AT452:AT515" si="170">AS452+AJ452+5</f>
        <v>584</v>
      </c>
      <c r="AU452" s="21"/>
      <c r="AV452" s="21"/>
      <c r="AW452" s="21"/>
    </row>
    <row r="453" spans="1:49" x14ac:dyDescent="0.2">
      <c r="A453">
        <v>245</v>
      </c>
      <c r="E453">
        <f t="shared" si="165"/>
        <v>1</v>
      </c>
      <c r="J453" t="str">
        <f t="shared" si="151"/>
        <v>8</v>
      </c>
      <c r="K453" t="str">
        <f t="shared" si="152"/>
        <v>16</v>
      </c>
      <c r="L453" t="str">
        <f t="shared" si="153"/>
        <v/>
      </c>
      <c r="M453" s="6" t="str">
        <f t="shared" si="154"/>
        <v/>
      </c>
      <c r="N453" t="str">
        <f t="shared" si="150"/>
        <v>Home</v>
      </c>
      <c r="O453">
        <v>15</v>
      </c>
      <c r="P453" t="s">
        <v>424</v>
      </c>
      <c r="Y453" t="str">
        <f t="shared" si="155"/>
        <v/>
      </c>
      <c r="Z453" t="str">
        <f t="shared" si="156"/>
        <v/>
      </c>
      <c r="AC453" t="str">
        <f t="shared" si="157"/>
        <v>Pass</v>
      </c>
      <c r="AD453" t="str">
        <f t="shared" si="158"/>
        <v>Pass_Completed</v>
      </c>
      <c r="AE453" t="str">
        <f t="shared" si="159"/>
        <v>Pass-Rim/Wrap</v>
      </c>
      <c r="AF453" t="str">
        <f t="shared" si="160"/>
        <v>Offensive</v>
      </c>
      <c r="AG453">
        <f t="shared" si="166"/>
        <v>18981</v>
      </c>
      <c r="AH453" t="str">
        <f t="shared" si="167"/>
        <v>Nelson</v>
      </c>
      <c r="AI453" t="str">
        <f t="shared" si="168"/>
        <v>Velodrome</v>
      </c>
      <c r="AJ453" s="18">
        <f t="shared" si="161"/>
        <v>0</v>
      </c>
      <c r="AP453" s="18">
        <f t="shared" si="162"/>
        <v>0</v>
      </c>
      <c r="AQ453">
        <f t="shared" si="163"/>
        <v>0</v>
      </c>
      <c r="AR453" s="23">
        <f t="shared" si="164"/>
        <v>584</v>
      </c>
      <c r="AS453">
        <f t="shared" si="169"/>
        <v>579</v>
      </c>
      <c r="AT453" s="21">
        <f t="shared" si="170"/>
        <v>584</v>
      </c>
      <c r="AU453" s="21"/>
      <c r="AV453" s="21"/>
      <c r="AW453" s="21"/>
    </row>
    <row r="454" spans="1:49" x14ac:dyDescent="0.2">
      <c r="A454">
        <v>246</v>
      </c>
      <c r="E454">
        <f t="shared" si="165"/>
        <v>1</v>
      </c>
      <c r="F454" s="5" t="s">
        <v>538</v>
      </c>
      <c r="G454" s="5" t="s">
        <v>478</v>
      </c>
      <c r="J454" t="str">
        <f t="shared" si="151"/>
        <v>8</v>
      </c>
      <c r="K454" t="str">
        <f t="shared" si="152"/>
        <v>15</v>
      </c>
      <c r="L454" t="str">
        <f t="shared" si="153"/>
        <v/>
      </c>
      <c r="M454" s="6" t="str">
        <f t="shared" si="154"/>
        <v/>
      </c>
      <c r="N454" t="s">
        <v>178</v>
      </c>
      <c r="O454">
        <v>15</v>
      </c>
      <c r="P454" t="s">
        <v>424</v>
      </c>
      <c r="Q454" t="s">
        <v>8</v>
      </c>
      <c r="R454" t="s">
        <v>209</v>
      </c>
      <c r="S454" t="s">
        <v>69</v>
      </c>
      <c r="Y454" t="str">
        <f t="shared" si="155"/>
        <v/>
      </c>
      <c r="Z454" t="str">
        <f t="shared" si="156"/>
        <v/>
      </c>
      <c r="AC454" t="str">
        <f t="shared" si="157"/>
        <v>Pass</v>
      </c>
      <c r="AD454" t="str">
        <f t="shared" si="158"/>
        <v>Pass_Deflected</v>
      </c>
      <c r="AE454" t="str">
        <f t="shared" si="159"/>
        <v>Pass-Backhand</v>
      </c>
      <c r="AF454" t="str">
        <f t="shared" si="160"/>
        <v>Offensive</v>
      </c>
      <c r="AG454">
        <f t="shared" si="166"/>
        <v>18981</v>
      </c>
      <c r="AH454" t="str">
        <f t="shared" si="167"/>
        <v>Nelson</v>
      </c>
      <c r="AI454" t="str">
        <f t="shared" si="168"/>
        <v>Velodrome</v>
      </c>
      <c r="AJ454" s="18">
        <f t="shared" si="161"/>
        <v>0</v>
      </c>
      <c r="AP454" s="18">
        <f t="shared" si="162"/>
        <v>0</v>
      </c>
      <c r="AQ454">
        <f t="shared" si="163"/>
        <v>0</v>
      </c>
      <c r="AR454" s="23">
        <f t="shared" si="164"/>
        <v>585</v>
      </c>
      <c r="AS454">
        <f t="shared" si="169"/>
        <v>580</v>
      </c>
      <c r="AT454" s="21">
        <f t="shared" si="170"/>
        <v>585</v>
      </c>
      <c r="AU454" s="21"/>
      <c r="AV454" s="21"/>
      <c r="AW454" s="21"/>
    </row>
    <row r="455" spans="1:49" x14ac:dyDescent="0.2">
      <c r="A455">
        <v>246</v>
      </c>
      <c r="E455">
        <f t="shared" si="165"/>
        <v>1</v>
      </c>
      <c r="J455" t="str">
        <f t="shared" si="151"/>
        <v>8</v>
      </c>
      <c r="K455" t="str">
        <f t="shared" si="152"/>
        <v>15</v>
      </c>
      <c r="L455" t="str">
        <f t="shared" si="153"/>
        <v/>
      </c>
      <c r="M455" s="6" t="str">
        <f t="shared" si="154"/>
        <v/>
      </c>
      <c r="N455" t="str">
        <f t="shared" ref="N455:N517" si="171">IF(A455=A454,N454,"")</f>
        <v>Home</v>
      </c>
      <c r="O455">
        <v>44</v>
      </c>
      <c r="P455" t="s">
        <v>424</v>
      </c>
      <c r="Y455" t="str">
        <f t="shared" si="155"/>
        <v/>
      </c>
      <c r="Z455" t="str">
        <f t="shared" si="156"/>
        <v/>
      </c>
      <c r="AC455" t="str">
        <f t="shared" si="157"/>
        <v>Pass</v>
      </c>
      <c r="AD455" t="str">
        <f t="shared" si="158"/>
        <v>Pass_Deflected</v>
      </c>
      <c r="AE455" t="str">
        <f t="shared" si="159"/>
        <v>Pass-Backhand</v>
      </c>
      <c r="AF455" t="str">
        <f t="shared" si="160"/>
        <v>Offensive</v>
      </c>
      <c r="AG455">
        <f t="shared" si="166"/>
        <v>18981</v>
      </c>
      <c r="AH455" t="str">
        <f t="shared" si="167"/>
        <v>Nelson</v>
      </c>
      <c r="AI455" t="str">
        <f t="shared" si="168"/>
        <v>Velodrome</v>
      </c>
      <c r="AJ455" s="18">
        <f t="shared" si="161"/>
        <v>0</v>
      </c>
      <c r="AP455" s="18">
        <f t="shared" si="162"/>
        <v>0</v>
      </c>
      <c r="AQ455">
        <f t="shared" si="163"/>
        <v>0</v>
      </c>
      <c r="AR455" s="23">
        <f t="shared" si="164"/>
        <v>585</v>
      </c>
      <c r="AS455">
        <f t="shared" si="169"/>
        <v>580</v>
      </c>
      <c r="AT455" s="21">
        <f t="shared" si="170"/>
        <v>585</v>
      </c>
      <c r="AU455" s="21"/>
      <c r="AV455" s="21"/>
      <c r="AW455" s="21"/>
    </row>
    <row r="456" spans="1:49" x14ac:dyDescent="0.2">
      <c r="A456">
        <v>246</v>
      </c>
      <c r="E456">
        <f t="shared" si="165"/>
        <v>1</v>
      </c>
      <c r="J456" t="str">
        <f t="shared" si="151"/>
        <v>8</v>
      </c>
      <c r="K456" t="str">
        <f t="shared" si="152"/>
        <v>15</v>
      </c>
      <c r="L456" t="str">
        <f t="shared" si="153"/>
        <v/>
      </c>
      <c r="M456" s="6" t="str">
        <f t="shared" si="154"/>
        <v/>
      </c>
      <c r="N456" t="str">
        <f t="shared" si="171"/>
        <v>Home</v>
      </c>
      <c r="O456">
        <v>9</v>
      </c>
      <c r="P456" t="s">
        <v>425</v>
      </c>
      <c r="Y456" t="str">
        <f t="shared" si="155"/>
        <v/>
      </c>
      <c r="Z456" t="str">
        <f t="shared" si="156"/>
        <v/>
      </c>
      <c r="AC456" t="str">
        <f t="shared" si="157"/>
        <v>Pass</v>
      </c>
      <c r="AD456" t="str">
        <f t="shared" si="158"/>
        <v>Pass_Deflected</v>
      </c>
      <c r="AE456" t="str">
        <f t="shared" si="159"/>
        <v>Pass-Backhand</v>
      </c>
      <c r="AF456" t="str">
        <f t="shared" si="160"/>
        <v>Defensive</v>
      </c>
      <c r="AG456">
        <f t="shared" si="166"/>
        <v>18981</v>
      </c>
      <c r="AH456" t="str">
        <f t="shared" si="167"/>
        <v>Nelson</v>
      </c>
      <c r="AI456" t="str">
        <f t="shared" si="168"/>
        <v>Velodrome</v>
      </c>
      <c r="AJ456" s="18">
        <f t="shared" si="161"/>
        <v>0</v>
      </c>
      <c r="AP456" s="18">
        <f t="shared" si="162"/>
        <v>0</v>
      </c>
      <c r="AQ456">
        <f t="shared" si="163"/>
        <v>0</v>
      </c>
      <c r="AR456" s="23">
        <f t="shared" si="164"/>
        <v>585</v>
      </c>
      <c r="AS456">
        <f t="shared" si="169"/>
        <v>580</v>
      </c>
      <c r="AT456" s="21">
        <f t="shared" si="170"/>
        <v>585</v>
      </c>
      <c r="AU456" s="21"/>
      <c r="AV456" s="21"/>
      <c r="AW456" s="21"/>
    </row>
    <row r="457" spans="1:49" x14ac:dyDescent="0.2">
      <c r="A457">
        <v>246</v>
      </c>
      <c r="E457">
        <f t="shared" si="165"/>
        <v>1</v>
      </c>
      <c r="J457" t="str">
        <f t="shared" ref="J457:J520" si="172">IF(F457&lt;&gt;"",F457,IF($A457=$A456,J456,J457))</f>
        <v>8</v>
      </c>
      <c r="K457" t="str">
        <f t="shared" ref="K457:K520" si="173">IF($A457=$A456,K456,G457)</f>
        <v>15</v>
      </c>
      <c r="L457" t="str">
        <f t="shared" ref="L457:L520" si="174">IF(H457&lt;&gt;"",H457,IF($A457=$A456,L456,""))</f>
        <v/>
      </c>
      <c r="M457" s="6" t="str">
        <f t="shared" ref="M457:M520" si="175">IF(I457&lt;&gt;"",I457,IF($A457=$A456,M456,""))</f>
        <v/>
      </c>
      <c r="N457" t="str">
        <f t="shared" si="171"/>
        <v>Home</v>
      </c>
      <c r="O457">
        <v>52</v>
      </c>
      <c r="P457" t="s">
        <v>425</v>
      </c>
      <c r="Y457" t="str">
        <f t="shared" si="155"/>
        <v/>
      </c>
      <c r="Z457" t="str">
        <f t="shared" si="156"/>
        <v/>
      </c>
      <c r="AC457" t="str">
        <f t="shared" si="157"/>
        <v>Pass</v>
      </c>
      <c r="AD457" t="str">
        <f t="shared" si="158"/>
        <v>Pass_Deflected</v>
      </c>
      <c r="AE457" t="str">
        <f t="shared" si="159"/>
        <v>Pass-Backhand</v>
      </c>
      <c r="AF457" t="str">
        <f t="shared" si="160"/>
        <v>Defensive</v>
      </c>
      <c r="AG457">
        <f t="shared" si="166"/>
        <v>18981</v>
      </c>
      <c r="AH457" t="str">
        <f t="shared" si="167"/>
        <v>Nelson</v>
      </c>
      <c r="AI457" t="str">
        <f t="shared" si="168"/>
        <v>Velodrome</v>
      </c>
      <c r="AJ457" s="18">
        <f t="shared" si="161"/>
        <v>0</v>
      </c>
      <c r="AP457" s="18">
        <f t="shared" si="162"/>
        <v>0</v>
      </c>
      <c r="AQ457">
        <f t="shared" si="163"/>
        <v>0</v>
      </c>
      <c r="AR457" s="23">
        <f t="shared" si="164"/>
        <v>585</v>
      </c>
      <c r="AS457">
        <f t="shared" si="169"/>
        <v>580</v>
      </c>
      <c r="AT457" s="21">
        <f t="shared" si="170"/>
        <v>585</v>
      </c>
      <c r="AU457" s="21"/>
      <c r="AV457" s="21"/>
      <c r="AW457" s="21"/>
    </row>
    <row r="458" spans="1:49" x14ac:dyDescent="0.2">
      <c r="A458">
        <v>247</v>
      </c>
      <c r="E458">
        <f t="shared" si="165"/>
        <v>1</v>
      </c>
      <c r="F458" s="5" t="s">
        <v>538</v>
      </c>
      <c r="G458" s="5" t="s">
        <v>478</v>
      </c>
      <c r="J458" t="str">
        <f t="shared" si="172"/>
        <v>8</v>
      </c>
      <c r="K458" t="str">
        <f t="shared" si="173"/>
        <v>15</v>
      </c>
      <c r="L458" t="str">
        <f t="shared" si="174"/>
        <v/>
      </c>
      <c r="M458" s="6" t="str">
        <f t="shared" si="175"/>
        <v/>
      </c>
      <c r="N458" t="s">
        <v>178</v>
      </c>
      <c r="O458">
        <v>15</v>
      </c>
      <c r="P458" t="s">
        <v>424</v>
      </c>
      <c r="Q458" t="s">
        <v>10</v>
      </c>
      <c r="R458" t="s">
        <v>190</v>
      </c>
      <c r="S458" t="s">
        <v>77</v>
      </c>
      <c r="Y458" t="str">
        <f t="shared" si="155"/>
        <v/>
      </c>
      <c r="Z458" t="str">
        <f t="shared" si="156"/>
        <v/>
      </c>
      <c r="AC458" t="str">
        <f t="shared" si="157"/>
        <v>Turnover</v>
      </c>
      <c r="AD458" t="str">
        <f t="shared" si="158"/>
        <v>Turnover_Giveaway</v>
      </c>
      <c r="AE458" t="str">
        <f t="shared" si="159"/>
        <v>Giveaway-PassBlocked</v>
      </c>
      <c r="AF458" t="str">
        <f t="shared" si="160"/>
        <v>Offensive</v>
      </c>
      <c r="AG458">
        <f t="shared" si="166"/>
        <v>18981</v>
      </c>
      <c r="AH458" t="str">
        <f t="shared" si="167"/>
        <v>Nelson</v>
      </c>
      <c r="AI458" t="str">
        <f t="shared" si="168"/>
        <v>Velodrome</v>
      </c>
      <c r="AJ458" s="18">
        <f t="shared" si="161"/>
        <v>0</v>
      </c>
      <c r="AP458" s="18">
        <f t="shared" si="162"/>
        <v>0</v>
      </c>
      <c r="AQ458">
        <f t="shared" si="163"/>
        <v>0</v>
      </c>
      <c r="AR458" s="23">
        <f t="shared" si="164"/>
        <v>585</v>
      </c>
      <c r="AS458">
        <f t="shared" si="169"/>
        <v>580</v>
      </c>
      <c r="AT458" s="21">
        <f t="shared" si="170"/>
        <v>585</v>
      </c>
      <c r="AU458" s="21"/>
      <c r="AV458" s="21"/>
      <c r="AW458" s="21"/>
    </row>
    <row r="459" spans="1:49" x14ac:dyDescent="0.2">
      <c r="A459">
        <v>248</v>
      </c>
      <c r="E459">
        <f t="shared" si="165"/>
        <v>1</v>
      </c>
      <c r="F459" s="5" t="s">
        <v>538</v>
      </c>
      <c r="G459" s="5" t="s">
        <v>489</v>
      </c>
      <c r="J459" t="str">
        <f t="shared" si="172"/>
        <v>8</v>
      </c>
      <c r="K459" t="str">
        <f t="shared" si="173"/>
        <v>14</v>
      </c>
      <c r="L459" t="str">
        <f t="shared" si="174"/>
        <v/>
      </c>
      <c r="M459" s="6" t="str">
        <f t="shared" si="175"/>
        <v/>
      </c>
      <c r="N459" t="s">
        <v>179</v>
      </c>
      <c r="O459">
        <v>9</v>
      </c>
      <c r="P459" t="s">
        <v>424</v>
      </c>
      <c r="Q459" t="s">
        <v>277</v>
      </c>
      <c r="R459" t="s">
        <v>201</v>
      </c>
      <c r="S459" t="s">
        <v>92</v>
      </c>
      <c r="Y459" t="str">
        <f t="shared" si="155"/>
        <v/>
      </c>
      <c r="Z459" t="str">
        <f t="shared" si="156"/>
        <v/>
      </c>
      <c r="AC459" t="str">
        <f t="shared" si="157"/>
        <v>Zone_Entry_Exit</v>
      </c>
      <c r="AD459" t="str">
        <f t="shared" si="158"/>
        <v>Zone_Exit</v>
      </c>
      <c r="AE459" t="str">
        <f t="shared" si="159"/>
        <v>ZoneExit-Clear</v>
      </c>
      <c r="AF459" t="str">
        <f t="shared" si="160"/>
        <v>Offensive</v>
      </c>
      <c r="AG459">
        <f t="shared" si="166"/>
        <v>18981</v>
      </c>
      <c r="AH459" t="str">
        <f t="shared" si="167"/>
        <v>Nelson</v>
      </c>
      <c r="AI459" t="str">
        <f t="shared" si="168"/>
        <v>Velodrome</v>
      </c>
      <c r="AJ459" s="18">
        <f t="shared" si="161"/>
        <v>0</v>
      </c>
      <c r="AP459" s="18">
        <f t="shared" si="162"/>
        <v>0</v>
      </c>
      <c r="AQ459">
        <f t="shared" si="163"/>
        <v>0</v>
      </c>
      <c r="AR459" s="23">
        <f t="shared" si="164"/>
        <v>586</v>
      </c>
      <c r="AS459">
        <f t="shared" si="169"/>
        <v>581</v>
      </c>
      <c r="AT459" s="21">
        <f t="shared" si="170"/>
        <v>586</v>
      </c>
      <c r="AU459" s="21"/>
      <c r="AV459" s="21"/>
      <c r="AW459" s="21"/>
    </row>
    <row r="460" spans="1:49" x14ac:dyDescent="0.2">
      <c r="A460">
        <v>249</v>
      </c>
      <c r="E460">
        <f t="shared" si="165"/>
        <v>1</v>
      </c>
      <c r="F460" s="5" t="s">
        <v>538</v>
      </c>
      <c r="G460" s="5" t="s">
        <v>489</v>
      </c>
      <c r="J460" t="str">
        <f t="shared" si="172"/>
        <v>8</v>
      </c>
      <c r="K460" t="str">
        <f t="shared" si="173"/>
        <v>14</v>
      </c>
      <c r="L460" t="str">
        <f t="shared" si="174"/>
        <v/>
      </c>
      <c r="M460" s="6" t="str">
        <f t="shared" si="175"/>
        <v/>
      </c>
      <c r="N460" t="s">
        <v>179</v>
      </c>
      <c r="O460">
        <v>9</v>
      </c>
      <c r="P460" t="s">
        <v>424</v>
      </c>
      <c r="Q460" t="s">
        <v>10</v>
      </c>
      <c r="R460" t="s">
        <v>190</v>
      </c>
      <c r="S460" t="s">
        <v>411</v>
      </c>
      <c r="Y460" t="str">
        <f t="shared" si="155"/>
        <v/>
      </c>
      <c r="Z460" t="str">
        <f t="shared" si="156"/>
        <v/>
      </c>
      <c r="AC460" t="str">
        <f t="shared" si="157"/>
        <v>Turnover</v>
      </c>
      <c r="AD460" t="str">
        <f t="shared" si="158"/>
        <v>Turnover_Giveaway</v>
      </c>
      <c r="AE460" t="str">
        <f t="shared" si="159"/>
        <v>Giveaway-ZoneClear/Dump</v>
      </c>
      <c r="AF460" t="str">
        <f t="shared" si="160"/>
        <v>Offensive</v>
      </c>
      <c r="AG460">
        <f t="shared" si="166"/>
        <v>18981</v>
      </c>
      <c r="AH460" t="str">
        <f t="shared" si="167"/>
        <v>Nelson</v>
      </c>
      <c r="AI460" t="str">
        <f t="shared" si="168"/>
        <v>Velodrome</v>
      </c>
      <c r="AJ460" s="18">
        <f t="shared" si="161"/>
        <v>0</v>
      </c>
      <c r="AP460" s="18">
        <f t="shared" si="162"/>
        <v>0</v>
      </c>
      <c r="AQ460">
        <f t="shared" si="163"/>
        <v>0</v>
      </c>
      <c r="AR460" s="23">
        <f t="shared" si="164"/>
        <v>586</v>
      </c>
      <c r="AS460">
        <f t="shared" si="169"/>
        <v>581</v>
      </c>
      <c r="AT460" s="21">
        <f t="shared" si="170"/>
        <v>586</v>
      </c>
      <c r="AU460" s="21"/>
      <c r="AV460" s="21"/>
      <c r="AW460" s="21"/>
    </row>
    <row r="461" spans="1:49" x14ac:dyDescent="0.2">
      <c r="A461">
        <v>250</v>
      </c>
      <c r="E461">
        <f t="shared" si="165"/>
        <v>1</v>
      </c>
      <c r="F461" s="5" t="s">
        <v>538</v>
      </c>
      <c r="G461" s="5" t="s">
        <v>486</v>
      </c>
      <c r="H461" s="5" t="s">
        <v>538</v>
      </c>
      <c r="I461" s="7" t="s">
        <v>476</v>
      </c>
      <c r="J461" t="str">
        <f t="shared" si="172"/>
        <v>8</v>
      </c>
      <c r="K461" t="str">
        <f t="shared" si="173"/>
        <v>11</v>
      </c>
      <c r="L461" t="str">
        <f t="shared" si="174"/>
        <v>8</v>
      </c>
      <c r="M461" s="6" t="str">
        <f t="shared" si="175"/>
        <v>06</v>
      </c>
      <c r="N461" t="s">
        <v>178</v>
      </c>
      <c r="O461">
        <v>37</v>
      </c>
      <c r="P461" t="s">
        <v>424</v>
      </c>
      <c r="Q461" t="s">
        <v>15</v>
      </c>
      <c r="Y461" t="str">
        <f t="shared" si="155"/>
        <v/>
      </c>
      <c r="Z461" t="str">
        <f t="shared" si="156"/>
        <v/>
      </c>
      <c r="AC461" t="str">
        <f t="shared" si="157"/>
        <v>Possession</v>
      </c>
      <c r="AD461" t="str">
        <f t="shared" si="158"/>
        <v/>
      </c>
      <c r="AE461" t="str">
        <f t="shared" si="159"/>
        <v/>
      </c>
      <c r="AF461" t="str">
        <f t="shared" si="160"/>
        <v>Offensive</v>
      </c>
      <c r="AG461">
        <f t="shared" si="166"/>
        <v>18981</v>
      </c>
      <c r="AH461" t="str">
        <f t="shared" si="167"/>
        <v>Nelson</v>
      </c>
      <c r="AI461" t="str">
        <f t="shared" si="168"/>
        <v>Velodrome</v>
      </c>
      <c r="AJ461" s="18">
        <f t="shared" si="161"/>
        <v>5</v>
      </c>
      <c r="AP461" s="18">
        <f t="shared" si="162"/>
        <v>0</v>
      </c>
      <c r="AQ461">
        <f t="shared" si="163"/>
        <v>0</v>
      </c>
      <c r="AR461" s="23">
        <f t="shared" si="164"/>
        <v>589</v>
      </c>
      <c r="AS461">
        <f t="shared" si="169"/>
        <v>584</v>
      </c>
      <c r="AT461" s="21">
        <f t="shared" si="170"/>
        <v>594</v>
      </c>
      <c r="AU461" s="21"/>
      <c r="AV461" s="21"/>
      <c r="AW461" s="21"/>
    </row>
    <row r="462" spans="1:49" x14ac:dyDescent="0.2">
      <c r="A462">
        <v>251</v>
      </c>
      <c r="E462">
        <f t="shared" si="165"/>
        <v>1</v>
      </c>
      <c r="F462" s="5" t="s">
        <v>538</v>
      </c>
      <c r="G462" s="5" t="s">
        <v>476</v>
      </c>
      <c r="H462" s="5" t="s">
        <v>538</v>
      </c>
      <c r="I462" s="7" t="s">
        <v>473</v>
      </c>
      <c r="J462" t="str">
        <f t="shared" si="172"/>
        <v>8</v>
      </c>
      <c r="K462" t="str">
        <f t="shared" si="173"/>
        <v>06</v>
      </c>
      <c r="L462" t="str">
        <f t="shared" si="174"/>
        <v>8</v>
      </c>
      <c r="M462" s="6" t="str">
        <f t="shared" si="175"/>
        <v>03</v>
      </c>
      <c r="N462" t="s">
        <v>178</v>
      </c>
      <c r="O462">
        <v>37</v>
      </c>
      <c r="P462" t="s">
        <v>424</v>
      </c>
      <c r="Q462" t="s">
        <v>15</v>
      </c>
      <c r="Y462" t="str">
        <f t="shared" si="155"/>
        <v/>
      </c>
      <c r="Z462" t="str">
        <f t="shared" si="156"/>
        <v/>
      </c>
      <c r="AC462" t="str">
        <f t="shared" si="157"/>
        <v>Possession</v>
      </c>
      <c r="AD462" t="str">
        <f t="shared" si="158"/>
        <v/>
      </c>
      <c r="AE462" t="str">
        <f t="shared" si="159"/>
        <v/>
      </c>
      <c r="AF462" t="str">
        <f t="shared" si="160"/>
        <v>Offensive</v>
      </c>
      <c r="AG462">
        <f t="shared" si="166"/>
        <v>18981</v>
      </c>
      <c r="AH462" t="str">
        <f t="shared" si="167"/>
        <v>Nelson</v>
      </c>
      <c r="AI462" t="str">
        <f t="shared" si="168"/>
        <v>Velodrome</v>
      </c>
      <c r="AJ462" s="18">
        <f t="shared" si="161"/>
        <v>3</v>
      </c>
      <c r="AP462" s="18">
        <f t="shared" si="162"/>
        <v>0</v>
      </c>
      <c r="AQ462">
        <f t="shared" si="163"/>
        <v>0</v>
      </c>
      <c r="AR462" s="23">
        <f t="shared" si="164"/>
        <v>594</v>
      </c>
      <c r="AS462">
        <f t="shared" si="169"/>
        <v>589</v>
      </c>
      <c r="AT462" s="21">
        <f t="shared" si="170"/>
        <v>597</v>
      </c>
      <c r="AU462" s="21"/>
      <c r="AV462" s="21"/>
      <c r="AW462" s="21"/>
    </row>
    <row r="463" spans="1:49" x14ac:dyDescent="0.2">
      <c r="A463">
        <v>251</v>
      </c>
      <c r="E463">
        <f t="shared" si="165"/>
        <v>1</v>
      </c>
      <c r="J463" t="str">
        <f t="shared" si="172"/>
        <v>8</v>
      </c>
      <c r="K463" t="str">
        <f t="shared" si="173"/>
        <v>06</v>
      </c>
      <c r="L463" t="str">
        <f t="shared" si="174"/>
        <v>8</v>
      </c>
      <c r="M463" s="6" t="str">
        <f t="shared" si="175"/>
        <v>03</v>
      </c>
      <c r="N463" t="str">
        <f t="shared" si="171"/>
        <v>Home</v>
      </c>
      <c r="O463">
        <v>14</v>
      </c>
      <c r="P463" t="s">
        <v>425</v>
      </c>
      <c r="Y463" t="str">
        <f t="shared" si="155"/>
        <v/>
      </c>
      <c r="Z463" t="str">
        <f t="shared" si="156"/>
        <v/>
      </c>
      <c r="AC463" t="str">
        <f t="shared" si="157"/>
        <v>Possession</v>
      </c>
      <c r="AD463" t="str">
        <f t="shared" si="158"/>
        <v/>
      </c>
      <c r="AE463" t="str">
        <f t="shared" si="159"/>
        <v/>
      </c>
      <c r="AF463" t="str">
        <f t="shared" si="160"/>
        <v>Defensive</v>
      </c>
      <c r="AG463">
        <f t="shared" si="166"/>
        <v>18981</v>
      </c>
      <c r="AH463" t="str">
        <f t="shared" si="167"/>
        <v>Nelson</v>
      </c>
      <c r="AI463" t="str">
        <f t="shared" si="168"/>
        <v>Velodrome</v>
      </c>
      <c r="AJ463" s="18">
        <f t="shared" si="161"/>
        <v>3</v>
      </c>
      <c r="AP463" s="18">
        <f t="shared" si="162"/>
        <v>0</v>
      </c>
      <c r="AQ463">
        <f t="shared" si="163"/>
        <v>0</v>
      </c>
      <c r="AR463" s="23">
        <f t="shared" si="164"/>
        <v>594</v>
      </c>
      <c r="AS463">
        <f t="shared" si="169"/>
        <v>589</v>
      </c>
      <c r="AT463" s="21">
        <f t="shared" si="170"/>
        <v>597</v>
      </c>
      <c r="AU463" s="21"/>
      <c r="AV463" s="21"/>
      <c r="AW463" s="21"/>
    </row>
    <row r="464" spans="1:49" x14ac:dyDescent="0.2">
      <c r="A464">
        <v>252</v>
      </c>
      <c r="E464">
        <f t="shared" si="165"/>
        <v>1</v>
      </c>
      <c r="F464" s="5" t="s">
        <v>538</v>
      </c>
      <c r="G464" s="5" t="s">
        <v>473</v>
      </c>
      <c r="H464" s="5" t="s">
        <v>538</v>
      </c>
      <c r="I464" s="7" t="s">
        <v>471</v>
      </c>
      <c r="J464" t="str">
        <f t="shared" si="172"/>
        <v>8</v>
      </c>
      <c r="K464" t="str">
        <f t="shared" si="173"/>
        <v>03</v>
      </c>
      <c r="L464" t="str">
        <f t="shared" si="174"/>
        <v>8</v>
      </c>
      <c r="M464" s="6" t="str">
        <f t="shared" si="175"/>
        <v>01</v>
      </c>
      <c r="N464" t="s">
        <v>178</v>
      </c>
      <c r="O464">
        <v>37</v>
      </c>
      <c r="P464" t="s">
        <v>424</v>
      </c>
      <c r="Q464" t="s">
        <v>277</v>
      </c>
      <c r="R464" t="s">
        <v>191</v>
      </c>
      <c r="S464" t="s">
        <v>87</v>
      </c>
      <c r="Y464" t="str">
        <f t="shared" si="155"/>
        <v/>
      </c>
      <c r="Z464" t="str">
        <f t="shared" si="156"/>
        <v/>
      </c>
      <c r="AC464" t="str">
        <f t="shared" si="157"/>
        <v>Zone_Entry_Exit</v>
      </c>
      <c r="AD464" t="str">
        <f t="shared" si="158"/>
        <v>Zone_Entry</v>
      </c>
      <c r="AE464" t="str">
        <f t="shared" si="159"/>
        <v>ZoneEntry-Rush</v>
      </c>
      <c r="AF464" t="str">
        <f t="shared" si="160"/>
        <v>Offensive</v>
      </c>
      <c r="AG464">
        <f t="shared" si="166"/>
        <v>18981</v>
      </c>
      <c r="AH464" t="str">
        <f t="shared" si="167"/>
        <v>Nelson</v>
      </c>
      <c r="AI464" t="str">
        <f t="shared" si="168"/>
        <v>Velodrome</v>
      </c>
      <c r="AJ464" s="18">
        <f t="shared" si="161"/>
        <v>2</v>
      </c>
      <c r="AP464" s="18">
        <f t="shared" si="162"/>
        <v>0</v>
      </c>
      <c r="AQ464">
        <f t="shared" si="163"/>
        <v>0</v>
      </c>
      <c r="AR464" s="23">
        <f t="shared" si="164"/>
        <v>597</v>
      </c>
      <c r="AS464">
        <f t="shared" si="169"/>
        <v>592</v>
      </c>
      <c r="AT464" s="21">
        <f t="shared" si="170"/>
        <v>599</v>
      </c>
      <c r="AU464" s="21"/>
      <c r="AV464" s="21"/>
      <c r="AW464" s="21"/>
    </row>
    <row r="465" spans="1:49" x14ac:dyDescent="0.2">
      <c r="A465">
        <v>252</v>
      </c>
      <c r="E465">
        <f t="shared" si="165"/>
        <v>1</v>
      </c>
      <c r="J465" t="str">
        <f t="shared" si="172"/>
        <v>8</v>
      </c>
      <c r="K465" t="str">
        <f t="shared" si="173"/>
        <v>03</v>
      </c>
      <c r="L465" t="str">
        <f t="shared" si="174"/>
        <v>8</v>
      </c>
      <c r="M465" s="6" t="str">
        <f t="shared" si="175"/>
        <v>01</v>
      </c>
      <c r="N465" t="str">
        <f t="shared" si="171"/>
        <v>Home</v>
      </c>
      <c r="O465">
        <v>15</v>
      </c>
      <c r="P465" t="s">
        <v>424</v>
      </c>
      <c r="Y465" t="str">
        <f t="shared" si="155"/>
        <v/>
      </c>
      <c r="Z465" t="str">
        <f t="shared" si="156"/>
        <v/>
      </c>
      <c r="AC465" t="str">
        <f t="shared" si="157"/>
        <v>Zone_Entry_Exit</v>
      </c>
      <c r="AD465" t="str">
        <f t="shared" si="158"/>
        <v>Zone_Entry</v>
      </c>
      <c r="AE465" t="str">
        <f t="shared" si="159"/>
        <v>ZoneEntry-Rush</v>
      </c>
      <c r="AF465" t="str">
        <f t="shared" si="160"/>
        <v>Offensive</v>
      </c>
      <c r="AG465">
        <f t="shared" si="166"/>
        <v>18981</v>
      </c>
      <c r="AH465" t="str">
        <f t="shared" si="167"/>
        <v>Nelson</v>
      </c>
      <c r="AI465" t="str">
        <f t="shared" si="168"/>
        <v>Velodrome</v>
      </c>
      <c r="AJ465" s="18">
        <f t="shared" si="161"/>
        <v>2</v>
      </c>
      <c r="AP465" s="18">
        <f t="shared" si="162"/>
        <v>0</v>
      </c>
      <c r="AQ465">
        <f t="shared" si="163"/>
        <v>0</v>
      </c>
      <c r="AR465" s="23">
        <f t="shared" si="164"/>
        <v>597</v>
      </c>
      <c r="AS465">
        <f t="shared" si="169"/>
        <v>592</v>
      </c>
      <c r="AT465" s="21">
        <f t="shared" si="170"/>
        <v>599</v>
      </c>
      <c r="AU465" s="21"/>
      <c r="AV465" s="21"/>
      <c r="AW465" s="21"/>
    </row>
    <row r="466" spans="1:49" x14ac:dyDescent="0.2">
      <c r="A466">
        <v>252</v>
      </c>
      <c r="E466">
        <f t="shared" si="165"/>
        <v>1</v>
      </c>
      <c r="J466" t="str">
        <f t="shared" si="172"/>
        <v>8</v>
      </c>
      <c r="K466" t="str">
        <f t="shared" si="173"/>
        <v>03</v>
      </c>
      <c r="L466" t="str">
        <f t="shared" si="174"/>
        <v>8</v>
      </c>
      <c r="M466" s="6" t="str">
        <f t="shared" si="175"/>
        <v>01</v>
      </c>
      <c r="N466" t="str">
        <f t="shared" si="171"/>
        <v>Home</v>
      </c>
      <c r="O466">
        <v>14</v>
      </c>
      <c r="P466" t="s">
        <v>425</v>
      </c>
      <c r="Y466" t="str">
        <f t="shared" si="155"/>
        <v/>
      </c>
      <c r="Z466" t="str">
        <f t="shared" si="156"/>
        <v/>
      </c>
      <c r="AC466" t="str">
        <f t="shared" si="157"/>
        <v>Zone_Entry_Exit</v>
      </c>
      <c r="AD466" t="str">
        <f t="shared" si="158"/>
        <v>Zone_Entry</v>
      </c>
      <c r="AE466" t="str">
        <f t="shared" si="159"/>
        <v>ZoneEntry-Rush</v>
      </c>
      <c r="AF466" t="str">
        <f t="shared" si="160"/>
        <v>Defensive</v>
      </c>
      <c r="AG466">
        <f t="shared" si="166"/>
        <v>18981</v>
      </c>
      <c r="AH466" t="str">
        <f t="shared" si="167"/>
        <v>Nelson</v>
      </c>
      <c r="AI466" t="str">
        <f t="shared" si="168"/>
        <v>Velodrome</v>
      </c>
      <c r="AJ466" s="18">
        <f t="shared" si="161"/>
        <v>2</v>
      </c>
      <c r="AP466" s="18">
        <f t="shared" si="162"/>
        <v>0</v>
      </c>
      <c r="AQ466">
        <f t="shared" si="163"/>
        <v>0</v>
      </c>
      <c r="AR466" s="23">
        <f t="shared" si="164"/>
        <v>597</v>
      </c>
      <c r="AS466">
        <f t="shared" si="169"/>
        <v>592</v>
      </c>
      <c r="AT466" s="21">
        <f t="shared" si="170"/>
        <v>599</v>
      </c>
      <c r="AU466" s="21"/>
      <c r="AV466" s="21"/>
      <c r="AW466" s="21"/>
    </row>
    <row r="467" spans="1:49" x14ac:dyDescent="0.2">
      <c r="A467">
        <v>252</v>
      </c>
      <c r="E467">
        <f t="shared" si="165"/>
        <v>1</v>
      </c>
      <c r="J467" t="str">
        <f t="shared" si="172"/>
        <v>8</v>
      </c>
      <c r="K467" t="str">
        <f t="shared" si="173"/>
        <v>03</v>
      </c>
      <c r="L467" t="str">
        <f t="shared" si="174"/>
        <v>8</v>
      </c>
      <c r="M467" s="6" t="str">
        <f t="shared" si="175"/>
        <v>01</v>
      </c>
      <c r="N467" t="str">
        <f t="shared" si="171"/>
        <v>Home</v>
      </c>
      <c r="O467">
        <v>49</v>
      </c>
      <c r="P467" t="s">
        <v>425</v>
      </c>
      <c r="Y467" t="str">
        <f t="shared" si="155"/>
        <v/>
      </c>
      <c r="Z467" t="str">
        <f t="shared" si="156"/>
        <v/>
      </c>
      <c r="AC467" t="str">
        <f t="shared" si="157"/>
        <v>Zone_Entry_Exit</v>
      </c>
      <c r="AD467" t="str">
        <f t="shared" si="158"/>
        <v>Zone_Entry</v>
      </c>
      <c r="AE467" t="str">
        <f t="shared" si="159"/>
        <v>ZoneEntry-Rush</v>
      </c>
      <c r="AF467" t="str">
        <f t="shared" si="160"/>
        <v>Defensive</v>
      </c>
      <c r="AG467">
        <f t="shared" si="166"/>
        <v>18981</v>
      </c>
      <c r="AH467" t="str">
        <f t="shared" si="167"/>
        <v>Nelson</v>
      </c>
      <c r="AI467" t="str">
        <f t="shared" si="168"/>
        <v>Velodrome</v>
      </c>
      <c r="AJ467" s="18">
        <f t="shared" si="161"/>
        <v>2</v>
      </c>
      <c r="AP467" s="18">
        <f t="shared" si="162"/>
        <v>0</v>
      </c>
      <c r="AQ467">
        <f t="shared" si="163"/>
        <v>0</v>
      </c>
      <c r="AR467" s="23">
        <f t="shared" si="164"/>
        <v>597</v>
      </c>
      <c r="AS467">
        <f t="shared" si="169"/>
        <v>592</v>
      </c>
      <c r="AT467" s="21">
        <f t="shared" si="170"/>
        <v>599</v>
      </c>
      <c r="AU467" s="21"/>
      <c r="AV467" s="21"/>
      <c r="AW467" s="21"/>
    </row>
    <row r="468" spans="1:49" x14ac:dyDescent="0.2">
      <c r="A468">
        <v>252</v>
      </c>
      <c r="E468">
        <f t="shared" si="165"/>
        <v>1</v>
      </c>
      <c r="J468" t="str">
        <f t="shared" si="172"/>
        <v>8</v>
      </c>
      <c r="K468" t="str">
        <f t="shared" si="173"/>
        <v>03</v>
      </c>
      <c r="L468" t="str">
        <f t="shared" si="174"/>
        <v>8</v>
      </c>
      <c r="M468" s="6" t="str">
        <f t="shared" si="175"/>
        <v>01</v>
      </c>
      <c r="N468" t="str">
        <f t="shared" si="171"/>
        <v>Home</v>
      </c>
      <c r="O468">
        <v>52</v>
      </c>
      <c r="P468" t="s">
        <v>425</v>
      </c>
      <c r="Y468" t="str">
        <f t="shared" si="155"/>
        <v/>
      </c>
      <c r="Z468" t="str">
        <f t="shared" si="156"/>
        <v/>
      </c>
      <c r="AC468" t="str">
        <f t="shared" si="157"/>
        <v>Zone_Entry_Exit</v>
      </c>
      <c r="AD468" t="str">
        <f t="shared" si="158"/>
        <v>Zone_Entry</v>
      </c>
      <c r="AE468" t="str">
        <f t="shared" si="159"/>
        <v>ZoneEntry-Rush</v>
      </c>
      <c r="AF468" t="str">
        <f t="shared" si="160"/>
        <v>Defensive</v>
      </c>
      <c r="AG468">
        <f t="shared" si="166"/>
        <v>18981</v>
      </c>
      <c r="AH468" t="str">
        <f t="shared" si="167"/>
        <v>Nelson</v>
      </c>
      <c r="AI468" t="str">
        <f t="shared" si="168"/>
        <v>Velodrome</v>
      </c>
      <c r="AJ468" s="18">
        <f t="shared" si="161"/>
        <v>2</v>
      </c>
      <c r="AP468" s="18">
        <f t="shared" si="162"/>
        <v>0</v>
      </c>
      <c r="AQ468">
        <f t="shared" si="163"/>
        <v>0</v>
      </c>
      <c r="AR468" s="23">
        <f t="shared" si="164"/>
        <v>597</v>
      </c>
      <c r="AS468">
        <f t="shared" si="169"/>
        <v>592</v>
      </c>
      <c r="AT468" s="21">
        <f t="shared" si="170"/>
        <v>599</v>
      </c>
      <c r="AU468" s="21"/>
      <c r="AV468" s="21"/>
      <c r="AW468" s="21"/>
    </row>
    <row r="469" spans="1:49" x14ac:dyDescent="0.2">
      <c r="A469">
        <v>253</v>
      </c>
      <c r="E469">
        <f t="shared" si="165"/>
        <v>1</v>
      </c>
      <c r="F469" s="5" t="s">
        <v>538</v>
      </c>
      <c r="G469" s="5" t="s">
        <v>471</v>
      </c>
      <c r="H469" s="5" t="s">
        <v>539</v>
      </c>
      <c r="I469" s="7" t="s">
        <v>529</v>
      </c>
      <c r="J469" t="str">
        <f t="shared" si="172"/>
        <v>8</v>
      </c>
      <c r="K469" t="str">
        <f t="shared" si="173"/>
        <v>01</v>
      </c>
      <c r="L469" t="str">
        <f t="shared" si="174"/>
        <v>7</v>
      </c>
      <c r="M469" s="6" t="str">
        <f t="shared" si="175"/>
        <v>57</v>
      </c>
      <c r="N469" t="s">
        <v>178</v>
      </c>
      <c r="O469">
        <v>37</v>
      </c>
      <c r="P469" t="s">
        <v>424</v>
      </c>
      <c r="Q469" t="s">
        <v>15</v>
      </c>
      <c r="Y469" t="str">
        <f t="shared" si="155"/>
        <v/>
      </c>
      <c r="Z469" t="str">
        <f t="shared" si="156"/>
        <v/>
      </c>
      <c r="AC469" t="str">
        <f t="shared" si="157"/>
        <v>Possession</v>
      </c>
      <c r="AD469" t="str">
        <f t="shared" si="158"/>
        <v/>
      </c>
      <c r="AE469" t="str">
        <f t="shared" si="159"/>
        <v/>
      </c>
      <c r="AF469" t="str">
        <f t="shared" si="160"/>
        <v>Offensive</v>
      </c>
      <c r="AG469">
        <f t="shared" si="166"/>
        <v>18981</v>
      </c>
      <c r="AH469" t="str">
        <f t="shared" si="167"/>
        <v>Nelson</v>
      </c>
      <c r="AI469" t="str">
        <f t="shared" si="168"/>
        <v>Velodrome</v>
      </c>
      <c r="AJ469" s="18">
        <f t="shared" si="161"/>
        <v>4</v>
      </c>
      <c r="AP469" s="18">
        <f t="shared" si="162"/>
        <v>0</v>
      </c>
      <c r="AQ469">
        <f t="shared" si="163"/>
        <v>0</v>
      </c>
      <c r="AR469" s="23">
        <f t="shared" si="164"/>
        <v>599</v>
      </c>
      <c r="AS469">
        <f t="shared" si="169"/>
        <v>594</v>
      </c>
      <c r="AT469" s="21">
        <f t="shared" si="170"/>
        <v>603</v>
      </c>
      <c r="AU469" s="21"/>
      <c r="AV469" s="21"/>
      <c r="AW469" s="21"/>
    </row>
    <row r="470" spans="1:49" x14ac:dyDescent="0.2">
      <c r="A470">
        <v>254</v>
      </c>
      <c r="E470">
        <f t="shared" si="165"/>
        <v>1</v>
      </c>
      <c r="F470" s="5" t="s">
        <v>539</v>
      </c>
      <c r="G470" s="5" t="s">
        <v>529</v>
      </c>
      <c r="J470" t="str">
        <f t="shared" si="172"/>
        <v>7</v>
      </c>
      <c r="K470" t="str">
        <f t="shared" si="173"/>
        <v>57</v>
      </c>
      <c r="L470" t="str">
        <f t="shared" si="174"/>
        <v/>
      </c>
      <c r="M470" s="6" t="str">
        <f t="shared" si="175"/>
        <v/>
      </c>
      <c r="N470" t="s">
        <v>178</v>
      </c>
      <c r="O470">
        <v>37</v>
      </c>
      <c r="P470" t="s">
        <v>424</v>
      </c>
      <c r="Q470" t="s">
        <v>8</v>
      </c>
      <c r="R470" t="s">
        <v>189</v>
      </c>
      <c r="S470" t="s">
        <v>70</v>
      </c>
      <c r="Y470" t="str">
        <f t="shared" si="155"/>
        <v/>
      </c>
      <c r="Z470" t="str">
        <f t="shared" si="156"/>
        <v/>
      </c>
      <c r="AC470" t="str">
        <f t="shared" si="157"/>
        <v>Pass</v>
      </c>
      <c r="AD470" t="str">
        <f t="shared" si="158"/>
        <v>Pass_Completed</v>
      </c>
      <c r="AE470" t="str">
        <f t="shared" si="159"/>
        <v>Pass-Forehand</v>
      </c>
      <c r="AF470" t="str">
        <f t="shared" si="160"/>
        <v>Offensive</v>
      </c>
      <c r="AG470">
        <f t="shared" si="166"/>
        <v>18981</v>
      </c>
      <c r="AH470" t="str">
        <f t="shared" si="167"/>
        <v>Nelson</v>
      </c>
      <c r="AI470" t="str">
        <f t="shared" si="168"/>
        <v>Velodrome</v>
      </c>
      <c r="AJ470" s="18">
        <f t="shared" si="161"/>
        <v>0</v>
      </c>
      <c r="AP470" s="18">
        <f t="shared" si="162"/>
        <v>0</v>
      </c>
      <c r="AQ470">
        <f t="shared" si="163"/>
        <v>0</v>
      </c>
      <c r="AR470" s="23">
        <f t="shared" si="164"/>
        <v>603</v>
      </c>
      <c r="AS470">
        <f t="shared" si="169"/>
        <v>598</v>
      </c>
      <c r="AT470" s="21">
        <f t="shared" si="170"/>
        <v>603</v>
      </c>
      <c r="AU470" s="21"/>
      <c r="AV470" s="21"/>
      <c r="AW470" s="21"/>
    </row>
    <row r="471" spans="1:49" x14ac:dyDescent="0.2">
      <c r="A471">
        <v>254</v>
      </c>
      <c r="E471">
        <f t="shared" si="165"/>
        <v>1</v>
      </c>
      <c r="J471" t="str">
        <f t="shared" si="172"/>
        <v>7</v>
      </c>
      <c r="K471" t="str">
        <f t="shared" si="173"/>
        <v>57</v>
      </c>
      <c r="L471" t="str">
        <f t="shared" si="174"/>
        <v/>
      </c>
      <c r="M471" s="6" t="str">
        <f t="shared" si="175"/>
        <v/>
      </c>
      <c r="N471" t="str">
        <f t="shared" si="171"/>
        <v>Home</v>
      </c>
      <c r="O471">
        <v>10</v>
      </c>
      <c r="P471" t="s">
        <v>424</v>
      </c>
      <c r="Y471" t="str">
        <f t="shared" si="155"/>
        <v/>
      </c>
      <c r="Z471" t="str">
        <f t="shared" si="156"/>
        <v/>
      </c>
      <c r="AC471" t="str">
        <f t="shared" si="157"/>
        <v>Pass</v>
      </c>
      <c r="AD471" t="str">
        <f t="shared" si="158"/>
        <v>Pass_Completed</v>
      </c>
      <c r="AE471" t="str">
        <f t="shared" si="159"/>
        <v>Pass-Forehand</v>
      </c>
      <c r="AF471" t="str">
        <f t="shared" si="160"/>
        <v>Offensive</v>
      </c>
      <c r="AG471">
        <f t="shared" si="166"/>
        <v>18981</v>
      </c>
      <c r="AH471" t="str">
        <f t="shared" si="167"/>
        <v>Nelson</v>
      </c>
      <c r="AI471" t="str">
        <f t="shared" si="168"/>
        <v>Velodrome</v>
      </c>
      <c r="AJ471" s="18">
        <f t="shared" si="161"/>
        <v>0</v>
      </c>
      <c r="AP471" s="18">
        <f t="shared" si="162"/>
        <v>0</v>
      </c>
      <c r="AQ471">
        <f t="shared" si="163"/>
        <v>0</v>
      </c>
      <c r="AR471" s="23">
        <f t="shared" si="164"/>
        <v>603</v>
      </c>
      <c r="AS471">
        <f t="shared" si="169"/>
        <v>598</v>
      </c>
      <c r="AT471" s="21">
        <f t="shared" si="170"/>
        <v>603</v>
      </c>
      <c r="AU471" s="21"/>
      <c r="AV471" s="21"/>
      <c r="AW471" s="21"/>
    </row>
    <row r="472" spans="1:49" x14ac:dyDescent="0.2">
      <c r="A472">
        <v>254</v>
      </c>
      <c r="E472">
        <f t="shared" si="165"/>
        <v>1</v>
      </c>
      <c r="J472" t="str">
        <f t="shared" si="172"/>
        <v>7</v>
      </c>
      <c r="K472" t="str">
        <f t="shared" si="173"/>
        <v>57</v>
      </c>
      <c r="L472" t="str">
        <f t="shared" si="174"/>
        <v/>
      </c>
      <c r="M472" s="6" t="str">
        <f t="shared" si="175"/>
        <v/>
      </c>
      <c r="N472" t="str">
        <f t="shared" si="171"/>
        <v>Home</v>
      </c>
      <c r="O472">
        <v>14</v>
      </c>
      <c r="P472" t="s">
        <v>425</v>
      </c>
      <c r="Y472" t="str">
        <f t="shared" si="155"/>
        <v/>
      </c>
      <c r="Z472" t="str">
        <f t="shared" si="156"/>
        <v/>
      </c>
      <c r="AC472" t="str">
        <f t="shared" si="157"/>
        <v>Pass</v>
      </c>
      <c r="AD472" t="str">
        <f t="shared" si="158"/>
        <v>Pass_Completed</v>
      </c>
      <c r="AE472" t="str">
        <f t="shared" si="159"/>
        <v>Pass-Forehand</v>
      </c>
      <c r="AF472" t="str">
        <f t="shared" si="160"/>
        <v>Defensive</v>
      </c>
      <c r="AG472">
        <f t="shared" si="166"/>
        <v>18981</v>
      </c>
      <c r="AH472" t="str">
        <f t="shared" si="167"/>
        <v>Nelson</v>
      </c>
      <c r="AI472" t="str">
        <f t="shared" si="168"/>
        <v>Velodrome</v>
      </c>
      <c r="AJ472" s="18">
        <f t="shared" si="161"/>
        <v>0</v>
      </c>
      <c r="AP472" s="18">
        <f t="shared" si="162"/>
        <v>0</v>
      </c>
      <c r="AQ472">
        <f t="shared" si="163"/>
        <v>0</v>
      </c>
      <c r="AR472" s="23">
        <f t="shared" si="164"/>
        <v>603</v>
      </c>
      <c r="AS472">
        <f t="shared" si="169"/>
        <v>598</v>
      </c>
      <c r="AT472" s="21">
        <f t="shared" si="170"/>
        <v>603</v>
      </c>
      <c r="AU472" s="21"/>
      <c r="AV472" s="21"/>
      <c r="AW472" s="21"/>
    </row>
    <row r="473" spans="1:49" x14ac:dyDescent="0.2">
      <c r="A473">
        <v>255</v>
      </c>
      <c r="E473">
        <f t="shared" si="165"/>
        <v>1</v>
      </c>
      <c r="F473" s="5" t="s">
        <v>539</v>
      </c>
      <c r="G473" s="5" t="s">
        <v>527</v>
      </c>
      <c r="J473" t="str">
        <f t="shared" si="172"/>
        <v>7</v>
      </c>
      <c r="K473" t="str">
        <f t="shared" si="173"/>
        <v>55</v>
      </c>
      <c r="L473" t="str">
        <f t="shared" si="174"/>
        <v/>
      </c>
      <c r="M473" s="6" t="str">
        <f t="shared" si="175"/>
        <v/>
      </c>
      <c r="N473" t="s">
        <v>179</v>
      </c>
      <c r="O473">
        <v>14</v>
      </c>
      <c r="P473" t="s">
        <v>424</v>
      </c>
      <c r="Q473" t="s">
        <v>277</v>
      </c>
      <c r="R473" t="s">
        <v>201</v>
      </c>
      <c r="S473" t="s">
        <v>435</v>
      </c>
      <c r="Y473" t="str">
        <f t="shared" si="155"/>
        <v/>
      </c>
      <c r="Z473" t="str">
        <f t="shared" si="156"/>
        <v/>
      </c>
      <c r="AC473" t="str">
        <f t="shared" si="157"/>
        <v>Zone_Entry_Exit</v>
      </c>
      <c r="AD473" t="str">
        <f t="shared" si="158"/>
        <v>Zone_Exit</v>
      </c>
      <c r="AE473" t="str">
        <f t="shared" si="159"/>
        <v>ZoneExit-OppTeam</v>
      </c>
      <c r="AF473" t="str">
        <f t="shared" si="160"/>
        <v>Offensive</v>
      </c>
      <c r="AG473">
        <f t="shared" si="166"/>
        <v>18981</v>
      </c>
      <c r="AH473" t="str">
        <f t="shared" si="167"/>
        <v>Nelson</v>
      </c>
      <c r="AI473" t="str">
        <f t="shared" si="168"/>
        <v>Velodrome</v>
      </c>
      <c r="AJ473" s="18">
        <f t="shared" si="161"/>
        <v>0</v>
      </c>
      <c r="AP473" s="18">
        <f t="shared" si="162"/>
        <v>0</v>
      </c>
      <c r="AQ473">
        <f t="shared" si="163"/>
        <v>0</v>
      </c>
      <c r="AR473" s="23">
        <f t="shared" si="164"/>
        <v>605</v>
      </c>
      <c r="AS473">
        <f t="shared" si="169"/>
        <v>600</v>
      </c>
      <c r="AT473" s="21">
        <f t="shared" si="170"/>
        <v>605</v>
      </c>
      <c r="AU473" s="21"/>
      <c r="AV473" s="21"/>
      <c r="AW473" s="21"/>
    </row>
    <row r="474" spans="1:49" x14ac:dyDescent="0.2">
      <c r="A474">
        <v>256</v>
      </c>
      <c r="E474">
        <f t="shared" si="165"/>
        <v>1</v>
      </c>
      <c r="F474" s="5" t="s">
        <v>539</v>
      </c>
      <c r="G474" s="5" t="s">
        <v>527</v>
      </c>
      <c r="H474" s="5" t="s">
        <v>539</v>
      </c>
      <c r="I474" s="7" t="s">
        <v>525</v>
      </c>
      <c r="J474" t="str">
        <f t="shared" si="172"/>
        <v>7</v>
      </c>
      <c r="K474" t="str">
        <f t="shared" si="173"/>
        <v>55</v>
      </c>
      <c r="L474" t="str">
        <f t="shared" si="174"/>
        <v>7</v>
      </c>
      <c r="M474" s="6" t="str">
        <f t="shared" si="175"/>
        <v>53</v>
      </c>
      <c r="N474" t="s">
        <v>178</v>
      </c>
      <c r="O474">
        <v>10</v>
      </c>
      <c r="P474" t="s">
        <v>424</v>
      </c>
      <c r="Q474" t="s">
        <v>15</v>
      </c>
      <c r="Y474" t="str">
        <f t="shared" si="155"/>
        <v/>
      </c>
      <c r="Z474" t="str">
        <f t="shared" si="156"/>
        <v/>
      </c>
      <c r="AC474" t="str">
        <f t="shared" si="157"/>
        <v>Possession</v>
      </c>
      <c r="AD474" t="str">
        <f t="shared" si="158"/>
        <v/>
      </c>
      <c r="AE474" t="str">
        <f t="shared" si="159"/>
        <v/>
      </c>
      <c r="AF474" t="str">
        <f t="shared" si="160"/>
        <v>Offensive</v>
      </c>
      <c r="AG474">
        <f t="shared" si="166"/>
        <v>18981</v>
      </c>
      <c r="AH474" t="str">
        <f t="shared" si="167"/>
        <v>Nelson</v>
      </c>
      <c r="AI474" t="str">
        <f t="shared" si="168"/>
        <v>Velodrome</v>
      </c>
      <c r="AJ474" s="18">
        <f t="shared" si="161"/>
        <v>2</v>
      </c>
      <c r="AP474" s="18">
        <f t="shared" si="162"/>
        <v>0</v>
      </c>
      <c r="AQ474">
        <f t="shared" si="163"/>
        <v>0</v>
      </c>
      <c r="AR474" s="23">
        <f t="shared" si="164"/>
        <v>605</v>
      </c>
      <c r="AS474">
        <f t="shared" si="169"/>
        <v>600</v>
      </c>
      <c r="AT474" s="21">
        <f t="shared" si="170"/>
        <v>607</v>
      </c>
      <c r="AU474" s="21"/>
      <c r="AV474" s="21"/>
      <c r="AW474" s="21"/>
    </row>
    <row r="475" spans="1:49" x14ac:dyDescent="0.2">
      <c r="A475">
        <v>257</v>
      </c>
      <c r="E475">
        <f t="shared" si="165"/>
        <v>1</v>
      </c>
      <c r="F475" s="5" t="s">
        <v>539</v>
      </c>
      <c r="G475" s="5" t="s">
        <v>525</v>
      </c>
      <c r="J475" t="str">
        <f t="shared" si="172"/>
        <v>7</v>
      </c>
      <c r="K475" t="str">
        <f t="shared" si="173"/>
        <v>53</v>
      </c>
      <c r="L475" t="str">
        <f t="shared" si="174"/>
        <v/>
      </c>
      <c r="M475" s="6" t="str">
        <f t="shared" si="175"/>
        <v/>
      </c>
      <c r="N475" t="s">
        <v>178</v>
      </c>
      <c r="O475">
        <v>10</v>
      </c>
      <c r="P475" t="s">
        <v>424</v>
      </c>
      <c r="Q475" t="s">
        <v>8</v>
      </c>
      <c r="R475" t="s">
        <v>189</v>
      </c>
      <c r="S475" t="s">
        <v>70</v>
      </c>
      <c r="Y475" t="str">
        <f t="shared" si="155"/>
        <v/>
      </c>
      <c r="Z475" t="str">
        <f t="shared" si="156"/>
        <v/>
      </c>
      <c r="AC475" t="str">
        <f t="shared" si="157"/>
        <v>Pass</v>
      </c>
      <c r="AD475" t="str">
        <f t="shared" si="158"/>
        <v>Pass_Completed</v>
      </c>
      <c r="AE475" t="str">
        <f t="shared" si="159"/>
        <v>Pass-Forehand</v>
      </c>
      <c r="AF475" t="str">
        <f t="shared" si="160"/>
        <v>Offensive</v>
      </c>
      <c r="AG475">
        <f t="shared" si="166"/>
        <v>18981</v>
      </c>
      <c r="AH475" t="str">
        <f t="shared" si="167"/>
        <v>Nelson</v>
      </c>
      <c r="AI475" t="str">
        <f t="shared" si="168"/>
        <v>Velodrome</v>
      </c>
      <c r="AJ475" s="18">
        <f t="shared" si="161"/>
        <v>0</v>
      </c>
      <c r="AP475" s="18">
        <f t="shared" si="162"/>
        <v>0</v>
      </c>
      <c r="AQ475">
        <f t="shared" si="163"/>
        <v>0</v>
      </c>
      <c r="AR475" s="23">
        <f t="shared" si="164"/>
        <v>607</v>
      </c>
      <c r="AS475">
        <f t="shared" si="169"/>
        <v>602</v>
      </c>
      <c r="AT475" s="21">
        <f t="shared" si="170"/>
        <v>607</v>
      </c>
      <c r="AU475" s="21"/>
      <c r="AV475" s="21"/>
      <c r="AW475" s="21"/>
    </row>
    <row r="476" spans="1:49" x14ac:dyDescent="0.2">
      <c r="A476">
        <v>257</v>
      </c>
      <c r="E476">
        <f t="shared" si="165"/>
        <v>1</v>
      </c>
      <c r="J476" t="str">
        <f t="shared" si="172"/>
        <v>7</v>
      </c>
      <c r="K476" t="str">
        <f t="shared" si="173"/>
        <v>53</v>
      </c>
      <c r="L476" t="str">
        <f t="shared" si="174"/>
        <v/>
      </c>
      <c r="M476" s="6" t="str">
        <f t="shared" si="175"/>
        <v/>
      </c>
      <c r="N476" t="str">
        <f t="shared" si="171"/>
        <v>Home</v>
      </c>
      <c r="O476">
        <v>23</v>
      </c>
      <c r="P476" t="s">
        <v>424</v>
      </c>
      <c r="Y476" t="str">
        <f t="shared" si="155"/>
        <v/>
      </c>
      <c r="Z476" t="str">
        <f t="shared" si="156"/>
        <v/>
      </c>
      <c r="AC476" t="str">
        <f t="shared" si="157"/>
        <v>Pass</v>
      </c>
      <c r="AD476" t="str">
        <f t="shared" si="158"/>
        <v>Pass_Completed</v>
      </c>
      <c r="AE476" t="str">
        <f t="shared" si="159"/>
        <v>Pass-Forehand</v>
      </c>
      <c r="AF476" t="str">
        <f t="shared" si="160"/>
        <v>Offensive</v>
      </c>
      <c r="AG476">
        <f t="shared" si="166"/>
        <v>18981</v>
      </c>
      <c r="AH476" t="str">
        <f t="shared" si="167"/>
        <v>Nelson</v>
      </c>
      <c r="AI476" t="str">
        <f t="shared" si="168"/>
        <v>Velodrome</v>
      </c>
      <c r="AJ476" s="18">
        <f t="shared" si="161"/>
        <v>0</v>
      </c>
      <c r="AP476" s="18">
        <f t="shared" si="162"/>
        <v>0</v>
      </c>
      <c r="AQ476">
        <f t="shared" si="163"/>
        <v>0</v>
      </c>
      <c r="AR476" s="23">
        <f t="shared" si="164"/>
        <v>607</v>
      </c>
      <c r="AS476">
        <f t="shared" si="169"/>
        <v>602</v>
      </c>
      <c r="AT476" s="21">
        <f t="shared" si="170"/>
        <v>607</v>
      </c>
      <c r="AU476" s="21"/>
      <c r="AV476" s="21"/>
      <c r="AW476" s="21"/>
    </row>
    <row r="477" spans="1:49" x14ac:dyDescent="0.2">
      <c r="A477">
        <v>258</v>
      </c>
      <c r="E477">
        <f t="shared" si="165"/>
        <v>1</v>
      </c>
      <c r="F477" s="5" t="s">
        <v>539</v>
      </c>
      <c r="G477" s="5" t="s">
        <v>523</v>
      </c>
      <c r="J477" t="str">
        <f t="shared" si="172"/>
        <v>7</v>
      </c>
      <c r="K477" t="str">
        <f t="shared" si="173"/>
        <v>51</v>
      </c>
      <c r="L477" t="str">
        <f t="shared" si="174"/>
        <v/>
      </c>
      <c r="M477" s="6" t="str">
        <f t="shared" si="175"/>
        <v/>
      </c>
      <c r="N477" t="s">
        <v>178</v>
      </c>
      <c r="O477">
        <v>23</v>
      </c>
      <c r="P477" t="s">
        <v>424</v>
      </c>
      <c r="Q477" t="s">
        <v>8</v>
      </c>
      <c r="R477" t="s">
        <v>189</v>
      </c>
      <c r="S477" t="s">
        <v>70</v>
      </c>
      <c r="Y477" t="str">
        <f t="shared" si="155"/>
        <v/>
      </c>
      <c r="Z477" t="str">
        <f t="shared" si="156"/>
        <v/>
      </c>
      <c r="AC477" t="str">
        <f t="shared" si="157"/>
        <v>Pass</v>
      </c>
      <c r="AD477" t="str">
        <f t="shared" si="158"/>
        <v>Pass_Completed</v>
      </c>
      <c r="AE477" t="str">
        <f t="shared" si="159"/>
        <v>Pass-Forehand</v>
      </c>
      <c r="AF477" t="str">
        <f t="shared" si="160"/>
        <v>Offensive</v>
      </c>
      <c r="AG477">
        <f t="shared" si="166"/>
        <v>18981</v>
      </c>
      <c r="AH477" t="str">
        <f t="shared" si="167"/>
        <v>Nelson</v>
      </c>
      <c r="AI477" t="str">
        <f t="shared" si="168"/>
        <v>Velodrome</v>
      </c>
      <c r="AJ477" s="18">
        <f t="shared" si="161"/>
        <v>0</v>
      </c>
      <c r="AP477" s="18">
        <f t="shared" si="162"/>
        <v>0</v>
      </c>
      <c r="AQ477">
        <f t="shared" si="163"/>
        <v>0</v>
      </c>
      <c r="AR477" s="23">
        <f t="shared" si="164"/>
        <v>609</v>
      </c>
      <c r="AS477">
        <f t="shared" si="169"/>
        <v>604</v>
      </c>
      <c r="AT477" s="21">
        <f t="shared" si="170"/>
        <v>609</v>
      </c>
      <c r="AU477" s="21"/>
      <c r="AV477" s="21"/>
      <c r="AW477" s="21"/>
    </row>
    <row r="478" spans="1:49" x14ac:dyDescent="0.2">
      <c r="A478">
        <v>258</v>
      </c>
      <c r="E478">
        <f t="shared" si="165"/>
        <v>1</v>
      </c>
      <c r="J478" t="str">
        <f t="shared" si="172"/>
        <v>7</v>
      </c>
      <c r="K478" t="str">
        <f t="shared" si="173"/>
        <v>51</v>
      </c>
      <c r="L478" t="str">
        <f t="shared" si="174"/>
        <v/>
      </c>
      <c r="M478" s="6" t="str">
        <f t="shared" si="175"/>
        <v/>
      </c>
      <c r="N478" t="str">
        <f t="shared" si="171"/>
        <v>Home</v>
      </c>
      <c r="O478">
        <v>37</v>
      </c>
      <c r="P478" t="s">
        <v>424</v>
      </c>
      <c r="Y478" t="str">
        <f t="shared" si="155"/>
        <v/>
      </c>
      <c r="Z478" t="str">
        <f t="shared" si="156"/>
        <v/>
      </c>
      <c r="AC478" t="str">
        <f t="shared" si="157"/>
        <v>Pass</v>
      </c>
      <c r="AD478" t="str">
        <f t="shared" si="158"/>
        <v>Pass_Completed</v>
      </c>
      <c r="AE478" t="str">
        <f t="shared" si="159"/>
        <v>Pass-Forehand</v>
      </c>
      <c r="AF478" t="str">
        <f t="shared" si="160"/>
        <v>Offensive</v>
      </c>
      <c r="AG478">
        <f t="shared" si="166"/>
        <v>18981</v>
      </c>
      <c r="AH478" t="str">
        <f t="shared" si="167"/>
        <v>Nelson</v>
      </c>
      <c r="AI478" t="str">
        <f t="shared" si="168"/>
        <v>Velodrome</v>
      </c>
      <c r="AJ478" s="18">
        <f t="shared" si="161"/>
        <v>0</v>
      </c>
      <c r="AP478" s="18">
        <f t="shared" si="162"/>
        <v>0</v>
      </c>
      <c r="AQ478">
        <f t="shared" si="163"/>
        <v>0</v>
      </c>
      <c r="AR478" s="23">
        <f t="shared" si="164"/>
        <v>609</v>
      </c>
      <c r="AS478">
        <f t="shared" si="169"/>
        <v>604</v>
      </c>
      <c r="AT478" s="21">
        <f t="shared" si="170"/>
        <v>609</v>
      </c>
      <c r="AU478" s="21"/>
      <c r="AV478" s="21"/>
      <c r="AW478" s="21"/>
    </row>
    <row r="479" spans="1:49" x14ac:dyDescent="0.2">
      <c r="A479">
        <v>258</v>
      </c>
      <c r="E479">
        <f t="shared" si="165"/>
        <v>1</v>
      </c>
      <c r="J479" t="str">
        <f t="shared" si="172"/>
        <v>7</v>
      </c>
      <c r="K479" t="str">
        <f t="shared" si="173"/>
        <v>51</v>
      </c>
      <c r="L479" t="str">
        <f t="shared" si="174"/>
        <v/>
      </c>
      <c r="M479" s="6" t="str">
        <f t="shared" si="175"/>
        <v/>
      </c>
      <c r="N479" t="str">
        <f t="shared" si="171"/>
        <v>Home</v>
      </c>
      <c r="O479">
        <v>14</v>
      </c>
      <c r="P479" t="s">
        <v>425</v>
      </c>
      <c r="Y479" t="str">
        <f t="shared" si="155"/>
        <v/>
      </c>
      <c r="Z479" t="str">
        <f t="shared" si="156"/>
        <v/>
      </c>
      <c r="AC479" t="str">
        <f t="shared" si="157"/>
        <v>Pass</v>
      </c>
      <c r="AD479" t="str">
        <f t="shared" si="158"/>
        <v>Pass_Completed</v>
      </c>
      <c r="AE479" t="str">
        <f t="shared" si="159"/>
        <v>Pass-Forehand</v>
      </c>
      <c r="AF479" t="str">
        <f t="shared" si="160"/>
        <v>Defensive</v>
      </c>
      <c r="AG479">
        <f t="shared" si="166"/>
        <v>18981</v>
      </c>
      <c r="AH479" t="str">
        <f t="shared" si="167"/>
        <v>Nelson</v>
      </c>
      <c r="AI479" t="str">
        <f t="shared" si="168"/>
        <v>Velodrome</v>
      </c>
      <c r="AJ479" s="18">
        <f t="shared" si="161"/>
        <v>0</v>
      </c>
      <c r="AP479" s="18">
        <f t="shared" si="162"/>
        <v>0</v>
      </c>
      <c r="AQ479">
        <f t="shared" si="163"/>
        <v>0</v>
      </c>
      <c r="AR479" s="23">
        <f t="shared" si="164"/>
        <v>609</v>
      </c>
      <c r="AS479">
        <f t="shared" si="169"/>
        <v>604</v>
      </c>
      <c r="AT479" s="21">
        <f t="shared" si="170"/>
        <v>609</v>
      </c>
      <c r="AU479" s="21"/>
      <c r="AV479" s="21"/>
      <c r="AW479" s="21"/>
    </row>
    <row r="480" spans="1:49" x14ac:dyDescent="0.2">
      <c r="A480">
        <v>259</v>
      </c>
      <c r="E480">
        <f t="shared" si="165"/>
        <v>1</v>
      </c>
      <c r="F480" s="5" t="s">
        <v>539</v>
      </c>
      <c r="G480" s="5" t="s">
        <v>522</v>
      </c>
      <c r="H480" s="5" t="s">
        <v>539</v>
      </c>
      <c r="I480" s="7" t="s">
        <v>518</v>
      </c>
      <c r="J480" t="str">
        <f t="shared" si="172"/>
        <v>7</v>
      </c>
      <c r="K480" t="str">
        <f t="shared" si="173"/>
        <v>50</v>
      </c>
      <c r="L480" t="str">
        <f t="shared" si="174"/>
        <v>7</v>
      </c>
      <c r="M480" s="6" t="str">
        <f t="shared" si="175"/>
        <v>46</v>
      </c>
      <c r="N480" t="s">
        <v>178</v>
      </c>
      <c r="O480">
        <v>37</v>
      </c>
      <c r="P480" t="s">
        <v>424</v>
      </c>
      <c r="Q480" t="s">
        <v>15</v>
      </c>
      <c r="Y480" t="str">
        <f t="shared" si="155"/>
        <v/>
      </c>
      <c r="Z480" t="str">
        <f t="shared" si="156"/>
        <v/>
      </c>
      <c r="AC480" t="str">
        <f t="shared" si="157"/>
        <v>Possession</v>
      </c>
      <c r="AD480" t="str">
        <f t="shared" si="158"/>
        <v/>
      </c>
      <c r="AE480" t="str">
        <f t="shared" si="159"/>
        <v/>
      </c>
      <c r="AF480" t="str">
        <f t="shared" si="160"/>
        <v>Offensive</v>
      </c>
      <c r="AG480">
        <f t="shared" si="166"/>
        <v>18981</v>
      </c>
      <c r="AH480" t="str">
        <f t="shared" si="167"/>
        <v>Nelson</v>
      </c>
      <c r="AI480" t="str">
        <f t="shared" si="168"/>
        <v>Velodrome</v>
      </c>
      <c r="AJ480" s="18">
        <f t="shared" si="161"/>
        <v>4</v>
      </c>
      <c r="AP480" s="18">
        <f t="shared" si="162"/>
        <v>0</v>
      </c>
      <c r="AQ480">
        <f t="shared" si="163"/>
        <v>0</v>
      </c>
      <c r="AR480" s="23">
        <f t="shared" si="164"/>
        <v>610</v>
      </c>
      <c r="AS480">
        <f t="shared" si="169"/>
        <v>605</v>
      </c>
      <c r="AT480" s="21">
        <f t="shared" si="170"/>
        <v>614</v>
      </c>
      <c r="AU480" s="21"/>
      <c r="AV480" s="21"/>
      <c r="AW480" s="21"/>
    </row>
    <row r="481" spans="1:49" x14ac:dyDescent="0.2">
      <c r="A481">
        <v>259</v>
      </c>
      <c r="E481">
        <f t="shared" si="165"/>
        <v>1</v>
      </c>
      <c r="J481" t="str">
        <f t="shared" si="172"/>
        <v>7</v>
      </c>
      <c r="K481" t="str">
        <f t="shared" si="173"/>
        <v>50</v>
      </c>
      <c r="L481" t="str">
        <f t="shared" si="174"/>
        <v>7</v>
      </c>
      <c r="M481" s="6" t="str">
        <f t="shared" si="175"/>
        <v>46</v>
      </c>
      <c r="N481" t="str">
        <f t="shared" si="171"/>
        <v>Home</v>
      </c>
      <c r="O481">
        <v>14</v>
      </c>
      <c r="P481" t="s">
        <v>425</v>
      </c>
      <c r="Y481" t="str">
        <f t="shared" si="155"/>
        <v/>
      </c>
      <c r="Z481" t="str">
        <f t="shared" si="156"/>
        <v/>
      </c>
      <c r="AC481" t="str">
        <f t="shared" si="157"/>
        <v>Possession</v>
      </c>
      <c r="AD481" t="str">
        <f t="shared" si="158"/>
        <v/>
      </c>
      <c r="AE481" t="str">
        <f t="shared" si="159"/>
        <v/>
      </c>
      <c r="AF481" t="str">
        <f t="shared" si="160"/>
        <v>Defensive</v>
      </c>
      <c r="AG481">
        <f t="shared" si="166"/>
        <v>18981</v>
      </c>
      <c r="AH481" t="str">
        <f t="shared" si="167"/>
        <v>Nelson</v>
      </c>
      <c r="AI481" t="str">
        <f t="shared" si="168"/>
        <v>Velodrome</v>
      </c>
      <c r="AJ481" s="18">
        <f t="shared" si="161"/>
        <v>4</v>
      </c>
      <c r="AP481" s="18">
        <f t="shared" si="162"/>
        <v>0</v>
      </c>
      <c r="AQ481">
        <f t="shared" si="163"/>
        <v>0</v>
      </c>
      <c r="AR481" s="23">
        <f t="shared" si="164"/>
        <v>610</v>
      </c>
      <c r="AS481">
        <f t="shared" si="169"/>
        <v>605</v>
      </c>
      <c r="AT481" s="21">
        <f t="shared" si="170"/>
        <v>614</v>
      </c>
      <c r="AU481" s="21"/>
      <c r="AV481" s="21"/>
      <c r="AW481" s="21"/>
    </row>
    <row r="482" spans="1:49" x14ac:dyDescent="0.2">
      <c r="A482">
        <v>260</v>
      </c>
      <c r="E482">
        <f t="shared" si="165"/>
        <v>1</v>
      </c>
      <c r="F482" s="5" t="s">
        <v>539</v>
      </c>
      <c r="G482" s="5" t="s">
        <v>518</v>
      </c>
      <c r="J482" t="str">
        <f t="shared" si="172"/>
        <v>7</v>
      </c>
      <c r="K482" t="str">
        <f t="shared" si="173"/>
        <v>46</v>
      </c>
      <c r="L482" t="str">
        <f t="shared" si="174"/>
        <v/>
      </c>
      <c r="M482" s="6" t="str">
        <f t="shared" si="175"/>
        <v/>
      </c>
      <c r="N482" t="s">
        <v>178</v>
      </c>
      <c r="O482">
        <v>37</v>
      </c>
      <c r="P482" t="s">
        <v>424</v>
      </c>
      <c r="Q482" t="s">
        <v>8</v>
      </c>
      <c r="R482" t="s">
        <v>216</v>
      </c>
      <c r="S482" t="s">
        <v>70</v>
      </c>
      <c r="Y482" t="str">
        <f t="shared" si="155"/>
        <v/>
      </c>
      <c r="Z482" t="str">
        <f t="shared" si="156"/>
        <v/>
      </c>
      <c r="AC482" t="str">
        <f t="shared" si="157"/>
        <v>Pass</v>
      </c>
      <c r="AD482" t="str">
        <f t="shared" si="158"/>
        <v>Pass_Intercepted</v>
      </c>
      <c r="AE482" t="str">
        <f t="shared" si="159"/>
        <v>Pass-Forehand</v>
      </c>
      <c r="AF482" t="str">
        <f t="shared" si="160"/>
        <v>Offensive</v>
      </c>
      <c r="AG482">
        <f t="shared" si="166"/>
        <v>18981</v>
      </c>
      <c r="AH482" t="str">
        <f t="shared" si="167"/>
        <v>Nelson</v>
      </c>
      <c r="AI482" t="str">
        <f t="shared" si="168"/>
        <v>Velodrome</v>
      </c>
      <c r="AJ482" s="18">
        <f t="shared" si="161"/>
        <v>0</v>
      </c>
      <c r="AP482" s="18">
        <f t="shared" si="162"/>
        <v>0</v>
      </c>
      <c r="AQ482">
        <f t="shared" si="163"/>
        <v>0</v>
      </c>
      <c r="AR482" s="23">
        <f t="shared" si="164"/>
        <v>614</v>
      </c>
      <c r="AS482">
        <f t="shared" si="169"/>
        <v>609</v>
      </c>
      <c r="AT482" s="21">
        <f t="shared" si="170"/>
        <v>614</v>
      </c>
      <c r="AU482" s="21"/>
      <c r="AV482" s="21"/>
      <c r="AW482" s="21"/>
    </row>
    <row r="483" spans="1:49" x14ac:dyDescent="0.2">
      <c r="A483">
        <v>260</v>
      </c>
      <c r="E483">
        <f t="shared" si="165"/>
        <v>1</v>
      </c>
      <c r="J483" t="str">
        <f t="shared" si="172"/>
        <v>7</v>
      </c>
      <c r="K483" t="str">
        <f t="shared" si="173"/>
        <v>46</v>
      </c>
      <c r="L483" t="str">
        <f t="shared" si="174"/>
        <v/>
      </c>
      <c r="M483" s="6" t="str">
        <f t="shared" si="175"/>
        <v/>
      </c>
      <c r="N483" t="str">
        <f t="shared" si="171"/>
        <v>Home</v>
      </c>
      <c r="O483">
        <v>44</v>
      </c>
      <c r="P483" t="s">
        <v>424</v>
      </c>
      <c r="Y483" t="str">
        <f t="shared" si="155"/>
        <v/>
      </c>
      <c r="Z483" t="str">
        <f t="shared" si="156"/>
        <v/>
      </c>
      <c r="AC483" t="str">
        <f t="shared" si="157"/>
        <v>Pass</v>
      </c>
      <c r="AD483" t="str">
        <f t="shared" si="158"/>
        <v>Pass_Intercepted</v>
      </c>
      <c r="AE483" t="str">
        <f t="shared" si="159"/>
        <v>Pass-Forehand</v>
      </c>
      <c r="AF483" t="str">
        <f t="shared" si="160"/>
        <v>Offensive</v>
      </c>
      <c r="AG483">
        <f t="shared" si="166"/>
        <v>18981</v>
      </c>
      <c r="AH483" t="str">
        <f t="shared" si="167"/>
        <v>Nelson</v>
      </c>
      <c r="AI483" t="str">
        <f t="shared" si="168"/>
        <v>Velodrome</v>
      </c>
      <c r="AJ483" s="18">
        <f t="shared" si="161"/>
        <v>0</v>
      </c>
      <c r="AP483" s="18">
        <f t="shared" si="162"/>
        <v>0</v>
      </c>
      <c r="AQ483">
        <f t="shared" si="163"/>
        <v>0</v>
      </c>
      <c r="AR483" s="23">
        <f t="shared" si="164"/>
        <v>614</v>
      </c>
      <c r="AS483">
        <f t="shared" si="169"/>
        <v>609</v>
      </c>
      <c r="AT483" s="21">
        <f t="shared" si="170"/>
        <v>614</v>
      </c>
      <c r="AU483" s="21"/>
      <c r="AV483" s="21"/>
      <c r="AW483" s="21"/>
    </row>
    <row r="484" spans="1:49" x14ac:dyDescent="0.2">
      <c r="A484">
        <v>260</v>
      </c>
      <c r="E484">
        <f t="shared" si="165"/>
        <v>1</v>
      </c>
      <c r="J484" t="str">
        <f t="shared" si="172"/>
        <v>7</v>
      </c>
      <c r="K484" t="str">
        <f t="shared" si="173"/>
        <v>46</v>
      </c>
      <c r="L484" t="str">
        <f t="shared" si="174"/>
        <v/>
      </c>
      <c r="M484" s="6" t="str">
        <f t="shared" si="175"/>
        <v/>
      </c>
      <c r="N484" t="str">
        <f t="shared" si="171"/>
        <v>Home</v>
      </c>
      <c r="O484">
        <v>61</v>
      </c>
      <c r="P484" t="s">
        <v>425</v>
      </c>
      <c r="Y484" t="str">
        <f t="shared" si="155"/>
        <v/>
      </c>
      <c r="Z484" t="str">
        <f t="shared" si="156"/>
        <v/>
      </c>
      <c r="AC484" t="str">
        <f t="shared" si="157"/>
        <v>Pass</v>
      </c>
      <c r="AD484" t="str">
        <f t="shared" si="158"/>
        <v>Pass_Intercepted</v>
      </c>
      <c r="AE484" t="str">
        <f t="shared" si="159"/>
        <v>Pass-Forehand</v>
      </c>
      <c r="AF484" t="str">
        <f t="shared" si="160"/>
        <v>Defensive</v>
      </c>
      <c r="AG484">
        <f t="shared" si="166"/>
        <v>18981</v>
      </c>
      <c r="AH484" t="str">
        <f t="shared" si="167"/>
        <v>Nelson</v>
      </c>
      <c r="AI484" t="str">
        <f t="shared" si="168"/>
        <v>Velodrome</v>
      </c>
      <c r="AJ484" s="18">
        <f t="shared" si="161"/>
        <v>0</v>
      </c>
      <c r="AP484" s="18">
        <f t="shared" si="162"/>
        <v>0</v>
      </c>
      <c r="AQ484">
        <f t="shared" si="163"/>
        <v>0</v>
      </c>
      <c r="AR484" s="23">
        <f t="shared" si="164"/>
        <v>614</v>
      </c>
      <c r="AS484">
        <f t="shared" si="169"/>
        <v>609</v>
      </c>
      <c r="AT484" s="21">
        <f t="shared" si="170"/>
        <v>614</v>
      </c>
      <c r="AU484" s="21"/>
      <c r="AV484" s="21"/>
      <c r="AW484" s="21"/>
    </row>
    <row r="485" spans="1:49" x14ac:dyDescent="0.2">
      <c r="A485">
        <v>260</v>
      </c>
      <c r="E485">
        <f t="shared" si="165"/>
        <v>1</v>
      </c>
      <c r="J485" t="str">
        <f t="shared" si="172"/>
        <v>7</v>
      </c>
      <c r="K485" t="str">
        <f t="shared" si="173"/>
        <v>46</v>
      </c>
      <c r="L485" t="str">
        <f t="shared" si="174"/>
        <v/>
      </c>
      <c r="M485" s="6" t="str">
        <f t="shared" si="175"/>
        <v/>
      </c>
      <c r="N485" t="str">
        <f t="shared" si="171"/>
        <v>Home</v>
      </c>
      <c r="O485">
        <v>14</v>
      </c>
      <c r="P485" t="s">
        <v>425</v>
      </c>
      <c r="Y485" t="str">
        <f t="shared" si="155"/>
        <v/>
      </c>
      <c r="Z485" t="str">
        <f t="shared" si="156"/>
        <v/>
      </c>
      <c r="AC485" t="str">
        <f t="shared" si="157"/>
        <v>Pass</v>
      </c>
      <c r="AD485" t="str">
        <f t="shared" si="158"/>
        <v>Pass_Intercepted</v>
      </c>
      <c r="AE485" t="str">
        <f t="shared" si="159"/>
        <v>Pass-Forehand</v>
      </c>
      <c r="AF485" t="str">
        <f t="shared" si="160"/>
        <v>Defensive</v>
      </c>
      <c r="AG485">
        <f t="shared" si="166"/>
        <v>18981</v>
      </c>
      <c r="AH485" t="str">
        <f t="shared" si="167"/>
        <v>Nelson</v>
      </c>
      <c r="AI485" t="str">
        <f t="shared" si="168"/>
        <v>Velodrome</v>
      </c>
      <c r="AJ485" s="18">
        <f t="shared" si="161"/>
        <v>0</v>
      </c>
      <c r="AP485" s="18">
        <f t="shared" si="162"/>
        <v>0</v>
      </c>
      <c r="AQ485">
        <f t="shared" si="163"/>
        <v>0</v>
      </c>
      <c r="AR485" s="23">
        <f t="shared" si="164"/>
        <v>614</v>
      </c>
      <c r="AS485">
        <f t="shared" si="169"/>
        <v>609</v>
      </c>
      <c r="AT485" s="21">
        <f t="shared" si="170"/>
        <v>614</v>
      </c>
      <c r="AU485" s="21"/>
      <c r="AV485" s="21"/>
      <c r="AW485" s="21"/>
    </row>
    <row r="486" spans="1:49" x14ac:dyDescent="0.2">
      <c r="A486">
        <v>261</v>
      </c>
      <c r="E486">
        <f t="shared" si="165"/>
        <v>1</v>
      </c>
      <c r="F486" s="5" t="s">
        <v>539</v>
      </c>
      <c r="G486" s="5" t="s">
        <v>518</v>
      </c>
      <c r="J486" t="str">
        <f t="shared" si="172"/>
        <v>7</v>
      </c>
      <c r="K486" t="str">
        <f t="shared" si="173"/>
        <v>46</v>
      </c>
      <c r="L486" t="str">
        <f t="shared" si="174"/>
        <v/>
      </c>
      <c r="M486" s="6" t="str">
        <f t="shared" si="175"/>
        <v/>
      </c>
      <c r="N486" t="s">
        <v>178</v>
      </c>
      <c r="O486">
        <v>37</v>
      </c>
      <c r="P486" t="s">
        <v>424</v>
      </c>
      <c r="Q486" t="s">
        <v>10</v>
      </c>
      <c r="R486" t="s">
        <v>190</v>
      </c>
      <c r="S486" t="s">
        <v>75</v>
      </c>
      <c r="Y486" t="str">
        <f t="shared" si="155"/>
        <v/>
      </c>
      <c r="Z486" t="str">
        <f t="shared" si="156"/>
        <v/>
      </c>
      <c r="AC486" t="str">
        <f t="shared" si="157"/>
        <v>Turnover</v>
      </c>
      <c r="AD486" t="str">
        <f t="shared" si="158"/>
        <v>Turnover_Giveaway</v>
      </c>
      <c r="AE486" t="str">
        <f t="shared" si="159"/>
        <v>Giveaway-PassIntercepted</v>
      </c>
      <c r="AF486" t="str">
        <f t="shared" si="160"/>
        <v>Offensive</v>
      </c>
      <c r="AG486">
        <f t="shared" si="166"/>
        <v>18981</v>
      </c>
      <c r="AH486" t="str">
        <f t="shared" si="167"/>
        <v>Nelson</v>
      </c>
      <c r="AI486" t="str">
        <f t="shared" si="168"/>
        <v>Velodrome</v>
      </c>
      <c r="AJ486" s="18">
        <f t="shared" si="161"/>
        <v>0</v>
      </c>
      <c r="AP486" s="18">
        <f t="shared" si="162"/>
        <v>0</v>
      </c>
      <c r="AQ486">
        <f t="shared" si="163"/>
        <v>0</v>
      </c>
      <c r="AR486" s="23">
        <f t="shared" si="164"/>
        <v>614</v>
      </c>
      <c r="AS486">
        <f t="shared" si="169"/>
        <v>609</v>
      </c>
      <c r="AT486" s="21">
        <f t="shared" si="170"/>
        <v>614</v>
      </c>
      <c r="AU486" s="21"/>
      <c r="AV486" s="21"/>
      <c r="AW486" s="21"/>
    </row>
    <row r="487" spans="1:49" x14ac:dyDescent="0.2">
      <c r="A487">
        <v>261</v>
      </c>
      <c r="E487">
        <f t="shared" si="165"/>
        <v>1</v>
      </c>
      <c r="J487" t="str">
        <f t="shared" si="172"/>
        <v>7</v>
      </c>
      <c r="K487" t="str">
        <f t="shared" si="173"/>
        <v>46</v>
      </c>
      <c r="L487" t="str">
        <f t="shared" si="174"/>
        <v/>
      </c>
      <c r="M487" s="6" t="str">
        <f t="shared" si="175"/>
        <v/>
      </c>
      <c r="N487" t="str">
        <f t="shared" si="171"/>
        <v>Home</v>
      </c>
      <c r="O487">
        <v>61</v>
      </c>
      <c r="P487" t="s">
        <v>425</v>
      </c>
      <c r="Y487" t="str">
        <f t="shared" si="155"/>
        <v/>
      </c>
      <c r="Z487" t="str">
        <f t="shared" si="156"/>
        <v/>
      </c>
      <c r="AC487" t="str">
        <f t="shared" si="157"/>
        <v>Turnover</v>
      </c>
      <c r="AD487" t="str">
        <f t="shared" si="158"/>
        <v>Turnover_Giveaway</v>
      </c>
      <c r="AE487" t="str">
        <f t="shared" si="159"/>
        <v>Giveaway-PassIntercepted</v>
      </c>
      <c r="AF487" t="str">
        <f t="shared" si="160"/>
        <v>Defensive</v>
      </c>
      <c r="AG487">
        <f t="shared" si="166"/>
        <v>18981</v>
      </c>
      <c r="AH487" t="str">
        <f t="shared" si="167"/>
        <v>Nelson</v>
      </c>
      <c r="AI487" t="str">
        <f t="shared" si="168"/>
        <v>Velodrome</v>
      </c>
      <c r="AJ487" s="18">
        <f t="shared" si="161"/>
        <v>0</v>
      </c>
      <c r="AP487" s="18">
        <f t="shared" si="162"/>
        <v>0</v>
      </c>
      <c r="AQ487">
        <f t="shared" si="163"/>
        <v>0</v>
      </c>
      <c r="AR487" s="23">
        <f t="shared" si="164"/>
        <v>614</v>
      </c>
      <c r="AS487">
        <f t="shared" si="169"/>
        <v>609</v>
      </c>
      <c r="AT487" s="21">
        <f t="shared" si="170"/>
        <v>614</v>
      </c>
      <c r="AU487" s="21"/>
      <c r="AV487" s="21"/>
      <c r="AW487" s="21"/>
    </row>
    <row r="488" spans="1:49" x14ac:dyDescent="0.2">
      <c r="A488">
        <v>262</v>
      </c>
      <c r="E488">
        <f t="shared" si="165"/>
        <v>1</v>
      </c>
      <c r="F488" s="5" t="s">
        <v>539</v>
      </c>
      <c r="G488" s="5" t="s">
        <v>517</v>
      </c>
      <c r="H488" s="5" t="s">
        <v>539</v>
      </c>
      <c r="I488" s="7" t="s">
        <v>513</v>
      </c>
      <c r="J488" t="str">
        <f t="shared" si="172"/>
        <v>7</v>
      </c>
      <c r="K488" t="str">
        <f t="shared" si="173"/>
        <v>45</v>
      </c>
      <c r="L488" t="str">
        <f t="shared" si="174"/>
        <v>7</v>
      </c>
      <c r="M488" s="6" t="str">
        <f t="shared" si="175"/>
        <v>41</v>
      </c>
      <c r="N488" t="s">
        <v>179</v>
      </c>
      <c r="O488">
        <v>61</v>
      </c>
      <c r="P488" t="s">
        <v>424</v>
      </c>
      <c r="Q488" t="s">
        <v>15</v>
      </c>
      <c r="Y488" t="str">
        <f t="shared" si="155"/>
        <v/>
      </c>
      <c r="Z488" t="str">
        <f t="shared" si="156"/>
        <v/>
      </c>
      <c r="AC488" t="str">
        <f t="shared" si="157"/>
        <v>Possession</v>
      </c>
      <c r="AD488" t="str">
        <f t="shared" si="158"/>
        <v/>
      </c>
      <c r="AE488" t="str">
        <f t="shared" si="159"/>
        <v/>
      </c>
      <c r="AF488" t="str">
        <f t="shared" si="160"/>
        <v>Offensive</v>
      </c>
      <c r="AG488">
        <f t="shared" si="166"/>
        <v>18981</v>
      </c>
      <c r="AH488" t="str">
        <f t="shared" si="167"/>
        <v>Nelson</v>
      </c>
      <c r="AI488" t="str">
        <f t="shared" si="168"/>
        <v>Velodrome</v>
      </c>
      <c r="AJ488" s="18">
        <f t="shared" si="161"/>
        <v>4</v>
      </c>
      <c r="AP488" s="18">
        <f t="shared" si="162"/>
        <v>0</v>
      </c>
      <c r="AQ488">
        <f t="shared" si="163"/>
        <v>0</v>
      </c>
      <c r="AR488" s="23">
        <f t="shared" si="164"/>
        <v>615</v>
      </c>
      <c r="AS488">
        <f t="shared" si="169"/>
        <v>610</v>
      </c>
      <c r="AT488" s="21">
        <f t="shared" si="170"/>
        <v>619</v>
      </c>
      <c r="AU488" s="21"/>
      <c r="AV488" s="21"/>
      <c r="AW488" s="21"/>
    </row>
    <row r="489" spans="1:49" x14ac:dyDescent="0.2">
      <c r="A489">
        <v>263</v>
      </c>
      <c r="E489">
        <f t="shared" si="165"/>
        <v>1</v>
      </c>
      <c r="F489" s="5" t="s">
        <v>539</v>
      </c>
      <c r="G489" s="5" t="s">
        <v>513</v>
      </c>
      <c r="H489" s="5" t="s">
        <v>539</v>
      </c>
      <c r="I489" s="7" t="s">
        <v>512</v>
      </c>
      <c r="J489" t="str">
        <f t="shared" si="172"/>
        <v>7</v>
      </c>
      <c r="K489" t="str">
        <f t="shared" si="173"/>
        <v>41</v>
      </c>
      <c r="L489" t="str">
        <f t="shared" si="174"/>
        <v>7</v>
      </c>
      <c r="M489" s="6" t="str">
        <f t="shared" si="175"/>
        <v>40</v>
      </c>
      <c r="N489" t="s">
        <v>179</v>
      </c>
      <c r="O489">
        <v>61</v>
      </c>
      <c r="P489" t="s">
        <v>424</v>
      </c>
      <c r="Q489" t="s">
        <v>277</v>
      </c>
      <c r="R489" t="s">
        <v>191</v>
      </c>
      <c r="S489" t="s">
        <v>87</v>
      </c>
      <c r="Y489" t="str">
        <f t="shared" si="155"/>
        <v/>
      </c>
      <c r="Z489" t="str">
        <f t="shared" si="156"/>
        <v/>
      </c>
      <c r="AC489" t="str">
        <f t="shared" si="157"/>
        <v>Zone_Entry_Exit</v>
      </c>
      <c r="AD489" t="str">
        <f t="shared" si="158"/>
        <v>Zone_Entry</v>
      </c>
      <c r="AE489" t="str">
        <f t="shared" si="159"/>
        <v>ZoneEntry-Rush</v>
      </c>
      <c r="AF489" t="str">
        <f t="shared" si="160"/>
        <v>Offensive</v>
      </c>
      <c r="AG489">
        <f t="shared" si="166"/>
        <v>18981</v>
      </c>
      <c r="AH489" t="str">
        <f t="shared" si="167"/>
        <v>Nelson</v>
      </c>
      <c r="AI489" t="str">
        <f t="shared" si="168"/>
        <v>Velodrome</v>
      </c>
      <c r="AJ489" s="18">
        <f t="shared" si="161"/>
        <v>1</v>
      </c>
      <c r="AP489" s="18">
        <f t="shared" si="162"/>
        <v>0</v>
      </c>
      <c r="AQ489">
        <f t="shared" si="163"/>
        <v>0</v>
      </c>
      <c r="AR489" s="23">
        <f t="shared" si="164"/>
        <v>619</v>
      </c>
      <c r="AS489">
        <f t="shared" si="169"/>
        <v>614</v>
      </c>
      <c r="AT489" s="21">
        <f t="shared" si="170"/>
        <v>620</v>
      </c>
      <c r="AU489" s="21"/>
      <c r="AV489" s="21"/>
      <c r="AW489" s="21"/>
    </row>
    <row r="490" spans="1:49" x14ac:dyDescent="0.2">
      <c r="A490">
        <v>263</v>
      </c>
      <c r="E490">
        <f t="shared" si="165"/>
        <v>1</v>
      </c>
      <c r="J490" t="str">
        <f t="shared" si="172"/>
        <v>7</v>
      </c>
      <c r="K490" t="str">
        <f t="shared" si="173"/>
        <v>41</v>
      </c>
      <c r="L490" t="str">
        <f t="shared" si="174"/>
        <v>7</v>
      </c>
      <c r="M490" s="6" t="str">
        <f t="shared" si="175"/>
        <v>40</v>
      </c>
      <c r="N490" t="str">
        <f t="shared" si="171"/>
        <v>Away</v>
      </c>
      <c r="O490">
        <v>49</v>
      </c>
      <c r="P490" t="s">
        <v>424</v>
      </c>
      <c r="Y490" t="str">
        <f t="shared" si="155"/>
        <v/>
      </c>
      <c r="Z490" t="str">
        <f t="shared" si="156"/>
        <v/>
      </c>
      <c r="AC490" t="str">
        <f t="shared" si="157"/>
        <v>Zone_Entry_Exit</v>
      </c>
      <c r="AD490" t="str">
        <f t="shared" si="158"/>
        <v>Zone_Entry</v>
      </c>
      <c r="AE490" t="str">
        <f t="shared" si="159"/>
        <v>ZoneEntry-Rush</v>
      </c>
      <c r="AF490" t="str">
        <f t="shared" si="160"/>
        <v>Offensive</v>
      </c>
      <c r="AG490">
        <f t="shared" si="166"/>
        <v>18981</v>
      </c>
      <c r="AH490" t="str">
        <f t="shared" si="167"/>
        <v>Nelson</v>
      </c>
      <c r="AI490" t="str">
        <f t="shared" si="168"/>
        <v>Velodrome</v>
      </c>
      <c r="AJ490" s="18">
        <f t="shared" si="161"/>
        <v>1</v>
      </c>
      <c r="AP490" s="18">
        <f t="shared" si="162"/>
        <v>0</v>
      </c>
      <c r="AQ490">
        <f t="shared" si="163"/>
        <v>0</v>
      </c>
      <c r="AR490" s="23">
        <f t="shared" si="164"/>
        <v>619</v>
      </c>
      <c r="AS490">
        <f t="shared" si="169"/>
        <v>614</v>
      </c>
      <c r="AT490" s="21">
        <f t="shared" si="170"/>
        <v>620</v>
      </c>
      <c r="AU490" s="21"/>
      <c r="AV490" s="21"/>
      <c r="AW490" s="21"/>
    </row>
    <row r="491" spans="1:49" x14ac:dyDescent="0.2">
      <c r="A491">
        <v>263</v>
      </c>
      <c r="E491">
        <f t="shared" si="165"/>
        <v>1</v>
      </c>
      <c r="J491" t="str">
        <f t="shared" si="172"/>
        <v>7</v>
      </c>
      <c r="K491" t="str">
        <f t="shared" si="173"/>
        <v>41</v>
      </c>
      <c r="L491" t="str">
        <f t="shared" si="174"/>
        <v>7</v>
      </c>
      <c r="M491" s="6" t="str">
        <f t="shared" si="175"/>
        <v>40</v>
      </c>
      <c r="N491" t="str">
        <f t="shared" si="171"/>
        <v>Away</v>
      </c>
      <c r="O491">
        <v>14</v>
      </c>
      <c r="P491" t="s">
        <v>424</v>
      </c>
      <c r="Y491" t="str">
        <f t="shared" si="155"/>
        <v/>
      </c>
      <c r="Z491" t="str">
        <f t="shared" si="156"/>
        <v/>
      </c>
      <c r="AC491" t="str">
        <f t="shared" si="157"/>
        <v>Zone_Entry_Exit</v>
      </c>
      <c r="AD491" t="str">
        <f t="shared" si="158"/>
        <v>Zone_Entry</v>
      </c>
      <c r="AE491" t="str">
        <f t="shared" si="159"/>
        <v>ZoneEntry-Rush</v>
      </c>
      <c r="AF491" t="str">
        <f t="shared" si="160"/>
        <v>Offensive</v>
      </c>
      <c r="AG491">
        <f t="shared" si="166"/>
        <v>18981</v>
      </c>
      <c r="AH491" t="str">
        <f t="shared" si="167"/>
        <v>Nelson</v>
      </c>
      <c r="AI491" t="str">
        <f t="shared" si="168"/>
        <v>Velodrome</v>
      </c>
      <c r="AJ491" s="18">
        <f t="shared" si="161"/>
        <v>1</v>
      </c>
      <c r="AP491" s="18">
        <f t="shared" si="162"/>
        <v>0</v>
      </c>
      <c r="AQ491">
        <f t="shared" si="163"/>
        <v>0</v>
      </c>
      <c r="AR491" s="23">
        <f t="shared" si="164"/>
        <v>619</v>
      </c>
      <c r="AS491">
        <f t="shared" si="169"/>
        <v>614</v>
      </c>
      <c r="AT491" s="21">
        <f t="shared" si="170"/>
        <v>620</v>
      </c>
      <c r="AU491" s="21"/>
      <c r="AV491" s="21"/>
      <c r="AW491" s="21"/>
    </row>
    <row r="492" spans="1:49" x14ac:dyDescent="0.2">
      <c r="A492">
        <v>263</v>
      </c>
      <c r="E492">
        <f t="shared" si="165"/>
        <v>1</v>
      </c>
      <c r="J492" t="str">
        <f t="shared" si="172"/>
        <v>7</v>
      </c>
      <c r="K492" t="str">
        <f t="shared" si="173"/>
        <v>41</v>
      </c>
      <c r="L492" t="str">
        <f t="shared" si="174"/>
        <v>7</v>
      </c>
      <c r="M492" s="6" t="str">
        <f t="shared" si="175"/>
        <v>40</v>
      </c>
      <c r="N492" t="str">
        <f t="shared" si="171"/>
        <v>Away</v>
      </c>
      <c r="O492">
        <v>23</v>
      </c>
      <c r="P492" t="s">
        <v>425</v>
      </c>
      <c r="Y492" t="str">
        <f t="shared" si="155"/>
        <v/>
      </c>
      <c r="Z492" t="str">
        <f t="shared" si="156"/>
        <v/>
      </c>
      <c r="AC492" t="str">
        <f t="shared" si="157"/>
        <v>Zone_Entry_Exit</v>
      </c>
      <c r="AD492" t="str">
        <f t="shared" si="158"/>
        <v>Zone_Entry</v>
      </c>
      <c r="AE492" t="str">
        <f t="shared" si="159"/>
        <v>ZoneEntry-Rush</v>
      </c>
      <c r="AF492" t="str">
        <f t="shared" si="160"/>
        <v>Defensive</v>
      </c>
      <c r="AG492">
        <f t="shared" si="166"/>
        <v>18981</v>
      </c>
      <c r="AH492" t="str">
        <f t="shared" si="167"/>
        <v>Nelson</v>
      </c>
      <c r="AI492" t="str">
        <f t="shared" si="168"/>
        <v>Velodrome</v>
      </c>
      <c r="AJ492" s="18">
        <f t="shared" si="161"/>
        <v>1</v>
      </c>
      <c r="AP492" s="18">
        <f t="shared" si="162"/>
        <v>0</v>
      </c>
      <c r="AQ492">
        <f t="shared" si="163"/>
        <v>0</v>
      </c>
      <c r="AR492" s="23">
        <f t="shared" si="164"/>
        <v>619</v>
      </c>
      <c r="AS492">
        <f t="shared" si="169"/>
        <v>614</v>
      </c>
      <c r="AT492" s="21">
        <f t="shared" si="170"/>
        <v>620</v>
      </c>
      <c r="AU492" s="21"/>
      <c r="AV492" s="21"/>
      <c r="AW492" s="21"/>
    </row>
    <row r="493" spans="1:49" x14ac:dyDescent="0.2">
      <c r="A493">
        <v>263</v>
      </c>
      <c r="E493">
        <f t="shared" si="165"/>
        <v>1</v>
      </c>
      <c r="J493" t="str">
        <f t="shared" si="172"/>
        <v>7</v>
      </c>
      <c r="K493" t="str">
        <f t="shared" si="173"/>
        <v>41</v>
      </c>
      <c r="L493" t="str">
        <f t="shared" si="174"/>
        <v>7</v>
      </c>
      <c r="M493" s="6" t="str">
        <f t="shared" si="175"/>
        <v>40</v>
      </c>
      <c r="N493" t="str">
        <f t="shared" si="171"/>
        <v>Away</v>
      </c>
      <c r="O493">
        <v>37</v>
      </c>
      <c r="P493" t="s">
        <v>425</v>
      </c>
      <c r="Y493" t="str">
        <f t="shared" si="155"/>
        <v/>
      </c>
      <c r="Z493" t="str">
        <f t="shared" si="156"/>
        <v/>
      </c>
      <c r="AC493" t="str">
        <f t="shared" si="157"/>
        <v>Zone_Entry_Exit</v>
      </c>
      <c r="AD493" t="str">
        <f t="shared" si="158"/>
        <v>Zone_Entry</v>
      </c>
      <c r="AE493" t="str">
        <f t="shared" si="159"/>
        <v>ZoneEntry-Rush</v>
      </c>
      <c r="AF493" t="str">
        <f t="shared" si="160"/>
        <v>Defensive</v>
      </c>
      <c r="AG493">
        <f t="shared" si="166"/>
        <v>18981</v>
      </c>
      <c r="AH493" t="str">
        <f t="shared" si="167"/>
        <v>Nelson</v>
      </c>
      <c r="AI493" t="str">
        <f t="shared" si="168"/>
        <v>Velodrome</v>
      </c>
      <c r="AJ493" s="18">
        <f t="shared" si="161"/>
        <v>1</v>
      </c>
      <c r="AP493" s="18">
        <f t="shared" si="162"/>
        <v>0</v>
      </c>
      <c r="AQ493">
        <f t="shared" si="163"/>
        <v>0</v>
      </c>
      <c r="AR493" s="23">
        <f t="shared" si="164"/>
        <v>619</v>
      </c>
      <c r="AS493">
        <f t="shared" si="169"/>
        <v>614</v>
      </c>
      <c r="AT493" s="21">
        <f t="shared" si="170"/>
        <v>620</v>
      </c>
      <c r="AU493" s="21"/>
      <c r="AV493" s="21"/>
      <c r="AW493" s="21"/>
    </row>
    <row r="494" spans="1:49" x14ac:dyDescent="0.2">
      <c r="A494">
        <v>263</v>
      </c>
      <c r="E494">
        <f t="shared" si="165"/>
        <v>1</v>
      </c>
      <c r="J494" t="str">
        <f t="shared" si="172"/>
        <v>7</v>
      </c>
      <c r="K494" t="str">
        <f t="shared" si="173"/>
        <v>41</v>
      </c>
      <c r="L494" t="str">
        <f t="shared" si="174"/>
        <v>7</v>
      </c>
      <c r="M494" s="6" t="str">
        <f t="shared" si="175"/>
        <v>40</v>
      </c>
      <c r="N494" t="str">
        <f t="shared" si="171"/>
        <v>Away</v>
      </c>
      <c r="O494">
        <v>44</v>
      </c>
      <c r="P494" t="s">
        <v>425</v>
      </c>
      <c r="Y494" t="str">
        <f t="shared" si="155"/>
        <v/>
      </c>
      <c r="Z494" t="str">
        <f t="shared" si="156"/>
        <v/>
      </c>
      <c r="AC494" t="str">
        <f t="shared" si="157"/>
        <v>Zone_Entry_Exit</v>
      </c>
      <c r="AD494" t="str">
        <f t="shared" si="158"/>
        <v>Zone_Entry</v>
      </c>
      <c r="AE494" t="str">
        <f t="shared" si="159"/>
        <v>ZoneEntry-Rush</v>
      </c>
      <c r="AF494" t="str">
        <f t="shared" si="160"/>
        <v>Defensive</v>
      </c>
      <c r="AG494">
        <f t="shared" si="166"/>
        <v>18981</v>
      </c>
      <c r="AH494" t="str">
        <f t="shared" si="167"/>
        <v>Nelson</v>
      </c>
      <c r="AI494" t="str">
        <f t="shared" si="168"/>
        <v>Velodrome</v>
      </c>
      <c r="AJ494" s="18">
        <f t="shared" si="161"/>
        <v>1</v>
      </c>
      <c r="AP494" s="18">
        <f t="shared" si="162"/>
        <v>0</v>
      </c>
      <c r="AQ494">
        <f t="shared" si="163"/>
        <v>0</v>
      </c>
      <c r="AR494" s="23">
        <f t="shared" si="164"/>
        <v>619</v>
      </c>
      <c r="AS494">
        <f t="shared" si="169"/>
        <v>614</v>
      </c>
      <c r="AT494" s="21">
        <f t="shared" si="170"/>
        <v>620</v>
      </c>
      <c r="AU494" s="21"/>
      <c r="AV494" s="21"/>
      <c r="AW494" s="21"/>
    </row>
    <row r="495" spans="1:49" x14ac:dyDescent="0.2">
      <c r="A495">
        <v>264</v>
      </c>
      <c r="E495">
        <f t="shared" si="165"/>
        <v>1</v>
      </c>
      <c r="F495" s="5" t="s">
        <v>539</v>
      </c>
      <c r="G495" s="5" t="s">
        <v>512</v>
      </c>
      <c r="J495" t="str">
        <f t="shared" si="172"/>
        <v>7</v>
      </c>
      <c r="K495" t="str">
        <f t="shared" si="173"/>
        <v>40</v>
      </c>
      <c r="L495" t="str">
        <f t="shared" si="174"/>
        <v/>
      </c>
      <c r="M495" s="6" t="str">
        <f t="shared" si="175"/>
        <v/>
      </c>
      <c r="N495" t="s">
        <v>178</v>
      </c>
      <c r="O495">
        <v>44</v>
      </c>
      <c r="P495" t="s">
        <v>424</v>
      </c>
      <c r="Q495" t="s">
        <v>10</v>
      </c>
      <c r="R495" t="s">
        <v>200</v>
      </c>
      <c r="S495" t="s">
        <v>82</v>
      </c>
      <c r="Y495" t="str">
        <f t="shared" si="155"/>
        <v/>
      </c>
      <c r="Z495" t="str">
        <f t="shared" si="156"/>
        <v/>
      </c>
      <c r="AC495" t="str">
        <f t="shared" si="157"/>
        <v>Turnover</v>
      </c>
      <c r="AD495" t="str">
        <f t="shared" si="158"/>
        <v>Turnover_Takeaway</v>
      </c>
      <c r="AE495" t="str">
        <f t="shared" si="159"/>
        <v>Takeaway-PokeCheck</v>
      </c>
      <c r="AF495" t="str">
        <f t="shared" si="160"/>
        <v>Defensive</v>
      </c>
      <c r="AG495">
        <f t="shared" si="166"/>
        <v>18981</v>
      </c>
      <c r="AH495" t="str">
        <f t="shared" si="167"/>
        <v>Nelson</v>
      </c>
      <c r="AI495" t="str">
        <f t="shared" si="168"/>
        <v>Velodrome</v>
      </c>
      <c r="AJ495" s="18">
        <f t="shared" si="161"/>
        <v>0</v>
      </c>
      <c r="AP495" s="18">
        <f t="shared" si="162"/>
        <v>0</v>
      </c>
      <c r="AQ495">
        <f t="shared" si="163"/>
        <v>0</v>
      </c>
      <c r="AR495" s="23">
        <f t="shared" si="164"/>
        <v>620</v>
      </c>
      <c r="AS495">
        <f t="shared" si="169"/>
        <v>615</v>
      </c>
      <c r="AT495" s="21">
        <f t="shared" si="170"/>
        <v>620</v>
      </c>
      <c r="AU495" s="21"/>
      <c r="AV495" s="21"/>
      <c r="AW495" s="21"/>
    </row>
    <row r="496" spans="1:49" x14ac:dyDescent="0.2">
      <c r="A496">
        <v>264</v>
      </c>
      <c r="E496">
        <f t="shared" si="165"/>
        <v>1</v>
      </c>
      <c r="J496" t="str">
        <f t="shared" si="172"/>
        <v>7</v>
      </c>
      <c r="K496" t="str">
        <f t="shared" si="173"/>
        <v>40</v>
      </c>
      <c r="L496" t="str">
        <f t="shared" si="174"/>
        <v/>
      </c>
      <c r="M496" s="6" t="str">
        <f t="shared" si="175"/>
        <v/>
      </c>
      <c r="N496" t="str">
        <f t="shared" si="171"/>
        <v>Home</v>
      </c>
      <c r="O496">
        <v>61</v>
      </c>
      <c r="P496" t="s">
        <v>425</v>
      </c>
      <c r="Y496" t="str">
        <f t="shared" si="155"/>
        <v/>
      </c>
      <c r="Z496" t="str">
        <f t="shared" si="156"/>
        <v/>
      </c>
      <c r="AC496" t="str">
        <f t="shared" si="157"/>
        <v>Turnover</v>
      </c>
      <c r="AD496" t="str">
        <f t="shared" si="158"/>
        <v>Turnover_Takeaway</v>
      </c>
      <c r="AE496" t="str">
        <f t="shared" si="159"/>
        <v>Takeaway-PokeCheck</v>
      </c>
      <c r="AF496" t="str">
        <f t="shared" si="160"/>
        <v>Offensive</v>
      </c>
      <c r="AG496">
        <f t="shared" si="166"/>
        <v>18981</v>
      </c>
      <c r="AH496" t="str">
        <f t="shared" si="167"/>
        <v>Nelson</v>
      </c>
      <c r="AI496" t="str">
        <f t="shared" si="168"/>
        <v>Velodrome</v>
      </c>
      <c r="AJ496" s="18">
        <f t="shared" si="161"/>
        <v>0</v>
      </c>
      <c r="AP496" s="18">
        <f t="shared" si="162"/>
        <v>0</v>
      </c>
      <c r="AQ496">
        <f t="shared" si="163"/>
        <v>0</v>
      </c>
      <c r="AR496" s="23">
        <f t="shared" si="164"/>
        <v>620</v>
      </c>
      <c r="AS496">
        <f t="shared" si="169"/>
        <v>615</v>
      </c>
      <c r="AT496" s="21">
        <f t="shared" si="170"/>
        <v>620</v>
      </c>
      <c r="AU496" s="21"/>
      <c r="AV496" s="21"/>
      <c r="AW496" s="21"/>
    </row>
    <row r="497" spans="1:49" x14ac:dyDescent="0.2">
      <c r="A497">
        <v>265</v>
      </c>
      <c r="E497">
        <f t="shared" si="165"/>
        <v>1</v>
      </c>
      <c r="F497" s="5" t="s">
        <v>539</v>
      </c>
      <c r="G497" s="5" t="s">
        <v>512</v>
      </c>
      <c r="J497" t="str">
        <f t="shared" si="172"/>
        <v>7</v>
      </c>
      <c r="K497" t="str">
        <f t="shared" si="173"/>
        <v>40</v>
      </c>
      <c r="L497" t="str">
        <f t="shared" si="174"/>
        <v/>
      </c>
      <c r="M497" s="6" t="str">
        <f t="shared" si="175"/>
        <v/>
      </c>
      <c r="N497" t="s">
        <v>178</v>
      </c>
      <c r="O497">
        <v>44</v>
      </c>
      <c r="P497" t="s">
        <v>424</v>
      </c>
      <c r="Q497" t="s">
        <v>277</v>
      </c>
      <c r="R497" t="s">
        <v>201</v>
      </c>
      <c r="S497" t="s">
        <v>536</v>
      </c>
      <c r="Y497" t="str">
        <f t="shared" si="155"/>
        <v/>
      </c>
      <c r="Z497" t="str">
        <f t="shared" si="156"/>
        <v/>
      </c>
      <c r="AC497" t="str">
        <f t="shared" si="157"/>
        <v>Zone_Entry_Exit</v>
      </c>
      <c r="AD497" t="str">
        <f t="shared" si="158"/>
        <v>Zone_Exit</v>
      </c>
      <c r="AE497" t="str">
        <f t="shared" si="159"/>
        <v>ZoneExit-CausedTurnover</v>
      </c>
      <c r="AF497" t="str">
        <f t="shared" si="160"/>
        <v>Offensive</v>
      </c>
      <c r="AG497">
        <f t="shared" si="166"/>
        <v>18981</v>
      </c>
      <c r="AH497" t="str">
        <f t="shared" si="167"/>
        <v>Nelson</v>
      </c>
      <c r="AI497" t="str">
        <f t="shared" si="168"/>
        <v>Velodrome</v>
      </c>
      <c r="AJ497" s="18">
        <f t="shared" si="161"/>
        <v>0</v>
      </c>
      <c r="AP497" s="18">
        <f t="shared" si="162"/>
        <v>0</v>
      </c>
      <c r="AQ497">
        <f t="shared" si="163"/>
        <v>0</v>
      </c>
      <c r="AR497" s="23">
        <f t="shared" si="164"/>
        <v>620</v>
      </c>
      <c r="AS497">
        <f t="shared" si="169"/>
        <v>615</v>
      </c>
      <c r="AT497" s="21">
        <f t="shared" si="170"/>
        <v>620</v>
      </c>
      <c r="AU497" s="21"/>
      <c r="AV497" s="21"/>
      <c r="AW497" s="21"/>
    </row>
    <row r="498" spans="1:49" x14ac:dyDescent="0.2">
      <c r="A498">
        <v>265</v>
      </c>
      <c r="E498">
        <f t="shared" si="165"/>
        <v>1</v>
      </c>
      <c r="J498" t="str">
        <f t="shared" si="172"/>
        <v>7</v>
      </c>
      <c r="K498" t="str">
        <f t="shared" si="173"/>
        <v>40</v>
      </c>
      <c r="L498" t="str">
        <f t="shared" si="174"/>
        <v/>
      </c>
      <c r="M498" s="6" t="str">
        <f t="shared" si="175"/>
        <v/>
      </c>
      <c r="N498" t="str">
        <f t="shared" si="171"/>
        <v>Home</v>
      </c>
      <c r="O498">
        <v>61</v>
      </c>
      <c r="P498" t="s">
        <v>425</v>
      </c>
      <c r="Y498" t="str">
        <f t="shared" si="155"/>
        <v/>
      </c>
      <c r="Z498" t="str">
        <f t="shared" si="156"/>
        <v/>
      </c>
      <c r="AC498" t="str">
        <f t="shared" si="157"/>
        <v>Zone_Entry_Exit</v>
      </c>
      <c r="AD498" t="str">
        <f t="shared" si="158"/>
        <v>Zone_Exit</v>
      </c>
      <c r="AE498" t="str">
        <f t="shared" si="159"/>
        <v>ZoneExit-CausedTurnover</v>
      </c>
      <c r="AF498" t="str">
        <f t="shared" si="160"/>
        <v>Defensive</v>
      </c>
      <c r="AG498">
        <f t="shared" si="166"/>
        <v>18981</v>
      </c>
      <c r="AH498" t="str">
        <f t="shared" si="167"/>
        <v>Nelson</v>
      </c>
      <c r="AI498" t="str">
        <f t="shared" si="168"/>
        <v>Velodrome</v>
      </c>
      <c r="AJ498" s="18">
        <f t="shared" si="161"/>
        <v>0</v>
      </c>
      <c r="AP498" s="18">
        <f t="shared" si="162"/>
        <v>0</v>
      </c>
      <c r="AQ498">
        <f t="shared" si="163"/>
        <v>0</v>
      </c>
      <c r="AR498" s="23">
        <f t="shared" si="164"/>
        <v>620</v>
      </c>
      <c r="AS498">
        <f t="shared" si="169"/>
        <v>615</v>
      </c>
      <c r="AT498" s="21">
        <f t="shared" si="170"/>
        <v>620</v>
      </c>
      <c r="AU498" s="21"/>
      <c r="AV498" s="21"/>
      <c r="AW498" s="21"/>
    </row>
    <row r="499" spans="1:49" x14ac:dyDescent="0.2">
      <c r="A499">
        <v>266</v>
      </c>
      <c r="E499">
        <f t="shared" si="165"/>
        <v>1</v>
      </c>
      <c r="F499" s="5" t="s">
        <v>539</v>
      </c>
      <c r="G499" s="5" t="s">
        <v>511</v>
      </c>
      <c r="J499" t="str">
        <f t="shared" si="172"/>
        <v>7</v>
      </c>
      <c r="K499" t="str">
        <f t="shared" si="173"/>
        <v>39</v>
      </c>
      <c r="L499" t="str">
        <f t="shared" si="174"/>
        <v/>
      </c>
      <c r="M499" s="6" t="str">
        <f t="shared" si="175"/>
        <v/>
      </c>
      <c r="N499" t="s">
        <v>179</v>
      </c>
      <c r="O499">
        <v>9</v>
      </c>
      <c r="P499" t="s">
        <v>424</v>
      </c>
      <c r="Q499" t="s">
        <v>10</v>
      </c>
      <c r="R499" t="s">
        <v>190</v>
      </c>
      <c r="S499" t="s">
        <v>422</v>
      </c>
      <c r="Y499" t="str">
        <f t="shared" si="155"/>
        <v/>
      </c>
      <c r="Z499" t="str">
        <f t="shared" si="156"/>
        <v/>
      </c>
      <c r="AC499" t="str">
        <f t="shared" si="157"/>
        <v>Turnover</v>
      </c>
      <c r="AD499" t="str">
        <f t="shared" si="158"/>
        <v>Turnover_Giveaway</v>
      </c>
      <c r="AE499" t="str">
        <f t="shared" si="159"/>
        <v>Giveaway-AttemptedZoneClear/Dump</v>
      </c>
      <c r="AF499" t="str">
        <f t="shared" si="160"/>
        <v>Offensive</v>
      </c>
      <c r="AG499">
        <f t="shared" si="166"/>
        <v>18981</v>
      </c>
      <c r="AH499" t="str">
        <f t="shared" si="167"/>
        <v>Nelson</v>
      </c>
      <c r="AI499" t="str">
        <f t="shared" si="168"/>
        <v>Velodrome</v>
      </c>
      <c r="AJ499" s="18">
        <f t="shared" si="161"/>
        <v>0</v>
      </c>
      <c r="AP499" s="18">
        <f t="shared" si="162"/>
        <v>0</v>
      </c>
      <c r="AQ499">
        <f t="shared" si="163"/>
        <v>0</v>
      </c>
      <c r="AR499" s="23">
        <f t="shared" si="164"/>
        <v>621</v>
      </c>
      <c r="AS499">
        <f t="shared" si="169"/>
        <v>616</v>
      </c>
      <c r="AT499" s="21">
        <f t="shared" si="170"/>
        <v>621</v>
      </c>
      <c r="AU499" s="21"/>
      <c r="AV499" s="21"/>
      <c r="AW499" s="21"/>
    </row>
    <row r="500" spans="1:49" x14ac:dyDescent="0.2">
      <c r="A500">
        <v>266</v>
      </c>
      <c r="E500">
        <f t="shared" si="165"/>
        <v>1</v>
      </c>
      <c r="J500" t="str">
        <f t="shared" si="172"/>
        <v>7</v>
      </c>
      <c r="K500" t="str">
        <f t="shared" si="173"/>
        <v>39</v>
      </c>
      <c r="L500" t="str">
        <f t="shared" si="174"/>
        <v/>
      </c>
      <c r="M500" s="6" t="str">
        <f t="shared" si="175"/>
        <v/>
      </c>
      <c r="N500" t="str">
        <f t="shared" si="171"/>
        <v>Away</v>
      </c>
      <c r="O500">
        <v>10</v>
      </c>
      <c r="P500" t="s">
        <v>425</v>
      </c>
      <c r="Y500" t="str">
        <f t="shared" si="155"/>
        <v/>
      </c>
      <c r="Z500" t="str">
        <f t="shared" si="156"/>
        <v/>
      </c>
      <c r="AC500" t="str">
        <f t="shared" si="157"/>
        <v>Turnover</v>
      </c>
      <c r="AD500" t="str">
        <f t="shared" si="158"/>
        <v>Turnover_Giveaway</v>
      </c>
      <c r="AE500" t="str">
        <f t="shared" si="159"/>
        <v>Giveaway-AttemptedZoneClear/Dump</v>
      </c>
      <c r="AF500" t="str">
        <f t="shared" si="160"/>
        <v>Defensive</v>
      </c>
      <c r="AG500">
        <f t="shared" si="166"/>
        <v>18981</v>
      </c>
      <c r="AH500" t="str">
        <f t="shared" si="167"/>
        <v>Nelson</v>
      </c>
      <c r="AI500" t="str">
        <f t="shared" si="168"/>
        <v>Velodrome</v>
      </c>
      <c r="AJ500" s="18">
        <f t="shared" si="161"/>
        <v>0</v>
      </c>
      <c r="AP500" s="18">
        <f t="shared" si="162"/>
        <v>0</v>
      </c>
      <c r="AQ500">
        <f t="shared" si="163"/>
        <v>0</v>
      </c>
      <c r="AR500" s="23">
        <f t="shared" si="164"/>
        <v>621</v>
      </c>
      <c r="AS500">
        <f t="shared" si="169"/>
        <v>616</v>
      </c>
      <c r="AT500" s="21">
        <f t="shared" si="170"/>
        <v>621</v>
      </c>
      <c r="AU500" s="21"/>
      <c r="AV500" s="21"/>
      <c r="AW500" s="21"/>
    </row>
    <row r="501" spans="1:49" x14ac:dyDescent="0.2">
      <c r="A501">
        <v>267</v>
      </c>
      <c r="E501">
        <f t="shared" si="165"/>
        <v>1</v>
      </c>
      <c r="F501" s="5" t="s">
        <v>539</v>
      </c>
      <c r="G501" s="5" t="s">
        <v>509</v>
      </c>
      <c r="H501" s="5" t="s">
        <v>539</v>
      </c>
      <c r="I501" s="7" t="s">
        <v>506</v>
      </c>
      <c r="J501" t="str">
        <f t="shared" si="172"/>
        <v>7</v>
      </c>
      <c r="K501" t="str">
        <f t="shared" si="173"/>
        <v>37</v>
      </c>
      <c r="L501" t="str">
        <f t="shared" si="174"/>
        <v>7</v>
      </c>
      <c r="M501" s="6" t="str">
        <f t="shared" si="175"/>
        <v>34</v>
      </c>
      <c r="N501" t="s">
        <v>178</v>
      </c>
      <c r="O501">
        <v>44</v>
      </c>
      <c r="P501" t="s">
        <v>424</v>
      </c>
      <c r="Q501" t="s">
        <v>15</v>
      </c>
      <c r="Y501" t="str">
        <f t="shared" si="155"/>
        <v/>
      </c>
      <c r="Z501" t="str">
        <f t="shared" si="156"/>
        <v/>
      </c>
      <c r="AC501" t="str">
        <f t="shared" si="157"/>
        <v>Possession</v>
      </c>
      <c r="AD501" t="str">
        <f t="shared" si="158"/>
        <v/>
      </c>
      <c r="AE501" t="str">
        <f t="shared" si="159"/>
        <v/>
      </c>
      <c r="AF501" t="str">
        <f t="shared" si="160"/>
        <v>Offensive</v>
      </c>
      <c r="AG501">
        <f t="shared" si="166"/>
        <v>18981</v>
      </c>
      <c r="AH501" t="str">
        <f t="shared" si="167"/>
        <v>Nelson</v>
      </c>
      <c r="AI501" t="str">
        <f t="shared" si="168"/>
        <v>Velodrome</v>
      </c>
      <c r="AJ501" s="18">
        <f t="shared" si="161"/>
        <v>3</v>
      </c>
      <c r="AP501" s="18">
        <f t="shared" si="162"/>
        <v>0</v>
      </c>
      <c r="AQ501">
        <f t="shared" si="163"/>
        <v>0</v>
      </c>
      <c r="AR501" s="23">
        <f t="shared" si="164"/>
        <v>623</v>
      </c>
      <c r="AS501">
        <f t="shared" si="169"/>
        <v>618</v>
      </c>
      <c r="AT501" s="21">
        <f t="shared" si="170"/>
        <v>626</v>
      </c>
      <c r="AU501" s="21"/>
      <c r="AV501" s="21"/>
      <c r="AW501" s="21"/>
    </row>
    <row r="502" spans="1:49" x14ac:dyDescent="0.2">
      <c r="A502">
        <v>267</v>
      </c>
      <c r="E502">
        <f t="shared" si="165"/>
        <v>1</v>
      </c>
      <c r="J502" t="str">
        <f t="shared" si="172"/>
        <v>7</v>
      </c>
      <c r="K502" t="str">
        <f t="shared" si="173"/>
        <v>37</v>
      </c>
      <c r="L502" t="str">
        <f t="shared" si="174"/>
        <v>7</v>
      </c>
      <c r="M502" s="6" t="str">
        <f t="shared" si="175"/>
        <v>34</v>
      </c>
      <c r="N502" t="str">
        <f t="shared" si="171"/>
        <v>Home</v>
      </c>
      <c r="O502">
        <v>49</v>
      </c>
      <c r="P502" t="s">
        <v>425</v>
      </c>
      <c r="Y502" t="str">
        <f t="shared" si="155"/>
        <v/>
      </c>
      <c r="Z502" t="str">
        <f t="shared" si="156"/>
        <v/>
      </c>
      <c r="AC502" t="str">
        <f t="shared" si="157"/>
        <v>Possession</v>
      </c>
      <c r="AD502" t="str">
        <f t="shared" si="158"/>
        <v/>
      </c>
      <c r="AE502" t="str">
        <f t="shared" si="159"/>
        <v/>
      </c>
      <c r="AF502" t="str">
        <f t="shared" si="160"/>
        <v>Defensive</v>
      </c>
      <c r="AG502">
        <f t="shared" si="166"/>
        <v>18981</v>
      </c>
      <c r="AH502" t="str">
        <f t="shared" si="167"/>
        <v>Nelson</v>
      </c>
      <c r="AI502" t="str">
        <f t="shared" si="168"/>
        <v>Velodrome</v>
      </c>
      <c r="AJ502" s="18">
        <f t="shared" si="161"/>
        <v>3</v>
      </c>
      <c r="AP502" s="18">
        <f t="shared" si="162"/>
        <v>0</v>
      </c>
      <c r="AQ502">
        <f t="shared" si="163"/>
        <v>0</v>
      </c>
      <c r="AR502" s="23">
        <f t="shared" si="164"/>
        <v>623</v>
      </c>
      <c r="AS502">
        <f t="shared" si="169"/>
        <v>618</v>
      </c>
      <c r="AT502" s="21">
        <f t="shared" si="170"/>
        <v>626</v>
      </c>
      <c r="AU502" s="21"/>
      <c r="AV502" s="21"/>
      <c r="AW502" s="21"/>
    </row>
    <row r="503" spans="1:49" x14ac:dyDescent="0.2">
      <c r="A503">
        <v>268</v>
      </c>
      <c r="E503">
        <f t="shared" si="165"/>
        <v>1</v>
      </c>
      <c r="F503" s="5" t="s">
        <v>539</v>
      </c>
      <c r="G503" s="5" t="s">
        <v>506</v>
      </c>
      <c r="J503" t="str">
        <f t="shared" si="172"/>
        <v>7</v>
      </c>
      <c r="K503" t="str">
        <f t="shared" si="173"/>
        <v>34</v>
      </c>
      <c r="L503" t="str">
        <f t="shared" si="174"/>
        <v/>
      </c>
      <c r="M503" s="6" t="str">
        <f t="shared" si="175"/>
        <v/>
      </c>
      <c r="N503" t="s">
        <v>179</v>
      </c>
      <c r="O503">
        <v>49</v>
      </c>
      <c r="P503" t="s">
        <v>424</v>
      </c>
      <c r="Q503" t="s">
        <v>10</v>
      </c>
      <c r="R503" t="s">
        <v>200</v>
      </c>
      <c r="S503" t="s">
        <v>82</v>
      </c>
      <c r="Y503" t="str">
        <f t="shared" si="155"/>
        <v/>
      </c>
      <c r="Z503" t="str">
        <f t="shared" si="156"/>
        <v/>
      </c>
      <c r="AC503" t="str">
        <f t="shared" si="157"/>
        <v>Turnover</v>
      </c>
      <c r="AD503" t="str">
        <f t="shared" si="158"/>
        <v>Turnover_Takeaway</v>
      </c>
      <c r="AE503" t="str">
        <f t="shared" si="159"/>
        <v>Takeaway-PokeCheck</v>
      </c>
      <c r="AF503" t="str">
        <f t="shared" si="160"/>
        <v>Defensive</v>
      </c>
      <c r="AG503">
        <f t="shared" si="166"/>
        <v>18981</v>
      </c>
      <c r="AH503" t="str">
        <f t="shared" si="167"/>
        <v>Nelson</v>
      </c>
      <c r="AI503" t="str">
        <f t="shared" si="168"/>
        <v>Velodrome</v>
      </c>
      <c r="AJ503" s="18">
        <f t="shared" si="161"/>
        <v>0</v>
      </c>
      <c r="AP503" s="18">
        <f t="shared" si="162"/>
        <v>0</v>
      </c>
      <c r="AQ503">
        <f t="shared" si="163"/>
        <v>0</v>
      </c>
      <c r="AR503" s="23">
        <f t="shared" si="164"/>
        <v>626</v>
      </c>
      <c r="AS503">
        <f t="shared" si="169"/>
        <v>621</v>
      </c>
      <c r="AT503" s="21">
        <f t="shared" si="170"/>
        <v>626</v>
      </c>
      <c r="AU503" s="21"/>
      <c r="AV503" s="21"/>
      <c r="AW503" s="21"/>
    </row>
    <row r="504" spans="1:49" x14ac:dyDescent="0.2">
      <c r="A504">
        <v>268</v>
      </c>
      <c r="E504">
        <f t="shared" si="165"/>
        <v>1</v>
      </c>
      <c r="J504" t="str">
        <f t="shared" si="172"/>
        <v>7</v>
      </c>
      <c r="K504" t="str">
        <f t="shared" si="173"/>
        <v>34</v>
      </c>
      <c r="L504" t="str">
        <f t="shared" si="174"/>
        <v/>
      </c>
      <c r="M504" s="6" t="str">
        <f t="shared" si="175"/>
        <v/>
      </c>
      <c r="N504" t="str">
        <f t="shared" si="171"/>
        <v>Away</v>
      </c>
      <c r="O504">
        <v>44</v>
      </c>
      <c r="P504" t="s">
        <v>425</v>
      </c>
      <c r="Y504" t="str">
        <f t="shared" si="155"/>
        <v/>
      </c>
      <c r="Z504" t="str">
        <f t="shared" si="156"/>
        <v/>
      </c>
      <c r="AC504" t="str">
        <f t="shared" si="157"/>
        <v>Turnover</v>
      </c>
      <c r="AD504" t="str">
        <f t="shared" si="158"/>
        <v>Turnover_Takeaway</v>
      </c>
      <c r="AE504" t="str">
        <f t="shared" si="159"/>
        <v>Takeaway-PokeCheck</v>
      </c>
      <c r="AF504" t="str">
        <f t="shared" si="160"/>
        <v>Offensive</v>
      </c>
      <c r="AG504">
        <f t="shared" si="166"/>
        <v>18981</v>
      </c>
      <c r="AH504" t="str">
        <f t="shared" si="167"/>
        <v>Nelson</v>
      </c>
      <c r="AI504" t="str">
        <f t="shared" si="168"/>
        <v>Velodrome</v>
      </c>
      <c r="AJ504" s="18">
        <f t="shared" si="161"/>
        <v>0</v>
      </c>
      <c r="AP504" s="18">
        <f t="shared" si="162"/>
        <v>0</v>
      </c>
      <c r="AQ504">
        <f t="shared" si="163"/>
        <v>0</v>
      </c>
      <c r="AR504" s="23">
        <f t="shared" si="164"/>
        <v>626</v>
      </c>
      <c r="AS504">
        <f t="shared" si="169"/>
        <v>621</v>
      </c>
      <c r="AT504" s="21">
        <f t="shared" si="170"/>
        <v>626</v>
      </c>
      <c r="AU504" s="21"/>
      <c r="AV504" s="21"/>
      <c r="AW504" s="21"/>
    </row>
    <row r="505" spans="1:49" x14ac:dyDescent="0.2">
      <c r="A505">
        <v>269</v>
      </c>
      <c r="E505">
        <f t="shared" si="165"/>
        <v>1</v>
      </c>
      <c r="F505" s="5" t="s">
        <v>539</v>
      </c>
      <c r="G505" s="5" t="s">
        <v>505</v>
      </c>
      <c r="H505" s="5" t="s">
        <v>539</v>
      </c>
      <c r="I505" s="7" t="s">
        <v>500</v>
      </c>
      <c r="J505" t="str">
        <f t="shared" si="172"/>
        <v>7</v>
      </c>
      <c r="K505" t="str">
        <f t="shared" si="173"/>
        <v>33</v>
      </c>
      <c r="L505" t="str">
        <f t="shared" si="174"/>
        <v>7</v>
      </c>
      <c r="M505" s="6" t="str">
        <f t="shared" si="175"/>
        <v>28</v>
      </c>
      <c r="N505" t="s">
        <v>179</v>
      </c>
      <c r="O505">
        <v>9</v>
      </c>
      <c r="P505" t="s">
        <v>424</v>
      </c>
      <c r="Q505" t="s">
        <v>15</v>
      </c>
      <c r="Y505" t="str">
        <f t="shared" si="155"/>
        <v/>
      </c>
      <c r="Z505" t="str">
        <f t="shared" si="156"/>
        <v/>
      </c>
      <c r="AC505" t="str">
        <f t="shared" si="157"/>
        <v>Possession</v>
      </c>
      <c r="AD505" t="str">
        <f t="shared" si="158"/>
        <v/>
      </c>
      <c r="AE505" t="str">
        <f t="shared" si="159"/>
        <v/>
      </c>
      <c r="AF505" t="str">
        <f t="shared" si="160"/>
        <v>Offensive</v>
      </c>
      <c r="AG505">
        <f t="shared" si="166"/>
        <v>18981</v>
      </c>
      <c r="AH505" t="str">
        <f t="shared" si="167"/>
        <v>Nelson</v>
      </c>
      <c r="AI505" t="str">
        <f t="shared" si="168"/>
        <v>Velodrome</v>
      </c>
      <c r="AJ505" s="18">
        <f t="shared" si="161"/>
        <v>5</v>
      </c>
      <c r="AP505" s="18">
        <f t="shared" si="162"/>
        <v>0</v>
      </c>
      <c r="AQ505">
        <f t="shared" si="163"/>
        <v>0</v>
      </c>
      <c r="AR505" s="23">
        <f t="shared" si="164"/>
        <v>627</v>
      </c>
      <c r="AS505">
        <f t="shared" si="169"/>
        <v>622</v>
      </c>
      <c r="AT505" s="21">
        <f t="shared" si="170"/>
        <v>632</v>
      </c>
      <c r="AU505" s="21"/>
      <c r="AV505" s="21"/>
      <c r="AW505" s="21"/>
    </row>
    <row r="506" spans="1:49" x14ac:dyDescent="0.2">
      <c r="A506">
        <v>269</v>
      </c>
      <c r="E506">
        <f t="shared" si="165"/>
        <v>1</v>
      </c>
      <c r="J506" t="str">
        <f t="shared" si="172"/>
        <v>7</v>
      </c>
      <c r="K506" t="str">
        <f t="shared" si="173"/>
        <v>33</v>
      </c>
      <c r="L506" t="str">
        <f t="shared" si="174"/>
        <v>7</v>
      </c>
      <c r="M506" s="6" t="str">
        <f t="shared" si="175"/>
        <v>28</v>
      </c>
      <c r="N506" t="str">
        <f t="shared" si="171"/>
        <v>Away</v>
      </c>
      <c r="O506">
        <v>10</v>
      </c>
      <c r="P506" t="s">
        <v>425</v>
      </c>
      <c r="Y506" t="str">
        <f t="shared" si="155"/>
        <v/>
      </c>
      <c r="Z506" t="str">
        <f t="shared" si="156"/>
        <v/>
      </c>
      <c r="AC506" t="str">
        <f t="shared" si="157"/>
        <v>Possession</v>
      </c>
      <c r="AD506" t="str">
        <f t="shared" si="158"/>
        <v/>
      </c>
      <c r="AE506" t="str">
        <f t="shared" si="159"/>
        <v/>
      </c>
      <c r="AF506" t="str">
        <f t="shared" si="160"/>
        <v>Defensive</v>
      </c>
      <c r="AG506">
        <f t="shared" si="166"/>
        <v>18981</v>
      </c>
      <c r="AH506" t="str">
        <f t="shared" si="167"/>
        <v>Nelson</v>
      </c>
      <c r="AI506" t="str">
        <f t="shared" si="168"/>
        <v>Velodrome</v>
      </c>
      <c r="AJ506" s="18">
        <f t="shared" si="161"/>
        <v>5</v>
      </c>
      <c r="AP506" s="18">
        <f t="shared" si="162"/>
        <v>0</v>
      </c>
      <c r="AQ506">
        <f t="shared" si="163"/>
        <v>0</v>
      </c>
      <c r="AR506" s="23">
        <f t="shared" si="164"/>
        <v>627</v>
      </c>
      <c r="AS506">
        <f t="shared" si="169"/>
        <v>622</v>
      </c>
      <c r="AT506" s="21">
        <f t="shared" si="170"/>
        <v>632</v>
      </c>
      <c r="AU506" s="21"/>
      <c r="AV506" s="21"/>
      <c r="AW506" s="21"/>
    </row>
    <row r="507" spans="1:49" x14ac:dyDescent="0.2">
      <c r="A507">
        <v>270</v>
      </c>
      <c r="E507">
        <f t="shared" si="165"/>
        <v>1</v>
      </c>
      <c r="F507" s="5" t="s">
        <v>539</v>
      </c>
      <c r="G507" s="5" t="s">
        <v>500</v>
      </c>
      <c r="J507" t="str">
        <f t="shared" si="172"/>
        <v>7</v>
      </c>
      <c r="K507" t="str">
        <f t="shared" si="173"/>
        <v>28</v>
      </c>
      <c r="L507" t="str">
        <f t="shared" si="174"/>
        <v/>
      </c>
      <c r="M507" s="6" t="str">
        <f t="shared" si="175"/>
        <v/>
      </c>
      <c r="N507" t="s">
        <v>178</v>
      </c>
      <c r="O507">
        <v>80</v>
      </c>
      <c r="P507" t="s">
        <v>424</v>
      </c>
      <c r="Q507" t="s">
        <v>247</v>
      </c>
      <c r="R507" t="s">
        <v>446</v>
      </c>
      <c r="S507" t="s">
        <v>158</v>
      </c>
      <c r="Y507" t="str">
        <f t="shared" si="155"/>
        <v/>
      </c>
      <c r="Z507" t="str">
        <f t="shared" si="156"/>
        <v/>
      </c>
      <c r="AC507" t="str">
        <f t="shared" si="157"/>
        <v>Play</v>
      </c>
      <c r="AD507" t="str">
        <f t="shared" si="158"/>
        <v>Play_Defensive</v>
      </c>
      <c r="AE507" t="str">
        <f t="shared" si="159"/>
        <v>PokeCheck</v>
      </c>
      <c r="AF507" t="str">
        <f t="shared" si="160"/>
        <v>Defensive</v>
      </c>
      <c r="AG507">
        <f t="shared" si="166"/>
        <v>18981</v>
      </c>
      <c r="AH507" t="str">
        <f t="shared" si="167"/>
        <v>Nelson</v>
      </c>
      <c r="AI507" t="str">
        <f t="shared" si="168"/>
        <v>Velodrome</v>
      </c>
      <c r="AJ507" s="18">
        <f t="shared" si="161"/>
        <v>0</v>
      </c>
      <c r="AP507" s="18">
        <f t="shared" si="162"/>
        <v>0</v>
      </c>
      <c r="AQ507">
        <f t="shared" si="163"/>
        <v>0</v>
      </c>
      <c r="AR507" s="23">
        <f t="shared" si="164"/>
        <v>632</v>
      </c>
      <c r="AS507">
        <f t="shared" si="169"/>
        <v>627</v>
      </c>
      <c r="AT507" s="21">
        <f t="shared" si="170"/>
        <v>632</v>
      </c>
      <c r="AU507" s="21"/>
      <c r="AV507" s="21"/>
      <c r="AW507" s="21"/>
    </row>
    <row r="508" spans="1:49" x14ac:dyDescent="0.2">
      <c r="A508">
        <v>270</v>
      </c>
      <c r="E508">
        <f t="shared" si="165"/>
        <v>1</v>
      </c>
      <c r="J508" t="str">
        <f t="shared" si="172"/>
        <v>7</v>
      </c>
      <c r="K508" t="str">
        <f t="shared" si="173"/>
        <v>28</v>
      </c>
      <c r="L508" t="str">
        <f t="shared" si="174"/>
        <v/>
      </c>
      <c r="M508" s="6" t="str">
        <f t="shared" si="175"/>
        <v/>
      </c>
      <c r="N508" t="str">
        <f t="shared" si="171"/>
        <v>Home</v>
      </c>
      <c r="O508">
        <v>9</v>
      </c>
      <c r="P508" t="s">
        <v>425</v>
      </c>
      <c r="Y508" t="str">
        <f t="shared" si="155"/>
        <v/>
      </c>
      <c r="Z508" t="str">
        <f t="shared" si="156"/>
        <v/>
      </c>
      <c r="AC508" t="str">
        <f t="shared" si="157"/>
        <v>Play</v>
      </c>
      <c r="AD508" t="str">
        <f t="shared" si="158"/>
        <v>Play_Defensive</v>
      </c>
      <c r="AE508" t="str">
        <f t="shared" si="159"/>
        <v>PokeCheck</v>
      </c>
      <c r="AF508" t="str">
        <f t="shared" si="160"/>
        <v>Offensive</v>
      </c>
      <c r="AG508">
        <f t="shared" si="166"/>
        <v>18981</v>
      </c>
      <c r="AH508" t="str">
        <f t="shared" si="167"/>
        <v>Nelson</v>
      </c>
      <c r="AI508" t="str">
        <f t="shared" si="168"/>
        <v>Velodrome</v>
      </c>
      <c r="AJ508" s="18">
        <f t="shared" si="161"/>
        <v>0</v>
      </c>
      <c r="AP508" s="18">
        <f t="shared" si="162"/>
        <v>0</v>
      </c>
      <c r="AQ508">
        <f t="shared" si="163"/>
        <v>0</v>
      </c>
      <c r="AR508" s="23">
        <f t="shared" si="164"/>
        <v>632</v>
      </c>
      <c r="AS508">
        <f t="shared" si="169"/>
        <v>627</v>
      </c>
      <c r="AT508" s="21">
        <f t="shared" si="170"/>
        <v>632</v>
      </c>
      <c r="AU508" s="21"/>
      <c r="AV508" s="21"/>
      <c r="AW508" s="21"/>
    </row>
    <row r="509" spans="1:49" x14ac:dyDescent="0.2">
      <c r="A509">
        <v>271</v>
      </c>
      <c r="E509">
        <f t="shared" si="165"/>
        <v>1</v>
      </c>
      <c r="F509" s="5" t="s">
        <v>539</v>
      </c>
      <c r="G509" s="5" t="s">
        <v>497</v>
      </c>
      <c r="J509" t="str">
        <f t="shared" si="172"/>
        <v>7</v>
      </c>
      <c r="K509" t="str">
        <f t="shared" si="173"/>
        <v>25</v>
      </c>
      <c r="L509" t="str">
        <f t="shared" si="174"/>
        <v/>
      </c>
      <c r="M509" s="6" t="str">
        <f t="shared" si="175"/>
        <v/>
      </c>
      <c r="N509" t="s">
        <v>178</v>
      </c>
      <c r="O509">
        <v>15</v>
      </c>
      <c r="P509" t="s">
        <v>424</v>
      </c>
      <c r="Q509" t="s">
        <v>8</v>
      </c>
      <c r="R509" t="s">
        <v>199</v>
      </c>
      <c r="S509" t="s">
        <v>69</v>
      </c>
      <c r="Y509" t="str">
        <f t="shared" si="155"/>
        <v/>
      </c>
      <c r="Z509" t="str">
        <f t="shared" si="156"/>
        <v/>
      </c>
      <c r="AC509" t="str">
        <f t="shared" si="157"/>
        <v>Pass</v>
      </c>
      <c r="AD509" t="str">
        <f t="shared" si="158"/>
        <v>Pass_Missed</v>
      </c>
      <c r="AE509" t="str">
        <f t="shared" si="159"/>
        <v>Pass-Backhand</v>
      </c>
      <c r="AF509" t="str">
        <f t="shared" si="160"/>
        <v>Offensive</v>
      </c>
      <c r="AG509">
        <f t="shared" si="166"/>
        <v>18981</v>
      </c>
      <c r="AH509" t="str">
        <f t="shared" si="167"/>
        <v>Nelson</v>
      </c>
      <c r="AI509" t="str">
        <f t="shared" si="168"/>
        <v>Velodrome</v>
      </c>
      <c r="AJ509" s="18">
        <f t="shared" si="161"/>
        <v>0</v>
      </c>
      <c r="AP509" s="18">
        <f t="shared" si="162"/>
        <v>0</v>
      </c>
      <c r="AQ509">
        <f t="shared" si="163"/>
        <v>0</v>
      </c>
      <c r="AR509" s="23">
        <f t="shared" si="164"/>
        <v>635</v>
      </c>
      <c r="AS509">
        <f t="shared" si="169"/>
        <v>630</v>
      </c>
      <c r="AT509" s="21">
        <f t="shared" si="170"/>
        <v>635</v>
      </c>
      <c r="AU509" s="21"/>
      <c r="AV509" s="21"/>
      <c r="AW509" s="21"/>
    </row>
    <row r="510" spans="1:49" x14ac:dyDescent="0.2">
      <c r="A510">
        <v>271</v>
      </c>
      <c r="E510">
        <f t="shared" si="165"/>
        <v>1</v>
      </c>
      <c r="J510" t="str">
        <f t="shared" si="172"/>
        <v>7</v>
      </c>
      <c r="K510" t="str">
        <f t="shared" si="173"/>
        <v>25</v>
      </c>
      <c r="L510" t="str">
        <f t="shared" si="174"/>
        <v/>
      </c>
      <c r="M510" s="6" t="str">
        <f t="shared" si="175"/>
        <v/>
      </c>
      <c r="N510" t="str">
        <f t="shared" si="171"/>
        <v>Home</v>
      </c>
      <c r="O510">
        <v>44</v>
      </c>
      <c r="P510" t="s">
        <v>425</v>
      </c>
      <c r="Y510" t="str">
        <f t="shared" si="155"/>
        <v/>
      </c>
      <c r="Z510" t="str">
        <f t="shared" si="156"/>
        <v/>
      </c>
      <c r="AC510" t="str">
        <f t="shared" si="157"/>
        <v>Pass</v>
      </c>
      <c r="AD510" t="str">
        <f t="shared" si="158"/>
        <v>Pass_Missed</v>
      </c>
      <c r="AE510" t="str">
        <f t="shared" si="159"/>
        <v>Pass-Backhand</v>
      </c>
      <c r="AF510" t="str">
        <f t="shared" si="160"/>
        <v>Defensive</v>
      </c>
      <c r="AG510">
        <f t="shared" si="166"/>
        <v>18981</v>
      </c>
      <c r="AH510" t="str">
        <f t="shared" si="167"/>
        <v>Nelson</v>
      </c>
      <c r="AI510" t="str">
        <f t="shared" si="168"/>
        <v>Velodrome</v>
      </c>
      <c r="AJ510" s="18">
        <f t="shared" si="161"/>
        <v>0</v>
      </c>
      <c r="AP510" s="18">
        <f t="shared" si="162"/>
        <v>0</v>
      </c>
      <c r="AQ510">
        <f t="shared" si="163"/>
        <v>0</v>
      </c>
      <c r="AR510" s="23">
        <f t="shared" si="164"/>
        <v>635</v>
      </c>
      <c r="AS510">
        <f t="shared" si="169"/>
        <v>630</v>
      </c>
      <c r="AT510" s="21">
        <f t="shared" si="170"/>
        <v>635</v>
      </c>
      <c r="AU510" s="21"/>
      <c r="AV510" s="21"/>
      <c r="AW510" s="21"/>
    </row>
    <row r="511" spans="1:49" x14ac:dyDescent="0.2">
      <c r="A511">
        <v>272</v>
      </c>
      <c r="E511">
        <f t="shared" si="165"/>
        <v>1</v>
      </c>
      <c r="F511" s="5" t="s">
        <v>539</v>
      </c>
      <c r="G511" s="5" t="s">
        <v>497</v>
      </c>
      <c r="J511" t="str">
        <f t="shared" si="172"/>
        <v>7</v>
      </c>
      <c r="K511" t="str">
        <f t="shared" si="173"/>
        <v>25</v>
      </c>
      <c r="L511" t="str">
        <f t="shared" si="174"/>
        <v/>
      </c>
      <c r="M511" s="6" t="str">
        <f t="shared" si="175"/>
        <v/>
      </c>
      <c r="N511" t="s">
        <v>178</v>
      </c>
      <c r="O511">
        <v>15</v>
      </c>
      <c r="P511" t="s">
        <v>424</v>
      </c>
      <c r="Q511" t="s">
        <v>277</v>
      </c>
      <c r="R511" t="s">
        <v>191</v>
      </c>
      <c r="S511" t="s">
        <v>447</v>
      </c>
      <c r="Y511" t="str">
        <f t="shared" si="155"/>
        <v/>
      </c>
      <c r="Z511" t="str">
        <f t="shared" si="156"/>
        <v/>
      </c>
      <c r="AC511" t="str">
        <f t="shared" si="157"/>
        <v>Zone_Entry_Exit</v>
      </c>
      <c r="AD511" t="str">
        <f t="shared" si="158"/>
        <v>Zone_Entry</v>
      </c>
      <c r="AE511" t="str">
        <f t="shared" si="159"/>
        <v>ZoneEntry-PassMiss/Misplay</v>
      </c>
      <c r="AF511" t="str">
        <f t="shared" si="160"/>
        <v>Offensive</v>
      </c>
      <c r="AG511">
        <f t="shared" si="166"/>
        <v>18981</v>
      </c>
      <c r="AH511" t="str">
        <f t="shared" si="167"/>
        <v>Nelson</v>
      </c>
      <c r="AI511" t="str">
        <f t="shared" si="168"/>
        <v>Velodrome</v>
      </c>
      <c r="AJ511" s="18">
        <f t="shared" si="161"/>
        <v>0</v>
      </c>
      <c r="AP511" s="18">
        <f t="shared" si="162"/>
        <v>0</v>
      </c>
      <c r="AQ511">
        <f t="shared" si="163"/>
        <v>0</v>
      </c>
      <c r="AR511" s="23">
        <f t="shared" si="164"/>
        <v>635</v>
      </c>
      <c r="AS511">
        <f t="shared" si="169"/>
        <v>630</v>
      </c>
      <c r="AT511" s="21">
        <f t="shared" si="170"/>
        <v>635</v>
      </c>
      <c r="AU511" s="21"/>
      <c r="AV511" s="21"/>
      <c r="AW511" s="21"/>
    </row>
    <row r="512" spans="1:49" x14ac:dyDescent="0.2">
      <c r="A512">
        <v>273</v>
      </c>
      <c r="E512">
        <f t="shared" si="165"/>
        <v>1</v>
      </c>
      <c r="F512" s="5" t="s">
        <v>539</v>
      </c>
      <c r="G512" s="5" t="s">
        <v>497</v>
      </c>
      <c r="J512" t="str">
        <f t="shared" si="172"/>
        <v>7</v>
      </c>
      <c r="K512" t="str">
        <f t="shared" si="173"/>
        <v>25</v>
      </c>
      <c r="L512" t="str">
        <f t="shared" si="174"/>
        <v/>
      </c>
      <c r="M512" s="6" t="str">
        <f t="shared" si="175"/>
        <v/>
      </c>
      <c r="N512" t="s">
        <v>178</v>
      </c>
      <c r="O512">
        <v>15</v>
      </c>
      <c r="P512" t="s">
        <v>424</v>
      </c>
      <c r="Q512" t="s">
        <v>10</v>
      </c>
      <c r="R512" t="s">
        <v>190</v>
      </c>
      <c r="S512" t="s">
        <v>440</v>
      </c>
      <c r="Y512" t="str">
        <f t="shared" si="155"/>
        <v/>
      </c>
      <c r="Z512" t="str">
        <f t="shared" si="156"/>
        <v/>
      </c>
      <c r="AC512" t="str">
        <f t="shared" si="157"/>
        <v>Turnover</v>
      </c>
      <c r="AD512" t="str">
        <f t="shared" si="158"/>
        <v>Turnover_Giveaway</v>
      </c>
      <c r="AE512" t="str">
        <f t="shared" si="159"/>
        <v>Giveaway-ZoneEntry/ExitMisplay</v>
      </c>
      <c r="AF512" t="str">
        <f t="shared" si="160"/>
        <v>Offensive</v>
      </c>
      <c r="AG512">
        <f t="shared" si="166"/>
        <v>18981</v>
      </c>
      <c r="AH512" t="str">
        <f t="shared" si="167"/>
        <v>Nelson</v>
      </c>
      <c r="AI512" t="str">
        <f t="shared" si="168"/>
        <v>Velodrome</v>
      </c>
      <c r="AJ512" s="18">
        <f t="shared" si="161"/>
        <v>0</v>
      </c>
      <c r="AP512" s="18">
        <f t="shared" si="162"/>
        <v>0</v>
      </c>
      <c r="AQ512">
        <f t="shared" si="163"/>
        <v>0</v>
      </c>
      <c r="AR512" s="23">
        <f t="shared" si="164"/>
        <v>635</v>
      </c>
      <c r="AS512">
        <f t="shared" si="169"/>
        <v>630</v>
      </c>
      <c r="AT512" s="21">
        <f t="shared" si="170"/>
        <v>635</v>
      </c>
      <c r="AU512" s="21"/>
      <c r="AV512" s="21"/>
      <c r="AW512" s="21"/>
    </row>
    <row r="513" spans="1:49" x14ac:dyDescent="0.2">
      <c r="A513">
        <v>274</v>
      </c>
      <c r="E513">
        <f t="shared" si="165"/>
        <v>1</v>
      </c>
      <c r="F513" s="5" t="s">
        <v>539</v>
      </c>
      <c r="G513" s="5" t="s">
        <v>492</v>
      </c>
      <c r="H513" s="5" t="s">
        <v>539</v>
      </c>
      <c r="I513" s="7" t="s">
        <v>478</v>
      </c>
      <c r="J513" t="str">
        <f t="shared" si="172"/>
        <v>7</v>
      </c>
      <c r="K513" t="str">
        <f t="shared" si="173"/>
        <v>20</v>
      </c>
      <c r="L513" t="str">
        <f t="shared" si="174"/>
        <v>7</v>
      </c>
      <c r="M513" s="6" t="str">
        <f t="shared" si="175"/>
        <v>15</v>
      </c>
      <c r="N513" t="s">
        <v>179</v>
      </c>
      <c r="O513">
        <v>52</v>
      </c>
      <c r="P513" t="s">
        <v>424</v>
      </c>
      <c r="Q513" t="s">
        <v>15</v>
      </c>
      <c r="Y513" t="str">
        <f t="shared" si="155"/>
        <v/>
      </c>
      <c r="Z513" t="str">
        <f t="shared" si="156"/>
        <v/>
      </c>
      <c r="AC513" t="str">
        <f t="shared" si="157"/>
        <v>Possession</v>
      </c>
      <c r="AD513" t="str">
        <f t="shared" si="158"/>
        <v/>
      </c>
      <c r="AE513" t="str">
        <f t="shared" si="159"/>
        <v/>
      </c>
      <c r="AF513" t="str">
        <f t="shared" si="160"/>
        <v>Offensive</v>
      </c>
      <c r="AG513">
        <f t="shared" si="166"/>
        <v>18981</v>
      </c>
      <c r="AH513" t="str">
        <f t="shared" si="167"/>
        <v>Nelson</v>
      </c>
      <c r="AI513" t="str">
        <f t="shared" si="168"/>
        <v>Velodrome</v>
      </c>
      <c r="AJ513" s="18">
        <f t="shared" si="161"/>
        <v>5</v>
      </c>
      <c r="AP513" s="18">
        <f t="shared" si="162"/>
        <v>0</v>
      </c>
      <c r="AQ513">
        <f t="shared" si="163"/>
        <v>0</v>
      </c>
      <c r="AR513" s="23">
        <f t="shared" si="164"/>
        <v>640</v>
      </c>
      <c r="AS513">
        <f t="shared" si="169"/>
        <v>635</v>
      </c>
      <c r="AT513" s="21">
        <f t="shared" si="170"/>
        <v>645</v>
      </c>
      <c r="AU513" s="21"/>
      <c r="AV513" s="21"/>
      <c r="AW513" s="21"/>
    </row>
    <row r="514" spans="1:49" x14ac:dyDescent="0.2">
      <c r="A514">
        <v>275</v>
      </c>
      <c r="E514">
        <f t="shared" si="165"/>
        <v>1</v>
      </c>
      <c r="F514" s="5" t="s">
        <v>539</v>
      </c>
      <c r="G514" s="5" t="s">
        <v>478</v>
      </c>
      <c r="J514" t="str">
        <f t="shared" si="172"/>
        <v>7</v>
      </c>
      <c r="K514" t="str">
        <f t="shared" si="173"/>
        <v>15</v>
      </c>
      <c r="L514" t="str">
        <f t="shared" si="174"/>
        <v/>
      </c>
      <c r="M514" s="6" t="str">
        <f t="shared" si="175"/>
        <v/>
      </c>
      <c r="N514" t="s">
        <v>179</v>
      </c>
      <c r="O514">
        <v>52</v>
      </c>
      <c r="P514" t="s">
        <v>424</v>
      </c>
      <c r="Q514" t="s">
        <v>277</v>
      </c>
      <c r="R514" t="s">
        <v>201</v>
      </c>
      <c r="S514" t="s">
        <v>91</v>
      </c>
      <c r="Y514" t="str">
        <f t="shared" si="155"/>
        <v/>
      </c>
      <c r="Z514" t="str">
        <f t="shared" si="156"/>
        <v/>
      </c>
      <c r="AC514" t="str">
        <f t="shared" si="157"/>
        <v>Zone_Entry_Exit</v>
      </c>
      <c r="AD514" t="str">
        <f t="shared" si="158"/>
        <v>Zone_Exit</v>
      </c>
      <c r="AE514" t="str">
        <f t="shared" si="159"/>
        <v>ZoneExit-Pass</v>
      </c>
      <c r="AF514" t="str">
        <f t="shared" si="160"/>
        <v>Offensive</v>
      </c>
      <c r="AG514">
        <f t="shared" si="166"/>
        <v>18981</v>
      </c>
      <c r="AH514" t="str">
        <f t="shared" si="167"/>
        <v>Nelson</v>
      </c>
      <c r="AI514" t="str">
        <f t="shared" si="168"/>
        <v>Velodrome</v>
      </c>
      <c r="AJ514" s="18">
        <f t="shared" si="161"/>
        <v>0</v>
      </c>
      <c r="AP514" s="18">
        <f t="shared" si="162"/>
        <v>0</v>
      </c>
      <c r="AQ514">
        <f t="shared" si="163"/>
        <v>0</v>
      </c>
      <c r="AR514" s="23">
        <f t="shared" si="164"/>
        <v>645</v>
      </c>
      <c r="AS514">
        <f t="shared" si="169"/>
        <v>640</v>
      </c>
      <c r="AT514" s="21">
        <f t="shared" si="170"/>
        <v>645</v>
      </c>
      <c r="AU514" s="21"/>
      <c r="AV514" s="21"/>
      <c r="AW514" s="21"/>
    </row>
    <row r="515" spans="1:49" x14ac:dyDescent="0.2">
      <c r="A515">
        <v>275</v>
      </c>
      <c r="E515">
        <f t="shared" si="165"/>
        <v>1</v>
      </c>
      <c r="J515" t="str">
        <f t="shared" si="172"/>
        <v>7</v>
      </c>
      <c r="K515" t="str">
        <f t="shared" si="173"/>
        <v>15</v>
      </c>
      <c r="L515" t="str">
        <f t="shared" si="174"/>
        <v/>
      </c>
      <c r="M515" s="6" t="str">
        <f t="shared" si="175"/>
        <v/>
      </c>
      <c r="N515" t="str">
        <f t="shared" si="171"/>
        <v>Away</v>
      </c>
      <c r="O515">
        <v>61</v>
      </c>
      <c r="P515" t="s">
        <v>424</v>
      </c>
      <c r="Y515" t="str">
        <f t="shared" ref="Y515:Y578" si="176">IF($N515="","",IF(X515="","",IF($N515="Home",$X515,IF($X515="n","n",IF($X515="d","o",IF($X515="o","d",""))))))</f>
        <v/>
      </c>
      <c r="Z515" t="str">
        <f t="shared" ref="Z515:Z578" si="177">IF($N515="","",IF(X515="","",IF($N515="Away",$X515,IF($X515="n","n",IF($X515="d","o",IF($X515="o","d",""))))))</f>
        <v/>
      </c>
      <c r="AC515" t="str">
        <f t="shared" ref="AC515:AC578" si="178">IF(Q515&lt;&gt;"",Q515,IF($A515=$A514,AC514,""))</f>
        <v>Zone_Entry_Exit</v>
      </c>
      <c r="AD515" t="str">
        <f t="shared" ref="AD515:AD578" si="179">IF(R515&lt;&gt;"",R515,IF($A515=$A514,AD514,""))</f>
        <v>Zone_Exit</v>
      </c>
      <c r="AE515" t="str">
        <f t="shared" ref="AE515:AE578" si="180">IF(S515&lt;&gt;"",S515,IF($A515=$A514,AE514,""))</f>
        <v>ZoneExit-Pass</v>
      </c>
      <c r="AF515" t="str">
        <f t="shared" ref="AF515:AF578" si="181">IF(AND(P515="e",OR(AC515="Save",AD515="Turnover_Takeaway",AD515="Play_Defensive")),"Defensive",IF(AND(P515="o",OR(AC515="Save",AD515="Turnover_Takeaway",AD515="Play_Defensive")),"Offensive",IF(OR(AC515="Deadice",AC515="Stoppage",AC515="Intermission"),"",IF(P515="e","Offensive",IF(P515="o","Defensive","")))))</f>
        <v>Offensive</v>
      </c>
      <c r="AG515">
        <f t="shared" si="166"/>
        <v>18981</v>
      </c>
      <c r="AH515" t="str">
        <f t="shared" si="167"/>
        <v>Nelson</v>
      </c>
      <c r="AI515" t="str">
        <f t="shared" si="168"/>
        <v>Velodrome</v>
      </c>
      <c r="AJ515" s="18">
        <f t="shared" ref="AJ515:AJ578" si="182">IF(AND(L515="",M515=""),0,((J515*60)+K515)-((L515*60)+M515))</f>
        <v>0</v>
      </c>
      <c r="AP515" s="18">
        <f t="shared" ref="AP515:AP578" si="183">SUMIFS(AJ515:AJ515,Q515:Q515,"=Intermission")</f>
        <v>0</v>
      </c>
      <c r="AQ515">
        <f t="shared" ref="AQ515:AQ578" si="184">IF(E515=1,0,IF(E515=2,1080+AP515,IF(E515=3,(1080*2)+AP515,0)))</f>
        <v>0</v>
      </c>
      <c r="AR515" s="23">
        <f t="shared" ref="AR515:AR578" si="185">IF(Q515="Intermission",AR514,((1080)-((J515*60)+K515))+AQ515)</f>
        <v>645</v>
      </c>
      <c r="AS515">
        <f t="shared" si="169"/>
        <v>640</v>
      </c>
      <c r="AT515" s="21">
        <f t="shared" si="170"/>
        <v>645</v>
      </c>
      <c r="AU515" s="21"/>
      <c r="AV515" s="21"/>
      <c r="AW515" s="21"/>
    </row>
    <row r="516" spans="1:49" x14ac:dyDescent="0.2">
      <c r="A516">
        <v>276</v>
      </c>
      <c r="E516">
        <f t="shared" ref="E516:E579" si="186">IF(Q516="Intermission",E515+1,E515)</f>
        <v>1</v>
      </c>
      <c r="F516" s="5" t="s">
        <v>539</v>
      </c>
      <c r="G516" s="5" t="s">
        <v>478</v>
      </c>
      <c r="J516" t="str">
        <f t="shared" si="172"/>
        <v>7</v>
      </c>
      <c r="K516" t="str">
        <f t="shared" si="173"/>
        <v>15</v>
      </c>
      <c r="L516" t="str">
        <f t="shared" si="174"/>
        <v/>
      </c>
      <c r="M516" s="6" t="str">
        <f t="shared" si="175"/>
        <v/>
      </c>
      <c r="N516" t="s">
        <v>179</v>
      </c>
      <c r="O516">
        <v>52</v>
      </c>
      <c r="P516" t="s">
        <v>424</v>
      </c>
      <c r="Q516" t="s">
        <v>8</v>
      </c>
      <c r="R516" t="s">
        <v>189</v>
      </c>
      <c r="S516" t="s">
        <v>70</v>
      </c>
      <c r="Y516" t="str">
        <f t="shared" si="176"/>
        <v/>
      </c>
      <c r="Z516" t="str">
        <f t="shared" si="177"/>
        <v/>
      </c>
      <c r="AC516" t="str">
        <f t="shared" si="178"/>
        <v>Pass</v>
      </c>
      <c r="AD516" t="str">
        <f t="shared" si="179"/>
        <v>Pass_Completed</v>
      </c>
      <c r="AE516" t="str">
        <f t="shared" si="180"/>
        <v>Pass-Forehand</v>
      </c>
      <c r="AF516" t="str">
        <f t="shared" si="181"/>
        <v>Offensive</v>
      </c>
      <c r="AG516">
        <f t="shared" ref="AG516:AG579" si="187">AG515</f>
        <v>18981</v>
      </c>
      <c r="AH516" t="str">
        <f t="shared" ref="AH516:AH579" si="188">AH515</f>
        <v>Nelson</v>
      </c>
      <c r="AI516" t="str">
        <f t="shared" ref="AI516:AI579" si="189">AI515</f>
        <v>Velodrome</v>
      </c>
      <c r="AJ516" s="18">
        <f t="shared" si="182"/>
        <v>0</v>
      </c>
      <c r="AP516" s="18">
        <f t="shared" si="183"/>
        <v>0</v>
      </c>
      <c r="AQ516">
        <f t="shared" si="184"/>
        <v>0</v>
      </c>
      <c r="AR516" s="23">
        <f t="shared" si="185"/>
        <v>645</v>
      </c>
      <c r="AS516">
        <f t="shared" ref="AS516:AS579" si="190">IF(AR516&lt;5,0,AR516-5)</f>
        <v>640</v>
      </c>
      <c r="AT516" s="21">
        <f t="shared" ref="AT516:AT579" si="191">AS516+AJ516+5</f>
        <v>645</v>
      </c>
      <c r="AU516" s="21"/>
      <c r="AV516" s="21"/>
      <c r="AW516" s="21"/>
    </row>
    <row r="517" spans="1:49" x14ac:dyDescent="0.2">
      <c r="A517">
        <v>276</v>
      </c>
      <c r="E517">
        <f t="shared" si="186"/>
        <v>1</v>
      </c>
      <c r="J517" t="str">
        <f t="shared" si="172"/>
        <v>7</v>
      </c>
      <c r="K517" t="str">
        <f t="shared" si="173"/>
        <v>15</v>
      </c>
      <c r="L517" t="str">
        <f t="shared" si="174"/>
        <v/>
      </c>
      <c r="M517" s="6" t="str">
        <f t="shared" si="175"/>
        <v/>
      </c>
      <c r="N517" t="str">
        <f t="shared" si="171"/>
        <v>Away</v>
      </c>
      <c r="O517">
        <v>61</v>
      </c>
      <c r="P517" t="s">
        <v>424</v>
      </c>
      <c r="Y517" t="str">
        <f t="shared" si="176"/>
        <v/>
      </c>
      <c r="Z517" t="str">
        <f t="shared" si="177"/>
        <v/>
      </c>
      <c r="AC517" t="str">
        <f t="shared" si="178"/>
        <v>Pass</v>
      </c>
      <c r="AD517" t="str">
        <f t="shared" si="179"/>
        <v>Pass_Completed</v>
      </c>
      <c r="AE517" t="str">
        <f t="shared" si="180"/>
        <v>Pass-Forehand</v>
      </c>
      <c r="AF517" t="str">
        <f t="shared" si="181"/>
        <v>Offensive</v>
      </c>
      <c r="AG517">
        <f t="shared" si="187"/>
        <v>18981</v>
      </c>
      <c r="AH517" t="str">
        <f t="shared" si="188"/>
        <v>Nelson</v>
      </c>
      <c r="AI517" t="str">
        <f t="shared" si="189"/>
        <v>Velodrome</v>
      </c>
      <c r="AJ517" s="18">
        <f t="shared" si="182"/>
        <v>0</v>
      </c>
      <c r="AP517" s="18">
        <f t="shared" si="183"/>
        <v>0</v>
      </c>
      <c r="AQ517">
        <f t="shared" si="184"/>
        <v>0</v>
      </c>
      <c r="AR517" s="23">
        <f t="shared" si="185"/>
        <v>645</v>
      </c>
      <c r="AS517">
        <f t="shared" si="190"/>
        <v>640</v>
      </c>
      <c r="AT517" s="21">
        <f t="shared" si="191"/>
        <v>645</v>
      </c>
      <c r="AU517" s="21"/>
      <c r="AV517" s="21"/>
      <c r="AW517" s="21"/>
    </row>
    <row r="518" spans="1:49" x14ac:dyDescent="0.2">
      <c r="A518">
        <v>277</v>
      </c>
      <c r="E518">
        <f t="shared" si="186"/>
        <v>1</v>
      </c>
      <c r="F518" s="5" t="s">
        <v>539</v>
      </c>
      <c r="G518" s="5" t="s">
        <v>478</v>
      </c>
      <c r="H518" s="5" t="s">
        <v>539</v>
      </c>
      <c r="I518" s="7" t="s">
        <v>487</v>
      </c>
      <c r="J518" t="str">
        <f t="shared" si="172"/>
        <v>7</v>
      </c>
      <c r="K518" t="str">
        <f t="shared" si="173"/>
        <v>15</v>
      </c>
      <c r="L518" t="str">
        <f t="shared" si="174"/>
        <v>7</v>
      </c>
      <c r="M518" s="6" t="str">
        <f t="shared" si="175"/>
        <v>12</v>
      </c>
      <c r="N518" t="s">
        <v>179</v>
      </c>
      <c r="O518">
        <v>61</v>
      </c>
      <c r="P518" t="s">
        <v>424</v>
      </c>
      <c r="Q518" t="s">
        <v>15</v>
      </c>
      <c r="Y518" t="str">
        <f t="shared" si="176"/>
        <v/>
      </c>
      <c r="Z518" t="str">
        <f t="shared" si="177"/>
        <v/>
      </c>
      <c r="AC518" t="str">
        <f t="shared" si="178"/>
        <v>Possession</v>
      </c>
      <c r="AD518" t="str">
        <f t="shared" si="179"/>
        <v/>
      </c>
      <c r="AE518" t="str">
        <f t="shared" si="180"/>
        <v/>
      </c>
      <c r="AF518" t="str">
        <f t="shared" si="181"/>
        <v>Offensive</v>
      </c>
      <c r="AG518">
        <f t="shared" si="187"/>
        <v>18981</v>
      </c>
      <c r="AH518" t="str">
        <f t="shared" si="188"/>
        <v>Nelson</v>
      </c>
      <c r="AI518" t="str">
        <f t="shared" si="189"/>
        <v>Velodrome</v>
      </c>
      <c r="AJ518" s="18">
        <f t="shared" si="182"/>
        <v>3</v>
      </c>
      <c r="AP518" s="18">
        <f t="shared" si="183"/>
        <v>0</v>
      </c>
      <c r="AQ518">
        <f t="shared" si="184"/>
        <v>0</v>
      </c>
      <c r="AR518" s="23">
        <f t="shared" si="185"/>
        <v>645</v>
      </c>
      <c r="AS518">
        <f t="shared" si="190"/>
        <v>640</v>
      </c>
      <c r="AT518" s="21">
        <f t="shared" si="191"/>
        <v>648</v>
      </c>
      <c r="AU518" s="21"/>
      <c r="AV518" s="21"/>
      <c r="AW518" s="21"/>
    </row>
    <row r="519" spans="1:49" x14ac:dyDescent="0.2">
      <c r="A519">
        <v>278</v>
      </c>
      <c r="E519">
        <f t="shared" si="186"/>
        <v>1</v>
      </c>
      <c r="F519" s="5" t="s">
        <v>539</v>
      </c>
      <c r="G519" s="5" t="s">
        <v>487</v>
      </c>
      <c r="J519" t="str">
        <f t="shared" si="172"/>
        <v>7</v>
      </c>
      <c r="K519" t="str">
        <f t="shared" si="173"/>
        <v>12</v>
      </c>
      <c r="L519" t="str">
        <f t="shared" si="174"/>
        <v/>
      </c>
      <c r="M519" s="6" t="str">
        <f t="shared" si="175"/>
        <v/>
      </c>
      <c r="N519" t="s">
        <v>179</v>
      </c>
      <c r="O519">
        <v>61</v>
      </c>
      <c r="P519" t="s">
        <v>424</v>
      </c>
      <c r="Q519" t="s">
        <v>8</v>
      </c>
      <c r="R519" t="s">
        <v>209</v>
      </c>
      <c r="S519" t="s">
        <v>70</v>
      </c>
      <c r="Y519" t="str">
        <f t="shared" si="176"/>
        <v/>
      </c>
      <c r="Z519" t="str">
        <f t="shared" si="177"/>
        <v/>
      </c>
      <c r="AC519" t="str">
        <f t="shared" si="178"/>
        <v>Pass</v>
      </c>
      <c r="AD519" t="str">
        <f t="shared" si="179"/>
        <v>Pass_Deflected</v>
      </c>
      <c r="AE519" t="str">
        <f t="shared" si="180"/>
        <v>Pass-Forehand</v>
      </c>
      <c r="AF519" t="str">
        <f t="shared" si="181"/>
        <v>Offensive</v>
      </c>
      <c r="AG519">
        <f t="shared" si="187"/>
        <v>18981</v>
      </c>
      <c r="AH519" t="str">
        <f t="shared" si="188"/>
        <v>Nelson</v>
      </c>
      <c r="AI519" t="str">
        <f t="shared" si="189"/>
        <v>Velodrome</v>
      </c>
      <c r="AJ519" s="18">
        <f t="shared" si="182"/>
        <v>0</v>
      </c>
      <c r="AP519" s="18">
        <f t="shared" si="183"/>
        <v>0</v>
      </c>
      <c r="AQ519">
        <f t="shared" si="184"/>
        <v>0</v>
      </c>
      <c r="AR519" s="23">
        <f t="shared" si="185"/>
        <v>648</v>
      </c>
      <c r="AS519">
        <f t="shared" si="190"/>
        <v>643</v>
      </c>
      <c r="AT519" s="21">
        <f t="shared" si="191"/>
        <v>648</v>
      </c>
      <c r="AU519" s="21"/>
      <c r="AV519" s="21"/>
      <c r="AW519" s="21"/>
    </row>
    <row r="520" spans="1:49" x14ac:dyDescent="0.2">
      <c r="A520">
        <v>278</v>
      </c>
      <c r="E520">
        <f t="shared" si="186"/>
        <v>1</v>
      </c>
      <c r="J520" t="str">
        <f t="shared" si="172"/>
        <v>7</v>
      </c>
      <c r="K520" t="str">
        <f t="shared" si="173"/>
        <v>12</v>
      </c>
      <c r="L520" t="str">
        <f t="shared" si="174"/>
        <v/>
      </c>
      <c r="M520" s="6" t="str">
        <f t="shared" si="175"/>
        <v/>
      </c>
      <c r="N520" t="str">
        <f t="shared" ref="N520:N581" si="192">IF(A520=A519,N519,"")</f>
        <v>Away</v>
      </c>
      <c r="O520">
        <v>49</v>
      </c>
      <c r="P520" t="s">
        <v>424</v>
      </c>
      <c r="Y520" t="str">
        <f t="shared" si="176"/>
        <v/>
      </c>
      <c r="Z520" t="str">
        <f t="shared" si="177"/>
        <v/>
      </c>
      <c r="AC520" t="str">
        <f t="shared" si="178"/>
        <v>Pass</v>
      </c>
      <c r="AD520" t="str">
        <f t="shared" si="179"/>
        <v>Pass_Deflected</v>
      </c>
      <c r="AE520" t="str">
        <f t="shared" si="180"/>
        <v>Pass-Forehand</v>
      </c>
      <c r="AF520" t="str">
        <f t="shared" si="181"/>
        <v>Offensive</v>
      </c>
      <c r="AG520">
        <f t="shared" si="187"/>
        <v>18981</v>
      </c>
      <c r="AH520" t="str">
        <f t="shared" si="188"/>
        <v>Nelson</v>
      </c>
      <c r="AI520" t="str">
        <f t="shared" si="189"/>
        <v>Velodrome</v>
      </c>
      <c r="AJ520" s="18">
        <f t="shared" si="182"/>
        <v>0</v>
      </c>
      <c r="AP520" s="18">
        <f t="shared" si="183"/>
        <v>0</v>
      </c>
      <c r="AQ520">
        <f t="shared" si="184"/>
        <v>0</v>
      </c>
      <c r="AR520" s="23">
        <f t="shared" si="185"/>
        <v>648</v>
      </c>
      <c r="AS520">
        <f t="shared" si="190"/>
        <v>643</v>
      </c>
      <c r="AT520" s="21">
        <f t="shared" si="191"/>
        <v>648</v>
      </c>
      <c r="AU520" s="21"/>
      <c r="AV520" s="21"/>
      <c r="AW520" s="21"/>
    </row>
    <row r="521" spans="1:49" x14ac:dyDescent="0.2">
      <c r="A521">
        <v>278</v>
      </c>
      <c r="E521">
        <f t="shared" si="186"/>
        <v>1</v>
      </c>
      <c r="J521" t="str">
        <f t="shared" ref="J521:J584" si="193">IF(F521&lt;&gt;"",F521,IF($A521=$A520,J520,J521))</f>
        <v>7</v>
      </c>
      <c r="K521" t="str">
        <f t="shared" ref="K521:K584" si="194">IF($A521=$A520,K520,G521)</f>
        <v>12</v>
      </c>
      <c r="L521" t="str">
        <f t="shared" ref="L521:L584" si="195">IF(H521&lt;&gt;"",H521,IF($A521=$A520,L520,""))</f>
        <v/>
      </c>
      <c r="M521" s="6" t="str">
        <f t="shared" ref="M521:M584" si="196">IF(I521&lt;&gt;"",I521,IF($A521=$A520,M520,""))</f>
        <v/>
      </c>
      <c r="N521" t="str">
        <f t="shared" si="192"/>
        <v>Away</v>
      </c>
      <c r="O521">
        <v>16</v>
      </c>
      <c r="P521" t="s">
        <v>425</v>
      </c>
      <c r="Y521" t="str">
        <f t="shared" si="176"/>
        <v/>
      </c>
      <c r="Z521" t="str">
        <f t="shared" si="177"/>
        <v/>
      </c>
      <c r="AC521" t="str">
        <f t="shared" si="178"/>
        <v>Pass</v>
      </c>
      <c r="AD521" t="str">
        <f t="shared" si="179"/>
        <v>Pass_Deflected</v>
      </c>
      <c r="AE521" t="str">
        <f t="shared" si="180"/>
        <v>Pass-Forehand</v>
      </c>
      <c r="AF521" t="str">
        <f t="shared" si="181"/>
        <v>Defensive</v>
      </c>
      <c r="AG521">
        <f t="shared" si="187"/>
        <v>18981</v>
      </c>
      <c r="AH521" t="str">
        <f t="shared" si="188"/>
        <v>Nelson</v>
      </c>
      <c r="AI521" t="str">
        <f t="shared" si="189"/>
        <v>Velodrome</v>
      </c>
      <c r="AJ521" s="18">
        <f t="shared" si="182"/>
        <v>0</v>
      </c>
      <c r="AP521" s="18">
        <f t="shared" si="183"/>
        <v>0</v>
      </c>
      <c r="AQ521">
        <f t="shared" si="184"/>
        <v>0</v>
      </c>
      <c r="AR521" s="23">
        <f t="shared" si="185"/>
        <v>648</v>
      </c>
      <c r="AS521">
        <f t="shared" si="190"/>
        <v>643</v>
      </c>
      <c r="AT521" s="21">
        <f t="shared" si="191"/>
        <v>648</v>
      </c>
      <c r="AU521" s="21"/>
      <c r="AV521" s="21"/>
      <c r="AW521" s="21"/>
    </row>
    <row r="522" spans="1:49" x14ac:dyDescent="0.2">
      <c r="A522">
        <v>279</v>
      </c>
      <c r="E522">
        <f t="shared" si="186"/>
        <v>1</v>
      </c>
      <c r="F522" s="5" t="s">
        <v>539</v>
      </c>
      <c r="G522" s="5" t="s">
        <v>485</v>
      </c>
      <c r="J522" t="str">
        <f t="shared" si="193"/>
        <v>7</v>
      </c>
      <c r="K522" t="str">
        <f t="shared" si="194"/>
        <v>10</v>
      </c>
      <c r="L522" t="str">
        <f t="shared" si="195"/>
        <v/>
      </c>
      <c r="M522" s="6" t="str">
        <f t="shared" si="196"/>
        <v/>
      </c>
      <c r="N522" t="s">
        <v>179</v>
      </c>
      <c r="O522">
        <v>52</v>
      </c>
      <c r="P522" t="s">
        <v>424</v>
      </c>
      <c r="Q522" t="s">
        <v>8</v>
      </c>
      <c r="R522" t="s">
        <v>189</v>
      </c>
      <c r="S522" t="s">
        <v>69</v>
      </c>
      <c r="Y522" t="str">
        <f t="shared" si="176"/>
        <v/>
      </c>
      <c r="Z522" t="str">
        <f t="shared" si="177"/>
        <v/>
      </c>
      <c r="AC522" t="str">
        <f t="shared" si="178"/>
        <v>Pass</v>
      </c>
      <c r="AD522" t="str">
        <f t="shared" si="179"/>
        <v>Pass_Completed</v>
      </c>
      <c r="AE522" t="str">
        <f t="shared" si="180"/>
        <v>Pass-Backhand</v>
      </c>
      <c r="AF522" t="str">
        <f t="shared" si="181"/>
        <v>Offensive</v>
      </c>
      <c r="AG522">
        <f t="shared" si="187"/>
        <v>18981</v>
      </c>
      <c r="AH522" t="str">
        <f t="shared" si="188"/>
        <v>Nelson</v>
      </c>
      <c r="AI522" t="str">
        <f t="shared" si="189"/>
        <v>Velodrome</v>
      </c>
      <c r="AJ522" s="18">
        <f t="shared" si="182"/>
        <v>0</v>
      </c>
      <c r="AP522" s="18">
        <f t="shared" si="183"/>
        <v>0</v>
      </c>
      <c r="AQ522">
        <f t="shared" si="184"/>
        <v>0</v>
      </c>
      <c r="AR522" s="23">
        <f t="shared" si="185"/>
        <v>650</v>
      </c>
      <c r="AS522">
        <f t="shared" si="190"/>
        <v>645</v>
      </c>
      <c r="AT522" s="21">
        <f t="shared" si="191"/>
        <v>650</v>
      </c>
      <c r="AU522" s="21"/>
      <c r="AV522" s="21"/>
      <c r="AW522" s="21"/>
    </row>
    <row r="523" spans="1:49" x14ac:dyDescent="0.2">
      <c r="A523">
        <v>279</v>
      </c>
      <c r="E523">
        <f t="shared" si="186"/>
        <v>1</v>
      </c>
      <c r="J523" t="str">
        <f t="shared" si="193"/>
        <v>7</v>
      </c>
      <c r="K523" t="str">
        <f t="shared" si="194"/>
        <v>10</v>
      </c>
      <c r="L523" t="str">
        <f t="shared" si="195"/>
        <v/>
      </c>
      <c r="M523" s="6" t="str">
        <f t="shared" si="196"/>
        <v/>
      </c>
      <c r="N523" t="str">
        <f t="shared" si="192"/>
        <v>Away</v>
      </c>
      <c r="O523">
        <v>14</v>
      </c>
      <c r="P523" t="s">
        <v>424</v>
      </c>
      <c r="Y523" t="str">
        <f t="shared" si="176"/>
        <v/>
      </c>
      <c r="Z523" t="str">
        <f t="shared" si="177"/>
        <v/>
      </c>
      <c r="AC523" t="str">
        <f t="shared" si="178"/>
        <v>Pass</v>
      </c>
      <c r="AD523" t="str">
        <f t="shared" si="179"/>
        <v>Pass_Completed</v>
      </c>
      <c r="AE523" t="str">
        <f t="shared" si="180"/>
        <v>Pass-Backhand</v>
      </c>
      <c r="AF523" t="str">
        <f t="shared" si="181"/>
        <v>Offensive</v>
      </c>
      <c r="AG523">
        <f t="shared" si="187"/>
        <v>18981</v>
      </c>
      <c r="AH523" t="str">
        <f t="shared" si="188"/>
        <v>Nelson</v>
      </c>
      <c r="AI523" t="str">
        <f t="shared" si="189"/>
        <v>Velodrome</v>
      </c>
      <c r="AJ523" s="18">
        <f t="shared" si="182"/>
        <v>0</v>
      </c>
      <c r="AP523" s="18">
        <f t="shared" si="183"/>
        <v>0</v>
      </c>
      <c r="AQ523">
        <f t="shared" si="184"/>
        <v>0</v>
      </c>
      <c r="AR523" s="23">
        <f t="shared" si="185"/>
        <v>650</v>
      </c>
      <c r="AS523">
        <f t="shared" si="190"/>
        <v>645</v>
      </c>
      <c r="AT523" s="21">
        <f t="shared" si="191"/>
        <v>650</v>
      </c>
      <c r="AU523" s="21"/>
      <c r="AV523" s="21"/>
      <c r="AW523" s="21"/>
    </row>
    <row r="524" spans="1:49" x14ac:dyDescent="0.2">
      <c r="A524">
        <v>280</v>
      </c>
      <c r="E524">
        <f t="shared" si="186"/>
        <v>1</v>
      </c>
      <c r="F524" s="5" t="s">
        <v>539</v>
      </c>
      <c r="G524" s="5" t="s">
        <v>485</v>
      </c>
      <c r="J524" t="str">
        <f t="shared" si="193"/>
        <v>7</v>
      </c>
      <c r="K524" t="str">
        <f t="shared" si="194"/>
        <v>10</v>
      </c>
      <c r="L524" t="str">
        <f t="shared" si="195"/>
        <v/>
      </c>
      <c r="M524" s="6" t="str">
        <f t="shared" si="196"/>
        <v/>
      </c>
      <c r="N524" t="s">
        <v>179</v>
      </c>
      <c r="O524">
        <v>14</v>
      </c>
      <c r="P524" t="s">
        <v>424</v>
      </c>
      <c r="Q524" t="s">
        <v>277</v>
      </c>
      <c r="R524" t="s">
        <v>191</v>
      </c>
      <c r="S524" t="s">
        <v>89</v>
      </c>
      <c r="Y524" t="str">
        <f t="shared" si="176"/>
        <v/>
      </c>
      <c r="Z524" t="str">
        <f t="shared" si="177"/>
        <v/>
      </c>
      <c r="AC524" t="str">
        <f t="shared" si="178"/>
        <v>Zone_Entry_Exit</v>
      </c>
      <c r="AD524" t="str">
        <f t="shared" si="179"/>
        <v>Zone_Entry</v>
      </c>
      <c r="AE524" t="str">
        <f t="shared" si="180"/>
        <v>ZoneEntry-DumpIn</v>
      </c>
      <c r="AF524" t="str">
        <f t="shared" si="181"/>
        <v>Offensive</v>
      </c>
      <c r="AG524">
        <f t="shared" si="187"/>
        <v>18981</v>
      </c>
      <c r="AH524" t="str">
        <f t="shared" si="188"/>
        <v>Nelson</v>
      </c>
      <c r="AI524" t="str">
        <f t="shared" si="189"/>
        <v>Velodrome</v>
      </c>
      <c r="AJ524" s="18">
        <f t="shared" si="182"/>
        <v>0</v>
      </c>
      <c r="AP524" s="18">
        <f t="shared" si="183"/>
        <v>0</v>
      </c>
      <c r="AQ524">
        <f t="shared" si="184"/>
        <v>0</v>
      </c>
      <c r="AR524" s="23">
        <f t="shared" si="185"/>
        <v>650</v>
      </c>
      <c r="AS524">
        <f t="shared" si="190"/>
        <v>645</v>
      </c>
      <c r="AT524" s="21">
        <f t="shared" si="191"/>
        <v>650</v>
      </c>
      <c r="AU524" s="21"/>
      <c r="AV524" s="21"/>
      <c r="AW524" s="21"/>
    </row>
    <row r="525" spans="1:49" x14ac:dyDescent="0.2">
      <c r="A525">
        <v>281</v>
      </c>
      <c r="E525">
        <f t="shared" si="186"/>
        <v>1</v>
      </c>
      <c r="F525" s="5" t="s">
        <v>539</v>
      </c>
      <c r="G525" s="5" t="s">
        <v>485</v>
      </c>
      <c r="J525" t="str">
        <f t="shared" si="193"/>
        <v>7</v>
      </c>
      <c r="K525" t="str">
        <f t="shared" si="194"/>
        <v>10</v>
      </c>
      <c r="L525" t="str">
        <f t="shared" si="195"/>
        <v/>
      </c>
      <c r="M525" s="6" t="str">
        <f t="shared" si="196"/>
        <v/>
      </c>
      <c r="N525" t="s">
        <v>179</v>
      </c>
      <c r="O525">
        <v>14</v>
      </c>
      <c r="P525" t="s">
        <v>424</v>
      </c>
      <c r="Q525" t="s">
        <v>10</v>
      </c>
      <c r="R525" t="s">
        <v>190</v>
      </c>
      <c r="S525" t="s">
        <v>411</v>
      </c>
      <c r="Y525" t="str">
        <f t="shared" si="176"/>
        <v/>
      </c>
      <c r="Z525" t="str">
        <f t="shared" si="177"/>
        <v/>
      </c>
      <c r="AC525" t="str">
        <f t="shared" si="178"/>
        <v>Turnover</v>
      </c>
      <c r="AD525" t="str">
        <f t="shared" si="179"/>
        <v>Turnover_Giveaway</v>
      </c>
      <c r="AE525" t="str">
        <f t="shared" si="180"/>
        <v>Giveaway-ZoneClear/Dump</v>
      </c>
      <c r="AF525" t="str">
        <f t="shared" si="181"/>
        <v>Offensive</v>
      </c>
      <c r="AG525">
        <f t="shared" si="187"/>
        <v>18981</v>
      </c>
      <c r="AH525" t="str">
        <f t="shared" si="188"/>
        <v>Nelson</v>
      </c>
      <c r="AI525" t="str">
        <f t="shared" si="189"/>
        <v>Velodrome</v>
      </c>
      <c r="AJ525" s="18">
        <f t="shared" si="182"/>
        <v>0</v>
      </c>
      <c r="AP525" s="18">
        <f t="shared" si="183"/>
        <v>0</v>
      </c>
      <c r="AQ525">
        <f t="shared" si="184"/>
        <v>0</v>
      </c>
      <c r="AR525" s="23">
        <f t="shared" si="185"/>
        <v>650</v>
      </c>
      <c r="AS525">
        <f t="shared" si="190"/>
        <v>645</v>
      </c>
      <c r="AT525" s="21">
        <f t="shared" si="191"/>
        <v>650</v>
      </c>
      <c r="AU525" s="21"/>
      <c r="AV525" s="21"/>
      <c r="AW525" s="21"/>
    </row>
    <row r="526" spans="1:49" x14ac:dyDescent="0.2">
      <c r="A526">
        <v>282</v>
      </c>
      <c r="E526">
        <f t="shared" si="186"/>
        <v>1</v>
      </c>
      <c r="F526" s="5" t="s">
        <v>539</v>
      </c>
      <c r="G526" s="5" t="s">
        <v>481</v>
      </c>
      <c r="H526" s="5" t="s">
        <v>539</v>
      </c>
      <c r="I526" s="7" t="s">
        <v>474</v>
      </c>
      <c r="J526" t="str">
        <f t="shared" si="193"/>
        <v>7</v>
      </c>
      <c r="K526" t="str">
        <f t="shared" si="194"/>
        <v>05</v>
      </c>
      <c r="L526" t="str">
        <f t="shared" si="195"/>
        <v>7</v>
      </c>
      <c r="M526" s="6" t="str">
        <f t="shared" si="196"/>
        <v>02</v>
      </c>
      <c r="N526" t="s">
        <v>178</v>
      </c>
      <c r="O526">
        <v>8</v>
      </c>
      <c r="P526" t="s">
        <v>424</v>
      </c>
      <c r="Q526" t="s">
        <v>15</v>
      </c>
      <c r="Y526" t="str">
        <f t="shared" si="176"/>
        <v/>
      </c>
      <c r="Z526" t="str">
        <f t="shared" si="177"/>
        <v/>
      </c>
      <c r="AC526" t="str">
        <f t="shared" si="178"/>
        <v>Possession</v>
      </c>
      <c r="AD526" t="str">
        <f t="shared" si="179"/>
        <v/>
      </c>
      <c r="AE526" t="str">
        <f t="shared" si="180"/>
        <v/>
      </c>
      <c r="AF526" t="str">
        <f t="shared" si="181"/>
        <v>Offensive</v>
      </c>
      <c r="AG526">
        <f t="shared" si="187"/>
        <v>18981</v>
      </c>
      <c r="AH526" t="str">
        <f t="shared" si="188"/>
        <v>Nelson</v>
      </c>
      <c r="AI526" t="str">
        <f t="shared" si="189"/>
        <v>Velodrome</v>
      </c>
      <c r="AJ526" s="18">
        <f t="shared" si="182"/>
        <v>3</v>
      </c>
      <c r="AP526" s="18">
        <f t="shared" si="183"/>
        <v>0</v>
      </c>
      <c r="AQ526">
        <f t="shared" si="184"/>
        <v>0</v>
      </c>
      <c r="AR526" s="23">
        <f t="shared" si="185"/>
        <v>655</v>
      </c>
      <c r="AS526">
        <f t="shared" si="190"/>
        <v>650</v>
      </c>
      <c r="AT526" s="21">
        <f t="shared" si="191"/>
        <v>658</v>
      </c>
      <c r="AU526" s="21"/>
      <c r="AV526" s="21"/>
      <c r="AW526" s="21"/>
    </row>
    <row r="527" spans="1:49" x14ac:dyDescent="0.2">
      <c r="A527">
        <v>283</v>
      </c>
      <c r="E527">
        <f t="shared" si="186"/>
        <v>1</v>
      </c>
      <c r="F527" s="5" t="s">
        <v>539</v>
      </c>
      <c r="G527" s="5" t="s">
        <v>474</v>
      </c>
      <c r="J527" t="str">
        <f t="shared" si="193"/>
        <v>7</v>
      </c>
      <c r="K527" t="str">
        <f t="shared" si="194"/>
        <v>02</v>
      </c>
      <c r="L527" t="str">
        <f t="shared" si="195"/>
        <v/>
      </c>
      <c r="M527" s="6" t="str">
        <f t="shared" si="196"/>
        <v/>
      </c>
      <c r="N527" t="s">
        <v>178</v>
      </c>
      <c r="O527">
        <v>8</v>
      </c>
      <c r="P527" t="s">
        <v>424</v>
      </c>
      <c r="Q527" t="s">
        <v>8</v>
      </c>
      <c r="R527" t="s">
        <v>189</v>
      </c>
      <c r="S527" t="s">
        <v>68</v>
      </c>
      <c r="Y527" t="str">
        <f t="shared" si="176"/>
        <v/>
      </c>
      <c r="Z527" t="str">
        <f t="shared" si="177"/>
        <v/>
      </c>
      <c r="AC527" t="str">
        <f t="shared" si="178"/>
        <v>Pass</v>
      </c>
      <c r="AD527" t="str">
        <f t="shared" si="179"/>
        <v>Pass_Completed</v>
      </c>
      <c r="AE527" t="str">
        <f t="shared" si="180"/>
        <v>Pass-Rim/Wrap</v>
      </c>
      <c r="AF527" t="str">
        <f t="shared" si="181"/>
        <v>Offensive</v>
      </c>
      <c r="AG527">
        <f t="shared" si="187"/>
        <v>18981</v>
      </c>
      <c r="AH527" t="str">
        <f t="shared" si="188"/>
        <v>Nelson</v>
      </c>
      <c r="AI527" t="str">
        <f t="shared" si="189"/>
        <v>Velodrome</v>
      </c>
      <c r="AJ527" s="18">
        <f t="shared" si="182"/>
        <v>0</v>
      </c>
      <c r="AP527" s="18">
        <f t="shared" si="183"/>
        <v>0</v>
      </c>
      <c r="AQ527">
        <f t="shared" si="184"/>
        <v>0</v>
      </c>
      <c r="AR527" s="23">
        <f t="shared" si="185"/>
        <v>658</v>
      </c>
      <c r="AS527">
        <f t="shared" si="190"/>
        <v>653</v>
      </c>
      <c r="AT527" s="21">
        <f t="shared" si="191"/>
        <v>658</v>
      </c>
      <c r="AU527" s="21"/>
      <c r="AV527" s="21"/>
      <c r="AW527" s="21"/>
    </row>
    <row r="528" spans="1:49" x14ac:dyDescent="0.2">
      <c r="A528">
        <v>283</v>
      </c>
      <c r="E528">
        <f t="shared" si="186"/>
        <v>1</v>
      </c>
      <c r="J528" t="str">
        <f t="shared" si="193"/>
        <v>7</v>
      </c>
      <c r="K528" t="str">
        <f t="shared" si="194"/>
        <v>02</v>
      </c>
      <c r="L528" t="str">
        <f t="shared" si="195"/>
        <v/>
      </c>
      <c r="M528" s="6" t="str">
        <f t="shared" si="196"/>
        <v/>
      </c>
      <c r="N528" t="str">
        <f t="shared" si="192"/>
        <v>Home</v>
      </c>
      <c r="O528">
        <v>10</v>
      </c>
      <c r="P528" t="s">
        <v>424</v>
      </c>
      <c r="Y528" t="str">
        <f t="shared" si="176"/>
        <v/>
      </c>
      <c r="Z528" t="str">
        <f t="shared" si="177"/>
        <v/>
      </c>
      <c r="AC528" t="str">
        <f t="shared" si="178"/>
        <v>Pass</v>
      </c>
      <c r="AD528" t="str">
        <f t="shared" si="179"/>
        <v>Pass_Completed</v>
      </c>
      <c r="AE528" t="str">
        <f t="shared" si="180"/>
        <v>Pass-Rim/Wrap</v>
      </c>
      <c r="AF528" t="str">
        <f t="shared" si="181"/>
        <v>Offensive</v>
      </c>
      <c r="AG528">
        <f t="shared" si="187"/>
        <v>18981</v>
      </c>
      <c r="AH528" t="str">
        <f t="shared" si="188"/>
        <v>Nelson</v>
      </c>
      <c r="AI528" t="str">
        <f t="shared" si="189"/>
        <v>Velodrome</v>
      </c>
      <c r="AJ528" s="18">
        <f t="shared" si="182"/>
        <v>0</v>
      </c>
      <c r="AP528" s="18">
        <f t="shared" si="183"/>
        <v>0</v>
      </c>
      <c r="AQ528">
        <f t="shared" si="184"/>
        <v>0</v>
      </c>
      <c r="AR528" s="23">
        <f t="shared" si="185"/>
        <v>658</v>
      </c>
      <c r="AS528">
        <f t="shared" si="190"/>
        <v>653</v>
      </c>
      <c r="AT528" s="21">
        <f t="shared" si="191"/>
        <v>658</v>
      </c>
      <c r="AU528" s="21"/>
      <c r="AV528" s="21"/>
      <c r="AW528" s="21"/>
    </row>
    <row r="529" spans="1:49" x14ac:dyDescent="0.2">
      <c r="A529">
        <v>283</v>
      </c>
      <c r="E529">
        <f t="shared" si="186"/>
        <v>1</v>
      </c>
      <c r="J529" t="str">
        <f t="shared" si="193"/>
        <v>7</v>
      </c>
      <c r="K529" t="str">
        <f t="shared" si="194"/>
        <v>02</v>
      </c>
      <c r="L529" t="str">
        <f t="shared" si="195"/>
        <v/>
      </c>
      <c r="M529" s="6" t="str">
        <f t="shared" si="196"/>
        <v/>
      </c>
      <c r="N529" t="str">
        <f t="shared" si="192"/>
        <v>Home</v>
      </c>
      <c r="O529">
        <v>49</v>
      </c>
      <c r="P529" t="s">
        <v>425</v>
      </c>
      <c r="Y529" t="str">
        <f t="shared" si="176"/>
        <v/>
      </c>
      <c r="Z529" t="str">
        <f t="shared" si="177"/>
        <v/>
      </c>
      <c r="AC529" t="str">
        <f t="shared" si="178"/>
        <v>Pass</v>
      </c>
      <c r="AD529" t="str">
        <f t="shared" si="179"/>
        <v>Pass_Completed</v>
      </c>
      <c r="AE529" t="str">
        <f t="shared" si="180"/>
        <v>Pass-Rim/Wrap</v>
      </c>
      <c r="AF529" t="str">
        <f t="shared" si="181"/>
        <v>Defensive</v>
      </c>
      <c r="AG529">
        <f t="shared" si="187"/>
        <v>18981</v>
      </c>
      <c r="AH529" t="str">
        <f t="shared" si="188"/>
        <v>Nelson</v>
      </c>
      <c r="AI529" t="str">
        <f t="shared" si="189"/>
        <v>Velodrome</v>
      </c>
      <c r="AJ529" s="18">
        <f t="shared" si="182"/>
        <v>0</v>
      </c>
      <c r="AP529" s="18">
        <f t="shared" si="183"/>
        <v>0</v>
      </c>
      <c r="AQ529">
        <f t="shared" si="184"/>
        <v>0</v>
      </c>
      <c r="AR529" s="23">
        <f t="shared" si="185"/>
        <v>658</v>
      </c>
      <c r="AS529">
        <f t="shared" si="190"/>
        <v>653</v>
      </c>
      <c r="AT529" s="21">
        <f t="shared" si="191"/>
        <v>658</v>
      </c>
      <c r="AU529" s="21"/>
      <c r="AV529" s="21"/>
      <c r="AW529" s="21"/>
    </row>
    <row r="530" spans="1:49" x14ac:dyDescent="0.2">
      <c r="A530">
        <v>284</v>
      </c>
      <c r="E530">
        <f t="shared" si="186"/>
        <v>1</v>
      </c>
      <c r="F530" s="5" t="s">
        <v>539</v>
      </c>
      <c r="G530" s="5" t="s">
        <v>474</v>
      </c>
      <c r="H530" s="5" t="s">
        <v>539</v>
      </c>
      <c r="I530" s="7" t="s">
        <v>475</v>
      </c>
      <c r="J530" t="str">
        <f t="shared" si="193"/>
        <v>7</v>
      </c>
      <c r="K530" t="str">
        <f t="shared" si="194"/>
        <v>02</v>
      </c>
      <c r="L530" t="str">
        <f t="shared" si="195"/>
        <v>7</v>
      </c>
      <c r="M530" s="6" t="str">
        <f t="shared" si="196"/>
        <v>00</v>
      </c>
      <c r="N530" t="s">
        <v>178</v>
      </c>
      <c r="O530">
        <v>10</v>
      </c>
      <c r="P530" t="s">
        <v>424</v>
      </c>
      <c r="Q530" t="s">
        <v>15</v>
      </c>
      <c r="Y530" t="str">
        <f t="shared" si="176"/>
        <v/>
      </c>
      <c r="Z530" t="str">
        <f t="shared" si="177"/>
        <v/>
      </c>
      <c r="AC530" t="str">
        <f t="shared" si="178"/>
        <v>Possession</v>
      </c>
      <c r="AD530" t="str">
        <f t="shared" si="179"/>
        <v/>
      </c>
      <c r="AE530" t="str">
        <f t="shared" si="180"/>
        <v/>
      </c>
      <c r="AF530" t="str">
        <f t="shared" si="181"/>
        <v>Offensive</v>
      </c>
      <c r="AG530">
        <f t="shared" si="187"/>
        <v>18981</v>
      </c>
      <c r="AH530" t="str">
        <f t="shared" si="188"/>
        <v>Nelson</v>
      </c>
      <c r="AI530" t="str">
        <f t="shared" si="189"/>
        <v>Velodrome</v>
      </c>
      <c r="AJ530" s="18">
        <f t="shared" si="182"/>
        <v>2</v>
      </c>
      <c r="AP530" s="18">
        <f t="shared" si="183"/>
        <v>0</v>
      </c>
      <c r="AQ530">
        <f t="shared" si="184"/>
        <v>0</v>
      </c>
      <c r="AR530" s="23">
        <f t="shared" si="185"/>
        <v>658</v>
      </c>
      <c r="AS530">
        <f t="shared" si="190"/>
        <v>653</v>
      </c>
      <c r="AT530" s="21">
        <f t="shared" si="191"/>
        <v>660</v>
      </c>
      <c r="AU530" s="21"/>
      <c r="AV530" s="21"/>
      <c r="AW530" s="21"/>
    </row>
    <row r="531" spans="1:49" x14ac:dyDescent="0.2">
      <c r="A531">
        <v>284</v>
      </c>
      <c r="E531">
        <f t="shared" si="186"/>
        <v>1</v>
      </c>
      <c r="J531" t="str">
        <f t="shared" si="193"/>
        <v>7</v>
      </c>
      <c r="K531" t="str">
        <f t="shared" si="194"/>
        <v>02</v>
      </c>
      <c r="L531" t="str">
        <f t="shared" si="195"/>
        <v>7</v>
      </c>
      <c r="M531" s="6" t="str">
        <f t="shared" si="196"/>
        <v>00</v>
      </c>
      <c r="N531" t="str">
        <f t="shared" si="192"/>
        <v>Home</v>
      </c>
      <c r="O531">
        <v>61</v>
      </c>
      <c r="P531" t="s">
        <v>425</v>
      </c>
      <c r="Y531" t="str">
        <f t="shared" si="176"/>
        <v/>
      </c>
      <c r="Z531" t="str">
        <f t="shared" si="177"/>
        <v/>
      </c>
      <c r="AC531" t="str">
        <f t="shared" si="178"/>
        <v>Possession</v>
      </c>
      <c r="AD531" t="str">
        <f t="shared" si="179"/>
        <v/>
      </c>
      <c r="AE531" t="str">
        <f t="shared" si="180"/>
        <v/>
      </c>
      <c r="AF531" t="str">
        <f t="shared" si="181"/>
        <v>Defensive</v>
      </c>
      <c r="AG531">
        <f t="shared" si="187"/>
        <v>18981</v>
      </c>
      <c r="AH531" t="str">
        <f t="shared" si="188"/>
        <v>Nelson</v>
      </c>
      <c r="AI531" t="str">
        <f t="shared" si="189"/>
        <v>Velodrome</v>
      </c>
      <c r="AJ531" s="18">
        <f t="shared" si="182"/>
        <v>2</v>
      </c>
      <c r="AP531" s="18">
        <f t="shared" si="183"/>
        <v>0</v>
      </c>
      <c r="AQ531">
        <f t="shared" si="184"/>
        <v>0</v>
      </c>
      <c r="AR531" s="23">
        <f t="shared" si="185"/>
        <v>658</v>
      </c>
      <c r="AS531">
        <f t="shared" si="190"/>
        <v>653</v>
      </c>
      <c r="AT531" s="21">
        <f t="shared" si="191"/>
        <v>660</v>
      </c>
      <c r="AU531" s="21"/>
      <c r="AV531" s="21"/>
      <c r="AW531" s="21"/>
    </row>
    <row r="532" spans="1:49" x14ac:dyDescent="0.2">
      <c r="A532">
        <v>285</v>
      </c>
      <c r="E532">
        <f t="shared" si="186"/>
        <v>1</v>
      </c>
      <c r="F532" s="5" t="s">
        <v>539</v>
      </c>
      <c r="G532" s="5" t="s">
        <v>475</v>
      </c>
      <c r="J532" t="str">
        <f t="shared" si="193"/>
        <v>7</v>
      </c>
      <c r="K532" t="str">
        <f t="shared" si="194"/>
        <v>00</v>
      </c>
      <c r="L532" t="str">
        <f t="shared" si="195"/>
        <v/>
      </c>
      <c r="M532" s="6" t="str">
        <f t="shared" si="196"/>
        <v/>
      </c>
      <c r="N532" t="s">
        <v>178</v>
      </c>
      <c r="O532">
        <v>10</v>
      </c>
      <c r="P532" t="s">
        <v>424</v>
      </c>
      <c r="Q532" t="s">
        <v>8</v>
      </c>
      <c r="R532" t="s">
        <v>189</v>
      </c>
      <c r="S532" t="s">
        <v>71</v>
      </c>
      <c r="Y532" t="str">
        <f t="shared" si="176"/>
        <v/>
      </c>
      <c r="Z532" t="str">
        <f t="shared" si="177"/>
        <v/>
      </c>
      <c r="AC532" t="str">
        <f t="shared" si="178"/>
        <v>Pass</v>
      </c>
      <c r="AD532" t="str">
        <f t="shared" si="179"/>
        <v>Pass_Completed</v>
      </c>
      <c r="AE532" t="str">
        <f t="shared" si="180"/>
        <v>Pass-Bank</v>
      </c>
      <c r="AF532" t="str">
        <f t="shared" si="181"/>
        <v>Offensive</v>
      </c>
      <c r="AG532">
        <f t="shared" si="187"/>
        <v>18981</v>
      </c>
      <c r="AH532" t="str">
        <f t="shared" si="188"/>
        <v>Nelson</v>
      </c>
      <c r="AI532" t="str">
        <f t="shared" si="189"/>
        <v>Velodrome</v>
      </c>
      <c r="AJ532" s="18">
        <f t="shared" si="182"/>
        <v>0</v>
      </c>
      <c r="AP532" s="18">
        <f t="shared" si="183"/>
        <v>0</v>
      </c>
      <c r="AQ532">
        <f t="shared" si="184"/>
        <v>0</v>
      </c>
      <c r="AR532" s="23">
        <f t="shared" si="185"/>
        <v>660</v>
      </c>
      <c r="AS532">
        <f t="shared" si="190"/>
        <v>655</v>
      </c>
      <c r="AT532" s="21">
        <f t="shared" si="191"/>
        <v>660</v>
      </c>
      <c r="AU532" s="21"/>
      <c r="AV532" s="21"/>
      <c r="AW532" s="21"/>
    </row>
    <row r="533" spans="1:49" x14ac:dyDescent="0.2">
      <c r="A533">
        <v>285</v>
      </c>
      <c r="E533">
        <f t="shared" si="186"/>
        <v>1</v>
      </c>
      <c r="J533" t="str">
        <f t="shared" si="193"/>
        <v>7</v>
      </c>
      <c r="K533" t="str">
        <f t="shared" si="194"/>
        <v>00</v>
      </c>
      <c r="L533" t="str">
        <f t="shared" si="195"/>
        <v/>
      </c>
      <c r="M533" s="6" t="str">
        <f t="shared" si="196"/>
        <v/>
      </c>
      <c r="N533" t="str">
        <f t="shared" si="192"/>
        <v>Home</v>
      </c>
      <c r="O533">
        <v>16</v>
      </c>
      <c r="P533" t="s">
        <v>424</v>
      </c>
      <c r="Y533" t="str">
        <f t="shared" si="176"/>
        <v/>
      </c>
      <c r="Z533" t="str">
        <f t="shared" si="177"/>
        <v/>
      </c>
      <c r="AC533" t="str">
        <f t="shared" si="178"/>
        <v>Pass</v>
      </c>
      <c r="AD533" t="str">
        <f t="shared" si="179"/>
        <v>Pass_Completed</v>
      </c>
      <c r="AE533" t="str">
        <f t="shared" si="180"/>
        <v>Pass-Bank</v>
      </c>
      <c r="AF533" t="str">
        <f t="shared" si="181"/>
        <v>Offensive</v>
      </c>
      <c r="AG533">
        <f t="shared" si="187"/>
        <v>18981</v>
      </c>
      <c r="AH533" t="str">
        <f t="shared" si="188"/>
        <v>Nelson</v>
      </c>
      <c r="AI533" t="str">
        <f t="shared" si="189"/>
        <v>Velodrome</v>
      </c>
      <c r="AJ533" s="18">
        <f t="shared" si="182"/>
        <v>0</v>
      </c>
      <c r="AP533" s="18">
        <f t="shared" si="183"/>
        <v>0</v>
      </c>
      <c r="AQ533">
        <f t="shared" si="184"/>
        <v>0</v>
      </c>
      <c r="AR533" s="23">
        <f t="shared" si="185"/>
        <v>660</v>
      </c>
      <c r="AS533">
        <f t="shared" si="190"/>
        <v>655</v>
      </c>
      <c r="AT533" s="21">
        <f t="shared" si="191"/>
        <v>660</v>
      </c>
      <c r="AU533" s="21"/>
      <c r="AV533" s="21"/>
      <c r="AW533" s="21"/>
    </row>
    <row r="534" spans="1:49" x14ac:dyDescent="0.2">
      <c r="A534">
        <v>285</v>
      </c>
      <c r="E534">
        <f t="shared" si="186"/>
        <v>1</v>
      </c>
      <c r="J534" t="str">
        <f t="shared" si="193"/>
        <v>7</v>
      </c>
      <c r="K534" t="str">
        <f t="shared" si="194"/>
        <v>00</v>
      </c>
      <c r="L534" t="str">
        <f t="shared" si="195"/>
        <v/>
      </c>
      <c r="M534" s="6" t="str">
        <f t="shared" si="196"/>
        <v/>
      </c>
      <c r="N534" t="str">
        <f t="shared" si="192"/>
        <v>Home</v>
      </c>
      <c r="O534">
        <v>61</v>
      </c>
      <c r="P534" t="s">
        <v>425</v>
      </c>
      <c r="Y534" t="str">
        <f t="shared" si="176"/>
        <v/>
      </c>
      <c r="Z534" t="str">
        <f t="shared" si="177"/>
        <v/>
      </c>
      <c r="AC534" t="str">
        <f t="shared" si="178"/>
        <v>Pass</v>
      </c>
      <c r="AD534" t="str">
        <f t="shared" si="179"/>
        <v>Pass_Completed</v>
      </c>
      <c r="AE534" t="str">
        <f t="shared" si="180"/>
        <v>Pass-Bank</v>
      </c>
      <c r="AF534" t="str">
        <f t="shared" si="181"/>
        <v>Defensive</v>
      </c>
      <c r="AG534">
        <f t="shared" si="187"/>
        <v>18981</v>
      </c>
      <c r="AH534" t="str">
        <f t="shared" si="188"/>
        <v>Nelson</v>
      </c>
      <c r="AI534" t="str">
        <f t="shared" si="189"/>
        <v>Velodrome</v>
      </c>
      <c r="AJ534" s="18">
        <f t="shared" si="182"/>
        <v>0</v>
      </c>
      <c r="AP534" s="18">
        <f t="shared" si="183"/>
        <v>0</v>
      </c>
      <c r="AQ534">
        <f t="shared" si="184"/>
        <v>0</v>
      </c>
      <c r="AR534" s="23">
        <f t="shared" si="185"/>
        <v>660</v>
      </c>
      <c r="AS534">
        <f t="shared" si="190"/>
        <v>655</v>
      </c>
      <c r="AT534" s="21">
        <f t="shared" si="191"/>
        <v>660</v>
      </c>
      <c r="AU534" s="21"/>
      <c r="AV534" s="21"/>
      <c r="AW534" s="21"/>
    </row>
    <row r="535" spans="1:49" x14ac:dyDescent="0.2">
      <c r="A535">
        <v>286</v>
      </c>
      <c r="E535">
        <f t="shared" si="186"/>
        <v>1</v>
      </c>
      <c r="F535" s="5" t="s">
        <v>539</v>
      </c>
      <c r="G535" s="5" t="s">
        <v>475</v>
      </c>
      <c r="J535" t="str">
        <f t="shared" si="193"/>
        <v>7</v>
      </c>
      <c r="K535" t="str">
        <f t="shared" si="194"/>
        <v>00</v>
      </c>
      <c r="L535" t="str">
        <f t="shared" si="195"/>
        <v/>
      </c>
      <c r="M535" s="6" t="str">
        <f t="shared" si="196"/>
        <v/>
      </c>
      <c r="N535" t="s">
        <v>178</v>
      </c>
      <c r="O535">
        <v>10</v>
      </c>
      <c r="P535" t="s">
        <v>424</v>
      </c>
      <c r="Q535" t="s">
        <v>277</v>
      </c>
      <c r="R535" t="s">
        <v>201</v>
      </c>
      <c r="S535" t="s">
        <v>91</v>
      </c>
      <c r="Y535" t="str">
        <f t="shared" si="176"/>
        <v/>
      </c>
      <c r="Z535" t="str">
        <f t="shared" si="177"/>
        <v/>
      </c>
      <c r="AC535" t="str">
        <f t="shared" si="178"/>
        <v>Zone_Entry_Exit</v>
      </c>
      <c r="AD535" t="str">
        <f t="shared" si="179"/>
        <v>Zone_Exit</v>
      </c>
      <c r="AE535" t="str">
        <f t="shared" si="180"/>
        <v>ZoneExit-Pass</v>
      </c>
      <c r="AF535" t="str">
        <f t="shared" si="181"/>
        <v>Offensive</v>
      </c>
      <c r="AG535">
        <f t="shared" si="187"/>
        <v>18981</v>
      </c>
      <c r="AH535" t="str">
        <f t="shared" si="188"/>
        <v>Nelson</v>
      </c>
      <c r="AI535" t="str">
        <f t="shared" si="189"/>
        <v>Velodrome</v>
      </c>
      <c r="AJ535" s="18">
        <f t="shared" si="182"/>
        <v>0</v>
      </c>
      <c r="AP535" s="18">
        <f t="shared" si="183"/>
        <v>0</v>
      </c>
      <c r="AQ535">
        <f t="shared" si="184"/>
        <v>0</v>
      </c>
      <c r="AR535" s="23">
        <f t="shared" si="185"/>
        <v>660</v>
      </c>
      <c r="AS535">
        <f t="shared" si="190"/>
        <v>655</v>
      </c>
      <c r="AT535" s="21">
        <f t="shared" si="191"/>
        <v>660</v>
      </c>
      <c r="AU535" s="21"/>
      <c r="AV535" s="21"/>
      <c r="AW535" s="21"/>
    </row>
    <row r="536" spans="1:49" x14ac:dyDescent="0.2">
      <c r="A536">
        <v>286</v>
      </c>
      <c r="E536">
        <f t="shared" si="186"/>
        <v>1</v>
      </c>
      <c r="J536" t="str">
        <f t="shared" si="193"/>
        <v>7</v>
      </c>
      <c r="K536" t="str">
        <f t="shared" si="194"/>
        <v>00</v>
      </c>
      <c r="L536" t="str">
        <f t="shared" si="195"/>
        <v/>
      </c>
      <c r="M536" s="6" t="str">
        <f t="shared" si="196"/>
        <v/>
      </c>
      <c r="N536" t="str">
        <f t="shared" si="192"/>
        <v>Home</v>
      </c>
      <c r="O536">
        <v>16</v>
      </c>
      <c r="P536" t="s">
        <v>424</v>
      </c>
      <c r="Y536" t="str">
        <f t="shared" si="176"/>
        <v/>
      </c>
      <c r="Z536" t="str">
        <f t="shared" si="177"/>
        <v/>
      </c>
      <c r="AC536" t="str">
        <f t="shared" si="178"/>
        <v>Zone_Entry_Exit</v>
      </c>
      <c r="AD536" t="str">
        <f t="shared" si="179"/>
        <v>Zone_Exit</v>
      </c>
      <c r="AE536" t="str">
        <f t="shared" si="180"/>
        <v>ZoneExit-Pass</v>
      </c>
      <c r="AF536" t="str">
        <f t="shared" si="181"/>
        <v>Offensive</v>
      </c>
      <c r="AG536">
        <f t="shared" si="187"/>
        <v>18981</v>
      </c>
      <c r="AH536" t="str">
        <f t="shared" si="188"/>
        <v>Nelson</v>
      </c>
      <c r="AI536" t="str">
        <f t="shared" si="189"/>
        <v>Velodrome</v>
      </c>
      <c r="AJ536" s="18">
        <f t="shared" si="182"/>
        <v>0</v>
      </c>
      <c r="AP536" s="18">
        <f t="shared" si="183"/>
        <v>0</v>
      </c>
      <c r="AQ536">
        <f t="shared" si="184"/>
        <v>0</v>
      </c>
      <c r="AR536" s="23">
        <f t="shared" si="185"/>
        <v>660</v>
      </c>
      <c r="AS536">
        <f t="shared" si="190"/>
        <v>655</v>
      </c>
      <c r="AT536" s="21">
        <f t="shared" si="191"/>
        <v>660</v>
      </c>
      <c r="AU536" s="21"/>
      <c r="AV536" s="21"/>
      <c r="AW536" s="21"/>
    </row>
    <row r="537" spans="1:49" x14ac:dyDescent="0.2">
      <c r="A537">
        <v>286</v>
      </c>
      <c r="E537">
        <f t="shared" si="186"/>
        <v>1</v>
      </c>
      <c r="J537" t="str">
        <f t="shared" si="193"/>
        <v>7</v>
      </c>
      <c r="K537" t="str">
        <f t="shared" si="194"/>
        <v>00</v>
      </c>
      <c r="L537" t="str">
        <f t="shared" si="195"/>
        <v/>
      </c>
      <c r="M537" s="6" t="str">
        <f t="shared" si="196"/>
        <v/>
      </c>
      <c r="N537" t="str">
        <f t="shared" si="192"/>
        <v>Home</v>
      </c>
      <c r="O537">
        <v>61</v>
      </c>
      <c r="P537" t="s">
        <v>425</v>
      </c>
      <c r="Y537" t="str">
        <f t="shared" si="176"/>
        <v/>
      </c>
      <c r="Z537" t="str">
        <f t="shared" si="177"/>
        <v/>
      </c>
      <c r="AC537" t="str">
        <f t="shared" si="178"/>
        <v>Zone_Entry_Exit</v>
      </c>
      <c r="AD537" t="str">
        <f t="shared" si="179"/>
        <v>Zone_Exit</v>
      </c>
      <c r="AE537" t="str">
        <f t="shared" si="180"/>
        <v>ZoneExit-Pass</v>
      </c>
      <c r="AF537" t="str">
        <f t="shared" si="181"/>
        <v>Defensive</v>
      </c>
      <c r="AG537">
        <f t="shared" si="187"/>
        <v>18981</v>
      </c>
      <c r="AH537" t="str">
        <f t="shared" si="188"/>
        <v>Nelson</v>
      </c>
      <c r="AI537" t="str">
        <f t="shared" si="189"/>
        <v>Velodrome</v>
      </c>
      <c r="AJ537" s="18">
        <f t="shared" si="182"/>
        <v>0</v>
      </c>
      <c r="AP537" s="18">
        <f t="shared" si="183"/>
        <v>0</v>
      </c>
      <c r="AQ537">
        <f t="shared" si="184"/>
        <v>0</v>
      </c>
      <c r="AR537" s="23">
        <f t="shared" si="185"/>
        <v>660</v>
      </c>
      <c r="AS537">
        <f t="shared" si="190"/>
        <v>655</v>
      </c>
      <c r="AT537" s="21">
        <f t="shared" si="191"/>
        <v>660</v>
      </c>
      <c r="AU537" s="21"/>
      <c r="AV537" s="21"/>
      <c r="AW537" s="21"/>
    </row>
    <row r="538" spans="1:49" x14ac:dyDescent="0.2">
      <c r="A538">
        <v>287</v>
      </c>
      <c r="E538">
        <f t="shared" si="186"/>
        <v>1</v>
      </c>
      <c r="F538" s="5" t="s">
        <v>541</v>
      </c>
      <c r="G538" s="5" t="s">
        <v>529</v>
      </c>
      <c r="J538" t="str">
        <f t="shared" si="193"/>
        <v>6</v>
      </c>
      <c r="K538" t="str">
        <f t="shared" si="194"/>
        <v>57</v>
      </c>
      <c r="L538" t="str">
        <f t="shared" si="195"/>
        <v/>
      </c>
      <c r="M538" s="6" t="str">
        <f t="shared" si="196"/>
        <v/>
      </c>
      <c r="N538" t="s">
        <v>178</v>
      </c>
      <c r="O538">
        <v>16</v>
      </c>
      <c r="P538" t="s">
        <v>424</v>
      </c>
      <c r="Q538" t="s">
        <v>8</v>
      </c>
      <c r="R538" t="s">
        <v>189</v>
      </c>
      <c r="S538" t="s">
        <v>70</v>
      </c>
      <c r="Y538" t="str">
        <f t="shared" si="176"/>
        <v/>
      </c>
      <c r="Z538" t="str">
        <f t="shared" si="177"/>
        <v/>
      </c>
      <c r="AC538" t="str">
        <f t="shared" si="178"/>
        <v>Pass</v>
      </c>
      <c r="AD538" t="str">
        <f t="shared" si="179"/>
        <v>Pass_Completed</v>
      </c>
      <c r="AE538" t="str">
        <f t="shared" si="180"/>
        <v>Pass-Forehand</v>
      </c>
      <c r="AF538" t="str">
        <f t="shared" si="181"/>
        <v>Offensive</v>
      </c>
      <c r="AG538">
        <f t="shared" si="187"/>
        <v>18981</v>
      </c>
      <c r="AH538" t="str">
        <f t="shared" si="188"/>
        <v>Nelson</v>
      </c>
      <c r="AI538" t="str">
        <f t="shared" si="189"/>
        <v>Velodrome</v>
      </c>
      <c r="AJ538" s="18">
        <f t="shared" si="182"/>
        <v>0</v>
      </c>
      <c r="AP538" s="18">
        <f t="shared" si="183"/>
        <v>0</v>
      </c>
      <c r="AQ538">
        <f t="shared" si="184"/>
        <v>0</v>
      </c>
      <c r="AR538" s="23">
        <f t="shared" si="185"/>
        <v>663</v>
      </c>
      <c r="AS538">
        <f t="shared" si="190"/>
        <v>658</v>
      </c>
      <c r="AT538" s="21">
        <f t="shared" si="191"/>
        <v>663</v>
      </c>
      <c r="AU538" s="21"/>
      <c r="AV538" s="21"/>
      <c r="AW538" s="21"/>
    </row>
    <row r="539" spans="1:49" x14ac:dyDescent="0.2">
      <c r="A539">
        <v>287</v>
      </c>
      <c r="E539">
        <f t="shared" si="186"/>
        <v>1</v>
      </c>
      <c r="J539" t="str">
        <f t="shared" si="193"/>
        <v>6</v>
      </c>
      <c r="K539" t="str">
        <f t="shared" si="194"/>
        <v>57</v>
      </c>
      <c r="L539" t="str">
        <f t="shared" si="195"/>
        <v/>
      </c>
      <c r="M539" s="6" t="str">
        <f t="shared" si="196"/>
        <v/>
      </c>
      <c r="N539" t="str">
        <f t="shared" si="192"/>
        <v>Home</v>
      </c>
      <c r="O539">
        <v>80</v>
      </c>
      <c r="P539" t="s">
        <v>424</v>
      </c>
      <c r="Y539" t="str">
        <f t="shared" si="176"/>
        <v/>
      </c>
      <c r="Z539" t="str">
        <f t="shared" si="177"/>
        <v/>
      </c>
      <c r="AC539" t="str">
        <f t="shared" si="178"/>
        <v>Pass</v>
      </c>
      <c r="AD539" t="str">
        <f t="shared" si="179"/>
        <v>Pass_Completed</v>
      </c>
      <c r="AE539" t="str">
        <f t="shared" si="180"/>
        <v>Pass-Forehand</v>
      </c>
      <c r="AF539" t="str">
        <f t="shared" si="181"/>
        <v>Offensive</v>
      </c>
      <c r="AG539">
        <f t="shared" si="187"/>
        <v>18981</v>
      </c>
      <c r="AH539" t="str">
        <f t="shared" si="188"/>
        <v>Nelson</v>
      </c>
      <c r="AI539" t="str">
        <f t="shared" si="189"/>
        <v>Velodrome</v>
      </c>
      <c r="AJ539" s="18">
        <f t="shared" si="182"/>
        <v>0</v>
      </c>
      <c r="AP539" s="18">
        <f t="shared" si="183"/>
        <v>0</v>
      </c>
      <c r="AQ539">
        <f t="shared" si="184"/>
        <v>0</v>
      </c>
      <c r="AR539" s="23">
        <f t="shared" si="185"/>
        <v>663</v>
      </c>
      <c r="AS539">
        <f t="shared" si="190"/>
        <v>658</v>
      </c>
      <c r="AT539" s="21">
        <f t="shared" si="191"/>
        <v>663</v>
      </c>
      <c r="AU539" s="21"/>
      <c r="AV539" s="21"/>
      <c r="AW539" s="21"/>
    </row>
    <row r="540" spans="1:49" x14ac:dyDescent="0.2">
      <c r="A540">
        <v>288</v>
      </c>
      <c r="E540">
        <f t="shared" si="186"/>
        <v>1</v>
      </c>
      <c r="F540" s="5" t="s">
        <v>541</v>
      </c>
      <c r="G540" s="5" t="s">
        <v>529</v>
      </c>
      <c r="H540" s="5" t="s">
        <v>541</v>
      </c>
      <c r="I540" s="7" t="s">
        <v>524</v>
      </c>
      <c r="J540" t="str">
        <f t="shared" si="193"/>
        <v>6</v>
      </c>
      <c r="K540" t="str">
        <f t="shared" si="194"/>
        <v>57</v>
      </c>
      <c r="L540" t="str">
        <f t="shared" si="195"/>
        <v>6</v>
      </c>
      <c r="M540" s="6" t="str">
        <f t="shared" si="196"/>
        <v>52</v>
      </c>
      <c r="N540" t="s">
        <v>178</v>
      </c>
      <c r="O540">
        <v>80</v>
      </c>
      <c r="P540" t="s">
        <v>424</v>
      </c>
      <c r="Q540" t="s">
        <v>277</v>
      </c>
      <c r="R540" t="s">
        <v>191</v>
      </c>
      <c r="S540" t="s">
        <v>87</v>
      </c>
      <c r="Y540" t="str">
        <f t="shared" si="176"/>
        <v/>
      </c>
      <c r="Z540" t="str">
        <f t="shared" si="177"/>
        <v/>
      </c>
      <c r="AC540" t="str">
        <f t="shared" si="178"/>
        <v>Zone_Entry_Exit</v>
      </c>
      <c r="AD540" t="str">
        <f t="shared" si="179"/>
        <v>Zone_Entry</v>
      </c>
      <c r="AE540" t="str">
        <f t="shared" si="180"/>
        <v>ZoneEntry-Rush</v>
      </c>
      <c r="AF540" t="str">
        <f t="shared" si="181"/>
        <v>Offensive</v>
      </c>
      <c r="AG540">
        <f t="shared" si="187"/>
        <v>18981</v>
      </c>
      <c r="AH540" t="str">
        <f t="shared" si="188"/>
        <v>Nelson</v>
      </c>
      <c r="AI540" t="str">
        <f t="shared" si="189"/>
        <v>Velodrome</v>
      </c>
      <c r="AJ540" s="18">
        <f t="shared" si="182"/>
        <v>5</v>
      </c>
      <c r="AP540" s="18">
        <f t="shared" si="183"/>
        <v>0</v>
      </c>
      <c r="AQ540">
        <f t="shared" si="184"/>
        <v>0</v>
      </c>
      <c r="AR540" s="23">
        <f t="shared" si="185"/>
        <v>663</v>
      </c>
      <c r="AS540">
        <f t="shared" si="190"/>
        <v>658</v>
      </c>
      <c r="AT540" s="21">
        <f t="shared" si="191"/>
        <v>668</v>
      </c>
      <c r="AU540" s="21"/>
      <c r="AV540" s="21"/>
      <c r="AW540" s="21"/>
    </row>
    <row r="541" spans="1:49" x14ac:dyDescent="0.2">
      <c r="A541">
        <v>288</v>
      </c>
      <c r="E541">
        <f t="shared" si="186"/>
        <v>1</v>
      </c>
      <c r="J541" t="str">
        <f t="shared" si="193"/>
        <v>6</v>
      </c>
      <c r="K541" t="str">
        <f t="shared" si="194"/>
        <v>57</v>
      </c>
      <c r="L541" t="str">
        <f t="shared" si="195"/>
        <v>6</v>
      </c>
      <c r="M541" s="6" t="str">
        <f t="shared" si="196"/>
        <v>52</v>
      </c>
      <c r="N541" t="str">
        <f t="shared" si="192"/>
        <v>Home</v>
      </c>
      <c r="O541">
        <v>16</v>
      </c>
      <c r="P541" t="s">
        <v>424</v>
      </c>
      <c r="Y541" t="str">
        <f t="shared" si="176"/>
        <v/>
      </c>
      <c r="Z541" t="str">
        <f t="shared" si="177"/>
        <v/>
      </c>
      <c r="AC541" t="str">
        <f t="shared" si="178"/>
        <v>Zone_Entry_Exit</v>
      </c>
      <c r="AD541" t="str">
        <f t="shared" si="179"/>
        <v>Zone_Entry</v>
      </c>
      <c r="AE541" t="str">
        <f t="shared" si="180"/>
        <v>ZoneEntry-Rush</v>
      </c>
      <c r="AF541" t="str">
        <f t="shared" si="181"/>
        <v>Offensive</v>
      </c>
      <c r="AG541">
        <f t="shared" si="187"/>
        <v>18981</v>
      </c>
      <c r="AH541" t="str">
        <f t="shared" si="188"/>
        <v>Nelson</v>
      </c>
      <c r="AI541" t="str">
        <f t="shared" si="189"/>
        <v>Velodrome</v>
      </c>
      <c r="AJ541" s="18">
        <f t="shared" si="182"/>
        <v>5</v>
      </c>
      <c r="AP541" s="18">
        <f t="shared" si="183"/>
        <v>0</v>
      </c>
      <c r="AQ541">
        <f t="shared" si="184"/>
        <v>0</v>
      </c>
      <c r="AR541" s="23">
        <f t="shared" si="185"/>
        <v>663</v>
      </c>
      <c r="AS541">
        <f t="shared" si="190"/>
        <v>658</v>
      </c>
      <c r="AT541" s="21">
        <f t="shared" si="191"/>
        <v>668</v>
      </c>
      <c r="AU541" s="21"/>
      <c r="AV541" s="21"/>
      <c r="AW541" s="21"/>
    </row>
    <row r="542" spans="1:49" x14ac:dyDescent="0.2">
      <c r="A542">
        <v>288</v>
      </c>
      <c r="E542">
        <f t="shared" si="186"/>
        <v>1</v>
      </c>
      <c r="J542" t="str">
        <f t="shared" si="193"/>
        <v>6</v>
      </c>
      <c r="K542" t="str">
        <f t="shared" si="194"/>
        <v>57</v>
      </c>
      <c r="L542" t="str">
        <f t="shared" si="195"/>
        <v>6</v>
      </c>
      <c r="M542" s="6" t="str">
        <f t="shared" si="196"/>
        <v>52</v>
      </c>
      <c r="N542" t="str">
        <f t="shared" si="192"/>
        <v>Home</v>
      </c>
      <c r="O542">
        <v>3</v>
      </c>
      <c r="P542" t="s">
        <v>424</v>
      </c>
      <c r="Y542" t="str">
        <f t="shared" si="176"/>
        <v/>
      </c>
      <c r="Z542" t="str">
        <f t="shared" si="177"/>
        <v/>
      </c>
      <c r="AC542" t="str">
        <f t="shared" si="178"/>
        <v>Zone_Entry_Exit</v>
      </c>
      <c r="AD542" t="str">
        <f t="shared" si="179"/>
        <v>Zone_Entry</v>
      </c>
      <c r="AE542" t="str">
        <f t="shared" si="180"/>
        <v>ZoneEntry-Rush</v>
      </c>
      <c r="AF542" t="str">
        <f t="shared" si="181"/>
        <v>Offensive</v>
      </c>
      <c r="AG542">
        <f t="shared" si="187"/>
        <v>18981</v>
      </c>
      <c r="AH542" t="str">
        <f t="shared" si="188"/>
        <v>Nelson</v>
      </c>
      <c r="AI542" t="str">
        <f t="shared" si="189"/>
        <v>Velodrome</v>
      </c>
      <c r="AJ542" s="18">
        <f t="shared" si="182"/>
        <v>5</v>
      </c>
      <c r="AP542" s="18">
        <f t="shared" si="183"/>
        <v>0</v>
      </c>
      <c r="AQ542">
        <f t="shared" si="184"/>
        <v>0</v>
      </c>
      <c r="AR542" s="23">
        <f t="shared" si="185"/>
        <v>663</v>
      </c>
      <c r="AS542">
        <f t="shared" si="190"/>
        <v>658</v>
      </c>
      <c r="AT542" s="21">
        <f t="shared" si="191"/>
        <v>668</v>
      </c>
      <c r="AU542" s="21"/>
      <c r="AV542" s="21"/>
      <c r="AW542" s="21"/>
    </row>
    <row r="543" spans="1:49" x14ac:dyDescent="0.2">
      <c r="A543">
        <v>288</v>
      </c>
      <c r="E543">
        <f t="shared" si="186"/>
        <v>1</v>
      </c>
      <c r="J543" t="str">
        <f t="shared" si="193"/>
        <v>6</v>
      </c>
      <c r="K543" t="str">
        <f t="shared" si="194"/>
        <v>57</v>
      </c>
      <c r="L543" t="str">
        <f t="shared" si="195"/>
        <v>6</v>
      </c>
      <c r="M543" s="6" t="str">
        <f t="shared" si="196"/>
        <v>52</v>
      </c>
      <c r="N543" t="str">
        <f t="shared" si="192"/>
        <v>Home</v>
      </c>
      <c r="O543">
        <v>9</v>
      </c>
      <c r="P543" t="s">
        <v>425</v>
      </c>
      <c r="Y543" t="str">
        <f t="shared" si="176"/>
        <v/>
      </c>
      <c r="Z543" t="str">
        <f t="shared" si="177"/>
        <v/>
      </c>
      <c r="AC543" t="str">
        <f t="shared" si="178"/>
        <v>Zone_Entry_Exit</v>
      </c>
      <c r="AD543" t="str">
        <f t="shared" si="179"/>
        <v>Zone_Entry</v>
      </c>
      <c r="AE543" t="str">
        <f t="shared" si="180"/>
        <v>ZoneEntry-Rush</v>
      </c>
      <c r="AF543" t="str">
        <f t="shared" si="181"/>
        <v>Defensive</v>
      </c>
      <c r="AG543">
        <f t="shared" si="187"/>
        <v>18981</v>
      </c>
      <c r="AH543" t="str">
        <f t="shared" si="188"/>
        <v>Nelson</v>
      </c>
      <c r="AI543" t="str">
        <f t="shared" si="189"/>
        <v>Velodrome</v>
      </c>
      <c r="AJ543" s="18">
        <f t="shared" si="182"/>
        <v>5</v>
      </c>
      <c r="AP543" s="18">
        <f t="shared" si="183"/>
        <v>0</v>
      </c>
      <c r="AQ543">
        <f t="shared" si="184"/>
        <v>0</v>
      </c>
      <c r="AR543" s="23">
        <f t="shared" si="185"/>
        <v>663</v>
      </c>
      <c r="AS543">
        <f t="shared" si="190"/>
        <v>658</v>
      </c>
      <c r="AT543" s="21">
        <f t="shared" si="191"/>
        <v>668</v>
      </c>
      <c r="AU543" s="21"/>
      <c r="AV543" s="21"/>
      <c r="AW543" s="21"/>
    </row>
    <row r="544" spans="1:49" x14ac:dyDescent="0.2">
      <c r="A544">
        <v>288</v>
      </c>
      <c r="E544">
        <f t="shared" si="186"/>
        <v>1</v>
      </c>
      <c r="J544" t="str">
        <f t="shared" si="193"/>
        <v>6</v>
      </c>
      <c r="K544" t="str">
        <f t="shared" si="194"/>
        <v>57</v>
      </c>
      <c r="L544" t="str">
        <f t="shared" si="195"/>
        <v>6</v>
      </c>
      <c r="M544" s="6" t="str">
        <f t="shared" si="196"/>
        <v>52</v>
      </c>
      <c r="N544" t="str">
        <f t="shared" si="192"/>
        <v>Home</v>
      </c>
      <c r="O544">
        <v>52</v>
      </c>
      <c r="P544" t="s">
        <v>425</v>
      </c>
      <c r="Y544" t="str">
        <f t="shared" si="176"/>
        <v/>
      </c>
      <c r="Z544" t="str">
        <f t="shared" si="177"/>
        <v/>
      </c>
      <c r="AC544" t="str">
        <f t="shared" si="178"/>
        <v>Zone_Entry_Exit</v>
      </c>
      <c r="AD544" t="str">
        <f t="shared" si="179"/>
        <v>Zone_Entry</v>
      </c>
      <c r="AE544" t="str">
        <f t="shared" si="180"/>
        <v>ZoneEntry-Rush</v>
      </c>
      <c r="AF544" t="str">
        <f t="shared" si="181"/>
        <v>Defensive</v>
      </c>
      <c r="AG544">
        <f t="shared" si="187"/>
        <v>18981</v>
      </c>
      <c r="AH544" t="str">
        <f t="shared" si="188"/>
        <v>Nelson</v>
      </c>
      <c r="AI544" t="str">
        <f t="shared" si="189"/>
        <v>Velodrome</v>
      </c>
      <c r="AJ544" s="18">
        <f t="shared" si="182"/>
        <v>5</v>
      </c>
      <c r="AP544" s="18">
        <f t="shared" si="183"/>
        <v>0</v>
      </c>
      <c r="AQ544">
        <f t="shared" si="184"/>
        <v>0</v>
      </c>
      <c r="AR544" s="23">
        <f t="shared" si="185"/>
        <v>663</v>
      </c>
      <c r="AS544">
        <f t="shared" si="190"/>
        <v>658</v>
      </c>
      <c r="AT544" s="21">
        <f t="shared" si="191"/>
        <v>668</v>
      </c>
      <c r="AU544" s="21"/>
      <c r="AV544" s="21"/>
      <c r="AW544" s="21"/>
    </row>
    <row r="545" spans="1:49" x14ac:dyDescent="0.2">
      <c r="A545">
        <v>288</v>
      </c>
      <c r="E545">
        <f t="shared" si="186"/>
        <v>1</v>
      </c>
      <c r="J545" t="str">
        <f t="shared" si="193"/>
        <v>6</v>
      </c>
      <c r="K545" t="str">
        <f t="shared" si="194"/>
        <v>57</v>
      </c>
      <c r="L545" t="str">
        <f t="shared" si="195"/>
        <v>6</v>
      </c>
      <c r="M545" s="6" t="str">
        <f t="shared" si="196"/>
        <v>52</v>
      </c>
      <c r="N545" t="str">
        <f t="shared" si="192"/>
        <v>Home</v>
      </c>
      <c r="O545">
        <v>14</v>
      </c>
      <c r="P545" t="s">
        <v>425</v>
      </c>
      <c r="Y545" t="str">
        <f t="shared" si="176"/>
        <v/>
      </c>
      <c r="Z545" t="str">
        <f t="shared" si="177"/>
        <v/>
      </c>
      <c r="AC545" t="str">
        <f t="shared" si="178"/>
        <v>Zone_Entry_Exit</v>
      </c>
      <c r="AD545" t="str">
        <f t="shared" si="179"/>
        <v>Zone_Entry</v>
      </c>
      <c r="AE545" t="str">
        <f t="shared" si="180"/>
        <v>ZoneEntry-Rush</v>
      </c>
      <c r="AF545" t="str">
        <f t="shared" si="181"/>
        <v>Defensive</v>
      </c>
      <c r="AG545">
        <f t="shared" si="187"/>
        <v>18981</v>
      </c>
      <c r="AH545" t="str">
        <f t="shared" si="188"/>
        <v>Nelson</v>
      </c>
      <c r="AI545" t="str">
        <f t="shared" si="189"/>
        <v>Velodrome</v>
      </c>
      <c r="AJ545" s="18">
        <f t="shared" si="182"/>
        <v>5</v>
      </c>
      <c r="AP545" s="18">
        <f t="shared" si="183"/>
        <v>0</v>
      </c>
      <c r="AQ545">
        <f t="shared" si="184"/>
        <v>0</v>
      </c>
      <c r="AR545" s="23">
        <f t="shared" si="185"/>
        <v>663</v>
      </c>
      <c r="AS545">
        <f t="shared" si="190"/>
        <v>658</v>
      </c>
      <c r="AT545" s="21">
        <f t="shared" si="191"/>
        <v>668</v>
      </c>
      <c r="AU545" s="21"/>
      <c r="AV545" s="21"/>
      <c r="AW545" s="21"/>
    </row>
    <row r="546" spans="1:49" x14ac:dyDescent="0.2">
      <c r="A546">
        <v>289</v>
      </c>
      <c r="E546">
        <f t="shared" si="186"/>
        <v>1</v>
      </c>
      <c r="F546" s="5" t="s">
        <v>541</v>
      </c>
      <c r="G546" s="5" t="s">
        <v>524</v>
      </c>
      <c r="J546" t="str">
        <f t="shared" si="193"/>
        <v>6</v>
      </c>
      <c r="K546" t="str">
        <f t="shared" si="194"/>
        <v>52</v>
      </c>
      <c r="L546" t="str">
        <f t="shared" si="195"/>
        <v/>
      </c>
      <c r="M546" s="6" t="str">
        <f t="shared" si="196"/>
        <v/>
      </c>
      <c r="N546" t="s">
        <v>178</v>
      </c>
      <c r="O546">
        <v>80</v>
      </c>
      <c r="P546" t="s">
        <v>424</v>
      </c>
      <c r="Q546" t="s">
        <v>7</v>
      </c>
      <c r="R546" t="s">
        <v>222</v>
      </c>
      <c r="S546" t="s">
        <v>53</v>
      </c>
      <c r="Y546" t="str">
        <f t="shared" si="176"/>
        <v/>
      </c>
      <c r="Z546" t="str">
        <f t="shared" si="177"/>
        <v/>
      </c>
      <c r="AC546" t="str">
        <f t="shared" si="178"/>
        <v>Shot</v>
      </c>
      <c r="AD546" t="str">
        <f t="shared" si="179"/>
        <v>Shot_OnNetSaved</v>
      </c>
      <c r="AE546" t="str">
        <f t="shared" si="180"/>
        <v>Shot-Wrist</v>
      </c>
      <c r="AF546" t="str">
        <f t="shared" si="181"/>
        <v>Offensive</v>
      </c>
      <c r="AG546">
        <f t="shared" si="187"/>
        <v>18981</v>
      </c>
      <c r="AH546" t="str">
        <f t="shared" si="188"/>
        <v>Nelson</v>
      </c>
      <c r="AI546" t="str">
        <f t="shared" si="189"/>
        <v>Velodrome</v>
      </c>
      <c r="AJ546" s="18">
        <f t="shared" si="182"/>
        <v>0</v>
      </c>
      <c r="AP546" s="18">
        <f t="shared" si="183"/>
        <v>0</v>
      </c>
      <c r="AQ546">
        <f t="shared" si="184"/>
        <v>0</v>
      </c>
      <c r="AR546" s="23">
        <f t="shared" si="185"/>
        <v>668</v>
      </c>
      <c r="AS546">
        <f t="shared" si="190"/>
        <v>663</v>
      </c>
      <c r="AT546" s="21">
        <f t="shared" si="191"/>
        <v>668</v>
      </c>
      <c r="AU546" s="21"/>
      <c r="AV546" s="21"/>
      <c r="AW546" s="21"/>
    </row>
    <row r="547" spans="1:49" x14ac:dyDescent="0.2">
      <c r="A547">
        <v>289</v>
      </c>
      <c r="E547">
        <f t="shared" si="186"/>
        <v>1</v>
      </c>
      <c r="J547" t="str">
        <f t="shared" si="193"/>
        <v>6</v>
      </c>
      <c r="K547" t="str">
        <f t="shared" si="194"/>
        <v>52</v>
      </c>
      <c r="L547" t="str">
        <f t="shared" si="195"/>
        <v/>
      </c>
      <c r="M547" s="6" t="str">
        <f t="shared" si="196"/>
        <v/>
      </c>
      <c r="N547" t="str">
        <f t="shared" si="192"/>
        <v>Home</v>
      </c>
      <c r="O547">
        <v>39</v>
      </c>
      <c r="P547" t="s">
        <v>425</v>
      </c>
      <c r="Y547" t="str">
        <f t="shared" si="176"/>
        <v/>
      </c>
      <c r="Z547" t="str">
        <f t="shared" si="177"/>
        <v/>
      </c>
      <c r="AC547" t="str">
        <f t="shared" si="178"/>
        <v>Shot</v>
      </c>
      <c r="AD547" t="str">
        <f t="shared" si="179"/>
        <v>Shot_OnNetSaved</v>
      </c>
      <c r="AE547" t="str">
        <f t="shared" si="180"/>
        <v>Shot-Wrist</v>
      </c>
      <c r="AF547" t="str">
        <f t="shared" si="181"/>
        <v>Defensive</v>
      </c>
      <c r="AG547">
        <f t="shared" si="187"/>
        <v>18981</v>
      </c>
      <c r="AH547" t="str">
        <f t="shared" si="188"/>
        <v>Nelson</v>
      </c>
      <c r="AI547" t="str">
        <f t="shared" si="189"/>
        <v>Velodrome</v>
      </c>
      <c r="AJ547" s="18">
        <f t="shared" si="182"/>
        <v>0</v>
      </c>
      <c r="AP547" s="18">
        <f t="shared" si="183"/>
        <v>0</v>
      </c>
      <c r="AQ547">
        <f t="shared" si="184"/>
        <v>0</v>
      </c>
      <c r="AR547" s="23">
        <f t="shared" si="185"/>
        <v>668</v>
      </c>
      <c r="AS547">
        <f t="shared" si="190"/>
        <v>663</v>
      </c>
      <c r="AT547" s="21">
        <f t="shared" si="191"/>
        <v>668</v>
      </c>
      <c r="AU547" s="21"/>
      <c r="AV547" s="21"/>
      <c r="AW547" s="21"/>
    </row>
    <row r="548" spans="1:49" x14ac:dyDescent="0.2">
      <c r="A548">
        <v>289</v>
      </c>
      <c r="E548">
        <f t="shared" si="186"/>
        <v>1</v>
      </c>
      <c r="J548" t="str">
        <f t="shared" si="193"/>
        <v>6</v>
      </c>
      <c r="K548" t="str">
        <f t="shared" si="194"/>
        <v>52</v>
      </c>
      <c r="L548" t="str">
        <f t="shared" si="195"/>
        <v/>
      </c>
      <c r="M548" s="6" t="str">
        <f t="shared" si="196"/>
        <v/>
      </c>
      <c r="N548" t="str">
        <f t="shared" si="192"/>
        <v>Home</v>
      </c>
      <c r="O548">
        <v>9</v>
      </c>
      <c r="P548" t="s">
        <v>425</v>
      </c>
      <c r="Y548" t="str">
        <f t="shared" si="176"/>
        <v/>
      </c>
      <c r="Z548" t="str">
        <f t="shared" si="177"/>
        <v/>
      </c>
      <c r="AC548" t="str">
        <f t="shared" si="178"/>
        <v>Shot</v>
      </c>
      <c r="AD548" t="str">
        <f t="shared" si="179"/>
        <v>Shot_OnNetSaved</v>
      </c>
      <c r="AE548" t="str">
        <f t="shared" si="180"/>
        <v>Shot-Wrist</v>
      </c>
      <c r="AF548" t="str">
        <f t="shared" si="181"/>
        <v>Defensive</v>
      </c>
      <c r="AG548">
        <f t="shared" si="187"/>
        <v>18981</v>
      </c>
      <c r="AH548" t="str">
        <f t="shared" si="188"/>
        <v>Nelson</v>
      </c>
      <c r="AI548" t="str">
        <f t="shared" si="189"/>
        <v>Velodrome</v>
      </c>
      <c r="AJ548" s="18">
        <f t="shared" si="182"/>
        <v>0</v>
      </c>
      <c r="AP548" s="18">
        <f t="shared" si="183"/>
        <v>0</v>
      </c>
      <c r="AQ548">
        <f t="shared" si="184"/>
        <v>0</v>
      </c>
      <c r="AR548" s="23">
        <f t="shared" si="185"/>
        <v>668</v>
      </c>
      <c r="AS548">
        <f t="shared" si="190"/>
        <v>663</v>
      </c>
      <c r="AT548" s="21">
        <f t="shared" si="191"/>
        <v>668</v>
      </c>
      <c r="AU548" s="21"/>
      <c r="AV548" s="21"/>
      <c r="AW548" s="21"/>
    </row>
    <row r="549" spans="1:49" x14ac:dyDescent="0.2">
      <c r="A549">
        <v>290</v>
      </c>
      <c r="E549">
        <f t="shared" si="186"/>
        <v>1</v>
      </c>
      <c r="F549" s="5" t="s">
        <v>541</v>
      </c>
      <c r="G549" s="5" t="s">
        <v>524</v>
      </c>
      <c r="J549" t="str">
        <f t="shared" si="193"/>
        <v>6</v>
      </c>
      <c r="K549" t="str">
        <f t="shared" si="194"/>
        <v>52</v>
      </c>
      <c r="L549" t="str">
        <f t="shared" si="195"/>
        <v/>
      </c>
      <c r="M549" s="6" t="str">
        <f t="shared" si="196"/>
        <v/>
      </c>
      <c r="N549" t="s">
        <v>179</v>
      </c>
      <c r="O549">
        <v>39</v>
      </c>
      <c r="P549" t="s">
        <v>424</v>
      </c>
      <c r="Q549" t="s">
        <v>17</v>
      </c>
      <c r="R549" t="s">
        <v>206</v>
      </c>
      <c r="S549" t="s">
        <v>103</v>
      </c>
      <c r="Y549" t="str">
        <f t="shared" si="176"/>
        <v/>
      </c>
      <c r="Z549" t="str">
        <f t="shared" si="177"/>
        <v/>
      </c>
      <c r="AC549" t="str">
        <f t="shared" si="178"/>
        <v>Save</v>
      </c>
      <c r="AD549" t="str">
        <f t="shared" si="179"/>
        <v>Save_Freeze</v>
      </c>
      <c r="AE549" t="str">
        <f t="shared" si="180"/>
        <v>Save-Chest</v>
      </c>
      <c r="AF549" t="str">
        <f t="shared" si="181"/>
        <v>Defensive</v>
      </c>
      <c r="AG549">
        <f t="shared" si="187"/>
        <v>18981</v>
      </c>
      <c r="AH549" t="str">
        <f t="shared" si="188"/>
        <v>Nelson</v>
      </c>
      <c r="AI549" t="str">
        <f t="shared" si="189"/>
        <v>Velodrome</v>
      </c>
      <c r="AJ549" s="18">
        <f t="shared" si="182"/>
        <v>0</v>
      </c>
      <c r="AP549" s="18">
        <f t="shared" si="183"/>
        <v>0</v>
      </c>
      <c r="AQ549">
        <f t="shared" si="184"/>
        <v>0</v>
      </c>
      <c r="AR549" s="23">
        <f t="shared" si="185"/>
        <v>668</v>
      </c>
      <c r="AS549">
        <f t="shared" si="190"/>
        <v>663</v>
      </c>
      <c r="AT549" s="21">
        <f t="shared" si="191"/>
        <v>668</v>
      </c>
      <c r="AU549" s="21"/>
      <c r="AV549" s="21"/>
      <c r="AW549" s="21"/>
    </row>
    <row r="550" spans="1:49" x14ac:dyDescent="0.2">
      <c r="A550">
        <v>290</v>
      </c>
      <c r="E550">
        <f t="shared" si="186"/>
        <v>1</v>
      </c>
      <c r="J550" t="str">
        <f t="shared" si="193"/>
        <v>6</v>
      </c>
      <c r="K550" t="str">
        <f t="shared" si="194"/>
        <v>52</v>
      </c>
      <c r="L550" t="str">
        <f t="shared" si="195"/>
        <v/>
      </c>
      <c r="M550" s="6" t="str">
        <f t="shared" si="196"/>
        <v/>
      </c>
      <c r="N550" t="str">
        <f t="shared" si="192"/>
        <v>Away</v>
      </c>
      <c r="O550">
        <v>9</v>
      </c>
      <c r="P550" t="s">
        <v>424</v>
      </c>
      <c r="Y550" t="str">
        <f t="shared" si="176"/>
        <v/>
      </c>
      <c r="Z550" t="str">
        <f t="shared" si="177"/>
        <v/>
      </c>
      <c r="AC550" t="str">
        <f t="shared" si="178"/>
        <v>Save</v>
      </c>
      <c r="AD550" t="str">
        <f t="shared" si="179"/>
        <v>Save_Freeze</v>
      </c>
      <c r="AE550" t="str">
        <f t="shared" si="180"/>
        <v>Save-Chest</v>
      </c>
      <c r="AF550" t="str">
        <f t="shared" si="181"/>
        <v>Defensive</v>
      </c>
      <c r="AG550">
        <f t="shared" si="187"/>
        <v>18981</v>
      </c>
      <c r="AH550" t="str">
        <f t="shared" si="188"/>
        <v>Nelson</v>
      </c>
      <c r="AI550" t="str">
        <f t="shared" si="189"/>
        <v>Velodrome</v>
      </c>
      <c r="AJ550" s="18">
        <f t="shared" si="182"/>
        <v>0</v>
      </c>
      <c r="AP550" s="18">
        <f t="shared" si="183"/>
        <v>0</v>
      </c>
      <c r="AQ550">
        <f t="shared" si="184"/>
        <v>0</v>
      </c>
      <c r="AR550" s="23">
        <f t="shared" si="185"/>
        <v>668</v>
      </c>
      <c r="AS550">
        <f t="shared" si="190"/>
        <v>663</v>
      </c>
      <c r="AT550" s="21">
        <f t="shared" si="191"/>
        <v>668</v>
      </c>
      <c r="AU550" s="21"/>
      <c r="AV550" s="21"/>
      <c r="AW550" s="21"/>
    </row>
    <row r="551" spans="1:49" x14ac:dyDescent="0.2">
      <c r="A551">
        <v>290</v>
      </c>
      <c r="E551">
        <f t="shared" si="186"/>
        <v>1</v>
      </c>
      <c r="J551" t="str">
        <f t="shared" si="193"/>
        <v>6</v>
      </c>
      <c r="K551" t="str">
        <f t="shared" si="194"/>
        <v>52</v>
      </c>
      <c r="L551" t="str">
        <f t="shared" si="195"/>
        <v/>
      </c>
      <c r="M551" s="6" t="str">
        <f t="shared" si="196"/>
        <v/>
      </c>
      <c r="N551" t="str">
        <f t="shared" si="192"/>
        <v>Away</v>
      </c>
      <c r="O551">
        <v>80</v>
      </c>
      <c r="P551" t="s">
        <v>425</v>
      </c>
      <c r="Y551" t="str">
        <f t="shared" si="176"/>
        <v/>
      </c>
      <c r="Z551" t="str">
        <f t="shared" si="177"/>
        <v/>
      </c>
      <c r="AC551" t="str">
        <f t="shared" si="178"/>
        <v>Save</v>
      </c>
      <c r="AD551" t="str">
        <f t="shared" si="179"/>
        <v>Save_Freeze</v>
      </c>
      <c r="AE551" t="str">
        <f t="shared" si="180"/>
        <v>Save-Chest</v>
      </c>
      <c r="AF551" t="str">
        <f t="shared" si="181"/>
        <v>Offensive</v>
      </c>
      <c r="AG551">
        <f t="shared" si="187"/>
        <v>18981</v>
      </c>
      <c r="AH551" t="str">
        <f t="shared" si="188"/>
        <v>Nelson</v>
      </c>
      <c r="AI551" t="str">
        <f t="shared" si="189"/>
        <v>Velodrome</v>
      </c>
      <c r="AJ551" s="18">
        <f t="shared" si="182"/>
        <v>0</v>
      </c>
      <c r="AP551" s="18">
        <f t="shared" si="183"/>
        <v>0</v>
      </c>
      <c r="AQ551">
        <f t="shared" si="184"/>
        <v>0</v>
      </c>
      <c r="AR551" s="23">
        <f t="shared" si="185"/>
        <v>668</v>
      </c>
      <c r="AS551">
        <f t="shared" si="190"/>
        <v>663</v>
      </c>
      <c r="AT551" s="21">
        <f t="shared" si="191"/>
        <v>668</v>
      </c>
      <c r="AU551" s="21"/>
      <c r="AV551" s="21"/>
      <c r="AW551" s="21"/>
    </row>
    <row r="552" spans="1:49" x14ac:dyDescent="0.2">
      <c r="A552">
        <v>291</v>
      </c>
      <c r="E552">
        <f t="shared" si="186"/>
        <v>1</v>
      </c>
      <c r="F552" s="5" t="s">
        <v>541</v>
      </c>
      <c r="G552" s="5" t="s">
        <v>524</v>
      </c>
      <c r="J552" t="str">
        <f t="shared" si="193"/>
        <v>6</v>
      </c>
      <c r="K552" t="str">
        <f t="shared" si="194"/>
        <v>52</v>
      </c>
      <c r="L552" t="str">
        <f t="shared" si="195"/>
        <v/>
      </c>
      <c r="M552" s="6" t="str">
        <f t="shared" si="196"/>
        <v/>
      </c>
      <c r="N552" t="s">
        <v>179</v>
      </c>
      <c r="O552">
        <v>39</v>
      </c>
      <c r="P552" t="s">
        <v>424</v>
      </c>
      <c r="Q552" t="s">
        <v>13</v>
      </c>
      <c r="R552" t="s">
        <v>204</v>
      </c>
      <c r="S552" t="s">
        <v>110</v>
      </c>
      <c r="Y552" t="str">
        <f t="shared" si="176"/>
        <v/>
      </c>
      <c r="Z552" t="str">
        <f t="shared" si="177"/>
        <v/>
      </c>
      <c r="AC552" t="str">
        <f t="shared" si="178"/>
        <v>Stoppage</v>
      </c>
      <c r="AD552" t="str">
        <f t="shared" si="179"/>
        <v>Stoppage_Play</v>
      </c>
      <c r="AE552" t="str">
        <f t="shared" si="180"/>
        <v>Stoppage-GoalieStoppage</v>
      </c>
      <c r="AF552" t="str">
        <f t="shared" si="181"/>
        <v/>
      </c>
      <c r="AG552">
        <f t="shared" si="187"/>
        <v>18981</v>
      </c>
      <c r="AH552" t="str">
        <f t="shared" si="188"/>
        <v>Nelson</v>
      </c>
      <c r="AI552" t="str">
        <f t="shared" si="189"/>
        <v>Velodrome</v>
      </c>
      <c r="AJ552" s="18">
        <f t="shared" si="182"/>
        <v>0</v>
      </c>
      <c r="AP552" s="18">
        <f t="shared" si="183"/>
        <v>0</v>
      </c>
      <c r="AQ552">
        <f t="shared" si="184"/>
        <v>0</v>
      </c>
      <c r="AR552" s="23">
        <f t="shared" si="185"/>
        <v>668</v>
      </c>
      <c r="AS552">
        <f t="shared" si="190"/>
        <v>663</v>
      </c>
      <c r="AT552" s="21">
        <f t="shared" si="191"/>
        <v>668</v>
      </c>
      <c r="AU552" s="21"/>
      <c r="AV552" s="21"/>
      <c r="AW552" s="21"/>
    </row>
    <row r="553" spans="1:49" x14ac:dyDescent="0.2">
      <c r="A553">
        <v>292</v>
      </c>
      <c r="E553">
        <f t="shared" si="186"/>
        <v>1</v>
      </c>
      <c r="F553" s="5" t="s">
        <v>541</v>
      </c>
      <c r="G553" s="5" t="s">
        <v>524</v>
      </c>
      <c r="H553" s="5" t="s">
        <v>541</v>
      </c>
      <c r="I553" s="7" t="s">
        <v>499</v>
      </c>
      <c r="J553" t="str">
        <f t="shared" si="193"/>
        <v>6</v>
      </c>
      <c r="K553" t="str">
        <f t="shared" si="194"/>
        <v>52</v>
      </c>
      <c r="L553" t="str">
        <f t="shared" si="195"/>
        <v>6</v>
      </c>
      <c r="M553" s="6" t="str">
        <f t="shared" si="196"/>
        <v>27</v>
      </c>
      <c r="N553" t="s">
        <v>179</v>
      </c>
      <c r="O553">
        <v>39</v>
      </c>
      <c r="P553" t="s">
        <v>424</v>
      </c>
      <c r="Q553" t="s">
        <v>282</v>
      </c>
      <c r="Y553" t="str">
        <f t="shared" si="176"/>
        <v/>
      </c>
      <c r="Z553" t="str">
        <f t="shared" si="177"/>
        <v/>
      </c>
      <c r="AC553" t="str">
        <f t="shared" si="178"/>
        <v>DeadIce</v>
      </c>
      <c r="AD553" t="str">
        <f t="shared" si="179"/>
        <v/>
      </c>
      <c r="AE553" t="str">
        <f t="shared" si="180"/>
        <v/>
      </c>
      <c r="AF553" t="str">
        <f t="shared" si="181"/>
        <v/>
      </c>
      <c r="AG553">
        <f t="shared" si="187"/>
        <v>18981</v>
      </c>
      <c r="AH553" t="str">
        <f t="shared" si="188"/>
        <v>Nelson</v>
      </c>
      <c r="AI553" t="str">
        <f t="shared" si="189"/>
        <v>Velodrome</v>
      </c>
      <c r="AJ553" s="18">
        <f t="shared" si="182"/>
        <v>25</v>
      </c>
      <c r="AP553" s="18">
        <f t="shared" si="183"/>
        <v>0</v>
      </c>
      <c r="AQ553">
        <f t="shared" si="184"/>
        <v>0</v>
      </c>
      <c r="AR553" s="23">
        <f t="shared" si="185"/>
        <v>668</v>
      </c>
      <c r="AS553">
        <f t="shared" si="190"/>
        <v>663</v>
      </c>
      <c r="AT553" s="21">
        <f t="shared" si="191"/>
        <v>693</v>
      </c>
      <c r="AU553" s="21"/>
      <c r="AV553" s="21"/>
      <c r="AW553" s="21"/>
    </row>
    <row r="554" spans="1:49" x14ac:dyDescent="0.2">
      <c r="A554">
        <v>293</v>
      </c>
      <c r="E554">
        <f t="shared" si="186"/>
        <v>1</v>
      </c>
      <c r="F554" s="5" t="s">
        <v>541</v>
      </c>
      <c r="G554" s="5" t="s">
        <v>499</v>
      </c>
      <c r="J554" t="str">
        <f t="shared" si="193"/>
        <v>6</v>
      </c>
      <c r="K554" t="str">
        <f t="shared" si="194"/>
        <v>27</v>
      </c>
      <c r="L554" t="str">
        <f t="shared" si="195"/>
        <v/>
      </c>
      <c r="M554" s="6" t="str">
        <f t="shared" si="196"/>
        <v/>
      </c>
      <c r="N554" t="s">
        <v>179</v>
      </c>
      <c r="O554">
        <v>70</v>
      </c>
      <c r="P554" t="s">
        <v>424</v>
      </c>
      <c r="Q554" t="s">
        <v>6</v>
      </c>
      <c r="R554" t="s">
        <v>275</v>
      </c>
      <c r="Y554" t="str">
        <f t="shared" si="176"/>
        <v/>
      </c>
      <c r="Z554" t="str">
        <f t="shared" si="177"/>
        <v/>
      </c>
      <c r="AC554" t="str">
        <f t="shared" si="178"/>
        <v>Faceoff</v>
      </c>
      <c r="AD554" t="str">
        <f t="shared" si="179"/>
        <v>Faceoff_AfterStoppage</v>
      </c>
      <c r="AE554" t="str">
        <f t="shared" si="180"/>
        <v/>
      </c>
      <c r="AF554" t="str">
        <f t="shared" si="181"/>
        <v>Offensive</v>
      </c>
      <c r="AG554">
        <f t="shared" si="187"/>
        <v>18981</v>
      </c>
      <c r="AH554" t="str">
        <f t="shared" si="188"/>
        <v>Nelson</v>
      </c>
      <c r="AI554" t="str">
        <f t="shared" si="189"/>
        <v>Velodrome</v>
      </c>
      <c r="AJ554" s="18">
        <f t="shared" si="182"/>
        <v>0</v>
      </c>
      <c r="AP554" s="18">
        <f t="shared" si="183"/>
        <v>0</v>
      </c>
      <c r="AQ554">
        <f t="shared" si="184"/>
        <v>0</v>
      </c>
      <c r="AR554" s="23">
        <f t="shared" si="185"/>
        <v>693</v>
      </c>
      <c r="AS554">
        <f t="shared" si="190"/>
        <v>688</v>
      </c>
      <c r="AT554" s="21">
        <f t="shared" si="191"/>
        <v>693</v>
      </c>
      <c r="AU554" s="21"/>
      <c r="AV554" s="21"/>
      <c r="AW554" s="21"/>
    </row>
    <row r="555" spans="1:49" x14ac:dyDescent="0.2">
      <c r="A555">
        <v>293</v>
      </c>
      <c r="E555">
        <f t="shared" si="186"/>
        <v>1</v>
      </c>
      <c r="J555" t="str">
        <f t="shared" si="193"/>
        <v>6</v>
      </c>
      <c r="K555" t="str">
        <f t="shared" si="194"/>
        <v>27</v>
      </c>
      <c r="L555" t="str">
        <f t="shared" si="195"/>
        <v/>
      </c>
      <c r="M555" s="6" t="str">
        <f t="shared" si="196"/>
        <v/>
      </c>
      <c r="N555" t="str">
        <f t="shared" si="192"/>
        <v>Away</v>
      </c>
      <c r="O555">
        <v>10</v>
      </c>
      <c r="P555" t="s">
        <v>425</v>
      </c>
      <c r="Y555" t="str">
        <f t="shared" si="176"/>
        <v/>
      </c>
      <c r="Z555" t="str">
        <f t="shared" si="177"/>
        <v/>
      </c>
      <c r="AC555" t="str">
        <f t="shared" si="178"/>
        <v>Faceoff</v>
      </c>
      <c r="AD555" t="str">
        <f t="shared" si="179"/>
        <v>Faceoff_AfterStoppage</v>
      </c>
      <c r="AE555" t="str">
        <f t="shared" si="180"/>
        <v/>
      </c>
      <c r="AF555" t="str">
        <f t="shared" si="181"/>
        <v>Defensive</v>
      </c>
      <c r="AG555">
        <f t="shared" si="187"/>
        <v>18981</v>
      </c>
      <c r="AH555" t="str">
        <f t="shared" si="188"/>
        <v>Nelson</v>
      </c>
      <c r="AI555" t="str">
        <f t="shared" si="189"/>
        <v>Velodrome</v>
      </c>
      <c r="AJ555" s="18">
        <f t="shared" si="182"/>
        <v>0</v>
      </c>
      <c r="AP555" s="18">
        <f t="shared" si="183"/>
        <v>0</v>
      </c>
      <c r="AQ555">
        <f t="shared" si="184"/>
        <v>0</v>
      </c>
      <c r="AR555" s="23">
        <f t="shared" si="185"/>
        <v>693</v>
      </c>
      <c r="AS555">
        <f t="shared" si="190"/>
        <v>688</v>
      </c>
      <c r="AT555" s="21">
        <f t="shared" si="191"/>
        <v>693</v>
      </c>
      <c r="AU555" s="21"/>
      <c r="AV555" s="21"/>
      <c r="AW555" s="21"/>
    </row>
    <row r="556" spans="1:49" x14ac:dyDescent="0.2">
      <c r="A556">
        <v>294</v>
      </c>
      <c r="E556">
        <f t="shared" si="186"/>
        <v>1</v>
      </c>
      <c r="F556" s="5" t="s">
        <v>541</v>
      </c>
      <c r="G556" s="5" t="s">
        <v>495</v>
      </c>
      <c r="H556" s="5" t="s">
        <v>541</v>
      </c>
      <c r="I556" s="7" t="s">
        <v>493</v>
      </c>
      <c r="J556" t="str">
        <f t="shared" si="193"/>
        <v>6</v>
      </c>
      <c r="K556" t="str">
        <f t="shared" si="194"/>
        <v>23</v>
      </c>
      <c r="L556" t="str">
        <f t="shared" si="195"/>
        <v>6</v>
      </c>
      <c r="M556" s="6" t="str">
        <f t="shared" si="196"/>
        <v>21</v>
      </c>
      <c r="N556" t="s">
        <v>179</v>
      </c>
      <c r="O556">
        <v>22</v>
      </c>
      <c r="P556" t="s">
        <v>424</v>
      </c>
      <c r="Q556" t="s">
        <v>15</v>
      </c>
      <c r="Y556" t="str">
        <f t="shared" si="176"/>
        <v/>
      </c>
      <c r="Z556" t="str">
        <f t="shared" si="177"/>
        <v/>
      </c>
      <c r="AC556" t="str">
        <f t="shared" si="178"/>
        <v>Possession</v>
      </c>
      <c r="AD556" t="str">
        <f t="shared" si="179"/>
        <v/>
      </c>
      <c r="AE556" t="str">
        <f t="shared" si="180"/>
        <v/>
      </c>
      <c r="AF556" t="str">
        <f t="shared" si="181"/>
        <v>Offensive</v>
      </c>
      <c r="AG556">
        <f t="shared" si="187"/>
        <v>18981</v>
      </c>
      <c r="AH556" t="str">
        <f t="shared" si="188"/>
        <v>Nelson</v>
      </c>
      <c r="AI556" t="str">
        <f t="shared" si="189"/>
        <v>Velodrome</v>
      </c>
      <c r="AJ556" s="18">
        <f t="shared" si="182"/>
        <v>2</v>
      </c>
      <c r="AP556" s="18">
        <f t="shared" si="183"/>
        <v>0</v>
      </c>
      <c r="AQ556">
        <f t="shared" si="184"/>
        <v>0</v>
      </c>
      <c r="AR556" s="23">
        <f t="shared" si="185"/>
        <v>697</v>
      </c>
      <c r="AS556">
        <f t="shared" si="190"/>
        <v>692</v>
      </c>
      <c r="AT556" s="21">
        <f t="shared" si="191"/>
        <v>699</v>
      </c>
      <c r="AU556" s="21"/>
      <c r="AV556" s="21"/>
      <c r="AW556" s="21"/>
    </row>
    <row r="557" spans="1:49" x14ac:dyDescent="0.2">
      <c r="A557">
        <v>294</v>
      </c>
      <c r="E557">
        <f t="shared" si="186"/>
        <v>1</v>
      </c>
      <c r="J557" t="str">
        <f t="shared" si="193"/>
        <v>6</v>
      </c>
      <c r="K557" t="str">
        <f t="shared" si="194"/>
        <v>23</v>
      </c>
      <c r="L557" t="str">
        <f t="shared" si="195"/>
        <v>6</v>
      </c>
      <c r="M557" s="6" t="str">
        <f t="shared" si="196"/>
        <v>21</v>
      </c>
      <c r="N557" t="str">
        <f t="shared" si="192"/>
        <v>Away</v>
      </c>
      <c r="O557">
        <v>3</v>
      </c>
      <c r="P557" t="s">
        <v>425</v>
      </c>
      <c r="Y557" t="str">
        <f t="shared" si="176"/>
        <v/>
      </c>
      <c r="Z557" t="str">
        <f t="shared" si="177"/>
        <v/>
      </c>
      <c r="AC557" t="str">
        <f t="shared" si="178"/>
        <v>Possession</v>
      </c>
      <c r="AD557" t="str">
        <f t="shared" si="179"/>
        <v/>
      </c>
      <c r="AE557" t="str">
        <f t="shared" si="180"/>
        <v/>
      </c>
      <c r="AF557" t="str">
        <f t="shared" si="181"/>
        <v>Defensive</v>
      </c>
      <c r="AG557">
        <f t="shared" si="187"/>
        <v>18981</v>
      </c>
      <c r="AH557" t="str">
        <f t="shared" si="188"/>
        <v>Nelson</v>
      </c>
      <c r="AI557" t="str">
        <f t="shared" si="189"/>
        <v>Velodrome</v>
      </c>
      <c r="AJ557" s="18">
        <f t="shared" si="182"/>
        <v>2</v>
      </c>
      <c r="AP557" s="18">
        <f t="shared" si="183"/>
        <v>0</v>
      </c>
      <c r="AQ557">
        <f t="shared" si="184"/>
        <v>0</v>
      </c>
      <c r="AR557" s="23">
        <f t="shared" si="185"/>
        <v>697</v>
      </c>
      <c r="AS557">
        <f t="shared" si="190"/>
        <v>692</v>
      </c>
      <c r="AT557" s="21">
        <f t="shared" si="191"/>
        <v>699</v>
      </c>
      <c r="AU557" s="21"/>
      <c r="AV557" s="21"/>
      <c r="AW557" s="21"/>
    </row>
    <row r="558" spans="1:49" x14ac:dyDescent="0.2">
      <c r="A558">
        <v>295</v>
      </c>
      <c r="E558">
        <f t="shared" si="186"/>
        <v>1</v>
      </c>
      <c r="F558" s="5" t="s">
        <v>541</v>
      </c>
      <c r="G558" s="5" t="s">
        <v>493</v>
      </c>
      <c r="J558" t="str">
        <f t="shared" si="193"/>
        <v>6</v>
      </c>
      <c r="K558" t="str">
        <f t="shared" si="194"/>
        <v>21</v>
      </c>
      <c r="L558" t="str">
        <f t="shared" si="195"/>
        <v/>
      </c>
      <c r="M558" s="6" t="str">
        <f t="shared" si="196"/>
        <v/>
      </c>
      <c r="N558" t="s">
        <v>179</v>
      </c>
      <c r="O558">
        <v>22</v>
      </c>
      <c r="P558" t="s">
        <v>424</v>
      </c>
      <c r="Q558" t="s">
        <v>8</v>
      </c>
      <c r="R558" t="s">
        <v>199</v>
      </c>
      <c r="S558" t="s">
        <v>70</v>
      </c>
      <c r="Y558" t="str">
        <f t="shared" si="176"/>
        <v/>
      </c>
      <c r="Z558" t="str">
        <f t="shared" si="177"/>
        <v/>
      </c>
      <c r="AC558" t="str">
        <f t="shared" si="178"/>
        <v>Pass</v>
      </c>
      <c r="AD558" t="str">
        <f t="shared" si="179"/>
        <v>Pass_Missed</v>
      </c>
      <c r="AE558" t="str">
        <f t="shared" si="180"/>
        <v>Pass-Forehand</v>
      </c>
      <c r="AF558" t="str">
        <f t="shared" si="181"/>
        <v>Offensive</v>
      </c>
      <c r="AG558">
        <f t="shared" si="187"/>
        <v>18981</v>
      </c>
      <c r="AH558" t="str">
        <f t="shared" si="188"/>
        <v>Nelson</v>
      </c>
      <c r="AI558" t="str">
        <f t="shared" si="189"/>
        <v>Velodrome</v>
      </c>
      <c r="AJ558" s="18">
        <f t="shared" si="182"/>
        <v>0</v>
      </c>
      <c r="AP558" s="18">
        <f t="shared" si="183"/>
        <v>0</v>
      </c>
      <c r="AQ558">
        <f t="shared" si="184"/>
        <v>0</v>
      </c>
      <c r="AR558" s="23">
        <f t="shared" si="185"/>
        <v>699</v>
      </c>
      <c r="AS558">
        <f t="shared" si="190"/>
        <v>694</v>
      </c>
      <c r="AT558" s="21">
        <f t="shared" si="191"/>
        <v>699</v>
      </c>
      <c r="AU558" s="21"/>
      <c r="AV558" s="21"/>
      <c r="AW558" s="21"/>
    </row>
    <row r="559" spans="1:49" x14ac:dyDescent="0.2">
      <c r="A559">
        <v>295</v>
      </c>
      <c r="E559">
        <f t="shared" si="186"/>
        <v>1</v>
      </c>
      <c r="J559" t="str">
        <f t="shared" si="193"/>
        <v>6</v>
      </c>
      <c r="K559" t="str">
        <f t="shared" si="194"/>
        <v>21</v>
      </c>
      <c r="L559" t="str">
        <f t="shared" si="195"/>
        <v/>
      </c>
      <c r="M559" s="6" t="str">
        <f t="shared" si="196"/>
        <v/>
      </c>
      <c r="N559" t="str">
        <f t="shared" si="192"/>
        <v>Away</v>
      </c>
      <c r="O559">
        <v>87</v>
      </c>
      <c r="P559" t="s">
        <v>424</v>
      </c>
      <c r="Y559" t="str">
        <f t="shared" si="176"/>
        <v/>
      </c>
      <c r="Z559" t="str">
        <f t="shared" si="177"/>
        <v/>
      </c>
      <c r="AC559" t="str">
        <f t="shared" si="178"/>
        <v>Pass</v>
      </c>
      <c r="AD559" t="str">
        <f t="shared" si="179"/>
        <v>Pass_Missed</v>
      </c>
      <c r="AE559" t="str">
        <f t="shared" si="180"/>
        <v>Pass-Forehand</v>
      </c>
      <c r="AF559" t="str">
        <f t="shared" si="181"/>
        <v>Offensive</v>
      </c>
      <c r="AG559">
        <f t="shared" si="187"/>
        <v>18981</v>
      </c>
      <c r="AH559" t="str">
        <f t="shared" si="188"/>
        <v>Nelson</v>
      </c>
      <c r="AI559" t="str">
        <f t="shared" si="189"/>
        <v>Velodrome</v>
      </c>
      <c r="AJ559" s="18">
        <f t="shared" si="182"/>
        <v>0</v>
      </c>
      <c r="AP559" s="18">
        <f t="shared" si="183"/>
        <v>0</v>
      </c>
      <c r="AQ559">
        <f t="shared" si="184"/>
        <v>0</v>
      </c>
      <c r="AR559" s="23">
        <f t="shared" si="185"/>
        <v>699</v>
      </c>
      <c r="AS559">
        <f t="shared" si="190"/>
        <v>694</v>
      </c>
      <c r="AT559" s="21">
        <f t="shared" si="191"/>
        <v>699</v>
      </c>
      <c r="AU559" s="21"/>
      <c r="AV559" s="21"/>
      <c r="AW559" s="21"/>
    </row>
    <row r="560" spans="1:49" x14ac:dyDescent="0.2">
      <c r="A560">
        <v>295</v>
      </c>
      <c r="E560">
        <f t="shared" si="186"/>
        <v>1</v>
      </c>
      <c r="J560" t="str">
        <f t="shared" si="193"/>
        <v>6</v>
      </c>
      <c r="K560" t="str">
        <f t="shared" si="194"/>
        <v>21</v>
      </c>
      <c r="L560" t="str">
        <f t="shared" si="195"/>
        <v/>
      </c>
      <c r="M560" s="6" t="str">
        <f t="shared" si="196"/>
        <v/>
      </c>
      <c r="N560" t="str">
        <f t="shared" si="192"/>
        <v>Away</v>
      </c>
      <c r="O560">
        <v>8</v>
      </c>
      <c r="P560" t="s">
        <v>425</v>
      </c>
      <c r="Y560" t="str">
        <f t="shared" si="176"/>
        <v/>
      </c>
      <c r="Z560" t="str">
        <f t="shared" si="177"/>
        <v/>
      </c>
      <c r="AC560" t="str">
        <f t="shared" si="178"/>
        <v>Pass</v>
      </c>
      <c r="AD560" t="str">
        <f t="shared" si="179"/>
        <v>Pass_Missed</v>
      </c>
      <c r="AE560" t="str">
        <f t="shared" si="180"/>
        <v>Pass-Forehand</v>
      </c>
      <c r="AF560" t="str">
        <f t="shared" si="181"/>
        <v>Defensive</v>
      </c>
      <c r="AG560">
        <f t="shared" si="187"/>
        <v>18981</v>
      </c>
      <c r="AH560" t="str">
        <f t="shared" si="188"/>
        <v>Nelson</v>
      </c>
      <c r="AI560" t="str">
        <f t="shared" si="189"/>
        <v>Velodrome</v>
      </c>
      <c r="AJ560" s="18">
        <f t="shared" si="182"/>
        <v>0</v>
      </c>
      <c r="AP560" s="18">
        <f t="shared" si="183"/>
        <v>0</v>
      </c>
      <c r="AQ560">
        <f t="shared" si="184"/>
        <v>0</v>
      </c>
      <c r="AR560" s="23">
        <f t="shared" si="185"/>
        <v>699</v>
      </c>
      <c r="AS560">
        <f t="shared" si="190"/>
        <v>694</v>
      </c>
      <c r="AT560" s="21">
        <f t="shared" si="191"/>
        <v>699</v>
      </c>
      <c r="AU560" s="21"/>
      <c r="AV560" s="21"/>
      <c r="AW560" s="21"/>
    </row>
    <row r="561" spans="1:49" x14ac:dyDescent="0.2">
      <c r="A561">
        <v>296</v>
      </c>
      <c r="E561">
        <f t="shared" si="186"/>
        <v>1</v>
      </c>
      <c r="F561" s="5" t="s">
        <v>541</v>
      </c>
      <c r="G561" s="5" t="s">
        <v>493</v>
      </c>
      <c r="J561" t="str">
        <f t="shared" si="193"/>
        <v>6</v>
      </c>
      <c r="K561" t="str">
        <f t="shared" si="194"/>
        <v>21</v>
      </c>
      <c r="L561" t="str">
        <f t="shared" si="195"/>
        <v/>
      </c>
      <c r="M561" s="6" t="str">
        <f t="shared" si="196"/>
        <v/>
      </c>
      <c r="N561" t="s">
        <v>179</v>
      </c>
      <c r="O561">
        <v>22</v>
      </c>
      <c r="P561" t="s">
        <v>424</v>
      </c>
      <c r="Q561" t="s">
        <v>277</v>
      </c>
      <c r="R561" t="s">
        <v>201</v>
      </c>
      <c r="S561" t="s">
        <v>433</v>
      </c>
      <c r="Y561" t="str">
        <f t="shared" si="176"/>
        <v/>
      </c>
      <c r="Z561" t="str">
        <f t="shared" si="177"/>
        <v/>
      </c>
      <c r="AC561" t="str">
        <f t="shared" si="178"/>
        <v>Zone_Entry_Exit</v>
      </c>
      <c r="AD561" t="str">
        <f t="shared" si="179"/>
        <v>Zone_Exit</v>
      </c>
      <c r="AE561" t="str">
        <f t="shared" si="180"/>
        <v>ZoneExit-PassMiss/Misplay</v>
      </c>
      <c r="AF561" t="str">
        <f t="shared" si="181"/>
        <v>Offensive</v>
      </c>
      <c r="AG561">
        <f t="shared" si="187"/>
        <v>18981</v>
      </c>
      <c r="AH561" t="str">
        <f t="shared" si="188"/>
        <v>Nelson</v>
      </c>
      <c r="AI561" t="str">
        <f t="shared" si="189"/>
        <v>Velodrome</v>
      </c>
      <c r="AJ561" s="18">
        <f t="shared" si="182"/>
        <v>0</v>
      </c>
      <c r="AP561" s="18">
        <f t="shared" si="183"/>
        <v>0</v>
      </c>
      <c r="AQ561">
        <f t="shared" si="184"/>
        <v>0</v>
      </c>
      <c r="AR561" s="23">
        <f t="shared" si="185"/>
        <v>699</v>
      </c>
      <c r="AS561">
        <f t="shared" si="190"/>
        <v>694</v>
      </c>
      <c r="AT561" s="21">
        <f t="shared" si="191"/>
        <v>699</v>
      </c>
      <c r="AU561" s="21"/>
      <c r="AV561" s="21"/>
      <c r="AW561" s="21"/>
    </row>
    <row r="562" spans="1:49" x14ac:dyDescent="0.2">
      <c r="A562">
        <v>296</v>
      </c>
      <c r="E562">
        <f t="shared" si="186"/>
        <v>1</v>
      </c>
      <c r="J562" t="str">
        <f t="shared" si="193"/>
        <v>6</v>
      </c>
      <c r="K562" t="str">
        <f t="shared" si="194"/>
        <v>21</v>
      </c>
      <c r="L562" t="str">
        <f t="shared" si="195"/>
        <v/>
      </c>
      <c r="M562" s="6" t="str">
        <f t="shared" si="196"/>
        <v/>
      </c>
      <c r="N562" t="str">
        <f t="shared" si="192"/>
        <v>Away</v>
      </c>
      <c r="O562">
        <v>87</v>
      </c>
      <c r="P562" t="s">
        <v>424</v>
      </c>
      <c r="Y562" t="str">
        <f t="shared" si="176"/>
        <v/>
      </c>
      <c r="Z562" t="str">
        <f t="shared" si="177"/>
        <v/>
      </c>
      <c r="AC562" t="str">
        <f t="shared" si="178"/>
        <v>Zone_Entry_Exit</v>
      </c>
      <c r="AD562" t="str">
        <f t="shared" si="179"/>
        <v>Zone_Exit</v>
      </c>
      <c r="AE562" t="str">
        <f t="shared" si="180"/>
        <v>ZoneExit-PassMiss/Misplay</v>
      </c>
      <c r="AF562" t="str">
        <f t="shared" si="181"/>
        <v>Offensive</v>
      </c>
      <c r="AG562">
        <f t="shared" si="187"/>
        <v>18981</v>
      </c>
      <c r="AH562" t="str">
        <f t="shared" si="188"/>
        <v>Nelson</v>
      </c>
      <c r="AI562" t="str">
        <f t="shared" si="189"/>
        <v>Velodrome</v>
      </c>
      <c r="AJ562" s="18">
        <f t="shared" si="182"/>
        <v>0</v>
      </c>
      <c r="AP562" s="18">
        <f t="shared" si="183"/>
        <v>0</v>
      </c>
      <c r="AQ562">
        <f t="shared" si="184"/>
        <v>0</v>
      </c>
      <c r="AR562" s="23">
        <f t="shared" si="185"/>
        <v>699</v>
      </c>
      <c r="AS562">
        <f t="shared" si="190"/>
        <v>694</v>
      </c>
      <c r="AT562" s="21">
        <f t="shared" si="191"/>
        <v>699</v>
      </c>
      <c r="AU562" s="21"/>
      <c r="AV562" s="21"/>
      <c r="AW562" s="21"/>
    </row>
    <row r="563" spans="1:49" x14ac:dyDescent="0.2">
      <c r="A563">
        <v>296</v>
      </c>
      <c r="E563">
        <f t="shared" si="186"/>
        <v>1</v>
      </c>
      <c r="J563" t="str">
        <f t="shared" si="193"/>
        <v>6</v>
      </c>
      <c r="K563" t="str">
        <f t="shared" si="194"/>
        <v>21</v>
      </c>
      <c r="L563" t="str">
        <f t="shared" si="195"/>
        <v/>
      </c>
      <c r="M563" s="6" t="str">
        <f t="shared" si="196"/>
        <v/>
      </c>
      <c r="N563" t="str">
        <f t="shared" si="192"/>
        <v>Away</v>
      </c>
      <c r="O563">
        <v>8</v>
      </c>
      <c r="P563" t="s">
        <v>425</v>
      </c>
      <c r="Y563" t="str">
        <f t="shared" si="176"/>
        <v/>
      </c>
      <c r="Z563" t="str">
        <f t="shared" si="177"/>
        <v/>
      </c>
      <c r="AC563" t="str">
        <f t="shared" si="178"/>
        <v>Zone_Entry_Exit</v>
      </c>
      <c r="AD563" t="str">
        <f t="shared" si="179"/>
        <v>Zone_Exit</v>
      </c>
      <c r="AE563" t="str">
        <f t="shared" si="180"/>
        <v>ZoneExit-PassMiss/Misplay</v>
      </c>
      <c r="AF563" t="str">
        <f t="shared" si="181"/>
        <v>Defensive</v>
      </c>
      <c r="AG563">
        <f t="shared" si="187"/>
        <v>18981</v>
      </c>
      <c r="AH563" t="str">
        <f t="shared" si="188"/>
        <v>Nelson</v>
      </c>
      <c r="AI563" t="str">
        <f t="shared" si="189"/>
        <v>Velodrome</v>
      </c>
      <c r="AJ563" s="18">
        <f t="shared" si="182"/>
        <v>0</v>
      </c>
      <c r="AP563" s="18">
        <f t="shared" si="183"/>
        <v>0</v>
      </c>
      <c r="AQ563">
        <f t="shared" si="184"/>
        <v>0</v>
      </c>
      <c r="AR563" s="23">
        <f t="shared" si="185"/>
        <v>699</v>
      </c>
      <c r="AS563">
        <f t="shared" si="190"/>
        <v>694</v>
      </c>
      <c r="AT563" s="21">
        <f t="shared" si="191"/>
        <v>699</v>
      </c>
      <c r="AU563" s="21"/>
      <c r="AV563" s="21"/>
      <c r="AW563" s="21"/>
    </row>
    <row r="564" spans="1:49" x14ac:dyDescent="0.2">
      <c r="A564">
        <v>297</v>
      </c>
      <c r="E564">
        <f t="shared" si="186"/>
        <v>1</v>
      </c>
      <c r="F564" s="5" t="s">
        <v>541</v>
      </c>
      <c r="G564" s="5" t="s">
        <v>493</v>
      </c>
      <c r="J564" t="str">
        <f t="shared" si="193"/>
        <v>6</v>
      </c>
      <c r="K564" t="str">
        <f t="shared" si="194"/>
        <v>21</v>
      </c>
      <c r="L564" t="str">
        <f t="shared" si="195"/>
        <v/>
      </c>
      <c r="M564" s="6" t="str">
        <f t="shared" si="196"/>
        <v/>
      </c>
      <c r="N564" t="s">
        <v>179</v>
      </c>
      <c r="O564">
        <v>22</v>
      </c>
      <c r="P564" t="s">
        <v>424</v>
      </c>
      <c r="Q564" t="s">
        <v>10</v>
      </c>
      <c r="R564" t="s">
        <v>190</v>
      </c>
      <c r="S564" t="s">
        <v>76</v>
      </c>
      <c r="Y564" t="str">
        <f t="shared" si="176"/>
        <v/>
      </c>
      <c r="Z564" t="str">
        <f t="shared" si="177"/>
        <v/>
      </c>
      <c r="AC564" t="str">
        <f t="shared" si="178"/>
        <v>Turnover</v>
      </c>
      <c r="AD564" t="str">
        <f t="shared" si="179"/>
        <v>Turnover_Giveaway</v>
      </c>
      <c r="AE564" t="str">
        <f t="shared" si="180"/>
        <v>Giveaway-PassMissed</v>
      </c>
      <c r="AF564" t="str">
        <f t="shared" si="181"/>
        <v>Offensive</v>
      </c>
      <c r="AG564">
        <f t="shared" si="187"/>
        <v>18981</v>
      </c>
      <c r="AH564" t="str">
        <f t="shared" si="188"/>
        <v>Nelson</v>
      </c>
      <c r="AI564" t="str">
        <f t="shared" si="189"/>
        <v>Velodrome</v>
      </c>
      <c r="AJ564" s="18">
        <f t="shared" si="182"/>
        <v>0</v>
      </c>
      <c r="AP564" s="18">
        <f t="shared" si="183"/>
        <v>0</v>
      </c>
      <c r="AQ564">
        <f t="shared" si="184"/>
        <v>0</v>
      </c>
      <c r="AR564" s="23">
        <f t="shared" si="185"/>
        <v>699</v>
      </c>
      <c r="AS564">
        <f t="shared" si="190"/>
        <v>694</v>
      </c>
      <c r="AT564" s="21">
        <f t="shared" si="191"/>
        <v>699</v>
      </c>
      <c r="AU564" s="21"/>
      <c r="AV564" s="21"/>
      <c r="AW564" s="21"/>
    </row>
    <row r="565" spans="1:49" x14ac:dyDescent="0.2">
      <c r="A565">
        <v>297</v>
      </c>
      <c r="E565">
        <f t="shared" si="186"/>
        <v>1</v>
      </c>
      <c r="J565" t="str">
        <f t="shared" si="193"/>
        <v>6</v>
      </c>
      <c r="K565" t="str">
        <f t="shared" si="194"/>
        <v>21</v>
      </c>
      <c r="L565" t="str">
        <f t="shared" si="195"/>
        <v/>
      </c>
      <c r="M565" s="6" t="str">
        <f t="shared" si="196"/>
        <v/>
      </c>
      <c r="N565" t="str">
        <f t="shared" si="192"/>
        <v>Away</v>
      </c>
      <c r="O565">
        <v>87</v>
      </c>
      <c r="P565" t="s">
        <v>424</v>
      </c>
      <c r="Y565" t="str">
        <f t="shared" si="176"/>
        <v/>
      </c>
      <c r="Z565" t="str">
        <f t="shared" si="177"/>
        <v/>
      </c>
      <c r="AC565" t="str">
        <f t="shared" si="178"/>
        <v>Turnover</v>
      </c>
      <c r="AD565" t="str">
        <f t="shared" si="179"/>
        <v>Turnover_Giveaway</v>
      </c>
      <c r="AE565" t="str">
        <f t="shared" si="180"/>
        <v>Giveaway-PassMissed</v>
      </c>
      <c r="AF565" t="str">
        <f t="shared" si="181"/>
        <v>Offensive</v>
      </c>
      <c r="AG565">
        <f t="shared" si="187"/>
        <v>18981</v>
      </c>
      <c r="AH565" t="str">
        <f t="shared" si="188"/>
        <v>Nelson</v>
      </c>
      <c r="AI565" t="str">
        <f t="shared" si="189"/>
        <v>Velodrome</v>
      </c>
      <c r="AJ565" s="18">
        <f t="shared" si="182"/>
        <v>0</v>
      </c>
      <c r="AP565" s="18">
        <f t="shared" si="183"/>
        <v>0</v>
      </c>
      <c r="AQ565">
        <f t="shared" si="184"/>
        <v>0</v>
      </c>
      <c r="AR565" s="23">
        <f t="shared" si="185"/>
        <v>699</v>
      </c>
      <c r="AS565">
        <f t="shared" si="190"/>
        <v>694</v>
      </c>
      <c r="AT565" s="21">
        <f t="shared" si="191"/>
        <v>699</v>
      </c>
      <c r="AU565" s="21"/>
      <c r="AV565" s="21"/>
      <c r="AW565" s="21"/>
    </row>
    <row r="566" spans="1:49" x14ac:dyDescent="0.2">
      <c r="A566">
        <v>297</v>
      </c>
      <c r="E566">
        <f t="shared" si="186"/>
        <v>1</v>
      </c>
      <c r="J566" t="str">
        <f t="shared" si="193"/>
        <v>6</v>
      </c>
      <c r="K566" t="str">
        <f t="shared" si="194"/>
        <v>21</v>
      </c>
      <c r="L566" t="str">
        <f t="shared" si="195"/>
        <v/>
      </c>
      <c r="M566" s="6" t="str">
        <f t="shared" si="196"/>
        <v/>
      </c>
      <c r="N566" t="str">
        <f t="shared" si="192"/>
        <v>Away</v>
      </c>
      <c r="O566">
        <v>8</v>
      </c>
      <c r="P566" t="s">
        <v>425</v>
      </c>
      <c r="Y566" t="str">
        <f t="shared" si="176"/>
        <v/>
      </c>
      <c r="Z566" t="str">
        <f t="shared" si="177"/>
        <v/>
      </c>
      <c r="AC566" t="str">
        <f t="shared" si="178"/>
        <v>Turnover</v>
      </c>
      <c r="AD566" t="str">
        <f t="shared" si="179"/>
        <v>Turnover_Giveaway</v>
      </c>
      <c r="AE566" t="str">
        <f t="shared" si="180"/>
        <v>Giveaway-PassMissed</v>
      </c>
      <c r="AF566" t="str">
        <f t="shared" si="181"/>
        <v>Defensive</v>
      </c>
      <c r="AG566">
        <f t="shared" si="187"/>
        <v>18981</v>
      </c>
      <c r="AH566" t="str">
        <f t="shared" si="188"/>
        <v>Nelson</v>
      </c>
      <c r="AI566" t="str">
        <f t="shared" si="189"/>
        <v>Velodrome</v>
      </c>
      <c r="AJ566" s="18">
        <f t="shared" si="182"/>
        <v>0</v>
      </c>
      <c r="AP566" s="18">
        <f t="shared" si="183"/>
        <v>0</v>
      </c>
      <c r="AQ566">
        <f t="shared" si="184"/>
        <v>0</v>
      </c>
      <c r="AR566" s="23">
        <f t="shared" si="185"/>
        <v>699</v>
      </c>
      <c r="AS566">
        <f t="shared" si="190"/>
        <v>694</v>
      </c>
      <c r="AT566" s="21">
        <f t="shared" si="191"/>
        <v>699</v>
      </c>
      <c r="AU566" s="21"/>
      <c r="AV566" s="21"/>
      <c r="AW566" s="21"/>
    </row>
    <row r="567" spans="1:49" x14ac:dyDescent="0.2">
      <c r="A567">
        <v>298</v>
      </c>
      <c r="E567">
        <f t="shared" si="186"/>
        <v>1</v>
      </c>
      <c r="F567" s="5" t="s">
        <v>541</v>
      </c>
      <c r="G567" s="5" t="s">
        <v>487</v>
      </c>
      <c r="H567" s="5" t="s">
        <v>541</v>
      </c>
      <c r="I567" s="7" t="s">
        <v>485</v>
      </c>
      <c r="J567" t="str">
        <f t="shared" si="193"/>
        <v>6</v>
      </c>
      <c r="K567" t="str">
        <f t="shared" si="194"/>
        <v>12</v>
      </c>
      <c r="L567" t="str">
        <f t="shared" si="195"/>
        <v>6</v>
      </c>
      <c r="M567" s="6" t="str">
        <f t="shared" si="196"/>
        <v>10</v>
      </c>
      <c r="N567" t="s">
        <v>179</v>
      </c>
      <c r="O567">
        <v>87</v>
      </c>
      <c r="P567" t="s">
        <v>424</v>
      </c>
      <c r="Q567" t="s">
        <v>277</v>
      </c>
      <c r="R567" t="s">
        <v>191</v>
      </c>
      <c r="S567" t="s">
        <v>87</v>
      </c>
      <c r="Y567" t="str">
        <f t="shared" si="176"/>
        <v/>
      </c>
      <c r="Z567" t="str">
        <f t="shared" si="177"/>
        <v/>
      </c>
      <c r="AC567" t="str">
        <f t="shared" si="178"/>
        <v>Zone_Entry_Exit</v>
      </c>
      <c r="AD567" t="str">
        <f t="shared" si="179"/>
        <v>Zone_Entry</v>
      </c>
      <c r="AE567" t="str">
        <f t="shared" si="180"/>
        <v>ZoneEntry-Rush</v>
      </c>
      <c r="AF567" t="str">
        <f t="shared" si="181"/>
        <v>Offensive</v>
      </c>
      <c r="AG567">
        <f t="shared" si="187"/>
        <v>18981</v>
      </c>
      <c r="AH567" t="str">
        <f t="shared" si="188"/>
        <v>Nelson</v>
      </c>
      <c r="AI567" t="str">
        <f t="shared" si="189"/>
        <v>Velodrome</v>
      </c>
      <c r="AJ567" s="18">
        <f t="shared" si="182"/>
        <v>2</v>
      </c>
      <c r="AP567" s="18">
        <f t="shared" si="183"/>
        <v>0</v>
      </c>
      <c r="AQ567">
        <f t="shared" si="184"/>
        <v>0</v>
      </c>
      <c r="AR567" s="23">
        <f t="shared" si="185"/>
        <v>708</v>
      </c>
      <c r="AS567">
        <f t="shared" si="190"/>
        <v>703</v>
      </c>
      <c r="AT567" s="21">
        <f t="shared" si="191"/>
        <v>710</v>
      </c>
      <c r="AU567" s="21"/>
      <c r="AV567" s="21"/>
      <c r="AW567" s="21"/>
    </row>
    <row r="568" spans="1:49" x14ac:dyDescent="0.2">
      <c r="A568">
        <v>298</v>
      </c>
      <c r="E568">
        <f t="shared" si="186"/>
        <v>1</v>
      </c>
      <c r="J568" t="str">
        <f t="shared" si="193"/>
        <v>6</v>
      </c>
      <c r="K568" t="str">
        <f t="shared" si="194"/>
        <v>12</v>
      </c>
      <c r="L568" t="str">
        <f t="shared" si="195"/>
        <v>6</v>
      </c>
      <c r="M568" s="6" t="str">
        <f t="shared" si="196"/>
        <v>10</v>
      </c>
      <c r="N568" t="str">
        <f t="shared" si="192"/>
        <v>Away</v>
      </c>
      <c r="O568">
        <v>3</v>
      </c>
      <c r="P568" t="s">
        <v>425</v>
      </c>
      <c r="Y568" t="str">
        <f t="shared" si="176"/>
        <v/>
      </c>
      <c r="Z568" t="str">
        <f t="shared" si="177"/>
        <v/>
      </c>
      <c r="AC568" t="str">
        <f t="shared" si="178"/>
        <v>Zone_Entry_Exit</v>
      </c>
      <c r="AD568" t="str">
        <f t="shared" si="179"/>
        <v>Zone_Entry</v>
      </c>
      <c r="AE568" t="str">
        <f t="shared" si="180"/>
        <v>ZoneEntry-Rush</v>
      </c>
      <c r="AF568" t="str">
        <f t="shared" si="181"/>
        <v>Defensive</v>
      </c>
      <c r="AG568">
        <f t="shared" si="187"/>
        <v>18981</v>
      </c>
      <c r="AH568" t="str">
        <f t="shared" si="188"/>
        <v>Nelson</v>
      </c>
      <c r="AI568" t="str">
        <f t="shared" si="189"/>
        <v>Velodrome</v>
      </c>
      <c r="AJ568" s="18">
        <f t="shared" si="182"/>
        <v>2</v>
      </c>
      <c r="AP568" s="18">
        <f t="shared" si="183"/>
        <v>0</v>
      </c>
      <c r="AQ568">
        <f t="shared" si="184"/>
        <v>0</v>
      </c>
      <c r="AR568" s="23">
        <f t="shared" si="185"/>
        <v>708</v>
      </c>
      <c r="AS568">
        <f t="shared" si="190"/>
        <v>703</v>
      </c>
      <c r="AT568" s="21">
        <f t="shared" si="191"/>
        <v>710</v>
      </c>
      <c r="AU568" s="21"/>
      <c r="AV568" s="21"/>
      <c r="AW568" s="21"/>
    </row>
    <row r="569" spans="1:49" x14ac:dyDescent="0.2">
      <c r="A569">
        <v>298</v>
      </c>
      <c r="E569">
        <f t="shared" si="186"/>
        <v>1</v>
      </c>
      <c r="J569" t="str">
        <f t="shared" si="193"/>
        <v>6</v>
      </c>
      <c r="K569" t="str">
        <f t="shared" si="194"/>
        <v>12</v>
      </c>
      <c r="L569" t="str">
        <f t="shared" si="195"/>
        <v>6</v>
      </c>
      <c r="M569" s="6" t="str">
        <f t="shared" si="196"/>
        <v>10</v>
      </c>
      <c r="N569" t="str">
        <f t="shared" si="192"/>
        <v>Away</v>
      </c>
      <c r="O569">
        <v>8</v>
      </c>
      <c r="P569" t="s">
        <v>425</v>
      </c>
      <c r="Y569" t="str">
        <f t="shared" si="176"/>
        <v/>
      </c>
      <c r="Z569" t="str">
        <f t="shared" si="177"/>
        <v/>
      </c>
      <c r="AC569" t="str">
        <f t="shared" si="178"/>
        <v>Zone_Entry_Exit</v>
      </c>
      <c r="AD569" t="str">
        <f t="shared" si="179"/>
        <v>Zone_Entry</v>
      </c>
      <c r="AE569" t="str">
        <f t="shared" si="180"/>
        <v>ZoneEntry-Rush</v>
      </c>
      <c r="AF569" t="str">
        <f t="shared" si="181"/>
        <v>Defensive</v>
      </c>
      <c r="AG569">
        <f t="shared" si="187"/>
        <v>18981</v>
      </c>
      <c r="AH569" t="str">
        <f t="shared" si="188"/>
        <v>Nelson</v>
      </c>
      <c r="AI569" t="str">
        <f t="shared" si="189"/>
        <v>Velodrome</v>
      </c>
      <c r="AJ569" s="18">
        <f t="shared" si="182"/>
        <v>2</v>
      </c>
      <c r="AP569" s="18">
        <f t="shared" si="183"/>
        <v>0</v>
      </c>
      <c r="AQ569">
        <f t="shared" si="184"/>
        <v>0</v>
      </c>
      <c r="AR569" s="23">
        <f t="shared" si="185"/>
        <v>708</v>
      </c>
      <c r="AS569">
        <f t="shared" si="190"/>
        <v>703</v>
      </c>
      <c r="AT569" s="21">
        <f t="shared" si="191"/>
        <v>710</v>
      </c>
      <c r="AU569" s="21"/>
      <c r="AV569" s="21"/>
      <c r="AW569" s="21"/>
    </row>
    <row r="570" spans="1:49" x14ac:dyDescent="0.2">
      <c r="A570">
        <v>299</v>
      </c>
      <c r="E570">
        <f t="shared" si="186"/>
        <v>1</v>
      </c>
      <c r="F570" s="5" t="s">
        <v>541</v>
      </c>
      <c r="G570" s="5" t="s">
        <v>485</v>
      </c>
      <c r="J570" t="str">
        <f t="shared" si="193"/>
        <v>6</v>
      </c>
      <c r="K570" t="str">
        <f t="shared" si="194"/>
        <v>10</v>
      </c>
      <c r="L570" t="str">
        <f t="shared" si="195"/>
        <v/>
      </c>
      <c r="M570" s="6" t="str">
        <f t="shared" si="196"/>
        <v/>
      </c>
      <c r="N570" t="s">
        <v>178</v>
      </c>
      <c r="O570">
        <v>8</v>
      </c>
      <c r="P570" t="s">
        <v>424</v>
      </c>
      <c r="Q570" t="s">
        <v>10</v>
      </c>
      <c r="R570" t="s">
        <v>200</v>
      </c>
      <c r="S570" t="s">
        <v>82</v>
      </c>
      <c r="Y570" t="str">
        <f t="shared" si="176"/>
        <v/>
      </c>
      <c r="Z570" t="str">
        <f t="shared" si="177"/>
        <v/>
      </c>
      <c r="AC570" t="str">
        <f t="shared" si="178"/>
        <v>Turnover</v>
      </c>
      <c r="AD570" t="str">
        <f t="shared" si="179"/>
        <v>Turnover_Takeaway</v>
      </c>
      <c r="AE570" t="str">
        <f t="shared" si="180"/>
        <v>Takeaway-PokeCheck</v>
      </c>
      <c r="AF570" t="str">
        <f t="shared" si="181"/>
        <v>Defensive</v>
      </c>
      <c r="AG570">
        <f t="shared" si="187"/>
        <v>18981</v>
      </c>
      <c r="AH570" t="str">
        <f t="shared" si="188"/>
        <v>Nelson</v>
      </c>
      <c r="AI570" t="str">
        <f t="shared" si="189"/>
        <v>Velodrome</v>
      </c>
      <c r="AJ570" s="18">
        <f t="shared" si="182"/>
        <v>0</v>
      </c>
      <c r="AP570" s="18">
        <f t="shared" si="183"/>
        <v>0</v>
      </c>
      <c r="AQ570">
        <f t="shared" si="184"/>
        <v>0</v>
      </c>
      <c r="AR570" s="23">
        <f t="shared" si="185"/>
        <v>710</v>
      </c>
      <c r="AS570">
        <f t="shared" si="190"/>
        <v>705</v>
      </c>
      <c r="AT570" s="21">
        <f t="shared" si="191"/>
        <v>710</v>
      </c>
      <c r="AU570" s="21"/>
      <c r="AV570" s="21"/>
      <c r="AW570" s="21"/>
    </row>
    <row r="571" spans="1:49" x14ac:dyDescent="0.2">
      <c r="A571">
        <v>299</v>
      </c>
      <c r="E571">
        <f t="shared" si="186"/>
        <v>1</v>
      </c>
      <c r="J571" t="str">
        <f t="shared" si="193"/>
        <v>6</v>
      </c>
      <c r="K571" t="str">
        <f t="shared" si="194"/>
        <v>10</v>
      </c>
      <c r="L571" t="str">
        <f t="shared" si="195"/>
        <v/>
      </c>
      <c r="M571" s="6" t="str">
        <f t="shared" si="196"/>
        <v/>
      </c>
      <c r="N571" t="str">
        <f t="shared" si="192"/>
        <v>Home</v>
      </c>
      <c r="O571">
        <v>87</v>
      </c>
      <c r="P571" t="s">
        <v>425</v>
      </c>
      <c r="Y571" t="str">
        <f t="shared" si="176"/>
        <v/>
      </c>
      <c r="Z571" t="str">
        <f t="shared" si="177"/>
        <v/>
      </c>
      <c r="AC571" t="str">
        <f t="shared" si="178"/>
        <v>Turnover</v>
      </c>
      <c r="AD571" t="str">
        <f t="shared" si="179"/>
        <v>Turnover_Takeaway</v>
      </c>
      <c r="AE571" t="str">
        <f t="shared" si="180"/>
        <v>Takeaway-PokeCheck</v>
      </c>
      <c r="AF571" t="str">
        <f t="shared" si="181"/>
        <v>Offensive</v>
      </c>
      <c r="AG571">
        <f t="shared" si="187"/>
        <v>18981</v>
      </c>
      <c r="AH571" t="str">
        <f t="shared" si="188"/>
        <v>Nelson</v>
      </c>
      <c r="AI571" t="str">
        <f t="shared" si="189"/>
        <v>Velodrome</v>
      </c>
      <c r="AJ571" s="18">
        <f t="shared" si="182"/>
        <v>0</v>
      </c>
      <c r="AP571" s="18">
        <f t="shared" si="183"/>
        <v>0</v>
      </c>
      <c r="AQ571">
        <f t="shared" si="184"/>
        <v>0</v>
      </c>
      <c r="AR571" s="23">
        <f t="shared" si="185"/>
        <v>710</v>
      </c>
      <c r="AS571">
        <f t="shared" si="190"/>
        <v>705</v>
      </c>
      <c r="AT571" s="21">
        <f t="shared" si="191"/>
        <v>710</v>
      </c>
      <c r="AU571" s="21"/>
      <c r="AV571" s="21"/>
      <c r="AW571" s="21"/>
    </row>
    <row r="572" spans="1:49" x14ac:dyDescent="0.2">
      <c r="A572">
        <v>300</v>
      </c>
      <c r="E572">
        <f t="shared" si="186"/>
        <v>1</v>
      </c>
      <c r="F572" s="5" t="s">
        <v>541</v>
      </c>
      <c r="G572" s="5" t="s">
        <v>483</v>
      </c>
      <c r="H572" s="5" t="s">
        <v>541</v>
      </c>
      <c r="I572" s="7" t="s">
        <v>476</v>
      </c>
      <c r="J572" t="str">
        <f t="shared" si="193"/>
        <v>6</v>
      </c>
      <c r="K572" t="str">
        <f t="shared" si="194"/>
        <v>08</v>
      </c>
      <c r="L572" t="str">
        <f t="shared" si="195"/>
        <v>6</v>
      </c>
      <c r="M572" s="6" t="str">
        <f t="shared" si="196"/>
        <v>06</v>
      </c>
      <c r="N572" t="s">
        <v>178</v>
      </c>
      <c r="O572">
        <v>10</v>
      </c>
      <c r="P572" t="s">
        <v>424</v>
      </c>
      <c r="Q572" t="s">
        <v>277</v>
      </c>
      <c r="R572" t="s">
        <v>201</v>
      </c>
      <c r="S572" t="s">
        <v>90</v>
      </c>
      <c r="Y572" t="str">
        <f t="shared" si="176"/>
        <v/>
      </c>
      <c r="Z572" t="str">
        <f t="shared" si="177"/>
        <v/>
      </c>
      <c r="AC572" t="str">
        <f t="shared" si="178"/>
        <v>Zone_Entry_Exit</v>
      </c>
      <c r="AD572" t="str">
        <f t="shared" si="179"/>
        <v>Zone_Exit</v>
      </c>
      <c r="AE572" t="str">
        <f t="shared" si="180"/>
        <v>ZoneExit-Rush</v>
      </c>
      <c r="AF572" t="str">
        <f t="shared" si="181"/>
        <v>Offensive</v>
      </c>
      <c r="AG572">
        <f t="shared" si="187"/>
        <v>18981</v>
      </c>
      <c r="AH572" t="str">
        <f t="shared" si="188"/>
        <v>Nelson</v>
      </c>
      <c r="AI572" t="str">
        <f t="shared" si="189"/>
        <v>Velodrome</v>
      </c>
      <c r="AJ572" s="18">
        <f t="shared" si="182"/>
        <v>2</v>
      </c>
      <c r="AP572" s="18">
        <f t="shared" si="183"/>
        <v>0</v>
      </c>
      <c r="AQ572">
        <f t="shared" si="184"/>
        <v>0</v>
      </c>
      <c r="AR572" s="23">
        <f t="shared" si="185"/>
        <v>712</v>
      </c>
      <c r="AS572">
        <f t="shared" si="190"/>
        <v>707</v>
      </c>
      <c r="AT572" s="21">
        <f t="shared" si="191"/>
        <v>714</v>
      </c>
      <c r="AU572" s="21"/>
      <c r="AV572" s="21"/>
      <c r="AW572" s="21"/>
    </row>
    <row r="573" spans="1:49" x14ac:dyDescent="0.2">
      <c r="A573">
        <v>300</v>
      </c>
      <c r="E573">
        <f t="shared" si="186"/>
        <v>1</v>
      </c>
      <c r="J573" t="str">
        <f t="shared" si="193"/>
        <v>6</v>
      </c>
      <c r="K573" t="str">
        <f t="shared" si="194"/>
        <v>08</v>
      </c>
      <c r="L573" t="str">
        <f t="shared" si="195"/>
        <v>6</v>
      </c>
      <c r="M573" s="6" t="str">
        <f t="shared" si="196"/>
        <v>06</v>
      </c>
      <c r="N573" t="str">
        <f t="shared" si="192"/>
        <v>Home</v>
      </c>
      <c r="O573">
        <v>75</v>
      </c>
      <c r="P573" t="s">
        <v>425</v>
      </c>
      <c r="Y573" t="str">
        <f t="shared" si="176"/>
        <v/>
      </c>
      <c r="Z573" t="str">
        <f t="shared" si="177"/>
        <v/>
      </c>
      <c r="AC573" t="str">
        <f t="shared" si="178"/>
        <v>Zone_Entry_Exit</v>
      </c>
      <c r="AD573" t="str">
        <f t="shared" si="179"/>
        <v>Zone_Exit</v>
      </c>
      <c r="AE573" t="str">
        <f t="shared" si="180"/>
        <v>ZoneExit-Rush</v>
      </c>
      <c r="AF573" t="str">
        <f t="shared" si="181"/>
        <v>Defensive</v>
      </c>
      <c r="AG573">
        <f t="shared" si="187"/>
        <v>18981</v>
      </c>
      <c r="AH573" t="str">
        <f t="shared" si="188"/>
        <v>Nelson</v>
      </c>
      <c r="AI573" t="str">
        <f t="shared" si="189"/>
        <v>Velodrome</v>
      </c>
      <c r="AJ573" s="18">
        <f t="shared" si="182"/>
        <v>2</v>
      </c>
      <c r="AP573" s="18">
        <f t="shared" si="183"/>
        <v>0</v>
      </c>
      <c r="AQ573">
        <f t="shared" si="184"/>
        <v>0</v>
      </c>
      <c r="AR573" s="23">
        <f t="shared" si="185"/>
        <v>712</v>
      </c>
      <c r="AS573">
        <f t="shared" si="190"/>
        <v>707</v>
      </c>
      <c r="AT573" s="21">
        <f t="shared" si="191"/>
        <v>714</v>
      </c>
      <c r="AU573" s="21"/>
      <c r="AV573" s="21"/>
      <c r="AW573" s="21"/>
    </row>
    <row r="574" spans="1:49" x14ac:dyDescent="0.2">
      <c r="A574">
        <v>301</v>
      </c>
      <c r="E574">
        <f t="shared" si="186"/>
        <v>1</v>
      </c>
      <c r="F574" s="5" t="s">
        <v>541</v>
      </c>
      <c r="G574" s="5" t="s">
        <v>476</v>
      </c>
      <c r="H574" s="5" t="s">
        <v>541</v>
      </c>
      <c r="I574" s="7" t="s">
        <v>481</v>
      </c>
      <c r="J574" t="str">
        <f t="shared" si="193"/>
        <v>6</v>
      </c>
      <c r="K574" t="str">
        <f t="shared" si="194"/>
        <v>06</v>
      </c>
      <c r="L574" t="str">
        <f t="shared" si="195"/>
        <v>6</v>
      </c>
      <c r="M574" s="6" t="str">
        <f t="shared" si="196"/>
        <v>05</v>
      </c>
      <c r="N574" t="s">
        <v>178</v>
      </c>
      <c r="O574">
        <v>10</v>
      </c>
      <c r="P574" t="s">
        <v>424</v>
      </c>
      <c r="Q574" t="s">
        <v>15</v>
      </c>
      <c r="Y574" t="str">
        <f t="shared" si="176"/>
        <v/>
      </c>
      <c r="Z574" t="str">
        <f t="shared" si="177"/>
        <v/>
      </c>
      <c r="AC574" t="str">
        <f t="shared" si="178"/>
        <v>Possession</v>
      </c>
      <c r="AD574" t="str">
        <f t="shared" si="179"/>
        <v/>
      </c>
      <c r="AE574" t="str">
        <f t="shared" si="180"/>
        <v/>
      </c>
      <c r="AF574" t="str">
        <f t="shared" si="181"/>
        <v>Offensive</v>
      </c>
      <c r="AG574">
        <f t="shared" si="187"/>
        <v>18981</v>
      </c>
      <c r="AH574" t="str">
        <f t="shared" si="188"/>
        <v>Nelson</v>
      </c>
      <c r="AI574" t="str">
        <f t="shared" si="189"/>
        <v>Velodrome</v>
      </c>
      <c r="AJ574" s="18">
        <f t="shared" si="182"/>
        <v>1</v>
      </c>
      <c r="AP574" s="18">
        <f t="shared" si="183"/>
        <v>0</v>
      </c>
      <c r="AQ574">
        <f t="shared" si="184"/>
        <v>0</v>
      </c>
      <c r="AR574" s="23">
        <f t="shared" si="185"/>
        <v>714</v>
      </c>
      <c r="AS574">
        <f t="shared" si="190"/>
        <v>709</v>
      </c>
      <c r="AT574" s="21">
        <f t="shared" si="191"/>
        <v>715</v>
      </c>
      <c r="AU574" s="21"/>
      <c r="AV574" s="21"/>
      <c r="AW574" s="21"/>
    </row>
    <row r="575" spans="1:49" x14ac:dyDescent="0.2">
      <c r="A575">
        <v>301</v>
      </c>
      <c r="E575">
        <f t="shared" si="186"/>
        <v>1</v>
      </c>
      <c r="J575" t="str">
        <f t="shared" si="193"/>
        <v>6</v>
      </c>
      <c r="K575" t="str">
        <f t="shared" si="194"/>
        <v>06</v>
      </c>
      <c r="L575" t="str">
        <f t="shared" si="195"/>
        <v>6</v>
      </c>
      <c r="M575" s="6" t="str">
        <f t="shared" si="196"/>
        <v>05</v>
      </c>
      <c r="N575" t="str">
        <f t="shared" si="192"/>
        <v>Home</v>
      </c>
      <c r="O575">
        <v>22</v>
      </c>
      <c r="P575" t="s">
        <v>425</v>
      </c>
      <c r="Y575" t="str">
        <f t="shared" si="176"/>
        <v/>
      </c>
      <c r="Z575" t="str">
        <f t="shared" si="177"/>
        <v/>
      </c>
      <c r="AC575" t="str">
        <f t="shared" si="178"/>
        <v>Possession</v>
      </c>
      <c r="AD575" t="str">
        <f t="shared" si="179"/>
        <v/>
      </c>
      <c r="AE575" t="str">
        <f t="shared" si="180"/>
        <v/>
      </c>
      <c r="AF575" t="str">
        <f t="shared" si="181"/>
        <v>Defensive</v>
      </c>
      <c r="AG575">
        <f t="shared" si="187"/>
        <v>18981</v>
      </c>
      <c r="AH575" t="str">
        <f t="shared" si="188"/>
        <v>Nelson</v>
      </c>
      <c r="AI575" t="str">
        <f t="shared" si="189"/>
        <v>Velodrome</v>
      </c>
      <c r="AJ575" s="18">
        <f t="shared" si="182"/>
        <v>1</v>
      </c>
      <c r="AP575" s="18">
        <f t="shared" si="183"/>
        <v>0</v>
      </c>
      <c r="AQ575">
        <f t="shared" si="184"/>
        <v>0</v>
      </c>
      <c r="AR575" s="23">
        <f t="shared" si="185"/>
        <v>714</v>
      </c>
      <c r="AS575">
        <f t="shared" si="190"/>
        <v>709</v>
      </c>
      <c r="AT575" s="21">
        <f t="shared" si="191"/>
        <v>715</v>
      </c>
      <c r="AU575" s="21"/>
      <c r="AV575" s="21"/>
      <c r="AW575" s="21"/>
    </row>
    <row r="576" spans="1:49" x14ac:dyDescent="0.2">
      <c r="A576">
        <v>302</v>
      </c>
      <c r="E576">
        <f t="shared" si="186"/>
        <v>1</v>
      </c>
      <c r="F576" s="5" t="s">
        <v>541</v>
      </c>
      <c r="G576" s="5" t="s">
        <v>481</v>
      </c>
      <c r="J576" t="str">
        <f t="shared" si="193"/>
        <v>6</v>
      </c>
      <c r="K576" t="str">
        <f t="shared" si="194"/>
        <v>05</v>
      </c>
      <c r="L576" t="str">
        <f t="shared" si="195"/>
        <v/>
      </c>
      <c r="M576" s="6" t="str">
        <f t="shared" si="196"/>
        <v/>
      </c>
      <c r="N576" t="s">
        <v>179</v>
      </c>
      <c r="O576">
        <v>22</v>
      </c>
      <c r="P576" t="s">
        <v>424</v>
      </c>
      <c r="Q576" t="s">
        <v>10</v>
      </c>
      <c r="R576" t="s">
        <v>200</v>
      </c>
      <c r="S576" t="s">
        <v>82</v>
      </c>
      <c r="Y576" t="str">
        <f t="shared" si="176"/>
        <v/>
      </c>
      <c r="Z576" t="str">
        <f t="shared" si="177"/>
        <v/>
      </c>
      <c r="AC576" t="str">
        <f t="shared" si="178"/>
        <v>Turnover</v>
      </c>
      <c r="AD576" t="str">
        <f t="shared" si="179"/>
        <v>Turnover_Takeaway</v>
      </c>
      <c r="AE576" t="str">
        <f t="shared" si="180"/>
        <v>Takeaway-PokeCheck</v>
      </c>
      <c r="AF576" t="str">
        <f t="shared" si="181"/>
        <v>Defensive</v>
      </c>
      <c r="AG576">
        <f t="shared" si="187"/>
        <v>18981</v>
      </c>
      <c r="AH576" t="str">
        <f t="shared" si="188"/>
        <v>Nelson</v>
      </c>
      <c r="AI576" t="str">
        <f t="shared" si="189"/>
        <v>Velodrome</v>
      </c>
      <c r="AJ576" s="18">
        <f t="shared" si="182"/>
        <v>0</v>
      </c>
      <c r="AP576" s="18">
        <f t="shared" si="183"/>
        <v>0</v>
      </c>
      <c r="AQ576">
        <f t="shared" si="184"/>
        <v>0</v>
      </c>
      <c r="AR576" s="23">
        <f t="shared" si="185"/>
        <v>715</v>
      </c>
      <c r="AS576">
        <f t="shared" si="190"/>
        <v>710</v>
      </c>
      <c r="AT576" s="21">
        <f t="shared" si="191"/>
        <v>715</v>
      </c>
      <c r="AU576" s="21"/>
      <c r="AV576" s="21"/>
      <c r="AW576" s="21"/>
    </row>
    <row r="577" spans="1:49" x14ac:dyDescent="0.2">
      <c r="A577">
        <v>302</v>
      </c>
      <c r="E577">
        <f t="shared" si="186"/>
        <v>1</v>
      </c>
      <c r="J577" t="str">
        <f t="shared" si="193"/>
        <v>6</v>
      </c>
      <c r="K577" t="str">
        <f t="shared" si="194"/>
        <v>05</v>
      </c>
      <c r="L577" t="str">
        <f t="shared" si="195"/>
        <v/>
      </c>
      <c r="M577" s="6" t="str">
        <f t="shared" si="196"/>
        <v/>
      </c>
      <c r="N577" t="str">
        <f t="shared" si="192"/>
        <v>Away</v>
      </c>
      <c r="O577">
        <v>10</v>
      </c>
      <c r="P577" t="s">
        <v>425</v>
      </c>
      <c r="Y577" t="str">
        <f t="shared" si="176"/>
        <v/>
      </c>
      <c r="Z577" t="str">
        <f t="shared" si="177"/>
        <v/>
      </c>
      <c r="AC577" t="str">
        <f t="shared" si="178"/>
        <v>Turnover</v>
      </c>
      <c r="AD577" t="str">
        <f t="shared" si="179"/>
        <v>Turnover_Takeaway</v>
      </c>
      <c r="AE577" t="str">
        <f t="shared" si="180"/>
        <v>Takeaway-PokeCheck</v>
      </c>
      <c r="AF577" t="str">
        <f t="shared" si="181"/>
        <v>Offensive</v>
      </c>
      <c r="AG577">
        <f t="shared" si="187"/>
        <v>18981</v>
      </c>
      <c r="AH577" t="str">
        <f t="shared" si="188"/>
        <v>Nelson</v>
      </c>
      <c r="AI577" t="str">
        <f t="shared" si="189"/>
        <v>Velodrome</v>
      </c>
      <c r="AJ577" s="18">
        <f t="shared" si="182"/>
        <v>0</v>
      </c>
      <c r="AP577" s="18">
        <f t="shared" si="183"/>
        <v>0</v>
      </c>
      <c r="AQ577">
        <f t="shared" si="184"/>
        <v>0</v>
      </c>
      <c r="AR577" s="23">
        <f t="shared" si="185"/>
        <v>715</v>
      </c>
      <c r="AS577">
        <f t="shared" si="190"/>
        <v>710</v>
      </c>
      <c r="AT577" s="21">
        <f t="shared" si="191"/>
        <v>715</v>
      </c>
      <c r="AU577" s="21"/>
      <c r="AV577" s="21"/>
      <c r="AW577" s="21"/>
    </row>
    <row r="578" spans="1:49" x14ac:dyDescent="0.2">
      <c r="A578">
        <v>303</v>
      </c>
      <c r="E578">
        <f t="shared" si="186"/>
        <v>1</v>
      </c>
      <c r="F578" s="5" t="s">
        <v>541</v>
      </c>
      <c r="G578" s="5" t="s">
        <v>473</v>
      </c>
      <c r="H578" s="5" t="s">
        <v>541</v>
      </c>
      <c r="I578" s="7" t="s">
        <v>475</v>
      </c>
      <c r="J578" t="str">
        <f t="shared" si="193"/>
        <v>6</v>
      </c>
      <c r="K578" t="str">
        <f t="shared" si="194"/>
        <v>03</v>
      </c>
      <c r="L578" t="str">
        <f t="shared" si="195"/>
        <v>6</v>
      </c>
      <c r="M578" s="6" t="str">
        <f t="shared" si="196"/>
        <v>00</v>
      </c>
      <c r="N578" t="s">
        <v>179</v>
      </c>
      <c r="O578">
        <v>70</v>
      </c>
      <c r="P578" t="s">
        <v>424</v>
      </c>
      <c r="Q578" t="s">
        <v>15</v>
      </c>
      <c r="Y578" t="str">
        <f t="shared" si="176"/>
        <v/>
      </c>
      <c r="Z578" t="str">
        <f t="shared" si="177"/>
        <v/>
      </c>
      <c r="AC578" t="str">
        <f t="shared" si="178"/>
        <v>Possession</v>
      </c>
      <c r="AD578" t="str">
        <f t="shared" si="179"/>
        <v/>
      </c>
      <c r="AE578" t="str">
        <f t="shared" si="180"/>
        <v/>
      </c>
      <c r="AF578" t="str">
        <f t="shared" si="181"/>
        <v>Offensive</v>
      </c>
      <c r="AG578">
        <f t="shared" si="187"/>
        <v>18981</v>
      </c>
      <c r="AH578" t="str">
        <f t="shared" si="188"/>
        <v>Nelson</v>
      </c>
      <c r="AI578" t="str">
        <f t="shared" si="189"/>
        <v>Velodrome</v>
      </c>
      <c r="AJ578" s="18">
        <f t="shared" si="182"/>
        <v>3</v>
      </c>
      <c r="AP578" s="18">
        <f t="shared" si="183"/>
        <v>0</v>
      </c>
      <c r="AQ578">
        <f t="shared" si="184"/>
        <v>0</v>
      </c>
      <c r="AR578" s="23">
        <f t="shared" si="185"/>
        <v>717</v>
      </c>
      <c r="AS578">
        <f t="shared" si="190"/>
        <v>712</v>
      </c>
      <c r="AT578" s="21">
        <f t="shared" si="191"/>
        <v>720</v>
      </c>
      <c r="AU578" s="21"/>
      <c r="AV578" s="21"/>
      <c r="AW578" s="21"/>
    </row>
    <row r="579" spans="1:49" x14ac:dyDescent="0.2">
      <c r="A579">
        <v>303</v>
      </c>
      <c r="E579">
        <f t="shared" si="186"/>
        <v>1</v>
      </c>
      <c r="J579" t="str">
        <f t="shared" si="193"/>
        <v>6</v>
      </c>
      <c r="K579" t="str">
        <f t="shared" si="194"/>
        <v>03</v>
      </c>
      <c r="L579" t="str">
        <f t="shared" si="195"/>
        <v>6</v>
      </c>
      <c r="M579" s="6" t="str">
        <f t="shared" si="196"/>
        <v>00</v>
      </c>
      <c r="N579" t="str">
        <f t="shared" si="192"/>
        <v>Away</v>
      </c>
      <c r="O579">
        <v>16</v>
      </c>
      <c r="P579" t="s">
        <v>425</v>
      </c>
      <c r="Y579" t="str">
        <f t="shared" ref="Y579:Y642" si="197">IF($N579="","",IF(X579="","",IF($N579="Home",$X579,IF($X579="n","n",IF($X579="d","o",IF($X579="o","d",""))))))</f>
        <v/>
      </c>
      <c r="Z579" t="str">
        <f t="shared" ref="Z579:Z642" si="198">IF($N579="","",IF(X579="","",IF($N579="Away",$X579,IF($X579="n","n",IF($X579="d","o",IF($X579="o","d",""))))))</f>
        <v/>
      </c>
      <c r="AC579" t="str">
        <f t="shared" ref="AC579:AC642" si="199">IF(Q579&lt;&gt;"",Q579,IF($A579=$A578,AC578,""))</f>
        <v>Possession</v>
      </c>
      <c r="AD579" t="str">
        <f t="shared" ref="AD579:AD642" si="200">IF(R579&lt;&gt;"",R579,IF($A579=$A578,AD578,""))</f>
        <v/>
      </c>
      <c r="AE579" t="str">
        <f t="shared" ref="AE579:AE642" si="201">IF(S579&lt;&gt;"",S579,IF($A579=$A578,AE578,""))</f>
        <v/>
      </c>
      <c r="AF579" t="str">
        <f t="shared" ref="AF579:AF642" si="202">IF(AND(P579="e",OR(AC579="Save",AD579="Turnover_Takeaway",AD579="Play_Defensive")),"Defensive",IF(AND(P579="o",OR(AC579="Save",AD579="Turnover_Takeaway",AD579="Play_Defensive")),"Offensive",IF(OR(AC579="Deadice",AC579="Stoppage",AC579="Intermission"),"",IF(P579="e","Offensive",IF(P579="o","Defensive","")))))</f>
        <v>Defensive</v>
      </c>
      <c r="AG579">
        <f t="shared" si="187"/>
        <v>18981</v>
      </c>
      <c r="AH579" t="str">
        <f t="shared" si="188"/>
        <v>Nelson</v>
      </c>
      <c r="AI579" t="str">
        <f t="shared" si="189"/>
        <v>Velodrome</v>
      </c>
      <c r="AJ579" s="18">
        <f t="shared" ref="AJ579:AJ642" si="203">IF(AND(L579="",M579=""),0,((J579*60)+K579)-((L579*60)+M579))</f>
        <v>3</v>
      </c>
      <c r="AP579" s="18">
        <f t="shared" ref="AP579:AP642" si="204">SUMIFS(AJ579:AJ579,Q579:Q579,"=Intermission")</f>
        <v>0</v>
      </c>
      <c r="AQ579">
        <f t="shared" ref="AQ579:AQ642" si="205">IF(E579=1,0,IF(E579=2,1080+AP579,IF(E579=3,(1080*2)+AP579,0)))</f>
        <v>0</v>
      </c>
      <c r="AR579" s="23">
        <f t="shared" ref="AR579:AR642" si="206">IF(Q579="Intermission",AR578,((1080)-((J579*60)+K579))+AQ579)</f>
        <v>717</v>
      </c>
      <c r="AS579">
        <f t="shared" si="190"/>
        <v>712</v>
      </c>
      <c r="AT579" s="21">
        <f t="shared" si="191"/>
        <v>720</v>
      </c>
      <c r="AU579" s="21"/>
      <c r="AV579" s="21"/>
      <c r="AW579" s="21"/>
    </row>
    <row r="580" spans="1:49" x14ac:dyDescent="0.2">
      <c r="A580">
        <v>304</v>
      </c>
      <c r="E580">
        <f t="shared" ref="E580:E643" si="207">IF(Q580="Intermission",E579+1,E579)</f>
        <v>1</v>
      </c>
      <c r="F580" s="5" t="s">
        <v>540</v>
      </c>
      <c r="G580" s="5" t="s">
        <v>479</v>
      </c>
      <c r="J580" t="str">
        <f t="shared" si="193"/>
        <v>5</v>
      </c>
      <c r="K580" t="str">
        <f t="shared" si="194"/>
        <v>59</v>
      </c>
      <c r="L580" t="str">
        <f t="shared" si="195"/>
        <v/>
      </c>
      <c r="M580" s="6" t="str">
        <f t="shared" si="196"/>
        <v/>
      </c>
      <c r="N580" t="s">
        <v>179</v>
      </c>
      <c r="O580">
        <v>70</v>
      </c>
      <c r="P580" t="s">
        <v>424</v>
      </c>
      <c r="Q580" t="s">
        <v>8</v>
      </c>
      <c r="R580" t="s">
        <v>189</v>
      </c>
      <c r="S580" t="s">
        <v>69</v>
      </c>
      <c r="Y580" t="str">
        <f t="shared" si="197"/>
        <v/>
      </c>
      <c r="Z580" t="str">
        <f t="shared" si="198"/>
        <v/>
      </c>
      <c r="AC580" t="str">
        <f t="shared" si="199"/>
        <v>Pass</v>
      </c>
      <c r="AD580" t="str">
        <f t="shared" si="200"/>
        <v>Pass_Completed</v>
      </c>
      <c r="AE580" t="str">
        <f t="shared" si="201"/>
        <v>Pass-Backhand</v>
      </c>
      <c r="AF580" t="str">
        <f t="shared" si="202"/>
        <v>Offensive</v>
      </c>
      <c r="AG580">
        <f t="shared" ref="AG580:AG643" si="208">AG579</f>
        <v>18981</v>
      </c>
      <c r="AH580" t="str">
        <f t="shared" ref="AH580:AH643" si="209">AH579</f>
        <v>Nelson</v>
      </c>
      <c r="AI580" t="str">
        <f t="shared" ref="AI580:AI643" si="210">AI579</f>
        <v>Velodrome</v>
      </c>
      <c r="AJ580" s="18">
        <f t="shared" si="203"/>
        <v>0</v>
      </c>
      <c r="AP580" s="18">
        <f t="shared" si="204"/>
        <v>0</v>
      </c>
      <c r="AQ580">
        <f t="shared" si="205"/>
        <v>0</v>
      </c>
      <c r="AR580" s="23">
        <f t="shared" si="206"/>
        <v>721</v>
      </c>
      <c r="AS580">
        <f t="shared" ref="AS580:AS643" si="211">IF(AR580&lt;5,0,AR580-5)</f>
        <v>716</v>
      </c>
      <c r="AT580" s="21">
        <f t="shared" ref="AT580:AT643" si="212">AS580+AJ580+5</f>
        <v>721</v>
      </c>
      <c r="AU580" s="21"/>
      <c r="AV580" s="21"/>
      <c r="AW580" s="21"/>
    </row>
    <row r="581" spans="1:49" x14ac:dyDescent="0.2">
      <c r="A581">
        <v>304</v>
      </c>
      <c r="E581">
        <f t="shared" si="207"/>
        <v>1</v>
      </c>
      <c r="J581" t="str">
        <f t="shared" si="193"/>
        <v>5</v>
      </c>
      <c r="K581" t="str">
        <f t="shared" si="194"/>
        <v>59</v>
      </c>
      <c r="L581" t="str">
        <f t="shared" si="195"/>
        <v/>
      </c>
      <c r="M581" s="6" t="str">
        <f t="shared" si="196"/>
        <v/>
      </c>
      <c r="N581" t="str">
        <f t="shared" si="192"/>
        <v>Away</v>
      </c>
      <c r="O581">
        <v>75</v>
      </c>
      <c r="P581" t="s">
        <v>424</v>
      </c>
      <c r="Y581" t="str">
        <f t="shared" si="197"/>
        <v/>
      </c>
      <c r="Z581" t="str">
        <f t="shared" si="198"/>
        <v/>
      </c>
      <c r="AC581" t="str">
        <f t="shared" si="199"/>
        <v>Pass</v>
      </c>
      <c r="AD581" t="str">
        <f t="shared" si="200"/>
        <v>Pass_Completed</v>
      </c>
      <c r="AE581" t="str">
        <f t="shared" si="201"/>
        <v>Pass-Backhand</v>
      </c>
      <c r="AF581" t="str">
        <f t="shared" si="202"/>
        <v>Offensive</v>
      </c>
      <c r="AG581">
        <f t="shared" si="208"/>
        <v>18981</v>
      </c>
      <c r="AH581" t="str">
        <f t="shared" si="209"/>
        <v>Nelson</v>
      </c>
      <c r="AI581" t="str">
        <f t="shared" si="210"/>
        <v>Velodrome</v>
      </c>
      <c r="AJ581" s="18">
        <f t="shared" si="203"/>
        <v>0</v>
      </c>
      <c r="AP581" s="18">
        <f t="shared" si="204"/>
        <v>0</v>
      </c>
      <c r="AQ581">
        <f t="shared" si="205"/>
        <v>0</v>
      </c>
      <c r="AR581" s="23">
        <f t="shared" si="206"/>
        <v>721</v>
      </c>
      <c r="AS581">
        <f t="shared" si="211"/>
        <v>716</v>
      </c>
      <c r="AT581" s="21">
        <f t="shared" si="212"/>
        <v>721</v>
      </c>
      <c r="AU581" s="21"/>
      <c r="AV581" s="21"/>
      <c r="AW581" s="21"/>
    </row>
    <row r="582" spans="1:49" x14ac:dyDescent="0.2">
      <c r="A582">
        <v>304</v>
      </c>
      <c r="E582">
        <f t="shared" si="207"/>
        <v>1</v>
      </c>
      <c r="J582" t="str">
        <f t="shared" si="193"/>
        <v>5</v>
      </c>
      <c r="K582" t="str">
        <f t="shared" si="194"/>
        <v>59</v>
      </c>
      <c r="L582" t="str">
        <f t="shared" si="195"/>
        <v/>
      </c>
      <c r="M582" s="6" t="str">
        <f t="shared" si="196"/>
        <v/>
      </c>
      <c r="N582" t="str">
        <f t="shared" ref="N582:N645" si="213">IF(A582=A581,N581,"")</f>
        <v>Away</v>
      </c>
      <c r="O582">
        <v>16</v>
      </c>
      <c r="P582" t="s">
        <v>425</v>
      </c>
      <c r="Y582" t="str">
        <f t="shared" si="197"/>
        <v/>
      </c>
      <c r="Z582" t="str">
        <f t="shared" si="198"/>
        <v/>
      </c>
      <c r="AC582" t="str">
        <f t="shared" si="199"/>
        <v>Pass</v>
      </c>
      <c r="AD582" t="str">
        <f t="shared" si="200"/>
        <v>Pass_Completed</v>
      </c>
      <c r="AE582" t="str">
        <f t="shared" si="201"/>
        <v>Pass-Backhand</v>
      </c>
      <c r="AF582" t="str">
        <f t="shared" si="202"/>
        <v>Defensive</v>
      </c>
      <c r="AG582">
        <f t="shared" si="208"/>
        <v>18981</v>
      </c>
      <c r="AH582" t="str">
        <f t="shared" si="209"/>
        <v>Nelson</v>
      </c>
      <c r="AI582" t="str">
        <f t="shared" si="210"/>
        <v>Velodrome</v>
      </c>
      <c r="AJ582" s="18">
        <f t="shared" si="203"/>
        <v>0</v>
      </c>
      <c r="AP582" s="18">
        <f t="shared" si="204"/>
        <v>0</v>
      </c>
      <c r="AQ582">
        <f t="shared" si="205"/>
        <v>0</v>
      </c>
      <c r="AR582" s="23">
        <f t="shared" si="206"/>
        <v>721</v>
      </c>
      <c r="AS582">
        <f t="shared" si="211"/>
        <v>716</v>
      </c>
      <c r="AT582" s="21">
        <f t="shared" si="212"/>
        <v>721</v>
      </c>
      <c r="AU582" s="21"/>
      <c r="AV582" s="21"/>
      <c r="AW582" s="21"/>
    </row>
    <row r="583" spans="1:49" x14ac:dyDescent="0.2">
      <c r="A583">
        <v>305</v>
      </c>
      <c r="E583">
        <f t="shared" si="207"/>
        <v>1</v>
      </c>
      <c r="F583" s="5" t="s">
        <v>540</v>
      </c>
      <c r="G583" s="5" t="s">
        <v>479</v>
      </c>
      <c r="J583" t="str">
        <f t="shared" si="193"/>
        <v>5</v>
      </c>
      <c r="K583" t="str">
        <f t="shared" si="194"/>
        <v>59</v>
      </c>
      <c r="L583" t="str">
        <f t="shared" si="195"/>
        <v/>
      </c>
      <c r="M583" s="6" t="str">
        <f t="shared" si="196"/>
        <v/>
      </c>
      <c r="N583" t="s">
        <v>179</v>
      </c>
      <c r="O583">
        <v>70</v>
      </c>
      <c r="P583" t="s">
        <v>424</v>
      </c>
      <c r="Q583" t="s">
        <v>277</v>
      </c>
      <c r="R583" t="s">
        <v>201</v>
      </c>
      <c r="S583" t="s">
        <v>91</v>
      </c>
      <c r="Y583" t="str">
        <f t="shared" si="197"/>
        <v/>
      </c>
      <c r="Z583" t="str">
        <f t="shared" si="198"/>
        <v/>
      </c>
      <c r="AC583" t="str">
        <f t="shared" si="199"/>
        <v>Zone_Entry_Exit</v>
      </c>
      <c r="AD583" t="str">
        <f t="shared" si="200"/>
        <v>Zone_Exit</v>
      </c>
      <c r="AE583" t="str">
        <f t="shared" si="201"/>
        <v>ZoneExit-Pass</v>
      </c>
      <c r="AF583" t="str">
        <f t="shared" si="202"/>
        <v>Offensive</v>
      </c>
      <c r="AG583">
        <f t="shared" si="208"/>
        <v>18981</v>
      </c>
      <c r="AH583" t="str">
        <f t="shared" si="209"/>
        <v>Nelson</v>
      </c>
      <c r="AI583" t="str">
        <f t="shared" si="210"/>
        <v>Velodrome</v>
      </c>
      <c r="AJ583" s="18">
        <f t="shared" si="203"/>
        <v>0</v>
      </c>
      <c r="AP583" s="18">
        <f t="shared" si="204"/>
        <v>0</v>
      </c>
      <c r="AQ583">
        <f t="shared" si="205"/>
        <v>0</v>
      </c>
      <c r="AR583" s="23">
        <f t="shared" si="206"/>
        <v>721</v>
      </c>
      <c r="AS583">
        <f t="shared" si="211"/>
        <v>716</v>
      </c>
      <c r="AT583" s="21">
        <f t="shared" si="212"/>
        <v>721</v>
      </c>
      <c r="AU583" s="21"/>
      <c r="AV583" s="21"/>
      <c r="AW583" s="21"/>
    </row>
    <row r="584" spans="1:49" x14ac:dyDescent="0.2">
      <c r="A584">
        <v>305</v>
      </c>
      <c r="E584">
        <f t="shared" si="207"/>
        <v>1</v>
      </c>
      <c r="J584" t="str">
        <f t="shared" si="193"/>
        <v>5</v>
      </c>
      <c r="K584" t="str">
        <f t="shared" si="194"/>
        <v>59</v>
      </c>
      <c r="L584" t="str">
        <f t="shared" si="195"/>
        <v/>
      </c>
      <c r="M584" s="6" t="str">
        <f t="shared" si="196"/>
        <v/>
      </c>
      <c r="N584" t="str">
        <f t="shared" si="213"/>
        <v>Away</v>
      </c>
      <c r="O584">
        <v>75</v>
      </c>
      <c r="P584" t="s">
        <v>424</v>
      </c>
      <c r="Y584" t="str">
        <f t="shared" si="197"/>
        <v/>
      </c>
      <c r="Z584" t="str">
        <f t="shared" si="198"/>
        <v/>
      </c>
      <c r="AC584" t="str">
        <f t="shared" si="199"/>
        <v>Zone_Entry_Exit</v>
      </c>
      <c r="AD584" t="str">
        <f t="shared" si="200"/>
        <v>Zone_Exit</v>
      </c>
      <c r="AE584" t="str">
        <f t="shared" si="201"/>
        <v>ZoneExit-Pass</v>
      </c>
      <c r="AF584" t="str">
        <f t="shared" si="202"/>
        <v>Offensive</v>
      </c>
      <c r="AG584">
        <f t="shared" si="208"/>
        <v>18981</v>
      </c>
      <c r="AH584" t="str">
        <f t="shared" si="209"/>
        <v>Nelson</v>
      </c>
      <c r="AI584" t="str">
        <f t="shared" si="210"/>
        <v>Velodrome</v>
      </c>
      <c r="AJ584" s="18">
        <f t="shared" si="203"/>
        <v>0</v>
      </c>
      <c r="AP584" s="18">
        <f t="shared" si="204"/>
        <v>0</v>
      </c>
      <c r="AQ584">
        <f t="shared" si="205"/>
        <v>0</v>
      </c>
      <c r="AR584" s="23">
        <f t="shared" si="206"/>
        <v>721</v>
      </c>
      <c r="AS584">
        <f t="shared" si="211"/>
        <v>716</v>
      </c>
      <c r="AT584" s="21">
        <f t="shared" si="212"/>
        <v>721</v>
      </c>
      <c r="AU584" s="21"/>
      <c r="AV584" s="21"/>
      <c r="AW584" s="21"/>
    </row>
    <row r="585" spans="1:49" x14ac:dyDescent="0.2">
      <c r="A585">
        <v>305</v>
      </c>
      <c r="E585">
        <f t="shared" si="207"/>
        <v>1</v>
      </c>
      <c r="J585" t="str">
        <f t="shared" ref="J585:J648" si="214">IF(F585&lt;&gt;"",F585,IF($A585=$A584,J584,J585))</f>
        <v>5</v>
      </c>
      <c r="K585" t="str">
        <f t="shared" ref="K585:K648" si="215">IF($A585=$A584,K584,G585)</f>
        <v>59</v>
      </c>
      <c r="L585" t="str">
        <f t="shared" ref="L585:L648" si="216">IF(H585&lt;&gt;"",H585,IF($A585=$A584,L584,""))</f>
        <v/>
      </c>
      <c r="M585" s="6" t="str">
        <f t="shared" ref="M585:M648" si="217">IF(I585&lt;&gt;"",I585,IF($A585=$A584,M584,""))</f>
        <v/>
      </c>
      <c r="N585" t="str">
        <f t="shared" si="213"/>
        <v>Away</v>
      </c>
      <c r="O585">
        <v>16</v>
      </c>
      <c r="P585" t="s">
        <v>425</v>
      </c>
      <c r="Y585" t="str">
        <f t="shared" si="197"/>
        <v/>
      </c>
      <c r="Z585" t="str">
        <f t="shared" si="198"/>
        <v/>
      </c>
      <c r="AC585" t="str">
        <f t="shared" si="199"/>
        <v>Zone_Entry_Exit</v>
      </c>
      <c r="AD585" t="str">
        <f t="shared" si="200"/>
        <v>Zone_Exit</v>
      </c>
      <c r="AE585" t="str">
        <f t="shared" si="201"/>
        <v>ZoneExit-Pass</v>
      </c>
      <c r="AF585" t="str">
        <f t="shared" si="202"/>
        <v>Defensive</v>
      </c>
      <c r="AG585">
        <f t="shared" si="208"/>
        <v>18981</v>
      </c>
      <c r="AH585" t="str">
        <f t="shared" si="209"/>
        <v>Nelson</v>
      </c>
      <c r="AI585" t="str">
        <f t="shared" si="210"/>
        <v>Velodrome</v>
      </c>
      <c r="AJ585" s="18">
        <f t="shared" si="203"/>
        <v>0</v>
      </c>
      <c r="AP585" s="18">
        <f t="shared" si="204"/>
        <v>0</v>
      </c>
      <c r="AQ585">
        <f t="shared" si="205"/>
        <v>0</v>
      </c>
      <c r="AR585" s="23">
        <f t="shared" si="206"/>
        <v>721</v>
      </c>
      <c r="AS585">
        <f t="shared" si="211"/>
        <v>716</v>
      </c>
      <c r="AT585" s="21">
        <f t="shared" si="212"/>
        <v>721</v>
      </c>
      <c r="AU585" s="21"/>
      <c r="AV585" s="21"/>
      <c r="AW585" s="21"/>
    </row>
    <row r="586" spans="1:49" x14ac:dyDescent="0.2">
      <c r="A586">
        <v>306</v>
      </c>
      <c r="E586">
        <f t="shared" si="207"/>
        <v>1</v>
      </c>
      <c r="F586" s="5" t="s">
        <v>540</v>
      </c>
      <c r="G586" s="5" t="s">
        <v>530</v>
      </c>
      <c r="J586" t="str">
        <f t="shared" si="214"/>
        <v>5</v>
      </c>
      <c r="K586" t="str">
        <f t="shared" si="215"/>
        <v>58</v>
      </c>
      <c r="L586" t="str">
        <f t="shared" si="216"/>
        <v/>
      </c>
      <c r="M586" s="6" t="str">
        <f t="shared" si="217"/>
        <v/>
      </c>
      <c r="N586" t="s">
        <v>179</v>
      </c>
      <c r="O586">
        <v>75</v>
      </c>
      <c r="P586" t="s">
        <v>424</v>
      </c>
      <c r="Q586" t="s">
        <v>277</v>
      </c>
      <c r="R586" t="s">
        <v>191</v>
      </c>
      <c r="S586" t="s">
        <v>447</v>
      </c>
      <c r="Y586" t="str">
        <f t="shared" si="197"/>
        <v/>
      </c>
      <c r="Z586" t="str">
        <f t="shared" si="198"/>
        <v/>
      </c>
      <c r="AC586" t="str">
        <f t="shared" si="199"/>
        <v>Zone_Entry_Exit</v>
      </c>
      <c r="AD586" t="str">
        <f t="shared" si="200"/>
        <v>Zone_Entry</v>
      </c>
      <c r="AE586" t="str">
        <f t="shared" si="201"/>
        <v>ZoneEntry-PassMiss/Misplay</v>
      </c>
      <c r="AF586" t="str">
        <f t="shared" si="202"/>
        <v>Offensive</v>
      </c>
      <c r="AG586">
        <f t="shared" si="208"/>
        <v>18981</v>
      </c>
      <c r="AH586" t="str">
        <f t="shared" si="209"/>
        <v>Nelson</v>
      </c>
      <c r="AI586" t="str">
        <f t="shared" si="210"/>
        <v>Velodrome</v>
      </c>
      <c r="AJ586" s="18">
        <f t="shared" si="203"/>
        <v>0</v>
      </c>
      <c r="AP586" s="18">
        <f t="shared" si="204"/>
        <v>0</v>
      </c>
      <c r="AQ586">
        <f t="shared" si="205"/>
        <v>0</v>
      </c>
      <c r="AR586" s="23">
        <f t="shared" si="206"/>
        <v>722</v>
      </c>
      <c r="AS586">
        <f t="shared" si="211"/>
        <v>717</v>
      </c>
      <c r="AT586" s="21">
        <f t="shared" si="212"/>
        <v>722</v>
      </c>
      <c r="AU586" s="21"/>
      <c r="AV586" s="21"/>
      <c r="AW586" s="21"/>
    </row>
    <row r="587" spans="1:49" x14ac:dyDescent="0.2">
      <c r="A587">
        <v>306</v>
      </c>
      <c r="E587">
        <f t="shared" si="207"/>
        <v>1</v>
      </c>
      <c r="J587" t="str">
        <f t="shared" si="214"/>
        <v>5</v>
      </c>
      <c r="K587" t="str">
        <f t="shared" si="215"/>
        <v>58</v>
      </c>
      <c r="L587" t="str">
        <f t="shared" si="216"/>
        <v/>
      </c>
      <c r="M587" s="6" t="str">
        <f t="shared" si="217"/>
        <v/>
      </c>
      <c r="N587" t="s">
        <v>179</v>
      </c>
      <c r="O587">
        <v>80</v>
      </c>
      <c r="P587" t="s">
        <v>425</v>
      </c>
      <c r="Y587" t="str">
        <f t="shared" si="197"/>
        <v/>
      </c>
      <c r="Z587" t="str">
        <f t="shared" si="198"/>
        <v/>
      </c>
      <c r="AC587" t="str">
        <f t="shared" si="199"/>
        <v>Zone_Entry_Exit</v>
      </c>
      <c r="AD587" t="str">
        <f t="shared" si="200"/>
        <v>Zone_Entry</v>
      </c>
      <c r="AE587" t="str">
        <f t="shared" si="201"/>
        <v>ZoneEntry-PassMiss/Misplay</v>
      </c>
      <c r="AF587" t="str">
        <f t="shared" si="202"/>
        <v>Defensive</v>
      </c>
      <c r="AG587">
        <f t="shared" si="208"/>
        <v>18981</v>
      </c>
      <c r="AH587" t="str">
        <f t="shared" si="209"/>
        <v>Nelson</v>
      </c>
      <c r="AI587" t="str">
        <f t="shared" si="210"/>
        <v>Velodrome</v>
      </c>
      <c r="AJ587" s="18">
        <f t="shared" si="203"/>
        <v>0</v>
      </c>
      <c r="AP587" s="18">
        <f t="shared" si="204"/>
        <v>0</v>
      </c>
      <c r="AQ587">
        <f t="shared" si="205"/>
        <v>0</v>
      </c>
      <c r="AR587" s="23">
        <f t="shared" si="206"/>
        <v>722</v>
      </c>
      <c r="AS587">
        <f t="shared" si="211"/>
        <v>717</v>
      </c>
      <c r="AT587" s="21">
        <f t="shared" si="212"/>
        <v>722</v>
      </c>
      <c r="AU587" s="21"/>
      <c r="AV587" s="21"/>
      <c r="AW587" s="21"/>
    </row>
    <row r="588" spans="1:49" x14ac:dyDescent="0.2">
      <c r="A588">
        <v>307</v>
      </c>
      <c r="E588">
        <f t="shared" si="207"/>
        <v>1</v>
      </c>
      <c r="F588" s="5" t="s">
        <v>540</v>
      </c>
      <c r="G588" s="5" t="s">
        <v>530</v>
      </c>
      <c r="J588" t="str">
        <f t="shared" si="214"/>
        <v>5</v>
      </c>
      <c r="K588" t="str">
        <f t="shared" si="215"/>
        <v>58</v>
      </c>
      <c r="L588" t="str">
        <f t="shared" si="216"/>
        <v/>
      </c>
      <c r="M588" s="6" t="str">
        <f t="shared" si="217"/>
        <v/>
      </c>
      <c r="N588" t="s">
        <v>179</v>
      </c>
      <c r="O588">
        <v>75</v>
      </c>
      <c r="P588" t="s">
        <v>424</v>
      </c>
      <c r="Q588" t="s">
        <v>10</v>
      </c>
      <c r="R588" t="s">
        <v>190</v>
      </c>
      <c r="S588" t="s">
        <v>73</v>
      </c>
      <c r="Y588" t="str">
        <f t="shared" si="197"/>
        <v/>
      </c>
      <c r="Z588" t="str">
        <f t="shared" si="198"/>
        <v/>
      </c>
      <c r="AC588" t="str">
        <f t="shared" si="199"/>
        <v>Turnover</v>
      </c>
      <c r="AD588" t="str">
        <f t="shared" si="200"/>
        <v>Turnover_Giveaway</v>
      </c>
      <c r="AE588" t="str">
        <f t="shared" si="201"/>
        <v>Giveaway-Misplayed</v>
      </c>
      <c r="AF588" t="str">
        <f t="shared" si="202"/>
        <v>Offensive</v>
      </c>
      <c r="AG588">
        <f t="shared" si="208"/>
        <v>18981</v>
      </c>
      <c r="AH588" t="str">
        <f t="shared" si="209"/>
        <v>Nelson</v>
      </c>
      <c r="AI588" t="str">
        <f t="shared" si="210"/>
        <v>Velodrome</v>
      </c>
      <c r="AJ588" s="18">
        <f t="shared" si="203"/>
        <v>0</v>
      </c>
      <c r="AP588" s="18">
        <f t="shared" si="204"/>
        <v>0</v>
      </c>
      <c r="AQ588">
        <f t="shared" si="205"/>
        <v>0</v>
      </c>
      <c r="AR588" s="23">
        <f t="shared" si="206"/>
        <v>722</v>
      </c>
      <c r="AS588">
        <f t="shared" si="211"/>
        <v>717</v>
      </c>
      <c r="AT588" s="21">
        <f t="shared" si="212"/>
        <v>722</v>
      </c>
      <c r="AU588" s="21"/>
      <c r="AV588" s="21"/>
      <c r="AW588" s="21"/>
    </row>
    <row r="589" spans="1:49" x14ac:dyDescent="0.2">
      <c r="A589">
        <v>307</v>
      </c>
      <c r="E589">
        <f t="shared" si="207"/>
        <v>1</v>
      </c>
      <c r="J589" t="str">
        <f t="shared" si="214"/>
        <v>5</v>
      </c>
      <c r="K589" t="str">
        <f t="shared" si="215"/>
        <v>58</v>
      </c>
      <c r="L589" t="str">
        <f t="shared" si="216"/>
        <v/>
      </c>
      <c r="M589" s="6" t="str">
        <f t="shared" si="217"/>
        <v/>
      </c>
      <c r="N589" t="str">
        <f t="shared" si="213"/>
        <v>Away</v>
      </c>
      <c r="O589">
        <v>80</v>
      </c>
      <c r="P589" t="s">
        <v>425</v>
      </c>
      <c r="Y589" t="str">
        <f t="shared" si="197"/>
        <v/>
      </c>
      <c r="Z589" t="str">
        <f t="shared" si="198"/>
        <v/>
      </c>
      <c r="AC589" t="str">
        <f t="shared" si="199"/>
        <v>Turnover</v>
      </c>
      <c r="AD589" t="str">
        <f t="shared" si="200"/>
        <v>Turnover_Giveaway</v>
      </c>
      <c r="AE589" t="str">
        <f t="shared" si="201"/>
        <v>Giveaway-Misplayed</v>
      </c>
      <c r="AF589" t="str">
        <f t="shared" si="202"/>
        <v>Defensive</v>
      </c>
      <c r="AG589">
        <f t="shared" si="208"/>
        <v>18981</v>
      </c>
      <c r="AH589" t="str">
        <f t="shared" si="209"/>
        <v>Nelson</v>
      </c>
      <c r="AI589" t="str">
        <f t="shared" si="210"/>
        <v>Velodrome</v>
      </c>
      <c r="AJ589" s="18">
        <f t="shared" si="203"/>
        <v>0</v>
      </c>
      <c r="AP589" s="18">
        <f t="shared" si="204"/>
        <v>0</v>
      </c>
      <c r="AQ589">
        <f t="shared" si="205"/>
        <v>0</v>
      </c>
      <c r="AR589" s="23">
        <f t="shared" si="206"/>
        <v>722</v>
      </c>
      <c r="AS589">
        <f t="shared" si="211"/>
        <v>717</v>
      </c>
      <c r="AT589" s="21">
        <f t="shared" si="212"/>
        <v>722</v>
      </c>
      <c r="AU589" s="21"/>
      <c r="AV589" s="21"/>
      <c r="AW589" s="21"/>
    </row>
    <row r="590" spans="1:49" x14ac:dyDescent="0.2">
      <c r="A590">
        <v>308</v>
      </c>
      <c r="E590">
        <f t="shared" si="207"/>
        <v>1</v>
      </c>
      <c r="F590" s="5" t="s">
        <v>540</v>
      </c>
      <c r="G590" s="5" t="s">
        <v>528</v>
      </c>
      <c r="J590" t="str">
        <f t="shared" si="214"/>
        <v>5</v>
      </c>
      <c r="K590" t="str">
        <f t="shared" si="215"/>
        <v>56</v>
      </c>
      <c r="L590" t="str">
        <f t="shared" si="216"/>
        <v/>
      </c>
      <c r="M590" s="6" t="str">
        <f t="shared" si="217"/>
        <v/>
      </c>
      <c r="N590" t="s">
        <v>178</v>
      </c>
      <c r="O590">
        <v>8</v>
      </c>
      <c r="P590" t="s">
        <v>424</v>
      </c>
      <c r="Q590" t="s">
        <v>8</v>
      </c>
      <c r="R590" t="s">
        <v>189</v>
      </c>
      <c r="S590" t="s">
        <v>70</v>
      </c>
      <c r="Y590" t="str">
        <f t="shared" si="197"/>
        <v/>
      </c>
      <c r="Z590" t="str">
        <f t="shared" si="198"/>
        <v/>
      </c>
      <c r="AC590" t="str">
        <f t="shared" si="199"/>
        <v>Pass</v>
      </c>
      <c r="AD590" t="str">
        <f t="shared" si="200"/>
        <v>Pass_Completed</v>
      </c>
      <c r="AE590" t="str">
        <f t="shared" si="201"/>
        <v>Pass-Forehand</v>
      </c>
      <c r="AF590" t="str">
        <f t="shared" si="202"/>
        <v>Offensive</v>
      </c>
      <c r="AG590">
        <f t="shared" si="208"/>
        <v>18981</v>
      </c>
      <c r="AH590" t="str">
        <f t="shared" si="209"/>
        <v>Nelson</v>
      </c>
      <c r="AI590" t="str">
        <f t="shared" si="210"/>
        <v>Velodrome</v>
      </c>
      <c r="AJ590" s="18">
        <f t="shared" si="203"/>
        <v>0</v>
      </c>
      <c r="AP590" s="18">
        <f t="shared" si="204"/>
        <v>0</v>
      </c>
      <c r="AQ590">
        <f t="shared" si="205"/>
        <v>0</v>
      </c>
      <c r="AR590" s="23">
        <f t="shared" si="206"/>
        <v>724</v>
      </c>
      <c r="AS590">
        <f t="shared" si="211"/>
        <v>719</v>
      </c>
      <c r="AT590" s="21">
        <f t="shared" si="212"/>
        <v>724</v>
      </c>
      <c r="AU590" s="21"/>
      <c r="AV590" s="21"/>
      <c r="AW590" s="21"/>
    </row>
    <row r="591" spans="1:49" x14ac:dyDescent="0.2">
      <c r="A591">
        <v>308</v>
      </c>
      <c r="E591">
        <f t="shared" si="207"/>
        <v>1</v>
      </c>
      <c r="J591" t="str">
        <f t="shared" si="214"/>
        <v>5</v>
      </c>
      <c r="K591" t="str">
        <f t="shared" si="215"/>
        <v>56</v>
      </c>
      <c r="L591" t="str">
        <f t="shared" si="216"/>
        <v/>
      </c>
      <c r="M591" s="6" t="str">
        <f t="shared" si="217"/>
        <v/>
      </c>
      <c r="N591" t="str">
        <f t="shared" si="213"/>
        <v>Home</v>
      </c>
      <c r="O591">
        <v>80</v>
      </c>
      <c r="P591" t="s">
        <v>424</v>
      </c>
      <c r="Y591" t="str">
        <f t="shared" si="197"/>
        <v/>
      </c>
      <c r="Z591" t="str">
        <f t="shared" si="198"/>
        <v/>
      </c>
      <c r="AC591" t="str">
        <f t="shared" si="199"/>
        <v>Pass</v>
      </c>
      <c r="AD591" t="str">
        <f t="shared" si="200"/>
        <v>Pass_Completed</v>
      </c>
      <c r="AE591" t="str">
        <f t="shared" si="201"/>
        <v>Pass-Forehand</v>
      </c>
      <c r="AF591" t="str">
        <f t="shared" si="202"/>
        <v>Offensive</v>
      </c>
      <c r="AG591">
        <f t="shared" si="208"/>
        <v>18981</v>
      </c>
      <c r="AH591" t="str">
        <f t="shared" si="209"/>
        <v>Nelson</v>
      </c>
      <c r="AI591" t="str">
        <f t="shared" si="210"/>
        <v>Velodrome</v>
      </c>
      <c r="AJ591" s="18">
        <f t="shared" si="203"/>
        <v>0</v>
      </c>
      <c r="AP591" s="18">
        <f t="shared" si="204"/>
        <v>0</v>
      </c>
      <c r="AQ591">
        <f t="shared" si="205"/>
        <v>0</v>
      </c>
      <c r="AR591" s="23">
        <f t="shared" si="206"/>
        <v>724</v>
      </c>
      <c r="AS591">
        <f t="shared" si="211"/>
        <v>719</v>
      </c>
      <c r="AT591" s="21">
        <f t="shared" si="212"/>
        <v>724</v>
      </c>
      <c r="AU591" s="21"/>
      <c r="AV591" s="21"/>
      <c r="AW591" s="21"/>
    </row>
    <row r="592" spans="1:49" x14ac:dyDescent="0.2">
      <c r="A592">
        <v>309</v>
      </c>
      <c r="E592">
        <f t="shared" si="207"/>
        <v>1</v>
      </c>
      <c r="F592" s="5" t="s">
        <v>540</v>
      </c>
      <c r="G592" s="5" t="s">
        <v>528</v>
      </c>
      <c r="J592" t="str">
        <f t="shared" si="214"/>
        <v>5</v>
      </c>
      <c r="K592" t="str">
        <f t="shared" si="215"/>
        <v>56</v>
      </c>
      <c r="L592" t="str">
        <f t="shared" si="216"/>
        <v/>
      </c>
      <c r="M592" s="6" t="str">
        <f t="shared" si="217"/>
        <v/>
      </c>
      <c r="N592" t="s">
        <v>178</v>
      </c>
      <c r="O592">
        <v>8</v>
      </c>
      <c r="P592" t="s">
        <v>424</v>
      </c>
      <c r="Q592" t="s">
        <v>277</v>
      </c>
      <c r="R592" t="s">
        <v>201</v>
      </c>
      <c r="S592" t="s">
        <v>91</v>
      </c>
      <c r="Y592" t="str">
        <f t="shared" si="197"/>
        <v/>
      </c>
      <c r="Z592" t="str">
        <f t="shared" si="198"/>
        <v/>
      </c>
      <c r="AC592" t="str">
        <f t="shared" si="199"/>
        <v>Zone_Entry_Exit</v>
      </c>
      <c r="AD592" t="str">
        <f t="shared" si="200"/>
        <v>Zone_Exit</v>
      </c>
      <c r="AE592" t="str">
        <f t="shared" si="201"/>
        <v>ZoneExit-Pass</v>
      </c>
      <c r="AF592" t="str">
        <f t="shared" si="202"/>
        <v>Offensive</v>
      </c>
      <c r="AG592">
        <f t="shared" si="208"/>
        <v>18981</v>
      </c>
      <c r="AH592" t="str">
        <f t="shared" si="209"/>
        <v>Nelson</v>
      </c>
      <c r="AI592" t="str">
        <f t="shared" si="210"/>
        <v>Velodrome</v>
      </c>
      <c r="AJ592" s="18">
        <f t="shared" si="203"/>
        <v>0</v>
      </c>
      <c r="AP592" s="18">
        <f t="shared" si="204"/>
        <v>0</v>
      </c>
      <c r="AQ592">
        <f t="shared" si="205"/>
        <v>0</v>
      </c>
      <c r="AR592" s="23">
        <f t="shared" si="206"/>
        <v>724</v>
      </c>
      <c r="AS592">
        <f t="shared" si="211"/>
        <v>719</v>
      </c>
      <c r="AT592" s="21">
        <f t="shared" si="212"/>
        <v>724</v>
      </c>
      <c r="AU592" s="21"/>
      <c r="AV592" s="21"/>
      <c r="AW592" s="21"/>
    </row>
    <row r="593" spans="1:49" x14ac:dyDescent="0.2">
      <c r="A593">
        <v>309</v>
      </c>
      <c r="E593">
        <f t="shared" si="207"/>
        <v>1</v>
      </c>
      <c r="J593" t="str">
        <f t="shared" si="214"/>
        <v>5</v>
      </c>
      <c r="K593" t="str">
        <f t="shared" si="215"/>
        <v>56</v>
      </c>
      <c r="L593" t="str">
        <f t="shared" si="216"/>
        <v/>
      </c>
      <c r="M593" s="6" t="str">
        <f t="shared" si="217"/>
        <v/>
      </c>
      <c r="N593" t="str">
        <f t="shared" si="213"/>
        <v>Home</v>
      </c>
      <c r="O593">
        <v>80</v>
      </c>
      <c r="P593" t="s">
        <v>424</v>
      </c>
      <c r="Y593" t="str">
        <f t="shared" si="197"/>
        <v/>
      </c>
      <c r="Z593" t="str">
        <f t="shared" si="198"/>
        <v/>
      </c>
      <c r="AC593" t="str">
        <f t="shared" si="199"/>
        <v>Zone_Entry_Exit</v>
      </c>
      <c r="AD593" t="str">
        <f t="shared" si="200"/>
        <v>Zone_Exit</v>
      </c>
      <c r="AE593" t="str">
        <f t="shared" si="201"/>
        <v>ZoneExit-Pass</v>
      </c>
      <c r="AF593" t="str">
        <f t="shared" si="202"/>
        <v>Offensive</v>
      </c>
      <c r="AG593">
        <f t="shared" si="208"/>
        <v>18981</v>
      </c>
      <c r="AH593" t="str">
        <f t="shared" si="209"/>
        <v>Nelson</v>
      </c>
      <c r="AI593" t="str">
        <f t="shared" si="210"/>
        <v>Velodrome</v>
      </c>
      <c r="AJ593" s="18">
        <f t="shared" si="203"/>
        <v>0</v>
      </c>
      <c r="AP593" s="18">
        <f t="shared" si="204"/>
        <v>0</v>
      </c>
      <c r="AQ593">
        <f t="shared" si="205"/>
        <v>0</v>
      </c>
      <c r="AR593" s="23">
        <f t="shared" si="206"/>
        <v>724</v>
      </c>
      <c r="AS593">
        <f t="shared" si="211"/>
        <v>719</v>
      </c>
      <c r="AT593" s="21">
        <f t="shared" si="212"/>
        <v>724</v>
      </c>
      <c r="AU593" s="21"/>
      <c r="AV593" s="21"/>
      <c r="AW593" s="21"/>
    </row>
    <row r="594" spans="1:49" x14ac:dyDescent="0.2">
      <c r="A594">
        <v>309</v>
      </c>
      <c r="E594">
        <f t="shared" si="207"/>
        <v>1</v>
      </c>
      <c r="J594" t="str">
        <f t="shared" si="214"/>
        <v>5</v>
      </c>
      <c r="K594" t="str">
        <f t="shared" si="215"/>
        <v>56</v>
      </c>
      <c r="L594" t="str">
        <f t="shared" si="216"/>
        <v/>
      </c>
      <c r="M594" s="6" t="str">
        <f t="shared" si="217"/>
        <v/>
      </c>
      <c r="N594" t="str">
        <f t="shared" si="213"/>
        <v>Home</v>
      </c>
      <c r="O594">
        <v>70</v>
      </c>
      <c r="P594" t="s">
        <v>425</v>
      </c>
      <c r="Y594" t="str">
        <f t="shared" si="197"/>
        <v/>
      </c>
      <c r="Z594" t="str">
        <f t="shared" si="198"/>
        <v/>
      </c>
      <c r="AC594" t="str">
        <f t="shared" si="199"/>
        <v>Zone_Entry_Exit</v>
      </c>
      <c r="AD594" t="str">
        <f t="shared" si="200"/>
        <v>Zone_Exit</v>
      </c>
      <c r="AE594" t="str">
        <f t="shared" si="201"/>
        <v>ZoneExit-Pass</v>
      </c>
      <c r="AF594" t="str">
        <f t="shared" si="202"/>
        <v>Defensive</v>
      </c>
      <c r="AG594">
        <f t="shared" si="208"/>
        <v>18981</v>
      </c>
      <c r="AH594" t="str">
        <f t="shared" si="209"/>
        <v>Nelson</v>
      </c>
      <c r="AI594" t="str">
        <f t="shared" si="210"/>
        <v>Velodrome</v>
      </c>
      <c r="AJ594" s="18">
        <f t="shared" si="203"/>
        <v>0</v>
      </c>
      <c r="AP594" s="18">
        <f t="shared" si="204"/>
        <v>0</v>
      </c>
      <c r="AQ594">
        <f t="shared" si="205"/>
        <v>0</v>
      </c>
      <c r="AR594" s="23">
        <f t="shared" si="206"/>
        <v>724</v>
      </c>
      <c r="AS594">
        <f t="shared" si="211"/>
        <v>719</v>
      </c>
      <c r="AT594" s="21">
        <f t="shared" si="212"/>
        <v>724</v>
      </c>
      <c r="AU594" s="21"/>
      <c r="AV594" s="21"/>
      <c r="AW594" s="21"/>
    </row>
    <row r="595" spans="1:49" x14ac:dyDescent="0.2">
      <c r="A595">
        <v>310</v>
      </c>
      <c r="E595">
        <f t="shared" si="207"/>
        <v>1</v>
      </c>
      <c r="F595" s="5" t="s">
        <v>540</v>
      </c>
      <c r="G595" s="5" t="s">
        <v>525</v>
      </c>
      <c r="H595" s="5" t="s">
        <v>540</v>
      </c>
      <c r="I595" s="7" t="s">
        <v>524</v>
      </c>
      <c r="J595" t="str">
        <f t="shared" si="214"/>
        <v>5</v>
      </c>
      <c r="K595" t="str">
        <f t="shared" si="215"/>
        <v>53</v>
      </c>
      <c r="L595" t="str">
        <f t="shared" si="216"/>
        <v>5</v>
      </c>
      <c r="M595" s="6" t="str">
        <f t="shared" si="217"/>
        <v>52</v>
      </c>
      <c r="N595" t="s">
        <v>178</v>
      </c>
      <c r="O595">
        <v>80</v>
      </c>
      <c r="P595" t="s">
        <v>424</v>
      </c>
      <c r="Q595" t="s">
        <v>15</v>
      </c>
      <c r="Y595" t="str">
        <f t="shared" si="197"/>
        <v/>
      </c>
      <c r="Z595" t="str">
        <f t="shared" si="198"/>
        <v/>
      </c>
      <c r="AC595" t="str">
        <f t="shared" si="199"/>
        <v>Possession</v>
      </c>
      <c r="AD595" t="str">
        <f t="shared" si="200"/>
        <v/>
      </c>
      <c r="AE595" t="str">
        <f t="shared" si="201"/>
        <v/>
      </c>
      <c r="AF595" t="str">
        <f t="shared" si="202"/>
        <v>Offensive</v>
      </c>
      <c r="AG595">
        <f t="shared" si="208"/>
        <v>18981</v>
      </c>
      <c r="AH595" t="str">
        <f t="shared" si="209"/>
        <v>Nelson</v>
      </c>
      <c r="AI595" t="str">
        <f t="shared" si="210"/>
        <v>Velodrome</v>
      </c>
      <c r="AJ595" s="18">
        <f t="shared" si="203"/>
        <v>1</v>
      </c>
      <c r="AP595" s="18">
        <f t="shared" si="204"/>
        <v>0</v>
      </c>
      <c r="AQ595">
        <f t="shared" si="205"/>
        <v>0</v>
      </c>
      <c r="AR595" s="23">
        <f t="shared" si="206"/>
        <v>727</v>
      </c>
      <c r="AS595">
        <f t="shared" si="211"/>
        <v>722</v>
      </c>
      <c r="AT595" s="21">
        <f t="shared" si="212"/>
        <v>728</v>
      </c>
      <c r="AU595" s="21"/>
      <c r="AV595" s="21"/>
      <c r="AW595" s="21"/>
    </row>
    <row r="596" spans="1:49" x14ac:dyDescent="0.2">
      <c r="A596">
        <v>311</v>
      </c>
      <c r="E596">
        <f t="shared" si="207"/>
        <v>1</v>
      </c>
      <c r="F596" s="5" t="s">
        <v>540</v>
      </c>
      <c r="G596" s="5" t="s">
        <v>524</v>
      </c>
      <c r="H596" s="5" t="s">
        <v>540</v>
      </c>
      <c r="I596" s="7" t="s">
        <v>522</v>
      </c>
      <c r="J596" t="str">
        <f t="shared" si="214"/>
        <v>5</v>
      </c>
      <c r="K596" t="str">
        <f t="shared" si="215"/>
        <v>52</v>
      </c>
      <c r="L596" t="str">
        <f t="shared" si="216"/>
        <v>5</v>
      </c>
      <c r="M596" s="6" t="str">
        <f t="shared" si="217"/>
        <v>50</v>
      </c>
      <c r="N596" t="s">
        <v>178</v>
      </c>
      <c r="O596">
        <v>80</v>
      </c>
      <c r="P596" t="s">
        <v>424</v>
      </c>
      <c r="Q596" t="s">
        <v>277</v>
      </c>
      <c r="R596" t="s">
        <v>191</v>
      </c>
      <c r="S596" t="s">
        <v>87</v>
      </c>
      <c r="Y596" t="str">
        <f t="shared" si="197"/>
        <v/>
      </c>
      <c r="Z596" t="str">
        <f t="shared" si="198"/>
        <v/>
      </c>
      <c r="AC596" t="str">
        <f t="shared" si="199"/>
        <v>Zone_Entry_Exit</v>
      </c>
      <c r="AD596" t="str">
        <f t="shared" si="200"/>
        <v>Zone_Entry</v>
      </c>
      <c r="AE596" t="str">
        <f t="shared" si="201"/>
        <v>ZoneEntry-Rush</v>
      </c>
      <c r="AF596" t="str">
        <f t="shared" si="202"/>
        <v>Offensive</v>
      </c>
      <c r="AG596">
        <f t="shared" si="208"/>
        <v>18981</v>
      </c>
      <c r="AH596" t="str">
        <f t="shared" si="209"/>
        <v>Nelson</v>
      </c>
      <c r="AI596" t="str">
        <f t="shared" si="210"/>
        <v>Velodrome</v>
      </c>
      <c r="AJ596" s="18">
        <f t="shared" si="203"/>
        <v>2</v>
      </c>
      <c r="AP596" s="18">
        <f t="shared" si="204"/>
        <v>0</v>
      </c>
      <c r="AQ596">
        <f t="shared" si="205"/>
        <v>0</v>
      </c>
      <c r="AR596" s="23">
        <f t="shared" si="206"/>
        <v>728</v>
      </c>
      <c r="AS596">
        <f t="shared" si="211"/>
        <v>723</v>
      </c>
      <c r="AT596" s="21">
        <f t="shared" si="212"/>
        <v>730</v>
      </c>
      <c r="AU596" s="21"/>
      <c r="AV596" s="21"/>
      <c r="AW596" s="21"/>
    </row>
    <row r="597" spans="1:49" x14ac:dyDescent="0.2">
      <c r="A597">
        <v>311</v>
      </c>
      <c r="E597">
        <f t="shared" si="207"/>
        <v>1</v>
      </c>
      <c r="J597" t="str">
        <f t="shared" si="214"/>
        <v>5</v>
      </c>
      <c r="K597" t="str">
        <f t="shared" si="215"/>
        <v>52</v>
      </c>
      <c r="L597" t="str">
        <f t="shared" si="216"/>
        <v>5</v>
      </c>
      <c r="M597" s="6" t="str">
        <f t="shared" si="217"/>
        <v>50</v>
      </c>
      <c r="N597" t="str">
        <f t="shared" si="213"/>
        <v>Home</v>
      </c>
      <c r="O597">
        <v>79</v>
      </c>
      <c r="P597" t="s">
        <v>424</v>
      </c>
      <c r="Y597" t="str">
        <f t="shared" si="197"/>
        <v/>
      </c>
      <c r="Z597" t="str">
        <f t="shared" si="198"/>
        <v/>
      </c>
      <c r="AC597" t="str">
        <f t="shared" si="199"/>
        <v>Zone_Entry_Exit</v>
      </c>
      <c r="AD597" t="str">
        <f t="shared" si="200"/>
        <v>Zone_Entry</v>
      </c>
      <c r="AE597" t="str">
        <f t="shared" si="201"/>
        <v>ZoneEntry-Rush</v>
      </c>
      <c r="AF597" t="str">
        <f t="shared" si="202"/>
        <v>Offensive</v>
      </c>
      <c r="AG597">
        <f t="shared" si="208"/>
        <v>18981</v>
      </c>
      <c r="AH597" t="str">
        <f t="shared" si="209"/>
        <v>Nelson</v>
      </c>
      <c r="AI597" t="str">
        <f t="shared" si="210"/>
        <v>Velodrome</v>
      </c>
      <c r="AJ597" s="18">
        <f t="shared" si="203"/>
        <v>2</v>
      </c>
      <c r="AP597" s="18">
        <f t="shared" si="204"/>
        <v>0</v>
      </c>
      <c r="AQ597">
        <f t="shared" si="205"/>
        <v>0</v>
      </c>
      <c r="AR597" s="23">
        <f t="shared" si="206"/>
        <v>728</v>
      </c>
      <c r="AS597">
        <f t="shared" si="211"/>
        <v>723</v>
      </c>
      <c r="AT597" s="21">
        <f t="shared" si="212"/>
        <v>730</v>
      </c>
      <c r="AU597" s="21"/>
      <c r="AV597" s="21"/>
      <c r="AW597" s="21"/>
    </row>
    <row r="598" spans="1:49" x14ac:dyDescent="0.2">
      <c r="A598">
        <v>311</v>
      </c>
      <c r="E598">
        <f t="shared" si="207"/>
        <v>1</v>
      </c>
      <c r="J598" t="str">
        <f t="shared" si="214"/>
        <v>5</v>
      </c>
      <c r="K598" t="str">
        <f t="shared" si="215"/>
        <v>52</v>
      </c>
      <c r="L598" t="str">
        <f t="shared" si="216"/>
        <v>5</v>
      </c>
      <c r="M598" s="6" t="str">
        <f t="shared" si="217"/>
        <v>50</v>
      </c>
      <c r="N598" t="str">
        <f t="shared" si="213"/>
        <v>Home</v>
      </c>
      <c r="O598">
        <v>16</v>
      </c>
      <c r="P598" t="s">
        <v>424</v>
      </c>
      <c r="Y598" t="str">
        <f t="shared" si="197"/>
        <v/>
      </c>
      <c r="Z598" t="str">
        <f t="shared" si="198"/>
        <v/>
      </c>
      <c r="AC598" t="str">
        <f t="shared" si="199"/>
        <v>Zone_Entry_Exit</v>
      </c>
      <c r="AD598" t="str">
        <f t="shared" si="200"/>
        <v>Zone_Entry</v>
      </c>
      <c r="AE598" t="str">
        <f t="shared" si="201"/>
        <v>ZoneEntry-Rush</v>
      </c>
      <c r="AF598" t="str">
        <f t="shared" si="202"/>
        <v>Offensive</v>
      </c>
      <c r="AG598">
        <f t="shared" si="208"/>
        <v>18981</v>
      </c>
      <c r="AH598" t="str">
        <f t="shared" si="209"/>
        <v>Nelson</v>
      </c>
      <c r="AI598" t="str">
        <f t="shared" si="210"/>
        <v>Velodrome</v>
      </c>
      <c r="AJ598" s="18">
        <f t="shared" si="203"/>
        <v>2</v>
      </c>
      <c r="AP598" s="18">
        <f t="shared" si="204"/>
        <v>0</v>
      </c>
      <c r="AQ598">
        <f t="shared" si="205"/>
        <v>0</v>
      </c>
      <c r="AR598" s="23">
        <f t="shared" si="206"/>
        <v>728</v>
      </c>
      <c r="AS598">
        <f t="shared" si="211"/>
        <v>723</v>
      </c>
      <c r="AT598" s="21">
        <f t="shared" si="212"/>
        <v>730</v>
      </c>
      <c r="AU598" s="21"/>
      <c r="AV598" s="21"/>
      <c r="AW598" s="21"/>
    </row>
    <row r="599" spans="1:49" x14ac:dyDescent="0.2">
      <c r="A599">
        <v>311</v>
      </c>
      <c r="E599">
        <f t="shared" si="207"/>
        <v>1</v>
      </c>
      <c r="J599" t="str">
        <f t="shared" si="214"/>
        <v>5</v>
      </c>
      <c r="K599" t="str">
        <f t="shared" si="215"/>
        <v>52</v>
      </c>
      <c r="L599" t="str">
        <f t="shared" si="216"/>
        <v>5</v>
      </c>
      <c r="M599" s="6" t="str">
        <f t="shared" si="217"/>
        <v>50</v>
      </c>
      <c r="N599" t="str">
        <f t="shared" si="213"/>
        <v>Home</v>
      </c>
      <c r="O599">
        <v>87</v>
      </c>
      <c r="P599" t="s">
        <v>425</v>
      </c>
      <c r="Y599" t="str">
        <f t="shared" si="197"/>
        <v/>
      </c>
      <c r="Z599" t="str">
        <f t="shared" si="198"/>
        <v/>
      </c>
      <c r="AC599" t="str">
        <f t="shared" si="199"/>
        <v>Zone_Entry_Exit</v>
      </c>
      <c r="AD599" t="str">
        <f t="shared" si="200"/>
        <v>Zone_Entry</v>
      </c>
      <c r="AE599" t="str">
        <f t="shared" si="201"/>
        <v>ZoneEntry-Rush</v>
      </c>
      <c r="AF599" t="str">
        <f t="shared" si="202"/>
        <v>Defensive</v>
      </c>
      <c r="AG599">
        <f t="shared" si="208"/>
        <v>18981</v>
      </c>
      <c r="AH599" t="str">
        <f t="shared" si="209"/>
        <v>Nelson</v>
      </c>
      <c r="AI599" t="str">
        <f t="shared" si="210"/>
        <v>Velodrome</v>
      </c>
      <c r="AJ599" s="18">
        <f t="shared" si="203"/>
        <v>2</v>
      </c>
      <c r="AP599" s="18">
        <f t="shared" si="204"/>
        <v>0</v>
      </c>
      <c r="AQ599">
        <f t="shared" si="205"/>
        <v>0</v>
      </c>
      <c r="AR599" s="23">
        <f t="shared" si="206"/>
        <v>728</v>
      </c>
      <c r="AS599">
        <f t="shared" si="211"/>
        <v>723</v>
      </c>
      <c r="AT599" s="21">
        <f t="shared" si="212"/>
        <v>730</v>
      </c>
      <c r="AU599" s="21"/>
      <c r="AV599" s="21"/>
      <c r="AW599" s="21"/>
    </row>
    <row r="600" spans="1:49" x14ac:dyDescent="0.2">
      <c r="A600">
        <v>311</v>
      </c>
      <c r="E600">
        <f t="shared" si="207"/>
        <v>1</v>
      </c>
      <c r="J600" t="str">
        <f t="shared" si="214"/>
        <v>5</v>
      </c>
      <c r="K600" t="str">
        <f t="shared" si="215"/>
        <v>52</v>
      </c>
      <c r="L600" t="str">
        <f t="shared" si="216"/>
        <v>5</v>
      </c>
      <c r="M600" s="6" t="str">
        <f t="shared" si="217"/>
        <v>50</v>
      </c>
      <c r="N600" t="str">
        <f t="shared" si="213"/>
        <v>Home</v>
      </c>
      <c r="O600">
        <v>84</v>
      </c>
      <c r="P600" t="s">
        <v>425</v>
      </c>
      <c r="Y600" t="str">
        <f t="shared" si="197"/>
        <v/>
      </c>
      <c r="Z600" t="str">
        <f t="shared" si="198"/>
        <v/>
      </c>
      <c r="AC600" t="str">
        <f t="shared" si="199"/>
        <v>Zone_Entry_Exit</v>
      </c>
      <c r="AD600" t="str">
        <f t="shared" si="200"/>
        <v>Zone_Entry</v>
      </c>
      <c r="AE600" t="str">
        <f t="shared" si="201"/>
        <v>ZoneEntry-Rush</v>
      </c>
      <c r="AF600" t="str">
        <f t="shared" si="202"/>
        <v>Defensive</v>
      </c>
      <c r="AG600">
        <f t="shared" si="208"/>
        <v>18981</v>
      </c>
      <c r="AH600" t="str">
        <f t="shared" si="209"/>
        <v>Nelson</v>
      </c>
      <c r="AI600" t="str">
        <f t="shared" si="210"/>
        <v>Velodrome</v>
      </c>
      <c r="AJ600" s="18">
        <f t="shared" si="203"/>
        <v>2</v>
      </c>
      <c r="AP600" s="18">
        <f t="shared" si="204"/>
        <v>0</v>
      </c>
      <c r="AQ600">
        <f t="shared" si="205"/>
        <v>0</v>
      </c>
      <c r="AR600" s="23">
        <f t="shared" si="206"/>
        <v>728</v>
      </c>
      <c r="AS600">
        <f t="shared" si="211"/>
        <v>723</v>
      </c>
      <c r="AT600" s="21">
        <f t="shared" si="212"/>
        <v>730</v>
      </c>
      <c r="AU600" s="21"/>
      <c r="AV600" s="21"/>
      <c r="AW600" s="21"/>
    </row>
    <row r="601" spans="1:49" x14ac:dyDescent="0.2">
      <c r="A601">
        <v>311</v>
      </c>
      <c r="E601">
        <f t="shared" si="207"/>
        <v>1</v>
      </c>
      <c r="J601" t="str">
        <f t="shared" si="214"/>
        <v>5</v>
      </c>
      <c r="K601" t="str">
        <f t="shared" si="215"/>
        <v>52</v>
      </c>
      <c r="L601" t="str">
        <f t="shared" si="216"/>
        <v>5</v>
      </c>
      <c r="M601" s="6" t="str">
        <f t="shared" si="217"/>
        <v>50</v>
      </c>
      <c r="N601" t="str">
        <f t="shared" si="213"/>
        <v>Home</v>
      </c>
      <c r="O601">
        <v>22</v>
      </c>
      <c r="P601" t="s">
        <v>425</v>
      </c>
      <c r="Y601" t="str">
        <f t="shared" si="197"/>
        <v/>
      </c>
      <c r="Z601" t="str">
        <f t="shared" si="198"/>
        <v/>
      </c>
      <c r="AC601" t="str">
        <f t="shared" si="199"/>
        <v>Zone_Entry_Exit</v>
      </c>
      <c r="AD601" t="str">
        <f t="shared" si="200"/>
        <v>Zone_Entry</v>
      </c>
      <c r="AE601" t="str">
        <f t="shared" si="201"/>
        <v>ZoneEntry-Rush</v>
      </c>
      <c r="AF601" t="str">
        <f t="shared" si="202"/>
        <v>Defensive</v>
      </c>
      <c r="AG601">
        <f t="shared" si="208"/>
        <v>18981</v>
      </c>
      <c r="AH601" t="str">
        <f t="shared" si="209"/>
        <v>Nelson</v>
      </c>
      <c r="AI601" t="str">
        <f t="shared" si="210"/>
        <v>Velodrome</v>
      </c>
      <c r="AJ601" s="18">
        <f t="shared" si="203"/>
        <v>2</v>
      </c>
      <c r="AP601" s="18">
        <f t="shared" si="204"/>
        <v>0</v>
      </c>
      <c r="AQ601">
        <f t="shared" si="205"/>
        <v>0</v>
      </c>
      <c r="AR601" s="23">
        <f t="shared" si="206"/>
        <v>728</v>
      </c>
      <c r="AS601">
        <f t="shared" si="211"/>
        <v>723</v>
      </c>
      <c r="AT601" s="21">
        <f t="shared" si="212"/>
        <v>730</v>
      </c>
      <c r="AU601" s="21"/>
      <c r="AV601" s="21"/>
      <c r="AW601" s="21"/>
    </row>
    <row r="602" spans="1:49" x14ac:dyDescent="0.2">
      <c r="A602">
        <v>312</v>
      </c>
      <c r="E602">
        <f t="shared" si="207"/>
        <v>1</v>
      </c>
      <c r="F602" s="5" t="s">
        <v>540</v>
      </c>
      <c r="G602" s="5" t="s">
        <v>522</v>
      </c>
      <c r="J602" t="str">
        <f t="shared" si="214"/>
        <v>5</v>
      </c>
      <c r="K602" t="str">
        <f t="shared" si="215"/>
        <v>50</v>
      </c>
      <c r="L602" t="str">
        <f t="shared" si="216"/>
        <v/>
      </c>
      <c r="M602" s="6" t="str">
        <f t="shared" si="217"/>
        <v/>
      </c>
      <c r="N602" t="s">
        <v>178</v>
      </c>
      <c r="O602">
        <v>80</v>
      </c>
      <c r="P602" t="s">
        <v>424</v>
      </c>
      <c r="Q602" t="s">
        <v>7</v>
      </c>
      <c r="R602" t="s">
        <v>198</v>
      </c>
      <c r="S602" t="s">
        <v>53</v>
      </c>
      <c r="Y602" t="str">
        <f t="shared" si="197"/>
        <v/>
      </c>
      <c r="Z602" t="str">
        <f t="shared" si="198"/>
        <v/>
      </c>
      <c r="AC602" t="str">
        <f t="shared" si="199"/>
        <v>Shot</v>
      </c>
      <c r="AD602" t="str">
        <f t="shared" si="200"/>
        <v>Shot_Missed</v>
      </c>
      <c r="AE602" t="str">
        <f t="shared" si="201"/>
        <v>Shot-Wrist</v>
      </c>
      <c r="AF602" t="str">
        <f t="shared" si="202"/>
        <v>Offensive</v>
      </c>
      <c r="AG602">
        <f t="shared" si="208"/>
        <v>18981</v>
      </c>
      <c r="AH602" t="str">
        <f t="shared" si="209"/>
        <v>Nelson</v>
      </c>
      <c r="AI602" t="str">
        <f t="shared" si="210"/>
        <v>Velodrome</v>
      </c>
      <c r="AJ602" s="18">
        <f t="shared" si="203"/>
        <v>0</v>
      </c>
      <c r="AP602" s="18">
        <f t="shared" si="204"/>
        <v>0</v>
      </c>
      <c r="AQ602">
        <f t="shared" si="205"/>
        <v>0</v>
      </c>
      <c r="AR602" s="23">
        <f t="shared" si="206"/>
        <v>730</v>
      </c>
      <c r="AS602">
        <f t="shared" si="211"/>
        <v>725</v>
      </c>
      <c r="AT602" s="21">
        <f t="shared" si="212"/>
        <v>730</v>
      </c>
      <c r="AU602" s="21"/>
      <c r="AV602" s="21"/>
      <c r="AW602" s="21"/>
    </row>
    <row r="603" spans="1:49" x14ac:dyDescent="0.2">
      <c r="A603">
        <v>313</v>
      </c>
      <c r="E603">
        <f t="shared" si="207"/>
        <v>1</v>
      </c>
      <c r="F603" s="5" t="s">
        <v>540</v>
      </c>
      <c r="G603" s="5" t="s">
        <v>515</v>
      </c>
      <c r="J603" t="str">
        <f t="shared" si="214"/>
        <v>5</v>
      </c>
      <c r="K603" t="str">
        <f t="shared" si="215"/>
        <v>43</v>
      </c>
      <c r="L603" t="str">
        <f t="shared" si="216"/>
        <v/>
      </c>
      <c r="M603" s="6" t="str">
        <f t="shared" si="217"/>
        <v/>
      </c>
      <c r="N603" t="s">
        <v>179</v>
      </c>
      <c r="O603">
        <v>22</v>
      </c>
      <c r="P603" t="s">
        <v>424</v>
      </c>
      <c r="Q603" t="s">
        <v>277</v>
      </c>
      <c r="R603" t="s">
        <v>201</v>
      </c>
      <c r="S603" t="s">
        <v>431</v>
      </c>
      <c r="Y603" t="str">
        <f t="shared" si="197"/>
        <v/>
      </c>
      <c r="Z603" t="str">
        <f t="shared" si="198"/>
        <v/>
      </c>
      <c r="AC603" t="str">
        <f t="shared" si="199"/>
        <v>Zone_Entry_Exit</v>
      </c>
      <c r="AD603" t="str">
        <f t="shared" si="200"/>
        <v>Zone_Exit</v>
      </c>
      <c r="AE603" t="str">
        <f t="shared" si="201"/>
        <v>ZoneExit-Chip</v>
      </c>
      <c r="AF603" t="str">
        <f t="shared" si="202"/>
        <v>Offensive</v>
      </c>
      <c r="AG603">
        <f t="shared" si="208"/>
        <v>18981</v>
      </c>
      <c r="AH603" t="str">
        <f t="shared" si="209"/>
        <v>Nelson</v>
      </c>
      <c r="AI603" t="str">
        <f t="shared" si="210"/>
        <v>Velodrome</v>
      </c>
      <c r="AJ603" s="18">
        <f t="shared" si="203"/>
        <v>0</v>
      </c>
      <c r="AP603" s="18">
        <f t="shared" si="204"/>
        <v>0</v>
      </c>
      <c r="AQ603">
        <f t="shared" si="205"/>
        <v>0</v>
      </c>
      <c r="AR603" s="23">
        <f t="shared" si="206"/>
        <v>737</v>
      </c>
      <c r="AS603">
        <f t="shared" si="211"/>
        <v>732</v>
      </c>
      <c r="AT603" s="21">
        <f t="shared" si="212"/>
        <v>737</v>
      </c>
      <c r="AU603" s="21"/>
      <c r="AV603" s="21"/>
      <c r="AW603" s="21"/>
    </row>
    <row r="604" spans="1:49" x14ac:dyDescent="0.2">
      <c r="A604">
        <v>314</v>
      </c>
      <c r="E604">
        <f t="shared" si="207"/>
        <v>1</v>
      </c>
      <c r="F604" s="5" t="s">
        <v>540</v>
      </c>
      <c r="G604" s="5" t="s">
        <v>515</v>
      </c>
      <c r="J604" t="str">
        <f t="shared" si="214"/>
        <v>5</v>
      </c>
      <c r="K604" t="str">
        <f t="shared" si="215"/>
        <v>43</v>
      </c>
      <c r="L604" t="str">
        <f t="shared" si="216"/>
        <v/>
      </c>
      <c r="M604" s="6" t="str">
        <f t="shared" si="217"/>
        <v/>
      </c>
      <c r="N604" t="s">
        <v>179</v>
      </c>
      <c r="O604">
        <v>22</v>
      </c>
      <c r="P604" t="s">
        <v>424</v>
      </c>
      <c r="Q604" t="s">
        <v>10</v>
      </c>
      <c r="R604" t="s">
        <v>190</v>
      </c>
      <c r="S604" t="s">
        <v>73</v>
      </c>
      <c r="Y604" t="str">
        <f t="shared" si="197"/>
        <v/>
      </c>
      <c r="Z604" t="str">
        <f t="shared" si="198"/>
        <v/>
      </c>
      <c r="AC604" t="str">
        <f t="shared" si="199"/>
        <v>Turnover</v>
      </c>
      <c r="AD604" t="str">
        <f t="shared" si="200"/>
        <v>Turnover_Giveaway</v>
      </c>
      <c r="AE604" t="str">
        <f t="shared" si="201"/>
        <v>Giveaway-Misplayed</v>
      </c>
      <c r="AF604" t="str">
        <f t="shared" si="202"/>
        <v>Offensive</v>
      </c>
      <c r="AG604">
        <f t="shared" si="208"/>
        <v>18981</v>
      </c>
      <c r="AH604" t="str">
        <f t="shared" si="209"/>
        <v>Nelson</v>
      </c>
      <c r="AI604" t="str">
        <f t="shared" si="210"/>
        <v>Velodrome</v>
      </c>
      <c r="AJ604" s="18">
        <f t="shared" si="203"/>
        <v>0</v>
      </c>
      <c r="AP604" s="18">
        <f t="shared" si="204"/>
        <v>0</v>
      </c>
      <c r="AQ604">
        <f t="shared" si="205"/>
        <v>0</v>
      </c>
      <c r="AR604" s="23">
        <f t="shared" si="206"/>
        <v>737</v>
      </c>
      <c r="AS604">
        <f t="shared" si="211"/>
        <v>732</v>
      </c>
      <c r="AT604" s="21">
        <f t="shared" si="212"/>
        <v>737</v>
      </c>
      <c r="AU604" s="21"/>
      <c r="AV604" s="21"/>
      <c r="AW604" s="21"/>
    </row>
    <row r="605" spans="1:49" x14ac:dyDescent="0.2">
      <c r="A605">
        <v>314</v>
      </c>
      <c r="E605">
        <f t="shared" si="207"/>
        <v>1</v>
      </c>
      <c r="J605" t="str">
        <f t="shared" si="214"/>
        <v>5</v>
      </c>
      <c r="K605" t="str">
        <f t="shared" si="215"/>
        <v>43</v>
      </c>
      <c r="L605" t="str">
        <f t="shared" si="216"/>
        <v/>
      </c>
      <c r="M605" s="6" t="str">
        <f t="shared" si="217"/>
        <v/>
      </c>
      <c r="N605" t="str">
        <f t="shared" si="213"/>
        <v>Away</v>
      </c>
      <c r="O605">
        <v>16</v>
      </c>
      <c r="P605" t="s">
        <v>425</v>
      </c>
      <c r="Y605" t="str">
        <f t="shared" si="197"/>
        <v/>
      </c>
      <c r="Z605" t="str">
        <f t="shared" si="198"/>
        <v/>
      </c>
      <c r="AC605" t="str">
        <f t="shared" si="199"/>
        <v>Turnover</v>
      </c>
      <c r="AD605" t="str">
        <f t="shared" si="200"/>
        <v>Turnover_Giveaway</v>
      </c>
      <c r="AE605" t="str">
        <f t="shared" si="201"/>
        <v>Giveaway-Misplayed</v>
      </c>
      <c r="AF605" t="str">
        <f t="shared" si="202"/>
        <v>Defensive</v>
      </c>
      <c r="AG605">
        <f t="shared" si="208"/>
        <v>18981</v>
      </c>
      <c r="AH605" t="str">
        <f t="shared" si="209"/>
        <v>Nelson</v>
      </c>
      <c r="AI605" t="str">
        <f t="shared" si="210"/>
        <v>Velodrome</v>
      </c>
      <c r="AJ605" s="18">
        <f t="shared" si="203"/>
        <v>0</v>
      </c>
      <c r="AP605" s="18">
        <f t="shared" si="204"/>
        <v>0</v>
      </c>
      <c r="AQ605">
        <f t="shared" si="205"/>
        <v>0</v>
      </c>
      <c r="AR605" s="23">
        <f t="shared" si="206"/>
        <v>737</v>
      </c>
      <c r="AS605">
        <f t="shared" si="211"/>
        <v>732</v>
      </c>
      <c r="AT605" s="21">
        <f t="shared" si="212"/>
        <v>737</v>
      </c>
      <c r="AU605" s="21"/>
      <c r="AV605" s="21"/>
      <c r="AW605" s="21"/>
    </row>
    <row r="606" spans="1:49" x14ac:dyDescent="0.2">
      <c r="A606">
        <v>315</v>
      </c>
      <c r="E606">
        <f t="shared" si="207"/>
        <v>1</v>
      </c>
      <c r="F606" s="5" t="s">
        <v>540</v>
      </c>
      <c r="G606" s="5" t="s">
        <v>514</v>
      </c>
      <c r="H606" s="5" t="s">
        <v>540</v>
      </c>
      <c r="I606" s="7" t="s">
        <v>511</v>
      </c>
      <c r="J606" t="str">
        <f t="shared" si="214"/>
        <v>5</v>
      </c>
      <c r="K606" t="str">
        <f t="shared" si="215"/>
        <v>42</v>
      </c>
      <c r="L606" t="str">
        <f t="shared" si="216"/>
        <v>5</v>
      </c>
      <c r="M606" s="6" t="str">
        <f t="shared" si="217"/>
        <v>39</v>
      </c>
      <c r="N606" t="s">
        <v>178</v>
      </c>
      <c r="O606">
        <v>16</v>
      </c>
      <c r="P606" t="s">
        <v>424</v>
      </c>
      <c r="Q606" t="s">
        <v>15</v>
      </c>
      <c r="Y606" t="str">
        <f t="shared" si="197"/>
        <v/>
      </c>
      <c r="Z606" t="str">
        <f t="shared" si="198"/>
        <v/>
      </c>
      <c r="AC606" t="str">
        <f t="shared" si="199"/>
        <v>Possession</v>
      </c>
      <c r="AD606" t="str">
        <f t="shared" si="200"/>
        <v/>
      </c>
      <c r="AE606" t="str">
        <f t="shared" si="201"/>
        <v/>
      </c>
      <c r="AF606" t="str">
        <f t="shared" si="202"/>
        <v>Offensive</v>
      </c>
      <c r="AG606">
        <f t="shared" si="208"/>
        <v>18981</v>
      </c>
      <c r="AH606" t="str">
        <f t="shared" si="209"/>
        <v>Nelson</v>
      </c>
      <c r="AI606" t="str">
        <f t="shared" si="210"/>
        <v>Velodrome</v>
      </c>
      <c r="AJ606" s="18">
        <f t="shared" si="203"/>
        <v>3</v>
      </c>
      <c r="AP606" s="18">
        <f t="shared" si="204"/>
        <v>0</v>
      </c>
      <c r="AQ606">
        <f t="shared" si="205"/>
        <v>0</v>
      </c>
      <c r="AR606" s="23">
        <f t="shared" si="206"/>
        <v>738</v>
      </c>
      <c r="AS606">
        <f t="shared" si="211"/>
        <v>733</v>
      </c>
      <c r="AT606" s="21">
        <f t="shared" si="212"/>
        <v>741</v>
      </c>
      <c r="AU606" s="21"/>
      <c r="AV606" s="21"/>
      <c r="AW606" s="21"/>
    </row>
    <row r="607" spans="1:49" x14ac:dyDescent="0.2">
      <c r="A607">
        <v>316</v>
      </c>
      <c r="E607">
        <f t="shared" si="207"/>
        <v>1</v>
      </c>
      <c r="F607" s="5" t="s">
        <v>540</v>
      </c>
      <c r="G607" s="5" t="s">
        <v>511</v>
      </c>
      <c r="H607" s="5" t="s">
        <v>531</v>
      </c>
      <c r="I607" s="7" t="s">
        <v>507</v>
      </c>
      <c r="J607" t="str">
        <f t="shared" si="214"/>
        <v>5</v>
      </c>
      <c r="K607" t="str">
        <f t="shared" si="215"/>
        <v>39</v>
      </c>
      <c r="L607" t="str">
        <f t="shared" si="216"/>
        <v>3</v>
      </c>
      <c r="M607" s="6" t="str">
        <f t="shared" si="217"/>
        <v>35</v>
      </c>
      <c r="N607" t="s">
        <v>178</v>
      </c>
      <c r="O607">
        <v>16</v>
      </c>
      <c r="P607" t="s">
        <v>424</v>
      </c>
      <c r="Q607" t="s">
        <v>277</v>
      </c>
      <c r="R607" t="s">
        <v>191</v>
      </c>
      <c r="S607" t="s">
        <v>87</v>
      </c>
      <c r="Y607" t="str">
        <f t="shared" si="197"/>
        <v/>
      </c>
      <c r="Z607" t="str">
        <f t="shared" si="198"/>
        <v/>
      </c>
      <c r="AC607" t="str">
        <f t="shared" si="199"/>
        <v>Zone_Entry_Exit</v>
      </c>
      <c r="AD607" t="str">
        <f t="shared" si="200"/>
        <v>Zone_Entry</v>
      </c>
      <c r="AE607" t="str">
        <f t="shared" si="201"/>
        <v>ZoneEntry-Rush</v>
      </c>
      <c r="AF607" t="str">
        <f t="shared" si="202"/>
        <v>Offensive</v>
      </c>
      <c r="AG607">
        <f t="shared" si="208"/>
        <v>18981</v>
      </c>
      <c r="AH607" t="str">
        <f t="shared" si="209"/>
        <v>Nelson</v>
      </c>
      <c r="AI607" t="str">
        <f t="shared" si="210"/>
        <v>Velodrome</v>
      </c>
      <c r="AJ607" s="18">
        <f t="shared" si="203"/>
        <v>124</v>
      </c>
      <c r="AP607" s="18">
        <f t="shared" si="204"/>
        <v>0</v>
      </c>
      <c r="AQ607">
        <f t="shared" si="205"/>
        <v>0</v>
      </c>
      <c r="AR607" s="23">
        <f t="shared" si="206"/>
        <v>741</v>
      </c>
      <c r="AS607">
        <f t="shared" si="211"/>
        <v>736</v>
      </c>
      <c r="AT607" s="21">
        <f t="shared" si="212"/>
        <v>865</v>
      </c>
      <c r="AU607" s="21"/>
      <c r="AV607" s="21"/>
      <c r="AW607" s="21"/>
    </row>
    <row r="608" spans="1:49" x14ac:dyDescent="0.2">
      <c r="A608">
        <v>316</v>
      </c>
      <c r="E608">
        <f t="shared" si="207"/>
        <v>1</v>
      </c>
      <c r="J608" t="str">
        <f t="shared" si="214"/>
        <v>5</v>
      </c>
      <c r="K608" t="str">
        <f t="shared" si="215"/>
        <v>39</v>
      </c>
      <c r="L608" t="str">
        <f t="shared" si="216"/>
        <v>3</v>
      </c>
      <c r="M608" s="6" t="str">
        <f t="shared" si="217"/>
        <v>35</v>
      </c>
      <c r="N608" t="str">
        <f t="shared" si="213"/>
        <v>Home</v>
      </c>
      <c r="O608">
        <v>87</v>
      </c>
      <c r="P608" t="s">
        <v>425</v>
      </c>
      <c r="Y608" t="str">
        <f t="shared" si="197"/>
        <v/>
      </c>
      <c r="Z608" t="str">
        <f t="shared" si="198"/>
        <v/>
      </c>
      <c r="AC608" t="str">
        <f t="shared" si="199"/>
        <v>Zone_Entry_Exit</v>
      </c>
      <c r="AD608" t="str">
        <f t="shared" si="200"/>
        <v>Zone_Entry</v>
      </c>
      <c r="AE608" t="str">
        <f t="shared" si="201"/>
        <v>ZoneEntry-Rush</v>
      </c>
      <c r="AF608" t="str">
        <f t="shared" si="202"/>
        <v>Defensive</v>
      </c>
      <c r="AG608">
        <f t="shared" si="208"/>
        <v>18981</v>
      </c>
      <c r="AH608" t="str">
        <f t="shared" si="209"/>
        <v>Nelson</v>
      </c>
      <c r="AI608" t="str">
        <f t="shared" si="210"/>
        <v>Velodrome</v>
      </c>
      <c r="AJ608" s="18">
        <f t="shared" si="203"/>
        <v>124</v>
      </c>
      <c r="AP608" s="18">
        <f t="shared" si="204"/>
        <v>0</v>
      </c>
      <c r="AQ608">
        <f t="shared" si="205"/>
        <v>0</v>
      </c>
      <c r="AR608" s="23">
        <f t="shared" si="206"/>
        <v>741</v>
      </c>
      <c r="AS608">
        <f t="shared" si="211"/>
        <v>736</v>
      </c>
      <c r="AT608" s="21">
        <f t="shared" si="212"/>
        <v>865</v>
      </c>
      <c r="AU608" s="21"/>
      <c r="AV608" s="21"/>
      <c r="AW608" s="21"/>
    </row>
    <row r="609" spans="1:49" x14ac:dyDescent="0.2">
      <c r="A609">
        <v>316</v>
      </c>
      <c r="E609">
        <f t="shared" si="207"/>
        <v>1</v>
      </c>
      <c r="J609" t="str">
        <f t="shared" si="214"/>
        <v>5</v>
      </c>
      <c r="K609" t="str">
        <f t="shared" si="215"/>
        <v>39</v>
      </c>
      <c r="L609" t="str">
        <f t="shared" si="216"/>
        <v>3</v>
      </c>
      <c r="M609" s="6" t="str">
        <f t="shared" si="217"/>
        <v>35</v>
      </c>
      <c r="N609" t="str">
        <f t="shared" si="213"/>
        <v>Home</v>
      </c>
      <c r="O609">
        <v>22</v>
      </c>
      <c r="P609" t="s">
        <v>425</v>
      </c>
      <c r="Y609" t="str">
        <f t="shared" si="197"/>
        <v/>
      </c>
      <c r="Z609" t="str">
        <f t="shared" si="198"/>
        <v/>
      </c>
      <c r="AC609" t="str">
        <f t="shared" si="199"/>
        <v>Zone_Entry_Exit</v>
      </c>
      <c r="AD609" t="str">
        <f t="shared" si="200"/>
        <v>Zone_Entry</v>
      </c>
      <c r="AE609" t="str">
        <f t="shared" si="201"/>
        <v>ZoneEntry-Rush</v>
      </c>
      <c r="AF609" t="str">
        <f t="shared" si="202"/>
        <v>Defensive</v>
      </c>
      <c r="AG609">
        <f t="shared" si="208"/>
        <v>18981</v>
      </c>
      <c r="AH609" t="str">
        <f t="shared" si="209"/>
        <v>Nelson</v>
      </c>
      <c r="AI609" t="str">
        <f t="shared" si="210"/>
        <v>Velodrome</v>
      </c>
      <c r="AJ609" s="18">
        <f t="shared" si="203"/>
        <v>124</v>
      </c>
      <c r="AP609" s="18">
        <f t="shared" si="204"/>
        <v>0</v>
      </c>
      <c r="AQ609">
        <f t="shared" si="205"/>
        <v>0</v>
      </c>
      <c r="AR609" s="23">
        <f t="shared" si="206"/>
        <v>741</v>
      </c>
      <c r="AS609">
        <f t="shared" si="211"/>
        <v>736</v>
      </c>
      <c r="AT609" s="21">
        <f t="shared" si="212"/>
        <v>865</v>
      </c>
      <c r="AU609" s="21"/>
      <c r="AV609" s="21"/>
      <c r="AW609" s="21"/>
    </row>
    <row r="610" spans="1:49" x14ac:dyDescent="0.2">
      <c r="A610">
        <v>316</v>
      </c>
      <c r="E610">
        <f t="shared" si="207"/>
        <v>1</v>
      </c>
      <c r="J610" t="str">
        <f t="shared" si="214"/>
        <v>5</v>
      </c>
      <c r="K610" t="str">
        <f t="shared" si="215"/>
        <v>39</v>
      </c>
      <c r="L610" t="str">
        <f t="shared" si="216"/>
        <v>3</v>
      </c>
      <c r="M610" s="6" t="str">
        <f t="shared" si="217"/>
        <v>35</v>
      </c>
      <c r="N610" t="str">
        <f t="shared" si="213"/>
        <v>Home</v>
      </c>
      <c r="O610">
        <v>84</v>
      </c>
      <c r="P610" t="s">
        <v>425</v>
      </c>
      <c r="Y610" t="str">
        <f t="shared" si="197"/>
        <v/>
      </c>
      <c r="Z610" t="str">
        <f t="shared" si="198"/>
        <v/>
      </c>
      <c r="AC610" t="str">
        <f t="shared" si="199"/>
        <v>Zone_Entry_Exit</v>
      </c>
      <c r="AD610" t="str">
        <f t="shared" si="200"/>
        <v>Zone_Entry</v>
      </c>
      <c r="AE610" t="str">
        <f t="shared" si="201"/>
        <v>ZoneEntry-Rush</v>
      </c>
      <c r="AF610" t="str">
        <f t="shared" si="202"/>
        <v>Defensive</v>
      </c>
      <c r="AG610">
        <f t="shared" si="208"/>
        <v>18981</v>
      </c>
      <c r="AH610" t="str">
        <f t="shared" si="209"/>
        <v>Nelson</v>
      </c>
      <c r="AI610" t="str">
        <f t="shared" si="210"/>
        <v>Velodrome</v>
      </c>
      <c r="AJ610" s="18">
        <f t="shared" si="203"/>
        <v>124</v>
      </c>
      <c r="AP610" s="18">
        <f t="shared" si="204"/>
        <v>0</v>
      </c>
      <c r="AQ610">
        <f t="shared" si="205"/>
        <v>0</v>
      </c>
      <c r="AR610" s="23">
        <f t="shared" si="206"/>
        <v>741</v>
      </c>
      <c r="AS610">
        <f t="shared" si="211"/>
        <v>736</v>
      </c>
      <c r="AT610" s="21">
        <f t="shared" si="212"/>
        <v>865</v>
      </c>
      <c r="AU610" s="21"/>
      <c r="AV610" s="21"/>
      <c r="AW610" s="21"/>
    </row>
    <row r="611" spans="1:49" x14ac:dyDescent="0.2">
      <c r="A611">
        <v>317</v>
      </c>
      <c r="E611">
        <f t="shared" si="207"/>
        <v>1</v>
      </c>
      <c r="F611" s="5" t="s">
        <v>531</v>
      </c>
      <c r="G611" s="5" t="s">
        <v>507</v>
      </c>
      <c r="J611" t="str">
        <f t="shared" si="214"/>
        <v>3</v>
      </c>
      <c r="K611" t="str">
        <f t="shared" si="215"/>
        <v>35</v>
      </c>
      <c r="L611" t="str">
        <f t="shared" si="216"/>
        <v/>
      </c>
      <c r="M611" s="6" t="str">
        <f t="shared" si="217"/>
        <v/>
      </c>
      <c r="N611" t="s">
        <v>178</v>
      </c>
      <c r="O611">
        <v>16</v>
      </c>
      <c r="P611" t="s">
        <v>424</v>
      </c>
      <c r="Q611" t="s">
        <v>7</v>
      </c>
      <c r="R611" t="s">
        <v>281</v>
      </c>
      <c r="Y611" t="str">
        <f t="shared" si="197"/>
        <v/>
      </c>
      <c r="Z611" t="str">
        <f t="shared" si="198"/>
        <v/>
      </c>
      <c r="AC611" t="str">
        <f t="shared" si="199"/>
        <v>Shot</v>
      </c>
      <c r="AD611" t="str">
        <f t="shared" si="200"/>
        <v>Shot_Goal</v>
      </c>
      <c r="AE611" t="str">
        <f t="shared" si="201"/>
        <v/>
      </c>
      <c r="AF611" t="str">
        <f t="shared" si="202"/>
        <v>Offensive</v>
      </c>
      <c r="AG611">
        <f t="shared" si="208"/>
        <v>18981</v>
      </c>
      <c r="AH611" t="str">
        <f t="shared" si="209"/>
        <v>Nelson</v>
      </c>
      <c r="AI611" t="str">
        <f t="shared" si="210"/>
        <v>Velodrome</v>
      </c>
      <c r="AJ611" s="18">
        <f t="shared" si="203"/>
        <v>0</v>
      </c>
      <c r="AP611" s="18">
        <f t="shared" si="204"/>
        <v>0</v>
      </c>
      <c r="AQ611">
        <f t="shared" si="205"/>
        <v>0</v>
      </c>
      <c r="AR611" s="23">
        <f t="shared" si="206"/>
        <v>865</v>
      </c>
      <c r="AS611">
        <f t="shared" si="211"/>
        <v>860</v>
      </c>
      <c r="AT611" s="21">
        <f t="shared" si="212"/>
        <v>865</v>
      </c>
      <c r="AU611" s="21"/>
      <c r="AV611" s="21"/>
      <c r="AW611" s="21"/>
    </row>
    <row r="612" spans="1:49" x14ac:dyDescent="0.2">
      <c r="A612">
        <v>317</v>
      </c>
      <c r="E612">
        <f t="shared" si="207"/>
        <v>1</v>
      </c>
      <c r="J612" t="str">
        <f t="shared" si="214"/>
        <v>3</v>
      </c>
      <c r="K612" t="str">
        <f t="shared" si="215"/>
        <v>35</v>
      </c>
      <c r="L612" t="str">
        <f t="shared" si="216"/>
        <v/>
      </c>
      <c r="M612" s="6" t="str">
        <f t="shared" si="217"/>
        <v/>
      </c>
      <c r="N612" t="str">
        <f t="shared" si="213"/>
        <v>Home</v>
      </c>
      <c r="O612">
        <v>39</v>
      </c>
      <c r="P612" t="s">
        <v>425</v>
      </c>
      <c r="Y612" t="str">
        <f t="shared" si="197"/>
        <v/>
      </c>
      <c r="Z612" t="str">
        <f t="shared" si="198"/>
        <v/>
      </c>
      <c r="AC612" t="str">
        <f t="shared" si="199"/>
        <v>Shot</v>
      </c>
      <c r="AD612" t="str">
        <f t="shared" si="200"/>
        <v>Shot_Goal</v>
      </c>
      <c r="AE612" t="str">
        <f t="shared" si="201"/>
        <v/>
      </c>
      <c r="AF612" t="str">
        <f t="shared" si="202"/>
        <v>Defensive</v>
      </c>
      <c r="AG612">
        <f t="shared" si="208"/>
        <v>18981</v>
      </c>
      <c r="AH612" t="str">
        <f t="shared" si="209"/>
        <v>Nelson</v>
      </c>
      <c r="AI612" t="str">
        <f t="shared" si="210"/>
        <v>Velodrome</v>
      </c>
      <c r="AJ612" s="18">
        <f t="shared" si="203"/>
        <v>0</v>
      </c>
      <c r="AP612" s="18">
        <f t="shared" si="204"/>
        <v>0</v>
      </c>
      <c r="AQ612">
        <f t="shared" si="205"/>
        <v>0</v>
      </c>
      <c r="AR612" s="23">
        <f t="shared" si="206"/>
        <v>865</v>
      </c>
      <c r="AS612">
        <f t="shared" si="211"/>
        <v>860</v>
      </c>
      <c r="AT612" s="21">
        <f t="shared" si="212"/>
        <v>865</v>
      </c>
      <c r="AU612" s="21"/>
      <c r="AV612" s="21"/>
      <c r="AW612" s="21"/>
    </row>
    <row r="613" spans="1:49" x14ac:dyDescent="0.2">
      <c r="A613">
        <v>318</v>
      </c>
      <c r="E613">
        <f t="shared" si="207"/>
        <v>1</v>
      </c>
      <c r="F613" s="5" t="s">
        <v>531</v>
      </c>
      <c r="G613" s="5" t="s">
        <v>507</v>
      </c>
      <c r="J613" t="str">
        <f t="shared" si="214"/>
        <v>3</v>
      </c>
      <c r="K613" t="str">
        <f t="shared" si="215"/>
        <v>35</v>
      </c>
      <c r="L613" t="str">
        <f t="shared" si="216"/>
        <v/>
      </c>
      <c r="M613" s="6" t="str">
        <f t="shared" si="217"/>
        <v/>
      </c>
      <c r="N613" t="s">
        <v>178</v>
      </c>
      <c r="O613">
        <v>16</v>
      </c>
      <c r="P613" t="s">
        <v>424</v>
      </c>
      <c r="Q613" t="s">
        <v>9</v>
      </c>
      <c r="R613" t="s">
        <v>230</v>
      </c>
      <c r="S613" t="s">
        <v>241</v>
      </c>
      <c r="Y613" t="str">
        <f t="shared" si="197"/>
        <v/>
      </c>
      <c r="Z613" t="str">
        <f t="shared" si="198"/>
        <v/>
      </c>
      <c r="AC613" t="str">
        <f t="shared" si="199"/>
        <v>Goal</v>
      </c>
      <c r="AD613" t="str">
        <f t="shared" si="200"/>
        <v>Goal_Scored</v>
      </c>
      <c r="AE613" t="str">
        <f t="shared" si="201"/>
        <v>Goal-Poke</v>
      </c>
      <c r="AF613" t="str">
        <f t="shared" si="202"/>
        <v>Offensive</v>
      </c>
      <c r="AG613">
        <f t="shared" si="208"/>
        <v>18981</v>
      </c>
      <c r="AH613" t="str">
        <f t="shared" si="209"/>
        <v>Nelson</v>
      </c>
      <c r="AI613" t="str">
        <f t="shared" si="210"/>
        <v>Velodrome</v>
      </c>
      <c r="AJ613" s="18">
        <f t="shared" si="203"/>
        <v>0</v>
      </c>
      <c r="AP613" s="18">
        <f t="shared" si="204"/>
        <v>0</v>
      </c>
      <c r="AQ613">
        <f t="shared" si="205"/>
        <v>0</v>
      </c>
      <c r="AR613" s="23">
        <f t="shared" si="206"/>
        <v>865</v>
      </c>
      <c r="AS613">
        <f t="shared" si="211"/>
        <v>860</v>
      </c>
      <c r="AT613" s="21">
        <f t="shared" si="212"/>
        <v>865</v>
      </c>
      <c r="AU613" s="21"/>
      <c r="AV613" s="21"/>
      <c r="AW613" s="21"/>
    </row>
    <row r="614" spans="1:49" x14ac:dyDescent="0.2">
      <c r="A614">
        <v>318</v>
      </c>
      <c r="E614">
        <f t="shared" si="207"/>
        <v>1</v>
      </c>
      <c r="J614" t="str">
        <f t="shared" si="214"/>
        <v>3</v>
      </c>
      <c r="K614" t="str">
        <f t="shared" si="215"/>
        <v>35</v>
      </c>
      <c r="L614" t="str">
        <f t="shared" si="216"/>
        <v/>
      </c>
      <c r="M614" s="6" t="str">
        <f t="shared" si="217"/>
        <v/>
      </c>
      <c r="N614" t="str">
        <f t="shared" si="213"/>
        <v>Home</v>
      </c>
      <c r="O614">
        <v>39</v>
      </c>
      <c r="P614" t="s">
        <v>425</v>
      </c>
      <c r="Y614" t="str">
        <f t="shared" si="197"/>
        <v/>
      </c>
      <c r="Z614" t="str">
        <f t="shared" si="198"/>
        <v/>
      </c>
      <c r="AC614" t="str">
        <f t="shared" si="199"/>
        <v>Goal</v>
      </c>
      <c r="AD614" t="str">
        <f t="shared" si="200"/>
        <v>Goal_Scored</v>
      </c>
      <c r="AE614" t="str">
        <f t="shared" si="201"/>
        <v>Goal-Poke</v>
      </c>
      <c r="AF614" t="str">
        <f t="shared" si="202"/>
        <v>Defensive</v>
      </c>
      <c r="AG614">
        <f t="shared" si="208"/>
        <v>18981</v>
      </c>
      <c r="AH614" t="str">
        <f t="shared" si="209"/>
        <v>Nelson</v>
      </c>
      <c r="AI614" t="str">
        <f t="shared" si="210"/>
        <v>Velodrome</v>
      </c>
      <c r="AJ614" s="18">
        <f t="shared" si="203"/>
        <v>0</v>
      </c>
      <c r="AP614" s="18">
        <f t="shared" si="204"/>
        <v>0</v>
      </c>
      <c r="AQ614">
        <f t="shared" si="205"/>
        <v>0</v>
      </c>
      <c r="AR614" s="23">
        <f t="shared" si="206"/>
        <v>865</v>
      </c>
      <c r="AS614">
        <f t="shared" si="211"/>
        <v>860</v>
      </c>
      <c r="AT614" s="21">
        <f t="shared" si="212"/>
        <v>865</v>
      </c>
      <c r="AU614" s="21"/>
      <c r="AV614" s="21"/>
      <c r="AW614" s="21"/>
    </row>
    <row r="615" spans="1:49" x14ac:dyDescent="0.2">
      <c r="A615">
        <v>319</v>
      </c>
      <c r="E615">
        <f t="shared" si="207"/>
        <v>1</v>
      </c>
      <c r="F615" s="5" t="s">
        <v>531</v>
      </c>
      <c r="G615" s="5" t="s">
        <v>507</v>
      </c>
      <c r="J615" t="str">
        <f t="shared" si="214"/>
        <v>3</v>
      </c>
      <c r="K615" t="str">
        <f t="shared" si="215"/>
        <v>35</v>
      </c>
      <c r="L615" t="str">
        <f t="shared" si="216"/>
        <v/>
      </c>
      <c r="M615" s="6" t="str">
        <f t="shared" si="217"/>
        <v/>
      </c>
      <c r="N615" t="s">
        <v>178</v>
      </c>
      <c r="O615">
        <v>16</v>
      </c>
      <c r="P615" t="s">
        <v>424</v>
      </c>
      <c r="Q615" t="s">
        <v>13</v>
      </c>
      <c r="R615" t="s">
        <v>204</v>
      </c>
      <c r="S615" t="s">
        <v>42</v>
      </c>
      <c r="Y615" t="str">
        <f t="shared" si="197"/>
        <v/>
      </c>
      <c r="Z615" t="str">
        <f t="shared" si="198"/>
        <v/>
      </c>
      <c r="AC615" t="str">
        <f t="shared" si="199"/>
        <v>Stoppage</v>
      </c>
      <c r="AD615" t="str">
        <f t="shared" si="200"/>
        <v>Stoppage_Play</v>
      </c>
      <c r="AE615" t="str">
        <f t="shared" si="201"/>
        <v>Stoppage-Goal</v>
      </c>
      <c r="AF615" t="str">
        <f t="shared" si="202"/>
        <v/>
      </c>
      <c r="AG615">
        <f t="shared" si="208"/>
        <v>18981</v>
      </c>
      <c r="AH615" t="str">
        <f t="shared" si="209"/>
        <v>Nelson</v>
      </c>
      <c r="AI615" t="str">
        <f t="shared" si="210"/>
        <v>Velodrome</v>
      </c>
      <c r="AJ615" s="18">
        <f t="shared" si="203"/>
        <v>0</v>
      </c>
      <c r="AP615" s="18">
        <f t="shared" si="204"/>
        <v>0</v>
      </c>
      <c r="AQ615">
        <f t="shared" si="205"/>
        <v>0</v>
      </c>
      <c r="AR615" s="23">
        <f t="shared" si="206"/>
        <v>865</v>
      </c>
      <c r="AS615">
        <f t="shared" si="211"/>
        <v>860</v>
      </c>
      <c r="AT615" s="21">
        <f t="shared" si="212"/>
        <v>865</v>
      </c>
      <c r="AU615" s="21"/>
      <c r="AV615" s="21"/>
      <c r="AW615" s="21"/>
    </row>
    <row r="616" spans="1:49" x14ac:dyDescent="0.2">
      <c r="A616">
        <v>320</v>
      </c>
      <c r="E616">
        <f t="shared" si="207"/>
        <v>1</v>
      </c>
      <c r="F616" s="5" t="s">
        <v>531</v>
      </c>
      <c r="G616" s="5" t="s">
        <v>507</v>
      </c>
      <c r="H616" s="5" t="s">
        <v>540</v>
      </c>
      <c r="I616" s="7" t="s">
        <v>481</v>
      </c>
      <c r="J616" t="str">
        <f t="shared" si="214"/>
        <v>3</v>
      </c>
      <c r="K616" t="str">
        <f t="shared" si="215"/>
        <v>35</v>
      </c>
      <c r="L616" t="str">
        <f t="shared" si="216"/>
        <v>5</v>
      </c>
      <c r="M616" s="6" t="str">
        <f t="shared" si="217"/>
        <v>05</v>
      </c>
      <c r="N616" t="s">
        <v>178</v>
      </c>
      <c r="O616">
        <v>16</v>
      </c>
      <c r="P616" t="s">
        <v>424</v>
      </c>
      <c r="Q616" t="s">
        <v>282</v>
      </c>
      <c r="Y616" t="str">
        <f t="shared" si="197"/>
        <v/>
      </c>
      <c r="Z616" t="str">
        <f t="shared" si="198"/>
        <v/>
      </c>
      <c r="AC616" t="str">
        <f t="shared" si="199"/>
        <v>DeadIce</v>
      </c>
      <c r="AD616" t="str">
        <f t="shared" si="200"/>
        <v/>
      </c>
      <c r="AE616" t="str">
        <f t="shared" si="201"/>
        <v/>
      </c>
      <c r="AF616" t="str">
        <f t="shared" si="202"/>
        <v/>
      </c>
      <c r="AG616">
        <f t="shared" si="208"/>
        <v>18981</v>
      </c>
      <c r="AH616" t="str">
        <f t="shared" si="209"/>
        <v>Nelson</v>
      </c>
      <c r="AI616" t="str">
        <f t="shared" si="210"/>
        <v>Velodrome</v>
      </c>
      <c r="AJ616" s="18">
        <f t="shared" si="203"/>
        <v>-90</v>
      </c>
      <c r="AP616" s="18">
        <f t="shared" si="204"/>
        <v>0</v>
      </c>
      <c r="AQ616">
        <f t="shared" si="205"/>
        <v>0</v>
      </c>
      <c r="AR616" s="23">
        <f t="shared" si="206"/>
        <v>865</v>
      </c>
      <c r="AS616">
        <f t="shared" si="211"/>
        <v>860</v>
      </c>
      <c r="AT616" s="21">
        <f t="shared" si="212"/>
        <v>775</v>
      </c>
      <c r="AU616" s="21"/>
      <c r="AV616" s="21"/>
      <c r="AW616" s="21"/>
    </row>
    <row r="617" spans="1:49" x14ac:dyDescent="0.2">
      <c r="A617">
        <v>321</v>
      </c>
      <c r="E617">
        <f t="shared" si="207"/>
        <v>1</v>
      </c>
      <c r="F617" s="5" t="s">
        <v>540</v>
      </c>
      <c r="G617" s="5" t="s">
        <v>481</v>
      </c>
      <c r="J617" t="str">
        <f t="shared" si="214"/>
        <v>5</v>
      </c>
      <c r="K617" t="str">
        <f t="shared" si="215"/>
        <v>05</v>
      </c>
      <c r="L617" t="str">
        <f t="shared" si="216"/>
        <v/>
      </c>
      <c r="M617" s="6" t="str">
        <f t="shared" si="217"/>
        <v/>
      </c>
      <c r="N617" t="s">
        <v>179</v>
      </c>
      <c r="O617">
        <v>70</v>
      </c>
      <c r="P617" t="s">
        <v>424</v>
      </c>
      <c r="Q617" t="s">
        <v>6</v>
      </c>
      <c r="R617" t="s">
        <v>207</v>
      </c>
      <c r="Y617" t="str">
        <f t="shared" si="197"/>
        <v/>
      </c>
      <c r="Z617" t="str">
        <f t="shared" si="198"/>
        <v/>
      </c>
      <c r="AC617" t="str">
        <f t="shared" si="199"/>
        <v>Faceoff</v>
      </c>
      <c r="AD617" t="str">
        <f t="shared" si="200"/>
        <v>Faceoff_AfterGoal</v>
      </c>
      <c r="AE617" t="str">
        <f t="shared" si="201"/>
        <v/>
      </c>
      <c r="AF617" t="str">
        <f t="shared" si="202"/>
        <v>Offensive</v>
      </c>
      <c r="AG617">
        <f t="shared" si="208"/>
        <v>18981</v>
      </c>
      <c r="AH617" t="str">
        <f t="shared" si="209"/>
        <v>Nelson</v>
      </c>
      <c r="AI617" t="str">
        <f t="shared" si="210"/>
        <v>Velodrome</v>
      </c>
      <c r="AJ617" s="18">
        <f t="shared" si="203"/>
        <v>0</v>
      </c>
      <c r="AP617" s="18">
        <f t="shared" si="204"/>
        <v>0</v>
      </c>
      <c r="AQ617">
        <f t="shared" si="205"/>
        <v>0</v>
      </c>
      <c r="AR617" s="23">
        <f t="shared" si="206"/>
        <v>775</v>
      </c>
      <c r="AS617">
        <f t="shared" si="211"/>
        <v>770</v>
      </c>
      <c r="AT617" s="21">
        <f t="shared" si="212"/>
        <v>775</v>
      </c>
      <c r="AU617" s="21"/>
      <c r="AV617" s="21"/>
      <c r="AW617" s="21"/>
    </row>
    <row r="618" spans="1:49" x14ac:dyDescent="0.2">
      <c r="A618">
        <v>321</v>
      </c>
      <c r="E618">
        <f t="shared" si="207"/>
        <v>1</v>
      </c>
      <c r="J618" t="str">
        <f t="shared" si="214"/>
        <v>5</v>
      </c>
      <c r="K618" t="str">
        <f t="shared" si="215"/>
        <v>05</v>
      </c>
      <c r="L618" t="str">
        <f t="shared" si="216"/>
        <v/>
      </c>
      <c r="M618" s="6" t="str">
        <f t="shared" si="217"/>
        <v/>
      </c>
      <c r="N618" t="str">
        <f t="shared" si="213"/>
        <v>Away</v>
      </c>
      <c r="O618">
        <v>79</v>
      </c>
      <c r="P618" t="s">
        <v>425</v>
      </c>
      <c r="Y618" t="str">
        <f t="shared" si="197"/>
        <v/>
      </c>
      <c r="Z618" t="str">
        <f t="shared" si="198"/>
        <v/>
      </c>
      <c r="AC618" t="str">
        <f t="shared" si="199"/>
        <v>Faceoff</v>
      </c>
      <c r="AD618" t="str">
        <f t="shared" si="200"/>
        <v>Faceoff_AfterGoal</v>
      </c>
      <c r="AE618" t="str">
        <f t="shared" si="201"/>
        <v/>
      </c>
      <c r="AF618" t="str">
        <f t="shared" si="202"/>
        <v>Defensive</v>
      </c>
      <c r="AG618">
        <f t="shared" si="208"/>
        <v>18981</v>
      </c>
      <c r="AH618" t="str">
        <f t="shared" si="209"/>
        <v>Nelson</v>
      </c>
      <c r="AI618" t="str">
        <f t="shared" si="210"/>
        <v>Velodrome</v>
      </c>
      <c r="AJ618" s="18">
        <f t="shared" si="203"/>
        <v>0</v>
      </c>
      <c r="AP618" s="18">
        <f t="shared" si="204"/>
        <v>0</v>
      </c>
      <c r="AQ618">
        <f t="shared" si="205"/>
        <v>0</v>
      </c>
      <c r="AR618" s="23">
        <f t="shared" si="206"/>
        <v>775</v>
      </c>
      <c r="AS618">
        <f t="shared" si="211"/>
        <v>770</v>
      </c>
      <c r="AT618" s="21">
        <f t="shared" si="212"/>
        <v>775</v>
      </c>
      <c r="AU618" s="21"/>
      <c r="AV618" s="21"/>
      <c r="AW618" s="21"/>
    </row>
    <row r="619" spans="1:49" x14ac:dyDescent="0.2">
      <c r="A619">
        <v>322</v>
      </c>
      <c r="E619">
        <f t="shared" si="207"/>
        <v>1</v>
      </c>
      <c r="F619" s="5" t="s">
        <v>540</v>
      </c>
      <c r="G619" s="5" t="s">
        <v>480</v>
      </c>
      <c r="H619" s="5" t="s">
        <v>540</v>
      </c>
      <c r="I619" s="7" t="s">
        <v>474</v>
      </c>
      <c r="J619" t="str">
        <f t="shared" si="214"/>
        <v>5</v>
      </c>
      <c r="K619" t="str">
        <f t="shared" si="215"/>
        <v>04</v>
      </c>
      <c r="L619" t="str">
        <f t="shared" si="216"/>
        <v>5</v>
      </c>
      <c r="M619" s="6" t="str">
        <f t="shared" si="217"/>
        <v>02</v>
      </c>
      <c r="N619" t="s">
        <v>179</v>
      </c>
      <c r="O619">
        <v>70</v>
      </c>
      <c r="P619" t="s">
        <v>424</v>
      </c>
      <c r="Q619" t="s">
        <v>277</v>
      </c>
      <c r="R619" t="s">
        <v>191</v>
      </c>
      <c r="S619" t="s">
        <v>87</v>
      </c>
      <c r="Y619" t="str">
        <f t="shared" si="197"/>
        <v/>
      </c>
      <c r="Z619" t="str">
        <f t="shared" si="198"/>
        <v/>
      </c>
      <c r="AC619" t="str">
        <f t="shared" si="199"/>
        <v>Zone_Entry_Exit</v>
      </c>
      <c r="AD619" t="str">
        <f t="shared" si="200"/>
        <v>Zone_Entry</v>
      </c>
      <c r="AE619" t="str">
        <f t="shared" si="201"/>
        <v>ZoneEntry-Rush</v>
      </c>
      <c r="AF619" t="str">
        <f t="shared" si="202"/>
        <v>Offensive</v>
      </c>
      <c r="AG619">
        <f t="shared" si="208"/>
        <v>18981</v>
      </c>
      <c r="AH619" t="str">
        <f t="shared" si="209"/>
        <v>Nelson</v>
      </c>
      <c r="AI619" t="str">
        <f t="shared" si="210"/>
        <v>Velodrome</v>
      </c>
      <c r="AJ619" s="18">
        <f t="shared" si="203"/>
        <v>2</v>
      </c>
      <c r="AP619" s="18">
        <f t="shared" si="204"/>
        <v>0</v>
      </c>
      <c r="AQ619">
        <f t="shared" si="205"/>
        <v>0</v>
      </c>
      <c r="AR619" s="23">
        <f t="shared" si="206"/>
        <v>776</v>
      </c>
      <c r="AS619">
        <f t="shared" si="211"/>
        <v>771</v>
      </c>
      <c r="AT619" s="21">
        <f t="shared" si="212"/>
        <v>778</v>
      </c>
      <c r="AU619" s="21"/>
      <c r="AV619" s="21"/>
      <c r="AW619" s="21"/>
    </row>
    <row r="620" spans="1:49" x14ac:dyDescent="0.2">
      <c r="A620">
        <v>322</v>
      </c>
      <c r="E620">
        <f t="shared" si="207"/>
        <v>1</v>
      </c>
      <c r="J620" t="str">
        <f t="shared" si="214"/>
        <v>5</v>
      </c>
      <c r="K620" t="str">
        <f t="shared" si="215"/>
        <v>04</v>
      </c>
      <c r="L620" t="str">
        <f t="shared" si="216"/>
        <v>5</v>
      </c>
      <c r="M620" s="6" t="str">
        <f t="shared" si="217"/>
        <v>02</v>
      </c>
      <c r="N620" t="str">
        <f t="shared" si="213"/>
        <v>Away</v>
      </c>
      <c r="O620">
        <v>80</v>
      </c>
      <c r="P620" t="s">
        <v>425</v>
      </c>
      <c r="Y620" t="str">
        <f t="shared" si="197"/>
        <v/>
      </c>
      <c r="Z620" t="str">
        <f t="shared" si="198"/>
        <v/>
      </c>
      <c r="AC620" t="str">
        <f t="shared" si="199"/>
        <v>Zone_Entry_Exit</v>
      </c>
      <c r="AD620" t="str">
        <f t="shared" si="200"/>
        <v>Zone_Entry</v>
      </c>
      <c r="AE620" t="str">
        <f t="shared" si="201"/>
        <v>ZoneEntry-Rush</v>
      </c>
      <c r="AF620" t="str">
        <f t="shared" si="202"/>
        <v>Defensive</v>
      </c>
      <c r="AG620">
        <f t="shared" si="208"/>
        <v>18981</v>
      </c>
      <c r="AH620" t="str">
        <f t="shared" si="209"/>
        <v>Nelson</v>
      </c>
      <c r="AI620" t="str">
        <f t="shared" si="210"/>
        <v>Velodrome</v>
      </c>
      <c r="AJ620" s="18">
        <f t="shared" si="203"/>
        <v>2</v>
      </c>
      <c r="AP620" s="18">
        <f t="shared" si="204"/>
        <v>0</v>
      </c>
      <c r="AQ620">
        <f t="shared" si="205"/>
        <v>0</v>
      </c>
      <c r="AR620" s="23">
        <f t="shared" si="206"/>
        <v>776</v>
      </c>
      <c r="AS620">
        <f t="shared" si="211"/>
        <v>771</v>
      </c>
      <c r="AT620" s="21">
        <f t="shared" si="212"/>
        <v>778</v>
      </c>
      <c r="AU620" s="21"/>
      <c r="AV620" s="21"/>
      <c r="AW620" s="21"/>
    </row>
    <row r="621" spans="1:49" x14ac:dyDescent="0.2">
      <c r="A621">
        <v>322</v>
      </c>
      <c r="E621">
        <f t="shared" si="207"/>
        <v>1</v>
      </c>
      <c r="J621" t="str">
        <f t="shared" si="214"/>
        <v>5</v>
      </c>
      <c r="K621" t="str">
        <f t="shared" si="215"/>
        <v>04</v>
      </c>
      <c r="L621" t="str">
        <f t="shared" si="216"/>
        <v>5</v>
      </c>
      <c r="M621" s="6" t="str">
        <f t="shared" si="217"/>
        <v>02</v>
      </c>
      <c r="N621" t="str">
        <f t="shared" si="213"/>
        <v>Away</v>
      </c>
      <c r="O621">
        <v>8</v>
      </c>
      <c r="P621" t="s">
        <v>425</v>
      </c>
      <c r="Y621" t="str">
        <f t="shared" si="197"/>
        <v/>
      </c>
      <c r="Z621" t="str">
        <f t="shared" si="198"/>
        <v/>
      </c>
      <c r="AC621" t="str">
        <f t="shared" si="199"/>
        <v>Zone_Entry_Exit</v>
      </c>
      <c r="AD621" t="str">
        <f t="shared" si="200"/>
        <v>Zone_Entry</v>
      </c>
      <c r="AE621" t="str">
        <f t="shared" si="201"/>
        <v>ZoneEntry-Rush</v>
      </c>
      <c r="AF621" t="str">
        <f t="shared" si="202"/>
        <v>Defensive</v>
      </c>
      <c r="AG621">
        <f t="shared" si="208"/>
        <v>18981</v>
      </c>
      <c r="AH621" t="str">
        <f t="shared" si="209"/>
        <v>Nelson</v>
      </c>
      <c r="AI621" t="str">
        <f t="shared" si="210"/>
        <v>Velodrome</v>
      </c>
      <c r="AJ621" s="18">
        <f t="shared" si="203"/>
        <v>2</v>
      </c>
      <c r="AP621" s="18">
        <f t="shared" si="204"/>
        <v>0</v>
      </c>
      <c r="AQ621">
        <f t="shared" si="205"/>
        <v>0</v>
      </c>
      <c r="AR621" s="23">
        <f t="shared" si="206"/>
        <v>776</v>
      </c>
      <c r="AS621">
        <f t="shared" si="211"/>
        <v>771</v>
      </c>
      <c r="AT621" s="21">
        <f t="shared" si="212"/>
        <v>778</v>
      </c>
      <c r="AU621" s="21"/>
      <c r="AV621" s="21"/>
      <c r="AW621" s="21"/>
    </row>
    <row r="622" spans="1:49" x14ac:dyDescent="0.2">
      <c r="A622">
        <v>323</v>
      </c>
      <c r="E622">
        <f t="shared" si="207"/>
        <v>1</v>
      </c>
      <c r="F622" s="5" t="s">
        <v>540</v>
      </c>
      <c r="G622" s="5" t="s">
        <v>474</v>
      </c>
      <c r="J622" t="str">
        <f t="shared" si="214"/>
        <v>5</v>
      </c>
      <c r="K622" t="str">
        <f t="shared" si="215"/>
        <v>02</v>
      </c>
      <c r="L622" t="str">
        <f t="shared" si="216"/>
        <v/>
      </c>
      <c r="M622" s="6" t="str">
        <f t="shared" si="217"/>
        <v/>
      </c>
      <c r="N622" t="s">
        <v>179</v>
      </c>
      <c r="O622">
        <v>70</v>
      </c>
      <c r="P622" t="s">
        <v>424</v>
      </c>
      <c r="Q622" t="s">
        <v>7</v>
      </c>
      <c r="R622" t="s">
        <v>281</v>
      </c>
      <c r="Y622" t="str">
        <f t="shared" si="197"/>
        <v/>
      </c>
      <c r="Z622" t="str">
        <f t="shared" si="198"/>
        <v/>
      </c>
      <c r="AC622" t="str">
        <f t="shared" si="199"/>
        <v>Shot</v>
      </c>
      <c r="AD622" t="str">
        <f t="shared" si="200"/>
        <v>Shot_Goal</v>
      </c>
      <c r="AE622" t="str">
        <f t="shared" si="201"/>
        <v/>
      </c>
      <c r="AF622" t="str">
        <f t="shared" si="202"/>
        <v>Offensive</v>
      </c>
      <c r="AG622">
        <f t="shared" si="208"/>
        <v>18981</v>
      </c>
      <c r="AH622" t="str">
        <f t="shared" si="209"/>
        <v>Nelson</v>
      </c>
      <c r="AI622" t="str">
        <f t="shared" si="210"/>
        <v>Velodrome</v>
      </c>
      <c r="AJ622" s="18">
        <f t="shared" si="203"/>
        <v>0</v>
      </c>
      <c r="AP622" s="18">
        <f t="shared" si="204"/>
        <v>0</v>
      </c>
      <c r="AQ622">
        <f t="shared" si="205"/>
        <v>0</v>
      </c>
      <c r="AR622" s="23">
        <f t="shared" si="206"/>
        <v>778</v>
      </c>
      <c r="AS622">
        <f t="shared" si="211"/>
        <v>773</v>
      </c>
      <c r="AT622" s="21">
        <f t="shared" si="212"/>
        <v>778</v>
      </c>
      <c r="AU622" s="21"/>
      <c r="AV622" s="21"/>
      <c r="AW622" s="21"/>
    </row>
    <row r="623" spans="1:49" x14ac:dyDescent="0.2">
      <c r="A623">
        <v>323</v>
      </c>
      <c r="E623">
        <f t="shared" si="207"/>
        <v>1</v>
      </c>
      <c r="J623" t="str">
        <f t="shared" si="214"/>
        <v>5</v>
      </c>
      <c r="K623" t="str">
        <f t="shared" si="215"/>
        <v>02</v>
      </c>
      <c r="L623" t="str">
        <f t="shared" si="216"/>
        <v/>
      </c>
      <c r="M623" s="6" t="str">
        <f t="shared" si="217"/>
        <v/>
      </c>
      <c r="N623" t="str">
        <f t="shared" si="213"/>
        <v>Away</v>
      </c>
      <c r="O623">
        <v>31</v>
      </c>
      <c r="P623" t="s">
        <v>425</v>
      </c>
      <c r="Y623" t="str">
        <f t="shared" si="197"/>
        <v/>
      </c>
      <c r="Z623" t="str">
        <f t="shared" si="198"/>
        <v/>
      </c>
      <c r="AC623" t="str">
        <f t="shared" si="199"/>
        <v>Shot</v>
      </c>
      <c r="AD623" t="str">
        <f t="shared" si="200"/>
        <v>Shot_Goal</v>
      </c>
      <c r="AE623" t="str">
        <f t="shared" si="201"/>
        <v/>
      </c>
      <c r="AF623" t="str">
        <f t="shared" si="202"/>
        <v>Defensive</v>
      </c>
      <c r="AG623">
        <f t="shared" si="208"/>
        <v>18981</v>
      </c>
      <c r="AH623" t="str">
        <f t="shared" si="209"/>
        <v>Nelson</v>
      </c>
      <c r="AI623" t="str">
        <f t="shared" si="210"/>
        <v>Velodrome</v>
      </c>
      <c r="AJ623" s="18">
        <f t="shared" si="203"/>
        <v>0</v>
      </c>
      <c r="AP623" s="18">
        <f t="shared" si="204"/>
        <v>0</v>
      </c>
      <c r="AQ623">
        <f t="shared" si="205"/>
        <v>0</v>
      </c>
      <c r="AR623" s="23">
        <f t="shared" si="206"/>
        <v>778</v>
      </c>
      <c r="AS623">
        <f t="shared" si="211"/>
        <v>773</v>
      </c>
      <c r="AT623" s="21">
        <f t="shared" si="212"/>
        <v>778</v>
      </c>
      <c r="AU623" s="21"/>
      <c r="AV623" s="21"/>
      <c r="AW623" s="21"/>
    </row>
    <row r="624" spans="1:49" x14ac:dyDescent="0.2">
      <c r="A624">
        <v>324</v>
      </c>
      <c r="E624">
        <f t="shared" si="207"/>
        <v>1</v>
      </c>
      <c r="F624" s="5" t="s">
        <v>540</v>
      </c>
      <c r="G624" s="5" t="s">
        <v>474</v>
      </c>
      <c r="J624" t="str">
        <f t="shared" si="214"/>
        <v>5</v>
      </c>
      <c r="K624" t="str">
        <f t="shared" si="215"/>
        <v>02</v>
      </c>
      <c r="L624" t="str">
        <f t="shared" si="216"/>
        <v/>
      </c>
      <c r="M624" s="6" t="str">
        <f t="shared" si="217"/>
        <v/>
      </c>
      <c r="N624" t="s">
        <v>179</v>
      </c>
      <c r="O624">
        <v>70</v>
      </c>
      <c r="P624" t="s">
        <v>424</v>
      </c>
      <c r="Q624" t="s">
        <v>9</v>
      </c>
      <c r="R624" t="s">
        <v>230</v>
      </c>
      <c r="S624" t="s">
        <v>233</v>
      </c>
      <c r="Y624" t="str">
        <f t="shared" si="197"/>
        <v/>
      </c>
      <c r="Z624" t="str">
        <f t="shared" si="198"/>
        <v/>
      </c>
      <c r="AC624" t="str">
        <f t="shared" si="199"/>
        <v>Goal</v>
      </c>
      <c r="AD624" t="str">
        <f t="shared" si="200"/>
        <v>Goal_Scored</v>
      </c>
      <c r="AE624" t="str">
        <f t="shared" si="201"/>
        <v>Goal-Wrist</v>
      </c>
      <c r="AF624" t="str">
        <f t="shared" si="202"/>
        <v>Offensive</v>
      </c>
      <c r="AG624">
        <f t="shared" si="208"/>
        <v>18981</v>
      </c>
      <c r="AH624" t="str">
        <f t="shared" si="209"/>
        <v>Nelson</v>
      </c>
      <c r="AI624" t="str">
        <f t="shared" si="210"/>
        <v>Velodrome</v>
      </c>
      <c r="AJ624" s="18">
        <f t="shared" si="203"/>
        <v>0</v>
      </c>
      <c r="AP624" s="18">
        <f t="shared" si="204"/>
        <v>0</v>
      </c>
      <c r="AQ624">
        <f t="shared" si="205"/>
        <v>0</v>
      </c>
      <c r="AR624" s="23">
        <f t="shared" si="206"/>
        <v>778</v>
      </c>
      <c r="AS624">
        <f t="shared" si="211"/>
        <v>773</v>
      </c>
      <c r="AT624" s="21">
        <f t="shared" si="212"/>
        <v>778</v>
      </c>
      <c r="AU624" s="21"/>
      <c r="AV624" s="21"/>
      <c r="AW624" s="21"/>
    </row>
    <row r="625" spans="1:49" x14ac:dyDescent="0.2">
      <c r="A625">
        <v>324</v>
      </c>
      <c r="E625">
        <f t="shared" si="207"/>
        <v>1</v>
      </c>
      <c r="J625" t="str">
        <f t="shared" si="214"/>
        <v>5</v>
      </c>
      <c r="K625" t="str">
        <f t="shared" si="215"/>
        <v>02</v>
      </c>
      <c r="L625" t="str">
        <f t="shared" si="216"/>
        <v/>
      </c>
      <c r="M625" s="6" t="str">
        <f t="shared" si="217"/>
        <v/>
      </c>
      <c r="N625" t="str">
        <f t="shared" si="213"/>
        <v>Away</v>
      </c>
      <c r="O625">
        <v>31</v>
      </c>
      <c r="P625" t="s">
        <v>425</v>
      </c>
      <c r="Y625" t="str">
        <f t="shared" si="197"/>
        <v/>
      </c>
      <c r="Z625" t="str">
        <f t="shared" si="198"/>
        <v/>
      </c>
      <c r="AC625" t="str">
        <f t="shared" si="199"/>
        <v>Goal</v>
      </c>
      <c r="AD625" t="str">
        <f t="shared" si="200"/>
        <v>Goal_Scored</v>
      </c>
      <c r="AE625" t="str">
        <f t="shared" si="201"/>
        <v>Goal-Wrist</v>
      </c>
      <c r="AF625" t="str">
        <f t="shared" si="202"/>
        <v>Defensive</v>
      </c>
      <c r="AG625">
        <f t="shared" si="208"/>
        <v>18981</v>
      </c>
      <c r="AH625" t="str">
        <f t="shared" si="209"/>
        <v>Nelson</v>
      </c>
      <c r="AI625" t="str">
        <f t="shared" si="210"/>
        <v>Velodrome</v>
      </c>
      <c r="AJ625" s="18">
        <f t="shared" si="203"/>
        <v>0</v>
      </c>
      <c r="AP625" s="18">
        <f t="shared" si="204"/>
        <v>0</v>
      </c>
      <c r="AQ625">
        <f t="shared" si="205"/>
        <v>0</v>
      </c>
      <c r="AR625" s="23">
        <f t="shared" si="206"/>
        <v>778</v>
      </c>
      <c r="AS625">
        <f t="shared" si="211"/>
        <v>773</v>
      </c>
      <c r="AT625" s="21">
        <f t="shared" si="212"/>
        <v>778</v>
      </c>
      <c r="AU625" s="21"/>
      <c r="AV625" s="21"/>
      <c r="AW625" s="21"/>
    </row>
    <row r="626" spans="1:49" x14ac:dyDescent="0.2">
      <c r="A626">
        <v>325</v>
      </c>
      <c r="E626">
        <f t="shared" si="207"/>
        <v>1</v>
      </c>
      <c r="F626" s="5" t="s">
        <v>540</v>
      </c>
      <c r="G626" s="5" t="s">
        <v>474</v>
      </c>
      <c r="J626" t="str">
        <f t="shared" si="214"/>
        <v>5</v>
      </c>
      <c r="K626" t="str">
        <f t="shared" si="215"/>
        <v>02</v>
      </c>
      <c r="L626" t="str">
        <f t="shared" si="216"/>
        <v/>
      </c>
      <c r="M626" s="6" t="str">
        <f t="shared" si="217"/>
        <v/>
      </c>
      <c r="N626" t="s">
        <v>179</v>
      </c>
      <c r="O626">
        <v>70</v>
      </c>
      <c r="P626" t="s">
        <v>424</v>
      </c>
      <c r="Q626" t="s">
        <v>13</v>
      </c>
      <c r="R626" t="s">
        <v>204</v>
      </c>
      <c r="S626" t="s">
        <v>42</v>
      </c>
      <c r="Y626" t="str">
        <f t="shared" si="197"/>
        <v/>
      </c>
      <c r="Z626" t="str">
        <f t="shared" si="198"/>
        <v/>
      </c>
      <c r="AC626" t="str">
        <f t="shared" si="199"/>
        <v>Stoppage</v>
      </c>
      <c r="AD626" t="str">
        <f t="shared" si="200"/>
        <v>Stoppage_Play</v>
      </c>
      <c r="AE626" t="str">
        <f t="shared" si="201"/>
        <v>Stoppage-Goal</v>
      </c>
      <c r="AF626" t="str">
        <f t="shared" si="202"/>
        <v/>
      </c>
      <c r="AG626">
        <f t="shared" si="208"/>
        <v>18981</v>
      </c>
      <c r="AH626" t="str">
        <f t="shared" si="209"/>
        <v>Nelson</v>
      </c>
      <c r="AI626" t="str">
        <f t="shared" si="210"/>
        <v>Velodrome</v>
      </c>
      <c r="AJ626" s="18">
        <f t="shared" si="203"/>
        <v>0</v>
      </c>
      <c r="AP626" s="18">
        <f t="shared" si="204"/>
        <v>0</v>
      </c>
      <c r="AQ626">
        <f t="shared" si="205"/>
        <v>0</v>
      </c>
      <c r="AR626" s="23">
        <f t="shared" si="206"/>
        <v>778</v>
      </c>
      <c r="AS626">
        <f t="shared" si="211"/>
        <v>773</v>
      </c>
      <c r="AT626" s="21">
        <f t="shared" si="212"/>
        <v>778</v>
      </c>
      <c r="AU626" s="21"/>
      <c r="AV626" s="21"/>
      <c r="AW626" s="21"/>
    </row>
    <row r="627" spans="1:49" x14ac:dyDescent="0.2">
      <c r="A627">
        <v>326</v>
      </c>
      <c r="E627">
        <f t="shared" si="207"/>
        <v>1</v>
      </c>
      <c r="F627" s="5" t="s">
        <v>540</v>
      </c>
      <c r="G627" s="5" t="s">
        <v>474</v>
      </c>
      <c r="H627" s="5" t="s">
        <v>533</v>
      </c>
      <c r="I627" s="7" t="s">
        <v>509</v>
      </c>
      <c r="J627" t="str">
        <f t="shared" si="214"/>
        <v>5</v>
      </c>
      <c r="K627" t="str">
        <f t="shared" si="215"/>
        <v>02</v>
      </c>
      <c r="L627" t="str">
        <f t="shared" si="216"/>
        <v>4</v>
      </c>
      <c r="M627" s="6" t="str">
        <f t="shared" si="217"/>
        <v>37</v>
      </c>
      <c r="N627" t="s">
        <v>179</v>
      </c>
      <c r="O627">
        <v>70</v>
      </c>
      <c r="P627" t="s">
        <v>424</v>
      </c>
      <c r="Q627" t="s">
        <v>282</v>
      </c>
      <c r="Y627" t="str">
        <f t="shared" si="197"/>
        <v/>
      </c>
      <c r="Z627" t="str">
        <f t="shared" si="198"/>
        <v/>
      </c>
      <c r="AC627" t="str">
        <f t="shared" si="199"/>
        <v>DeadIce</v>
      </c>
      <c r="AD627" t="str">
        <f t="shared" si="200"/>
        <v/>
      </c>
      <c r="AE627" t="str">
        <f t="shared" si="201"/>
        <v/>
      </c>
      <c r="AF627" t="str">
        <f t="shared" si="202"/>
        <v/>
      </c>
      <c r="AG627">
        <f t="shared" si="208"/>
        <v>18981</v>
      </c>
      <c r="AH627" t="str">
        <f t="shared" si="209"/>
        <v>Nelson</v>
      </c>
      <c r="AI627" t="str">
        <f t="shared" si="210"/>
        <v>Velodrome</v>
      </c>
      <c r="AJ627" s="18">
        <f t="shared" si="203"/>
        <v>25</v>
      </c>
      <c r="AP627" s="18">
        <f t="shared" si="204"/>
        <v>0</v>
      </c>
      <c r="AQ627">
        <f t="shared" si="205"/>
        <v>0</v>
      </c>
      <c r="AR627" s="23">
        <f t="shared" si="206"/>
        <v>778</v>
      </c>
      <c r="AS627">
        <f t="shared" si="211"/>
        <v>773</v>
      </c>
      <c r="AT627" s="21">
        <f t="shared" si="212"/>
        <v>803</v>
      </c>
      <c r="AU627" s="21"/>
      <c r="AV627" s="21"/>
      <c r="AW627" s="21"/>
    </row>
    <row r="628" spans="1:49" x14ac:dyDescent="0.2">
      <c r="A628">
        <v>327</v>
      </c>
      <c r="E628">
        <f t="shared" si="207"/>
        <v>1</v>
      </c>
      <c r="F628" s="5" t="s">
        <v>533</v>
      </c>
      <c r="G628" s="5" t="s">
        <v>509</v>
      </c>
      <c r="J628" t="str">
        <f t="shared" si="214"/>
        <v>4</v>
      </c>
      <c r="K628" t="str">
        <f t="shared" si="215"/>
        <v>37</v>
      </c>
      <c r="L628" t="str">
        <f t="shared" si="216"/>
        <v/>
      </c>
      <c r="M628" s="6" t="str">
        <f t="shared" si="217"/>
        <v/>
      </c>
      <c r="N628" t="s">
        <v>179</v>
      </c>
      <c r="O628">
        <v>70</v>
      </c>
      <c r="P628" t="s">
        <v>424</v>
      </c>
      <c r="Q628" t="s">
        <v>6</v>
      </c>
      <c r="R628" t="s">
        <v>207</v>
      </c>
      <c r="Y628" t="str">
        <f t="shared" si="197"/>
        <v/>
      </c>
      <c r="Z628" t="str">
        <f t="shared" si="198"/>
        <v/>
      </c>
      <c r="AC628" t="str">
        <f t="shared" si="199"/>
        <v>Faceoff</v>
      </c>
      <c r="AD628" t="str">
        <f t="shared" si="200"/>
        <v>Faceoff_AfterGoal</v>
      </c>
      <c r="AE628" t="str">
        <f t="shared" si="201"/>
        <v/>
      </c>
      <c r="AF628" t="str">
        <f t="shared" si="202"/>
        <v>Offensive</v>
      </c>
      <c r="AG628">
        <f t="shared" si="208"/>
        <v>18981</v>
      </c>
      <c r="AH628" t="str">
        <f t="shared" si="209"/>
        <v>Nelson</v>
      </c>
      <c r="AI628" t="str">
        <f t="shared" si="210"/>
        <v>Velodrome</v>
      </c>
      <c r="AJ628" s="18">
        <f t="shared" si="203"/>
        <v>0</v>
      </c>
      <c r="AP628" s="18">
        <f t="shared" si="204"/>
        <v>0</v>
      </c>
      <c r="AQ628">
        <f t="shared" si="205"/>
        <v>0</v>
      </c>
      <c r="AR628" s="23">
        <f t="shared" si="206"/>
        <v>803</v>
      </c>
      <c r="AS628">
        <f t="shared" si="211"/>
        <v>798</v>
      </c>
      <c r="AT628" s="21">
        <f t="shared" si="212"/>
        <v>803</v>
      </c>
      <c r="AU628" s="21"/>
      <c r="AV628" s="21"/>
      <c r="AW628" s="21"/>
    </row>
    <row r="629" spans="1:49" x14ac:dyDescent="0.2">
      <c r="A629">
        <v>327</v>
      </c>
      <c r="E629">
        <f t="shared" si="207"/>
        <v>1</v>
      </c>
      <c r="J629" t="str">
        <f t="shared" si="214"/>
        <v>4</v>
      </c>
      <c r="K629" t="str">
        <f t="shared" si="215"/>
        <v>37</v>
      </c>
      <c r="L629" t="str">
        <f t="shared" si="216"/>
        <v/>
      </c>
      <c r="M629" s="6" t="str">
        <f t="shared" si="217"/>
        <v/>
      </c>
      <c r="N629" t="str">
        <f t="shared" si="213"/>
        <v>Away</v>
      </c>
      <c r="O629">
        <v>79</v>
      </c>
      <c r="P629" t="s">
        <v>425</v>
      </c>
      <c r="Y629" t="str">
        <f t="shared" si="197"/>
        <v/>
      </c>
      <c r="Z629" t="str">
        <f t="shared" si="198"/>
        <v/>
      </c>
      <c r="AC629" t="str">
        <f t="shared" si="199"/>
        <v>Faceoff</v>
      </c>
      <c r="AD629" t="str">
        <f t="shared" si="200"/>
        <v>Faceoff_AfterGoal</v>
      </c>
      <c r="AE629" t="str">
        <f t="shared" si="201"/>
        <v/>
      </c>
      <c r="AF629" t="str">
        <f t="shared" si="202"/>
        <v>Defensive</v>
      </c>
      <c r="AG629">
        <f t="shared" si="208"/>
        <v>18981</v>
      </c>
      <c r="AH629" t="str">
        <f t="shared" si="209"/>
        <v>Nelson</v>
      </c>
      <c r="AI629" t="str">
        <f t="shared" si="210"/>
        <v>Velodrome</v>
      </c>
      <c r="AJ629" s="18">
        <f t="shared" si="203"/>
        <v>0</v>
      </c>
      <c r="AP629" s="18">
        <f t="shared" si="204"/>
        <v>0</v>
      </c>
      <c r="AQ629">
        <f t="shared" si="205"/>
        <v>0</v>
      </c>
      <c r="AR629" s="23">
        <f t="shared" si="206"/>
        <v>803</v>
      </c>
      <c r="AS629">
        <f t="shared" si="211"/>
        <v>798</v>
      </c>
      <c r="AT629" s="21">
        <f t="shared" si="212"/>
        <v>803</v>
      </c>
      <c r="AU629" s="21"/>
      <c r="AV629" s="21"/>
      <c r="AW629" s="21"/>
    </row>
    <row r="630" spans="1:49" x14ac:dyDescent="0.2">
      <c r="A630">
        <v>328</v>
      </c>
      <c r="E630">
        <f t="shared" si="207"/>
        <v>1</v>
      </c>
      <c r="F630" s="5" t="s">
        <v>533</v>
      </c>
      <c r="G630" s="5" t="s">
        <v>508</v>
      </c>
      <c r="H630" s="5" t="s">
        <v>533</v>
      </c>
      <c r="I630" s="7" t="s">
        <v>505</v>
      </c>
      <c r="J630" t="str">
        <f t="shared" si="214"/>
        <v>4</v>
      </c>
      <c r="K630" t="str">
        <f t="shared" si="215"/>
        <v>36</v>
      </c>
      <c r="L630" t="str">
        <f t="shared" si="216"/>
        <v>4</v>
      </c>
      <c r="M630" s="6" t="str">
        <f t="shared" si="217"/>
        <v>33</v>
      </c>
      <c r="N630" t="s">
        <v>179</v>
      </c>
      <c r="O630">
        <v>70</v>
      </c>
      <c r="P630" t="s">
        <v>424</v>
      </c>
      <c r="Q630" t="s">
        <v>15</v>
      </c>
      <c r="Y630" t="str">
        <f t="shared" si="197"/>
        <v/>
      </c>
      <c r="Z630" t="str">
        <f t="shared" si="198"/>
        <v/>
      </c>
      <c r="AC630" t="str">
        <f t="shared" si="199"/>
        <v>Possession</v>
      </c>
      <c r="AD630" t="str">
        <f t="shared" si="200"/>
        <v/>
      </c>
      <c r="AE630" t="str">
        <f t="shared" si="201"/>
        <v/>
      </c>
      <c r="AF630" t="str">
        <f t="shared" si="202"/>
        <v>Offensive</v>
      </c>
      <c r="AG630">
        <f t="shared" si="208"/>
        <v>18981</v>
      </c>
      <c r="AH630" t="str">
        <f t="shared" si="209"/>
        <v>Nelson</v>
      </c>
      <c r="AI630" t="str">
        <f t="shared" si="210"/>
        <v>Velodrome</v>
      </c>
      <c r="AJ630" s="18">
        <f t="shared" si="203"/>
        <v>3</v>
      </c>
      <c r="AP630" s="18">
        <f t="shared" si="204"/>
        <v>0</v>
      </c>
      <c r="AQ630">
        <f t="shared" si="205"/>
        <v>0</v>
      </c>
      <c r="AR630" s="23">
        <f t="shared" si="206"/>
        <v>804</v>
      </c>
      <c r="AS630">
        <f t="shared" si="211"/>
        <v>799</v>
      </c>
      <c r="AT630" s="21">
        <f t="shared" si="212"/>
        <v>807</v>
      </c>
      <c r="AU630" s="21"/>
      <c r="AV630" s="21"/>
      <c r="AW630" s="21"/>
    </row>
    <row r="631" spans="1:49" x14ac:dyDescent="0.2">
      <c r="A631">
        <v>329</v>
      </c>
      <c r="E631">
        <f t="shared" si="207"/>
        <v>1</v>
      </c>
      <c r="F631" s="5" t="s">
        <v>533</v>
      </c>
      <c r="G631" s="5" t="s">
        <v>505</v>
      </c>
      <c r="J631" t="str">
        <f t="shared" si="214"/>
        <v>4</v>
      </c>
      <c r="K631" t="str">
        <f t="shared" si="215"/>
        <v>33</v>
      </c>
      <c r="L631" t="str">
        <f t="shared" si="216"/>
        <v/>
      </c>
      <c r="M631" s="6" t="str">
        <f t="shared" si="217"/>
        <v/>
      </c>
      <c r="N631" t="s">
        <v>179</v>
      </c>
      <c r="O631">
        <v>70</v>
      </c>
      <c r="P631" t="s">
        <v>424</v>
      </c>
      <c r="Q631" t="s">
        <v>8</v>
      </c>
      <c r="R631" t="s">
        <v>189</v>
      </c>
      <c r="S631" t="s">
        <v>70</v>
      </c>
      <c r="Y631" t="str">
        <f t="shared" si="197"/>
        <v/>
      </c>
      <c r="Z631" t="str">
        <f t="shared" si="198"/>
        <v/>
      </c>
      <c r="AC631" t="str">
        <f t="shared" si="199"/>
        <v>Pass</v>
      </c>
      <c r="AD631" t="str">
        <f t="shared" si="200"/>
        <v>Pass_Completed</v>
      </c>
      <c r="AE631" t="str">
        <f t="shared" si="201"/>
        <v>Pass-Forehand</v>
      </c>
      <c r="AF631" t="str">
        <f t="shared" si="202"/>
        <v>Offensive</v>
      </c>
      <c r="AG631">
        <f t="shared" si="208"/>
        <v>18981</v>
      </c>
      <c r="AH631" t="str">
        <f t="shared" si="209"/>
        <v>Nelson</v>
      </c>
      <c r="AI631" t="str">
        <f t="shared" si="210"/>
        <v>Velodrome</v>
      </c>
      <c r="AJ631" s="18">
        <f t="shared" si="203"/>
        <v>0</v>
      </c>
      <c r="AP631" s="18">
        <f t="shared" si="204"/>
        <v>0</v>
      </c>
      <c r="AQ631">
        <f t="shared" si="205"/>
        <v>0</v>
      </c>
      <c r="AR631" s="23">
        <f t="shared" si="206"/>
        <v>807</v>
      </c>
      <c r="AS631">
        <f t="shared" si="211"/>
        <v>802</v>
      </c>
      <c r="AT631" s="21">
        <f t="shared" si="212"/>
        <v>807</v>
      </c>
      <c r="AU631" s="21"/>
      <c r="AV631" s="21"/>
      <c r="AW631" s="21"/>
    </row>
    <row r="632" spans="1:49" x14ac:dyDescent="0.2">
      <c r="A632">
        <v>329</v>
      </c>
      <c r="E632">
        <f t="shared" si="207"/>
        <v>1</v>
      </c>
      <c r="J632" t="str">
        <f t="shared" si="214"/>
        <v>4</v>
      </c>
      <c r="K632" t="str">
        <f t="shared" si="215"/>
        <v>33</v>
      </c>
      <c r="L632" t="str">
        <f t="shared" si="216"/>
        <v/>
      </c>
      <c r="M632" s="6" t="str">
        <f t="shared" si="217"/>
        <v/>
      </c>
      <c r="N632" t="str">
        <f t="shared" si="213"/>
        <v>Away</v>
      </c>
      <c r="O632">
        <v>75</v>
      </c>
      <c r="P632" t="s">
        <v>424</v>
      </c>
      <c r="Y632" t="str">
        <f t="shared" si="197"/>
        <v/>
      </c>
      <c r="Z632" t="str">
        <f t="shared" si="198"/>
        <v/>
      </c>
      <c r="AC632" t="str">
        <f t="shared" si="199"/>
        <v>Pass</v>
      </c>
      <c r="AD632" t="str">
        <f t="shared" si="200"/>
        <v>Pass_Completed</v>
      </c>
      <c r="AE632" t="str">
        <f t="shared" si="201"/>
        <v>Pass-Forehand</v>
      </c>
      <c r="AF632" t="str">
        <f t="shared" si="202"/>
        <v>Offensive</v>
      </c>
      <c r="AG632">
        <f t="shared" si="208"/>
        <v>18981</v>
      </c>
      <c r="AH632" t="str">
        <f t="shared" si="209"/>
        <v>Nelson</v>
      </c>
      <c r="AI632" t="str">
        <f t="shared" si="210"/>
        <v>Velodrome</v>
      </c>
      <c r="AJ632" s="18">
        <f t="shared" si="203"/>
        <v>0</v>
      </c>
      <c r="AP632" s="18">
        <f t="shared" si="204"/>
        <v>0</v>
      </c>
      <c r="AQ632">
        <f t="shared" si="205"/>
        <v>0</v>
      </c>
      <c r="AR632" s="23">
        <f t="shared" si="206"/>
        <v>807</v>
      </c>
      <c r="AS632">
        <f t="shared" si="211"/>
        <v>802</v>
      </c>
      <c r="AT632" s="21">
        <f t="shared" si="212"/>
        <v>807</v>
      </c>
      <c r="AU632" s="21"/>
      <c r="AV632" s="21"/>
      <c r="AW632" s="21"/>
    </row>
    <row r="633" spans="1:49" x14ac:dyDescent="0.2">
      <c r="A633">
        <v>330</v>
      </c>
      <c r="E633">
        <f t="shared" si="207"/>
        <v>1</v>
      </c>
      <c r="F633" s="5" t="s">
        <v>533</v>
      </c>
      <c r="G633" s="5" t="s">
        <v>505</v>
      </c>
      <c r="J633" t="str">
        <f t="shared" si="214"/>
        <v>4</v>
      </c>
      <c r="K633" t="str">
        <f t="shared" si="215"/>
        <v>33</v>
      </c>
      <c r="L633" t="str">
        <f t="shared" si="216"/>
        <v/>
      </c>
      <c r="M633" s="6" t="str">
        <f t="shared" si="217"/>
        <v/>
      </c>
      <c r="N633" t="s">
        <v>179</v>
      </c>
      <c r="O633">
        <v>75</v>
      </c>
      <c r="P633" t="s">
        <v>424</v>
      </c>
      <c r="Q633" t="s">
        <v>277</v>
      </c>
      <c r="R633" t="s">
        <v>191</v>
      </c>
      <c r="S633" t="s">
        <v>447</v>
      </c>
      <c r="Y633" t="str">
        <f t="shared" si="197"/>
        <v/>
      </c>
      <c r="Z633" t="str">
        <f t="shared" si="198"/>
        <v/>
      </c>
      <c r="AC633" t="str">
        <f t="shared" si="199"/>
        <v>Zone_Entry_Exit</v>
      </c>
      <c r="AD633" t="str">
        <f t="shared" si="200"/>
        <v>Zone_Entry</v>
      </c>
      <c r="AE633" t="str">
        <f t="shared" si="201"/>
        <v>ZoneEntry-PassMiss/Misplay</v>
      </c>
      <c r="AF633" t="str">
        <f t="shared" si="202"/>
        <v>Offensive</v>
      </c>
      <c r="AG633">
        <f t="shared" si="208"/>
        <v>18981</v>
      </c>
      <c r="AH633" t="str">
        <f t="shared" si="209"/>
        <v>Nelson</v>
      </c>
      <c r="AI633" t="str">
        <f t="shared" si="210"/>
        <v>Velodrome</v>
      </c>
      <c r="AJ633" s="18">
        <f t="shared" si="203"/>
        <v>0</v>
      </c>
      <c r="AP633" s="18">
        <f t="shared" si="204"/>
        <v>0</v>
      </c>
      <c r="AQ633">
        <f t="shared" si="205"/>
        <v>0</v>
      </c>
      <c r="AR633" s="23">
        <f t="shared" si="206"/>
        <v>807</v>
      </c>
      <c r="AS633">
        <f t="shared" si="211"/>
        <v>802</v>
      </c>
      <c r="AT633" s="21">
        <f t="shared" si="212"/>
        <v>807</v>
      </c>
      <c r="AU633" s="21"/>
      <c r="AV633" s="21"/>
      <c r="AW633" s="21"/>
    </row>
    <row r="634" spans="1:49" x14ac:dyDescent="0.2">
      <c r="A634">
        <v>331</v>
      </c>
      <c r="E634">
        <f t="shared" si="207"/>
        <v>1</v>
      </c>
      <c r="F634" s="5" t="s">
        <v>533</v>
      </c>
      <c r="G634" s="5" t="s">
        <v>505</v>
      </c>
      <c r="J634" t="str">
        <f t="shared" si="214"/>
        <v>4</v>
      </c>
      <c r="K634" t="str">
        <f t="shared" si="215"/>
        <v>33</v>
      </c>
      <c r="L634" t="str">
        <f t="shared" si="216"/>
        <v/>
      </c>
      <c r="M634" s="6" t="str">
        <f t="shared" si="217"/>
        <v/>
      </c>
      <c r="N634" t="s">
        <v>179</v>
      </c>
      <c r="O634">
        <v>75</v>
      </c>
      <c r="P634" t="s">
        <v>424</v>
      </c>
      <c r="Q634" t="s">
        <v>10</v>
      </c>
      <c r="R634" t="s">
        <v>190</v>
      </c>
      <c r="S634" t="s">
        <v>440</v>
      </c>
      <c r="Y634" t="str">
        <f t="shared" si="197"/>
        <v/>
      </c>
      <c r="Z634" t="str">
        <f t="shared" si="198"/>
        <v/>
      </c>
      <c r="AC634" t="str">
        <f t="shared" si="199"/>
        <v>Turnover</v>
      </c>
      <c r="AD634" t="str">
        <f t="shared" si="200"/>
        <v>Turnover_Giveaway</v>
      </c>
      <c r="AE634" t="str">
        <f t="shared" si="201"/>
        <v>Giveaway-ZoneEntry/ExitMisplay</v>
      </c>
      <c r="AF634" t="str">
        <f t="shared" si="202"/>
        <v>Offensive</v>
      </c>
      <c r="AG634">
        <f t="shared" si="208"/>
        <v>18981</v>
      </c>
      <c r="AH634" t="str">
        <f t="shared" si="209"/>
        <v>Nelson</v>
      </c>
      <c r="AI634" t="str">
        <f t="shared" si="210"/>
        <v>Velodrome</v>
      </c>
      <c r="AJ634" s="18">
        <f t="shared" si="203"/>
        <v>0</v>
      </c>
      <c r="AP634" s="18">
        <f t="shared" si="204"/>
        <v>0</v>
      </c>
      <c r="AQ634">
        <f t="shared" si="205"/>
        <v>0</v>
      </c>
      <c r="AR634" s="23">
        <f t="shared" si="206"/>
        <v>807</v>
      </c>
      <c r="AS634">
        <f t="shared" si="211"/>
        <v>802</v>
      </c>
      <c r="AT634" s="21">
        <f t="shared" si="212"/>
        <v>807</v>
      </c>
      <c r="AU634" s="21"/>
      <c r="AV634" s="21"/>
      <c r="AW634" s="21"/>
    </row>
    <row r="635" spans="1:49" x14ac:dyDescent="0.2">
      <c r="A635">
        <v>332</v>
      </c>
      <c r="E635">
        <f t="shared" si="207"/>
        <v>1</v>
      </c>
      <c r="F635" s="5" t="s">
        <v>533</v>
      </c>
      <c r="G635" s="5" t="s">
        <v>503</v>
      </c>
      <c r="H635" s="5" t="s">
        <v>533</v>
      </c>
      <c r="I635" s="7" t="s">
        <v>500</v>
      </c>
      <c r="J635" t="str">
        <f t="shared" si="214"/>
        <v>4</v>
      </c>
      <c r="K635" t="str">
        <f t="shared" si="215"/>
        <v>31</v>
      </c>
      <c r="L635" t="str">
        <f t="shared" si="216"/>
        <v>4</v>
      </c>
      <c r="M635" s="6" t="str">
        <f t="shared" si="217"/>
        <v>28</v>
      </c>
      <c r="N635" t="s">
        <v>178</v>
      </c>
      <c r="O635">
        <v>80</v>
      </c>
      <c r="P635" t="s">
        <v>424</v>
      </c>
      <c r="Q635" t="s">
        <v>15</v>
      </c>
      <c r="Y635" t="str">
        <f t="shared" si="197"/>
        <v/>
      </c>
      <c r="Z635" t="str">
        <f t="shared" si="198"/>
        <v/>
      </c>
      <c r="AC635" t="str">
        <f t="shared" si="199"/>
        <v>Possession</v>
      </c>
      <c r="AD635" t="str">
        <f t="shared" si="200"/>
        <v/>
      </c>
      <c r="AE635" t="str">
        <f t="shared" si="201"/>
        <v/>
      </c>
      <c r="AF635" t="str">
        <f t="shared" si="202"/>
        <v>Offensive</v>
      </c>
      <c r="AG635">
        <f t="shared" si="208"/>
        <v>18981</v>
      </c>
      <c r="AH635" t="str">
        <f t="shared" si="209"/>
        <v>Nelson</v>
      </c>
      <c r="AI635" t="str">
        <f t="shared" si="210"/>
        <v>Velodrome</v>
      </c>
      <c r="AJ635" s="18">
        <f t="shared" si="203"/>
        <v>3</v>
      </c>
      <c r="AP635" s="18">
        <f t="shared" si="204"/>
        <v>0</v>
      </c>
      <c r="AQ635">
        <f t="shared" si="205"/>
        <v>0</v>
      </c>
      <c r="AR635" s="23">
        <f t="shared" si="206"/>
        <v>809</v>
      </c>
      <c r="AS635">
        <f t="shared" si="211"/>
        <v>804</v>
      </c>
      <c r="AT635" s="21">
        <f t="shared" si="212"/>
        <v>812</v>
      </c>
      <c r="AU635" s="21"/>
      <c r="AV635" s="21"/>
      <c r="AW635" s="21"/>
    </row>
    <row r="636" spans="1:49" x14ac:dyDescent="0.2">
      <c r="A636">
        <v>333</v>
      </c>
      <c r="E636">
        <f t="shared" si="207"/>
        <v>1</v>
      </c>
      <c r="F636" s="5" t="s">
        <v>533</v>
      </c>
      <c r="G636" s="5" t="s">
        <v>500</v>
      </c>
      <c r="J636" t="str">
        <f t="shared" si="214"/>
        <v>4</v>
      </c>
      <c r="K636" t="str">
        <f t="shared" si="215"/>
        <v>28</v>
      </c>
      <c r="L636" t="str">
        <f t="shared" si="216"/>
        <v/>
      </c>
      <c r="M636" s="6" t="str">
        <f t="shared" si="217"/>
        <v/>
      </c>
      <c r="N636" t="s">
        <v>178</v>
      </c>
      <c r="O636">
        <v>80</v>
      </c>
      <c r="P636" t="s">
        <v>424</v>
      </c>
      <c r="Q636" t="s">
        <v>8</v>
      </c>
      <c r="R636" t="s">
        <v>199</v>
      </c>
      <c r="S636" t="s">
        <v>70</v>
      </c>
      <c r="Y636" t="str">
        <f t="shared" si="197"/>
        <v/>
      </c>
      <c r="Z636" t="str">
        <f t="shared" si="198"/>
        <v/>
      </c>
      <c r="AC636" t="str">
        <f t="shared" si="199"/>
        <v>Pass</v>
      </c>
      <c r="AD636" t="str">
        <f t="shared" si="200"/>
        <v>Pass_Missed</v>
      </c>
      <c r="AE636" t="str">
        <f t="shared" si="201"/>
        <v>Pass-Forehand</v>
      </c>
      <c r="AF636" t="str">
        <f t="shared" si="202"/>
        <v>Offensive</v>
      </c>
      <c r="AG636">
        <f t="shared" si="208"/>
        <v>18981</v>
      </c>
      <c r="AH636" t="str">
        <f t="shared" si="209"/>
        <v>Nelson</v>
      </c>
      <c r="AI636" t="str">
        <f t="shared" si="210"/>
        <v>Velodrome</v>
      </c>
      <c r="AJ636" s="18">
        <f t="shared" si="203"/>
        <v>0</v>
      </c>
      <c r="AP636" s="18">
        <f t="shared" si="204"/>
        <v>0</v>
      </c>
      <c r="AQ636">
        <f t="shared" si="205"/>
        <v>0</v>
      </c>
      <c r="AR636" s="23">
        <f t="shared" si="206"/>
        <v>812</v>
      </c>
      <c r="AS636">
        <f t="shared" si="211"/>
        <v>807</v>
      </c>
      <c r="AT636" s="21">
        <f t="shared" si="212"/>
        <v>812</v>
      </c>
      <c r="AU636" s="21"/>
      <c r="AV636" s="21"/>
      <c r="AW636" s="21"/>
    </row>
    <row r="637" spans="1:49" x14ac:dyDescent="0.2">
      <c r="A637">
        <v>333</v>
      </c>
      <c r="E637">
        <f t="shared" si="207"/>
        <v>1</v>
      </c>
      <c r="J637" t="str">
        <f t="shared" si="214"/>
        <v>4</v>
      </c>
      <c r="K637" t="str">
        <f t="shared" si="215"/>
        <v>28</v>
      </c>
      <c r="L637" t="str">
        <f t="shared" si="216"/>
        <v/>
      </c>
      <c r="M637" s="6" t="str">
        <f t="shared" si="217"/>
        <v/>
      </c>
      <c r="N637" t="s">
        <v>178</v>
      </c>
      <c r="O637">
        <v>7</v>
      </c>
      <c r="P637" t="s">
        <v>424</v>
      </c>
      <c r="Y637" t="str">
        <f t="shared" si="197"/>
        <v/>
      </c>
      <c r="Z637" t="str">
        <f t="shared" si="198"/>
        <v/>
      </c>
      <c r="AC637" t="str">
        <f t="shared" si="199"/>
        <v>Pass</v>
      </c>
      <c r="AD637" t="str">
        <f t="shared" si="200"/>
        <v>Pass_Missed</v>
      </c>
      <c r="AE637" t="str">
        <f t="shared" si="201"/>
        <v>Pass-Forehand</v>
      </c>
      <c r="AF637" t="str">
        <f t="shared" si="202"/>
        <v>Offensive</v>
      </c>
      <c r="AG637">
        <f t="shared" si="208"/>
        <v>18981</v>
      </c>
      <c r="AH637" t="str">
        <f t="shared" si="209"/>
        <v>Nelson</v>
      </c>
      <c r="AI637" t="str">
        <f t="shared" si="210"/>
        <v>Velodrome</v>
      </c>
      <c r="AJ637" s="18">
        <f t="shared" si="203"/>
        <v>0</v>
      </c>
      <c r="AP637" s="18">
        <f t="shared" si="204"/>
        <v>0</v>
      </c>
      <c r="AQ637">
        <f t="shared" si="205"/>
        <v>0</v>
      </c>
      <c r="AR637" s="23">
        <f t="shared" si="206"/>
        <v>812</v>
      </c>
      <c r="AS637">
        <f t="shared" si="211"/>
        <v>807</v>
      </c>
      <c r="AT637" s="21">
        <f t="shared" si="212"/>
        <v>812</v>
      </c>
      <c r="AU637" s="21"/>
      <c r="AV637" s="21"/>
      <c r="AW637" s="21"/>
    </row>
    <row r="638" spans="1:49" x14ac:dyDescent="0.2">
      <c r="A638">
        <v>334</v>
      </c>
      <c r="E638">
        <f t="shared" si="207"/>
        <v>1</v>
      </c>
      <c r="F638" s="5" t="s">
        <v>533</v>
      </c>
      <c r="G638" s="5" t="s">
        <v>500</v>
      </c>
      <c r="J638" t="str">
        <f t="shared" si="214"/>
        <v>4</v>
      </c>
      <c r="K638" t="str">
        <f t="shared" si="215"/>
        <v>28</v>
      </c>
      <c r="L638" t="str">
        <f t="shared" si="216"/>
        <v/>
      </c>
      <c r="M638" s="6" t="str">
        <f t="shared" si="217"/>
        <v/>
      </c>
      <c r="N638" t="s">
        <v>178</v>
      </c>
      <c r="O638">
        <v>80</v>
      </c>
      <c r="P638" t="s">
        <v>424</v>
      </c>
      <c r="Q638" t="s">
        <v>277</v>
      </c>
      <c r="R638" t="s">
        <v>201</v>
      </c>
      <c r="S638" t="s">
        <v>433</v>
      </c>
      <c r="Y638" t="str">
        <f t="shared" si="197"/>
        <v/>
      </c>
      <c r="Z638" t="str">
        <f t="shared" si="198"/>
        <v/>
      </c>
      <c r="AC638" t="str">
        <f t="shared" si="199"/>
        <v>Zone_Entry_Exit</v>
      </c>
      <c r="AD638" t="str">
        <f t="shared" si="200"/>
        <v>Zone_Exit</v>
      </c>
      <c r="AE638" t="str">
        <f t="shared" si="201"/>
        <v>ZoneExit-PassMiss/Misplay</v>
      </c>
      <c r="AF638" t="str">
        <f t="shared" si="202"/>
        <v>Offensive</v>
      </c>
      <c r="AG638">
        <f t="shared" si="208"/>
        <v>18981</v>
      </c>
      <c r="AH638" t="str">
        <f t="shared" si="209"/>
        <v>Nelson</v>
      </c>
      <c r="AI638" t="str">
        <f t="shared" si="210"/>
        <v>Velodrome</v>
      </c>
      <c r="AJ638" s="18">
        <f t="shared" si="203"/>
        <v>0</v>
      </c>
      <c r="AP638" s="18">
        <f t="shared" si="204"/>
        <v>0</v>
      </c>
      <c r="AQ638">
        <f t="shared" si="205"/>
        <v>0</v>
      </c>
      <c r="AR638" s="23">
        <f t="shared" si="206"/>
        <v>812</v>
      </c>
      <c r="AS638">
        <f t="shared" si="211"/>
        <v>807</v>
      </c>
      <c r="AT638" s="21">
        <f t="shared" si="212"/>
        <v>812</v>
      </c>
      <c r="AU638" s="21"/>
      <c r="AV638" s="21"/>
      <c r="AW638" s="21"/>
    </row>
    <row r="639" spans="1:49" x14ac:dyDescent="0.2">
      <c r="A639">
        <v>334</v>
      </c>
      <c r="E639">
        <f t="shared" si="207"/>
        <v>1</v>
      </c>
      <c r="J639" t="str">
        <f t="shared" si="214"/>
        <v>4</v>
      </c>
      <c r="K639" t="str">
        <f t="shared" si="215"/>
        <v>28</v>
      </c>
      <c r="L639" t="str">
        <f t="shared" si="216"/>
        <v/>
      </c>
      <c r="M639" s="6" t="str">
        <f t="shared" si="217"/>
        <v/>
      </c>
      <c r="N639" t="str">
        <f t="shared" si="213"/>
        <v>Home</v>
      </c>
      <c r="O639">
        <v>7</v>
      </c>
      <c r="P639" t="s">
        <v>424</v>
      </c>
      <c r="Y639" t="str">
        <f t="shared" si="197"/>
        <v/>
      </c>
      <c r="Z639" t="str">
        <f t="shared" si="198"/>
        <v/>
      </c>
      <c r="AC639" t="str">
        <f t="shared" si="199"/>
        <v>Zone_Entry_Exit</v>
      </c>
      <c r="AD639" t="str">
        <f t="shared" si="200"/>
        <v>Zone_Exit</v>
      </c>
      <c r="AE639" t="str">
        <f t="shared" si="201"/>
        <v>ZoneExit-PassMiss/Misplay</v>
      </c>
      <c r="AF639" t="str">
        <f t="shared" si="202"/>
        <v>Offensive</v>
      </c>
      <c r="AG639">
        <f t="shared" si="208"/>
        <v>18981</v>
      </c>
      <c r="AH639" t="str">
        <f t="shared" si="209"/>
        <v>Nelson</v>
      </c>
      <c r="AI639" t="str">
        <f t="shared" si="210"/>
        <v>Velodrome</v>
      </c>
      <c r="AJ639" s="18">
        <f t="shared" si="203"/>
        <v>0</v>
      </c>
      <c r="AP639" s="18">
        <f t="shared" si="204"/>
        <v>0</v>
      </c>
      <c r="AQ639">
        <f t="shared" si="205"/>
        <v>0</v>
      </c>
      <c r="AR639" s="23">
        <f t="shared" si="206"/>
        <v>812</v>
      </c>
      <c r="AS639">
        <f t="shared" si="211"/>
        <v>807</v>
      </c>
      <c r="AT639" s="21">
        <f t="shared" si="212"/>
        <v>812</v>
      </c>
      <c r="AU639" s="21"/>
      <c r="AV639" s="21"/>
      <c r="AW639" s="21"/>
    </row>
    <row r="640" spans="1:49" x14ac:dyDescent="0.2">
      <c r="A640">
        <v>335</v>
      </c>
      <c r="E640">
        <f t="shared" si="207"/>
        <v>1</v>
      </c>
      <c r="F640" s="5" t="s">
        <v>533</v>
      </c>
      <c r="G640" s="5" t="s">
        <v>500</v>
      </c>
      <c r="J640" t="str">
        <f t="shared" si="214"/>
        <v>4</v>
      </c>
      <c r="K640" t="str">
        <f t="shared" si="215"/>
        <v>28</v>
      </c>
      <c r="L640" t="str">
        <f t="shared" si="216"/>
        <v/>
      </c>
      <c r="M640" s="6" t="str">
        <f t="shared" si="217"/>
        <v/>
      </c>
      <c r="N640" t="s">
        <v>178</v>
      </c>
      <c r="O640">
        <v>80</v>
      </c>
      <c r="P640" t="s">
        <v>424</v>
      </c>
      <c r="Q640" t="s">
        <v>277</v>
      </c>
      <c r="R640" t="s">
        <v>191</v>
      </c>
      <c r="S640" t="s">
        <v>432</v>
      </c>
      <c r="Y640" t="str">
        <f t="shared" si="197"/>
        <v/>
      </c>
      <c r="Z640" t="str">
        <f t="shared" si="198"/>
        <v/>
      </c>
      <c r="AC640" t="str">
        <f t="shared" si="199"/>
        <v>Zone_Entry_Exit</v>
      </c>
      <c r="AD640" t="str">
        <f t="shared" si="200"/>
        <v>Zone_Entry</v>
      </c>
      <c r="AE640" t="str">
        <f t="shared" si="201"/>
        <v>ZoneEntry-FromExitClear</v>
      </c>
      <c r="AF640" t="str">
        <f t="shared" si="202"/>
        <v>Offensive</v>
      </c>
      <c r="AG640">
        <f t="shared" si="208"/>
        <v>18981</v>
      </c>
      <c r="AH640" t="str">
        <f t="shared" si="209"/>
        <v>Nelson</v>
      </c>
      <c r="AI640" t="str">
        <f t="shared" si="210"/>
        <v>Velodrome</v>
      </c>
      <c r="AJ640" s="18">
        <f t="shared" si="203"/>
        <v>0</v>
      </c>
      <c r="AP640" s="18">
        <f t="shared" si="204"/>
        <v>0</v>
      </c>
      <c r="AQ640">
        <f t="shared" si="205"/>
        <v>0</v>
      </c>
      <c r="AR640" s="23">
        <f t="shared" si="206"/>
        <v>812</v>
      </c>
      <c r="AS640">
        <f t="shared" si="211"/>
        <v>807</v>
      </c>
      <c r="AT640" s="21">
        <f t="shared" si="212"/>
        <v>812</v>
      </c>
      <c r="AU640" s="21"/>
      <c r="AV640" s="21"/>
      <c r="AW640" s="21"/>
    </row>
    <row r="641" spans="1:49" x14ac:dyDescent="0.2">
      <c r="A641">
        <v>336</v>
      </c>
      <c r="E641">
        <f t="shared" si="207"/>
        <v>1</v>
      </c>
      <c r="F641" s="5" t="s">
        <v>533</v>
      </c>
      <c r="G641" s="5" t="s">
        <v>500</v>
      </c>
      <c r="J641" t="str">
        <f t="shared" si="214"/>
        <v>4</v>
      </c>
      <c r="K641" t="str">
        <f t="shared" si="215"/>
        <v>28</v>
      </c>
      <c r="L641" t="str">
        <f t="shared" si="216"/>
        <v/>
      </c>
      <c r="M641" s="6" t="str">
        <f t="shared" si="217"/>
        <v/>
      </c>
      <c r="N641" t="s">
        <v>178</v>
      </c>
      <c r="O641">
        <v>80</v>
      </c>
      <c r="P641" t="s">
        <v>424</v>
      </c>
      <c r="Q641" t="s">
        <v>10</v>
      </c>
      <c r="R641" t="s">
        <v>190</v>
      </c>
      <c r="S641" t="s">
        <v>76</v>
      </c>
      <c r="Y641" t="str">
        <f t="shared" si="197"/>
        <v/>
      </c>
      <c r="Z641" t="str">
        <f t="shared" si="198"/>
        <v/>
      </c>
      <c r="AC641" t="str">
        <f t="shared" si="199"/>
        <v>Turnover</v>
      </c>
      <c r="AD641" t="str">
        <f t="shared" si="200"/>
        <v>Turnover_Giveaway</v>
      </c>
      <c r="AE641" t="str">
        <f t="shared" si="201"/>
        <v>Giveaway-PassMissed</v>
      </c>
      <c r="AF641" t="str">
        <f t="shared" si="202"/>
        <v>Offensive</v>
      </c>
      <c r="AG641">
        <f t="shared" si="208"/>
        <v>18981</v>
      </c>
      <c r="AH641" t="str">
        <f t="shared" si="209"/>
        <v>Nelson</v>
      </c>
      <c r="AI641" t="str">
        <f t="shared" si="210"/>
        <v>Velodrome</v>
      </c>
      <c r="AJ641" s="18">
        <f t="shared" si="203"/>
        <v>0</v>
      </c>
      <c r="AP641" s="18">
        <f t="shared" si="204"/>
        <v>0</v>
      </c>
      <c r="AQ641">
        <f t="shared" si="205"/>
        <v>0</v>
      </c>
      <c r="AR641" s="23">
        <f t="shared" si="206"/>
        <v>812</v>
      </c>
      <c r="AS641">
        <f t="shared" si="211"/>
        <v>807</v>
      </c>
      <c r="AT641" s="21">
        <f t="shared" si="212"/>
        <v>812</v>
      </c>
      <c r="AU641" s="21"/>
      <c r="AV641" s="21"/>
      <c r="AW641" s="21"/>
    </row>
    <row r="642" spans="1:49" x14ac:dyDescent="0.2">
      <c r="A642">
        <v>337</v>
      </c>
      <c r="E642">
        <f t="shared" si="207"/>
        <v>1</v>
      </c>
      <c r="F642" s="5" t="s">
        <v>533</v>
      </c>
      <c r="G642" s="5" t="s">
        <v>497</v>
      </c>
      <c r="J642" t="str">
        <f t="shared" si="214"/>
        <v>4</v>
      </c>
      <c r="K642" t="str">
        <f t="shared" si="215"/>
        <v>25</v>
      </c>
      <c r="L642" t="str">
        <f t="shared" si="216"/>
        <v/>
      </c>
      <c r="M642" s="6" t="str">
        <f t="shared" si="217"/>
        <v/>
      </c>
      <c r="N642" t="s">
        <v>179</v>
      </c>
      <c r="O642">
        <v>93</v>
      </c>
      <c r="P642" t="s">
        <v>424</v>
      </c>
      <c r="Q642" t="s">
        <v>8</v>
      </c>
      <c r="R642" t="s">
        <v>199</v>
      </c>
      <c r="S642" t="s">
        <v>70</v>
      </c>
      <c r="Y642" t="str">
        <f t="shared" si="197"/>
        <v/>
      </c>
      <c r="Z642" t="str">
        <f t="shared" si="198"/>
        <v/>
      </c>
      <c r="AC642" t="str">
        <f t="shared" si="199"/>
        <v>Pass</v>
      </c>
      <c r="AD642" t="str">
        <f t="shared" si="200"/>
        <v>Pass_Missed</v>
      </c>
      <c r="AE642" t="str">
        <f t="shared" si="201"/>
        <v>Pass-Forehand</v>
      </c>
      <c r="AF642" t="str">
        <f t="shared" si="202"/>
        <v>Offensive</v>
      </c>
      <c r="AG642">
        <f t="shared" si="208"/>
        <v>18981</v>
      </c>
      <c r="AH642" t="str">
        <f t="shared" si="209"/>
        <v>Nelson</v>
      </c>
      <c r="AI642" t="str">
        <f t="shared" si="210"/>
        <v>Velodrome</v>
      </c>
      <c r="AJ642" s="18">
        <f t="shared" si="203"/>
        <v>0</v>
      </c>
      <c r="AP642" s="18">
        <f t="shared" si="204"/>
        <v>0</v>
      </c>
      <c r="AQ642">
        <f t="shared" si="205"/>
        <v>0</v>
      </c>
      <c r="AR642" s="23">
        <f t="shared" si="206"/>
        <v>815</v>
      </c>
      <c r="AS642">
        <f t="shared" si="211"/>
        <v>810</v>
      </c>
      <c r="AT642" s="21">
        <f t="shared" si="212"/>
        <v>815</v>
      </c>
      <c r="AU642" s="21"/>
      <c r="AV642" s="21"/>
      <c r="AW642" s="21"/>
    </row>
    <row r="643" spans="1:49" x14ac:dyDescent="0.2">
      <c r="A643">
        <v>337</v>
      </c>
      <c r="E643">
        <f t="shared" si="207"/>
        <v>1</v>
      </c>
      <c r="J643" t="str">
        <f t="shared" si="214"/>
        <v>4</v>
      </c>
      <c r="K643" t="str">
        <f t="shared" si="215"/>
        <v>25</v>
      </c>
      <c r="L643" t="str">
        <f t="shared" si="216"/>
        <v/>
      </c>
      <c r="M643" s="6" t="str">
        <f t="shared" si="217"/>
        <v/>
      </c>
      <c r="N643" t="str">
        <f t="shared" si="213"/>
        <v>Away</v>
      </c>
      <c r="O643">
        <v>87</v>
      </c>
      <c r="P643" t="s">
        <v>424</v>
      </c>
      <c r="Y643" t="str">
        <f t="shared" ref="Y643:Y706" si="218">IF($N643="","",IF(X643="","",IF($N643="Home",$X643,IF($X643="n","n",IF($X643="d","o",IF($X643="o","d",""))))))</f>
        <v/>
      </c>
      <c r="Z643" t="str">
        <f t="shared" ref="Z643:Z706" si="219">IF($N643="","",IF(X643="","",IF($N643="Away",$X643,IF($X643="n","n",IF($X643="d","o",IF($X643="o","d",""))))))</f>
        <v/>
      </c>
      <c r="AC643" t="str">
        <f t="shared" ref="AC643:AC706" si="220">IF(Q643&lt;&gt;"",Q643,IF($A643=$A642,AC642,""))</f>
        <v>Pass</v>
      </c>
      <c r="AD643" t="str">
        <f t="shared" ref="AD643:AD706" si="221">IF(R643&lt;&gt;"",R643,IF($A643=$A642,AD642,""))</f>
        <v>Pass_Missed</v>
      </c>
      <c r="AE643" t="str">
        <f t="shared" ref="AE643:AE706" si="222">IF(S643&lt;&gt;"",S643,IF($A643=$A642,AE642,""))</f>
        <v>Pass-Forehand</v>
      </c>
      <c r="AF643" t="str">
        <f t="shared" ref="AF643:AF706" si="223">IF(AND(P643="e",OR(AC643="Save",AD643="Turnover_Takeaway",AD643="Play_Defensive")),"Defensive",IF(AND(P643="o",OR(AC643="Save",AD643="Turnover_Takeaway",AD643="Play_Defensive")),"Offensive",IF(OR(AC643="Deadice",AC643="Stoppage",AC643="Intermission"),"",IF(P643="e","Offensive",IF(P643="o","Defensive","")))))</f>
        <v>Offensive</v>
      </c>
      <c r="AG643">
        <f t="shared" si="208"/>
        <v>18981</v>
      </c>
      <c r="AH643" t="str">
        <f t="shared" si="209"/>
        <v>Nelson</v>
      </c>
      <c r="AI643" t="str">
        <f t="shared" si="210"/>
        <v>Velodrome</v>
      </c>
      <c r="AJ643" s="18">
        <f t="shared" ref="AJ643:AJ706" si="224">IF(AND(L643="",M643=""),0,((J643*60)+K643)-((L643*60)+M643))</f>
        <v>0</v>
      </c>
      <c r="AP643" s="18">
        <f t="shared" ref="AP643:AP706" si="225">SUMIFS(AJ643:AJ643,Q643:Q643,"=Intermission")</f>
        <v>0</v>
      </c>
      <c r="AQ643">
        <f t="shared" ref="AQ643:AQ706" si="226">IF(E643=1,0,IF(E643=2,1080+AP643,IF(E643=3,(1080*2)+AP643,0)))</f>
        <v>0</v>
      </c>
      <c r="AR643" s="23">
        <f t="shared" ref="AR643:AR706" si="227">IF(Q643="Intermission",AR642,((1080)-((J643*60)+K643))+AQ643)</f>
        <v>815</v>
      </c>
      <c r="AS643">
        <f t="shared" si="211"/>
        <v>810</v>
      </c>
      <c r="AT643" s="21">
        <f t="shared" si="212"/>
        <v>815</v>
      </c>
      <c r="AU643" s="21"/>
      <c r="AV643" s="21"/>
      <c r="AW643" s="21"/>
    </row>
    <row r="644" spans="1:49" x14ac:dyDescent="0.2">
      <c r="A644">
        <v>338</v>
      </c>
      <c r="E644">
        <f t="shared" ref="E644:E707" si="228">IF(Q644="Intermission",E643+1,E643)</f>
        <v>1</v>
      </c>
      <c r="F644" s="5" t="s">
        <v>533</v>
      </c>
      <c r="G644" s="5" t="s">
        <v>497</v>
      </c>
      <c r="J644" t="str">
        <f t="shared" si="214"/>
        <v>4</v>
      </c>
      <c r="K644" t="str">
        <f t="shared" si="215"/>
        <v>25</v>
      </c>
      <c r="L644" t="str">
        <f t="shared" si="216"/>
        <v/>
      </c>
      <c r="M644" s="6" t="str">
        <f t="shared" si="217"/>
        <v/>
      </c>
      <c r="N644" t="s">
        <v>179</v>
      </c>
      <c r="O644">
        <v>93</v>
      </c>
      <c r="P644" t="s">
        <v>424</v>
      </c>
      <c r="Q644" t="s">
        <v>277</v>
      </c>
      <c r="R644" t="s">
        <v>201</v>
      </c>
      <c r="S644" t="s">
        <v>433</v>
      </c>
      <c r="Y644" t="str">
        <f t="shared" si="218"/>
        <v/>
      </c>
      <c r="Z644" t="str">
        <f t="shared" si="219"/>
        <v/>
      </c>
      <c r="AC644" t="str">
        <f t="shared" si="220"/>
        <v>Zone_Entry_Exit</v>
      </c>
      <c r="AD644" t="str">
        <f t="shared" si="221"/>
        <v>Zone_Exit</v>
      </c>
      <c r="AE644" t="str">
        <f t="shared" si="222"/>
        <v>ZoneExit-PassMiss/Misplay</v>
      </c>
      <c r="AF644" t="str">
        <f t="shared" si="223"/>
        <v>Offensive</v>
      </c>
      <c r="AG644">
        <f t="shared" ref="AG644:AG707" si="229">AG643</f>
        <v>18981</v>
      </c>
      <c r="AH644" t="str">
        <f t="shared" ref="AH644:AH707" si="230">AH643</f>
        <v>Nelson</v>
      </c>
      <c r="AI644" t="str">
        <f t="shared" ref="AI644:AI707" si="231">AI643</f>
        <v>Velodrome</v>
      </c>
      <c r="AJ644" s="18">
        <f t="shared" si="224"/>
        <v>0</v>
      </c>
      <c r="AP644" s="18">
        <f t="shared" si="225"/>
        <v>0</v>
      </c>
      <c r="AQ644">
        <f t="shared" si="226"/>
        <v>0</v>
      </c>
      <c r="AR644" s="23">
        <f t="shared" si="227"/>
        <v>815</v>
      </c>
      <c r="AS644">
        <f t="shared" ref="AS644:AS707" si="232">IF(AR644&lt;5,0,AR644-5)</f>
        <v>810</v>
      </c>
      <c r="AT644" s="21">
        <f t="shared" ref="AT644:AT707" si="233">AS644+AJ644+5</f>
        <v>815</v>
      </c>
      <c r="AU644" s="21"/>
      <c r="AV644" s="21"/>
      <c r="AW644" s="21"/>
    </row>
    <row r="645" spans="1:49" x14ac:dyDescent="0.2">
      <c r="A645">
        <v>338</v>
      </c>
      <c r="E645">
        <f t="shared" si="228"/>
        <v>1</v>
      </c>
      <c r="J645" t="str">
        <f t="shared" si="214"/>
        <v>4</v>
      </c>
      <c r="K645" t="str">
        <f t="shared" si="215"/>
        <v>25</v>
      </c>
      <c r="L645" t="str">
        <f t="shared" si="216"/>
        <v/>
      </c>
      <c r="M645" s="6" t="str">
        <f t="shared" si="217"/>
        <v/>
      </c>
      <c r="N645" t="str">
        <f t="shared" si="213"/>
        <v>Away</v>
      </c>
      <c r="O645">
        <v>87</v>
      </c>
      <c r="P645" t="s">
        <v>424</v>
      </c>
      <c r="Y645" t="str">
        <f t="shared" si="218"/>
        <v/>
      </c>
      <c r="Z645" t="str">
        <f t="shared" si="219"/>
        <v/>
      </c>
      <c r="AC645" t="str">
        <f t="shared" si="220"/>
        <v>Zone_Entry_Exit</v>
      </c>
      <c r="AD645" t="str">
        <f t="shared" si="221"/>
        <v>Zone_Exit</v>
      </c>
      <c r="AE645" t="str">
        <f t="shared" si="222"/>
        <v>ZoneExit-PassMiss/Misplay</v>
      </c>
      <c r="AF645" t="str">
        <f t="shared" si="223"/>
        <v>Offensive</v>
      </c>
      <c r="AG645">
        <f t="shared" si="229"/>
        <v>18981</v>
      </c>
      <c r="AH645" t="str">
        <f t="shared" si="230"/>
        <v>Nelson</v>
      </c>
      <c r="AI645" t="str">
        <f t="shared" si="231"/>
        <v>Velodrome</v>
      </c>
      <c r="AJ645" s="18">
        <f t="shared" si="224"/>
        <v>0</v>
      </c>
      <c r="AP645" s="18">
        <f t="shared" si="225"/>
        <v>0</v>
      </c>
      <c r="AQ645">
        <f t="shared" si="226"/>
        <v>0</v>
      </c>
      <c r="AR645" s="23">
        <f t="shared" si="227"/>
        <v>815</v>
      </c>
      <c r="AS645">
        <f t="shared" si="232"/>
        <v>810</v>
      </c>
      <c r="AT645" s="21">
        <f t="shared" si="233"/>
        <v>815</v>
      </c>
      <c r="AU645" s="21"/>
      <c r="AV645" s="21"/>
      <c r="AW645" s="21"/>
    </row>
    <row r="646" spans="1:49" x14ac:dyDescent="0.2">
      <c r="A646">
        <v>339</v>
      </c>
      <c r="E646">
        <f t="shared" si="228"/>
        <v>1</v>
      </c>
      <c r="F646" s="5" t="s">
        <v>533</v>
      </c>
      <c r="G646" s="5" t="s">
        <v>494</v>
      </c>
      <c r="J646" t="str">
        <f t="shared" si="214"/>
        <v>4</v>
      </c>
      <c r="K646" t="str">
        <f t="shared" si="215"/>
        <v>22</v>
      </c>
      <c r="L646" t="str">
        <f t="shared" si="216"/>
        <v/>
      </c>
      <c r="M646" s="6" t="str">
        <f t="shared" si="217"/>
        <v/>
      </c>
      <c r="N646" t="s">
        <v>179</v>
      </c>
      <c r="O646">
        <v>93</v>
      </c>
      <c r="P646" t="s">
        <v>424</v>
      </c>
      <c r="Q646" t="s">
        <v>277</v>
      </c>
      <c r="R646" t="s">
        <v>191</v>
      </c>
      <c r="S646" t="s">
        <v>432</v>
      </c>
      <c r="Y646" t="str">
        <f t="shared" si="218"/>
        <v/>
      </c>
      <c r="Z646" t="str">
        <f t="shared" si="219"/>
        <v/>
      </c>
      <c r="AC646" t="str">
        <f t="shared" si="220"/>
        <v>Zone_Entry_Exit</v>
      </c>
      <c r="AD646" t="str">
        <f t="shared" si="221"/>
        <v>Zone_Entry</v>
      </c>
      <c r="AE646" t="str">
        <f t="shared" si="222"/>
        <v>ZoneEntry-FromExitClear</v>
      </c>
      <c r="AF646" t="str">
        <f t="shared" si="223"/>
        <v>Offensive</v>
      </c>
      <c r="AG646">
        <f t="shared" si="229"/>
        <v>18981</v>
      </c>
      <c r="AH646" t="str">
        <f t="shared" si="230"/>
        <v>Nelson</v>
      </c>
      <c r="AI646" t="str">
        <f t="shared" si="231"/>
        <v>Velodrome</v>
      </c>
      <c r="AJ646" s="18">
        <f t="shared" si="224"/>
        <v>0</v>
      </c>
      <c r="AP646" s="18">
        <f t="shared" si="225"/>
        <v>0</v>
      </c>
      <c r="AQ646">
        <f t="shared" si="226"/>
        <v>0</v>
      </c>
      <c r="AR646" s="23">
        <f t="shared" si="227"/>
        <v>818</v>
      </c>
      <c r="AS646">
        <f t="shared" si="232"/>
        <v>813</v>
      </c>
      <c r="AT646" s="21">
        <f t="shared" si="233"/>
        <v>818</v>
      </c>
      <c r="AU646" s="21"/>
      <c r="AV646" s="21"/>
      <c r="AW646" s="21"/>
    </row>
    <row r="647" spans="1:49" x14ac:dyDescent="0.2">
      <c r="A647">
        <v>340</v>
      </c>
      <c r="E647">
        <f t="shared" si="228"/>
        <v>1</v>
      </c>
      <c r="F647" s="5" t="s">
        <v>533</v>
      </c>
      <c r="G647" s="5" t="s">
        <v>490</v>
      </c>
      <c r="J647" t="str">
        <f t="shared" si="214"/>
        <v>4</v>
      </c>
      <c r="K647" t="str">
        <f t="shared" si="215"/>
        <v>18</v>
      </c>
      <c r="L647" t="str">
        <f t="shared" si="216"/>
        <v/>
      </c>
      <c r="M647" s="6" t="str">
        <f t="shared" si="217"/>
        <v/>
      </c>
      <c r="N647" t="s">
        <v>178</v>
      </c>
      <c r="O647">
        <v>8</v>
      </c>
      <c r="P647" t="s">
        <v>424</v>
      </c>
      <c r="Q647" t="s">
        <v>277</v>
      </c>
      <c r="R647" t="s">
        <v>201</v>
      </c>
      <c r="S647" t="s">
        <v>92</v>
      </c>
      <c r="Y647" t="str">
        <f t="shared" si="218"/>
        <v/>
      </c>
      <c r="Z647" t="str">
        <f t="shared" si="219"/>
        <v/>
      </c>
      <c r="AC647" t="str">
        <f t="shared" si="220"/>
        <v>Zone_Entry_Exit</v>
      </c>
      <c r="AD647" t="str">
        <f t="shared" si="221"/>
        <v>Zone_Exit</v>
      </c>
      <c r="AE647" t="str">
        <f t="shared" si="222"/>
        <v>ZoneExit-Clear</v>
      </c>
      <c r="AF647" t="str">
        <f t="shared" si="223"/>
        <v>Offensive</v>
      </c>
      <c r="AG647">
        <f t="shared" si="229"/>
        <v>18981</v>
      </c>
      <c r="AH647" t="str">
        <f t="shared" si="230"/>
        <v>Nelson</v>
      </c>
      <c r="AI647" t="str">
        <f t="shared" si="231"/>
        <v>Velodrome</v>
      </c>
      <c r="AJ647" s="18">
        <f t="shared" si="224"/>
        <v>0</v>
      </c>
      <c r="AP647" s="18">
        <f t="shared" si="225"/>
        <v>0</v>
      </c>
      <c r="AQ647">
        <f t="shared" si="226"/>
        <v>0</v>
      </c>
      <c r="AR647" s="23">
        <f t="shared" si="227"/>
        <v>822</v>
      </c>
      <c r="AS647">
        <f t="shared" si="232"/>
        <v>817</v>
      </c>
      <c r="AT647" s="21">
        <f t="shared" si="233"/>
        <v>822</v>
      </c>
      <c r="AU647" s="21"/>
      <c r="AV647" s="21"/>
      <c r="AW647" s="21"/>
    </row>
    <row r="648" spans="1:49" x14ac:dyDescent="0.2">
      <c r="A648">
        <v>340</v>
      </c>
      <c r="E648">
        <f t="shared" si="228"/>
        <v>1</v>
      </c>
      <c r="J648" t="str">
        <f t="shared" si="214"/>
        <v>4</v>
      </c>
      <c r="K648" t="str">
        <f t="shared" si="215"/>
        <v>18</v>
      </c>
      <c r="L648" t="str">
        <f t="shared" si="216"/>
        <v/>
      </c>
      <c r="M648" s="6" t="str">
        <f t="shared" si="217"/>
        <v/>
      </c>
      <c r="N648" t="str">
        <f t="shared" ref="N648:N708" si="234">IF(A648=A647,N647,"")</f>
        <v>Home</v>
      </c>
      <c r="O648">
        <v>87</v>
      </c>
      <c r="P648" t="s">
        <v>425</v>
      </c>
      <c r="Y648" t="str">
        <f t="shared" si="218"/>
        <v/>
      </c>
      <c r="Z648" t="str">
        <f t="shared" si="219"/>
        <v/>
      </c>
      <c r="AC648" t="str">
        <f t="shared" si="220"/>
        <v>Zone_Entry_Exit</v>
      </c>
      <c r="AD648" t="str">
        <f t="shared" si="221"/>
        <v>Zone_Exit</v>
      </c>
      <c r="AE648" t="str">
        <f t="shared" si="222"/>
        <v>ZoneExit-Clear</v>
      </c>
      <c r="AF648" t="str">
        <f t="shared" si="223"/>
        <v>Defensive</v>
      </c>
      <c r="AG648">
        <f t="shared" si="229"/>
        <v>18981</v>
      </c>
      <c r="AH648" t="str">
        <f t="shared" si="230"/>
        <v>Nelson</v>
      </c>
      <c r="AI648" t="str">
        <f t="shared" si="231"/>
        <v>Velodrome</v>
      </c>
      <c r="AJ648" s="18">
        <f t="shared" si="224"/>
        <v>0</v>
      </c>
      <c r="AP648" s="18">
        <f t="shared" si="225"/>
        <v>0</v>
      </c>
      <c r="AQ648">
        <f t="shared" si="226"/>
        <v>0</v>
      </c>
      <c r="AR648" s="23">
        <f t="shared" si="227"/>
        <v>822</v>
      </c>
      <c r="AS648">
        <f t="shared" si="232"/>
        <v>817</v>
      </c>
      <c r="AT648" s="21">
        <f t="shared" si="233"/>
        <v>822</v>
      </c>
      <c r="AU648" s="21"/>
      <c r="AV648" s="21"/>
      <c r="AW648" s="21"/>
    </row>
    <row r="649" spans="1:49" x14ac:dyDescent="0.2">
      <c r="A649">
        <v>341</v>
      </c>
      <c r="E649">
        <f t="shared" si="228"/>
        <v>1</v>
      </c>
      <c r="F649" s="5" t="s">
        <v>533</v>
      </c>
      <c r="G649" s="5" t="s">
        <v>490</v>
      </c>
      <c r="J649" t="str">
        <f t="shared" ref="J649:J712" si="235">IF(F649&lt;&gt;"",F649,IF($A649=$A648,J648,J649))</f>
        <v>4</v>
      </c>
      <c r="K649" t="str">
        <f t="shared" ref="K649:K712" si="236">IF($A649=$A648,K648,G649)</f>
        <v>18</v>
      </c>
      <c r="L649" t="str">
        <f t="shared" ref="L649:L712" si="237">IF(H649&lt;&gt;"",H649,IF($A649=$A648,L648,""))</f>
        <v/>
      </c>
      <c r="M649" s="6" t="str">
        <f t="shared" ref="M649:M712" si="238">IF(I649&lt;&gt;"",I649,IF($A649=$A648,M648,""))</f>
        <v/>
      </c>
      <c r="N649" t="s">
        <v>178</v>
      </c>
      <c r="O649">
        <v>8</v>
      </c>
      <c r="P649" t="s">
        <v>424</v>
      </c>
      <c r="Q649" t="s">
        <v>277</v>
      </c>
      <c r="R649" t="s">
        <v>191</v>
      </c>
      <c r="S649" t="s">
        <v>432</v>
      </c>
      <c r="Y649" t="str">
        <f t="shared" si="218"/>
        <v/>
      </c>
      <c r="Z649" t="str">
        <f t="shared" si="219"/>
        <v/>
      </c>
      <c r="AC649" t="str">
        <f t="shared" si="220"/>
        <v>Zone_Entry_Exit</v>
      </c>
      <c r="AD649" t="str">
        <f t="shared" si="221"/>
        <v>Zone_Entry</v>
      </c>
      <c r="AE649" t="str">
        <f t="shared" si="222"/>
        <v>ZoneEntry-FromExitClear</v>
      </c>
      <c r="AF649" t="str">
        <f t="shared" si="223"/>
        <v>Offensive</v>
      </c>
      <c r="AG649">
        <f t="shared" si="229"/>
        <v>18981</v>
      </c>
      <c r="AH649" t="str">
        <f t="shared" si="230"/>
        <v>Nelson</v>
      </c>
      <c r="AI649" t="str">
        <f t="shared" si="231"/>
        <v>Velodrome</v>
      </c>
      <c r="AJ649" s="18">
        <f t="shared" si="224"/>
        <v>0</v>
      </c>
      <c r="AP649" s="18">
        <f t="shared" si="225"/>
        <v>0</v>
      </c>
      <c r="AQ649">
        <f t="shared" si="226"/>
        <v>0</v>
      </c>
      <c r="AR649" s="23">
        <f t="shared" si="227"/>
        <v>822</v>
      </c>
      <c r="AS649">
        <f t="shared" si="232"/>
        <v>817</v>
      </c>
      <c r="AT649" s="21">
        <f t="shared" si="233"/>
        <v>822</v>
      </c>
      <c r="AU649" s="21"/>
      <c r="AV649" s="21"/>
      <c r="AW649" s="21"/>
    </row>
    <row r="650" spans="1:49" x14ac:dyDescent="0.2">
      <c r="A650">
        <v>342</v>
      </c>
      <c r="E650">
        <f t="shared" si="228"/>
        <v>1</v>
      </c>
      <c r="F650" s="5" t="s">
        <v>533</v>
      </c>
      <c r="G650" s="5" t="s">
        <v>486</v>
      </c>
      <c r="J650" t="str">
        <f t="shared" si="235"/>
        <v>4</v>
      </c>
      <c r="K650" t="str">
        <f t="shared" si="236"/>
        <v>11</v>
      </c>
      <c r="L650" t="str">
        <f t="shared" si="237"/>
        <v/>
      </c>
      <c r="M650" s="6" t="str">
        <f t="shared" si="238"/>
        <v/>
      </c>
      <c r="N650" t="s">
        <v>178</v>
      </c>
      <c r="O650">
        <v>8</v>
      </c>
      <c r="P650" t="s">
        <v>424</v>
      </c>
      <c r="Q650" t="s">
        <v>10</v>
      </c>
      <c r="R650" t="s">
        <v>190</v>
      </c>
      <c r="S650" t="s">
        <v>411</v>
      </c>
      <c r="Y650" t="str">
        <f t="shared" si="218"/>
        <v/>
      </c>
      <c r="Z650" t="str">
        <f t="shared" si="219"/>
        <v/>
      </c>
      <c r="AC650" t="str">
        <f t="shared" si="220"/>
        <v>Turnover</v>
      </c>
      <c r="AD650" t="str">
        <f t="shared" si="221"/>
        <v>Turnover_Giveaway</v>
      </c>
      <c r="AE650" t="str">
        <f t="shared" si="222"/>
        <v>Giveaway-ZoneClear/Dump</v>
      </c>
      <c r="AF650" t="str">
        <f t="shared" si="223"/>
        <v>Offensive</v>
      </c>
      <c r="AG650">
        <f t="shared" si="229"/>
        <v>18981</v>
      </c>
      <c r="AH650" t="str">
        <f t="shared" si="230"/>
        <v>Nelson</v>
      </c>
      <c r="AI650" t="str">
        <f t="shared" si="231"/>
        <v>Velodrome</v>
      </c>
      <c r="AJ650" s="18">
        <f t="shared" si="224"/>
        <v>0</v>
      </c>
      <c r="AP650" s="18">
        <f t="shared" si="225"/>
        <v>0</v>
      </c>
      <c r="AQ650">
        <f t="shared" si="226"/>
        <v>0</v>
      </c>
      <c r="AR650" s="23">
        <f t="shared" si="227"/>
        <v>829</v>
      </c>
      <c r="AS650">
        <f t="shared" si="232"/>
        <v>824</v>
      </c>
      <c r="AT650" s="21">
        <f t="shared" si="233"/>
        <v>829</v>
      </c>
      <c r="AU650" s="21"/>
      <c r="AV650" s="21"/>
      <c r="AW650" s="21"/>
    </row>
    <row r="651" spans="1:49" x14ac:dyDescent="0.2">
      <c r="A651">
        <v>343</v>
      </c>
      <c r="E651">
        <f t="shared" si="228"/>
        <v>1</v>
      </c>
      <c r="F651" s="5" t="s">
        <v>533</v>
      </c>
      <c r="G651" s="5" t="s">
        <v>486</v>
      </c>
      <c r="H651" s="5" t="s">
        <v>533</v>
      </c>
      <c r="I651" s="7" t="s">
        <v>484</v>
      </c>
      <c r="J651" t="str">
        <f t="shared" si="235"/>
        <v>4</v>
      </c>
      <c r="K651" t="str">
        <f t="shared" si="236"/>
        <v>11</v>
      </c>
      <c r="L651" t="str">
        <f t="shared" si="237"/>
        <v>4</v>
      </c>
      <c r="M651" s="6" t="str">
        <f t="shared" si="238"/>
        <v>09</v>
      </c>
      <c r="N651" t="s">
        <v>179</v>
      </c>
      <c r="O651">
        <v>84</v>
      </c>
      <c r="P651" t="s">
        <v>424</v>
      </c>
      <c r="Q651" t="s">
        <v>15</v>
      </c>
      <c r="Y651" t="str">
        <f t="shared" si="218"/>
        <v/>
      </c>
      <c r="Z651" t="str">
        <f t="shared" si="219"/>
        <v/>
      </c>
      <c r="AC651" t="str">
        <f t="shared" si="220"/>
        <v>Possession</v>
      </c>
      <c r="AD651" t="str">
        <f t="shared" si="221"/>
        <v/>
      </c>
      <c r="AE651" t="str">
        <f t="shared" si="222"/>
        <v/>
      </c>
      <c r="AF651" t="str">
        <f t="shared" si="223"/>
        <v>Offensive</v>
      </c>
      <c r="AG651">
        <f t="shared" si="229"/>
        <v>18981</v>
      </c>
      <c r="AH651" t="str">
        <f t="shared" si="230"/>
        <v>Nelson</v>
      </c>
      <c r="AI651" t="str">
        <f t="shared" si="231"/>
        <v>Velodrome</v>
      </c>
      <c r="AJ651" s="18">
        <f t="shared" si="224"/>
        <v>2</v>
      </c>
      <c r="AP651" s="18">
        <f t="shared" si="225"/>
        <v>0</v>
      </c>
      <c r="AQ651">
        <f t="shared" si="226"/>
        <v>0</v>
      </c>
      <c r="AR651" s="23">
        <f t="shared" si="227"/>
        <v>829</v>
      </c>
      <c r="AS651">
        <f t="shared" si="232"/>
        <v>824</v>
      </c>
      <c r="AT651" s="21">
        <f t="shared" si="233"/>
        <v>831</v>
      </c>
      <c r="AU651" s="21"/>
      <c r="AV651" s="21"/>
      <c r="AW651" s="21"/>
    </row>
    <row r="652" spans="1:49" x14ac:dyDescent="0.2">
      <c r="A652">
        <v>345</v>
      </c>
      <c r="E652">
        <f t="shared" si="228"/>
        <v>1</v>
      </c>
      <c r="F652" s="5" t="s">
        <v>533</v>
      </c>
      <c r="G652" s="5" t="s">
        <v>484</v>
      </c>
      <c r="J652" t="str">
        <f t="shared" si="235"/>
        <v>4</v>
      </c>
      <c r="K652" t="str">
        <f t="shared" si="236"/>
        <v>09</v>
      </c>
      <c r="L652" t="str">
        <f t="shared" si="237"/>
        <v/>
      </c>
      <c r="M652" s="6" t="str">
        <f t="shared" si="238"/>
        <v/>
      </c>
      <c r="N652" t="s">
        <v>179</v>
      </c>
      <c r="O652">
        <v>84</v>
      </c>
      <c r="P652" t="s">
        <v>424</v>
      </c>
      <c r="Q652" t="s">
        <v>10</v>
      </c>
      <c r="R652" t="s">
        <v>190</v>
      </c>
      <c r="S652" t="s">
        <v>422</v>
      </c>
      <c r="Y652" t="str">
        <f t="shared" si="218"/>
        <v/>
      </c>
      <c r="Z652" t="str">
        <f t="shared" si="219"/>
        <v/>
      </c>
      <c r="AC652" t="str">
        <f t="shared" si="220"/>
        <v>Turnover</v>
      </c>
      <c r="AD652" t="str">
        <f t="shared" si="221"/>
        <v>Turnover_Giveaway</v>
      </c>
      <c r="AE652" t="str">
        <f t="shared" si="222"/>
        <v>Giveaway-AttemptedZoneClear/Dump</v>
      </c>
      <c r="AF652" t="str">
        <f t="shared" si="223"/>
        <v>Offensive</v>
      </c>
      <c r="AG652">
        <f t="shared" si="229"/>
        <v>18981</v>
      </c>
      <c r="AH652" t="str">
        <f t="shared" si="230"/>
        <v>Nelson</v>
      </c>
      <c r="AI652" t="str">
        <f t="shared" si="231"/>
        <v>Velodrome</v>
      </c>
      <c r="AJ652" s="18">
        <f t="shared" si="224"/>
        <v>0</v>
      </c>
      <c r="AP652" s="18">
        <f t="shared" si="225"/>
        <v>0</v>
      </c>
      <c r="AQ652">
        <f t="shared" si="226"/>
        <v>0</v>
      </c>
      <c r="AR652" s="23">
        <f t="shared" si="227"/>
        <v>831</v>
      </c>
      <c r="AS652">
        <f t="shared" si="232"/>
        <v>826</v>
      </c>
      <c r="AT652" s="21">
        <f t="shared" si="233"/>
        <v>831</v>
      </c>
      <c r="AU652" s="21"/>
      <c r="AV652" s="21"/>
      <c r="AW652" s="21"/>
    </row>
    <row r="653" spans="1:49" x14ac:dyDescent="0.2">
      <c r="A653">
        <v>346</v>
      </c>
      <c r="E653">
        <f t="shared" si="228"/>
        <v>1</v>
      </c>
      <c r="F653" s="5" t="s">
        <v>533</v>
      </c>
      <c r="G653" s="5" t="s">
        <v>484</v>
      </c>
      <c r="J653" t="str">
        <f t="shared" si="235"/>
        <v>4</v>
      </c>
      <c r="K653" t="str">
        <f t="shared" si="236"/>
        <v>09</v>
      </c>
      <c r="L653" t="str">
        <f t="shared" si="237"/>
        <v/>
      </c>
      <c r="M653" s="6" t="str">
        <f t="shared" si="238"/>
        <v/>
      </c>
      <c r="N653" t="s">
        <v>178</v>
      </c>
      <c r="O653">
        <v>80</v>
      </c>
      <c r="P653" t="s">
        <v>424</v>
      </c>
      <c r="Q653" t="s">
        <v>277</v>
      </c>
      <c r="R653" t="s">
        <v>210</v>
      </c>
      <c r="S653" t="s">
        <v>93</v>
      </c>
      <c r="Y653" t="str">
        <f t="shared" si="218"/>
        <v/>
      </c>
      <c r="Z653" t="str">
        <f t="shared" si="219"/>
        <v/>
      </c>
      <c r="AC653" t="str">
        <f t="shared" si="220"/>
        <v>Zone_Entry_Exit</v>
      </c>
      <c r="AD653" t="str">
        <f t="shared" si="221"/>
        <v>Zone_Keepin</v>
      </c>
      <c r="AE653" t="str">
        <f t="shared" si="222"/>
        <v>Zone-KeepIn</v>
      </c>
      <c r="AF653" t="str">
        <f t="shared" si="223"/>
        <v>Offensive</v>
      </c>
      <c r="AG653">
        <f t="shared" si="229"/>
        <v>18981</v>
      </c>
      <c r="AH653" t="str">
        <f t="shared" si="230"/>
        <v>Nelson</v>
      </c>
      <c r="AI653" t="str">
        <f t="shared" si="231"/>
        <v>Velodrome</v>
      </c>
      <c r="AJ653" s="18">
        <f t="shared" si="224"/>
        <v>0</v>
      </c>
      <c r="AP653" s="18">
        <f t="shared" si="225"/>
        <v>0</v>
      </c>
      <c r="AQ653">
        <f t="shared" si="226"/>
        <v>0</v>
      </c>
      <c r="AR653" s="23">
        <f t="shared" si="227"/>
        <v>831</v>
      </c>
      <c r="AS653">
        <f t="shared" si="232"/>
        <v>826</v>
      </c>
      <c r="AT653" s="21">
        <f t="shared" si="233"/>
        <v>831</v>
      </c>
      <c r="AU653" s="21"/>
      <c r="AV653" s="21"/>
      <c r="AW653" s="21"/>
    </row>
    <row r="654" spans="1:49" x14ac:dyDescent="0.2">
      <c r="A654">
        <v>346</v>
      </c>
      <c r="E654">
        <f t="shared" si="228"/>
        <v>1</v>
      </c>
      <c r="J654" t="str">
        <f t="shared" si="235"/>
        <v>4</v>
      </c>
      <c r="K654" t="str">
        <f t="shared" si="236"/>
        <v>09</v>
      </c>
      <c r="L654" t="str">
        <f t="shared" si="237"/>
        <v/>
      </c>
      <c r="M654" s="6" t="str">
        <f t="shared" si="238"/>
        <v/>
      </c>
      <c r="N654" t="str">
        <f t="shared" si="234"/>
        <v>Home</v>
      </c>
      <c r="O654">
        <v>75</v>
      </c>
      <c r="P654" t="s">
        <v>425</v>
      </c>
      <c r="Y654" t="str">
        <f t="shared" si="218"/>
        <v/>
      </c>
      <c r="Z654" t="str">
        <f t="shared" si="219"/>
        <v/>
      </c>
      <c r="AC654" t="str">
        <f t="shared" si="220"/>
        <v>Zone_Entry_Exit</v>
      </c>
      <c r="AD654" t="str">
        <f t="shared" si="221"/>
        <v>Zone_Keepin</v>
      </c>
      <c r="AE654" t="str">
        <f t="shared" si="222"/>
        <v>Zone-KeepIn</v>
      </c>
      <c r="AF654" t="str">
        <f t="shared" si="223"/>
        <v>Defensive</v>
      </c>
      <c r="AG654">
        <f t="shared" si="229"/>
        <v>18981</v>
      </c>
      <c r="AH654" t="str">
        <f t="shared" si="230"/>
        <v>Nelson</v>
      </c>
      <c r="AI654" t="str">
        <f t="shared" si="231"/>
        <v>Velodrome</v>
      </c>
      <c r="AJ654" s="18">
        <f t="shared" si="224"/>
        <v>0</v>
      </c>
      <c r="AP654" s="18">
        <f t="shared" si="225"/>
        <v>0</v>
      </c>
      <c r="AQ654">
        <f t="shared" si="226"/>
        <v>0</v>
      </c>
      <c r="AR654" s="23">
        <f t="shared" si="227"/>
        <v>831</v>
      </c>
      <c r="AS654">
        <f t="shared" si="232"/>
        <v>826</v>
      </c>
      <c r="AT654" s="21">
        <f t="shared" si="233"/>
        <v>831</v>
      </c>
      <c r="AU654" s="21"/>
      <c r="AV654" s="21"/>
      <c r="AW654" s="21"/>
    </row>
    <row r="655" spans="1:49" x14ac:dyDescent="0.2">
      <c r="A655">
        <v>347</v>
      </c>
      <c r="E655">
        <f t="shared" si="228"/>
        <v>1</v>
      </c>
      <c r="F655" s="5" t="s">
        <v>533</v>
      </c>
      <c r="G655" s="5" t="s">
        <v>481</v>
      </c>
      <c r="J655" t="str">
        <f t="shared" si="235"/>
        <v>4</v>
      </c>
      <c r="K655" t="str">
        <f t="shared" si="236"/>
        <v>05</v>
      </c>
      <c r="L655" t="str">
        <f t="shared" si="237"/>
        <v/>
      </c>
      <c r="M655" s="6" t="str">
        <f t="shared" si="238"/>
        <v/>
      </c>
      <c r="N655" t="s">
        <v>178</v>
      </c>
      <c r="O655">
        <v>80</v>
      </c>
      <c r="P655" t="s">
        <v>424</v>
      </c>
      <c r="Q655" t="s">
        <v>10</v>
      </c>
      <c r="R655" t="s">
        <v>190</v>
      </c>
      <c r="S655" t="s">
        <v>73</v>
      </c>
      <c r="Y655" t="str">
        <f t="shared" si="218"/>
        <v/>
      </c>
      <c r="Z655" t="str">
        <f t="shared" si="219"/>
        <v/>
      </c>
      <c r="AC655" t="str">
        <f t="shared" si="220"/>
        <v>Turnover</v>
      </c>
      <c r="AD655" t="str">
        <f t="shared" si="221"/>
        <v>Turnover_Giveaway</v>
      </c>
      <c r="AE655" t="str">
        <f t="shared" si="222"/>
        <v>Giveaway-Misplayed</v>
      </c>
      <c r="AF655" t="str">
        <f t="shared" si="223"/>
        <v>Offensive</v>
      </c>
      <c r="AG655">
        <f t="shared" si="229"/>
        <v>18981</v>
      </c>
      <c r="AH655" t="str">
        <f t="shared" si="230"/>
        <v>Nelson</v>
      </c>
      <c r="AI655" t="str">
        <f t="shared" si="231"/>
        <v>Velodrome</v>
      </c>
      <c r="AJ655" s="18">
        <f t="shared" si="224"/>
        <v>0</v>
      </c>
      <c r="AP655" s="18">
        <f t="shared" si="225"/>
        <v>0</v>
      </c>
      <c r="AQ655">
        <f t="shared" si="226"/>
        <v>0</v>
      </c>
      <c r="AR655" s="23">
        <f t="shared" si="227"/>
        <v>835</v>
      </c>
      <c r="AS655">
        <f t="shared" si="232"/>
        <v>830</v>
      </c>
      <c r="AT655" s="21">
        <f t="shared" si="233"/>
        <v>835</v>
      </c>
      <c r="AU655" s="21"/>
      <c r="AV655" s="21"/>
      <c r="AW655" s="21"/>
    </row>
    <row r="656" spans="1:49" x14ac:dyDescent="0.2">
      <c r="A656">
        <v>348</v>
      </c>
      <c r="E656">
        <f t="shared" si="228"/>
        <v>1</v>
      </c>
      <c r="F656" s="5" t="s">
        <v>533</v>
      </c>
      <c r="G656" s="5" t="s">
        <v>481</v>
      </c>
      <c r="H656" s="5" t="s">
        <v>533</v>
      </c>
      <c r="I656" s="7" t="s">
        <v>480</v>
      </c>
      <c r="J656" t="str">
        <f t="shared" si="235"/>
        <v>4</v>
      </c>
      <c r="K656" t="str">
        <f t="shared" si="236"/>
        <v>05</v>
      </c>
      <c r="L656" t="str">
        <f t="shared" si="237"/>
        <v>4</v>
      </c>
      <c r="M656" s="6" t="str">
        <f t="shared" si="238"/>
        <v>04</v>
      </c>
      <c r="N656" t="s">
        <v>179</v>
      </c>
      <c r="O656">
        <v>70</v>
      </c>
      <c r="P656" t="s">
        <v>424</v>
      </c>
      <c r="Q656" t="s">
        <v>277</v>
      </c>
      <c r="R656" t="s">
        <v>201</v>
      </c>
      <c r="S656" t="s">
        <v>90</v>
      </c>
      <c r="Y656" t="str">
        <f t="shared" si="218"/>
        <v/>
      </c>
      <c r="Z656" t="str">
        <f t="shared" si="219"/>
        <v/>
      </c>
      <c r="AC656" t="str">
        <f t="shared" si="220"/>
        <v>Zone_Entry_Exit</v>
      </c>
      <c r="AD656" t="str">
        <f t="shared" si="221"/>
        <v>Zone_Exit</v>
      </c>
      <c r="AE656" t="str">
        <f t="shared" si="222"/>
        <v>ZoneExit-Rush</v>
      </c>
      <c r="AF656" t="str">
        <f t="shared" si="223"/>
        <v>Offensive</v>
      </c>
      <c r="AG656">
        <f t="shared" si="229"/>
        <v>18981</v>
      </c>
      <c r="AH656" t="str">
        <f t="shared" si="230"/>
        <v>Nelson</v>
      </c>
      <c r="AI656" t="str">
        <f t="shared" si="231"/>
        <v>Velodrome</v>
      </c>
      <c r="AJ656" s="18">
        <f t="shared" si="224"/>
        <v>1</v>
      </c>
      <c r="AP656" s="18">
        <f t="shared" si="225"/>
        <v>0</v>
      </c>
      <c r="AQ656">
        <f t="shared" si="226"/>
        <v>0</v>
      </c>
      <c r="AR656" s="23">
        <f t="shared" si="227"/>
        <v>835</v>
      </c>
      <c r="AS656">
        <f t="shared" si="232"/>
        <v>830</v>
      </c>
      <c r="AT656" s="21">
        <f t="shared" si="233"/>
        <v>836</v>
      </c>
      <c r="AU656" s="21"/>
      <c r="AV656" s="21"/>
      <c r="AW656" s="21"/>
    </row>
    <row r="657" spans="1:49" x14ac:dyDescent="0.2">
      <c r="A657">
        <v>349</v>
      </c>
      <c r="E657">
        <f t="shared" si="228"/>
        <v>1</v>
      </c>
      <c r="F657" s="5" t="s">
        <v>533</v>
      </c>
      <c r="G657" s="5" t="s">
        <v>480</v>
      </c>
      <c r="H657" s="5" t="s">
        <v>533</v>
      </c>
      <c r="I657" s="7" t="s">
        <v>471</v>
      </c>
      <c r="J657" t="str">
        <f t="shared" si="235"/>
        <v>4</v>
      </c>
      <c r="K657" t="str">
        <f t="shared" si="236"/>
        <v>04</v>
      </c>
      <c r="L657" t="str">
        <f t="shared" si="237"/>
        <v>4</v>
      </c>
      <c r="M657" s="6" t="str">
        <f t="shared" si="238"/>
        <v>01</v>
      </c>
      <c r="N657" t="s">
        <v>179</v>
      </c>
      <c r="O657">
        <v>70</v>
      </c>
      <c r="P657" t="s">
        <v>424</v>
      </c>
      <c r="Q657" t="s">
        <v>15</v>
      </c>
      <c r="Y657" t="str">
        <f t="shared" si="218"/>
        <v/>
      </c>
      <c r="Z657" t="str">
        <f t="shared" si="219"/>
        <v/>
      </c>
      <c r="AC657" t="str">
        <f t="shared" si="220"/>
        <v>Possession</v>
      </c>
      <c r="AD657" t="str">
        <f t="shared" si="221"/>
        <v/>
      </c>
      <c r="AE657" t="str">
        <f t="shared" si="222"/>
        <v/>
      </c>
      <c r="AF657" t="str">
        <f t="shared" si="223"/>
        <v>Offensive</v>
      </c>
      <c r="AG657">
        <f t="shared" si="229"/>
        <v>18981</v>
      </c>
      <c r="AH657" t="str">
        <f t="shared" si="230"/>
        <v>Nelson</v>
      </c>
      <c r="AI657" t="str">
        <f t="shared" si="231"/>
        <v>Velodrome</v>
      </c>
      <c r="AJ657" s="18">
        <f t="shared" si="224"/>
        <v>3</v>
      </c>
      <c r="AP657" s="18">
        <f t="shared" si="225"/>
        <v>0</v>
      </c>
      <c r="AQ657">
        <f t="shared" si="226"/>
        <v>0</v>
      </c>
      <c r="AR657" s="23">
        <f t="shared" si="227"/>
        <v>836</v>
      </c>
      <c r="AS657">
        <f t="shared" si="232"/>
        <v>831</v>
      </c>
      <c r="AT657" s="21">
        <f t="shared" si="233"/>
        <v>839</v>
      </c>
      <c r="AU657" s="21"/>
      <c r="AV657" s="21"/>
      <c r="AW657" s="21"/>
    </row>
    <row r="658" spans="1:49" x14ac:dyDescent="0.2">
      <c r="A658">
        <v>350</v>
      </c>
      <c r="E658">
        <f t="shared" si="228"/>
        <v>1</v>
      </c>
      <c r="F658" s="5" t="s">
        <v>533</v>
      </c>
      <c r="G658" s="5" t="s">
        <v>471</v>
      </c>
      <c r="H658" s="5" t="s">
        <v>531</v>
      </c>
      <c r="I658" s="7" t="s">
        <v>479</v>
      </c>
      <c r="J658" t="str">
        <f t="shared" si="235"/>
        <v>4</v>
      </c>
      <c r="K658" t="str">
        <f t="shared" si="236"/>
        <v>01</v>
      </c>
      <c r="L658" t="str">
        <f t="shared" si="237"/>
        <v>3</v>
      </c>
      <c r="M658" s="6" t="str">
        <f t="shared" si="238"/>
        <v>59</v>
      </c>
      <c r="N658" t="s">
        <v>179</v>
      </c>
      <c r="O658">
        <v>70</v>
      </c>
      <c r="P658" t="s">
        <v>424</v>
      </c>
      <c r="Q658" t="s">
        <v>277</v>
      </c>
      <c r="R658" t="s">
        <v>191</v>
      </c>
      <c r="S658" t="s">
        <v>87</v>
      </c>
      <c r="Y658" t="str">
        <f t="shared" si="218"/>
        <v/>
      </c>
      <c r="Z658" t="str">
        <f t="shared" si="219"/>
        <v/>
      </c>
      <c r="AC658" t="str">
        <f t="shared" si="220"/>
        <v>Zone_Entry_Exit</v>
      </c>
      <c r="AD658" t="str">
        <f t="shared" si="221"/>
        <v>Zone_Entry</v>
      </c>
      <c r="AE658" t="str">
        <f t="shared" si="222"/>
        <v>ZoneEntry-Rush</v>
      </c>
      <c r="AF658" t="str">
        <f t="shared" si="223"/>
        <v>Offensive</v>
      </c>
      <c r="AG658">
        <f t="shared" si="229"/>
        <v>18981</v>
      </c>
      <c r="AH658" t="str">
        <f t="shared" si="230"/>
        <v>Nelson</v>
      </c>
      <c r="AI658" t="str">
        <f t="shared" si="231"/>
        <v>Velodrome</v>
      </c>
      <c r="AJ658" s="18">
        <f t="shared" si="224"/>
        <v>2</v>
      </c>
      <c r="AP658" s="18">
        <f t="shared" si="225"/>
        <v>0</v>
      </c>
      <c r="AQ658">
        <f t="shared" si="226"/>
        <v>0</v>
      </c>
      <c r="AR658" s="23">
        <f t="shared" si="227"/>
        <v>839</v>
      </c>
      <c r="AS658">
        <f t="shared" si="232"/>
        <v>834</v>
      </c>
      <c r="AT658" s="21">
        <f t="shared" si="233"/>
        <v>841</v>
      </c>
      <c r="AU658" s="21"/>
      <c r="AV658" s="21"/>
      <c r="AW658" s="21"/>
    </row>
    <row r="659" spans="1:49" x14ac:dyDescent="0.2">
      <c r="A659">
        <v>350</v>
      </c>
      <c r="E659">
        <f t="shared" si="228"/>
        <v>1</v>
      </c>
      <c r="J659" t="str">
        <f t="shared" si="235"/>
        <v>4</v>
      </c>
      <c r="K659" t="str">
        <f t="shared" si="236"/>
        <v>01</v>
      </c>
      <c r="L659" t="str">
        <f t="shared" si="237"/>
        <v>3</v>
      </c>
      <c r="M659" s="6" t="str">
        <f t="shared" si="238"/>
        <v>59</v>
      </c>
      <c r="N659" t="str">
        <f t="shared" si="234"/>
        <v>Away</v>
      </c>
      <c r="O659">
        <v>75</v>
      </c>
      <c r="P659" t="s">
        <v>424</v>
      </c>
      <c r="Y659" t="str">
        <f t="shared" si="218"/>
        <v/>
      </c>
      <c r="Z659" t="str">
        <f t="shared" si="219"/>
        <v/>
      </c>
      <c r="AC659" t="str">
        <f t="shared" si="220"/>
        <v>Zone_Entry_Exit</v>
      </c>
      <c r="AD659" t="str">
        <f t="shared" si="221"/>
        <v>Zone_Entry</v>
      </c>
      <c r="AE659" t="str">
        <f t="shared" si="222"/>
        <v>ZoneEntry-Rush</v>
      </c>
      <c r="AF659" t="str">
        <f t="shared" si="223"/>
        <v>Offensive</v>
      </c>
      <c r="AG659">
        <f t="shared" si="229"/>
        <v>18981</v>
      </c>
      <c r="AH659" t="str">
        <f t="shared" si="230"/>
        <v>Nelson</v>
      </c>
      <c r="AI659" t="str">
        <f t="shared" si="231"/>
        <v>Velodrome</v>
      </c>
      <c r="AJ659" s="18">
        <f t="shared" si="224"/>
        <v>2</v>
      </c>
      <c r="AP659" s="18">
        <f t="shared" si="225"/>
        <v>0</v>
      </c>
      <c r="AQ659">
        <f t="shared" si="226"/>
        <v>0</v>
      </c>
      <c r="AR659" s="23">
        <f t="shared" si="227"/>
        <v>839</v>
      </c>
      <c r="AS659">
        <f t="shared" si="232"/>
        <v>834</v>
      </c>
      <c r="AT659" s="21">
        <f t="shared" si="233"/>
        <v>841</v>
      </c>
      <c r="AU659" s="21"/>
      <c r="AV659" s="21"/>
      <c r="AW659" s="21"/>
    </row>
    <row r="660" spans="1:49" x14ac:dyDescent="0.2">
      <c r="A660">
        <v>350</v>
      </c>
      <c r="E660">
        <f t="shared" si="228"/>
        <v>1</v>
      </c>
      <c r="J660" t="str">
        <f t="shared" si="235"/>
        <v>4</v>
      </c>
      <c r="K660" t="str">
        <f t="shared" si="236"/>
        <v>01</v>
      </c>
      <c r="L660" t="str">
        <f t="shared" si="237"/>
        <v>3</v>
      </c>
      <c r="M660" s="6" t="str">
        <f t="shared" si="238"/>
        <v>59</v>
      </c>
      <c r="N660" t="str">
        <f t="shared" si="234"/>
        <v>Away</v>
      </c>
      <c r="O660">
        <v>8</v>
      </c>
      <c r="P660" t="s">
        <v>425</v>
      </c>
      <c r="Y660" t="str">
        <f t="shared" si="218"/>
        <v/>
      </c>
      <c r="Z660" t="str">
        <f t="shared" si="219"/>
        <v/>
      </c>
      <c r="AC660" t="str">
        <f t="shared" si="220"/>
        <v>Zone_Entry_Exit</v>
      </c>
      <c r="AD660" t="str">
        <f t="shared" si="221"/>
        <v>Zone_Entry</v>
      </c>
      <c r="AE660" t="str">
        <f t="shared" si="222"/>
        <v>ZoneEntry-Rush</v>
      </c>
      <c r="AF660" t="str">
        <f t="shared" si="223"/>
        <v>Defensive</v>
      </c>
      <c r="AG660">
        <f t="shared" si="229"/>
        <v>18981</v>
      </c>
      <c r="AH660" t="str">
        <f t="shared" si="230"/>
        <v>Nelson</v>
      </c>
      <c r="AI660" t="str">
        <f t="shared" si="231"/>
        <v>Velodrome</v>
      </c>
      <c r="AJ660" s="18">
        <f t="shared" si="224"/>
        <v>2</v>
      </c>
      <c r="AP660" s="18">
        <f t="shared" si="225"/>
        <v>0</v>
      </c>
      <c r="AQ660">
        <f t="shared" si="226"/>
        <v>0</v>
      </c>
      <c r="AR660" s="23">
        <f t="shared" si="227"/>
        <v>839</v>
      </c>
      <c r="AS660">
        <f t="shared" si="232"/>
        <v>834</v>
      </c>
      <c r="AT660" s="21">
        <f t="shared" si="233"/>
        <v>841</v>
      </c>
      <c r="AU660" s="21"/>
      <c r="AV660" s="21"/>
      <c r="AW660" s="21"/>
    </row>
    <row r="661" spans="1:49" x14ac:dyDescent="0.2">
      <c r="A661">
        <v>350</v>
      </c>
      <c r="E661">
        <f t="shared" si="228"/>
        <v>1</v>
      </c>
      <c r="J661" t="str">
        <f t="shared" si="235"/>
        <v>4</v>
      </c>
      <c r="K661" t="str">
        <f t="shared" si="236"/>
        <v>01</v>
      </c>
      <c r="L661" t="str">
        <f t="shared" si="237"/>
        <v>3</v>
      </c>
      <c r="M661" s="6" t="str">
        <f t="shared" si="238"/>
        <v>59</v>
      </c>
      <c r="N661" t="str">
        <f t="shared" si="234"/>
        <v>Away</v>
      </c>
      <c r="O661">
        <v>79</v>
      </c>
      <c r="P661" t="s">
        <v>425</v>
      </c>
      <c r="Y661" t="str">
        <f t="shared" si="218"/>
        <v/>
      </c>
      <c r="Z661" t="str">
        <f t="shared" si="219"/>
        <v/>
      </c>
      <c r="AC661" t="str">
        <f t="shared" si="220"/>
        <v>Zone_Entry_Exit</v>
      </c>
      <c r="AD661" t="str">
        <f t="shared" si="221"/>
        <v>Zone_Entry</v>
      </c>
      <c r="AE661" t="str">
        <f t="shared" si="222"/>
        <v>ZoneEntry-Rush</v>
      </c>
      <c r="AF661" t="str">
        <f t="shared" si="223"/>
        <v>Defensive</v>
      </c>
      <c r="AG661">
        <f t="shared" si="229"/>
        <v>18981</v>
      </c>
      <c r="AH661" t="str">
        <f t="shared" si="230"/>
        <v>Nelson</v>
      </c>
      <c r="AI661" t="str">
        <f t="shared" si="231"/>
        <v>Velodrome</v>
      </c>
      <c r="AJ661" s="18">
        <f t="shared" si="224"/>
        <v>2</v>
      </c>
      <c r="AP661" s="18">
        <f t="shared" si="225"/>
        <v>0</v>
      </c>
      <c r="AQ661">
        <f t="shared" si="226"/>
        <v>0</v>
      </c>
      <c r="AR661" s="23">
        <f t="shared" si="227"/>
        <v>839</v>
      </c>
      <c r="AS661">
        <f t="shared" si="232"/>
        <v>834</v>
      </c>
      <c r="AT661" s="21">
        <f t="shared" si="233"/>
        <v>841</v>
      </c>
      <c r="AU661" s="21"/>
      <c r="AV661" s="21"/>
      <c r="AW661" s="21"/>
    </row>
    <row r="662" spans="1:49" x14ac:dyDescent="0.2">
      <c r="A662">
        <v>351</v>
      </c>
      <c r="E662">
        <f t="shared" si="228"/>
        <v>1</v>
      </c>
      <c r="F662" s="5" t="s">
        <v>531</v>
      </c>
      <c r="G662" s="5" t="s">
        <v>479</v>
      </c>
      <c r="J662" t="str">
        <f t="shared" si="235"/>
        <v>3</v>
      </c>
      <c r="K662" t="str">
        <f t="shared" si="236"/>
        <v>59</v>
      </c>
      <c r="L662" t="str">
        <f t="shared" si="237"/>
        <v/>
      </c>
      <c r="M662" s="6" t="str">
        <f t="shared" si="238"/>
        <v/>
      </c>
      <c r="N662" t="s">
        <v>179</v>
      </c>
      <c r="O662">
        <v>70</v>
      </c>
      <c r="P662" t="s">
        <v>424</v>
      </c>
      <c r="Q662" t="s">
        <v>7</v>
      </c>
      <c r="R662" t="s">
        <v>198</v>
      </c>
      <c r="S662" t="s">
        <v>53</v>
      </c>
      <c r="Y662" t="str">
        <f t="shared" si="218"/>
        <v/>
      </c>
      <c r="Z662" t="str">
        <f t="shared" si="219"/>
        <v/>
      </c>
      <c r="AC662" t="str">
        <f t="shared" si="220"/>
        <v>Shot</v>
      </c>
      <c r="AD662" t="str">
        <f t="shared" si="221"/>
        <v>Shot_Missed</v>
      </c>
      <c r="AE662" t="str">
        <f t="shared" si="222"/>
        <v>Shot-Wrist</v>
      </c>
      <c r="AF662" t="str">
        <f t="shared" si="223"/>
        <v>Offensive</v>
      </c>
      <c r="AG662">
        <f t="shared" si="229"/>
        <v>18981</v>
      </c>
      <c r="AH662" t="str">
        <f t="shared" si="230"/>
        <v>Nelson</v>
      </c>
      <c r="AI662" t="str">
        <f t="shared" si="231"/>
        <v>Velodrome</v>
      </c>
      <c r="AJ662" s="18">
        <f t="shared" si="224"/>
        <v>0</v>
      </c>
      <c r="AP662" s="18">
        <f t="shared" si="225"/>
        <v>0</v>
      </c>
      <c r="AQ662">
        <f t="shared" si="226"/>
        <v>0</v>
      </c>
      <c r="AR662" s="23">
        <f t="shared" si="227"/>
        <v>841</v>
      </c>
      <c r="AS662">
        <f t="shared" si="232"/>
        <v>836</v>
      </c>
      <c r="AT662" s="21">
        <f t="shared" si="233"/>
        <v>841</v>
      </c>
      <c r="AU662" s="21"/>
      <c r="AV662" s="21"/>
      <c r="AW662" s="21"/>
    </row>
    <row r="663" spans="1:49" x14ac:dyDescent="0.2">
      <c r="A663">
        <v>351</v>
      </c>
      <c r="E663">
        <f t="shared" si="228"/>
        <v>1</v>
      </c>
      <c r="J663" t="str">
        <f t="shared" si="235"/>
        <v>3</v>
      </c>
      <c r="K663" t="str">
        <f t="shared" si="236"/>
        <v>59</v>
      </c>
      <c r="L663" t="str">
        <f t="shared" si="237"/>
        <v/>
      </c>
      <c r="M663" s="6" t="str">
        <f t="shared" si="238"/>
        <v/>
      </c>
      <c r="N663" t="str">
        <f t="shared" si="234"/>
        <v>Away</v>
      </c>
      <c r="O663">
        <v>79</v>
      </c>
      <c r="P663" t="s">
        <v>425</v>
      </c>
      <c r="Y663" t="str">
        <f t="shared" si="218"/>
        <v/>
      </c>
      <c r="Z663" t="str">
        <f t="shared" si="219"/>
        <v/>
      </c>
      <c r="AC663" t="str">
        <f t="shared" si="220"/>
        <v>Shot</v>
      </c>
      <c r="AD663" t="str">
        <f t="shared" si="221"/>
        <v>Shot_Missed</v>
      </c>
      <c r="AE663" t="str">
        <f t="shared" si="222"/>
        <v>Shot-Wrist</v>
      </c>
      <c r="AF663" t="str">
        <f t="shared" si="223"/>
        <v>Defensive</v>
      </c>
      <c r="AG663">
        <f t="shared" si="229"/>
        <v>18981</v>
      </c>
      <c r="AH663" t="str">
        <f t="shared" si="230"/>
        <v>Nelson</v>
      </c>
      <c r="AI663" t="str">
        <f t="shared" si="231"/>
        <v>Velodrome</v>
      </c>
      <c r="AJ663" s="18">
        <f t="shared" si="224"/>
        <v>0</v>
      </c>
      <c r="AP663" s="18">
        <f t="shared" si="225"/>
        <v>0</v>
      </c>
      <c r="AQ663">
        <f t="shared" si="226"/>
        <v>0</v>
      </c>
      <c r="AR663" s="23">
        <f t="shared" si="227"/>
        <v>841</v>
      </c>
      <c r="AS663">
        <f t="shared" si="232"/>
        <v>836</v>
      </c>
      <c r="AT663" s="21">
        <f t="shared" si="233"/>
        <v>841</v>
      </c>
      <c r="AU663" s="21"/>
      <c r="AV663" s="21"/>
      <c r="AW663" s="21"/>
    </row>
    <row r="664" spans="1:49" x14ac:dyDescent="0.2">
      <c r="A664">
        <v>352</v>
      </c>
      <c r="E664">
        <f t="shared" si="228"/>
        <v>1</v>
      </c>
      <c r="F664" s="5" t="s">
        <v>531</v>
      </c>
      <c r="G664" s="5" t="s">
        <v>527</v>
      </c>
      <c r="J664" t="str">
        <f t="shared" si="235"/>
        <v>3</v>
      </c>
      <c r="K664" t="str">
        <f t="shared" si="236"/>
        <v>55</v>
      </c>
      <c r="L664" t="str">
        <f t="shared" si="237"/>
        <v/>
      </c>
      <c r="M664" s="6" t="str">
        <f t="shared" si="238"/>
        <v/>
      </c>
      <c r="N664" t="s">
        <v>178</v>
      </c>
      <c r="O664">
        <v>8</v>
      </c>
      <c r="P664" t="s">
        <v>424</v>
      </c>
      <c r="Q664" t="s">
        <v>10</v>
      </c>
      <c r="R664" t="s">
        <v>190</v>
      </c>
      <c r="S664" t="s">
        <v>422</v>
      </c>
      <c r="Y664" t="str">
        <f t="shared" si="218"/>
        <v/>
      </c>
      <c r="Z664" t="str">
        <f t="shared" si="219"/>
        <v/>
      </c>
      <c r="AC664" t="str">
        <f t="shared" si="220"/>
        <v>Turnover</v>
      </c>
      <c r="AD664" t="str">
        <f t="shared" si="221"/>
        <v>Turnover_Giveaway</v>
      </c>
      <c r="AE664" t="str">
        <f t="shared" si="222"/>
        <v>Giveaway-AttemptedZoneClear/Dump</v>
      </c>
      <c r="AF664" t="str">
        <f t="shared" si="223"/>
        <v>Offensive</v>
      </c>
      <c r="AG664">
        <f t="shared" si="229"/>
        <v>18981</v>
      </c>
      <c r="AH664" t="str">
        <f t="shared" si="230"/>
        <v>Nelson</v>
      </c>
      <c r="AI664" t="str">
        <f t="shared" si="231"/>
        <v>Velodrome</v>
      </c>
      <c r="AJ664" s="18">
        <f t="shared" si="224"/>
        <v>0</v>
      </c>
      <c r="AP664" s="18">
        <f t="shared" si="225"/>
        <v>0</v>
      </c>
      <c r="AQ664">
        <f t="shared" si="226"/>
        <v>0</v>
      </c>
      <c r="AR664" s="23">
        <f t="shared" si="227"/>
        <v>845</v>
      </c>
      <c r="AS664">
        <f t="shared" si="232"/>
        <v>840</v>
      </c>
      <c r="AT664" s="21">
        <f t="shared" si="233"/>
        <v>845</v>
      </c>
      <c r="AU664" s="21"/>
      <c r="AV664" s="21"/>
      <c r="AW664" s="21"/>
    </row>
    <row r="665" spans="1:49" x14ac:dyDescent="0.2">
      <c r="A665">
        <v>353</v>
      </c>
      <c r="E665">
        <f t="shared" si="228"/>
        <v>1</v>
      </c>
      <c r="F665" s="5" t="s">
        <v>531</v>
      </c>
      <c r="G665" s="5" t="s">
        <v>524</v>
      </c>
      <c r="J665" t="str">
        <f t="shared" si="235"/>
        <v>3</v>
      </c>
      <c r="K665" t="str">
        <f t="shared" si="236"/>
        <v>52</v>
      </c>
      <c r="L665" t="str">
        <f t="shared" si="237"/>
        <v/>
      </c>
      <c r="M665" s="6" t="str">
        <f t="shared" si="238"/>
        <v/>
      </c>
      <c r="N665" t="s">
        <v>179</v>
      </c>
      <c r="O665">
        <v>70</v>
      </c>
      <c r="P665" t="s">
        <v>424</v>
      </c>
      <c r="Q665" t="s">
        <v>277</v>
      </c>
      <c r="R665" t="s">
        <v>210</v>
      </c>
      <c r="S665" t="s">
        <v>93</v>
      </c>
      <c r="Y665" t="str">
        <f t="shared" si="218"/>
        <v/>
      </c>
      <c r="Z665" t="str">
        <f t="shared" si="219"/>
        <v/>
      </c>
      <c r="AC665" t="str">
        <f t="shared" si="220"/>
        <v>Zone_Entry_Exit</v>
      </c>
      <c r="AD665" t="str">
        <f t="shared" si="221"/>
        <v>Zone_Keepin</v>
      </c>
      <c r="AE665" t="str">
        <f t="shared" si="222"/>
        <v>Zone-KeepIn</v>
      </c>
      <c r="AF665" t="str">
        <f t="shared" si="223"/>
        <v>Offensive</v>
      </c>
      <c r="AG665">
        <f t="shared" si="229"/>
        <v>18981</v>
      </c>
      <c r="AH665" t="str">
        <f t="shared" si="230"/>
        <v>Nelson</v>
      </c>
      <c r="AI665" t="str">
        <f t="shared" si="231"/>
        <v>Velodrome</v>
      </c>
      <c r="AJ665" s="18">
        <f t="shared" si="224"/>
        <v>0</v>
      </c>
      <c r="AP665" s="18">
        <f t="shared" si="225"/>
        <v>0</v>
      </c>
      <c r="AQ665">
        <f t="shared" si="226"/>
        <v>0</v>
      </c>
      <c r="AR665" s="23">
        <f t="shared" si="227"/>
        <v>848</v>
      </c>
      <c r="AS665">
        <f t="shared" si="232"/>
        <v>843</v>
      </c>
      <c r="AT665" s="21">
        <f t="shared" si="233"/>
        <v>848</v>
      </c>
      <c r="AU665" s="21"/>
      <c r="AV665" s="21"/>
      <c r="AW665" s="21"/>
    </row>
    <row r="666" spans="1:49" x14ac:dyDescent="0.2">
      <c r="A666">
        <v>354</v>
      </c>
      <c r="E666">
        <f t="shared" si="228"/>
        <v>1</v>
      </c>
      <c r="F666" s="5" t="s">
        <v>531</v>
      </c>
      <c r="G666" s="5" t="s">
        <v>522</v>
      </c>
      <c r="J666" t="str">
        <f t="shared" si="235"/>
        <v>3</v>
      </c>
      <c r="K666" t="str">
        <f t="shared" si="236"/>
        <v>50</v>
      </c>
      <c r="L666" t="str">
        <f t="shared" si="237"/>
        <v/>
      </c>
      <c r="M666" s="6" t="str">
        <f t="shared" si="238"/>
        <v/>
      </c>
      <c r="N666" t="s">
        <v>179</v>
      </c>
      <c r="O666">
        <v>70</v>
      </c>
      <c r="P666" t="s">
        <v>424</v>
      </c>
      <c r="Q666" t="s">
        <v>7</v>
      </c>
      <c r="R666" t="s">
        <v>222</v>
      </c>
      <c r="S666" t="s">
        <v>53</v>
      </c>
      <c r="Y666" t="str">
        <f t="shared" si="218"/>
        <v/>
      </c>
      <c r="Z666" t="str">
        <f t="shared" si="219"/>
        <v/>
      </c>
      <c r="AC666" t="str">
        <f t="shared" si="220"/>
        <v>Shot</v>
      </c>
      <c r="AD666" t="str">
        <f t="shared" si="221"/>
        <v>Shot_OnNetSaved</v>
      </c>
      <c r="AE666" t="str">
        <f t="shared" si="222"/>
        <v>Shot-Wrist</v>
      </c>
      <c r="AF666" t="str">
        <f t="shared" si="223"/>
        <v>Offensive</v>
      </c>
      <c r="AG666">
        <f t="shared" si="229"/>
        <v>18981</v>
      </c>
      <c r="AH666" t="str">
        <f t="shared" si="230"/>
        <v>Nelson</v>
      </c>
      <c r="AI666" t="str">
        <f t="shared" si="231"/>
        <v>Velodrome</v>
      </c>
      <c r="AJ666" s="18">
        <f t="shared" si="224"/>
        <v>0</v>
      </c>
      <c r="AP666" s="18">
        <f t="shared" si="225"/>
        <v>0</v>
      </c>
      <c r="AQ666">
        <f t="shared" si="226"/>
        <v>0</v>
      </c>
      <c r="AR666" s="23">
        <f t="shared" si="227"/>
        <v>850</v>
      </c>
      <c r="AS666">
        <f t="shared" si="232"/>
        <v>845</v>
      </c>
      <c r="AT666" s="21">
        <f t="shared" si="233"/>
        <v>850</v>
      </c>
      <c r="AU666" s="21"/>
      <c r="AV666" s="21"/>
      <c r="AW666" s="21"/>
    </row>
    <row r="667" spans="1:49" x14ac:dyDescent="0.2">
      <c r="A667">
        <v>354</v>
      </c>
      <c r="E667">
        <f t="shared" si="228"/>
        <v>1</v>
      </c>
      <c r="J667" t="str">
        <f t="shared" si="235"/>
        <v>3</v>
      </c>
      <c r="K667" t="str">
        <f t="shared" si="236"/>
        <v>50</v>
      </c>
      <c r="L667" t="str">
        <f t="shared" si="237"/>
        <v/>
      </c>
      <c r="M667" s="6" t="str">
        <f t="shared" si="238"/>
        <v/>
      </c>
      <c r="N667" t="str">
        <f t="shared" si="234"/>
        <v>Away</v>
      </c>
      <c r="O667">
        <v>31</v>
      </c>
      <c r="P667" t="s">
        <v>425</v>
      </c>
      <c r="Y667" t="str">
        <f t="shared" si="218"/>
        <v/>
      </c>
      <c r="Z667" t="str">
        <f t="shared" si="219"/>
        <v/>
      </c>
      <c r="AC667" t="str">
        <f t="shared" si="220"/>
        <v>Shot</v>
      </c>
      <c r="AD667" t="str">
        <f t="shared" si="221"/>
        <v>Shot_OnNetSaved</v>
      </c>
      <c r="AE667" t="str">
        <f t="shared" si="222"/>
        <v>Shot-Wrist</v>
      </c>
      <c r="AF667" t="str">
        <f t="shared" si="223"/>
        <v>Defensive</v>
      </c>
      <c r="AG667">
        <f t="shared" si="229"/>
        <v>18981</v>
      </c>
      <c r="AH667" t="str">
        <f t="shared" si="230"/>
        <v>Nelson</v>
      </c>
      <c r="AI667" t="str">
        <f t="shared" si="231"/>
        <v>Velodrome</v>
      </c>
      <c r="AJ667" s="18">
        <f t="shared" si="224"/>
        <v>0</v>
      </c>
      <c r="AP667" s="18">
        <f t="shared" si="225"/>
        <v>0</v>
      </c>
      <c r="AQ667">
        <f t="shared" si="226"/>
        <v>0</v>
      </c>
      <c r="AR667" s="23">
        <f t="shared" si="227"/>
        <v>850</v>
      </c>
      <c r="AS667">
        <f t="shared" si="232"/>
        <v>845</v>
      </c>
      <c r="AT667" s="21">
        <f t="shared" si="233"/>
        <v>850</v>
      </c>
      <c r="AU667" s="21"/>
      <c r="AV667" s="21"/>
      <c r="AW667" s="21"/>
    </row>
    <row r="668" spans="1:49" x14ac:dyDescent="0.2">
      <c r="A668">
        <v>355</v>
      </c>
      <c r="E668">
        <f t="shared" si="228"/>
        <v>1</v>
      </c>
      <c r="F668" s="5" t="s">
        <v>531</v>
      </c>
      <c r="G668" s="5" t="s">
        <v>522</v>
      </c>
      <c r="J668" t="str">
        <f t="shared" si="235"/>
        <v>3</v>
      </c>
      <c r="K668" t="str">
        <f t="shared" si="236"/>
        <v>50</v>
      </c>
      <c r="L668" t="str">
        <f t="shared" si="237"/>
        <v/>
      </c>
      <c r="M668" s="6" t="str">
        <f t="shared" si="238"/>
        <v/>
      </c>
      <c r="N668" t="s">
        <v>178</v>
      </c>
      <c r="O668">
        <v>31</v>
      </c>
      <c r="P668" t="s">
        <v>424</v>
      </c>
      <c r="Q668" t="s">
        <v>17</v>
      </c>
      <c r="R668" t="s">
        <v>196</v>
      </c>
      <c r="S668" t="s">
        <v>98</v>
      </c>
      <c r="Y668" t="str">
        <f t="shared" si="218"/>
        <v/>
      </c>
      <c r="Z668" t="str">
        <f t="shared" si="219"/>
        <v/>
      </c>
      <c r="AC668" t="str">
        <f t="shared" si="220"/>
        <v>Save</v>
      </c>
      <c r="AD668" t="str">
        <f t="shared" si="221"/>
        <v>Save_Rebound</v>
      </c>
      <c r="AE668" t="str">
        <f t="shared" si="222"/>
        <v>Save-LeftPad</v>
      </c>
      <c r="AF668" t="str">
        <f t="shared" si="223"/>
        <v>Defensive</v>
      </c>
      <c r="AG668">
        <f t="shared" si="229"/>
        <v>18981</v>
      </c>
      <c r="AH668" t="str">
        <f t="shared" si="230"/>
        <v>Nelson</v>
      </c>
      <c r="AI668" t="str">
        <f t="shared" si="231"/>
        <v>Velodrome</v>
      </c>
      <c r="AJ668" s="18">
        <f t="shared" si="224"/>
        <v>0</v>
      </c>
      <c r="AP668" s="18">
        <f t="shared" si="225"/>
        <v>0</v>
      </c>
      <c r="AQ668">
        <f t="shared" si="226"/>
        <v>0</v>
      </c>
      <c r="AR668" s="23">
        <f t="shared" si="227"/>
        <v>850</v>
      </c>
      <c r="AS668">
        <f t="shared" si="232"/>
        <v>845</v>
      </c>
      <c r="AT668" s="21">
        <f t="shared" si="233"/>
        <v>850</v>
      </c>
      <c r="AU668" s="21"/>
      <c r="AV668" s="21"/>
      <c r="AW668" s="21"/>
    </row>
    <row r="669" spans="1:49" x14ac:dyDescent="0.2">
      <c r="A669">
        <v>355</v>
      </c>
      <c r="E669">
        <f t="shared" si="228"/>
        <v>1</v>
      </c>
      <c r="J669" t="str">
        <f t="shared" si="235"/>
        <v>3</v>
      </c>
      <c r="K669" t="str">
        <f t="shared" si="236"/>
        <v>50</v>
      </c>
      <c r="L669" t="str">
        <f t="shared" si="237"/>
        <v/>
      </c>
      <c r="M669" s="6" t="str">
        <f t="shared" si="238"/>
        <v/>
      </c>
      <c r="N669" t="str">
        <f t="shared" si="234"/>
        <v>Home</v>
      </c>
      <c r="O669">
        <v>70</v>
      </c>
      <c r="P669" t="s">
        <v>425</v>
      </c>
      <c r="Y669" t="str">
        <f t="shared" si="218"/>
        <v/>
      </c>
      <c r="Z669" t="str">
        <f t="shared" si="219"/>
        <v/>
      </c>
      <c r="AC669" t="str">
        <f t="shared" si="220"/>
        <v>Save</v>
      </c>
      <c r="AD669" t="str">
        <f t="shared" si="221"/>
        <v>Save_Rebound</v>
      </c>
      <c r="AE669" t="str">
        <f t="shared" si="222"/>
        <v>Save-LeftPad</v>
      </c>
      <c r="AF669" t="str">
        <f t="shared" si="223"/>
        <v>Offensive</v>
      </c>
      <c r="AG669">
        <f t="shared" si="229"/>
        <v>18981</v>
      </c>
      <c r="AH669" t="str">
        <f t="shared" si="230"/>
        <v>Nelson</v>
      </c>
      <c r="AI669" t="str">
        <f t="shared" si="231"/>
        <v>Velodrome</v>
      </c>
      <c r="AJ669" s="18">
        <f t="shared" si="224"/>
        <v>0</v>
      </c>
      <c r="AP669" s="18">
        <f t="shared" si="225"/>
        <v>0</v>
      </c>
      <c r="AQ669">
        <f t="shared" si="226"/>
        <v>0</v>
      </c>
      <c r="AR669" s="23">
        <f t="shared" si="227"/>
        <v>850</v>
      </c>
      <c r="AS669">
        <f t="shared" si="232"/>
        <v>845</v>
      </c>
      <c r="AT669" s="21">
        <f t="shared" si="233"/>
        <v>850</v>
      </c>
      <c r="AU669" s="21"/>
      <c r="AV669" s="21"/>
      <c r="AW669" s="21"/>
    </row>
    <row r="670" spans="1:49" x14ac:dyDescent="0.2">
      <c r="A670">
        <v>356</v>
      </c>
      <c r="E670">
        <f t="shared" si="228"/>
        <v>1</v>
      </c>
      <c r="F670" s="5" t="s">
        <v>531</v>
      </c>
      <c r="G670" s="5" t="s">
        <v>522</v>
      </c>
      <c r="J670" t="str">
        <f t="shared" si="235"/>
        <v>3</v>
      </c>
      <c r="K670" t="str">
        <f t="shared" si="236"/>
        <v>50</v>
      </c>
      <c r="L670" t="str">
        <f t="shared" si="237"/>
        <v/>
      </c>
      <c r="M670" s="6" t="str">
        <f t="shared" si="238"/>
        <v/>
      </c>
      <c r="N670" t="s">
        <v>178</v>
      </c>
      <c r="O670">
        <v>31</v>
      </c>
      <c r="P670" t="s">
        <v>424</v>
      </c>
      <c r="Q670" t="s">
        <v>270</v>
      </c>
      <c r="R670" t="s">
        <v>271</v>
      </c>
      <c r="Y670" t="str">
        <f t="shared" si="218"/>
        <v/>
      </c>
      <c r="Z670" t="str">
        <f t="shared" si="219"/>
        <v/>
      </c>
      <c r="AC670" t="str">
        <f t="shared" si="220"/>
        <v>Rebound</v>
      </c>
      <c r="AD670" t="str">
        <f t="shared" si="221"/>
        <v>Rebound_TeamRecovered</v>
      </c>
      <c r="AE670" t="str">
        <f t="shared" si="222"/>
        <v/>
      </c>
      <c r="AF670" t="str">
        <f t="shared" si="223"/>
        <v>Offensive</v>
      </c>
      <c r="AG670">
        <f t="shared" si="229"/>
        <v>18981</v>
      </c>
      <c r="AH670" t="str">
        <f t="shared" si="230"/>
        <v>Nelson</v>
      </c>
      <c r="AI670" t="str">
        <f t="shared" si="231"/>
        <v>Velodrome</v>
      </c>
      <c r="AJ670" s="18">
        <f t="shared" si="224"/>
        <v>0</v>
      </c>
      <c r="AP670" s="18">
        <f t="shared" si="225"/>
        <v>0</v>
      </c>
      <c r="AQ670">
        <f t="shared" si="226"/>
        <v>0</v>
      </c>
      <c r="AR670" s="23">
        <f t="shared" si="227"/>
        <v>850</v>
      </c>
      <c r="AS670">
        <f t="shared" si="232"/>
        <v>845</v>
      </c>
      <c r="AT670" s="21">
        <f t="shared" si="233"/>
        <v>850</v>
      </c>
      <c r="AU670" s="21"/>
      <c r="AV670" s="21"/>
      <c r="AW670" s="21"/>
    </row>
    <row r="671" spans="1:49" x14ac:dyDescent="0.2">
      <c r="A671">
        <v>357</v>
      </c>
      <c r="E671">
        <f t="shared" si="228"/>
        <v>1</v>
      </c>
      <c r="F671" s="5" t="s">
        <v>531</v>
      </c>
      <c r="G671" s="5" t="s">
        <v>520</v>
      </c>
      <c r="J671" t="str">
        <f t="shared" si="235"/>
        <v>3</v>
      </c>
      <c r="K671" t="str">
        <f t="shared" si="236"/>
        <v>48</v>
      </c>
      <c r="L671" t="str">
        <f t="shared" si="237"/>
        <v/>
      </c>
      <c r="M671" s="6" t="str">
        <f t="shared" si="238"/>
        <v/>
      </c>
      <c r="N671" t="s">
        <v>178</v>
      </c>
      <c r="O671">
        <v>8</v>
      </c>
      <c r="P671" t="s">
        <v>424</v>
      </c>
      <c r="Q671" t="s">
        <v>10</v>
      </c>
      <c r="R671" t="s">
        <v>190</v>
      </c>
      <c r="S671" t="s">
        <v>422</v>
      </c>
      <c r="Y671" t="str">
        <f t="shared" si="218"/>
        <v/>
      </c>
      <c r="Z671" t="str">
        <f t="shared" si="219"/>
        <v/>
      </c>
      <c r="AC671" t="str">
        <f t="shared" si="220"/>
        <v>Turnover</v>
      </c>
      <c r="AD671" t="str">
        <f t="shared" si="221"/>
        <v>Turnover_Giveaway</v>
      </c>
      <c r="AE671" t="str">
        <f t="shared" si="222"/>
        <v>Giveaway-AttemptedZoneClear/Dump</v>
      </c>
      <c r="AF671" t="str">
        <f t="shared" si="223"/>
        <v>Offensive</v>
      </c>
      <c r="AG671">
        <f t="shared" si="229"/>
        <v>18981</v>
      </c>
      <c r="AH671" t="str">
        <f t="shared" si="230"/>
        <v>Nelson</v>
      </c>
      <c r="AI671" t="str">
        <f t="shared" si="231"/>
        <v>Velodrome</v>
      </c>
      <c r="AJ671" s="18">
        <f t="shared" si="224"/>
        <v>0</v>
      </c>
      <c r="AP671" s="18">
        <f t="shared" si="225"/>
        <v>0</v>
      </c>
      <c r="AQ671">
        <f t="shared" si="226"/>
        <v>0</v>
      </c>
      <c r="AR671" s="23">
        <f t="shared" si="227"/>
        <v>852</v>
      </c>
      <c r="AS671">
        <f t="shared" si="232"/>
        <v>847</v>
      </c>
      <c r="AT671" s="21">
        <f t="shared" si="233"/>
        <v>852</v>
      </c>
      <c r="AU671" s="21"/>
      <c r="AV671" s="21"/>
      <c r="AW671" s="21"/>
    </row>
    <row r="672" spans="1:49" x14ac:dyDescent="0.2">
      <c r="A672">
        <v>358</v>
      </c>
      <c r="E672">
        <f t="shared" si="228"/>
        <v>1</v>
      </c>
      <c r="F672" s="5" t="s">
        <v>531</v>
      </c>
      <c r="G672" s="5" t="s">
        <v>519</v>
      </c>
      <c r="J672" t="str">
        <f t="shared" si="235"/>
        <v>3</v>
      </c>
      <c r="K672" t="str">
        <f t="shared" si="236"/>
        <v>47</v>
      </c>
      <c r="L672" t="str">
        <f t="shared" si="237"/>
        <v/>
      </c>
      <c r="M672" s="6" t="str">
        <f t="shared" si="238"/>
        <v/>
      </c>
      <c r="N672" t="s">
        <v>179</v>
      </c>
      <c r="O672">
        <v>70</v>
      </c>
      <c r="P672" t="s">
        <v>424</v>
      </c>
      <c r="Q672" t="s">
        <v>277</v>
      </c>
      <c r="R672" t="s">
        <v>210</v>
      </c>
      <c r="S672" t="s">
        <v>93</v>
      </c>
      <c r="Y672" t="str">
        <f t="shared" si="218"/>
        <v/>
      </c>
      <c r="Z672" t="str">
        <f t="shared" si="219"/>
        <v/>
      </c>
      <c r="AC672" t="str">
        <f t="shared" si="220"/>
        <v>Zone_Entry_Exit</v>
      </c>
      <c r="AD672" t="str">
        <f t="shared" si="221"/>
        <v>Zone_Keepin</v>
      </c>
      <c r="AE672" t="str">
        <f t="shared" si="222"/>
        <v>Zone-KeepIn</v>
      </c>
      <c r="AF672" t="str">
        <f t="shared" si="223"/>
        <v>Offensive</v>
      </c>
      <c r="AG672">
        <f t="shared" si="229"/>
        <v>18981</v>
      </c>
      <c r="AH672" t="str">
        <f t="shared" si="230"/>
        <v>Nelson</v>
      </c>
      <c r="AI672" t="str">
        <f t="shared" si="231"/>
        <v>Velodrome</v>
      </c>
      <c r="AJ672" s="18">
        <f t="shared" si="224"/>
        <v>0</v>
      </c>
      <c r="AP672" s="18">
        <f t="shared" si="225"/>
        <v>0</v>
      </c>
      <c r="AQ672">
        <f t="shared" si="226"/>
        <v>0</v>
      </c>
      <c r="AR672" s="23">
        <f t="shared" si="227"/>
        <v>853</v>
      </c>
      <c r="AS672">
        <f t="shared" si="232"/>
        <v>848</v>
      </c>
      <c r="AT672" s="21">
        <f t="shared" si="233"/>
        <v>853</v>
      </c>
      <c r="AU672" s="21"/>
      <c r="AV672" s="21"/>
      <c r="AW672" s="21"/>
    </row>
    <row r="673" spans="1:49" x14ac:dyDescent="0.2">
      <c r="A673">
        <v>359</v>
      </c>
      <c r="E673">
        <f t="shared" si="228"/>
        <v>1</v>
      </c>
      <c r="F673" s="5" t="s">
        <v>531</v>
      </c>
      <c r="G673" s="5" t="s">
        <v>516</v>
      </c>
      <c r="J673" t="str">
        <f t="shared" si="235"/>
        <v>3</v>
      </c>
      <c r="K673" t="str">
        <f t="shared" si="236"/>
        <v>44</v>
      </c>
      <c r="L673" t="str">
        <f t="shared" si="237"/>
        <v/>
      </c>
      <c r="M673" s="6" t="str">
        <f t="shared" si="238"/>
        <v/>
      </c>
      <c r="N673" t="s">
        <v>179</v>
      </c>
      <c r="O673">
        <v>70</v>
      </c>
      <c r="P673" t="s">
        <v>424</v>
      </c>
      <c r="Q673" t="s">
        <v>7</v>
      </c>
      <c r="R673" t="s">
        <v>208</v>
      </c>
      <c r="S673" t="s">
        <v>53</v>
      </c>
      <c r="Y673" t="str">
        <f t="shared" si="218"/>
        <v/>
      </c>
      <c r="Z673" t="str">
        <f t="shared" si="219"/>
        <v/>
      </c>
      <c r="AC673" t="str">
        <f t="shared" si="220"/>
        <v>Shot</v>
      </c>
      <c r="AD673" t="str">
        <f t="shared" si="221"/>
        <v>Shot_Blocked</v>
      </c>
      <c r="AE673" t="str">
        <f t="shared" si="222"/>
        <v>Shot-Wrist</v>
      </c>
      <c r="AF673" t="str">
        <f t="shared" si="223"/>
        <v>Offensive</v>
      </c>
      <c r="AG673">
        <f t="shared" si="229"/>
        <v>18981</v>
      </c>
      <c r="AH673" t="str">
        <f t="shared" si="230"/>
        <v>Nelson</v>
      </c>
      <c r="AI673" t="str">
        <f t="shared" si="231"/>
        <v>Velodrome</v>
      </c>
      <c r="AJ673" s="18">
        <f t="shared" si="224"/>
        <v>0</v>
      </c>
      <c r="AP673" s="18">
        <f t="shared" si="225"/>
        <v>0</v>
      </c>
      <c r="AQ673">
        <f t="shared" si="226"/>
        <v>0</v>
      </c>
      <c r="AR673" s="23">
        <f t="shared" si="227"/>
        <v>856</v>
      </c>
      <c r="AS673">
        <f t="shared" si="232"/>
        <v>851</v>
      </c>
      <c r="AT673" s="21">
        <f t="shared" si="233"/>
        <v>856</v>
      </c>
      <c r="AU673" s="21"/>
      <c r="AV673" s="21"/>
      <c r="AW673" s="21"/>
    </row>
    <row r="674" spans="1:49" x14ac:dyDescent="0.2">
      <c r="A674">
        <v>359</v>
      </c>
      <c r="E674">
        <f t="shared" si="228"/>
        <v>1</v>
      </c>
      <c r="J674" t="str">
        <f t="shared" si="235"/>
        <v>3</v>
      </c>
      <c r="K674" t="str">
        <f t="shared" si="236"/>
        <v>44</v>
      </c>
      <c r="L674" t="str">
        <f t="shared" si="237"/>
        <v/>
      </c>
      <c r="M674" s="6" t="str">
        <f t="shared" si="238"/>
        <v/>
      </c>
      <c r="N674" t="str">
        <f t="shared" si="234"/>
        <v>Away</v>
      </c>
      <c r="O674">
        <v>44</v>
      </c>
      <c r="P674" t="s">
        <v>425</v>
      </c>
      <c r="Y674" t="str">
        <f t="shared" si="218"/>
        <v/>
      </c>
      <c r="Z674" t="str">
        <f t="shared" si="219"/>
        <v/>
      </c>
      <c r="AC674" t="str">
        <f t="shared" si="220"/>
        <v>Shot</v>
      </c>
      <c r="AD674" t="str">
        <f t="shared" si="221"/>
        <v>Shot_Blocked</v>
      </c>
      <c r="AE674" t="str">
        <f t="shared" si="222"/>
        <v>Shot-Wrist</v>
      </c>
      <c r="AF674" t="str">
        <f t="shared" si="223"/>
        <v>Defensive</v>
      </c>
      <c r="AG674">
        <f t="shared" si="229"/>
        <v>18981</v>
      </c>
      <c r="AH674" t="str">
        <f t="shared" si="230"/>
        <v>Nelson</v>
      </c>
      <c r="AI674" t="str">
        <f t="shared" si="231"/>
        <v>Velodrome</v>
      </c>
      <c r="AJ674" s="18">
        <f t="shared" si="224"/>
        <v>0</v>
      </c>
      <c r="AP674" s="18">
        <f t="shared" si="225"/>
        <v>0</v>
      </c>
      <c r="AQ674">
        <f t="shared" si="226"/>
        <v>0</v>
      </c>
      <c r="AR674" s="23">
        <f t="shared" si="227"/>
        <v>856</v>
      </c>
      <c r="AS674">
        <f t="shared" si="232"/>
        <v>851</v>
      </c>
      <c r="AT674" s="21">
        <f t="shared" si="233"/>
        <v>856</v>
      </c>
      <c r="AU674" s="21"/>
      <c r="AV674" s="21"/>
      <c r="AW674" s="21"/>
    </row>
    <row r="675" spans="1:49" x14ac:dyDescent="0.2">
      <c r="A675">
        <v>360</v>
      </c>
      <c r="E675">
        <f t="shared" si="228"/>
        <v>1</v>
      </c>
      <c r="F675" s="5" t="s">
        <v>531</v>
      </c>
      <c r="G675" s="5" t="s">
        <v>516</v>
      </c>
      <c r="J675" t="str">
        <f t="shared" si="235"/>
        <v>3</v>
      </c>
      <c r="K675" t="str">
        <f t="shared" si="236"/>
        <v>44</v>
      </c>
      <c r="L675" t="str">
        <f t="shared" si="237"/>
        <v/>
      </c>
      <c r="M675" s="6" t="str">
        <f t="shared" si="238"/>
        <v/>
      </c>
      <c r="N675" t="s">
        <v>179</v>
      </c>
      <c r="O675">
        <v>70</v>
      </c>
      <c r="P675" t="s">
        <v>424</v>
      </c>
      <c r="Q675" t="s">
        <v>10</v>
      </c>
      <c r="R675" t="s">
        <v>190</v>
      </c>
      <c r="S675" t="s">
        <v>78</v>
      </c>
      <c r="Y675" t="str">
        <f t="shared" si="218"/>
        <v/>
      </c>
      <c r="Z675" t="str">
        <f t="shared" si="219"/>
        <v/>
      </c>
      <c r="AC675" t="str">
        <f t="shared" si="220"/>
        <v>Turnover</v>
      </c>
      <c r="AD675" t="str">
        <f t="shared" si="221"/>
        <v>Turnover_Giveaway</v>
      </c>
      <c r="AE675" t="str">
        <f t="shared" si="222"/>
        <v>Giveaway-ShotBlocked</v>
      </c>
      <c r="AF675" t="str">
        <f t="shared" si="223"/>
        <v>Offensive</v>
      </c>
      <c r="AG675">
        <f t="shared" si="229"/>
        <v>18981</v>
      </c>
      <c r="AH675" t="str">
        <f t="shared" si="230"/>
        <v>Nelson</v>
      </c>
      <c r="AI675" t="str">
        <f t="shared" si="231"/>
        <v>Velodrome</v>
      </c>
      <c r="AJ675" s="18">
        <f t="shared" si="224"/>
        <v>0</v>
      </c>
      <c r="AP675" s="18">
        <f t="shared" si="225"/>
        <v>0</v>
      </c>
      <c r="AQ675">
        <f t="shared" si="226"/>
        <v>0</v>
      </c>
      <c r="AR675" s="23">
        <f t="shared" si="227"/>
        <v>856</v>
      </c>
      <c r="AS675">
        <f t="shared" si="232"/>
        <v>851</v>
      </c>
      <c r="AT675" s="21">
        <f t="shared" si="233"/>
        <v>856</v>
      </c>
      <c r="AU675" s="21"/>
      <c r="AV675" s="21"/>
      <c r="AW675" s="21"/>
    </row>
    <row r="676" spans="1:49" x14ac:dyDescent="0.2">
      <c r="A676">
        <v>360</v>
      </c>
      <c r="E676">
        <f t="shared" si="228"/>
        <v>1</v>
      </c>
      <c r="J676" t="str">
        <f t="shared" si="235"/>
        <v>3</v>
      </c>
      <c r="K676" t="str">
        <f t="shared" si="236"/>
        <v>44</v>
      </c>
      <c r="L676" t="str">
        <f t="shared" si="237"/>
        <v/>
      </c>
      <c r="M676" s="6" t="str">
        <f t="shared" si="238"/>
        <v/>
      </c>
      <c r="N676" t="str">
        <f t="shared" si="234"/>
        <v>Away</v>
      </c>
      <c r="O676">
        <v>44</v>
      </c>
      <c r="P676" t="s">
        <v>425</v>
      </c>
      <c r="Y676" t="str">
        <f t="shared" si="218"/>
        <v/>
      </c>
      <c r="Z676" t="str">
        <f t="shared" si="219"/>
        <v/>
      </c>
      <c r="AC676" t="str">
        <f t="shared" si="220"/>
        <v>Turnover</v>
      </c>
      <c r="AD676" t="str">
        <f t="shared" si="221"/>
        <v>Turnover_Giveaway</v>
      </c>
      <c r="AE676" t="str">
        <f t="shared" si="222"/>
        <v>Giveaway-ShotBlocked</v>
      </c>
      <c r="AF676" t="str">
        <f t="shared" si="223"/>
        <v>Defensive</v>
      </c>
      <c r="AG676">
        <f t="shared" si="229"/>
        <v>18981</v>
      </c>
      <c r="AH676" t="str">
        <f t="shared" si="230"/>
        <v>Nelson</v>
      </c>
      <c r="AI676" t="str">
        <f t="shared" si="231"/>
        <v>Velodrome</v>
      </c>
      <c r="AJ676" s="18">
        <f t="shared" si="224"/>
        <v>0</v>
      </c>
      <c r="AP676" s="18">
        <f t="shared" si="225"/>
        <v>0</v>
      </c>
      <c r="AQ676">
        <f t="shared" si="226"/>
        <v>0</v>
      </c>
      <c r="AR676" s="23">
        <f t="shared" si="227"/>
        <v>856</v>
      </c>
      <c r="AS676">
        <f t="shared" si="232"/>
        <v>851</v>
      </c>
      <c r="AT676" s="21">
        <f t="shared" si="233"/>
        <v>856</v>
      </c>
      <c r="AU676" s="21"/>
      <c r="AV676" s="21"/>
      <c r="AW676" s="21"/>
    </row>
    <row r="677" spans="1:49" x14ac:dyDescent="0.2">
      <c r="A677">
        <v>361</v>
      </c>
      <c r="E677">
        <f t="shared" si="228"/>
        <v>1</v>
      </c>
      <c r="F677" s="5" t="s">
        <v>531</v>
      </c>
      <c r="G677" s="5" t="s">
        <v>516</v>
      </c>
      <c r="H677" s="5" t="s">
        <v>531</v>
      </c>
      <c r="I677" s="7" t="s">
        <v>513</v>
      </c>
      <c r="J677" t="str">
        <f t="shared" si="235"/>
        <v>3</v>
      </c>
      <c r="K677" t="str">
        <f t="shared" si="236"/>
        <v>44</v>
      </c>
      <c r="L677" t="str">
        <f t="shared" si="237"/>
        <v>3</v>
      </c>
      <c r="M677" s="6" t="str">
        <f t="shared" si="238"/>
        <v>41</v>
      </c>
      <c r="N677" t="s">
        <v>178</v>
      </c>
      <c r="O677">
        <v>80</v>
      </c>
      <c r="P677" t="s">
        <v>424</v>
      </c>
      <c r="Q677" t="s">
        <v>15</v>
      </c>
      <c r="Y677" t="str">
        <f t="shared" si="218"/>
        <v/>
      </c>
      <c r="Z677" t="str">
        <f t="shared" si="219"/>
        <v/>
      </c>
      <c r="AC677" t="str">
        <f t="shared" si="220"/>
        <v>Possession</v>
      </c>
      <c r="AD677" t="str">
        <f t="shared" si="221"/>
        <v/>
      </c>
      <c r="AE677" t="str">
        <f t="shared" si="222"/>
        <v/>
      </c>
      <c r="AF677" t="str">
        <f t="shared" si="223"/>
        <v>Offensive</v>
      </c>
      <c r="AG677">
        <f t="shared" si="229"/>
        <v>18981</v>
      </c>
      <c r="AH677" t="str">
        <f t="shared" si="230"/>
        <v>Nelson</v>
      </c>
      <c r="AI677" t="str">
        <f t="shared" si="231"/>
        <v>Velodrome</v>
      </c>
      <c r="AJ677" s="18">
        <f t="shared" si="224"/>
        <v>3</v>
      </c>
      <c r="AP677" s="18">
        <f t="shared" si="225"/>
        <v>0</v>
      </c>
      <c r="AQ677">
        <f t="shared" si="226"/>
        <v>0</v>
      </c>
      <c r="AR677" s="23">
        <f t="shared" si="227"/>
        <v>856</v>
      </c>
      <c r="AS677">
        <f t="shared" si="232"/>
        <v>851</v>
      </c>
      <c r="AT677" s="21">
        <f t="shared" si="233"/>
        <v>859</v>
      </c>
      <c r="AU677" s="21"/>
      <c r="AV677" s="21"/>
      <c r="AW677" s="21"/>
    </row>
    <row r="678" spans="1:49" x14ac:dyDescent="0.2">
      <c r="A678">
        <v>362</v>
      </c>
      <c r="E678">
        <f t="shared" si="228"/>
        <v>1</v>
      </c>
      <c r="F678" s="5" t="s">
        <v>531</v>
      </c>
      <c r="G678" s="5" t="s">
        <v>513</v>
      </c>
      <c r="J678" t="str">
        <f t="shared" si="235"/>
        <v>3</v>
      </c>
      <c r="K678" t="str">
        <f t="shared" si="236"/>
        <v>41</v>
      </c>
      <c r="L678" t="str">
        <f t="shared" si="237"/>
        <v/>
      </c>
      <c r="M678" s="6" t="str">
        <f t="shared" si="238"/>
        <v/>
      </c>
      <c r="N678" t="s">
        <v>178</v>
      </c>
      <c r="O678">
        <v>80</v>
      </c>
      <c r="P678" t="s">
        <v>424</v>
      </c>
      <c r="Q678" t="s">
        <v>8</v>
      </c>
      <c r="R678" t="s">
        <v>199</v>
      </c>
      <c r="S678" t="s">
        <v>438</v>
      </c>
      <c r="Y678" t="str">
        <f t="shared" si="218"/>
        <v/>
      </c>
      <c r="Z678" t="str">
        <f t="shared" si="219"/>
        <v/>
      </c>
      <c r="AC678" t="str">
        <f t="shared" si="220"/>
        <v>Pass</v>
      </c>
      <c r="AD678" t="str">
        <f t="shared" si="221"/>
        <v>Pass_Missed</v>
      </c>
      <c r="AE678" t="str">
        <f t="shared" si="222"/>
        <v>Pass-Lob</v>
      </c>
      <c r="AF678" t="str">
        <f t="shared" si="223"/>
        <v>Offensive</v>
      </c>
      <c r="AG678">
        <f t="shared" si="229"/>
        <v>18981</v>
      </c>
      <c r="AH678" t="str">
        <f t="shared" si="230"/>
        <v>Nelson</v>
      </c>
      <c r="AI678" t="str">
        <f t="shared" si="231"/>
        <v>Velodrome</v>
      </c>
      <c r="AJ678" s="18">
        <f t="shared" si="224"/>
        <v>0</v>
      </c>
      <c r="AP678" s="18">
        <f t="shared" si="225"/>
        <v>0</v>
      </c>
      <c r="AQ678">
        <f t="shared" si="226"/>
        <v>0</v>
      </c>
      <c r="AR678" s="23">
        <f t="shared" si="227"/>
        <v>859</v>
      </c>
      <c r="AS678">
        <f t="shared" si="232"/>
        <v>854</v>
      </c>
      <c r="AT678" s="21">
        <f t="shared" si="233"/>
        <v>859</v>
      </c>
      <c r="AU678" s="21"/>
      <c r="AV678" s="21"/>
      <c r="AW678" s="21"/>
    </row>
    <row r="679" spans="1:49" x14ac:dyDescent="0.2">
      <c r="A679">
        <v>362</v>
      </c>
      <c r="E679">
        <f t="shared" si="228"/>
        <v>1</v>
      </c>
      <c r="J679" t="str">
        <f t="shared" si="235"/>
        <v>3</v>
      </c>
      <c r="K679" t="str">
        <f t="shared" si="236"/>
        <v>41</v>
      </c>
      <c r="L679" t="str">
        <f t="shared" si="237"/>
        <v/>
      </c>
      <c r="M679" s="6" t="str">
        <f t="shared" si="238"/>
        <v/>
      </c>
      <c r="N679" t="str">
        <f t="shared" si="234"/>
        <v>Home</v>
      </c>
      <c r="O679">
        <v>7</v>
      </c>
      <c r="P679" t="s">
        <v>424</v>
      </c>
      <c r="Y679" t="str">
        <f t="shared" si="218"/>
        <v/>
      </c>
      <c r="Z679" t="str">
        <f t="shared" si="219"/>
        <v/>
      </c>
      <c r="AC679" t="str">
        <f t="shared" si="220"/>
        <v>Pass</v>
      </c>
      <c r="AD679" t="str">
        <f t="shared" si="221"/>
        <v>Pass_Missed</v>
      </c>
      <c r="AE679" t="str">
        <f t="shared" si="222"/>
        <v>Pass-Lob</v>
      </c>
      <c r="AF679" t="str">
        <f t="shared" si="223"/>
        <v>Offensive</v>
      </c>
      <c r="AG679">
        <f t="shared" si="229"/>
        <v>18981</v>
      </c>
      <c r="AH679" t="str">
        <f t="shared" si="230"/>
        <v>Nelson</v>
      </c>
      <c r="AI679" t="str">
        <f t="shared" si="231"/>
        <v>Velodrome</v>
      </c>
      <c r="AJ679" s="18">
        <f t="shared" si="224"/>
        <v>0</v>
      </c>
      <c r="AP679" s="18">
        <f t="shared" si="225"/>
        <v>0</v>
      </c>
      <c r="AQ679">
        <f t="shared" si="226"/>
        <v>0</v>
      </c>
      <c r="AR679" s="23">
        <f t="shared" si="227"/>
        <v>859</v>
      </c>
      <c r="AS679">
        <f t="shared" si="232"/>
        <v>854</v>
      </c>
      <c r="AT679" s="21">
        <f t="shared" si="233"/>
        <v>859</v>
      </c>
      <c r="AU679" s="21"/>
      <c r="AV679" s="21"/>
      <c r="AW679" s="21"/>
    </row>
    <row r="680" spans="1:49" x14ac:dyDescent="0.2">
      <c r="A680">
        <v>363</v>
      </c>
      <c r="E680">
        <f t="shared" si="228"/>
        <v>1</v>
      </c>
      <c r="F680" s="5" t="s">
        <v>531</v>
      </c>
      <c r="G680" s="5" t="s">
        <v>513</v>
      </c>
      <c r="J680" t="str">
        <f t="shared" si="235"/>
        <v>3</v>
      </c>
      <c r="K680" t="str">
        <f t="shared" si="236"/>
        <v>41</v>
      </c>
      <c r="L680" t="str">
        <f t="shared" si="237"/>
        <v/>
      </c>
      <c r="M680" s="6" t="str">
        <f t="shared" si="238"/>
        <v/>
      </c>
      <c r="N680" t="s">
        <v>178</v>
      </c>
      <c r="O680">
        <v>80</v>
      </c>
      <c r="P680" t="s">
        <v>424</v>
      </c>
      <c r="Q680" t="s">
        <v>277</v>
      </c>
      <c r="R680" t="s">
        <v>201</v>
      </c>
      <c r="S680" t="s">
        <v>437</v>
      </c>
      <c r="Y680" t="str">
        <f t="shared" si="218"/>
        <v/>
      </c>
      <c r="Z680" t="str">
        <f t="shared" si="219"/>
        <v/>
      </c>
      <c r="AC680" t="str">
        <f t="shared" si="220"/>
        <v>Zone_Entry_Exit</v>
      </c>
      <c r="AD680" t="str">
        <f t="shared" si="221"/>
        <v>Zone_Exit</v>
      </c>
      <c r="AE680" t="str">
        <f t="shared" si="222"/>
        <v>ZoneExit-Lob</v>
      </c>
      <c r="AF680" t="str">
        <f t="shared" si="223"/>
        <v>Offensive</v>
      </c>
      <c r="AG680">
        <f t="shared" si="229"/>
        <v>18981</v>
      </c>
      <c r="AH680" t="str">
        <f t="shared" si="230"/>
        <v>Nelson</v>
      </c>
      <c r="AI680" t="str">
        <f t="shared" si="231"/>
        <v>Velodrome</v>
      </c>
      <c r="AJ680" s="18">
        <f t="shared" si="224"/>
        <v>0</v>
      </c>
      <c r="AP680" s="18">
        <f t="shared" si="225"/>
        <v>0</v>
      </c>
      <c r="AQ680">
        <f t="shared" si="226"/>
        <v>0</v>
      </c>
      <c r="AR680" s="23">
        <f t="shared" si="227"/>
        <v>859</v>
      </c>
      <c r="AS680">
        <f t="shared" si="232"/>
        <v>854</v>
      </c>
      <c r="AT680" s="21">
        <f t="shared" si="233"/>
        <v>859</v>
      </c>
      <c r="AU680" s="21"/>
      <c r="AV680" s="21"/>
      <c r="AW680" s="21"/>
    </row>
    <row r="681" spans="1:49" x14ac:dyDescent="0.2">
      <c r="A681">
        <v>363</v>
      </c>
      <c r="E681">
        <f t="shared" si="228"/>
        <v>1</v>
      </c>
      <c r="J681" t="str">
        <f t="shared" si="235"/>
        <v>3</v>
      </c>
      <c r="K681" t="str">
        <f t="shared" si="236"/>
        <v>41</v>
      </c>
      <c r="L681" t="str">
        <f t="shared" si="237"/>
        <v/>
      </c>
      <c r="M681" s="6" t="str">
        <f t="shared" si="238"/>
        <v/>
      </c>
      <c r="N681" t="str">
        <f t="shared" si="234"/>
        <v>Home</v>
      </c>
      <c r="O681">
        <v>7</v>
      </c>
      <c r="P681" t="s">
        <v>424</v>
      </c>
      <c r="Y681" t="str">
        <f t="shared" si="218"/>
        <v/>
      </c>
      <c r="Z681" t="str">
        <f t="shared" si="219"/>
        <v/>
      </c>
      <c r="AC681" t="str">
        <f t="shared" si="220"/>
        <v>Zone_Entry_Exit</v>
      </c>
      <c r="AD681" t="str">
        <f t="shared" si="221"/>
        <v>Zone_Exit</v>
      </c>
      <c r="AE681" t="str">
        <f t="shared" si="222"/>
        <v>ZoneExit-Lob</v>
      </c>
      <c r="AF681" t="str">
        <f t="shared" si="223"/>
        <v>Offensive</v>
      </c>
      <c r="AG681">
        <f t="shared" si="229"/>
        <v>18981</v>
      </c>
      <c r="AH681" t="str">
        <f t="shared" si="230"/>
        <v>Nelson</v>
      </c>
      <c r="AI681" t="str">
        <f t="shared" si="231"/>
        <v>Velodrome</v>
      </c>
      <c r="AJ681" s="18">
        <f t="shared" si="224"/>
        <v>0</v>
      </c>
      <c r="AP681" s="18">
        <f t="shared" si="225"/>
        <v>0</v>
      </c>
      <c r="AQ681">
        <f t="shared" si="226"/>
        <v>0</v>
      </c>
      <c r="AR681" s="23">
        <f t="shared" si="227"/>
        <v>859</v>
      </c>
      <c r="AS681">
        <f t="shared" si="232"/>
        <v>854</v>
      </c>
      <c r="AT681" s="21">
        <f t="shared" si="233"/>
        <v>859</v>
      </c>
      <c r="AU681" s="21"/>
      <c r="AV681" s="21"/>
      <c r="AW681" s="21"/>
    </row>
    <row r="682" spans="1:49" x14ac:dyDescent="0.2">
      <c r="A682">
        <v>364</v>
      </c>
      <c r="E682">
        <f t="shared" si="228"/>
        <v>1</v>
      </c>
      <c r="F682" s="5" t="s">
        <v>531</v>
      </c>
      <c r="G682" s="5" t="s">
        <v>513</v>
      </c>
      <c r="J682" t="str">
        <f t="shared" si="235"/>
        <v>3</v>
      </c>
      <c r="K682" t="str">
        <f t="shared" si="236"/>
        <v>41</v>
      </c>
      <c r="L682" t="str">
        <f t="shared" si="237"/>
        <v/>
      </c>
      <c r="M682" s="6" t="str">
        <f t="shared" si="238"/>
        <v/>
      </c>
      <c r="N682" t="s">
        <v>178</v>
      </c>
      <c r="O682">
        <v>80</v>
      </c>
      <c r="P682" t="s">
        <v>424</v>
      </c>
      <c r="Q682" t="s">
        <v>10</v>
      </c>
      <c r="R682" t="s">
        <v>190</v>
      </c>
      <c r="S682" t="s">
        <v>411</v>
      </c>
      <c r="Y682" t="str">
        <f t="shared" si="218"/>
        <v/>
      </c>
      <c r="Z682" t="str">
        <f t="shared" si="219"/>
        <v/>
      </c>
      <c r="AC682" t="str">
        <f t="shared" si="220"/>
        <v>Turnover</v>
      </c>
      <c r="AD682" t="str">
        <f t="shared" si="221"/>
        <v>Turnover_Giveaway</v>
      </c>
      <c r="AE682" t="str">
        <f t="shared" si="222"/>
        <v>Giveaway-ZoneClear/Dump</v>
      </c>
      <c r="AF682" t="str">
        <f t="shared" si="223"/>
        <v>Offensive</v>
      </c>
      <c r="AG682">
        <f t="shared" si="229"/>
        <v>18981</v>
      </c>
      <c r="AH682" t="str">
        <f t="shared" si="230"/>
        <v>Nelson</v>
      </c>
      <c r="AI682" t="str">
        <f t="shared" si="231"/>
        <v>Velodrome</v>
      </c>
      <c r="AJ682" s="18">
        <f t="shared" si="224"/>
        <v>0</v>
      </c>
      <c r="AP682" s="18">
        <f t="shared" si="225"/>
        <v>0</v>
      </c>
      <c r="AQ682">
        <f t="shared" si="226"/>
        <v>0</v>
      </c>
      <c r="AR682" s="23">
        <f t="shared" si="227"/>
        <v>859</v>
      </c>
      <c r="AS682">
        <f t="shared" si="232"/>
        <v>854</v>
      </c>
      <c r="AT682" s="21">
        <f t="shared" si="233"/>
        <v>859</v>
      </c>
      <c r="AU682" s="21"/>
      <c r="AV682" s="21"/>
      <c r="AW682" s="21"/>
    </row>
    <row r="683" spans="1:49" x14ac:dyDescent="0.2">
      <c r="A683">
        <v>365</v>
      </c>
      <c r="E683">
        <f t="shared" si="228"/>
        <v>1</v>
      </c>
      <c r="F683" s="5" t="s">
        <v>531</v>
      </c>
      <c r="G683" s="5" t="s">
        <v>510</v>
      </c>
      <c r="J683" t="str">
        <f t="shared" si="235"/>
        <v>3</v>
      </c>
      <c r="K683" t="str">
        <f t="shared" si="236"/>
        <v>38</v>
      </c>
      <c r="L683" t="str">
        <f t="shared" si="237"/>
        <v/>
      </c>
      <c r="M683" s="6" t="str">
        <f t="shared" si="238"/>
        <v/>
      </c>
      <c r="N683" t="s">
        <v>179</v>
      </c>
      <c r="O683">
        <v>93</v>
      </c>
      <c r="P683" t="s">
        <v>424</v>
      </c>
      <c r="Q683" t="s">
        <v>8</v>
      </c>
      <c r="R683" t="s">
        <v>189</v>
      </c>
      <c r="S683" t="s">
        <v>68</v>
      </c>
      <c r="Y683" t="str">
        <f t="shared" si="218"/>
        <v/>
      </c>
      <c r="Z683" t="str">
        <f t="shared" si="219"/>
        <v/>
      </c>
      <c r="AC683" t="str">
        <f t="shared" si="220"/>
        <v>Pass</v>
      </c>
      <c r="AD683" t="str">
        <f t="shared" si="221"/>
        <v>Pass_Completed</v>
      </c>
      <c r="AE683" t="str">
        <f t="shared" si="222"/>
        <v>Pass-Rim/Wrap</v>
      </c>
      <c r="AF683" t="str">
        <f t="shared" si="223"/>
        <v>Offensive</v>
      </c>
      <c r="AG683">
        <f t="shared" si="229"/>
        <v>18981</v>
      </c>
      <c r="AH683" t="str">
        <f t="shared" si="230"/>
        <v>Nelson</v>
      </c>
      <c r="AI683" t="str">
        <f t="shared" si="231"/>
        <v>Velodrome</v>
      </c>
      <c r="AJ683" s="18">
        <f t="shared" si="224"/>
        <v>0</v>
      </c>
      <c r="AP683" s="18">
        <f t="shared" si="225"/>
        <v>0</v>
      </c>
      <c r="AQ683">
        <f t="shared" si="226"/>
        <v>0</v>
      </c>
      <c r="AR683" s="23">
        <f t="shared" si="227"/>
        <v>862</v>
      </c>
      <c r="AS683">
        <f t="shared" si="232"/>
        <v>857</v>
      </c>
      <c r="AT683" s="21">
        <f t="shared" si="233"/>
        <v>862</v>
      </c>
      <c r="AU683" s="21"/>
      <c r="AV683" s="21"/>
      <c r="AW683" s="21"/>
    </row>
    <row r="684" spans="1:49" x14ac:dyDescent="0.2">
      <c r="A684">
        <v>365</v>
      </c>
      <c r="E684">
        <f t="shared" si="228"/>
        <v>1</v>
      </c>
      <c r="J684" t="str">
        <f t="shared" si="235"/>
        <v>3</v>
      </c>
      <c r="K684" t="str">
        <f t="shared" si="236"/>
        <v>38</v>
      </c>
      <c r="L684" t="str">
        <f t="shared" si="237"/>
        <v/>
      </c>
      <c r="M684" s="6" t="str">
        <f t="shared" si="238"/>
        <v/>
      </c>
      <c r="N684" t="str">
        <f t="shared" si="234"/>
        <v>Away</v>
      </c>
      <c r="O684">
        <v>87</v>
      </c>
      <c r="P684" t="s">
        <v>424</v>
      </c>
      <c r="Y684" t="str">
        <f t="shared" si="218"/>
        <v/>
      </c>
      <c r="Z684" t="str">
        <f t="shared" si="219"/>
        <v/>
      </c>
      <c r="AC684" t="str">
        <f t="shared" si="220"/>
        <v>Pass</v>
      </c>
      <c r="AD684" t="str">
        <f t="shared" si="221"/>
        <v>Pass_Completed</v>
      </c>
      <c r="AE684" t="str">
        <f t="shared" si="222"/>
        <v>Pass-Rim/Wrap</v>
      </c>
      <c r="AF684" t="str">
        <f t="shared" si="223"/>
        <v>Offensive</v>
      </c>
      <c r="AG684">
        <f t="shared" si="229"/>
        <v>18981</v>
      </c>
      <c r="AH684" t="str">
        <f t="shared" si="230"/>
        <v>Nelson</v>
      </c>
      <c r="AI684" t="str">
        <f t="shared" si="231"/>
        <v>Velodrome</v>
      </c>
      <c r="AJ684" s="18">
        <f t="shared" si="224"/>
        <v>0</v>
      </c>
      <c r="AP684" s="18">
        <f t="shared" si="225"/>
        <v>0</v>
      </c>
      <c r="AQ684">
        <f t="shared" si="226"/>
        <v>0</v>
      </c>
      <c r="AR684" s="23">
        <f t="shared" si="227"/>
        <v>862</v>
      </c>
      <c r="AS684">
        <f t="shared" si="232"/>
        <v>857</v>
      </c>
      <c r="AT684" s="21">
        <f t="shared" si="233"/>
        <v>862</v>
      </c>
      <c r="AU684" s="21"/>
      <c r="AV684" s="21"/>
      <c r="AW684" s="21"/>
    </row>
    <row r="685" spans="1:49" x14ac:dyDescent="0.2">
      <c r="A685">
        <v>366</v>
      </c>
      <c r="E685">
        <f t="shared" si="228"/>
        <v>1</v>
      </c>
      <c r="F685" s="5" t="s">
        <v>531</v>
      </c>
      <c r="G685" s="5" t="s">
        <v>508</v>
      </c>
      <c r="J685" t="str">
        <f t="shared" si="235"/>
        <v>3</v>
      </c>
      <c r="K685" t="str">
        <f t="shared" si="236"/>
        <v>36</v>
      </c>
      <c r="L685" t="str">
        <f t="shared" si="237"/>
        <v/>
      </c>
      <c r="M685" s="6" t="str">
        <f t="shared" si="238"/>
        <v/>
      </c>
      <c r="N685" t="s">
        <v>179</v>
      </c>
      <c r="O685">
        <v>87</v>
      </c>
      <c r="P685" t="s">
        <v>424</v>
      </c>
      <c r="Q685" t="s">
        <v>8</v>
      </c>
      <c r="R685" t="s">
        <v>189</v>
      </c>
      <c r="S685" t="s">
        <v>70</v>
      </c>
      <c r="Y685" t="str">
        <f t="shared" si="218"/>
        <v/>
      </c>
      <c r="Z685" t="str">
        <f t="shared" si="219"/>
        <v/>
      </c>
      <c r="AC685" t="str">
        <f t="shared" si="220"/>
        <v>Pass</v>
      </c>
      <c r="AD685" t="str">
        <f t="shared" si="221"/>
        <v>Pass_Completed</v>
      </c>
      <c r="AE685" t="str">
        <f t="shared" si="222"/>
        <v>Pass-Forehand</v>
      </c>
      <c r="AF685" t="str">
        <f t="shared" si="223"/>
        <v>Offensive</v>
      </c>
      <c r="AG685">
        <f t="shared" si="229"/>
        <v>18981</v>
      </c>
      <c r="AH685" t="str">
        <f t="shared" si="230"/>
        <v>Nelson</v>
      </c>
      <c r="AI685" t="str">
        <f t="shared" si="231"/>
        <v>Velodrome</v>
      </c>
      <c r="AJ685" s="18">
        <f t="shared" si="224"/>
        <v>0</v>
      </c>
      <c r="AP685" s="18">
        <f t="shared" si="225"/>
        <v>0</v>
      </c>
      <c r="AQ685">
        <f t="shared" si="226"/>
        <v>0</v>
      </c>
      <c r="AR685" s="23">
        <f t="shared" si="227"/>
        <v>864</v>
      </c>
      <c r="AS685">
        <f t="shared" si="232"/>
        <v>859</v>
      </c>
      <c r="AT685" s="21">
        <f t="shared" si="233"/>
        <v>864</v>
      </c>
      <c r="AU685" s="21"/>
      <c r="AV685" s="21"/>
      <c r="AW685" s="21"/>
    </row>
    <row r="686" spans="1:49" x14ac:dyDescent="0.2">
      <c r="A686">
        <v>366</v>
      </c>
      <c r="E686">
        <f t="shared" si="228"/>
        <v>1</v>
      </c>
      <c r="J686" t="str">
        <f t="shared" si="235"/>
        <v>3</v>
      </c>
      <c r="K686" t="str">
        <f t="shared" si="236"/>
        <v>36</v>
      </c>
      <c r="L686" t="str">
        <f t="shared" si="237"/>
        <v/>
      </c>
      <c r="M686" s="6" t="str">
        <f t="shared" si="238"/>
        <v/>
      </c>
      <c r="N686" t="str">
        <f t="shared" si="234"/>
        <v>Away</v>
      </c>
      <c r="O686">
        <v>70</v>
      </c>
      <c r="P686" t="s">
        <v>424</v>
      </c>
      <c r="Y686" t="str">
        <f t="shared" si="218"/>
        <v/>
      </c>
      <c r="Z686" t="str">
        <f t="shared" si="219"/>
        <v/>
      </c>
      <c r="AC686" t="str">
        <f t="shared" si="220"/>
        <v>Pass</v>
      </c>
      <c r="AD686" t="str">
        <f t="shared" si="221"/>
        <v>Pass_Completed</v>
      </c>
      <c r="AE686" t="str">
        <f t="shared" si="222"/>
        <v>Pass-Forehand</v>
      </c>
      <c r="AF686" t="str">
        <f t="shared" si="223"/>
        <v>Offensive</v>
      </c>
      <c r="AG686">
        <f t="shared" si="229"/>
        <v>18981</v>
      </c>
      <c r="AH686" t="str">
        <f t="shared" si="230"/>
        <v>Nelson</v>
      </c>
      <c r="AI686" t="str">
        <f t="shared" si="231"/>
        <v>Velodrome</v>
      </c>
      <c r="AJ686" s="18">
        <f t="shared" si="224"/>
        <v>0</v>
      </c>
      <c r="AP686" s="18">
        <f t="shared" si="225"/>
        <v>0</v>
      </c>
      <c r="AQ686">
        <f t="shared" si="226"/>
        <v>0</v>
      </c>
      <c r="AR686" s="23">
        <f t="shared" si="227"/>
        <v>864</v>
      </c>
      <c r="AS686">
        <f t="shared" si="232"/>
        <v>859</v>
      </c>
      <c r="AT686" s="21">
        <f t="shared" si="233"/>
        <v>864</v>
      </c>
      <c r="AU686" s="21"/>
      <c r="AV686" s="21"/>
      <c r="AW686" s="21"/>
    </row>
    <row r="687" spans="1:49" x14ac:dyDescent="0.2">
      <c r="A687">
        <v>367</v>
      </c>
      <c r="E687">
        <f t="shared" si="228"/>
        <v>1</v>
      </c>
      <c r="F687" s="5" t="s">
        <v>531</v>
      </c>
      <c r="G687" s="5" t="s">
        <v>508</v>
      </c>
      <c r="H687" s="5" t="s">
        <v>531</v>
      </c>
      <c r="I687" s="7" t="s">
        <v>504</v>
      </c>
      <c r="J687" t="str">
        <f t="shared" si="235"/>
        <v>3</v>
      </c>
      <c r="K687" t="str">
        <f t="shared" si="236"/>
        <v>36</v>
      </c>
      <c r="L687" t="str">
        <f t="shared" si="237"/>
        <v>3</v>
      </c>
      <c r="M687" s="6" t="str">
        <f t="shared" si="238"/>
        <v>32</v>
      </c>
      <c r="N687" t="s">
        <v>179</v>
      </c>
      <c r="O687">
        <v>70</v>
      </c>
      <c r="P687" t="s">
        <v>424</v>
      </c>
      <c r="Q687" t="s">
        <v>277</v>
      </c>
      <c r="R687" t="s">
        <v>191</v>
      </c>
      <c r="S687" t="s">
        <v>87</v>
      </c>
      <c r="Y687" t="str">
        <f t="shared" si="218"/>
        <v/>
      </c>
      <c r="Z687" t="str">
        <f t="shared" si="219"/>
        <v/>
      </c>
      <c r="AC687" t="str">
        <f t="shared" si="220"/>
        <v>Zone_Entry_Exit</v>
      </c>
      <c r="AD687" t="str">
        <f t="shared" si="221"/>
        <v>Zone_Entry</v>
      </c>
      <c r="AE687" t="str">
        <f t="shared" si="222"/>
        <v>ZoneEntry-Rush</v>
      </c>
      <c r="AF687" t="str">
        <f t="shared" si="223"/>
        <v>Offensive</v>
      </c>
      <c r="AG687">
        <f t="shared" si="229"/>
        <v>18981</v>
      </c>
      <c r="AH687" t="str">
        <f t="shared" si="230"/>
        <v>Nelson</v>
      </c>
      <c r="AI687" t="str">
        <f t="shared" si="231"/>
        <v>Velodrome</v>
      </c>
      <c r="AJ687" s="18">
        <f t="shared" si="224"/>
        <v>4</v>
      </c>
      <c r="AP687" s="18">
        <f t="shared" si="225"/>
        <v>0</v>
      </c>
      <c r="AQ687">
        <f t="shared" si="226"/>
        <v>0</v>
      </c>
      <c r="AR687" s="23">
        <f t="shared" si="227"/>
        <v>864</v>
      </c>
      <c r="AS687">
        <f t="shared" si="232"/>
        <v>859</v>
      </c>
      <c r="AT687" s="21">
        <f t="shared" si="233"/>
        <v>868</v>
      </c>
      <c r="AU687" s="21"/>
      <c r="AV687" s="21"/>
      <c r="AW687" s="21"/>
    </row>
    <row r="688" spans="1:49" x14ac:dyDescent="0.2">
      <c r="A688">
        <v>367</v>
      </c>
      <c r="E688">
        <f t="shared" si="228"/>
        <v>1</v>
      </c>
      <c r="J688" t="str">
        <f t="shared" si="235"/>
        <v>3</v>
      </c>
      <c r="K688" t="str">
        <f t="shared" si="236"/>
        <v>36</v>
      </c>
      <c r="L688" t="str">
        <f t="shared" si="237"/>
        <v>3</v>
      </c>
      <c r="M688" s="6" t="str">
        <f t="shared" si="238"/>
        <v>32</v>
      </c>
      <c r="N688" t="str">
        <f t="shared" si="234"/>
        <v>Away</v>
      </c>
      <c r="O688">
        <v>8</v>
      </c>
      <c r="P688" t="s">
        <v>425</v>
      </c>
      <c r="Y688" t="str">
        <f t="shared" si="218"/>
        <v/>
      </c>
      <c r="Z688" t="str">
        <f t="shared" si="219"/>
        <v/>
      </c>
      <c r="AC688" t="str">
        <f t="shared" si="220"/>
        <v>Zone_Entry_Exit</v>
      </c>
      <c r="AD688" t="str">
        <f t="shared" si="221"/>
        <v>Zone_Entry</v>
      </c>
      <c r="AE688" t="str">
        <f t="shared" si="222"/>
        <v>ZoneEntry-Rush</v>
      </c>
      <c r="AF688" t="str">
        <f t="shared" si="223"/>
        <v>Defensive</v>
      </c>
      <c r="AG688">
        <f t="shared" si="229"/>
        <v>18981</v>
      </c>
      <c r="AH688" t="str">
        <f t="shared" si="230"/>
        <v>Nelson</v>
      </c>
      <c r="AI688" t="str">
        <f t="shared" si="231"/>
        <v>Velodrome</v>
      </c>
      <c r="AJ688" s="18">
        <f t="shared" si="224"/>
        <v>4</v>
      </c>
      <c r="AP688" s="18">
        <f t="shared" si="225"/>
        <v>0</v>
      </c>
      <c r="AQ688">
        <f t="shared" si="226"/>
        <v>0</v>
      </c>
      <c r="AR688" s="23">
        <f t="shared" si="227"/>
        <v>864</v>
      </c>
      <c r="AS688">
        <f t="shared" si="232"/>
        <v>859</v>
      </c>
      <c r="AT688" s="21">
        <f t="shared" si="233"/>
        <v>868</v>
      </c>
      <c r="AU688" s="21"/>
      <c r="AV688" s="21"/>
      <c r="AW688" s="21"/>
    </row>
    <row r="689" spans="1:49" x14ac:dyDescent="0.2">
      <c r="A689">
        <v>367</v>
      </c>
      <c r="E689">
        <f t="shared" si="228"/>
        <v>1</v>
      </c>
      <c r="J689" t="str">
        <f t="shared" si="235"/>
        <v>3</v>
      </c>
      <c r="K689" t="str">
        <f t="shared" si="236"/>
        <v>36</v>
      </c>
      <c r="L689" t="str">
        <f t="shared" si="237"/>
        <v>3</v>
      </c>
      <c r="M689" s="6" t="str">
        <f t="shared" si="238"/>
        <v>32</v>
      </c>
      <c r="N689" t="str">
        <f t="shared" si="234"/>
        <v>Away</v>
      </c>
      <c r="O689">
        <v>80</v>
      </c>
      <c r="P689" t="s">
        <v>425</v>
      </c>
      <c r="Y689" t="str">
        <f t="shared" si="218"/>
        <v/>
      </c>
      <c r="Z689" t="str">
        <f t="shared" si="219"/>
        <v/>
      </c>
      <c r="AC689" t="str">
        <f t="shared" si="220"/>
        <v>Zone_Entry_Exit</v>
      </c>
      <c r="AD689" t="str">
        <f t="shared" si="221"/>
        <v>Zone_Entry</v>
      </c>
      <c r="AE689" t="str">
        <f t="shared" si="222"/>
        <v>ZoneEntry-Rush</v>
      </c>
      <c r="AF689" t="str">
        <f t="shared" si="223"/>
        <v>Defensive</v>
      </c>
      <c r="AG689">
        <f t="shared" si="229"/>
        <v>18981</v>
      </c>
      <c r="AH689" t="str">
        <f t="shared" si="230"/>
        <v>Nelson</v>
      </c>
      <c r="AI689" t="str">
        <f t="shared" si="231"/>
        <v>Velodrome</v>
      </c>
      <c r="AJ689" s="18">
        <f t="shared" si="224"/>
        <v>4</v>
      </c>
      <c r="AP689" s="18">
        <f t="shared" si="225"/>
        <v>0</v>
      </c>
      <c r="AQ689">
        <f t="shared" si="226"/>
        <v>0</v>
      </c>
      <c r="AR689" s="23">
        <f t="shared" si="227"/>
        <v>864</v>
      </c>
      <c r="AS689">
        <f t="shared" si="232"/>
        <v>859</v>
      </c>
      <c r="AT689" s="21">
        <f t="shared" si="233"/>
        <v>868</v>
      </c>
      <c r="AU689" s="21"/>
      <c r="AV689" s="21"/>
      <c r="AW689" s="21"/>
    </row>
    <row r="690" spans="1:49" x14ac:dyDescent="0.2">
      <c r="A690">
        <v>368</v>
      </c>
      <c r="E690">
        <f t="shared" si="228"/>
        <v>1</v>
      </c>
      <c r="F690" s="5" t="s">
        <v>531</v>
      </c>
      <c r="G690" s="5" t="s">
        <v>504</v>
      </c>
      <c r="J690" t="str">
        <f t="shared" si="235"/>
        <v>3</v>
      </c>
      <c r="K690" t="str">
        <f t="shared" si="236"/>
        <v>32</v>
      </c>
      <c r="L690" t="str">
        <f t="shared" si="237"/>
        <v/>
      </c>
      <c r="M690" s="6" t="str">
        <f t="shared" si="238"/>
        <v/>
      </c>
      <c r="N690" t="s">
        <v>178</v>
      </c>
      <c r="O690">
        <v>80</v>
      </c>
      <c r="P690" t="s">
        <v>424</v>
      </c>
      <c r="Q690" t="s">
        <v>10</v>
      </c>
      <c r="R690" t="s">
        <v>200</v>
      </c>
      <c r="S690" t="s">
        <v>82</v>
      </c>
      <c r="Y690" t="str">
        <f t="shared" si="218"/>
        <v/>
      </c>
      <c r="Z690" t="str">
        <f t="shared" si="219"/>
        <v/>
      </c>
      <c r="AC690" t="str">
        <f t="shared" si="220"/>
        <v>Turnover</v>
      </c>
      <c r="AD690" t="str">
        <f t="shared" si="221"/>
        <v>Turnover_Takeaway</v>
      </c>
      <c r="AE690" t="str">
        <f t="shared" si="222"/>
        <v>Takeaway-PokeCheck</v>
      </c>
      <c r="AF690" t="str">
        <f t="shared" si="223"/>
        <v>Defensive</v>
      </c>
      <c r="AG690">
        <f t="shared" si="229"/>
        <v>18981</v>
      </c>
      <c r="AH690" t="str">
        <f t="shared" si="230"/>
        <v>Nelson</v>
      </c>
      <c r="AI690" t="str">
        <f t="shared" si="231"/>
        <v>Velodrome</v>
      </c>
      <c r="AJ690" s="18">
        <f t="shared" si="224"/>
        <v>0</v>
      </c>
      <c r="AP690" s="18">
        <f t="shared" si="225"/>
        <v>0</v>
      </c>
      <c r="AQ690">
        <f t="shared" si="226"/>
        <v>0</v>
      </c>
      <c r="AR690" s="23">
        <f t="shared" si="227"/>
        <v>868</v>
      </c>
      <c r="AS690">
        <f t="shared" si="232"/>
        <v>863</v>
      </c>
      <c r="AT690" s="21">
        <f t="shared" si="233"/>
        <v>868</v>
      </c>
      <c r="AU690" s="21"/>
      <c r="AV690" s="21"/>
      <c r="AW690" s="21"/>
    </row>
    <row r="691" spans="1:49" x14ac:dyDescent="0.2">
      <c r="A691">
        <v>368</v>
      </c>
      <c r="E691">
        <f t="shared" si="228"/>
        <v>1</v>
      </c>
      <c r="J691" t="str">
        <f t="shared" si="235"/>
        <v>3</v>
      </c>
      <c r="K691" t="str">
        <f t="shared" si="236"/>
        <v>32</v>
      </c>
      <c r="L691" t="str">
        <f t="shared" si="237"/>
        <v/>
      </c>
      <c r="M691" s="6" t="str">
        <f t="shared" si="238"/>
        <v/>
      </c>
      <c r="N691" t="str">
        <f t="shared" si="234"/>
        <v>Home</v>
      </c>
      <c r="O691">
        <v>70</v>
      </c>
      <c r="P691" t="s">
        <v>425</v>
      </c>
      <c r="Y691" t="str">
        <f t="shared" si="218"/>
        <v/>
      </c>
      <c r="Z691" t="str">
        <f t="shared" si="219"/>
        <v/>
      </c>
      <c r="AC691" t="str">
        <f t="shared" si="220"/>
        <v>Turnover</v>
      </c>
      <c r="AD691" t="str">
        <f t="shared" si="221"/>
        <v>Turnover_Takeaway</v>
      </c>
      <c r="AE691" t="str">
        <f t="shared" si="222"/>
        <v>Takeaway-PokeCheck</v>
      </c>
      <c r="AF691" t="str">
        <f t="shared" si="223"/>
        <v>Offensive</v>
      </c>
      <c r="AG691">
        <f t="shared" si="229"/>
        <v>18981</v>
      </c>
      <c r="AH691" t="str">
        <f t="shared" si="230"/>
        <v>Nelson</v>
      </c>
      <c r="AI691" t="str">
        <f t="shared" si="231"/>
        <v>Velodrome</v>
      </c>
      <c r="AJ691" s="18">
        <f t="shared" si="224"/>
        <v>0</v>
      </c>
      <c r="AP691" s="18">
        <f t="shared" si="225"/>
        <v>0</v>
      </c>
      <c r="AQ691">
        <f t="shared" si="226"/>
        <v>0</v>
      </c>
      <c r="AR691" s="23">
        <f t="shared" si="227"/>
        <v>868</v>
      </c>
      <c r="AS691">
        <f t="shared" si="232"/>
        <v>863</v>
      </c>
      <c r="AT691" s="21">
        <f t="shared" si="233"/>
        <v>868</v>
      </c>
      <c r="AU691" s="21"/>
      <c r="AV691" s="21"/>
      <c r="AW691" s="21"/>
    </row>
    <row r="692" spans="1:49" x14ac:dyDescent="0.2">
      <c r="A692">
        <v>369</v>
      </c>
      <c r="E692">
        <f t="shared" si="228"/>
        <v>1</v>
      </c>
      <c r="F692" s="5" t="s">
        <v>531</v>
      </c>
      <c r="G692" s="5" t="s">
        <v>501</v>
      </c>
      <c r="J692" t="str">
        <f t="shared" si="235"/>
        <v>3</v>
      </c>
      <c r="K692" t="str">
        <f t="shared" si="236"/>
        <v>29</v>
      </c>
      <c r="L692" t="str">
        <f t="shared" si="237"/>
        <v/>
      </c>
      <c r="M692" s="6" t="str">
        <f t="shared" si="238"/>
        <v/>
      </c>
      <c r="N692" t="s">
        <v>178</v>
      </c>
      <c r="O692">
        <v>44</v>
      </c>
      <c r="P692" t="s">
        <v>424</v>
      </c>
      <c r="Q692" t="s">
        <v>277</v>
      </c>
      <c r="R692" t="s">
        <v>201</v>
      </c>
      <c r="S692" t="s">
        <v>183</v>
      </c>
      <c r="Y692" t="str">
        <f t="shared" si="218"/>
        <v/>
      </c>
      <c r="Z692" t="str">
        <f t="shared" si="219"/>
        <v/>
      </c>
      <c r="AC692" t="str">
        <f t="shared" si="220"/>
        <v>Zone_Entry_Exit</v>
      </c>
      <c r="AD692" t="str">
        <f t="shared" si="221"/>
        <v>Zone_Exit</v>
      </c>
      <c r="AE692" t="str">
        <f t="shared" si="222"/>
        <v>ZoneExit-Other</v>
      </c>
      <c r="AF692" t="str">
        <f t="shared" si="223"/>
        <v>Offensive</v>
      </c>
      <c r="AG692">
        <f t="shared" si="229"/>
        <v>18981</v>
      </c>
      <c r="AH692" t="str">
        <f t="shared" si="230"/>
        <v>Nelson</v>
      </c>
      <c r="AI692" t="str">
        <f t="shared" si="231"/>
        <v>Velodrome</v>
      </c>
      <c r="AJ692" s="18">
        <f t="shared" si="224"/>
        <v>0</v>
      </c>
      <c r="AP692" s="18">
        <f t="shared" si="225"/>
        <v>0</v>
      </c>
      <c r="AQ692">
        <f t="shared" si="226"/>
        <v>0</v>
      </c>
      <c r="AR692" s="23">
        <f t="shared" si="227"/>
        <v>871</v>
      </c>
      <c r="AS692">
        <f t="shared" si="232"/>
        <v>866</v>
      </c>
      <c r="AT692" s="21">
        <f t="shared" si="233"/>
        <v>871</v>
      </c>
      <c r="AU692" s="21"/>
      <c r="AV692" s="21"/>
      <c r="AW692" s="21"/>
    </row>
    <row r="693" spans="1:49" x14ac:dyDescent="0.2">
      <c r="A693">
        <v>370</v>
      </c>
      <c r="E693">
        <f t="shared" si="228"/>
        <v>1</v>
      </c>
      <c r="F693" s="5" t="s">
        <v>531</v>
      </c>
      <c r="G693" s="5" t="s">
        <v>500</v>
      </c>
      <c r="H693" s="5" t="s">
        <v>531</v>
      </c>
      <c r="I693" s="7" t="s">
        <v>497</v>
      </c>
      <c r="J693" t="str">
        <f t="shared" si="235"/>
        <v>3</v>
      </c>
      <c r="K693" t="str">
        <f t="shared" si="236"/>
        <v>28</v>
      </c>
      <c r="L693" t="str">
        <f t="shared" si="237"/>
        <v>3</v>
      </c>
      <c r="M693" s="6" t="str">
        <f t="shared" si="238"/>
        <v>25</v>
      </c>
      <c r="N693" t="s">
        <v>178</v>
      </c>
      <c r="O693">
        <v>80</v>
      </c>
      <c r="P693" t="s">
        <v>424</v>
      </c>
      <c r="Q693" t="s">
        <v>15</v>
      </c>
      <c r="Y693" t="str">
        <f t="shared" si="218"/>
        <v/>
      </c>
      <c r="Z693" t="str">
        <f t="shared" si="219"/>
        <v/>
      </c>
      <c r="AC693" t="str">
        <f t="shared" si="220"/>
        <v>Possession</v>
      </c>
      <c r="AD693" t="str">
        <f t="shared" si="221"/>
        <v/>
      </c>
      <c r="AE693" t="str">
        <f t="shared" si="222"/>
        <v/>
      </c>
      <c r="AF693" t="str">
        <f t="shared" si="223"/>
        <v>Offensive</v>
      </c>
      <c r="AG693">
        <f t="shared" si="229"/>
        <v>18981</v>
      </c>
      <c r="AH693" t="str">
        <f t="shared" si="230"/>
        <v>Nelson</v>
      </c>
      <c r="AI693" t="str">
        <f t="shared" si="231"/>
        <v>Velodrome</v>
      </c>
      <c r="AJ693" s="18">
        <f t="shared" si="224"/>
        <v>3</v>
      </c>
      <c r="AP693" s="18">
        <f t="shared" si="225"/>
        <v>0</v>
      </c>
      <c r="AQ693">
        <f t="shared" si="226"/>
        <v>0</v>
      </c>
      <c r="AR693" s="23">
        <f t="shared" si="227"/>
        <v>872</v>
      </c>
      <c r="AS693">
        <f t="shared" si="232"/>
        <v>867</v>
      </c>
      <c r="AT693" s="21">
        <f t="shared" si="233"/>
        <v>875</v>
      </c>
      <c r="AU693" s="21"/>
      <c r="AV693" s="21"/>
      <c r="AW693" s="21"/>
    </row>
    <row r="694" spans="1:49" x14ac:dyDescent="0.2">
      <c r="A694">
        <v>371</v>
      </c>
      <c r="E694">
        <f t="shared" si="228"/>
        <v>1</v>
      </c>
      <c r="F694" s="5" t="s">
        <v>531</v>
      </c>
      <c r="G694" s="5" t="s">
        <v>497</v>
      </c>
      <c r="H694" s="5" t="s">
        <v>531</v>
      </c>
      <c r="I694" s="7" t="s">
        <v>495</v>
      </c>
      <c r="J694" t="str">
        <f t="shared" si="235"/>
        <v>3</v>
      </c>
      <c r="K694" t="str">
        <f t="shared" si="236"/>
        <v>25</v>
      </c>
      <c r="L694" t="str">
        <f t="shared" si="237"/>
        <v>3</v>
      </c>
      <c r="M694" s="6" t="str">
        <f t="shared" si="238"/>
        <v>23</v>
      </c>
      <c r="N694" t="s">
        <v>178</v>
      </c>
      <c r="O694">
        <v>80</v>
      </c>
      <c r="P694" t="s">
        <v>424</v>
      </c>
      <c r="Q694" t="s">
        <v>277</v>
      </c>
      <c r="R694" t="s">
        <v>191</v>
      </c>
      <c r="S694" t="s">
        <v>87</v>
      </c>
      <c r="Y694" t="str">
        <f t="shared" si="218"/>
        <v/>
      </c>
      <c r="Z694" t="str">
        <f t="shared" si="219"/>
        <v/>
      </c>
      <c r="AC694" t="str">
        <f t="shared" si="220"/>
        <v>Zone_Entry_Exit</v>
      </c>
      <c r="AD694" t="str">
        <f t="shared" si="221"/>
        <v>Zone_Entry</v>
      </c>
      <c r="AE694" t="str">
        <f t="shared" si="222"/>
        <v>ZoneEntry-Rush</v>
      </c>
      <c r="AF694" t="str">
        <f t="shared" si="223"/>
        <v>Offensive</v>
      </c>
      <c r="AG694">
        <f t="shared" si="229"/>
        <v>18981</v>
      </c>
      <c r="AH694" t="str">
        <f t="shared" si="230"/>
        <v>Nelson</v>
      </c>
      <c r="AI694" t="str">
        <f t="shared" si="231"/>
        <v>Velodrome</v>
      </c>
      <c r="AJ694" s="18">
        <f t="shared" si="224"/>
        <v>2</v>
      </c>
      <c r="AP694" s="18">
        <f t="shared" si="225"/>
        <v>0</v>
      </c>
      <c r="AQ694">
        <f t="shared" si="226"/>
        <v>0</v>
      </c>
      <c r="AR694" s="23">
        <f t="shared" si="227"/>
        <v>875</v>
      </c>
      <c r="AS694">
        <f t="shared" si="232"/>
        <v>870</v>
      </c>
      <c r="AT694" s="21">
        <f t="shared" si="233"/>
        <v>877</v>
      </c>
      <c r="AU694" s="21"/>
      <c r="AV694" s="21"/>
      <c r="AW694" s="21"/>
    </row>
    <row r="695" spans="1:49" x14ac:dyDescent="0.2">
      <c r="A695">
        <v>371</v>
      </c>
      <c r="E695">
        <f t="shared" si="228"/>
        <v>1</v>
      </c>
      <c r="J695" t="str">
        <f t="shared" si="235"/>
        <v>3</v>
      </c>
      <c r="K695" t="str">
        <f t="shared" si="236"/>
        <v>25</v>
      </c>
      <c r="L695" t="str">
        <f t="shared" si="237"/>
        <v>3</v>
      </c>
      <c r="M695" s="6" t="str">
        <f t="shared" si="238"/>
        <v>23</v>
      </c>
      <c r="N695" t="str">
        <f t="shared" si="234"/>
        <v>Home</v>
      </c>
      <c r="O695">
        <v>79</v>
      </c>
      <c r="P695" t="s">
        <v>425</v>
      </c>
      <c r="Y695" t="str">
        <f t="shared" si="218"/>
        <v/>
      </c>
      <c r="Z695" t="str">
        <f t="shared" si="219"/>
        <v/>
      </c>
      <c r="AC695" t="str">
        <f t="shared" si="220"/>
        <v>Zone_Entry_Exit</v>
      </c>
      <c r="AD695" t="str">
        <f t="shared" si="221"/>
        <v>Zone_Entry</v>
      </c>
      <c r="AE695" t="str">
        <f t="shared" si="222"/>
        <v>ZoneEntry-Rush</v>
      </c>
      <c r="AF695" t="str">
        <f t="shared" si="223"/>
        <v>Defensive</v>
      </c>
      <c r="AG695">
        <f t="shared" si="229"/>
        <v>18981</v>
      </c>
      <c r="AH695" t="str">
        <f t="shared" si="230"/>
        <v>Nelson</v>
      </c>
      <c r="AI695" t="str">
        <f t="shared" si="231"/>
        <v>Velodrome</v>
      </c>
      <c r="AJ695" s="18">
        <f t="shared" si="224"/>
        <v>2</v>
      </c>
      <c r="AP695" s="18">
        <f t="shared" si="225"/>
        <v>0</v>
      </c>
      <c r="AQ695">
        <f t="shared" si="226"/>
        <v>0</v>
      </c>
      <c r="AR695" s="23">
        <f t="shared" si="227"/>
        <v>875</v>
      </c>
      <c r="AS695">
        <f t="shared" si="232"/>
        <v>870</v>
      </c>
      <c r="AT695" s="21">
        <f t="shared" si="233"/>
        <v>877</v>
      </c>
      <c r="AU695" s="21"/>
      <c r="AV695" s="21"/>
      <c r="AW695" s="21"/>
    </row>
    <row r="696" spans="1:49" x14ac:dyDescent="0.2">
      <c r="A696">
        <v>371</v>
      </c>
      <c r="E696">
        <f t="shared" si="228"/>
        <v>1</v>
      </c>
      <c r="J696" t="str">
        <f t="shared" si="235"/>
        <v>3</v>
      </c>
      <c r="K696" t="str">
        <f t="shared" si="236"/>
        <v>25</v>
      </c>
      <c r="L696" t="str">
        <f t="shared" si="237"/>
        <v>3</v>
      </c>
      <c r="M696" s="6" t="str">
        <f t="shared" si="238"/>
        <v>23</v>
      </c>
      <c r="N696" t="str">
        <f t="shared" si="234"/>
        <v>Home</v>
      </c>
      <c r="O696">
        <v>91</v>
      </c>
      <c r="P696" t="s">
        <v>425</v>
      </c>
      <c r="Y696" t="str">
        <f t="shared" si="218"/>
        <v/>
      </c>
      <c r="Z696" t="str">
        <f t="shared" si="219"/>
        <v/>
      </c>
      <c r="AC696" t="str">
        <f t="shared" si="220"/>
        <v>Zone_Entry_Exit</v>
      </c>
      <c r="AD696" t="str">
        <f t="shared" si="221"/>
        <v>Zone_Entry</v>
      </c>
      <c r="AE696" t="str">
        <f t="shared" si="222"/>
        <v>ZoneEntry-Rush</v>
      </c>
      <c r="AF696" t="str">
        <f t="shared" si="223"/>
        <v>Defensive</v>
      </c>
      <c r="AG696">
        <f t="shared" si="229"/>
        <v>18981</v>
      </c>
      <c r="AH696" t="str">
        <f t="shared" si="230"/>
        <v>Nelson</v>
      </c>
      <c r="AI696" t="str">
        <f t="shared" si="231"/>
        <v>Velodrome</v>
      </c>
      <c r="AJ696" s="18">
        <f t="shared" si="224"/>
        <v>2</v>
      </c>
      <c r="AP696" s="18">
        <f t="shared" si="225"/>
        <v>0</v>
      </c>
      <c r="AQ696">
        <f t="shared" si="226"/>
        <v>0</v>
      </c>
      <c r="AR696" s="23">
        <f t="shared" si="227"/>
        <v>875</v>
      </c>
      <c r="AS696">
        <f t="shared" si="232"/>
        <v>870</v>
      </c>
      <c r="AT696" s="21">
        <f t="shared" si="233"/>
        <v>877</v>
      </c>
      <c r="AU696" s="21"/>
      <c r="AV696" s="21"/>
      <c r="AW696" s="21"/>
    </row>
    <row r="697" spans="1:49" x14ac:dyDescent="0.2">
      <c r="A697">
        <v>371</v>
      </c>
      <c r="E697">
        <f t="shared" si="228"/>
        <v>1</v>
      </c>
      <c r="J697" t="str">
        <f t="shared" si="235"/>
        <v>3</v>
      </c>
      <c r="K697" t="str">
        <f t="shared" si="236"/>
        <v>25</v>
      </c>
      <c r="L697" t="str">
        <f t="shared" si="237"/>
        <v>3</v>
      </c>
      <c r="M697" s="6" t="str">
        <f t="shared" si="238"/>
        <v>23</v>
      </c>
      <c r="N697" t="str">
        <f t="shared" si="234"/>
        <v>Home</v>
      </c>
      <c r="O697">
        <v>93</v>
      </c>
      <c r="P697" t="s">
        <v>425</v>
      </c>
      <c r="Y697" t="str">
        <f t="shared" si="218"/>
        <v/>
      </c>
      <c r="Z697" t="str">
        <f t="shared" si="219"/>
        <v/>
      </c>
      <c r="AC697" t="str">
        <f t="shared" si="220"/>
        <v>Zone_Entry_Exit</v>
      </c>
      <c r="AD697" t="str">
        <f t="shared" si="221"/>
        <v>Zone_Entry</v>
      </c>
      <c r="AE697" t="str">
        <f t="shared" si="222"/>
        <v>ZoneEntry-Rush</v>
      </c>
      <c r="AF697" t="str">
        <f t="shared" si="223"/>
        <v>Defensive</v>
      </c>
      <c r="AG697">
        <f t="shared" si="229"/>
        <v>18981</v>
      </c>
      <c r="AH697" t="str">
        <f t="shared" si="230"/>
        <v>Nelson</v>
      </c>
      <c r="AI697" t="str">
        <f t="shared" si="231"/>
        <v>Velodrome</v>
      </c>
      <c r="AJ697" s="18">
        <f t="shared" si="224"/>
        <v>2</v>
      </c>
      <c r="AP697" s="18">
        <f t="shared" si="225"/>
        <v>0</v>
      </c>
      <c r="AQ697">
        <f t="shared" si="226"/>
        <v>0</v>
      </c>
      <c r="AR697" s="23">
        <f t="shared" si="227"/>
        <v>875</v>
      </c>
      <c r="AS697">
        <f t="shared" si="232"/>
        <v>870</v>
      </c>
      <c r="AT697" s="21">
        <f t="shared" si="233"/>
        <v>877</v>
      </c>
      <c r="AU697" s="21"/>
      <c r="AV697" s="21"/>
      <c r="AW697" s="21"/>
    </row>
    <row r="698" spans="1:49" x14ac:dyDescent="0.2">
      <c r="A698">
        <v>371</v>
      </c>
      <c r="E698">
        <f t="shared" si="228"/>
        <v>1</v>
      </c>
      <c r="J698" t="str">
        <f t="shared" si="235"/>
        <v>3</v>
      </c>
      <c r="K698" t="str">
        <f t="shared" si="236"/>
        <v>25</v>
      </c>
      <c r="L698" t="str">
        <f t="shared" si="237"/>
        <v>3</v>
      </c>
      <c r="M698" s="6" t="str">
        <f t="shared" si="238"/>
        <v>23</v>
      </c>
      <c r="N698" t="str">
        <f t="shared" si="234"/>
        <v>Home</v>
      </c>
      <c r="O698">
        <v>84</v>
      </c>
      <c r="P698" t="s">
        <v>425</v>
      </c>
      <c r="Y698" t="str">
        <f t="shared" si="218"/>
        <v/>
      </c>
      <c r="Z698" t="str">
        <f t="shared" si="219"/>
        <v/>
      </c>
      <c r="AC698" t="str">
        <f t="shared" si="220"/>
        <v>Zone_Entry_Exit</v>
      </c>
      <c r="AD698" t="str">
        <f t="shared" si="221"/>
        <v>Zone_Entry</v>
      </c>
      <c r="AE698" t="str">
        <f t="shared" si="222"/>
        <v>ZoneEntry-Rush</v>
      </c>
      <c r="AF698" t="str">
        <f t="shared" si="223"/>
        <v>Defensive</v>
      </c>
      <c r="AG698">
        <f t="shared" si="229"/>
        <v>18981</v>
      </c>
      <c r="AH698" t="str">
        <f t="shared" si="230"/>
        <v>Nelson</v>
      </c>
      <c r="AI698" t="str">
        <f t="shared" si="231"/>
        <v>Velodrome</v>
      </c>
      <c r="AJ698" s="18">
        <f t="shared" si="224"/>
        <v>2</v>
      </c>
      <c r="AP698" s="18">
        <f t="shared" si="225"/>
        <v>0</v>
      </c>
      <c r="AQ698">
        <f t="shared" si="226"/>
        <v>0</v>
      </c>
      <c r="AR698" s="23">
        <f t="shared" si="227"/>
        <v>875</v>
      </c>
      <c r="AS698">
        <f t="shared" si="232"/>
        <v>870</v>
      </c>
      <c r="AT698" s="21">
        <f t="shared" si="233"/>
        <v>877</v>
      </c>
      <c r="AU698" s="21"/>
      <c r="AV698" s="21"/>
      <c r="AW698" s="21"/>
    </row>
    <row r="699" spans="1:49" x14ac:dyDescent="0.2">
      <c r="A699">
        <v>372</v>
      </c>
      <c r="E699">
        <f t="shared" si="228"/>
        <v>1</v>
      </c>
      <c r="F699" s="5" t="s">
        <v>531</v>
      </c>
      <c r="G699" s="5" t="s">
        <v>495</v>
      </c>
      <c r="J699" t="str">
        <f t="shared" si="235"/>
        <v>3</v>
      </c>
      <c r="K699" t="str">
        <f t="shared" si="236"/>
        <v>23</v>
      </c>
      <c r="L699" t="str">
        <f t="shared" si="237"/>
        <v/>
      </c>
      <c r="M699" s="6" t="str">
        <f t="shared" si="238"/>
        <v/>
      </c>
      <c r="N699" t="s">
        <v>178</v>
      </c>
      <c r="O699">
        <v>80</v>
      </c>
      <c r="P699" t="s">
        <v>424</v>
      </c>
      <c r="Q699" t="s">
        <v>7</v>
      </c>
      <c r="R699" t="s">
        <v>222</v>
      </c>
      <c r="S699" t="s">
        <v>53</v>
      </c>
      <c r="Y699" t="str">
        <f t="shared" si="218"/>
        <v/>
      </c>
      <c r="Z699" t="str">
        <f t="shared" si="219"/>
        <v/>
      </c>
      <c r="AC699" t="str">
        <f t="shared" si="220"/>
        <v>Shot</v>
      </c>
      <c r="AD699" t="str">
        <f t="shared" si="221"/>
        <v>Shot_OnNetSaved</v>
      </c>
      <c r="AE699" t="str">
        <f t="shared" si="222"/>
        <v>Shot-Wrist</v>
      </c>
      <c r="AF699" t="str">
        <f t="shared" si="223"/>
        <v>Offensive</v>
      </c>
      <c r="AG699">
        <f t="shared" si="229"/>
        <v>18981</v>
      </c>
      <c r="AH699" t="str">
        <f t="shared" si="230"/>
        <v>Nelson</v>
      </c>
      <c r="AI699" t="str">
        <f t="shared" si="231"/>
        <v>Velodrome</v>
      </c>
      <c r="AJ699" s="18">
        <f t="shared" si="224"/>
        <v>0</v>
      </c>
      <c r="AP699" s="18">
        <f t="shared" si="225"/>
        <v>0</v>
      </c>
      <c r="AQ699">
        <f t="shared" si="226"/>
        <v>0</v>
      </c>
      <c r="AR699" s="23">
        <f t="shared" si="227"/>
        <v>877</v>
      </c>
      <c r="AS699">
        <f t="shared" si="232"/>
        <v>872</v>
      </c>
      <c r="AT699" s="21">
        <f t="shared" si="233"/>
        <v>877</v>
      </c>
      <c r="AU699" s="21"/>
      <c r="AV699" s="21"/>
      <c r="AW699" s="21"/>
    </row>
    <row r="700" spans="1:49" x14ac:dyDescent="0.2">
      <c r="A700">
        <v>372</v>
      </c>
      <c r="E700">
        <f t="shared" si="228"/>
        <v>1</v>
      </c>
      <c r="J700" t="str">
        <f t="shared" si="235"/>
        <v>3</v>
      </c>
      <c r="K700" t="str">
        <f t="shared" si="236"/>
        <v>23</v>
      </c>
      <c r="L700" t="str">
        <f t="shared" si="237"/>
        <v/>
      </c>
      <c r="M700" s="6" t="str">
        <f t="shared" si="238"/>
        <v/>
      </c>
      <c r="N700" t="str">
        <f t="shared" si="234"/>
        <v>Home</v>
      </c>
      <c r="O700">
        <v>39</v>
      </c>
      <c r="P700" t="s">
        <v>425</v>
      </c>
      <c r="Y700" t="str">
        <f t="shared" si="218"/>
        <v/>
      </c>
      <c r="Z700" t="str">
        <f t="shared" si="219"/>
        <v/>
      </c>
      <c r="AC700" t="str">
        <f t="shared" si="220"/>
        <v>Shot</v>
      </c>
      <c r="AD700" t="str">
        <f t="shared" si="221"/>
        <v>Shot_OnNetSaved</v>
      </c>
      <c r="AE700" t="str">
        <f t="shared" si="222"/>
        <v>Shot-Wrist</v>
      </c>
      <c r="AF700" t="str">
        <f t="shared" si="223"/>
        <v>Defensive</v>
      </c>
      <c r="AG700">
        <f t="shared" si="229"/>
        <v>18981</v>
      </c>
      <c r="AH700" t="str">
        <f t="shared" si="230"/>
        <v>Nelson</v>
      </c>
      <c r="AI700" t="str">
        <f t="shared" si="231"/>
        <v>Velodrome</v>
      </c>
      <c r="AJ700" s="18">
        <f t="shared" si="224"/>
        <v>0</v>
      </c>
      <c r="AP700" s="18">
        <f t="shared" si="225"/>
        <v>0</v>
      </c>
      <c r="AQ700">
        <f t="shared" si="226"/>
        <v>0</v>
      </c>
      <c r="AR700" s="23">
        <f t="shared" si="227"/>
        <v>877</v>
      </c>
      <c r="AS700">
        <f t="shared" si="232"/>
        <v>872</v>
      </c>
      <c r="AT700" s="21">
        <f t="shared" si="233"/>
        <v>877</v>
      </c>
      <c r="AU700" s="21"/>
      <c r="AV700" s="21"/>
      <c r="AW700" s="21"/>
    </row>
    <row r="701" spans="1:49" x14ac:dyDescent="0.2">
      <c r="A701">
        <v>373</v>
      </c>
      <c r="E701">
        <f t="shared" si="228"/>
        <v>1</v>
      </c>
      <c r="F701" s="5" t="s">
        <v>531</v>
      </c>
      <c r="G701" s="5" t="s">
        <v>495</v>
      </c>
      <c r="J701" t="str">
        <f t="shared" si="235"/>
        <v>3</v>
      </c>
      <c r="K701" t="str">
        <f t="shared" si="236"/>
        <v>23</v>
      </c>
      <c r="L701" t="str">
        <f t="shared" si="237"/>
        <v/>
      </c>
      <c r="M701" s="6" t="str">
        <f t="shared" si="238"/>
        <v/>
      </c>
      <c r="N701" t="s">
        <v>179</v>
      </c>
      <c r="O701">
        <v>39</v>
      </c>
      <c r="P701" t="s">
        <v>424</v>
      </c>
      <c r="Q701" t="s">
        <v>17</v>
      </c>
      <c r="R701" t="s">
        <v>196</v>
      </c>
      <c r="S701" t="s">
        <v>542</v>
      </c>
      <c r="Y701" t="str">
        <f t="shared" si="218"/>
        <v/>
      </c>
      <c r="Z701" t="str">
        <f t="shared" si="219"/>
        <v/>
      </c>
      <c r="AC701" t="str">
        <f t="shared" si="220"/>
        <v>Save</v>
      </c>
      <c r="AD701" t="str">
        <f t="shared" si="221"/>
        <v>Save_Rebound</v>
      </c>
      <c r="AE701" t="str">
        <f t="shared" si="222"/>
        <v>Save-Shoulder</v>
      </c>
      <c r="AF701" t="str">
        <f t="shared" si="223"/>
        <v>Defensive</v>
      </c>
      <c r="AG701">
        <f t="shared" si="229"/>
        <v>18981</v>
      </c>
      <c r="AH701" t="str">
        <f t="shared" si="230"/>
        <v>Nelson</v>
      </c>
      <c r="AI701" t="str">
        <f t="shared" si="231"/>
        <v>Velodrome</v>
      </c>
      <c r="AJ701" s="18">
        <f t="shared" si="224"/>
        <v>0</v>
      </c>
      <c r="AP701" s="18">
        <f t="shared" si="225"/>
        <v>0</v>
      </c>
      <c r="AQ701">
        <f t="shared" si="226"/>
        <v>0</v>
      </c>
      <c r="AR701" s="23">
        <f t="shared" si="227"/>
        <v>877</v>
      </c>
      <c r="AS701">
        <f t="shared" si="232"/>
        <v>872</v>
      </c>
      <c r="AT701" s="21">
        <f t="shared" si="233"/>
        <v>877</v>
      </c>
      <c r="AU701" s="21"/>
      <c r="AV701" s="21"/>
      <c r="AW701" s="21"/>
    </row>
    <row r="702" spans="1:49" x14ac:dyDescent="0.2">
      <c r="A702">
        <v>373</v>
      </c>
      <c r="E702">
        <f t="shared" si="228"/>
        <v>1</v>
      </c>
      <c r="J702" t="str">
        <f t="shared" si="235"/>
        <v>3</v>
      </c>
      <c r="K702" t="str">
        <f t="shared" si="236"/>
        <v>23</v>
      </c>
      <c r="L702" t="str">
        <f t="shared" si="237"/>
        <v/>
      </c>
      <c r="M702" s="6" t="str">
        <f t="shared" si="238"/>
        <v/>
      </c>
      <c r="N702" t="str">
        <f t="shared" si="234"/>
        <v>Away</v>
      </c>
      <c r="O702">
        <v>80</v>
      </c>
      <c r="P702" t="s">
        <v>425</v>
      </c>
      <c r="Y702" t="str">
        <f t="shared" si="218"/>
        <v/>
      </c>
      <c r="Z702" t="str">
        <f t="shared" si="219"/>
        <v/>
      </c>
      <c r="AC702" t="str">
        <f t="shared" si="220"/>
        <v>Save</v>
      </c>
      <c r="AD702" t="str">
        <f t="shared" si="221"/>
        <v>Save_Rebound</v>
      </c>
      <c r="AE702" t="str">
        <f t="shared" si="222"/>
        <v>Save-Shoulder</v>
      </c>
      <c r="AF702" t="str">
        <f t="shared" si="223"/>
        <v>Offensive</v>
      </c>
      <c r="AG702">
        <f t="shared" si="229"/>
        <v>18981</v>
      </c>
      <c r="AH702" t="str">
        <f t="shared" si="230"/>
        <v>Nelson</v>
      </c>
      <c r="AI702" t="str">
        <f t="shared" si="231"/>
        <v>Velodrome</v>
      </c>
      <c r="AJ702" s="18">
        <f t="shared" si="224"/>
        <v>0</v>
      </c>
      <c r="AP702" s="18">
        <f t="shared" si="225"/>
        <v>0</v>
      </c>
      <c r="AQ702">
        <f t="shared" si="226"/>
        <v>0</v>
      </c>
      <c r="AR702" s="23">
        <f t="shared" si="227"/>
        <v>877</v>
      </c>
      <c r="AS702">
        <f t="shared" si="232"/>
        <v>872</v>
      </c>
      <c r="AT702" s="21">
        <f t="shared" si="233"/>
        <v>877</v>
      </c>
      <c r="AU702" s="21"/>
      <c r="AV702" s="21"/>
      <c r="AW702" s="21"/>
    </row>
    <row r="703" spans="1:49" x14ac:dyDescent="0.2">
      <c r="A703">
        <v>374</v>
      </c>
      <c r="E703">
        <f t="shared" si="228"/>
        <v>1</v>
      </c>
      <c r="F703" s="5" t="s">
        <v>531</v>
      </c>
      <c r="G703" s="5" t="s">
        <v>495</v>
      </c>
      <c r="J703" t="str">
        <f t="shared" si="235"/>
        <v>3</v>
      </c>
      <c r="K703" t="str">
        <f t="shared" si="236"/>
        <v>23</v>
      </c>
      <c r="L703" t="str">
        <f t="shared" si="237"/>
        <v/>
      </c>
      <c r="M703" s="6" t="str">
        <f t="shared" si="238"/>
        <v/>
      </c>
      <c r="N703" t="s">
        <v>179</v>
      </c>
      <c r="O703">
        <v>39</v>
      </c>
      <c r="P703" t="s">
        <v>424</v>
      </c>
      <c r="Q703" t="s">
        <v>270</v>
      </c>
      <c r="R703" t="s">
        <v>272</v>
      </c>
      <c r="Y703" t="str">
        <f t="shared" si="218"/>
        <v/>
      </c>
      <c r="Z703" t="str">
        <f t="shared" si="219"/>
        <v/>
      </c>
      <c r="AC703" t="str">
        <f t="shared" si="220"/>
        <v>Rebound</v>
      </c>
      <c r="AD703" t="str">
        <f t="shared" si="221"/>
        <v>Rebound_OppTeamRecovered</v>
      </c>
      <c r="AE703" t="str">
        <f t="shared" si="222"/>
        <v/>
      </c>
      <c r="AF703" t="str">
        <f t="shared" si="223"/>
        <v>Offensive</v>
      </c>
      <c r="AG703">
        <f t="shared" si="229"/>
        <v>18981</v>
      </c>
      <c r="AH703" t="str">
        <f t="shared" si="230"/>
        <v>Nelson</v>
      </c>
      <c r="AI703" t="str">
        <f t="shared" si="231"/>
        <v>Velodrome</v>
      </c>
      <c r="AJ703" s="18">
        <f t="shared" si="224"/>
        <v>0</v>
      </c>
      <c r="AP703" s="18">
        <f t="shared" si="225"/>
        <v>0</v>
      </c>
      <c r="AQ703">
        <f t="shared" si="226"/>
        <v>0</v>
      </c>
      <c r="AR703" s="23">
        <f t="shared" si="227"/>
        <v>877</v>
      </c>
      <c r="AS703">
        <f t="shared" si="232"/>
        <v>872</v>
      </c>
      <c r="AT703" s="21">
        <f t="shared" si="233"/>
        <v>877</v>
      </c>
      <c r="AU703" s="21"/>
      <c r="AV703" s="21"/>
      <c r="AW703" s="21"/>
    </row>
    <row r="704" spans="1:49" x14ac:dyDescent="0.2">
      <c r="A704">
        <v>375</v>
      </c>
      <c r="E704">
        <f t="shared" si="228"/>
        <v>1</v>
      </c>
      <c r="F704" s="5" t="s">
        <v>531</v>
      </c>
      <c r="G704" s="5" t="s">
        <v>495</v>
      </c>
      <c r="J704" t="str">
        <f t="shared" si="235"/>
        <v>3</v>
      </c>
      <c r="K704" t="str">
        <f t="shared" si="236"/>
        <v>23</v>
      </c>
      <c r="L704" t="str">
        <f t="shared" si="237"/>
        <v/>
      </c>
      <c r="M704" s="6" t="str">
        <f t="shared" si="238"/>
        <v/>
      </c>
      <c r="N704" t="s">
        <v>178</v>
      </c>
      <c r="O704">
        <v>80</v>
      </c>
      <c r="P704" t="s">
        <v>424</v>
      </c>
      <c r="Q704" t="s">
        <v>10</v>
      </c>
      <c r="R704" t="s">
        <v>190</v>
      </c>
      <c r="S704" t="s">
        <v>79</v>
      </c>
      <c r="Y704" t="str">
        <f t="shared" si="218"/>
        <v/>
      </c>
      <c r="Z704" t="str">
        <f t="shared" si="219"/>
        <v/>
      </c>
      <c r="AC704" t="str">
        <f t="shared" si="220"/>
        <v>Turnover</v>
      </c>
      <c r="AD704" t="str">
        <f t="shared" si="221"/>
        <v>Turnover_Giveaway</v>
      </c>
      <c r="AE704" t="str">
        <f t="shared" si="222"/>
        <v>Giveaway-ShotMissed</v>
      </c>
      <c r="AF704" t="str">
        <f t="shared" si="223"/>
        <v>Offensive</v>
      </c>
      <c r="AG704">
        <f t="shared" si="229"/>
        <v>18981</v>
      </c>
      <c r="AH704" t="str">
        <f t="shared" si="230"/>
        <v>Nelson</v>
      </c>
      <c r="AI704" t="str">
        <f t="shared" si="231"/>
        <v>Velodrome</v>
      </c>
      <c r="AJ704" s="18">
        <f t="shared" si="224"/>
        <v>0</v>
      </c>
      <c r="AP704" s="18">
        <f t="shared" si="225"/>
        <v>0</v>
      </c>
      <c r="AQ704">
        <f t="shared" si="226"/>
        <v>0</v>
      </c>
      <c r="AR704" s="23">
        <f t="shared" si="227"/>
        <v>877</v>
      </c>
      <c r="AS704">
        <f t="shared" si="232"/>
        <v>872</v>
      </c>
      <c r="AT704" s="21">
        <f t="shared" si="233"/>
        <v>877</v>
      </c>
      <c r="AU704" s="21"/>
      <c r="AV704" s="21"/>
      <c r="AW704" s="21"/>
    </row>
    <row r="705" spans="1:49" x14ac:dyDescent="0.2">
      <c r="A705">
        <v>376</v>
      </c>
      <c r="E705">
        <f t="shared" si="228"/>
        <v>1</v>
      </c>
      <c r="F705" s="5" t="s">
        <v>531</v>
      </c>
      <c r="G705" s="5" t="s">
        <v>490</v>
      </c>
      <c r="J705" t="str">
        <f t="shared" si="235"/>
        <v>3</v>
      </c>
      <c r="K705" t="str">
        <f t="shared" si="236"/>
        <v>18</v>
      </c>
      <c r="L705" t="str">
        <f t="shared" si="237"/>
        <v/>
      </c>
      <c r="M705" s="6" t="str">
        <f t="shared" si="238"/>
        <v/>
      </c>
      <c r="N705" t="s">
        <v>179</v>
      </c>
      <c r="O705">
        <v>91</v>
      </c>
      <c r="P705" t="s">
        <v>424</v>
      </c>
      <c r="Q705" t="s">
        <v>277</v>
      </c>
      <c r="R705" t="s">
        <v>201</v>
      </c>
      <c r="S705" t="s">
        <v>431</v>
      </c>
      <c r="Y705" t="str">
        <f t="shared" si="218"/>
        <v/>
      </c>
      <c r="Z705" t="str">
        <f t="shared" si="219"/>
        <v/>
      </c>
      <c r="AC705" t="str">
        <f t="shared" si="220"/>
        <v>Zone_Entry_Exit</v>
      </c>
      <c r="AD705" t="str">
        <f t="shared" si="221"/>
        <v>Zone_Exit</v>
      </c>
      <c r="AE705" t="str">
        <f t="shared" si="222"/>
        <v>ZoneExit-Chip</v>
      </c>
      <c r="AF705" t="str">
        <f t="shared" si="223"/>
        <v>Offensive</v>
      </c>
      <c r="AG705">
        <f t="shared" si="229"/>
        <v>18981</v>
      </c>
      <c r="AH705" t="str">
        <f t="shared" si="230"/>
        <v>Nelson</v>
      </c>
      <c r="AI705" t="str">
        <f t="shared" si="231"/>
        <v>Velodrome</v>
      </c>
      <c r="AJ705" s="18">
        <f t="shared" si="224"/>
        <v>0</v>
      </c>
      <c r="AP705" s="18">
        <f t="shared" si="225"/>
        <v>0</v>
      </c>
      <c r="AQ705">
        <f t="shared" si="226"/>
        <v>0</v>
      </c>
      <c r="AR705" s="23">
        <f t="shared" si="227"/>
        <v>882</v>
      </c>
      <c r="AS705">
        <f t="shared" si="232"/>
        <v>877</v>
      </c>
      <c r="AT705" s="21">
        <f t="shared" si="233"/>
        <v>882</v>
      </c>
      <c r="AU705" s="21"/>
      <c r="AV705" s="21"/>
      <c r="AW705" s="21"/>
    </row>
    <row r="706" spans="1:49" x14ac:dyDescent="0.2">
      <c r="A706">
        <v>377</v>
      </c>
      <c r="E706">
        <f t="shared" si="228"/>
        <v>1</v>
      </c>
      <c r="F706" s="5" t="s">
        <v>531</v>
      </c>
      <c r="G706" s="5" t="s">
        <v>490</v>
      </c>
      <c r="J706" t="str">
        <f t="shared" si="235"/>
        <v>3</v>
      </c>
      <c r="K706" t="str">
        <f t="shared" si="236"/>
        <v>18</v>
      </c>
      <c r="L706" t="str">
        <f t="shared" si="237"/>
        <v/>
      </c>
      <c r="M706" s="6" t="str">
        <f t="shared" si="238"/>
        <v/>
      </c>
      <c r="N706" t="s">
        <v>179</v>
      </c>
      <c r="O706">
        <v>91</v>
      </c>
      <c r="P706" t="s">
        <v>424</v>
      </c>
      <c r="Q706" t="s">
        <v>10</v>
      </c>
      <c r="R706" t="s">
        <v>190</v>
      </c>
      <c r="S706" t="s">
        <v>411</v>
      </c>
      <c r="Y706" t="str">
        <f t="shared" si="218"/>
        <v/>
      </c>
      <c r="Z706" t="str">
        <f t="shared" si="219"/>
        <v/>
      </c>
      <c r="AC706" t="str">
        <f t="shared" si="220"/>
        <v>Turnover</v>
      </c>
      <c r="AD706" t="str">
        <f t="shared" si="221"/>
        <v>Turnover_Giveaway</v>
      </c>
      <c r="AE706" t="str">
        <f t="shared" si="222"/>
        <v>Giveaway-ZoneClear/Dump</v>
      </c>
      <c r="AF706" t="str">
        <f t="shared" si="223"/>
        <v>Offensive</v>
      </c>
      <c r="AG706">
        <f t="shared" si="229"/>
        <v>18981</v>
      </c>
      <c r="AH706" t="str">
        <f t="shared" si="230"/>
        <v>Nelson</v>
      </c>
      <c r="AI706" t="str">
        <f t="shared" si="231"/>
        <v>Velodrome</v>
      </c>
      <c r="AJ706" s="18">
        <f t="shared" si="224"/>
        <v>0</v>
      </c>
      <c r="AP706" s="18">
        <f t="shared" si="225"/>
        <v>0</v>
      </c>
      <c r="AQ706">
        <f t="shared" si="226"/>
        <v>0</v>
      </c>
      <c r="AR706" s="23">
        <f t="shared" si="227"/>
        <v>882</v>
      </c>
      <c r="AS706">
        <f t="shared" si="232"/>
        <v>877</v>
      </c>
      <c r="AT706" s="21">
        <f t="shared" si="233"/>
        <v>882</v>
      </c>
      <c r="AU706" s="21"/>
      <c r="AV706" s="21"/>
      <c r="AW706" s="21"/>
    </row>
    <row r="707" spans="1:49" x14ac:dyDescent="0.2">
      <c r="A707">
        <v>378</v>
      </c>
      <c r="E707">
        <f t="shared" si="228"/>
        <v>1</v>
      </c>
      <c r="F707" s="5" t="s">
        <v>531</v>
      </c>
      <c r="G707" s="5" t="s">
        <v>472</v>
      </c>
      <c r="J707" t="str">
        <f t="shared" si="235"/>
        <v>3</v>
      </c>
      <c r="K707" t="str">
        <f t="shared" si="236"/>
        <v>17</v>
      </c>
      <c r="L707" t="str">
        <f t="shared" si="237"/>
        <v/>
      </c>
      <c r="M707" s="6" t="str">
        <f t="shared" si="238"/>
        <v/>
      </c>
      <c r="N707" t="s">
        <v>178</v>
      </c>
      <c r="O707">
        <v>15</v>
      </c>
      <c r="P707" t="s">
        <v>424</v>
      </c>
      <c r="Q707" t="s">
        <v>8</v>
      </c>
      <c r="R707" t="s">
        <v>189</v>
      </c>
      <c r="S707" t="s">
        <v>70</v>
      </c>
      <c r="Y707" t="str">
        <f t="shared" ref="Y707:Y770" si="239">IF($N707="","",IF(X707="","",IF($N707="Home",$X707,IF($X707="n","n",IF($X707="d","o",IF($X707="o","d",""))))))</f>
        <v/>
      </c>
      <c r="Z707" t="str">
        <f t="shared" ref="Z707:Z770" si="240">IF($N707="","",IF(X707="","",IF($N707="Away",$X707,IF($X707="n","n",IF($X707="d","o",IF($X707="o","d",""))))))</f>
        <v/>
      </c>
      <c r="AC707" t="str">
        <f t="shared" ref="AC707:AC770" si="241">IF(Q707&lt;&gt;"",Q707,IF($A707=$A706,AC706,""))</f>
        <v>Pass</v>
      </c>
      <c r="AD707" t="str">
        <f t="shared" ref="AD707:AD770" si="242">IF(R707&lt;&gt;"",R707,IF($A707=$A706,AD706,""))</f>
        <v>Pass_Completed</v>
      </c>
      <c r="AE707" t="str">
        <f t="shared" ref="AE707:AE770" si="243">IF(S707&lt;&gt;"",S707,IF($A707=$A706,AE706,""))</f>
        <v>Pass-Forehand</v>
      </c>
      <c r="AF707" t="str">
        <f t="shared" ref="AF707:AF770" si="244">IF(AND(P707="e",OR(AC707="Save",AD707="Turnover_Takeaway",AD707="Play_Defensive")),"Defensive",IF(AND(P707="o",OR(AC707="Save",AD707="Turnover_Takeaway",AD707="Play_Defensive")),"Offensive",IF(OR(AC707="Deadice",AC707="Stoppage",AC707="Intermission"),"",IF(P707="e","Offensive",IF(P707="o","Defensive","")))))</f>
        <v>Offensive</v>
      </c>
      <c r="AG707">
        <f t="shared" si="229"/>
        <v>18981</v>
      </c>
      <c r="AH707" t="str">
        <f t="shared" si="230"/>
        <v>Nelson</v>
      </c>
      <c r="AI707" t="str">
        <f t="shared" si="231"/>
        <v>Velodrome</v>
      </c>
      <c r="AJ707" s="18">
        <f t="shared" ref="AJ707:AJ770" si="245">IF(AND(L707="",M707=""),0,((J707*60)+K707)-((L707*60)+M707))</f>
        <v>0</v>
      </c>
      <c r="AP707" s="18">
        <f t="shared" ref="AP707:AP770" si="246">SUMIFS(AJ707:AJ707,Q707:Q707,"=Intermission")</f>
        <v>0</v>
      </c>
      <c r="AQ707">
        <f t="shared" ref="AQ707:AQ770" si="247">IF(E707=1,0,IF(E707=2,1080+AP707,IF(E707=3,(1080*2)+AP707,0)))</f>
        <v>0</v>
      </c>
      <c r="AR707" s="23">
        <f t="shared" ref="AR707:AR770" si="248">IF(Q707="Intermission",AR706,((1080)-((J707*60)+K707))+AQ707)</f>
        <v>883</v>
      </c>
      <c r="AS707">
        <f t="shared" si="232"/>
        <v>878</v>
      </c>
      <c r="AT707" s="21">
        <f t="shared" si="233"/>
        <v>883</v>
      </c>
      <c r="AU707" s="21"/>
      <c r="AV707" s="21"/>
      <c r="AW707" s="21"/>
    </row>
    <row r="708" spans="1:49" x14ac:dyDescent="0.2">
      <c r="A708">
        <v>378</v>
      </c>
      <c r="E708">
        <f t="shared" ref="E708:E771" si="249">IF(Q708="Intermission",E707+1,E707)</f>
        <v>1</v>
      </c>
      <c r="J708" t="str">
        <f t="shared" si="235"/>
        <v>3</v>
      </c>
      <c r="K708" t="str">
        <f t="shared" si="236"/>
        <v>17</v>
      </c>
      <c r="L708" t="str">
        <f t="shared" si="237"/>
        <v/>
      </c>
      <c r="M708" s="6" t="str">
        <f t="shared" si="238"/>
        <v/>
      </c>
      <c r="N708" t="str">
        <f t="shared" si="234"/>
        <v>Home</v>
      </c>
      <c r="O708">
        <v>23</v>
      </c>
      <c r="P708" t="s">
        <v>424</v>
      </c>
      <c r="Y708" t="str">
        <f t="shared" si="239"/>
        <v/>
      </c>
      <c r="Z708" t="str">
        <f t="shared" si="240"/>
        <v/>
      </c>
      <c r="AC708" t="str">
        <f t="shared" si="241"/>
        <v>Pass</v>
      </c>
      <c r="AD708" t="str">
        <f t="shared" si="242"/>
        <v>Pass_Completed</v>
      </c>
      <c r="AE708" t="str">
        <f t="shared" si="243"/>
        <v>Pass-Forehand</v>
      </c>
      <c r="AF708" t="str">
        <f t="shared" si="244"/>
        <v>Offensive</v>
      </c>
      <c r="AG708">
        <f t="shared" ref="AG708:AG771" si="250">AG707</f>
        <v>18981</v>
      </c>
      <c r="AH708" t="str">
        <f t="shared" ref="AH708:AH771" si="251">AH707</f>
        <v>Nelson</v>
      </c>
      <c r="AI708" t="str">
        <f t="shared" ref="AI708:AI771" si="252">AI707</f>
        <v>Velodrome</v>
      </c>
      <c r="AJ708" s="18">
        <f t="shared" si="245"/>
        <v>0</v>
      </c>
      <c r="AP708" s="18">
        <f t="shared" si="246"/>
        <v>0</v>
      </c>
      <c r="AQ708">
        <f t="shared" si="247"/>
        <v>0</v>
      </c>
      <c r="AR708" s="23">
        <f t="shared" si="248"/>
        <v>883</v>
      </c>
      <c r="AS708">
        <f t="shared" ref="AS708:AS771" si="253">IF(AR708&lt;5,0,AR708-5)</f>
        <v>878</v>
      </c>
      <c r="AT708" s="21">
        <f t="shared" ref="AT708:AT771" si="254">AS708+AJ708+5</f>
        <v>883</v>
      </c>
      <c r="AU708" s="21"/>
      <c r="AV708" s="21"/>
      <c r="AW708" s="21"/>
    </row>
    <row r="709" spans="1:49" x14ac:dyDescent="0.2">
      <c r="A709">
        <v>379</v>
      </c>
      <c r="E709">
        <f t="shared" si="249"/>
        <v>1</v>
      </c>
      <c r="F709" s="5" t="s">
        <v>531</v>
      </c>
      <c r="G709" s="5" t="s">
        <v>478</v>
      </c>
      <c r="H709" s="5" t="s">
        <v>531</v>
      </c>
      <c r="I709" s="7" t="s">
        <v>487</v>
      </c>
      <c r="J709" t="str">
        <f t="shared" si="235"/>
        <v>3</v>
      </c>
      <c r="K709" t="str">
        <f t="shared" si="236"/>
        <v>15</v>
      </c>
      <c r="L709" t="str">
        <f t="shared" si="237"/>
        <v>3</v>
      </c>
      <c r="M709" s="6" t="str">
        <f t="shared" si="238"/>
        <v>12</v>
      </c>
      <c r="N709" t="s">
        <v>178</v>
      </c>
      <c r="O709">
        <v>23</v>
      </c>
      <c r="P709" t="s">
        <v>424</v>
      </c>
      <c r="Q709" t="s">
        <v>15</v>
      </c>
      <c r="Y709" t="str">
        <f t="shared" si="239"/>
        <v/>
      </c>
      <c r="Z709" t="str">
        <f t="shared" si="240"/>
        <v/>
      </c>
      <c r="AC709" t="str">
        <f t="shared" si="241"/>
        <v>Possession</v>
      </c>
      <c r="AD709" t="str">
        <f t="shared" si="242"/>
        <v/>
      </c>
      <c r="AE709" t="str">
        <f t="shared" si="243"/>
        <v/>
      </c>
      <c r="AF709" t="str">
        <f t="shared" si="244"/>
        <v>Offensive</v>
      </c>
      <c r="AG709">
        <f t="shared" si="250"/>
        <v>18981</v>
      </c>
      <c r="AH709" t="str">
        <f t="shared" si="251"/>
        <v>Nelson</v>
      </c>
      <c r="AI709" t="str">
        <f t="shared" si="252"/>
        <v>Velodrome</v>
      </c>
      <c r="AJ709" s="18">
        <f t="shared" si="245"/>
        <v>3</v>
      </c>
      <c r="AP709" s="18">
        <f t="shared" si="246"/>
        <v>0</v>
      </c>
      <c r="AQ709">
        <f t="shared" si="247"/>
        <v>0</v>
      </c>
      <c r="AR709" s="23">
        <f t="shared" si="248"/>
        <v>885</v>
      </c>
      <c r="AS709">
        <f t="shared" si="253"/>
        <v>880</v>
      </c>
      <c r="AT709" s="21">
        <f t="shared" si="254"/>
        <v>888</v>
      </c>
      <c r="AU709" s="21"/>
      <c r="AV709" s="21"/>
      <c r="AW709" s="21"/>
    </row>
    <row r="710" spans="1:49" x14ac:dyDescent="0.2">
      <c r="A710">
        <v>379</v>
      </c>
      <c r="E710">
        <f t="shared" si="249"/>
        <v>1</v>
      </c>
      <c r="J710" t="str">
        <f t="shared" si="235"/>
        <v>3</v>
      </c>
      <c r="K710" t="str">
        <f t="shared" si="236"/>
        <v>15</v>
      </c>
      <c r="L710" t="str">
        <f t="shared" si="237"/>
        <v>3</v>
      </c>
      <c r="M710" s="6" t="str">
        <f t="shared" si="238"/>
        <v>12</v>
      </c>
      <c r="N710" t="str">
        <f t="shared" ref="N710:N772" si="255">IF(A710=A709,N709,"")</f>
        <v>Home</v>
      </c>
      <c r="O710">
        <v>42</v>
      </c>
      <c r="P710" t="s">
        <v>425</v>
      </c>
      <c r="Y710" t="str">
        <f t="shared" si="239"/>
        <v/>
      </c>
      <c r="Z710" t="str">
        <f t="shared" si="240"/>
        <v/>
      </c>
      <c r="AC710" t="str">
        <f t="shared" si="241"/>
        <v>Possession</v>
      </c>
      <c r="AD710" t="str">
        <f t="shared" si="242"/>
        <v/>
      </c>
      <c r="AE710" t="str">
        <f t="shared" si="243"/>
        <v/>
      </c>
      <c r="AF710" t="str">
        <f t="shared" si="244"/>
        <v>Defensive</v>
      </c>
      <c r="AG710">
        <f t="shared" si="250"/>
        <v>18981</v>
      </c>
      <c r="AH710" t="str">
        <f t="shared" si="251"/>
        <v>Nelson</v>
      </c>
      <c r="AI710" t="str">
        <f t="shared" si="252"/>
        <v>Velodrome</v>
      </c>
      <c r="AJ710" s="18">
        <f t="shared" si="245"/>
        <v>3</v>
      </c>
      <c r="AP710" s="18">
        <f t="shared" si="246"/>
        <v>0</v>
      </c>
      <c r="AQ710">
        <f t="shared" si="247"/>
        <v>0</v>
      </c>
      <c r="AR710" s="23">
        <f t="shared" si="248"/>
        <v>885</v>
      </c>
      <c r="AS710">
        <f t="shared" si="253"/>
        <v>880</v>
      </c>
      <c r="AT710" s="21">
        <f t="shared" si="254"/>
        <v>888</v>
      </c>
      <c r="AU710" s="21"/>
      <c r="AV710" s="21"/>
      <c r="AW710" s="21"/>
    </row>
    <row r="711" spans="1:49" x14ac:dyDescent="0.2">
      <c r="A711">
        <v>380</v>
      </c>
      <c r="E711">
        <f t="shared" si="249"/>
        <v>1</v>
      </c>
      <c r="F711" s="5" t="s">
        <v>531</v>
      </c>
      <c r="G711" s="5" t="s">
        <v>486</v>
      </c>
      <c r="J711" t="str">
        <f t="shared" si="235"/>
        <v>3</v>
      </c>
      <c r="K711" t="str">
        <f t="shared" si="236"/>
        <v>11</v>
      </c>
      <c r="L711" t="str">
        <f t="shared" si="237"/>
        <v/>
      </c>
      <c r="M711" s="6" t="str">
        <f t="shared" si="238"/>
        <v/>
      </c>
      <c r="N711" t="s">
        <v>178</v>
      </c>
      <c r="O711">
        <v>23</v>
      </c>
      <c r="P711" t="s">
        <v>424</v>
      </c>
      <c r="Q711" t="s">
        <v>8</v>
      </c>
      <c r="R711" t="s">
        <v>199</v>
      </c>
      <c r="S711" t="s">
        <v>70</v>
      </c>
      <c r="Y711" t="str">
        <f t="shared" si="239"/>
        <v/>
      </c>
      <c r="Z711" t="str">
        <f t="shared" si="240"/>
        <v/>
      </c>
      <c r="AC711" t="str">
        <f t="shared" si="241"/>
        <v>Pass</v>
      </c>
      <c r="AD711" t="str">
        <f t="shared" si="242"/>
        <v>Pass_Missed</v>
      </c>
      <c r="AE711" t="str">
        <f t="shared" si="243"/>
        <v>Pass-Forehand</v>
      </c>
      <c r="AF711" t="str">
        <f t="shared" si="244"/>
        <v>Offensive</v>
      </c>
      <c r="AG711">
        <f t="shared" si="250"/>
        <v>18981</v>
      </c>
      <c r="AH711" t="str">
        <f t="shared" si="251"/>
        <v>Nelson</v>
      </c>
      <c r="AI711" t="str">
        <f t="shared" si="252"/>
        <v>Velodrome</v>
      </c>
      <c r="AJ711" s="18">
        <f t="shared" si="245"/>
        <v>0</v>
      </c>
      <c r="AP711" s="18">
        <f t="shared" si="246"/>
        <v>0</v>
      </c>
      <c r="AQ711">
        <f t="shared" si="247"/>
        <v>0</v>
      </c>
      <c r="AR711" s="23">
        <f t="shared" si="248"/>
        <v>889</v>
      </c>
      <c r="AS711">
        <f t="shared" si="253"/>
        <v>884</v>
      </c>
      <c r="AT711" s="21">
        <f t="shared" si="254"/>
        <v>889</v>
      </c>
      <c r="AU711" s="21"/>
      <c r="AV711" s="21"/>
      <c r="AW711" s="21"/>
    </row>
    <row r="712" spans="1:49" x14ac:dyDescent="0.2">
      <c r="A712">
        <v>380</v>
      </c>
      <c r="E712">
        <f t="shared" si="249"/>
        <v>1</v>
      </c>
      <c r="J712" t="str">
        <f t="shared" si="235"/>
        <v>3</v>
      </c>
      <c r="K712" t="str">
        <f t="shared" si="236"/>
        <v>11</v>
      </c>
      <c r="L712" t="str">
        <f t="shared" si="237"/>
        <v/>
      </c>
      <c r="M712" s="6" t="str">
        <f t="shared" si="238"/>
        <v/>
      </c>
      <c r="N712" t="str">
        <f t="shared" si="255"/>
        <v>Home</v>
      </c>
      <c r="O712">
        <v>80</v>
      </c>
      <c r="P712" t="s">
        <v>424</v>
      </c>
      <c r="Y712" t="str">
        <f t="shared" si="239"/>
        <v/>
      </c>
      <c r="Z712" t="str">
        <f t="shared" si="240"/>
        <v/>
      </c>
      <c r="AC712" t="str">
        <f t="shared" si="241"/>
        <v>Pass</v>
      </c>
      <c r="AD712" t="str">
        <f t="shared" si="242"/>
        <v>Pass_Missed</v>
      </c>
      <c r="AE712" t="str">
        <f t="shared" si="243"/>
        <v>Pass-Forehand</v>
      </c>
      <c r="AF712" t="str">
        <f t="shared" si="244"/>
        <v>Offensive</v>
      </c>
      <c r="AG712">
        <f t="shared" si="250"/>
        <v>18981</v>
      </c>
      <c r="AH712" t="str">
        <f t="shared" si="251"/>
        <v>Nelson</v>
      </c>
      <c r="AI712" t="str">
        <f t="shared" si="252"/>
        <v>Velodrome</v>
      </c>
      <c r="AJ712" s="18">
        <f t="shared" si="245"/>
        <v>0</v>
      </c>
      <c r="AP712" s="18">
        <f t="shared" si="246"/>
        <v>0</v>
      </c>
      <c r="AQ712">
        <f t="shared" si="247"/>
        <v>0</v>
      </c>
      <c r="AR712" s="23">
        <f t="shared" si="248"/>
        <v>889</v>
      </c>
      <c r="AS712">
        <f t="shared" si="253"/>
        <v>884</v>
      </c>
      <c r="AT712" s="21">
        <f t="shared" si="254"/>
        <v>889</v>
      </c>
      <c r="AU712" s="21"/>
      <c r="AV712" s="21"/>
      <c r="AW712" s="21"/>
    </row>
    <row r="713" spans="1:49" x14ac:dyDescent="0.2">
      <c r="A713">
        <v>380</v>
      </c>
      <c r="E713">
        <f t="shared" si="249"/>
        <v>1</v>
      </c>
      <c r="J713" t="str">
        <f t="shared" ref="J713:J776" si="256">IF(F713&lt;&gt;"",F713,IF($A713=$A712,J712,J713))</f>
        <v>3</v>
      </c>
      <c r="K713" t="str">
        <f t="shared" ref="K713:K776" si="257">IF($A713=$A712,K712,G713)</f>
        <v>11</v>
      </c>
      <c r="L713" t="str">
        <f t="shared" ref="L713:L776" si="258">IF(H713&lt;&gt;"",H713,IF($A713=$A712,L712,""))</f>
        <v/>
      </c>
      <c r="M713" s="6" t="str">
        <f t="shared" ref="M713:M776" si="259">IF(I713&lt;&gt;"",I713,IF($A713=$A712,M712,""))</f>
        <v/>
      </c>
      <c r="N713" t="str">
        <f t="shared" si="255"/>
        <v>Home</v>
      </c>
      <c r="O713">
        <v>42</v>
      </c>
      <c r="P713" t="s">
        <v>425</v>
      </c>
      <c r="Y713" t="str">
        <f t="shared" si="239"/>
        <v/>
      </c>
      <c r="Z713" t="str">
        <f t="shared" si="240"/>
        <v/>
      </c>
      <c r="AC713" t="str">
        <f t="shared" si="241"/>
        <v>Pass</v>
      </c>
      <c r="AD713" t="str">
        <f t="shared" si="242"/>
        <v>Pass_Missed</v>
      </c>
      <c r="AE713" t="str">
        <f t="shared" si="243"/>
        <v>Pass-Forehand</v>
      </c>
      <c r="AF713" t="str">
        <f t="shared" si="244"/>
        <v>Defensive</v>
      </c>
      <c r="AG713">
        <f t="shared" si="250"/>
        <v>18981</v>
      </c>
      <c r="AH713" t="str">
        <f t="shared" si="251"/>
        <v>Nelson</v>
      </c>
      <c r="AI713" t="str">
        <f t="shared" si="252"/>
        <v>Velodrome</v>
      </c>
      <c r="AJ713" s="18">
        <f t="shared" si="245"/>
        <v>0</v>
      </c>
      <c r="AP713" s="18">
        <f t="shared" si="246"/>
        <v>0</v>
      </c>
      <c r="AQ713">
        <f t="shared" si="247"/>
        <v>0</v>
      </c>
      <c r="AR713" s="23">
        <f t="shared" si="248"/>
        <v>889</v>
      </c>
      <c r="AS713">
        <f t="shared" si="253"/>
        <v>884</v>
      </c>
      <c r="AT713" s="21">
        <f t="shared" si="254"/>
        <v>889</v>
      </c>
      <c r="AU713" s="21"/>
      <c r="AV713" s="21"/>
      <c r="AW713" s="21"/>
    </row>
    <row r="714" spans="1:49" x14ac:dyDescent="0.2">
      <c r="A714">
        <v>381</v>
      </c>
      <c r="E714">
        <f t="shared" si="249"/>
        <v>1</v>
      </c>
      <c r="F714" s="5" t="s">
        <v>531</v>
      </c>
      <c r="G714" s="5" t="s">
        <v>485</v>
      </c>
      <c r="J714" t="str">
        <f t="shared" si="256"/>
        <v>3</v>
      </c>
      <c r="K714" t="str">
        <f t="shared" si="257"/>
        <v>10</v>
      </c>
      <c r="L714" t="str">
        <f t="shared" si="258"/>
        <v/>
      </c>
      <c r="M714" s="6" t="str">
        <f t="shared" si="259"/>
        <v/>
      </c>
      <c r="N714" t="s">
        <v>178</v>
      </c>
      <c r="O714">
        <v>80</v>
      </c>
      <c r="P714" t="s">
        <v>424</v>
      </c>
      <c r="Q714" t="s">
        <v>277</v>
      </c>
      <c r="R714" t="s">
        <v>201</v>
      </c>
      <c r="S714" t="s">
        <v>92</v>
      </c>
      <c r="Y714" t="str">
        <f t="shared" si="239"/>
        <v/>
      </c>
      <c r="Z714" t="str">
        <f t="shared" si="240"/>
        <v/>
      </c>
      <c r="AC714" t="str">
        <f t="shared" si="241"/>
        <v>Zone_Entry_Exit</v>
      </c>
      <c r="AD714" t="str">
        <f t="shared" si="242"/>
        <v>Zone_Exit</v>
      </c>
      <c r="AE714" t="str">
        <f t="shared" si="243"/>
        <v>ZoneExit-Clear</v>
      </c>
      <c r="AF714" t="str">
        <f t="shared" si="244"/>
        <v>Offensive</v>
      </c>
      <c r="AG714">
        <f t="shared" si="250"/>
        <v>18981</v>
      </c>
      <c r="AH714" t="str">
        <f t="shared" si="251"/>
        <v>Nelson</v>
      </c>
      <c r="AI714" t="str">
        <f t="shared" si="252"/>
        <v>Velodrome</v>
      </c>
      <c r="AJ714" s="18">
        <f t="shared" si="245"/>
        <v>0</v>
      </c>
      <c r="AP714" s="18">
        <f t="shared" si="246"/>
        <v>0</v>
      </c>
      <c r="AQ714">
        <f t="shared" si="247"/>
        <v>0</v>
      </c>
      <c r="AR714" s="23">
        <f t="shared" si="248"/>
        <v>890</v>
      </c>
      <c r="AS714">
        <f t="shared" si="253"/>
        <v>885</v>
      </c>
      <c r="AT714" s="21">
        <f t="shared" si="254"/>
        <v>890</v>
      </c>
      <c r="AU714" s="21"/>
      <c r="AV714" s="21"/>
      <c r="AW714" s="21"/>
    </row>
    <row r="715" spans="1:49" x14ac:dyDescent="0.2">
      <c r="A715">
        <v>381</v>
      </c>
      <c r="E715">
        <f t="shared" si="249"/>
        <v>1</v>
      </c>
      <c r="J715" t="str">
        <f t="shared" si="256"/>
        <v>3</v>
      </c>
      <c r="K715" t="str">
        <f t="shared" si="257"/>
        <v>10</v>
      </c>
      <c r="L715" t="str">
        <f t="shared" si="258"/>
        <v/>
      </c>
      <c r="M715" s="6" t="str">
        <f t="shared" si="259"/>
        <v/>
      </c>
      <c r="N715" t="str">
        <f t="shared" si="255"/>
        <v>Home</v>
      </c>
      <c r="O715">
        <v>91</v>
      </c>
      <c r="P715" t="s">
        <v>425</v>
      </c>
      <c r="Y715" t="str">
        <f t="shared" si="239"/>
        <v/>
      </c>
      <c r="Z715" t="str">
        <f t="shared" si="240"/>
        <v/>
      </c>
      <c r="AC715" t="str">
        <f t="shared" si="241"/>
        <v>Zone_Entry_Exit</v>
      </c>
      <c r="AD715" t="str">
        <f t="shared" si="242"/>
        <v>Zone_Exit</v>
      </c>
      <c r="AE715" t="str">
        <f t="shared" si="243"/>
        <v>ZoneExit-Clear</v>
      </c>
      <c r="AF715" t="str">
        <f t="shared" si="244"/>
        <v>Defensive</v>
      </c>
      <c r="AG715">
        <f t="shared" si="250"/>
        <v>18981</v>
      </c>
      <c r="AH715" t="str">
        <f t="shared" si="251"/>
        <v>Nelson</v>
      </c>
      <c r="AI715" t="str">
        <f t="shared" si="252"/>
        <v>Velodrome</v>
      </c>
      <c r="AJ715" s="18">
        <f t="shared" si="245"/>
        <v>0</v>
      </c>
      <c r="AP715" s="18">
        <f t="shared" si="246"/>
        <v>0</v>
      </c>
      <c r="AQ715">
        <f t="shared" si="247"/>
        <v>0</v>
      </c>
      <c r="AR715" s="23">
        <f t="shared" si="248"/>
        <v>890</v>
      </c>
      <c r="AS715">
        <f t="shared" si="253"/>
        <v>885</v>
      </c>
      <c r="AT715" s="21">
        <f t="shared" si="254"/>
        <v>890</v>
      </c>
      <c r="AU715" s="21"/>
      <c r="AV715" s="21"/>
      <c r="AW715" s="21"/>
    </row>
    <row r="716" spans="1:49" x14ac:dyDescent="0.2">
      <c r="A716">
        <v>382</v>
      </c>
      <c r="E716">
        <f t="shared" si="249"/>
        <v>1</v>
      </c>
      <c r="F716" s="5" t="s">
        <v>531</v>
      </c>
      <c r="G716" s="5" t="s">
        <v>485</v>
      </c>
      <c r="J716" t="str">
        <f t="shared" si="256"/>
        <v>3</v>
      </c>
      <c r="K716" t="str">
        <f t="shared" si="257"/>
        <v>10</v>
      </c>
      <c r="L716" t="str">
        <f t="shared" si="258"/>
        <v/>
      </c>
      <c r="M716" s="6" t="str">
        <f t="shared" si="259"/>
        <v/>
      </c>
      <c r="N716" t="s">
        <v>178</v>
      </c>
      <c r="O716">
        <v>80</v>
      </c>
      <c r="P716" t="s">
        <v>424</v>
      </c>
      <c r="Q716" t="s">
        <v>10</v>
      </c>
      <c r="R716" t="s">
        <v>190</v>
      </c>
      <c r="S716" t="s">
        <v>411</v>
      </c>
      <c r="Y716" t="str">
        <f t="shared" si="239"/>
        <v/>
      </c>
      <c r="Z716" t="str">
        <f t="shared" si="240"/>
        <v/>
      </c>
      <c r="AC716" t="str">
        <f t="shared" si="241"/>
        <v>Turnover</v>
      </c>
      <c r="AD716" t="str">
        <f t="shared" si="242"/>
        <v>Turnover_Giveaway</v>
      </c>
      <c r="AE716" t="str">
        <f t="shared" si="243"/>
        <v>Giveaway-ZoneClear/Dump</v>
      </c>
      <c r="AF716" t="str">
        <f t="shared" si="244"/>
        <v>Offensive</v>
      </c>
      <c r="AG716">
        <f t="shared" si="250"/>
        <v>18981</v>
      </c>
      <c r="AH716" t="str">
        <f t="shared" si="251"/>
        <v>Nelson</v>
      </c>
      <c r="AI716" t="str">
        <f t="shared" si="252"/>
        <v>Velodrome</v>
      </c>
      <c r="AJ716" s="18">
        <f t="shared" si="245"/>
        <v>0</v>
      </c>
      <c r="AP716" s="18">
        <f t="shared" si="246"/>
        <v>0</v>
      </c>
      <c r="AQ716">
        <f t="shared" si="247"/>
        <v>0</v>
      </c>
      <c r="AR716" s="23">
        <f t="shared" si="248"/>
        <v>890</v>
      </c>
      <c r="AS716">
        <f t="shared" si="253"/>
        <v>885</v>
      </c>
      <c r="AT716" s="21">
        <f t="shared" si="254"/>
        <v>890</v>
      </c>
      <c r="AU716" s="21"/>
      <c r="AV716" s="21"/>
      <c r="AW716" s="21"/>
    </row>
    <row r="717" spans="1:49" x14ac:dyDescent="0.2">
      <c r="A717">
        <v>382</v>
      </c>
      <c r="E717">
        <f t="shared" si="249"/>
        <v>1</v>
      </c>
      <c r="J717" t="str">
        <f t="shared" si="256"/>
        <v>3</v>
      </c>
      <c r="K717" t="str">
        <f t="shared" si="257"/>
        <v>10</v>
      </c>
      <c r="L717" t="str">
        <f t="shared" si="258"/>
        <v/>
      </c>
      <c r="M717" s="6" t="str">
        <f t="shared" si="259"/>
        <v/>
      </c>
      <c r="N717" t="str">
        <f t="shared" si="255"/>
        <v>Home</v>
      </c>
      <c r="O717">
        <v>91</v>
      </c>
      <c r="P717" t="s">
        <v>425</v>
      </c>
      <c r="Y717" t="str">
        <f t="shared" si="239"/>
        <v/>
      </c>
      <c r="Z717" t="str">
        <f t="shared" si="240"/>
        <v/>
      </c>
      <c r="AC717" t="str">
        <f t="shared" si="241"/>
        <v>Turnover</v>
      </c>
      <c r="AD717" t="str">
        <f t="shared" si="242"/>
        <v>Turnover_Giveaway</v>
      </c>
      <c r="AE717" t="str">
        <f t="shared" si="243"/>
        <v>Giveaway-ZoneClear/Dump</v>
      </c>
      <c r="AF717" t="str">
        <f t="shared" si="244"/>
        <v>Defensive</v>
      </c>
      <c r="AG717">
        <f t="shared" si="250"/>
        <v>18981</v>
      </c>
      <c r="AH717" t="str">
        <f t="shared" si="251"/>
        <v>Nelson</v>
      </c>
      <c r="AI717" t="str">
        <f t="shared" si="252"/>
        <v>Velodrome</v>
      </c>
      <c r="AJ717" s="18">
        <f t="shared" si="245"/>
        <v>0</v>
      </c>
      <c r="AP717" s="18">
        <f t="shared" si="246"/>
        <v>0</v>
      </c>
      <c r="AQ717">
        <f t="shared" si="247"/>
        <v>0</v>
      </c>
      <c r="AR717" s="23">
        <f t="shared" si="248"/>
        <v>890</v>
      </c>
      <c r="AS717">
        <f t="shared" si="253"/>
        <v>885</v>
      </c>
      <c r="AT717" s="21">
        <f t="shared" si="254"/>
        <v>890</v>
      </c>
      <c r="AU717" s="21"/>
      <c r="AV717" s="21"/>
      <c r="AW717" s="21"/>
    </row>
    <row r="718" spans="1:49" x14ac:dyDescent="0.2">
      <c r="A718">
        <v>383</v>
      </c>
      <c r="E718">
        <f t="shared" si="249"/>
        <v>1</v>
      </c>
      <c r="F718" s="5" t="s">
        <v>531</v>
      </c>
      <c r="G718" s="5" t="s">
        <v>476</v>
      </c>
      <c r="H718" s="5" t="s">
        <v>531</v>
      </c>
      <c r="I718" s="7" t="s">
        <v>474</v>
      </c>
      <c r="J718" t="str">
        <f t="shared" si="256"/>
        <v>3</v>
      </c>
      <c r="K718" t="str">
        <f t="shared" si="257"/>
        <v>06</v>
      </c>
      <c r="L718" t="str">
        <f t="shared" si="258"/>
        <v>3</v>
      </c>
      <c r="M718" s="6" t="str">
        <f t="shared" si="259"/>
        <v>02</v>
      </c>
      <c r="N718" t="s">
        <v>179</v>
      </c>
      <c r="O718">
        <v>42</v>
      </c>
      <c r="P718" t="s">
        <v>424</v>
      </c>
      <c r="Q718" t="s">
        <v>15</v>
      </c>
      <c r="Y718" t="str">
        <f t="shared" si="239"/>
        <v/>
      </c>
      <c r="Z718" t="str">
        <f t="shared" si="240"/>
        <v/>
      </c>
      <c r="AC718" t="str">
        <f t="shared" si="241"/>
        <v>Possession</v>
      </c>
      <c r="AD718" t="str">
        <f t="shared" si="242"/>
        <v/>
      </c>
      <c r="AE718" t="str">
        <f t="shared" si="243"/>
        <v/>
      </c>
      <c r="AF718" t="str">
        <f t="shared" si="244"/>
        <v>Offensive</v>
      </c>
      <c r="AG718">
        <f t="shared" si="250"/>
        <v>18981</v>
      </c>
      <c r="AH718" t="str">
        <f t="shared" si="251"/>
        <v>Nelson</v>
      </c>
      <c r="AI718" t="str">
        <f t="shared" si="252"/>
        <v>Velodrome</v>
      </c>
      <c r="AJ718" s="18">
        <f t="shared" si="245"/>
        <v>4</v>
      </c>
      <c r="AP718" s="18">
        <f t="shared" si="246"/>
        <v>0</v>
      </c>
      <c r="AQ718">
        <f t="shared" si="247"/>
        <v>0</v>
      </c>
      <c r="AR718" s="23">
        <f t="shared" si="248"/>
        <v>894</v>
      </c>
      <c r="AS718">
        <f t="shared" si="253"/>
        <v>889</v>
      </c>
      <c r="AT718" s="21">
        <f t="shared" si="254"/>
        <v>898</v>
      </c>
      <c r="AU718" s="21"/>
      <c r="AV718" s="21"/>
      <c r="AW718" s="21"/>
    </row>
    <row r="719" spans="1:49" x14ac:dyDescent="0.2">
      <c r="A719">
        <v>383</v>
      </c>
      <c r="E719">
        <f t="shared" si="249"/>
        <v>1</v>
      </c>
      <c r="J719" t="str">
        <f t="shared" si="256"/>
        <v>3</v>
      </c>
      <c r="K719" t="str">
        <f t="shared" si="257"/>
        <v>06</v>
      </c>
      <c r="L719" t="str">
        <f t="shared" si="258"/>
        <v>3</v>
      </c>
      <c r="M719" s="6" t="str">
        <f t="shared" si="259"/>
        <v>02</v>
      </c>
      <c r="N719" t="str">
        <f t="shared" si="255"/>
        <v>Away</v>
      </c>
      <c r="O719">
        <v>10</v>
      </c>
      <c r="P719" t="s">
        <v>425</v>
      </c>
      <c r="Y719" t="str">
        <f t="shared" si="239"/>
        <v/>
      </c>
      <c r="Z719" t="str">
        <f t="shared" si="240"/>
        <v/>
      </c>
      <c r="AC719" t="str">
        <f t="shared" si="241"/>
        <v>Possession</v>
      </c>
      <c r="AD719" t="str">
        <f t="shared" si="242"/>
        <v/>
      </c>
      <c r="AE719" t="str">
        <f t="shared" si="243"/>
        <v/>
      </c>
      <c r="AF719" t="str">
        <f t="shared" si="244"/>
        <v>Defensive</v>
      </c>
      <c r="AG719">
        <f t="shared" si="250"/>
        <v>18981</v>
      </c>
      <c r="AH719" t="str">
        <f t="shared" si="251"/>
        <v>Nelson</v>
      </c>
      <c r="AI719" t="str">
        <f t="shared" si="252"/>
        <v>Velodrome</v>
      </c>
      <c r="AJ719" s="18">
        <f t="shared" si="245"/>
        <v>4</v>
      </c>
      <c r="AP719" s="18">
        <f t="shared" si="246"/>
        <v>0</v>
      </c>
      <c r="AQ719">
        <f t="shared" si="247"/>
        <v>0</v>
      </c>
      <c r="AR719" s="23">
        <f t="shared" si="248"/>
        <v>894</v>
      </c>
      <c r="AS719">
        <f t="shared" si="253"/>
        <v>889</v>
      </c>
      <c r="AT719" s="21">
        <f t="shared" si="254"/>
        <v>898</v>
      </c>
      <c r="AU719" s="21"/>
      <c r="AV719" s="21"/>
      <c r="AW719" s="21"/>
    </row>
    <row r="720" spans="1:49" x14ac:dyDescent="0.2">
      <c r="A720">
        <v>383</v>
      </c>
      <c r="E720">
        <f t="shared" si="249"/>
        <v>1</v>
      </c>
      <c r="J720" t="str">
        <f t="shared" si="256"/>
        <v>3</v>
      </c>
      <c r="K720" t="str">
        <f t="shared" si="257"/>
        <v>06</v>
      </c>
      <c r="L720" t="str">
        <f t="shared" si="258"/>
        <v>3</v>
      </c>
      <c r="M720" s="6" t="str">
        <f t="shared" si="259"/>
        <v>02</v>
      </c>
      <c r="N720" t="str">
        <f t="shared" si="255"/>
        <v>Away</v>
      </c>
      <c r="O720">
        <v>15</v>
      </c>
      <c r="P720" t="s">
        <v>425</v>
      </c>
      <c r="Y720" t="str">
        <f t="shared" si="239"/>
        <v/>
      </c>
      <c r="Z720" t="str">
        <f t="shared" si="240"/>
        <v/>
      </c>
      <c r="AC720" t="str">
        <f t="shared" si="241"/>
        <v>Possession</v>
      </c>
      <c r="AD720" t="str">
        <f t="shared" si="242"/>
        <v/>
      </c>
      <c r="AE720" t="str">
        <f t="shared" si="243"/>
        <v/>
      </c>
      <c r="AF720" t="str">
        <f t="shared" si="244"/>
        <v>Defensive</v>
      </c>
      <c r="AG720">
        <f t="shared" si="250"/>
        <v>18981</v>
      </c>
      <c r="AH720" t="str">
        <f t="shared" si="251"/>
        <v>Nelson</v>
      </c>
      <c r="AI720" t="str">
        <f t="shared" si="252"/>
        <v>Velodrome</v>
      </c>
      <c r="AJ720" s="18">
        <f t="shared" si="245"/>
        <v>4</v>
      </c>
      <c r="AP720" s="18">
        <f t="shared" si="246"/>
        <v>0</v>
      </c>
      <c r="AQ720">
        <f t="shared" si="247"/>
        <v>0</v>
      </c>
      <c r="AR720" s="23">
        <f t="shared" si="248"/>
        <v>894</v>
      </c>
      <c r="AS720">
        <f t="shared" si="253"/>
        <v>889</v>
      </c>
      <c r="AT720" s="21">
        <f t="shared" si="254"/>
        <v>898</v>
      </c>
      <c r="AU720" s="21"/>
      <c r="AV720" s="21"/>
      <c r="AW720" s="21"/>
    </row>
    <row r="721" spans="1:49" x14ac:dyDescent="0.2">
      <c r="A721">
        <v>384</v>
      </c>
      <c r="E721">
        <f t="shared" si="249"/>
        <v>1</v>
      </c>
      <c r="F721" s="5" t="s">
        <v>531</v>
      </c>
      <c r="G721" s="5" t="s">
        <v>474</v>
      </c>
      <c r="H721" s="5" t="s">
        <v>534</v>
      </c>
      <c r="I721" s="7" t="s">
        <v>530</v>
      </c>
      <c r="J721" t="str">
        <f t="shared" si="256"/>
        <v>3</v>
      </c>
      <c r="K721" t="str">
        <f t="shared" si="257"/>
        <v>02</v>
      </c>
      <c r="L721" t="str">
        <f t="shared" si="258"/>
        <v>2</v>
      </c>
      <c r="M721" s="6" t="str">
        <f t="shared" si="259"/>
        <v>58</v>
      </c>
      <c r="N721" t="s">
        <v>179</v>
      </c>
      <c r="O721">
        <v>42</v>
      </c>
      <c r="P721" t="s">
        <v>424</v>
      </c>
      <c r="Q721" t="s">
        <v>15</v>
      </c>
      <c r="Y721" t="str">
        <f t="shared" si="239"/>
        <v/>
      </c>
      <c r="Z721" t="str">
        <f t="shared" si="240"/>
        <v/>
      </c>
      <c r="AC721" t="str">
        <f t="shared" si="241"/>
        <v>Possession</v>
      </c>
      <c r="AD721" t="str">
        <f t="shared" si="242"/>
        <v/>
      </c>
      <c r="AE721" t="str">
        <f t="shared" si="243"/>
        <v/>
      </c>
      <c r="AF721" t="str">
        <f t="shared" si="244"/>
        <v>Offensive</v>
      </c>
      <c r="AG721">
        <f t="shared" si="250"/>
        <v>18981</v>
      </c>
      <c r="AH721" t="str">
        <f t="shared" si="251"/>
        <v>Nelson</v>
      </c>
      <c r="AI721" t="str">
        <f t="shared" si="252"/>
        <v>Velodrome</v>
      </c>
      <c r="AJ721" s="18">
        <f t="shared" si="245"/>
        <v>4</v>
      </c>
      <c r="AP721" s="18">
        <f t="shared" si="246"/>
        <v>0</v>
      </c>
      <c r="AQ721">
        <f t="shared" si="247"/>
        <v>0</v>
      </c>
      <c r="AR721" s="23">
        <f t="shared" si="248"/>
        <v>898</v>
      </c>
      <c r="AS721">
        <f t="shared" si="253"/>
        <v>893</v>
      </c>
      <c r="AT721" s="21">
        <f t="shared" si="254"/>
        <v>902</v>
      </c>
      <c r="AU721" s="21"/>
      <c r="AV721" s="21"/>
      <c r="AW721" s="21"/>
    </row>
    <row r="722" spans="1:49" x14ac:dyDescent="0.2">
      <c r="A722">
        <v>384</v>
      </c>
      <c r="E722">
        <f t="shared" si="249"/>
        <v>1</v>
      </c>
      <c r="J722" t="str">
        <f t="shared" si="256"/>
        <v>3</v>
      </c>
      <c r="K722" t="str">
        <f t="shared" si="257"/>
        <v>02</v>
      </c>
      <c r="L722" t="str">
        <f t="shared" si="258"/>
        <v>2</v>
      </c>
      <c r="M722" s="6" t="str">
        <f t="shared" si="259"/>
        <v>58</v>
      </c>
      <c r="N722" t="str">
        <f t="shared" si="255"/>
        <v>Away</v>
      </c>
      <c r="O722">
        <v>44</v>
      </c>
      <c r="P722" t="s">
        <v>425</v>
      </c>
      <c r="Y722" t="str">
        <f t="shared" si="239"/>
        <v/>
      </c>
      <c r="Z722" t="str">
        <f t="shared" si="240"/>
        <v/>
      </c>
      <c r="AC722" t="str">
        <f t="shared" si="241"/>
        <v>Possession</v>
      </c>
      <c r="AD722" t="str">
        <f t="shared" si="242"/>
        <v/>
      </c>
      <c r="AE722" t="str">
        <f t="shared" si="243"/>
        <v/>
      </c>
      <c r="AF722" t="str">
        <f t="shared" si="244"/>
        <v>Defensive</v>
      </c>
      <c r="AG722">
        <f t="shared" si="250"/>
        <v>18981</v>
      </c>
      <c r="AH722" t="str">
        <f t="shared" si="251"/>
        <v>Nelson</v>
      </c>
      <c r="AI722" t="str">
        <f t="shared" si="252"/>
        <v>Velodrome</v>
      </c>
      <c r="AJ722" s="18">
        <f t="shared" si="245"/>
        <v>4</v>
      </c>
      <c r="AP722" s="18">
        <f t="shared" si="246"/>
        <v>0</v>
      </c>
      <c r="AQ722">
        <f t="shared" si="247"/>
        <v>0</v>
      </c>
      <c r="AR722" s="23">
        <f t="shared" si="248"/>
        <v>898</v>
      </c>
      <c r="AS722">
        <f t="shared" si="253"/>
        <v>893</v>
      </c>
      <c r="AT722" s="21">
        <f t="shared" si="254"/>
        <v>902</v>
      </c>
      <c r="AU722" s="21"/>
      <c r="AV722" s="21"/>
      <c r="AW722" s="21"/>
    </row>
    <row r="723" spans="1:49" x14ac:dyDescent="0.2">
      <c r="A723">
        <v>384</v>
      </c>
      <c r="E723">
        <f t="shared" si="249"/>
        <v>1</v>
      </c>
      <c r="J723" t="str">
        <f t="shared" si="256"/>
        <v>3</v>
      </c>
      <c r="K723" t="str">
        <f t="shared" si="257"/>
        <v>02</v>
      </c>
      <c r="L723" t="str">
        <f t="shared" si="258"/>
        <v>2</v>
      </c>
      <c r="M723" s="6" t="str">
        <f t="shared" si="259"/>
        <v>58</v>
      </c>
      <c r="N723" t="str">
        <f t="shared" si="255"/>
        <v>Away</v>
      </c>
      <c r="O723">
        <v>80</v>
      </c>
      <c r="P723" t="s">
        <v>425</v>
      </c>
      <c r="Y723" t="str">
        <f t="shared" si="239"/>
        <v/>
      </c>
      <c r="Z723" t="str">
        <f t="shared" si="240"/>
        <v/>
      </c>
      <c r="AC723" t="str">
        <f t="shared" si="241"/>
        <v>Possession</v>
      </c>
      <c r="AD723" t="str">
        <f t="shared" si="242"/>
        <v/>
      </c>
      <c r="AE723" t="str">
        <f t="shared" si="243"/>
        <v/>
      </c>
      <c r="AF723" t="str">
        <f t="shared" si="244"/>
        <v>Defensive</v>
      </c>
      <c r="AG723">
        <f t="shared" si="250"/>
        <v>18981</v>
      </c>
      <c r="AH723" t="str">
        <f t="shared" si="251"/>
        <v>Nelson</v>
      </c>
      <c r="AI723" t="str">
        <f t="shared" si="252"/>
        <v>Velodrome</v>
      </c>
      <c r="AJ723" s="18">
        <f t="shared" si="245"/>
        <v>4</v>
      </c>
      <c r="AP723" s="18">
        <f t="shared" si="246"/>
        <v>0</v>
      </c>
      <c r="AQ723">
        <f t="shared" si="247"/>
        <v>0</v>
      </c>
      <c r="AR723" s="23">
        <f t="shared" si="248"/>
        <v>898</v>
      </c>
      <c r="AS723">
        <f t="shared" si="253"/>
        <v>893</v>
      </c>
      <c r="AT723" s="21">
        <f t="shared" si="254"/>
        <v>902</v>
      </c>
      <c r="AU723" s="21"/>
      <c r="AV723" s="21"/>
      <c r="AW723" s="21"/>
    </row>
    <row r="724" spans="1:49" x14ac:dyDescent="0.2">
      <c r="A724">
        <v>385</v>
      </c>
      <c r="E724">
        <f t="shared" si="249"/>
        <v>1</v>
      </c>
      <c r="F724" s="5" t="s">
        <v>534</v>
      </c>
      <c r="G724" s="5" t="s">
        <v>530</v>
      </c>
      <c r="J724" t="str">
        <f t="shared" si="256"/>
        <v>2</v>
      </c>
      <c r="K724" t="str">
        <f t="shared" si="257"/>
        <v>58</v>
      </c>
      <c r="L724" t="str">
        <f t="shared" si="258"/>
        <v/>
      </c>
      <c r="M724" s="6" t="str">
        <f t="shared" si="259"/>
        <v/>
      </c>
      <c r="N724" t="s">
        <v>179</v>
      </c>
      <c r="O724">
        <v>42</v>
      </c>
      <c r="P724" t="s">
        <v>424</v>
      </c>
      <c r="Q724" t="s">
        <v>247</v>
      </c>
      <c r="R724" t="s">
        <v>445</v>
      </c>
      <c r="S724" t="s">
        <v>152</v>
      </c>
      <c r="Y724" t="str">
        <f t="shared" si="239"/>
        <v/>
      </c>
      <c r="Z724" t="str">
        <f t="shared" si="240"/>
        <v/>
      </c>
      <c r="AC724" t="str">
        <f t="shared" si="241"/>
        <v>Play</v>
      </c>
      <c r="AD724" t="str">
        <f t="shared" si="242"/>
        <v>Play_Offensive</v>
      </c>
      <c r="AE724" t="str">
        <f t="shared" si="243"/>
        <v>Deke</v>
      </c>
      <c r="AF724" t="str">
        <f t="shared" si="244"/>
        <v>Offensive</v>
      </c>
      <c r="AG724">
        <f t="shared" si="250"/>
        <v>18981</v>
      </c>
      <c r="AH724" t="str">
        <f t="shared" si="251"/>
        <v>Nelson</v>
      </c>
      <c r="AI724" t="str">
        <f t="shared" si="252"/>
        <v>Velodrome</v>
      </c>
      <c r="AJ724" s="18">
        <f t="shared" si="245"/>
        <v>0</v>
      </c>
      <c r="AP724" s="18">
        <f t="shared" si="246"/>
        <v>0</v>
      </c>
      <c r="AQ724">
        <f t="shared" si="247"/>
        <v>0</v>
      </c>
      <c r="AR724" s="23">
        <f t="shared" si="248"/>
        <v>902</v>
      </c>
      <c r="AS724">
        <f t="shared" si="253"/>
        <v>897</v>
      </c>
      <c r="AT724" s="21">
        <f t="shared" si="254"/>
        <v>902</v>
      </c>
      <c r="AU724" s="21"/>
      <c r="AV724" s="21"/>
      <c r="AW724" s="21"/>
    </row>
    <row r="725" spans="1:49" x14ac:dyDescent="0.2">
      <c r="A725">
        <v>385</v>
      </c>
      <c r="E725">
        <f t="shared" si="249"/>
        <v>1</v>
      </c>
      <c r="J725" t="str">
        <f t="shared" si="256"/>
        <v>2</v>
      </c>
      <c r="K725" t="str">
        <f t="shared" si="257"/>
        <v>58</v>
      </c>
      <c r="L725" t="str">
        <f t="shared" si="258"/>
        <v/>
      </c>
      <c r="M725" s="6" t="str">
        <f t="shared" si="259"/>
        <v/>
      </c>
      <c r="N725" t="str">
        <f t="shared" si="255"/>
        <v>Away</v>
      </c>
      <c r="O725">
        <v>80</v>
      </c>
      <c r="P725" t="s">
        <v>425</v>
      </c>
      <c r="Y725" t="str">
        <f t="shared" si="239"/>
        <v/>
      </c>
      <c r="Z725" t="str">
        <f t="shared" si="240"/>
        <v/>
      </c>
      <c r="AC725" t="str">
        <f t="shared" si="241"/>
        <v>Play</v>
      </c>
      <c r="AD725" t="str">
        <f t="shared" si="242"/>
        <v>Play_Offensive</v>
      </c>
      <c r="AE725" t="str">
        <f t="shared" si="243"/>
        <v>Deke</v>
      </c>
      <c r="AF725" t="str">
        <f t="shared" si="244"/>
        <v>Defensive</v>
      </c>
      <c r="AG725">
        <f t="shared" si="250"/>
        <v>18981</v>
      </c>
      <c r="AH725" t="str">
        <f t="shared" si="251"/>
        <v>Nelson</v>
      </c>
      <c r="AI725" t="str">
        <f t="shared" si="252"/>
        <v>Velodrome</v>
      </c>
      <c r="AJ725" s="18">
        <f t="shared" si="245"/>
        <v>0</v>
      </c>
      <c r="AP725" s="18">
        <f t="shared" si="246"/>
        <v>0</v>
      </c>
      <c r="AQ725">
        <f t="shared" si="247"/>
        <v>0</v>
      </c>
      <c r="AR725" s="23">
        <f t="shared" si="248"/>
        <v>902</v>
      </c>
      <c r="AS725">
        <f t="shared" si="253"/>
        <v>897</v>
      </c>
      <c r="AT725" s="21">
        <f t="shared" si="254"/>
        <v>902</v>
      </c>
      <c r="AU725" s="21"/>
      <c r="AV725" s="21"/>
      <c r="AW725" s="21"/>
    </row>
    <row r="726" spans="1:49" x14ac:dyDescent="0.2">
      <c r="A726">
        <v>386</v>
      </c>
      <c r="E726">
        <f t="shared" si="249"/>
        <v>1</v>
      </c>
      <c r="F726" s="5" t="s">
        <v>534</v>
      </c>
      <c r="G726" s="5" t="s">
        <v>530</v>
      </c>
      <c r="H726" s="5" t="s">
        <v>534</v>
      </c>
      <c r="I726" s="7" t="s">
        <v>528</v>
      </c>
      <c r="J726" t="str">
        <f t="shared" si="256"/>
        <v>2</v>
      </c>
      <c r="K726" t="str">
        <f t="shared" si="257"/>
        <v>58</v>
      </c>
      <c r="L726" t="str">
        <f t="shared" si="258"/>
        <v>2</v>
      </c>
      <c r="M726" s="6" t="str">
        <f t="shared" si="259"/>
        <v>56</v>
      </c>
      <c r="N726" t="s">
        <v>179</v>
      </c>
      <c r="O726">
        <v>42</v>
      </c>
      <c r="P726" t="s">
        <v>424</v>
      </c>
      <c r="Q726" t="s">
        <v>277</v>
      </c>
      <c r="R726" t="s">
        <v>191</v>
      </c>
      <c r="S726" t="s">
        <v>87</v>
      </c>
      <c r="Y726" t="str">
        <f t="shared" si="239"/>
        <v/>
      </c>
      <c r="Z726" t="str">
        <f t="shared" si="240"/>
        <v/>
      </c>
      <c r="AC726" t="str">
        <f t="shared" si="241"/>
        <v>Zone_Entry_Exit</v>
      </c>
      <c r="AD726" t="str">
        <f t="shared" si="242"/>
        <v>Zone_Entry</v>
      </c>
      <c r="AE726" t="str">
        <f t="shared" si="243"/>
        <v>ZoneEntry-Rush</v>
      </c>
      <c r="AF726" t="str">
        <f t="shared" si="244"/>
        <v>Offensive</v>
      </c>
      <c r="AG726">
        <f t="shared" si="250"/>
        <v>18981</v>
      </c>
      <c r="AH726" t="str">
        <f t="shared" si="251"/>
        <v>Nelson</v>
      </c>
      <c r="AI726" t="str">
        <f t="shared" si="252"/>
        <v>Velodrome</v>
      </c>
      <c r="AJ726" s="18">
        <f t="shared" si="245"/>
        <v>2</v>
      </c>
      <c r="AP726" s="18">
        <f t="shared" si="246"/>
        <v>0</v>
      </c>
      <c r="AQ726">
        <f t="shared" si="247"/>
        <v>0</v>
      </c>
      <c r="AR726" s="23">
        <f t="shared" si="248"/>
        <v>902</v>
      </c>
      <c r="AS726">
        <f t="shared" si="253"/>
        <v>897</v>
      </c>
      <c r="AT726" s="21">
        <f t="shared" si="254"/>
        <v>904</v>
      </c>
      <c r="AU726" s="21"/>
      <c r="AV726" s="21"/>
      <c r="AW726" s="21"/>
    </row>
    <row r="727" spans="1:49" x14ac:dyDescent="0.2">
      <c r="A727">
        <v>386</v>
      </c>
      <c r="E727">
        <f t="shared" si="249"/>
        <v>1</v>
      </c>
      <c r="J727" t="str">
        <f t="shared" si="256"/>
        <v>2</v>
      </c>
      <c r="K727" t="str">
        <f t="shared" si="257"/>
        <v>58</v>
      </c>
      <c r="L727" t="str">
        <f t="shared" si="258"/>
        <v>2</v>
      </c>
      <c r="M727" s="6" t="str">
        <f t="shared" si="259"/>
        <v>56</v>
      </c>
      <c r="N727" t="str">
        <f t="shared" si="255"/>
        <v>Away</v>
      </c>
      <c r="O727">
        <v>15</v>
      </c>
      <c r="P727" t="s">
        <v>425</v>
      </c>
      <c r="Y727" t="str">
        <f t="shared" si="239"/>
        <v/>
      </c>
      <c r="Z727" t="str">
        <f t="shared" si="240"/>
        <v/>
      </c>
      <c r="AC727" t="str">
        <f t="shared" si="241"/>
        <v>Zone_Entry_Exit</v>
      </c>
      <c r="AD727" t="str">
        <f t="shared" si="242"/>
        <v>Zone_Entry</v>
      </c>
      <c r="AE727" t="str">
        <f t="shared" si="243"/>
        <v>ZoneEntry-Rush</v>
      </c>
      <c r="AF727" t="str">
        <f t="shared" si="244"/>
        <v>Defensive</v>
      </c>
      <c r="AG727">
        <f t="shared" si="250"/>
        <v>18981</v>
      </c>
      <c r="AH727" t="str">
        <f t="shared" si="251"/>
        <v>Nelson</v>
      </c>
      <c r="AI727" t="str">
        <f t="shared" si="252"/>
        <v>Velodrome</v>
      </c>
      <c r="AJ727" s="18">
        <f t="shared" si="245"/>
        <v>2</v>
      </c>
      <c r="AP727" s="18">
        <f t="shared" si="246"/>
        <v>0</v>
      </c>
      <c r="AQ727">
        <f t="shared" si="247"/>
        <v>0</v>
      </c>
      <c r="AR727" s="23">
        <f t="shared" si="248"/>
        <v>902</v>
      </c>
      <c r="AS727">
        <f t="shared" si="253"/>
        <v>897</v>
      </c>
      <c r="AT727" s="21">
        <f t="shared" si="254"/>
        <v>904</v>
      </c>
      <c r="AU727" s="21"/>
      <c r="AV727" s="21"/>
      <c r="AW727" s="21"/>
    </row>
    <row r="728" spans="1:49" x14ac:dyDescent="0.2">
      <c r="A728">
        <v>386</v>
      </c>
      <c r="E728">
        <f t="shared" si="249"/>
        <v>1</v>
      </c>
      <c r="J728" t="str">
        <f t="shared" si="256"/>
        <v>2</v>
      </c>
      <c r="K728" t="str">
        <f t="shared" si="257"/>
        <v>58</v>
      </c>
      <c r="L728" t="str">
        <f t="shared" si="258"/>
        <v>2</v>
      </c>
      <c r="M728" s="6" t="str">
        <f t="shared" si="259"/>
        <v>56</v>
      </c>
      <c r="N728" t="str">
        <f t="shared" si="255"/>
        <v>Away</v>
      </c>
      <c r="O728">
        <v>44</v>
      </c>
      <c r="P728" t="s">
        <v>425</v>
      </c>
      <c r="Y728" t="str">
        <f t="shared" si="239"/>
        <v/>
      </c>
      <c r="Z728" t="str">
        <f t="shared" si="240"/>
        <v/>
      </c>
      <c r="AC728" t="str">
        <f t="shared" si="241"/>
        <v>Zone_Entry_Exit</v>
      </c>
      <c r="AD728" t="str">
        <f t="shared" si="242"/>
        <v>Zone_Entry</v>
      </c>
      <c r="AE728" t="str">
        <f t="shared" si="243"/>
        <v>ZoneEntry-Rush</v>
      </c>
      <c r="AF728" t="str">
        <f t="shared" si="244"/>
        <v>Defensive</v>
      </c>
      <c r="AG728">
        <f t="shared" si="250"/>
        <v>18981</v>
      </c>
      <c r="AH728" t="str">
        <f t="shared" si="251"/>
        <v>Nelson</v>
      </c>
      <c r="AI728" t="str">
        <f t="shared" si="252"/>
        <v>Velodrome</v>
      </c>
      <c r="AJ728" s="18">
        <f t="shared" si="245"/>
        <v>2</v>
      </c>
      <c r="AP728" s="18">
        <f t="shared" si="246"/>
        <v>0</v>
      </c>
      <c r="AQ728">
        <f t="shared" si="247"/>
        <v>0</v>
      </c>
      <c r="AR728" s="23">
        <f t="shared" si="248"/>
        <v>902</v>
      </c>
      <c r="AS728">
        <f t="shared" si="253"/>
        <v>897</v>
      </c>
      <c r="AT728" s="21">
        <f t="shared" si="254"/>
        <v>904</v>
      </c>
      <c r="AU728" s="21"/>
      <c r="AV728" s="21"/>
      <c r="AW728" s="21"/>
    </row>
    <row r="729" spans="1:49" x14ac:dyDescent="0.2">
      <c r="A729">
        <v>387</v>
      </c>
      <c r="E729">
        <f t="shared" si="249"/>
        <v>1</v>
      </c>
      <c r="F729" s="5" t="s">
        <v>534</v>
      </c>
      <c r="G729" s="5" t="s">
        <v>528</v>
      </c>
      <c r="J729" t="str">
        <f t="shared" si="256"/>
        <v>2</v>
      </c>
      <c r="K729" t="str">
        <f t="shared" si="257"/>
        <v>56</v>
      </c>
      <c r="L729" t="str">
        <f t="shared" si="258"/>
        <v/>
      </c>
      <c r="M729" s="6" t="str">
        <f t="shared" si="259"/>
        <v/>
      </c>
      <c r="N729" t="s">
        <v>178</v>
      </c>
      <c r="O729">
        <v>15</v>
      </c>
      <c r="P729" t="s">
        <v>424</v>
      </c>
      <c r="Q729" t="s">
        <v>10</v>
      </c>
      <c r="R729" t="s">
        <v>200</v>
      </c>
      <c r="S729" t="s">
        <v>82</v>
      </c>
      <c r="Y729" t="str">
        <f t="shared" si="239"/>
        <v/>
      </c>
      <c r="Z729" t="str">
        <f t="shared" si="240"/>
        <v/>
      </c>
      <c r="AC729" t="str">
        <f t="shared" si="241"/>
        <v>Turnover</v>
      </c>
      <c r="AD729" t="str">
        <f t="shared" si="242"/>
        <v>Turnover_Takeaway</v>
      </c>
      <c r="AE729" t="str">
        <f t="shared" si="243"/>
        <v>Takeaway-PokeCheck</v>
      </c>
      <c r="AF729" t="str">
        <f t="shared" si="244"/>
        <v>Defensive</v>
      </c>
      <c r="AG729">
        <f t="shared" si="250"/>
        <v>18981</v>
      </c>
      <c r="AH729" t="str">
        <f t="shared" si="251"/>
        <v>Nelson</v>
      </c>
      <c r="AI729" t="str">
        <f t="shared" si="252"/>
        <v>Velodrome</v>
      </c>
      <c r="AJ729" s="18">
        <f t="shared" si="245"/>
        <v>0</v>
      </c>
      <c r="AP729" s="18">
        <f t="shared" si="246"/>
        <v>0</v>
      </c>
      <c r="AQ729">
        <f t="shared" si="247"/>
        <v>0</v>
      </c>
      <c r="AR729" s="23">
        <f t="shared" si="248"/>
        <v>904</v>
      </c>
      <c r="AS729">
        <f t="shared" si="253"/>
        <v>899</v>
      </c>
      <c r="AT729" s="21">
        <f t="shared" si="254"/>
        <v>904</v>
      </c>
      <c r="AU729" s="21"/>
      <c r="AV729" s="21"/>
      <c r="AW729" s="21"/>
    </row>
    <row r="730" spans="1:49" x14ac:dyDescent="0.2">
      <c r="A730">
        <v>387</v>
      </c>
      <c r="E730">
        <f t="shared" si="249"/>
        <v>1</v>
      </c>
      <c r="J730" t="str">
        <f t="shared" si="256"/>
        <v>2</v>
      </c>
      <c r="K730" t="str">
        <f t="shared" si="257"/>
        <v>56</v>
      </c>
      <c r="L730" t="str">
        <f t="shared" si="258"/>
        <v/>
      </c>
      <c r="M730" s="6" t="str">
        <f t="shared" si="259"/>
        <v/>
      </c>
      <c r="N730" t="str">
        <f t="shared" si="255"/>
        <v>Home</v>
      </c>
      <c r="O730">
        <v>42</v>
      </c>
      <c r="P730" t="s">
        <v>425</v>
      </c>
      <c r="Y730" t="str">
        <f t="shared" si="239"/>
        <v/>
      </c>
      <c r="Z730" t="str">
        <f t="shared" si="240"/>
        <v/>
      </c>
      <c r="AC730" t="str">
        <f t="shared" si="241"/>
        <v>Turnover</v>
      </c>
      <c r="AD730" t="str">
        <f t="shared" si="242"/>
        <v>Turnover_Takeaway</v>
      </c>
      <c r="AE730" t="str">
        <f t="shared" si="243"/>
        <v>Takeaway-PokeCheck</v>
      </c>
      <c r="AF730" t="str">
        <f t="shared" si="244"/>
        <v>Offensive</v>
      </c>
      <c r="AG730">
        <f t="shared" si="250"/>
        <v>18981</v>
      </c>
      <c r="AH730" t="str">
        <f t="shared" si="251"/>
        <v>Nelson</v>
      </c>
      <c r="AI730" t="str">
        <f t="shared" si="252"/>
        <v>Velodrome</v>
      </c>
      <c r="AJ730" s="18">
        <f t="shared" si="245"/>
        <v>0</v>
      </c>
      <c r="AP730" s="18">
        <f t="shared" si="246"/>
        <v>0</v>
      </c>
      <c r="AQ730">
        <f t="shared" si="247"/>
        <v>0</v>
      </c>
      <c r="AR730" s="23">
        <f t="shared" si="248"/>
        <v>904</v>
      </c>
      <c r="AS730">
        <f t="shared" si="253"/>
        <v>899</v>
      </c>
      <c r="AT730" s="21">
        <f t="shared" si="254"/>
        <v>904</v>
      </c>
      <c r="AU730" s="21"/>
      <c r="AV730" s="21"/>
      <c r="AW730" s="21"/>
    </row>
    <row r="731" spans="1:49" x14ac:dyDescent="0.2">
      <c r="A731">
        <v>388</v>
      </c>
      <c r="E731">
        <f t="shared" si="249"/>
        <v>1</v>
      </c>
      <c r="F731" s="5" t="s">
        <v>534</v>
      </c>
      <c r="G731" s="5" t="s">
        <v>527</v>
      </c>
      <c r="H731" s="5" t="s">
        <v>534</v>
      </c>
      <c r="I731" s="7" t="s">
        <v>522</v>
      </c>
      <c r="J731" t="str">
        <f t="shared" si="256"/>
        <v>2</v>
      </c>
      <c r="K731" t="str">
        <f t="shared" si="257"/>
        <v>55</v>
      </c>
      <c r="L731" t="str">
        <f t="shared" si="258"/>
        <v>2</v>
      </c>
      <c r="M731" s="6" t="str">
        <f t="shared" si="259"/>
        <v>50</v>
      </c>
      <c r="N731" t="s">
        <v>178</v>
      </c>
      <c r="O731">
        <v>80</v>
      </c>
      <c r="P731" t="s">
        <v>424</v>
      </c>
      <c r="Q731" t="s">
        <v>15</v>
      </c>
      <c r="Y731" t="str">
        <f t="shared" si="239"/>
        <v/>
      </c>
      <c r="Z731" t="str">
        <f t="shared" si="240"/>
        <v/>
      </c>
      <c r="AC731" t="str">
        <f t="shared" si="241"/>
        <v>Possession</v>
      </c>
      <c r="AD731" t="str">
        <f t="shared" si="242"/>
        <v/>
      </c>
      <c r="AE731" t="str">
        <f t="shared" si="243"/>
        <v/>
      </c>
      <c r="AF731" t="str">
        <f t="shared" si="244"/>
        <v>Offensive</v>
      </c>
      <c r="AG731">
        <f t="shared" si="250"/>
        <v>18981</v>
      </c>
      <c r="AH731" t="str">
        <f t="shared" si="251"/>
        <v>Nelson</v>
      </c>
      <c r="AI731" t="str">
        <f t="shared" si="252"/>
        <v>Velodrome</v>
      </c>
      <c r="AJ731" s="18">
        <f t="shared" si="245"/>
        <v>5</v>
      </c>
      <c r="AP731" s="18">
        <f t="shared" si="246"/>
        <v>0</v>
      </c>
      <c r="AQ731">
        <f t="shared" si="247"/>
        <v>0</v>
      </c>
      <c r="AR731" s="23">
        <f t="shared" si="248"/>
        <v>905</v>
      </c>
      <c r="AS731">
        <f t="shared" si="253"/>
        <v>900</v>
      </c>
      <c r="AT731" s="21">
        <f t="shared" si="254"/>
        <v>910</v>
      </c>
      <c r="AU731" s="21"/>
      <c r="AV731" s="21"/>
      <c r="AW731" s="21"/>
    </row>
    <row r="732" spans="1:49" x14ac:dyDescent="0.2">
      <c r="A732">
        <v>389</v>
      </c>
      <c r="E732">
        <f t="shared" si="249"/>
        <v>1</v>
      </c>
      <c r="F732" s="5" t="s">
        <v>534</v>
      </c>
      <c r="G732" s="5" t="s">
        <v>522</v>
      </c>
      <c r="J732" t="str">
        <f t="shared" si="256"/>
        <v>2</v>
      </c>
      <c r="K732" t="str">
        <f t="shared" si="257"/>
        <v>50</v>
      </c>
      <c r="L732" t="str">
        <f t="shared" si="258"/>
        <v/>
      </c>
      <c r="M732" s="6" t="str">
        <f t="shared" si="259"/>
        <v/>
      </c>
      <c r="N732" t="s">
        <v>178</v>
      </c>
      <c r="O732">
        <v>80</v>
      </c>
      <c r="P732" t="s">
        <v>424</v>
      </c>
      <c r="Q732" t="s">
        <v>8</v>
      </c>
      <c r="R732" t="s">
        <v>189</v>
      </c>
      <c r="S732" t="s">
        <v>442</v>
      </c>
      <c r="Y732" t="str">
        <f t="shared" si="239"/>
        <v/>
      </c>
      <c r="Z732" t="str">
        <f t="shared" si="240"/>
        <v/>
      </c>
      <c r="AC732" t="str">
        <f t="shared" si="241"/>
        <v>Pass</v>
      </c>
      <c r="AD732" t="str">
        <f t="shared" si="242"/>
        <v>Pass_Completed</v>
      </c>
      <c r="AE732" t="str">
        <f t="shared" si="243"/>
        <v>Pass-Drop</v>
      </c>
      <c r="AF732" t="str">
        <f t="shared" si="244"/>
        <v>Offensive</v>
      </c>
      <c r="AG732">
        <f t="shared" si="250"/>
        <v>18981</v>
      </c>
      <c r="AH732" t="str">
        <f t="shared" si="251"/>
        <v>Nelson</v>
      </c>
      <c r="AI732" t="str">
        <f t="shared" si="252"/>
        <v>Velodrome</v>
      </c>
      <c r="AJ732" s="18">
        <f t="shared" si="245"/>
        <v>0</v>
      </c>
      <c r="AP732" s="18">
        <f t="shared" si="246"/>
        <v>0</v>
      </c>
      <c r="AQ732">
        <f t="shared" si="247"/>
        <v>0</v>
      </c>
      <c r="AR732" s="23">
        <f t="shared" si="248"/>
        <v>910</v>
      </c>
      <c r="AS732">
        <f t="shared" si="253"/>
        <v>905</v>
      </c>
      <c r="AT732" s="21">
        <f t="shared" si="254"/>
        <v>910</v>
      </c>
      <c r="AU732" s="21"/>
      <c r="AV732" s="21"/>
      <c r="AW732" s="21"/>
    </row>
    <row r="733" spans="1:49" x14ac:dyDescent="0.2">
      <c r="A733">
        <v>389</v>
      </c>
      <c r="E733">
        <f t="shared" si="249"/>
        <v>1</v>
      </c>
      <c r="J733" t="str">
        <f t="shared" si="256"/>
        <v>2</v>
      </c>
      <c r="K733" t="str">
        <f t="shared" si="257"/>
        <v>50</v>
      </c>
      <c r="L733" t="str">
        <f t="shared" si="258"/>
        <v/>
      </c>
      <c r="M733" s="6" t="str">
        <f t="shared" si="259"/>
        <v/>
      </c>
      <c r="N733" t="str">
        <f t="shared" si="255"/>
        <v>Home</v>
      </c>
      <c r="O733">
        <v>23</v>
      </c>
      <c r="P733" t="s">
        <v>424</v>
      </c>
      <c r="Y733" t="str">
        <f t="shared" si="239"/>
        <v/>
      </c>
      <c r="Z733" t="str">
        <f t="shared" si="240"/>
        <v/>
      </c>
      <c r="AC733" t="str">
        <f t="shared" si="241"/>
        <v>Pass</v>
      </c>
      <c r="AD733" t="str">
        <f t="shared" si="242"/>
        <v>Pass_Completed</v>
      </c>
      <c r="AE733" t="str">
        <f t="shared" si="243"/>
        <v>Pass-Drop</v>
      </c>
      <c r="AF733" t="str">
        <f t="shared" si="244"/>
        <v>Offensive</v>
      </c>
      <c r="AG733">
        <f t="shared" si="250"/>
        <v>18981</v>
      </c>
      <c r="AH733" t="str">
        <f t="shared" si="251"/>
        <v>Nelson</v>
      </c>
      <c r="AI733" t="str">
        <f t="shared" si="252"/>
        <v>Velodrome</v>
      </c>
      <c r="AJ733" s="18">
        <f t="shared" si="245"/>
        <v>0</v>
      </c>
      <c r="AP733" s="18">
        <f t="shared" si="246"/>
        <v>0</v>
      </c>
      <c r="AQ733">
        <f t="shared" si="247"/>
        <v>0</v>
      </c>
      <c r="AR733" s="23">
        <f t="shared" si="248"/>
        <v>910</v>
      </c>
      <c r="AS733">
        <f t="shared" si="253"/>
        <v>905</v>
      </c>
      <c r="AT733" s="21">
        <f t="shared" si="254"/>
        <v>910</v>
      </c>
      <c r="AU733" s="21"/>
      <c r="AV733" s="21"/>
      <c r="AW733" s="21"/>
    </row>
    <row r="734" spans="1:49" x14ac:dyDescent="0.2">
      <c r="A734">
        <v>390</v>
      </c>
      <c r="E734">
        <f t="shared" si="249"/>
        <v>1</v>
      </c>
      <c r="F734" s="5" t="s">
        <v>534</v>
      </c>
      <c r="G734" s="5" t="s">
        <v>522</v>
      </c>
      <c r="H734" s="5" t="s">
        <v>534</v>
      </c>
      <c r="I734" s="7" t="s">
        <v>519</v>
      </c>
      <c r="J734" t="str">
        <f t="shared" si="256"/>
        <v>2</v>
      </c>
      <c r="K734" t="str">
        <f t="shared" si="257"/>
        <v>50</v>
      </c>
      <c r="L734" t="str">
        <f t="shared" si="258"/>
        <v>2</v>
      </c>
      <c r="M734" s="6" t="str">
        <f t="shared" si="259"/>
        <v>47</v>
      </c>
      <c r="N734" t="s">
        <v>178</v>
      </c>
      <c r="O734">
        <v>23</v>
      </c>
      <c r="P734" t="s">
        <v>424</v>
      </c>
      <c r="Q734" t="s">
        <v>277</v>
      </c>
      <c r="R734" t="s">
        <v>201</v>
      </c>
      <c r="S734" t="s">
        <v>90</v>
      </c>
      <c r="Y734" t="str">
        <f t="shared" si="239"/>
        <v/>
      </c>
      <c r="Z734" t="str">
        <f t="shared" si="240"/>
        <v/>
      </c>
      <c r="AC734" t="str">
        <f t="shared" si="241"/>
        <v>Zone_Entry_Exit</v>
      </c>
      <c r="AD734" t="str">
        <f t="shared" si="242"/>
        <v>Zone_Exit</v>
      </c>
      <c r="AE734" t="str">
        <f t="shared" si="243"/>
        <v>ZoneExit-Rush</v>
      </c>
      <c r="AF734" t="str">
        <f t="shared" si="244"/>
        <v>Offensive</v>
      </c>
      <c r="AG734">
        <f t="shared" si="250"/>
        <v>18981</v>
      </c>
      <c r="AH734" t="str">
        <f t="shared" si="251"/>
        <v>Nelson</v>
      </c>
      <c r="AI734" t="str">
        <f t="shared" si="252"/>
        <v>Velodrome</v>
      </c>
      <c r="AJ734" s="18">
        <f t="shared" si="245"/>
        <v>3</v>
      </c>
      <c r="AP734" s="18">
        <f t="shared" si="246"/>
        <v>0</v>
      </c>
      <c r="AQ734">
        <f t="shared" si="247"/>
        <v>0</v>
      </c>
      <c r="AR734" s="23">
        <f t="shared" si="248"/>
        <v>910</v>
      </c>
      <c r="AS734">
        <f t="shared" si="253"/>
        <v>905</v>
      </c>
      <c r="AT734" s="21">
        <f t="shared" si="254"/>
        <v>913</v>
      </c>
      <c r="AU734" s="21"/>
      <c r="AV734" s="21"/>
      <c r="AW734" s="21"/>
    </row>
    <row r="735" spans="1:49" x14ac:dyDescent="0.2">
      <c r="A735">
        <v>391</v>
      </c>
      <c r="E735">
        <f t="shared" si="249"/>
        <v>1</v>
      </c>
      <c r="F735" s="5" t="s">
        <v>534</v>
      </c>
      <c r="G735" s="5" t="s">
        <v>519</v>
      </c>
      <c r="J735" t="str">
        <f t="shared" si="256"/>
        <v>2</v>
      </c>
      <c r="K735" t="str">
        <f t="shared" si="257"/>
        <v>47</v>
      </c>
      <c r="L735" t="str">
        <f t="shared" si="258"/>
        <v/>
      </c>
      <c r="M735" s="6" t="str">
        <f t="shared" si="259"/>
        <v/>
      </c>
      <c r="N735" t="s">
        <v>178</v>
      </c>
      <c r="O735">
        <v>23</v>
      </c>
      <c r="P735" t="s">
        <v>424</v>
      </c>
      <c r="Q735" t="s">
        <v>8</v>
      </c>
      <c r="R735" t="s">
        <v>209</v>
      </c>
      <c r="S735" t="s">
        <v>70</v>
      </c>
      <c r="Y735" t="str">
        <f t="shared" si="239"/>
        <v/>
      </c>
      <c r="Z735" t="str">
        <f t="shared" si="240"/>
        <v/>
      </c>
      <c r="AC735" t="str">
        <f t="shared" si="241"/>
        <v>Pass</v>
      </c>
      <c r="AD735" t="str">
        <f t="shared" si="242"/>
        <v>Pass_Deflected</v>
      </c>
      <c r="AE735" t="str">
        <f t="shared" si="243"/>
        <v>Pass-Forehand</v>
      </c>
      <c r="AF735" t="str">
        <f t="shared" si="244"/>
        <v>Offensive</v>
      </c>
      <c r="AG735">
        <f t="shared" si="250"/>
        <v>18981</v>
      </c>
      <c r="AH735" t="str">
        <f t="shared" si="251"/>
        <v>Nelson</v>
      </c>
      <c r="AI735" t="str">
        <f t="shared" si="252"/>
        <v>Velodrome</v>
      </c>
      <c r="AJ735" s="18">
        <f t="shared" si="245"/>
        <v>0</v>
      </c>
      <c r="AP735" s="18">
        <f t="shared" si="246"/>
        <v>0</v>
      </c>
      <c r="AQ735">
        <f t="shared" si="247"/>
        <v>0</v>
      </c>
      <c r="AR735" s="23">
        <f t="shared" si="248"/>
        <v>913</v>
      </c>
      <c r="AS735">
        <f t="shared" si="253"/>
        <v>908</v>
      </c>
      <c r="AT735" s="21">
        <f t="shared" si="254"/>
        <v>913</v>
      </c>
      <c r="AU735" s="21"/>
      <c r="AV735" s="21"/>
      <c r="AW735" s="21"/>
    </row>
    <row r="736" spans="1:49" x14ac:dyDescent="0.2">
      <c r="A736">
        <v>391</v>
      </c>
      <c r="E736">
        <f t="shared" si="249"/>
        <v>1</v>
      </c>
      <c r="J736" t="str">
        <f t="shared" si="256"/>
        <v>2</v>
      </c>
      <c r="K736" t="str">
        <f t="shared" si="257"/>
        <v>47</v>
      </c>
      <c r="L736" t="str">
        <f t="shared" si="258"/>
        <v/>
      </c>
      <c r="M736" s="6" t="str">
        <f t="shared" si="259"/>
        <v/>
      </c>
      <c r="N736" t="str">
        <f t="shared" si="255"/>
        <v>Home</v>
      </c>
      <c r="O736">
        <v>91</v>
      </c>
      <c r="P736" t="s">
        <v>425</v>
      </c>
      <c r="Y736" t="str">
        <f t="shared" si="239"/>
        <v/>
      </c>
      <c r="Z736" t="str">
        <f t="shared" si="240"/>
        <v/>
      </c>
      <c r="AC736" t="str">
        <f t="shared" si="241"/>
        <v>Pass</v>
      </c>
      <c r="AD736" t="str">
        <f t="shared" si="242"/>
        <v>Pass_Deflected</v>
      </c>
      <c r="AE736" t="str">
        <f t="shared" si="243"/>
        <v>Pass-Forehand</v>
      </c>
      <c r="AF736" t="str">
        <f t="shared" si="244"/>
        <v>Defensive</v>
      </c>
      <c r="AG736">
        <f t="shared" si="250"/>
        <v>18981</v>
      </c>
      <c r="AH736" t="str">
        <f t="shared" si="251"/>
        <v>Nelson</v>
      </c>
      <c r="AI736" t="str">
        <f t="shared" si="252"/>
        <v>Velodrome</v>
      </c>
      <c r="AJ736" s="18">
        <f t="shared" si="245"/>
        <v>0</v>
      </c>
      <c r="AP736" s="18">
        <f t="shared" si="246"/>
        <v>0</v>
      </c>
      <c r="AQ736">
        <f t="shared" si="247"/>
        <v>0</v>
      </c>
      <c r="AR736" s="23">
        <f t="shared" si="248"/>
        <v>913</v>
      </c>
      <c r="AS736">
        <f t="shared" si="253"/>
        <v>908</v>
      </c>
      <c r="AT736" s="21">
        <f t="shared" si="254"/>
        <v>913</v>
      </c>
      <c r="AU736" s="21"/>
      <c r="AV736" s="21"/>
      <c r="AW736" s="21"/>
    </row>
    <row r="737" spans="1:49" x14ac:dyDescent="0.2">
      <c r="A737">
        <v>392</v>
      </c>
      <c r="E737">
        <f t="shared" si="249"/>
        <v>1</v>
      </c>
      <c r="F737" s="5" t="s">
        <v>534</v>
      </c>
      <c r="G737" s="5" t="s">
        <v>508</v>
      </c>
      <c r="H737" s="5" t="s">
        <v>534</v>
      </c>
      <c r="I737" s="7" t="s">
        <v>505</v>
      </c>
      <c r="J737" t="str">
        <f t="shared" si="256"/>
        <v>2</v>
      </c>
      <c r="K737" t="str">
        <f t="shared" si="257"/>
        <v>36</v>
      </c>
      <c r="L737" t="str">
        <f t="shared" si="258"/>
        <v>2</v>
      </c>
      <c r="M737" s="6" t="str">
        <f t="shared" si="259"/>
        <v>33</v>
      </c>
      <c r="N737" t="s">
        <v>178</v>
      </c>
      <c r="O737">
        <v>37</v>
      </c>
      <c r="P737" t="s">
        <v>424</v>
      </c>
      <c r="Q737" t="s">
        <v>15</v>
      </c>
      <c r="Y737" t="str">
        <f t="shared" si="239"/>
        <v/>
      </c>
      <c r="Z737" t="str">
        <f t="shared" si="240"/>
        <v/>
      </c>
      <c r="AC737" t="str">
        <f t="shared" si="241"/>
        <v>Possession</v>
      </c>
      <c r="AD737" t="str">
        <f t="shared" si="242"/>
        <v/>
      </c>
      <c r="AE737" t="str">
        <f t="shared" si="243"/>
        <v/>
      </c>
      <c r="AF737" t="str">
        <f t="shared" si="244"/>
        <v>Offensive</v>
      </c>
      <c r="AG737">
        <f t="shared" si="250"/>
        <v>18981</v>
      </c>
      <c r="AH737" t="str">
        <f t="shared" si="251"/>
        <v>Nelson</v>
      </c>
      <c r="AI737" t="str">
        <f t="shared" si="252"/>
        <v>Velodrome</v>
      </c>
      <c r="AJ737" s="18">
        <f t="shared" si="245"/>
        <v>3</v>
      </c>
      <c r="AP737" s="18">
        <f t="shared" si="246"/>
        <v>0</v>
      </c>
      <c r="AQ737">
        <f t="shared" si="247"/>
        <v>0</v>
      </c>
      <c r="AR737" s="23">
        <f t="shared" si="248"/>
        <v>924</v>
      </c>
      <c r="AS737">
        <f t="shared" si="253"/>
        <v>919</v>
      </c>
      <c r="AT737" s="21">
        <f t="shared" si="254"/>
        <v>927</v>
      </c>
      <c r="AU737" s="21"/>
      <c r="AV737" s="21"/>
      <c r="AW737" s="21"/>
    </row>
    <row r="738" spans="1:49" x14ac:dyDescent="0.2">
      <c r="A738">
        <v>393</v>
      </c>
      <c r="E738">
        <f t="shared" si="249"/>
        <v>1</v>
      </c>
      <c r="F738" s="5" t="s">
        <v>534</v>
      </c>
      <c r="G738" s="5" t="s">
        <v>505</v>
      </c>
      <c r="J738" t="str">
        <f t="shared" si="256"/>
        <v>2</v>
      </c>
      <c r="K738" t="str">
        <f t="shared" si="257"/>
        <v>33</v>
      </c>
      <c r="L738" t="str">
        <f t="shared" si="258"/>
        <v/>
      </c>
      <c r="M738" s="6" t="str">
        <f t="shared" si="259"/>
        <v/>
      </c>
      <c r="N738" t="s">
        <v>178</v>
      </c>
      <c r="O738">
        <v>37</v>
      </c>
      <c r="P738" t="s">
        <v>424</v>
      </c>
      <c r="Q738" t="s">
        <v>8</v>
      </c>
      <c r="R738" t="s">
        <v>189</v>
      </c>
      <c r="S738" t="s">
        <v>70</v>
      </c>
      <c r="Y738" t="str">
        <f t="shared" si="239"/>
        <v/>
      </c>
      <c r="Z738" t="str">
        <f t="shared" si="240"/>
        <v/>
      </c>
      <c r="AC738" t="str">
        <f t="shared" si="241"/>
        <v>Pass</v>
      </c>
      <c r="AD738" t="str">
        <f t="shared" si="242"/>
        <v>Pass_Completed</v>
      </c>
      <c r="AE738" t="str">
        <f t="shared" si="243"/>
        <v>Pass-Forehand</v>
      </c>
      <c r="AF738" t="str">
        <f t="shared" si="244"/>
        <v>Offensive</v>
      </c>
      <c r="AG738">
        <f t="shared" si="250"/>
        <v>18981</v>
      </c>
      <c r="AH738" t="str">
        <f t="shared" si="251"/>
        <v>Nelson</v>
      </c>
      <c r="AI738" t="str">
        <f t="shared" si="252"/>
        <v>Velodrome</v>
      </c>
      <c r="AJ738" s="18">
        <f t="shared" si="245"/>
        <v>0</v>
      </c>
      <c r="AP738" s="18">
        <f t="shared" si="246"/>
        <v>0</v>
      </c>
      <c r="AQ738">
        <f t="shared" si="247"/>
        <v>0</v>
      </c>
      <c r="AR738" s="23">
        <f t="shared" si="248"/>
        <v>927</v>
      </c>
      <c r="AS738">
        <f t="shared" si="253"/>
        <v>922</v>
      </c>
      <c r="AT738" s="21">
        <f t="shared" si="254"/>
        <v>927</v>
      </c>
      <c r="AU738" s="21"/>
      <c r="AV738" s="21"/>
      <c r="AW738" s="21"/>
    </row>
    <row r="739" spans="1:49" x14ac:dyDescent="0.2">
      <c r="A739">
        <v>393</v>
      </c>
      <c r="E739">
        <f t="shared" si="249"/>
        <v>1</v>
      </c>
      <c r="J739" t="str">
        <f t="shared" si="256"/>
        <v>2</v>
      </c>
      <c r="K739" t="str">
        <f t="shared" si="257"/>
        <v>33</v>
      </c>
      <c r="L739" t="str">
        <f t="shared" si="258"/>
        <v/>
      </c>
      <c r="M739" s="6" t="str">
        <f t="shared" si="259"/>
        <v/>
      </c>
      <c r="N739" t="str">
        <f t="shared" si="255"/>
        <v>Home</v>
      </c>
      <c r="O739">
        <v>23</v>
      </c>
      <c r="P739" t="s">
        <v>424</v>
      </c>
      <c r="Y739" t="str">
        <f t="shared" si="239"/>
        <v/>
      </c>
      <c r="Z739" t="str">
        <f t="shared" si="240"/>
        <v/>
      </c>
      <c r="AC739" t="str">
        <f t="shared" si="241"/>
        <v>Pass</v>
      </c>
      <c r="AD739" t="str">
        <f t="shared" si="242"/>
        <v>Pass_Completed</v>
      </c>
      <c r="AE739" t="str">
        <f t="shared" si="243"/>
        <v>Pass-Forehand</v>
      </c>
      <c r="AF739" t="str">
        <f t="shared" si="244"/>
        <v>Offensive</v>
      </c>
      <c r="AG739">
        <f t="shared" si="250"/>
        <v>18981</v>
      </c>
      <c r="AH739" t="str">
        <f t="shared" si="251"/>
        <v>Nelson</v>
      </c>
      <c r="AI739" t="str">
        <f t="shared" si="252"/>
        <v>Velodrome</v>
      </c>
      <c r="AJ739" s="18">
        <f t="shared" si="245"/>
        <v>0</v>
      </c>
      <c r="AP739" s="18">
        <f t="shared" si="246"/>
        <v>0</v>
      </c>
      <c r="AQ739">
        <f t="shared" si="247"/>
        <v>0</v>
      </c>
      <c r="AR739" s="23">
        <f t="shared" si="248"/>
        <v>927</v>
      </c>
      <c r="AS739">
        <f t="shared" si="253"/>
        <v>922</v>
      </c>
      <c r="AT739" s="21">
        <f t="shared" si="254"/>
        <v>927</v>
      </c>
      <c r="AU739" s="21"/>
      <c r="AV739" s="21"/>
      <c r="AW739" s="21"/>
    </row>
    <row r="740" spans="1:49" x14ac:dyDescent="0.2">
      <c r="A740">
        <v>394</v>
      </c>
      <c r="E740">
        <f t="shared" si="249"/>
        <v>1</v>
      </c>
      <c r="F740" s="5" t="s">
        <v>534</v>
      </c>
      <c r="G740" s="5" t="s">
        <v>504</v>
      </c>
      <c r="J740" t="str">
        <f t="shared" si="256"/>
        <v>2</v>
      </c>
      <c r="K740" t="str">
        <f t="shared" si="257"/>
        <v>32</v>
      </c>
      <c r="L740" t="str">
        <f t="shared" si="258"/>
        <v/>
      </c>
      <c r="M740" s="6" t="str">
        <f t="shared" si="259"/>
        <v/>
      </c>
      <c r="N740" t="s">
        <v>178</v>
      </c>
      <c r="O740">
        <v>23</v>
      </c>
      <c r="P740" t="s">
        <v>424</v>
      </c>
      <c r="Q740" t="s">
        <v>8</v>
      </c>
      <c r="R740" t="s">
        <v>216</v>
      </c>
      <c r="S740" t="s">
        <v>70</v>
      </c>
      <c r="Y740" t="str">
        <f t="shared" si="239"/>
        <v/>
      </c>
      <c r="Z740" t="str">
        <f t="shared" si="240"/>
        <v/>
      </c>
      <c r="AC740" t="str">
        <f t="shared" si="241"/>
        <v>Pass</v>
      </c>
      <c r="AD740" t="str">
        <f t="shared" si="242"/>
        <v>Pass_Intercepted</v>
      </c>
      <c r="AE740" t="str">
        <f t="shared" si="243"/>
        <v>Pass-Forehand</v>
      </c>
      <c r="AF740" t="str">
        <f t="shared" si="244"/>
        <v>Offensive</v>
      </c>
      <c r="AG740">
        <f t="shared" si="250"/>
        <v>18981</v>
      </c>
      <c r="AH740" t="str">
        <f t="shared" si="251"/>
        <v>Nelson</v>
      </c>
      <c r="AI740" t="str">
        <f t="shared" si="252"/>
        <v>Velodrome</v>
      </c>
      <c r="AJ740" s="18">
        <f t="shared" si="245"/>
        <v>0</v>
      </c>
      <c r="AP740" s="18">
        <f t="shared" si="246"/>
        <v>0</v>
      </c>
      <c r="AQ740">
        <f t="shared" si="247"/>
        <v>0</v>
      </c>
      <c r="AR740" s="23">
        <f t="shared" si="248"/>
        <v>928</v>
      </c>
      <c r="AS740">
        <f t="shared" si="253"/>
        <v>923</v>
      </c>
      <c r="AT740" s="21">
        <f t="shared" si="254"/>
        <v>928</v>
      </c>
      <c r="AU740" s="21"/>
      <c r="AV740" s="21"/>
      <c r="AW740" s="21"/>
    </row>
    <row r="741" spans="1:49" x14ac:dyDescent="0.2">
      <c r="A741">
        <v>394</v>
      </c>
      <c r="E741">
        <f t="shared" si="249"/>
        <v>1</v>
      </c>
      <c r="J741" t="str">
        <f t="shared" si="256"/>
        <v>2</v>
      </c>
      <c r="K741" t="str">
        <f t="shared" si="257"/>
        <v>32</v>
      </c>
      <c r="L741" t="str">
        <f t="shared" si="258"/>
        <v/>
      </c>
      <c r="M741" s="6" t="str">
        <f t="shared" si="259"/>
        <v/>
      </c>
      <c r="N741" t="str">
        <f t="shared" si="255"/>
        <v>Home</v>
      </c>
      <c r="O741">
        <v>44</v>
      </c>
      <c r="P741" t="s">
        <v>424</v>
      </c>
      <c r="Y741" t="str">
        <f t="shared" si="239"/>
        <v/>
      </c>
      <c r="Z741" t="str">
        <f t="shared" si="240"/>
        <v/>
      </c>
      <c r="AC741" t="str">
        <f t="shared" si="241"/>
        <v>Pass</v>
      </c>
      <c r="AD741" t="str">
        <f t="shared" si="242"/>
        <v>Pass_Intercepted</v>
      </c>
      <c r="AE741" t="str">
        <f t="shared" si="243"/>
        <v>Pass-Forehand</v>
      </c>
      <c r="AF741" t="str">
        <f t="shared" si="244"/>
        <v>Offensive</v>
      </c>
      <c r="AG741">
        <f t="shared" si="250"/>
        <v>18981</v>
      </c>
      <c r="AH741" t="str">
        <f t="shared" si="251"/>
        <v>Nelson</v>
      </c>
      <c r="AI741" t="str">
        <f t="shared" si="252"/>
        <v>Velodrome</v>
      </c>
      <c r="AJ741" s="18">
        <f t="shared" si="245"/>
        <v>0</v>
      </c>
      <c r="AP741" s="18">
        <f t="shared" si="246"/>
        <v>0</v>
      </c>
      <c r="AQ741">
        <f t="shared" si="247"/>
        <v>0</v>
      </c>
      <c r="AR741" s="23">
        <f t="shared" si="248"/>
        <v>928</v>
      </c>
      <c r="AS741">
        <f t="shared" si="253"/>
        <v>923</v>
      </c>
      <c r="AT741" s="21">
        <f t="shared" si="254"/>
        <v>928</v>
      </c>
      <c r="AU741" s="21"/>
      <c r="AV741" s="21"/>
      <c r="AW741" s="21"/>
    </row>
    <row r="742" spans="1:49" x14ac:dyDescent="0.2">
      <c r="A742">
        <v>394</v>
      </c>
      <c r="E742">
        <f t="shared" si="249"/>
        <v>1</v>
      </c>
      <c r="J742" t="str">
        <f t="shared" si="256"/>
        <v>2</v>
      </c>
      <c r="K742" t="str">
        <f t="shared" si="257"/>
        <v>32</v>
      </c>
      <c r="L742" t="str">
        <f t="shared" si="258"/>
        <v/>
      </c>
      <c r="M742" s="6" t="str">
        <f t="shared" si="259"/>
        <v/>
      </c>
      <c r="N742" t="str">
        <f t="shared" si="255"/>
        <v>Home</v>
      </c>
      <c r="O742">
        <v>93</v>
      </c>
      <c r="P742" t="s">
        <v>425</v>
      </c>
      <c r="Y742" t="str">
        <f t="shared" si="239"/>
        <v/>
      </c>
      <c r="Z742" t="str">
        <f t="shared" si="240"/>
        <v/>
      </c>
      <c r="AC742" t="str">
        <f t="shared" si="241"/>
        <v>Pass</v>
      </c>
      <c r="AD742" t="str">
        <f t="shared" si="242"/>
        <v>Pass_Intercepted</v>
      </c>
      <c r="AE742" t="str">
        <f t="shared" si="243"/>
        <v>Pass-Forehand</v>
      </c>
      <c r="AF742" t="str">
        <f t="shared" si="244"/>
        <v>Defensive</v>
      </c>
      <c r="AG742">
        <f t="shared" si="250"/>
        <v>18981</v>
      </c>
      <c r="AH742" t="str">
        <f t="shared" si="251"/>
        <v>Nelson</v>
      </c>
      <c r="AI742" t="str">
        <f t="shared" si="252"/>
        <v>Velodrome</v>
      </c>
      <c r="AJ742" s="18">
        <f t="shared" si="245"/>
        <v>0</v>
      </c>
      <c r="AP742" s="18">
        <f t="shared" si="246"/>
        <v>0</v>
      </c>
      <c r="AQ742">
        <f t="shared" si="247"/>
        <v>0</v>
      </c>
      <c r="AR742" s="23">
        <f t="shared" si="248"/>
        <v>928</v>
      </c>
      <c r="AS742">
        <f t="shared" si="253"/>
        <v>923</v>
      </c>
      <c r="AT742" s="21">
        <f t="shared" si="254"/>
        <v>928</v>
      </c>
      <c r="AU742" s="21"/>
      <c r="AV742" s="21"/>
      <c r="AW742" s="21"/>
    </row>
    <row r="743" spans="1:49" x14ac:dyDescent="0.2">
      <c r="A743">
        <v>395</v>
      </c>
      <c r="E743">
        <f t="shared" si="249"/>
        <v>1</v>
      </c>
      <c r="F743" s="5" t="s">
        <v>534</v>
      </c>
      <c r="G743" s="5" t="s">
        <v>504</v>
      </c>
      <c r="J743" t="str">
        <f t="shared" si="256"/>
        <v>2</v>
      </c>
      <c r="K743" t="str">
        <f t="shared" si="257"/>
        <v>32</v>
      </c>
      <c r="L743" t="str">
        <f t="shared" si="258"/>
        <v/>
      </c>
      <c r="M743" s="6" t="str">
        <f t="shared" si="259"/>
        <v/>
      </c>
      <c r="N743" t="s">
        <v>178</v>
      </c>
      <c r="O743">
        <v>23</v>
      </c>
      <c r="P743" t="s">
        <v>424</v>
      </c>
      <c r="Q743" t="s">
        <v>10</v>
      </c>
      <c r="R743" t="s">
        <v>190</v>
      </c>
      <c r="S743" t="s">
        <v>75</v>
      </c>
      <c r="Y743" t="str">
        <f t="shared" si="239"/>
        <v/>
      </c>
      <c r="Z743" t="str">
        <f t="shared" si="240"/>
        <v/>
      </c>
      <c r="AC743" t="str">
        <f t="shared" si="241"/>
        <v>Turnover</v>
      </c>
      <c r="AD743" t="str">
        <f t="shared" si="242"/>
        <v>Turnover_Giveaway</v>
      </c>
      <c r="AE743" t="str">
        <f t="shared" si="243"/>
        <v>Giveaway-PassIntercepted</v>
      </c>
      <c r="AF743" t="str">
        <f t="shared" si="244"/>
        <v>Offensive</v>
      </c>
      <c r="AG743">
        <f t="shared" si="250"/>
        <v>18981</v>
      </c>
      <c r="AH743" t="str">
        <f t="shared" si="251"/>
        <v>Nelson</v>
      </c>
      <c r="AI743" t="str">
        <f t="shared" si="252"/>
        <v>Velodrome</v>
      </c>
      <c r="AJ743" s="18">
        <f t="shared" si="245"/>
        <v>0</v>
      </c>
      <c r="AP743" s="18">
        <f t="shared" si="246"/>
        <v>0</v>
      </c>
      <c r="AQ743">
        <f t="shared" si="247"/>
        <v>0</v>
      </c>
      <c r="AR743" s="23">
        <f t="shared" si="248"/>
        <v>928</v>
      </c>
      <c r="AS743">
        <f t="shared" si="253"/>
        <v>923</v>
      </c>
      <c r="AT743" s="21">
        <f t="shared" si="254"/>
        <v>928</v>
      </c>
      <c r="AU743" s="21"/>
      <c r="AV743" s="21"/>
      <c r="AW743" s="21"/>
    </row>
    <row r="744" spans="1:49" x14ac:dyDescent="0.2">
      <c r="A744">
        <v>395</v>
      </c>
      <c r="E744">
        <f t="shared" si="249"/>
        <v>1</v>
      </c>
      <c r="J744" t="str">
        <f t="shared" si="256"/>
        <v>2</v>
      </c>
      <c r="K744" t="str">
        <f t="shared" si="257"/>
        <v>32</v>
      </c>
      <c r="L744" t="str">
        <f t="shared" si="258"/>
        <v/>
      </c>
      <c r="M744" s="6" t="str">
        <f t="shared" si="259"/>
        <v/>
      </c>
      <c r="N744" t="str">
        <f t="shared" si="255"/>
        <v>Home</v>
      </c>
      <c r="O744">
        <v>93</v>
      </c>
      <c r="P744" t="s">
        <v>425</v>
      </c>
      <c r="Y744" t="str">
        <f t="shared" si="239"/>
        <v/>
      </c>
      <c r="Z744" t="str">
        <f t="shared" si="240"/>
        <v/>
      </c>
      <c r="AC744" t="str">
        <f t="shared" si="241"/>
        <v>Turnover</v>
      </c>
      <c r="AD744" t="str">
        <f t="shared" si="242"/>
        <v>Turnover_Giveaway</v>
      </c>
      <c r="AE744" t="str">
        <f t="shared" si="243"/>
        <v>Giveaway-PassIntercepted</v>
      </c>
      <c r="AF744" t="str">
        <f t="shared" si="244"/>
        <v>Defensive</v>
      </c>
      <c r="AG744">
        <f t="shared" si="250"/>
        <v>18981</v>
      </c>
      <c r="AH744" t="str">
        <f t="shared" si="251"/>
        <v>Nelson</v>
      </c>
      <c r="AI744" t="str">
        <f t="shared" si="252"/>
        <v>Velodrome</v>
      </c>
      <c r="AJ744" s="18">
        <f t="shared" si="245"/>
        <v>0</v>
      </c>
      <c r="AP744" s="18">
        <f t="shared" si="246"/>
        <v>0</v>
      </c>
      <c r="AQ744">
        <f t="shared" si="247"/>
        <v>0</v>
      </c>
      <c r="AR744" s="23">
        <f t="shared" si="248"/>
        <v>928</v>
      </c>
      <c r="AS744">
        <f t="shared" si="253"/>
        <v>923</v>
      </c>
      <c r="AT744" s="21">
        <f t="shared" si="254"/>
        <v>928</v>
      </c>
      <c r="AU744" s="21"/>
      <c r="AV744" s="21"/>
      <c r="AW744" s="21"/>
    </row>
    <row r="745" spans="1:49" x14ac:dyDescent="0.2">
      <c r="A745">
        <v>396</v>
      </c>
      <c r="E745">
        <f t="shared" si="249"/>
        <v>1</v>
      </c>
      <c r="F745" s="5" t="s">
        <v>534</v>
      </c>
      <c r="G745" s="5" t="s">
        <v>502</v>
      </c>
      <c r="H745" s="5" t="s">
        <v>534</v>
      </c>
      <c r="I745" s="7" t="s">
        <v>500</v>
      </c>
      <c r="J745" t="str">
        <f t="shared" si="256"/>
        <v>2</v>
      </c>
      <c r="K745" t="str">
        <f t="shared" si="257"/>
        <v>30</v>
      </c>
      <c r="L745" t="str">
        <f t="shared" si="258"/>
        <v>2</v>
      </c>
      <c r="M745" s="6" t="str">
        <f t="shared" si="259"/>
        <v>28</v>
      </c>
      <c r="N745" t="s">
        <v>179</v>
      </c>
      <c r="O745">
        <v>93</v>
      </c>
      <c r="P745" t="s">
        <v>424</v>
      </c>
      <c r="Q745" t="s">
        <v>15</v>
      </c>
      <c r="Y745" t="str">
        <f t="shared" si="239"/>
        <v/>
      </c>
      <c r="Z745" t="str">
        <f t="shared" si="240"/>
        <v/>
      </c>
      <c r="AC745" t="str">
        <f t="shared" si="241"/>
        <v>Possession</v>
      </c>
      <c r="AD745" t="str">
        <f t="shared" si="242"/>
        <v/>
      </c>
      <c r="AE745" t="str">
        <f t="shared" si="243"/>
        <v/>
      </c>
      <c r="AF745" t="str">
        <f t="shared" si="244"/>
        <v>Offensive</v>
      </c>
      <c r="AG745">
        <f t="shared" si="250"/>
        <v>18981</v>
      </c>
      <c r="AH745" t="str">
        <f t="shared" si="251"/>
        <v>Nelson</v>
      </c>
      <c r="AI745" t="str">
        <f t="shared" si="252"/>
        <v>Velodrome</v>
      </c>
      <c r="AJ745" s="18">
        <f t="shared" si="245"/>
        <v>2</v>
      </c>
      <c r="AP745" s="18">
        <f t="shared" si="246"/>
        <v>0</v>
      </c>
      <c r="AQ745">
        <f t="shared" si="247"/>
        <v>0</v>
      </c>
      <c r="AR745" s="23">
        <f t="shared" si="248"/>
        <v>930</v>
      </c>
      <c r="AS745">
        <f t="shared" si="253"/>
        <v>925</v>
      </c>
      <c r="AT745" s="21">
        <f t="shared" si="254"/>
        <v>932</v>
      </c>
      <c r="AU745" s="21"/>
      <c r="AV745" s="21"/>
      <c r="AW745" s="21"/>
    </row>
    <row r="746" spans="1:49" x14ac:dyDescent="0.2">
      <c r="A746">
        <v>397</v>
      </c>
      <c r="E746">
        <f t="shared" si="249"/>
        <v>1</v>
      </c>
      <c r="F746" s="5" t="s">
        <v>534</v>
      </c>
      <c r="G746" s="5" t="s">
        <v>500</v>
      </c>
      <c r="J746" t="str">
        <f t="shared" si="256"/>
        <v>2</v>
      </c>
      <c r="K746" t="str">
        <f t="shared" si="257"/>
        <v>28</v>
      </c>
      <c r="L746" t="str">
        <f t="shared" si="258"/>
        <v/>
      </c>
      <c r="M746" s="6" t="str">
        <f t="shared" si="259"/>
        <v/>
      </c>
      <c r="N746" t="s">
        <v>179</v>
      </c>
      <c r="O746">
        <v>93</v>
      </c>
      <c r="P746" t="s">
        <v>424</v>
      </c>
      <c r="Q746" t="s">
        <v>8</v>
      </c>
      <c r="R746" t="s">
        <v>199</v>
      </c>
      <c r="S746" t="s">
        <v>70</v>
      </c>
      <c r="Y746" t="str">
        <f t="shared" si="239"/>
        <v/>
      </c>
      <c r="Z746" t="str">
        <f t="shared" si="240"/>
        <v/>
      </c>
      <c r="AC746" t="str">
        <f t="shared" si="241"/>
        <v>Pass</v>
      </c>
      <c r="AD746" t="str">
        <f t="shared" si="242"/>
        <v>Pass_Missed</v>
      </c>
      <c r="AE746" t="str">
        <f t="shared" si="243"/>
        <v>Pass-Forehand</v>
      </c>
      <c r="AF746" t="str">
        <f t="shared" si="244"/>
        <v>Offensive</v>
      </c>
      <c r="AG746">
        <f t="shared" si="250"/>
        <v>18981</v>
      </c>
      <c r="AH746" t="str">
        <f t="shared" si="251"/>
        <v>Nelson</v>
      </c>
      <c r="AI746" t="str">
        <f t="shared" si="252"/>
        <v>Velodrome</v>
      </c>
      <c r="AJ746" s="18">
        <f t="shared" si="245"/>
        <v>0</v>
      </c>
      <c r="AP746" s="18">
        <f t="shared" si="246"/>
        <v>0</v>
      </c>
      <c r="AQ746">
        <f t="shared" si="247"/>
        <v>0</v>
      </c>
      <c r="AR746" s="23">
        <f t="shared" si="248"/>
        <v>932</v>
      </c>
      <c r="AS746">
        <f t="shared" si="253"/>
        <v>927</v>
      </c>
      <c r="AT746" s="21">
        <f t="shared" si="254"/>
        <v>932</v>
      </c>
      <c r="AU746" s="21"/>
      <c r="AV746" s="21"/>
      <c r="AW746" s="21"/>
    </row>
    <row r="747" spans="1:49" x14ac:dyDescent="0.2">
      <c r="A747">
        <v>397</v>
      </c>
      <c r="E747">
        <f t="shared" si="249"/>
        <v>1</v>
      </c>
      <c r="J747" t="str">
        <f t="shared" si="256"/>
        <v>2</v>
      </c>
      <c r="K747" t="str">
        <f t="shared" si="257"/>
        <v>28</v>
      </c>
      <c r="L747" t="str">
        <f t="shared" si="258"/>
        <v/>
      </c>
      <c r="M747" s="6" t="str">
        <f t="shared" si="259"/>
        <v/>
      </c>
      <c r="N747" t="str">
        <f t="shared" si="255"/>
        <v>Away</v>
      </c>
      <c r="O747">
        <v>24</v>
      </c>
      <c r="P747" t="s">
        <v>424</v>
      </c>
      <c r="Y747" t="str">
        <f t="shared" si="239"/>
        <v/>
      </c>
      <c r="Z747" t="str">
        <f t="shared" si="240"/>
        <v/>
      </c>
      <c r="AC747" t="str">
        <f t="shared" si="241"/>
        <v>Pass</v>
      </c>
      <c r="AD747" t="str">
        <f t="shared" si="242"/>
        <v>Pass_Missed</v>
      </c>
      <c r="AE747" t="str">
        <f t="shared" si="243"/>
        <v>Pass-Forehand</v>
      </c>
      <c r="AF747" t="str">
        <f t="shared" si="244"/>
        <v>Offensive</v>
      </c>
      <c r="AG747">
        <f t="shared" si="250"/>
        <v>18981</v>
      </c>
      <c r="AH747" t="str">
        <f t="shared" si="251"/>
        <v>Nelson</v>
      </c>
      <c r="AI747" t="str">
        <f t="shared" si="252"/>
        <v>Velodrome</v>
      </c>
      <c r="AJ747" s="18">
        <f t="shared" si="245"/>
        <v>0</v>
      </c>
      <c r="AP747" s="18">
        <f t="shared" si="246"/>
        <v>0</v>
      </c>
      <c r="AQ747">
        <f t="shared" si="247"/>
        <v>0</v>
      </c>
      <c r="AR747" s="23">
        <f t="shared" si="248"/>
        <v>932</v>
      </c>
      <c r="AS747">
        <f t="shared" si="253"/>
        <v>927</v>
      </c>
      <c r="AT747" s="21">
        <f t="shared" si="254"/>
        <v>932</v>
      </c>
      <c r="AU747" s="21"/>
      <c r="AV747" s="21"/>
      <c r="AW747" s="21"/>
    </row>
    <row r="748" spans="1:49" x14ac:dyDescent="0.2">
      <c r="A748">
        <v>398</v>
      </c>
      <c r="E748">
        <f t="shared" si="249"/>
        <v>1</v>
      </c>
      <c r="F748" s="5" t="s">
        <v>534</v>
      </c>
      <c r="G748" s="5" t="s">
        <v>496</v>
      </c>
      <c r="J748" t="str">
        <f t="shared" si="256"/>
        <v>2</v>
      </c>
      <c r="K748" t="str">
        <f t="shared" si="257"/>
        <v>24</v>
      </c>
      <c r="L748" t="str">
        <f t="shared" si="258"/>
        <v/>
      </c>
      <c r="M748" s="6" t="str">
        <f t="shared" si="259"/>
        <v/>
      </c>
      <c r="N748" t="s">
        <v>179</v>
      </c>
      <c r="O748">
        <v>93</v>
      </c>
      <c r="P748" t="s">
        <v>424</v>
      </c>
      <c r="Q748" t="s">
        <v>13</v>
      </c>
      <c r="R748" t="s">
        <v>204</v>
      </c>
      <c r="S748" t="s">
        <v>108</v>
      </c>
      <c r="Y748" t="str">
        <f t="shared" si="239"/>
        <v/>
      </c>
      <c r="Z748" t="str">
        <f t="shared" si="240"/>
        <v/>
      </c>
      <c r="AC748" t="str">
        <f t="shared" si="241"/>
        <v>Stoppage</v>
      </c>
      <c r="AD748" t="str">
        <f t="shared" si="242"/>
        <v>Stoppage_Play</v>
      </c>
      <c r="AE748" t="str">
        <f t="shared" si="243"/>
        <v>Stoppage-Icing</v>
      </c>
      <c r="AF748" t="str">
        <f t="shared" si="244"/>
        <v/>
      </c>
      <c r="AG748">
        <f t="shared" si="250"/>
        <v>18981</v>
      </c>
      <c r="AH748" t="str">
        <f t="shared" si="251"/>
        <v>Nelson</v>
      </c>
      <c r="AI748" t="str">
        <f t="shared" si="252"/>
        <v>Velodrome</v>
      </c>
      <c r="AJ748" s="18">
        <f t="shared" si="245"/>
        <v>0</v>
      </c>
      <c r="AP748" s="18">
        <f t="shared" si="246"/>
        <v>0</v>
      </c>
      <c r="AQ748">
        <f t="shared" si="247"/>
        <v>0</v>
      </c>
      <c r="AR748" s="23">
        <f t="shared" si="248"/>
        <v>936</v>
      </c>
      <c r="AS748">
        <f t="shared" si="253"/>
        <v>931</v>
      </c>
      <c r="AT748" s="21">
        <f t="shared" si="254"/>
        <v>936</v>
      </c>
      <c r="AU748" s="21"/>
      <c r="AV748" s="21"/>
      <c r="AW748" s="21"/>
    </row>
    <row r="749" spans="1:49" x14ac:dyDescent="0.2">
      <c r="A749">
        <v>399</v>
      </c>
      <c r="E749">
        <f t="shared" si="249"/>
        <v>1</v>
      </c>
      <c r="F749" s="5" t="s">
        <v>534</v>
      </c>
      <c r="G749" s="5" t="s">
        <v>496</v>
      </c>
      <c r="H749" s="5" t="s">
        <v>534</v>
      </c>
      <c r="I749" s="7" t="s">
        <v>475</v>
      </c>
      <c r="J749" t="str">
        <f t="shared" si="256"/>
        <v>2</v>
      </c>
      <c r="K749" t="str">
        <f t="shared" si="257"/>
        <v>24</v>
      </c>
      <c r="L749" t="str">
        <f t="shared" si="258"/>
        <v>2</v>
      </c>
      <c r="M749" s="6" t="str">
        <f t="shared" si="259"/>
        <v>00</v>
      </c>
      <c r="N749" t="s">
        <v>179</v>
      </c>
      <c r="O749">
        <v>93</v>
      </c>
      <c r="P749" t="s">
        <v>424</v>
      </c>
      <c r="Q749" t="s">
        <v>282</v>
      </c>
      <c r="Y749" t="str">
        <f t="shared" si="239"/>
        <v/>
      </c>
      <c r="Z749" t="str">
        <f t="shared" si="240"/>
        <v/>
      </c>
      <c r="AC749" t="str">
        <f t="shared" si="241"/>
        <v>DeadIce</v>
      </c>
      <c r="AD749" t="str">
        <f t="shared" si="242"/>
        <v/>
      </c>
      <c r="AE749" t="str">
        <f t="shared" si="243"/>
        <v/>
      </c>
      <c r="AF749" t="str">
        <f t="shared" si="244"/>
        <v/>
      </c>
      <c r="AG749">
        <f t="shared" si="250"/>
        <v>18981</v>
      </c>
      <c r="AH749" t="str">
        <f t="shared" si="251"/>
        <v>Nelson</v>
      </c>
      <c r="AI749" t="str">
        <f t="shared" si="252"/>
        <v>Velodrome</v>
      </c>
      <c r="AJ749" s="18">
        <f t="shared" si="245"/>
        <v>24</v>
      </c>
      <c r="AP749" s="18">
        <f t="shared" si="246"/>
        <v>0</v>
      </c>
      <c r="AQ749">
        <f t="shared" si="247"/>
        <v>0</v>
      </c>
      <c r="AR749" s="23">
        <f t="shared" si="248"/>
        <v>936</v>
      </c>
      <c r="AS749">
        <f t="shared" si="253"/>
        <v>931</v>
      </c>
      <c r="AT749" s="21">
        <f t="shared" si="254"/>
        <v>960</v>
      </c>
      <c r="AU749" s="21"/>
      <c r="AV749" s="21"/>
      <c r="AW749" s="21"/>
    </row>
    <row r="750" spans="1:49" x14ac:dyDescent="0.2">
      <c r="A750">
        <v>400</v>
      </c>
      <c r="E750">
        <f t="shared" si="249"/>
        <v>1</v>
      </c>
      <c r="F750" s="5" t="s">
        <v>534</v>
      </c>
      <c r="G750" s="5" t="s">
        <v>475</v>
      </c>
      <c r="J750" t="str">
        <f t="shared" si="256"/>
        <v>2</v>
      </c>
      <c r="K750" t="str">
        <f t="shared" si="257"/>
        <v>00</v>
      </c>
      <c r="L750" t="str">
        <f t="shared" si="258"/>
        <v/>
      </c>
      <c r="M750" s="6" t="str">
        <f t="shared" si="259"/>
        <v/>
      </c>
      <c r="N750" t="s">
        <v>179</v>
      </c>
      <c r="O750">
        <v>42</v>
      </c>
      <c r="P750" t="s">
        <v>424</v>
      </c>
      <c r="Q750" t="s">
        <v>6</v>
      </c>
      <c r="R750" t="s">
        <v>275</v>
      </c>
      <c r="Y750" t="str">
        <f t="shared" si="239"/>
        <v/>
      </c>
      <c r="Z750" t="str">
        <f t="shared" si="240"/>
        <v/>
      </c>
      <c r="AC750" t="str">
        <f t="shared" si="241"/>
        <v>Faceoff</v>
      </c>
      <c r="AD750" t="str">
        <f t="shared" si="242"/>
        <v>Faceoff_AfterStoppage</v>
      </c>
      <c r="AE750" t="str">
        <f t="shared" si="243"/>
        <v/>
      </c>
      <c r="AF750" t="str">
        <f t="shared" si="244"/>
        <v>Offensive</v>
      </c>
      <c r="AG750">
        <f t="shared" si="250"/>
        <v>18981</v>
      </c>
      <c r="AH750" t="str">
        <f t="shared" si="251"/>
        <v>Nelson</v>
      </c>
      <c r="AI750" t="str">
        <f t="shared" si="252"/>
        <v>Velodrome</v>
      </c>
      <c r="AJ750" s="18">
        <f t="shared" si="245"/>
        <v>0</v>
      </c>
      <c r="AP750" s="18">
        <f t="shared" si="246"/>
        <v>0</v>
      </c>
      <c r="AQ750">
        <f t="shared" si="247"/>
        <v>0</v>
      </c>
      <c r="AR750" s="23">
        <f t="shared" si="248"/>
        <v>960</v>
      </c>
      <c r="AS750">
        <f t="shared" si="253"/>
        <v>955</v>
      </c>
      <c r="AT750" s="21">
        <f t="shared" si="254"/>
        <v>960</v>
      </c>
      <c r="AU750" s="21"/>
      <c r="AV750" s="21"/>
      <c r="AW750" s="21"/>
    </row>
    <row r="751" spans="1:49" x14ac:dyDescent="0.2">
      <c r="A751">
        <v>400</v>
      </c>
      <c r="E751">
        <f t="shared" si="249"/>
        <v>1</v>
      </c>
      <c r="J751" t="str">
        <f t="shared" si="256"/>
        <v>2</v>
      </c>
      <c r="K751" t="str">
        <f t="shared" si="257"/>
        <v>00</v>
      </c>
      <c r="L751" t="str">
        <f t="shared" si="258"/>
        <v/>
      </c>
      <c r="M751" s="6" t="str">
        <f t="shared" si="259"/>
        <v/>
      </c>
      <c r="N751" t="str">
        <f t="shared" si="255"/>
        <v>Away</v>
      </c>
      <c r="O751">
        <v>9</v>
      </c>
      <c r="P751" t="s">
        <v>424</v>
      </c>
      <c r="Y751" t="str">
        <f t="shared" si="239"/>
        <v/>
      </c>
      <c r="Z751" t="str">
        <f t="shared" si="240"/>
        <v/>
      </c>
      <c r="AC751" t="str">
        <f t="shared" si="241"/>
        <v>Faceoff</v>
      </c>
      <c r="AD751" t="str">
        <f t="shared" si="242"/>
        <v>Faceoff_AfterStoppage</v>
      </c>
      <c r="AE751" t="str">
        <f t="shared" si="243"/>
        <v/>
      </c>
      <c r="AF751" t="str">
        <f t="shared" si="244"/>
        <v>Offensive</v>
      </c>
      <c r="AG751">
        <f t="shared" si="250"/>
        <v>18981</v>
      </c>
      <c r="AH751" t="str">
        <f t="shared" si="251"/>
        <v>Nelson</v>
      </c>
      <c r="AI751" t="str">
        <f t="shared" si="252"/>
        <v>Velodrome</v>
      </c>
      <c r="AJ751" s="18">
        <f t="shared" si="245"/>
        <v>0</v>
      </c>
      <c r="AP751" s="18">
        <f t="shared" si="246"/>
        <v>0</v>
      </c>
      <c r="AQ751">
        <f t="shared" si="247"/>
        <v>0</v>
      </c>
      <c r="AR751" s="23">
        <f t="shared" si="248"/>
        <v>960</v>
      </c>
      <c r="AS751">
        <f t="shared" si="253"/>
        <v>955</v>
      </c>
      <c r="AT751" s="21">
        <f t="shared" si="254"/>
        <v>960</v>
      </c>
      <c r="AU751" s="21"/>
      <c r="AV751" s="21"/>
      <c r="AW751" s="21"/>
    </row>
    <row r="752" spans="1:49" x14ac:dyDescent="0.2">
      <c r="A752">
        <v>400</v>
      </c>
      <c r="E752">
        <f t="shared" si="249"/>
        <v>1</v>
      </c>
      <c r="J752" t="str">
        <f t="shared" si="256"/>
        <v>2</v>
      </c>
      <c r="K752" t="str">
        <f t="shared" si="257"/>
        <v>00</v>
      </c>
      <c r="L752" t="str">
        <f t="shared" si="258"/>
        <v/>
      </c>
      <c r="M752" s="6" t="str">
        <f t="shared" si="259"/>
        <v/>
      </c>
      <c r="N752" t="str">
        <f t="shared" si="255"/>
        <v>Away</v>
      </c>
      <c r="O752">
        <v>10</v>
      </c>
      <c r="P752" t="s">
        <v>425</v>
      </c>
      <c r="Y752" t="str">
        <f t="shared" si="239"/>
        <v/>
      </c>
      <c r="Z752" t="str">
        <f t="shared" si="240"/>
        <v/>
      </c>
      <c r="AC752" t="str">
        <f t="shared" si="241"/>
        <v>Faceoff</v>
      </c>
      <c r="AD752" t="str">
        <f t="shared" si="242"/>
        <v>Faceoff_AfterStoppage</v>
      </c>
      <c r="AE752" t="str">
        <f t="shared" si="243"/>
        <v/>
      </c>
      <c r="AF752" t="str">
        <f t="shared" si="244"/>
        <v>Defensive</v>
      </c>
      <c r="AG752">
        <f t="shared" si="250"/>
        <v>18981</v>
      </c>
      <c r="AH752" t="str">
        <f t="shared" si="251"/>
        <v>Nelson</v>
      </c>
      <c r="AI752" t="str">
        <f t="shared" si="252"/>
        <v>Velodrome</v>
      </c>
      <c r="AJ752" s="18">
        <f t="shared" si="245"/>
        <v>0</v>
      </c>
      <c r="AP752" s="18">
        <f t="shared" si="246"/>
        <v>0</v>
      </c>
      <c r="AQ752">
        <f t="shared" si="247"/>
        <v>0</v>
      </c>
      <c r="AR752" s="23">
        <f t="shared" si="248"/>
        <v>960</v>
      </c>
      <c r="AS752">
        <f t="shared" si="253"/>
        <v>955</v>
      </c>
      <c r="AT752" s="21">
        <f t="shared" si="254"/>
        <v>960</v>
      </c>
      <c r="AU752" s="21"/>
      <c r="AV752" s="21"/>
      <c r="AW752" s="21"/>
    </row>
    <row r="753" spans="1:49" x14ac:dyDescent="0.2">
      <c r="A753">
        <v>401</v>
      </c>
      <c r="E753">
        <f t="shared" si="249"/>
        <v>1</v>
      </c>
      <c r="F753" s="5" t="s">
        <v>543</v>
      </c>
      <c r="G753" s="5" t="s">
        <v>479</v>
      </c>
      <c r="J753" t="str">
        <f t="shared" si="256"/>
        <v>1</v>
      </c>
      <c r="K753" t="str">
        <f t="shared" si="257"/>
        <v>59</v>
      </c>
      <c r="L753" t="str">
        <f t="shared" si="258"/>
        <v/>
      </c>
      <c r="M753" s="6" t="str">
        <f t="shared" si="259"/>
        <v/>
      </c>
      <c r="N753" t="s">
        <v>179</v>
      </c>
      <c r="O753">
        <v>9</v>
      </c>
      <c r="P753" t="s">
        <v>424</v>
      </c>
      <c r="Q753" t="s">
        <v>8</v>
      </c>
      <c r="R753" t="s">
        <v>189</v>
      </c>
      <c r="S753" t="s">
        <v>68</v>
      </c>
      <c r="Y753" t="str">
        <f t="shared" si="239"/>
        <v/>
      </c>
      <c r="Z753" t="str">
        <f t="shared" si="240"/>
        <v/>
      </c>
      <c r="AC753" t="str">
        <f t="shared" si="241"/>
        <v>Pass</v>
      </c>
      <c r="AD753" t="str">
        <f t="shared" si="242"/>
        <v>Pass_Completed</v>
      </c>
      <c r="AE753" t="str">
        <f t="shared" si="243"/>
        <v>Pass-Rim/Wrap</v>
      </c>
      <c r="AF753" t="str">
        <f t="shared" si="244"/>
        <v>Offensive</v>
      </c>
      <c r="AG753">
        <f t="shared" si="250"/>
        <v>18981</v>
      </c>
      <c r="AH753" t="str">
        <f t="shared" si="251"/>
        <v>Nelson</v>
      </c>
      <c r="AI753" t="str">
        <f t="shared" si="252"/>
        <v>Velodrome</v>
      </c>
      <c r="AJ753" s="18">
        <f t="shared" si="245"/>
        <v>0</v>
      </c>
      <c r="AP753" s="18">
        <f t="shared" si="246"/>
        <v>0</v>
      </c>
      <c r="AQ753">
        <f t="shared" si="247"/>
        <v>0</v>
      </c>
      <c r="AR753" s="23">
        <f t="shared" si="248"/>
        <v>961</v>
      </c>
      <c r="AS753">
        <f t="shared" si="253"/>
        <v>956</v>
      </c>
      <c r="AT753" s="21">
        <f t="shared" si="254"/>
        <v>961</v>
      </c>
      <c r="AU753" s="21"/>
      <c r="AV753" s="21"/>
      <c r="AW753" s="21"/>
    </row>
    <row r="754" spans="1:49" x14ac:dyDescent="0.2">
      <c r="A754">
        <v>401</v>
      </c>
      <c r="E754">
        <f t="shared" si="249"/>
        <v>1</v>
      </c>
      <c r="J754" t="str">
        <f t="shared" si="256"/>
        <v>1</v>
      </c>
      <c r="K754" t="str">
        <f t="shared" si="257"/>
        <v>59</v>
      </c>
      <c r="L754" t="str">
        <f t="shared" si="258"/>
        <v/>
      </c>
      <c r="M754" s="6" t="str">
        <f t="shared" si="259"/>
        <v/>
      </c>
      <c r="N754" t="str">
        <f t="shared" si="255"/>
        <v>Away</v>
      </c>
      <c r="O754">
        <v>91</v>
      </c>
      <c r="P754" t="s">
        <v>424</v>
      </c>
      <c r="Y754" t="str">
        <f t="shared" si="239"/>
        <v/>
      </c>
      <c r="Z754" t="str">
        <f t="shared" si="240"/>
        <v/>
      </c>
      <c r="AC754" t="str">
        <f t="shared" si="241"/>
        <v>Pass</v>
      </c>
      <c r="AD754" t="str">
        <f t="shared" si="242"/>
        <v>Pass_Completed</v>
      </c>
      <c r="AE754" t="str">
        <f t="shared" si="243"/>
        <v>Pass-Rim/Wrap</v>
      </c>
      <c r="AF754" t="str">
        <f t="shared" si="244"/>
        <v>Offensive</v>
      </c>
      <c r="AG754">
        <f t="shared" si="250"/>
        <v>18981</v>
      </c>
      <c r="AH754" t="str">
        <f t="shared" si="251"/>
        <v>Nelson</v>
      </c>
      <c r="AI754" t="str">
        <f t="shared" si="252"/>
        <v>Velodrome</v>
      </c>
      <c r="AJ754" s="18">
        <f t="shared" si="245"/>
        <v>0</v>
      </c>
      <c r="AP754" s="18">
        <f t="shared" si="246"/>
        <v>0</v>
      </c>
      <c r="AQ754">
        <f t="shared" si="247"/>
        <v>0</v>
      </c>
      <c r="AR754" s="23">
        <f t="shared" si="248"/>
        <v>961</v>
      </c>
      <c r="AS754">
        <f t="shared" si="253"/>
        <v>956</v>
      </c>
      <c r="AT754" s="21">
        <f t="shared" si="254"/>
        <v>961</v>
      </c>
      <c r="AU754" s="21"/>
      <c r="AV754" s="21"/>
      <c r="AW754" s="21"/>
    </row>
    <row r="755" spans="1:49" x14ac:dyDescent="0.2">
      <c r="A755">
        <v>402</v>
      </c>
      <c r="E755">
        <f t="shared" si="249"/>
        <v>1</v>
      </c>
      <c r="F755" s="5" t="s">
        <v>543</v>
      </c>
      <c r="G755" s="5" t="s">
        <v>527</v>
      </c>
      <c r="J755" t="str">
        <f t="shared" si="256"/>
        <v>1</v>
      </c>
      <c r="K755" t="str">
        <f t="shared" si="257"/>
        <v>55</v>
      </c>
      <c r="L755" t="str">
        <f t="shared" si="258"/>
        <v/>
      </c>
      <c r="M755" s="6" t="str">
        <f t="shared" si="259"/>
        <v/>
      </c>
      <c r="N755" t="s">
        <v>179</v>
      </c>
      <c r="O755">
        <v>91</v>
      </c>
      <c r="P755" t="s">
        <v>424</v>
      </c>
      <c r="Q755" t="s">
        <v>8</v>
      </c>
      <c r="R755" t="s">
        <v>189</v>
      </c>
      <c r="S755" t="s">
        <v>69</v>
      </c>
      <c r="Y755" t="str">
        <f t="shared" si="239"/>
        <v/>
      </c>
      <c r="Z755" t="str">
        <f t="shared" si="240"/>
        <v/>
      </c>
      <c r="AC755" t="str">
        <f t="shared" si="241"/>
        <v>Pass</v>
      </c>
      <c r="AD755" t="str">
        <f t="shared" si="242"/>
        <v>Pass_Completed</v>
      </c>
      <c r="AE755" t="str">
        <f t="shared" si="243"/>
        <v>Pass-Backhand</v>
      </c>
      <c r="AF755" t="str">
        <f t="shared" si="244"/>
        <v>Offensive</v>
      </c>
      <c r="AG755">
        <f t="shared" si="250"/>
        <v>18981</v>
      </c>
      <c r="AH755" t="str">
        <f t="shared" si="251"/>
        <v>Nelson</v>
      </c>
      <c r="AI755" t="str">
        <f t="shared" si="252"/>
        <v>Velodrome</v>
      </c>
      <c r="AJ755" s="18">
        <f t="shared" si="245"/>
        <v>0</v>
      </c>
      <c r="AP755" s="18">
        <f t="shared" si="246"/>
        <v>0</v>
      </c>
      <c r="AQ755">
        <f t="shared" si="247"/>
        <v>0</v>
      </c>
      <c r="AR755" s="23">
        <f t="shared" si="248"/>
        <v>965</v>
      </c>
      <c r="AS755">
        <f t="shared" si="253"/>
        <v>960</v>
      </c>
      <c r="AT755" s="21">
        <f t="shared" si="254"/>
        <v>965</v>
      </c>
      <c r="AU755" s="21"/>
      <c r="AV755" s="21"/>
      <c r="AW755" s="21"/>
    </row>
    <row r="756" spans="1:49" x14ac:dyDescent="0.2">
      <c r="A756">
        <v>402</v>
      </c>
      <c r="E756">
        <f t="shared" si="249"/>
        <v>1</v>
      </c>
      <c r="J756" t="str">
        <f t="shared" si="256"/>
        <v>1</v>
      </c>
      <c r="K756" t="str">
        <f t="shared" si="257"/>
        <v>55</v>
      </c>
      <c r="L756" t="str">
        <f t="shared" si="258"/>
        <v/>
      </c>
      <c r="M756" s="6" t="str">
        <f t="shared" si="259"/>
        <v/>
      </c>
      <c r="N756" t="str">
        <f t="shared" si="255"/>
        <v>Away</v>
      </c>
      <c r="O756">
        <v>42</v>
      </c>
      <c r="P756" t="s">
        <v>424</v>
      </c>
      <c r="Y756" t="str">
        <f t="shared" si="239"/>
        <v/>
      </c>
      <c r="Z756" t="str">
        <f t="shared" si="240"/>
        <v/>
      </c>
      <c r="AC756" t="str">
        <f t="shared" si="241"/>
        <v>Pass</v>
      </c>
      <c r="AD756" t="str">
        <f t="shared" si="242"/>
        <v>Pass_Completed</v>
      </c>
      <c r="AE756" t="str">
        <f t="shared" si="243"/>
        <v>Pass-Backhand</v>
      </c>
      <c r="AF756" t="str">
        <f t="shared" si="244"/>
        <v>Offensive</v>
      </c>
      <c r="AG756">
        <f t="shared" si="250"/>
        <v>18981</v>
      </c>
      <c r="AH756" t="str">
        <f t="shared" si="251"/>
        <v>Nelson</v>
      </c>
      <c r="AI756" t="str">
        <f t="shared" si="252"/>
        <v>Velodrome</v>
      </c>
      <c r="AJ756" s="18">
        <f t="shared" si="245"/>
        <v>0</v>
      </c>
      <c r="AP756" s="18">
        <f t="shared" si="246"/>
        <v>0</v>
      </c>
      <c r="AQ756">
        <f t="shared" si="247"/>
        <v>0</v>
      </c>
      <c r="AR756" s="23">
        <f t="shared" si="248"/>
        <v>965</v>
      </c>
      <c r="AS756">
        <f t="shared" si="253"/>
        <v>960</v>
      </c>
      <c r="AT756" s="21">
        <f t="shared" si="254"/>
        <v>965</v>
      </c>
      <c r="AU756" s="21"/>
      <c r="AV756" s="21"/>
      <c r="AW756" s="21"/>
    </row>
    <row r="757" spans="1:49" x14ac:dyDescent="0.2">
      <c r="A757">
        <v>403</v>
      </c>
      <c r="E757">
        <f t="shared" si="249"/>
        <v>1</v>
      </c>
      <c r="F757" s="5" t="s">
        <v>543</v>
      </c>
      <c r="G757" s="5" t="s">
        <v>527</v>
      </c>
      <c r="J757" t="str">
        <f t="shared" si="256"/>
        <v>1</v>
      </c>
      <c r="K757" t="str">
        <f t="shared" si="257"/>
        <v>55</v>
      </c>
      <c r="L757" t="str">
        <f t="shared" si="258"/>
        <v/>
      </c>
      <c r="M757" s="6" t="str">
        <f t="shared" si="259"/>
        <v/>
      </c>
      <c r="N757" t="s">
        <v>179</v>
      </c>
      <c r="O757">
        <v>91</v>
      </c>
      <c r="P757" t="s">
        <v>424</v>
      </c>
      <c r="Q757" t="s">
        <v>277</v>
      </c>
      <c r="R757" t="s">
        <v>201</v>
      </c>
      <c r="S757" t="s">
        <v>91</v>
      </c>
      <c r="Y757" t="str">
        <f t="shared" si="239"/>
        <v/>
      </c>
      <c r="Z757" t="str">
        <f t="shared" si="240"/>
        <v/>
      </c>
      <c r="AC757" t="str">
        <f t="shared" si="241"/>
        <v>Zone_Entry_Exit</v>
      </c>
      <c r="AD757" t="str">
        <f t="shared" si="242"/>
        <v>Zone_Exit</v>
      </c>
      <c r="AE757" t="str">
        <f t="shared" si="243"/>
        <v>ZoneExit-Pass</v>
      </c>
      <c r="AF757" t="str">
        <f t="shared" si="244"/>
        <v>Offensive</v>
      </c>
      <c r="AG757">
        <f t="shared" si="250"/>
        <v>18981</v>
      </c>
      <c r="AH757" t="str">
        <f t="shared" si="251"/>
        <v>Nelson</v>
      </c>
      <c r="AI757" t="str">
        <f t="shared" si="252"/>
        <v>Velodrome</v>
      </c>
      <c r="AJ757" s="18">
        <f t="shared" si="245"/>
        <v>0</v>
      </c>
      <c r="AP757" s="18">
        <f t="shared" si="246"/>
        <v>0</v>
      </c>
      <c r="AQ757">
        <f t="shared" si="247"/>
        <v>0</v>
      </c>
      <c r="AR757" s="23">
        <f t="shared" si="248"/>
        <v>965</v>
      </c>
      <c r="AS757">
        <f t="shared" si="253"/>
        <v>960</v>
      </c>
      <c r="AT757" s="21">
        <f t="shared" si="254"/>
        <v>965</v>
      </c>
      <c r="AU757" s="21"/>
      <c r="AV757" s="21"/>
      <c r="AW757" s="21"/>
    </row>
    <row r="758" spans="1:49" x14ac:dyDescent="0.2">
      <c r="A758">
        <v>403</v>
      </c>
      <c r="E758">
        <f t="shared" si="249"/>
        <v>1</v>
      </c>
      <c r="J758" t="str">
        <f t="shared" si="256"/>
        <v>1</v>
      </c>
      <c r="K758" t="str">
        <f t="shared" si="257"/>
        <v>55</v>
      </c>
      <c r="L758" t="str">
        <f t="shared" si="258"/>
        <v/>
      </c>
      <c r="M758" s="6" t="str">
        <f t="shared" si="259"/>
        <v/>
      </c>
      <c r="N758" t="str">
        <f t="shared" si="255"/>
        <v>Away</v>
      </c>
      <c r="O758">
        <v>42</v>
      </c>
      <c r="P758" t="s">
        <v>424</v>
      </c>
      <c r="Y758" t="str">
        <f t="shared" si="239"/>
        <v/>
      </c>
      <c r="Z758" t="str">
        <f t="shared" si="240"/>
        <v/>
      </c>
      <c r="AC758" t="str">
        <f t="shared" si="241"/>
        <v>Zone_Entry_Exit</v>
      </c>
      <c r="AD758" t="str">
        <f t="shared" si="242"/>
        <v>Zone_Exit</v>
      </c>
      <c r="AE758" t="str">
        <f t="shared" si="243"/>
        <v>ZoneExit-Pass</v>
      </c>
      <c r="AF758" t="str">
        <f t="shared" si="244"/>
        <v>Offensive</v>
      </c>
      <c r="AG758">
        <f t="shared" si="250"/>
        <v>18981</v>
      </c>
      <c r="AH758" t="str">
        <f t="shared" si="251"/>
        <v>Nelson</v>
      </c>
      <c r="AI758" t="str">
        <f t="shared" si="252"/>
        <v>Velodrome</v>
      </c>
      <c r="AJ758" s="18">
        <f t="shared" si="245"/>
        <v>0</v>
      </c>
      <c r="AP758" s="18">
        <f t="shared" si="246"/>
        <v>0</v>
      </c>
      <c r="AQ758">
        <f t="shared" si="247"/>
        <v>0</v>
      </c>
      <c r="AR758" s="23">
        <f t="shared" si="248"/>
        <v>965</v>
      </c>
      <c r="AS758">
        <f t="shared" si="253"/>
        <v>960</v>
      </c>
      <c r="AT758" s="21">
        <f t="shared" si="254"/>
        <v>965</v>
      </c>
      <c r="AU758" s="21"/>
      <c r="AV758" s="21"/>
      <c r="AW758" s="21"/>
    </row>
    <row r="759" spans="1:49" x14ac:dyDescent="0.2">
      <c r="A759">
        <v>404</v>
      </c>
      <c r="E759">
        <f t="shared" si="249"/>
        <v>1</v>
      </c>
      <c r="F759" s="5" t="s">
        <v>543</v>
      </c>
      <c r="G759" s="5" t="s">
        <v>526</v>
      </c>
      <c r="H759" s="5" t="s">
        <v>543</v>
      </c>
      <c r="I759" s="7" t="s">
        <v>524</v>
      </c>
      <c r="J759" t="str">
        <f t="shared" si="256"/>
        <v>1</v>
      </c>
      <c r="K759" t="str">
        <f t="shared" si="257"/>
        <v>54</v>
      </c>
      <c r="L759" t="str">
        <f t="shared" si="258"/>
        <v>1</v>
      </c>
      <c r="M759" s="6" t="str">
        <f t="shared" si="259"/>
        <v>52</v>
      </c>
      <c r="N759" t="s">
        <v>179</v>
      </c>
      <c r="O759">
        <v>42</v>
      </c>
      <c r="P759" t="s">
        <v>424</v>
      </c>
      <c r="Q759" t="s">
        <v>15</v>
      </c>
      <c r="Y759" t="str">
        <f t="shared" si="239"/>
        <v/>
      </c>
      <c r="Z759" t="str">
        <f t="shared" si="240"/>
        <v/>
      </c>
      <c r="AC759" t="str">
        <f t="shared" si="241"/>
        <v>Possession</v>
      </c>
      <c r="AD759" t="str">
        <f t="shared" si="242"/>
        <v/>
      </c>
      <c r="AE759" t="str">
        <f t="shared" si="243"/>
        <v/>
      </c>
      <c r="AF759" t="str">
        <f t="shared" si="244"/>
        <v>Offensive</v>
      </c>
      <c r="AG759">
        <f t="shared" si="250"/>
        <v>18981</v>
      </c>
      <c r="AH759" t="str">
        <f t="shared" si="251"/>
        <v>Nelson</v>
      </c>
      <c r="AI759" t="str">
        <f t="shared" si="252"/>
        <v>Velodrome</v>
      </c>
      <c r="AJ759" s="18">
        <f t="shared" si="245"/>
        <v>2</v>
      </c>
      <c r="AP759" s="18">
        <f t="shared" si="246"/>
        <v>0</v>
      </c>
      <c r="AQ759">
        <f t="shared" si="247"/>
        <v>0</v>
      </c>
      <c r="AR759" s="23">
        <f t="shared" si="248"/>
        <v>966</v>
      </c>
      <c r="AS759">
        <f t="shared" si="253"/>
        <v>961</v>
      </c>
      <c r="AT759" s="21">
        <f t="shared" si="254"/>
        <v>968</v>
      </c>
      <c r="AU759" s="21"/>
      <c r="AV759" s="21"/>
      <c r="AW759" s="21"/>
    </row>
    <row r="760" spans="1:49" x14ac:dyDescent="0.2">
      <c r="A760">
        <v>405</v>
      </c>
      <c r="E760">
        <f t="shared" si="249"/>
        <v>1</v>
      </c>
      <c r="F760" s="5" t="s">
        <v>543</v>
      </c>
      <c r="G760" s="5" t="s">
        <v>524</v>
      </c>
      <c r="H760" s="5" t="s">
        <v>543</v>
      </c>
      <c r="I760" s="7" t="s">
        <v>522</v>
      </c>
      <c r="J760" t="str">
        <f t="shared" si="256"/>
        <v>1</v>
      </c>
      <c r="K760" t="str">
        <f t="shared" si="257"/>
        <v>52</v>
      </c>
      <c r="L760" t="str">
        <f t="shared" si="258"/>
        <v>1</v>
      </c>
      <c r="M760" s="6" t="str">
        <f t="shared" si="259"/>
        <v>50</v>
      </c>
      <c r="N760" t="s">
        <v>179</v>
      </c>
      <c r="O760">
        <v>42</v>
      </c>
      <c r="P760" t="s">
        <v>424</v>
      </c>
      <c r="Q760" t="s">
        <v>277</v>
      </c>
      <c r="R760" t="s">
        <v>191</v>
      </c>
      <c r="S760" t="s">
        <v>87</v>
      </c>
      <c r="Y760" t="str">
        <f t="shared" si="239"/>
        <v/>
      </c>
      <c r="Z760" t="str">
        <f t="shared" si="240"/>
        <v/>
      </c>
      <c r="AC760" t="str">
        <f t="shared" si="241"/>
        <v>Zone_Entry_Exit</v>
      </c>
      <c r="AD760" t="str">
        <f t="shared" si="242"/>
        <v>Zone_Entry</v>
      </c>
      <c r="AE760" t="str">
        <f t="shared" si="243"/>
        <v>ZoneEntry-Rush</v>
      </c>
      <c r="AF760" t="str">
        <f t="shared" si="244"/>
        <v>Offensive</v>
      </c>
      <c r="AG760">
        <f t="shared" si="250"/>
        <v>18981</v>
      </c>
      <c r="AH760" t="str">
        <f t="shared" si="251"/>
        <v>Nelson</v>
      </c>
      <c r="AI760" t="str">
        <f t="shared" si="252"/>
        <v>Velodrome</v>
      </c>
      <c r="AJ760" s="18">
        <f t="shared" si="245"/>
        <v>2</v>
      </c>
      <c r="AP760" s="18">
        <f t="shared" si="246"/>
        <v>0</v>
      </c>
      <c r="AQ760">
        <f t="shared" si="247"/>
        <v>0</v>
      </c>
      <c r="AR760" s="23">
        <f t="shared" si="248"/>
        <v>968</v>
      </c>
      <c r="AS760">
        <f t="shared" si="253"/>
        <v>963</v>
      </c>
      <c r="AT760" s="21">
        <f t="shared" si="254"/>
        <v>970</v>
      </c>
      <c r="AU760" s="21"/>
      <c r="AV760" s="21"/>
      <c r="AW760" s="21"/>
    </row>
    <row r="761" spans="1:49" x14ac:dyDescent="0.2">
      <c r="A761">
        <v>405</v>
      </c>
      <c r="E761">
        <f t="shared" si="249"/>
        <v>1</v>
      </c>
      <c r="J761" t="str">
        <f t="shared" si="256"/>
        <v>1</v>
      </c>
      <c r="K761" t="str">
        <f t="shared" si="257"/>
        <v>52</v>
      </c>
      <c r="L761" t="str">
        <f t="shared" si="258"/>
        <v>1</v>
      </c>
      <c r="M761" s="6" t="str">
        <f t="shared" si="259"/>
        <v>50</v>
      </c>
      <c r="N761" t="str">
        <f t="shared" si="255"/>
        <v>Away</v>
      </c>
      <c r="O761">
        <v>23</v>
      </c>
      <c r="P761" t="s">
        <v>425</v>
      </c>
      <c r="Y761" t="str">
        <f t="shared" si="239"/>
        <v/>
      </c>
      <c r="Z761" t="str">
        <f t="shared" si="240"/>
        <v/>
      </c>
      <c r="AC761" t="str">
        <f t="shared" si="241"/>
        <v>Zone_Entry_Exit</v>
      </c>
      <c r="AD761" t="str">
        <f t="shared" si="242"/>
        <v>Zone_Entry</v>
      </c>
      <c r="AE761" t="str">
        <f t="shared" si="243"/>
        <v>ZoneEntry-Rush</v>
      </c>
      <c r="AF761" t="str">
        <f t="shared" si="244"/>
        <v>Defensive</v>
      </c>
      <c r="AG761">
        <f t="shared" si="250"/>
        <v>18981</v>
      </c>
      <c r="AH761" t="str">
        <f t="shared" si="251"/>
        <v>Nelson</v>
      </c>
      <c r="AI761" t="str">
        <f t="shared" si="252"/>
        <v>Velodrome</v>
      </c>
      <c r="AJ761" s="18">
        <f t="shared" si="245"/>
        <v>2</v>
      </c>
      <c r="AP761" s="18">
        <f t="shared" si="246"/>
        <v>0</v>
      </c>
      <c r="AQ761">
        <f t="shared" si="247"/>
        <v>0</v>
      </c>
      <c r="AR761" s="23">
        <f t="shared" si="248"/>
        <v>968</v>
      </c>
      <c r="AS761">
        <f t="shared" si="253"/>
        <v>963</v>
      </c>
      <c r="AT761" s="21">
        <f t="shared" si="254"/>
        <v>970</v>
      </c>
      <c r="AU761" s="21"/>
      <c r="AV761" s="21"/>
      <c r="AW761" s="21"/>
    </row>
    <row r="762" spans="1:49" x14ac:dyDescent="0.2">
      <c r="A762">
        <v>405</v>
      </c>
      <c r="E762">
        <f t="shared" si="249"/>
        <v>1</v>
      </c>
      <c r="J762" t="str">
        <f t="shared" si="256"/>
        <v>1</v>
      </c>
      <c r="K762" t="str">
        <f t="shared" si="257"/>
        <v>52</v>
      </c>
      <c r="L762" t="str">
        <f t="shared" si="258"/>
        <v>1</v>
      </c>
      <c r="M762" s="6" t="str">
        <f t="shared" si="259"/>
        <v>50</v>
      </c>
      <c r="N762" t="str">
        <f t="shared" si="255"/>
        <v>Away</v>
      </c>
      <c r="O762">
        <v>37</v>
      </c>
      <c r="P762" t="s">
        <v>425</v>
      </c>
      <c r="Y762" t="str">
        <f t="shared" si="239"/>
        <v/>
      </c>
      <c r="Z762" t="str">
        <f t="shared" si="240"/>
        <v/>
      </c>
      <c r="AC762" t="str">
        <f t="shared" si="241"/>
        <v>Zone_Entry_Exit</v>
      </c>
      <c r="AD762" t="str">
        <f t="shared" si="242"/>
        <v>Zone_Entry</v>
      </c>
      <c r="AE762" t="str">
        <f t="shared" si="243"/>
        <v>ZoneEntry-Rush</v>
      </c>
      <c r="AF762" t="str">
        <f t="shared" si="244"/>
        <v>Defensive</v>
      </c>
      <c r="AG762">
        <f t="shared" si="250"/>
        <v>18981</v>
      </c>
      <c r="AH762" t="str">
        <f t="shared" si="251"/>
        <v>Nelson</v>
      </c>
      <c r="AI762" t="str">
        <f t="shared" si="252"/>
        <v>Velodrome</v>
      </c>
      <c r="AJ762" s="18">
        <f t="shared" si="245"/>
        <v>2</v>
      </c>
      <c r="AP762" s="18">
        <f t="shared" si="246"/>
        <v>0</v>
      </c>
      <c r="AQ762">
        <f t="shared" si="247"/>
        <v>0</v>
      </c>
      <c r="AR762" s="23">
        <f t="shared" si="248"/>
        <v>968</v>
      </c>
      <c r="AS762">
        <f t="shared" si="253"/>
        <v>963</v>
      </c>
      <c r="AT762" s="21">
        <f t="shared" si="254"/>
        <v>970</v>
      </c>
      <c r="AU762" s="21"/>
      <c r="AV762" s="21"/>
      <c r="AW762" s="21"/>
    </row>
    <row r="763" spans="1:49" x14ac:dyDescent="0.2">
      <c r="A763">
        <v>406</v>
      </c>
      <c r="E763">
        <f t="shared" si="249"/>
        <v>1</v>
      </c>
      <c r="F763" s="5" t="s">
        <v>543</v>
      </c>
      <c r="G763" s="5" t="s">
        <v>522</v>
      </c>
      <c r="J763" t="str">
        <f t="shared" si="256"/>
        <v>1</v>
      </c>
      <c r="K763" t="str">
        <f t="shared" si="257"/>
        <v>50</v>
      </c>
      <c r="L763" t="str">
        <f t="shared" si="258"/>
        <v/>
      </c>
      <c r="M763" s="6" t="str">
        <f t="shared" si="259"/>
        <v/>
      </c>
      <c r="N763" t="s">
        <v>179</v>
      </c>
      <c r="O763">
        <v>42</v>
      </c>
      <c r="P763" t="s">
        <v>424</v>
      </c>
      <c r="Q763" t="s">
        <v>7</v>
      </c>
      <c r="R763" t="s">
        <v>222</v>
      </c>
      <c r="S763" t="s">
        <v>53</v>
      </c>
      <c r="Y763" t="str">
        <f t="shared" si="239"/>
        <v/>
      </c>
      <c r="Z763" t="str">
        <f t="shared" si="240"/>
        <v/>
      </c>
      <c r="AC763" t="str">
        <f t="shared" si="241"/>
        <v>Shot</v>
      </c>
      <c r="AD763" t="str">
        <f t="shared" si="242"/>
        <v>Shot_OnNetSaved</v>
      </c>
      <c r="AE763" t="str">
        <f t="shared" si="243"/>
        <v>Shot-Wrist</v>
      </c>
      <c r="AF763" t="str">
        <f t="shared" si="244"/>
        <v>Offensive</v>
      </c>
      <c r="AG763">
        <f t="shared" si="250"/>
        <v>18981</v>
      </c>
      <c r="AH763" t="str">
        <f t="shared" si="251"/>
        <v>Nelson</v>
      </c>
      <c r="AI763" t="str">
        <f t="shared" si="252"/>
        <v>Velodrome</v>
      </c>
      <c r="AJ763" s="18">
        <f t="shared" si="245"/>
        <v>0</v>
      </c>
      <c r="AP763" s="18">
        <f t="shared" si="246"/>
        <v>0</v>
      </c>
      <c r="AQ763">
        <f t="shared" si="247"/>
        <v>0</v>
      </c>
      <c r="AR763" s="23">
        <f t="shared" si="248"/>
        <v>970</v>
      </c>
      <c r="AS763">
        <f t="shared" si="253"/>
        <v>965</v>
      </c>
      <c r="AT763" s="21">
        <f t="shared" si="254"/>
        <v>970</v>
      </c>
      <c r="AU763" s="21"/>
      <c r="AV763" s="21"/>
      <c r="AW763" s="21"/>
    </row>
    <row r="764" spans="1:49" x14ac:dyDescent="0.2">
      <c r="A764">
        <v>406</v>
      </c>
      <c r="E764">
        <f t="shared" si="249"/>
        <v>1</v>
      </c>
      <c r="J764" t="str">
        <f t="shared" si="256"/>
        <v>1</v>
      </c>
      <c r="K764" t="str">
        <f t="shared" si="257"/>
        <v>50</v>
      </c>
      <c r="L764" t="str">
        <f t="shared" si="258"/>
        <v/>
      </c>
      <c r="M764" s="6" t="str">
        <f t="shared" si="259"/>
        <v/>
      </c>
      <c r="N764" t="str">
        <f t="shared" si="255"/>
        <v>Away</v>
      </c>
      <c r="O764">
        <v>31</v>
      </c>
      <c r="P764" t="s">
        <v>425</v>
      </c>
      <c r="Y764" t="str">
        <f t="shared" si="239"/>
        <v/>
      </c>
      <c r="Z764" t="str">
        <f t="shared" si="240"/>
        <v/>
      </c>
      <c r="AC764" t="str">
        <f t="shared" si="241"/>
        <v>Shot</v>
      </c>
      <c r="AD764" t="str">
        <f t="shared" si="242"/>
        <v>Shot_OnNetSaved</v>
      </c>
      <c r="AE764" t="str">
        <f t="shared" si="243"/>
        <v>Shot-Wrist</v>
      </c>
      <c r="AF764" t="str">
        <f t="shared" si="244"/>
        <v>Defensive</v>
      </c>
      <c r="AG764">
        <f t="shared" si="250"/>
        <v>18981</v>
      </c>
      <c r="AH764" t="str">
        <f t="shared" si="251"/>
        <v>Nelson</v>
      </c>
      <c r="AI764" t="str">
        <f t="shared" si="252"/>
        <v>Velodrome</v>
      </c>
      <c r="AJ764" s="18">
        <f t="shared" si="245"/>
        <v>0</v>
      </c>
      <c r="AP764" s="18">
        <f t="shared" si="246"/>
        <v>0</v>
      </c>
      <c r="AQ764">
        <f t="shared" si="247"/>
        <v>0</v>
      </c>
      <c r="AR764" s="23">
        <f t="shared" si="248"/>
        <v>970</v>
      </c>
      <c r="AS764">
        <f t="shared" si="253"/>
        <v>965</v>
      </c>
      <c r="AT764" s="21">
        <f t="shared" si="254"/>
        <v>970</v>
      </c>
      <c r="AU764" s="21"/>
      <c r="AV764" s="21"/>
      <c r="AW764" s="21"/>
    </row>
    <row r="765" spans="1:49" x14ac:dyDescent="0.2">
      <c r="A765">
        <v>406</v>
      </c>
      <c r="E765">
        <f t="shared" si="249"/>
        <v>1</v>
      </c>
      <c r="J765" t="str">
        <f t="shared" si="256"/>
        <v>1</v>
      </c>
      <c r="K765" t="str">
        <f t="shared" si="257"/>
        <v>50</v>
      </c>
      <c r="L765" t="str">
        <f t="shared" si="258"/>
        <v/>
      </c>
      <c r="M765" s="6" t="str">
        <f t="shared" si="259"/>
        <v/>
      </c>
      <c r="N765" t="str">
        <f t="shared" si="255"/>
        <v>Away</v>
      </c>
      <c r="O765">
        <v>37</v>
      </c>
      <c r="P765" t="s">
        <v>425</v>
      </c>
      <c r="Y765" t="str">
        <f t="shared" si="239"/>
        <v/>
      </c>
      <c r="Z765" t="str">
        <f t="shared" si="240"/>
        <v/>
      </c>
      <c r="AC765" t="str">
        <f t="shared" si="241"/>
        <v>Shot</v>
      </c>
      <c r="AD765" t="str">
        <f t="shared" si="242"/>
        <v>Shot_OnNetSaved</v>
      </c>
      <c r="AE765" t="str">
        <f t="shared" si="243"/>
        <v>Shot-Wrist</v>
      </c>
      <c r="AF765" t="str">
        <f t="shared" si="244"/>
        <v>Defensive</v>
      </c>
      <c r="AG765">
        <f t="shared" si="250"/>
        <v>18981</v>
      </c>
      <c r="AH765" t="str">
        <f t="shared" si="251"/>
        <v>Nelson</v>
      </c>
      <c r="AI765" t="str">
        <f t="shared" si="252"/>
        <v>Velodrome</v>
      </c>
      <c r="AJ765" s="18">
        <f t="shared" si="245"/>
        <v>0</v>
      </c>
      <c r="AP765" s="18">
        <f t="shared" si="246"/>
        <v>0</v>
      </c>
      <c r="AQ765">
        <f t="shared" si="247"/>
        <v>0</v>
      </c>
      <c r="AR765" s="23">
        <f t="shared" si="248"/>
        <v>970</v>
      </c>
      <c r="AS765">
        <f t="shared" si="253"/>
        <v>965</v>
      </c>
      <c r="AT765" s="21">
        <f t="shared" si="254"/>
        <v>970</v>
      </c>
      <c r="AU765" s="21"/>
      <c r="AV765" s="21"/>
      <c r="AW765" s="21"/>
    </row>
    <row r="766" spans="1:49" x14ac:dyDescent="0.2">
      <c r="A766">
        <v>407</v>
      </c>
      <c r="E766">
        <f t="shared" si="249"/>
        <v>1</v>
      </c>
      <c r="F766" s="5" t="s">
        <v>543</v>
      </c>
      <c r="G766" s="5" t="s">
        <v>522</v>
      </c>
      <c r="J766" t="str">
        <f t="shared" si="256"/>
        <v>1</v>
      </c>
      <c r="K766" t="str">
        <f t="shared" si="257"/>
        <v>50</v>
      </c>
      <c r="L766" t="str">
        <f t="shared" si="258"/>
        <v/>
      </c>
      <c r="M766" s="6" t="str">
        <f t="shared" si="259"/>
        <v/>
      </c>
      <c r="N766" t="s">
        <v>178</v>
      </c>
      <c r="O766">
        <v>31</v>
      </c>
      <c r="P766" t="s">
        <v>424</v>
      </c>
      <c r="Q766" t="s">
        <v>17</v>
      </c>
      <c r="R766" t="s">
        <v>206</v>
      </c>
      <c r="S766" t="s">
        <v>96</v>
      </c>
      <c r="Y766" t="str">
        <f t="shared" si="239"/>
        <v/>
      </c>
      <c r="Z766" t="str">
        <f t="shared" si="240"/>
        <v/>
      </c>
      <c r="AC766" t="str">
        <f t="shared" si="241"/>
        <v>Save</v>
      </c>
      <c r="AD766" t="str">
        <f t="shared" si="242"/>
        <v>Save_Freeze</v>
      </c>
      <c r="AE766" t="str">
        <f t="shared" si="243"/>
        <v>Save-Glove</v>
      </c>
      <c r="AF766" t="str">
        <f t="shared" si="244"/>
        <v>Defensive</v>
      </c>
      <c r="AG766">
        <f t="shared" si="250"/>
        <v>18981</v>
      </c>
      <c r="AH766" t="str">
        <f t="shared" si="251"/>
        <v>Nelson</v>
      </c>
      <c r="AI766" t="str">
        <f t="shared" si="252"/>
        <v>Velodrome</v>
      </c>
      <c r="AJ766" s="18">
        <f t="shared" si="245"/>
        <v>0</v>
      </c>
      <c r="AP766" s="18">
        <f t="shared" si="246"/>
        <v>0</v>
      </c>
      <c r="AQ766">
        <f t="shared" si="247"/>
        <v>0</v>
      </c>
      <c r="AR766" s="23">
        <f t="shared" si="248"/>
        <v>970</v>
      </c>
      <c r="AS766">
        <f t="shared" si="253"/>
        <v>965</v>
      </c>
      <c r="AT766" s="21">
        <f t="shared" si="254"/>
        <v>970</v>
      </c>
      <c r="AU766" s="21"/>
      <c r="AV766" s="21"/>
      <c r="AW766" s="21"/>
    </row>
    <row r="767" spans="1:49" x14ac:dyDescent="0.2">
      <c r="A767">
        <v>407</v>
      </c>
      <c r="E767">
        <f t="shared" si="249"/>
        <v>1</v>
      </c>
      <c r="J767" t="str">
        <f t="shared" si="256"/>
        <v>1</v>
      </c>
      <c r="K767" t="str">
        <f t="shared" si="257"/>
        <v>50</v>
      </c>
      <c r="L767" t="str">
        <f t="shared" si="258"/>
        <v/>
      </c>
      <c r="M767" s="6" t="str">
        <f t="shared" si="259"/>
        <v/>
      </c>
      <c r="N767" t="str">
        <f t="shared" si="255"/>
        <v>Home</v>
      </c>
      <c r="O767">
        <v>37</v>
      </c>
      <c r="P767" t="s">
        <v>424</v>
      </c>
      <c r="Y767" t="str">
        <f t="shared" si="239"/>
        <v/>
      </c>
      <c r="Z767" t="str">
        <f t="shared" si="240"/>
        <v/>
      </c>
      <c r="AC767" t="str">
        <f t="shared" si="241"/>
        <v>Save</v>
      </c>
      <c r="AD767" t="str">
        <f t="shared" si="242"/>
        <v>Save_Freeze</v>
      </c>
      <c r="AE767" t="str">
        <f t="shared" si="243"/>
        <v>Save-Glove</v>
      </c>
      <c r="AF767" t="str">
        <f t="shared" si="244"/>
        <v>Defensive</v>
      </c>
      <c r="AG767">
        <f t="shared" si="250"/>
        <v>18981</v>
      </c>
      <c r="AH767" t="str">
        <f t="shared" si="251"/>
        <v>Nelson</v>
      </c>
      <c r="AI767" t="str">
        <f t="shared" si="252"/>
        <v>Velodrome</v>
      </c>
      <c r="AJ767" s="18">
        <f t="shared" si="245"/>
        <v>0</v>
      </c>
      <c r="AP767" s="18">
        <f t="shared" si="246"/>
        <v>0</v>
      </c>
      <c r="AQ767">
        <f t="shared" si="247"/>
        <v>0</v>
      </c>
      <c r="AR767" s="23">
        <f t="shared" si="248"/>
        <v>970</v>
      </c>
      <c r="AS767">
        <f t="shared" si="253"/>
        <v>965</v>
      </c>
      <c r="AT767" s="21">
        <f t="shared" si="254"/>
        <v>970</v>
      </c>
      <c r="AU767" s="21"/>
      <c r="AV767" s="21"/>
      <c r="AW767" s="21"/>
    </row>
    <row r="768" spans="1:49" x14ac:dyDescent="0.2">
      <c r="A768">
        <v>407</v>
      </c>
      <c r="E768">
        <f t="shared" si="249"/>
        <v>1</v>
      </c>
      <c r="J768" t="str">
        <f t="shared" si="256"/>
        <v>1</v>
      </c>
      <c r="K768" t="str">
        <f t="shared" si="257"/>
        <v>50</v>
      </c>
      <c r="L768" t="str">
        <f t="shared" si="258"/>
        <v/>
      </c>
      <c r="M768" s="6" t="str">
        <f t="shared" si="259"/>
        <v/>
      </c>
      <c r="N768" t="str">
        <f t="shared" si="255"/>
        <v>Home</v>
      </c>
      <c r="O768">
        <v>42</v>
      </c>
      <c r="P768" t="s">
        <v>425</v>
      </c>
      <c r="Y768" t="str">
        <f t="shared" si="239"/>
        <v/>
      </c>
      <c r="Z768" t="str">
        <f t="shared" si="240"/>
        <v/>
      </c>
      <c r="AC768" t="str">
        <f t="shared" si="241"/>
        <v>Save</v>
      </c>
      <c r="AD768" t="str">
        <f t="shared" si="242"/>
        <v>Save_Freeze</v>
      </c>
      <c r="AE768" t="str">
        <f t="shared" si="243"/>
        <v>Save-Glove</v>
      </c>
      <c r="AF768" t="str">
        <f t="shared" si="244"/>
        <v>Offensive</v>
      </c>
      <c r="AG768">
        <f t="shared" si="250"/>
        <v>18981</v>
      </c>
      <c r="AH768" t="str">
        <f t="shared" si="251"/>
        <v>Nelson</v>
      </c>
      <c r="AI768" t="str">
        <f t="shared" si="252"/>
        <v>Velodrome</v>
      </c>
      <c r="AJ768" s="18">
        <f t="shared" si="245"/>
        <v>0</v>
      </c>
      <c r="AP768" s="18">
        <f t="shared" si="246"/>
        <v>0</v>
      </c>
      <c r="AQ768">
        <f t="shared" si="247"/>
        <v>0</v>
      </c>
      <c r="AR768" s="23">
        <f t="shared" si="248"/>
        <v>970</v>
      </c>
      <c r="AS768">
        <f t="shared" si="253"/>
        <v>965</v>
      </c>
      <c r="AT768" s="21">
        <f t="shared" si="254"/>
        <v>970</v>
      </c>
      <c r="AU768" s="21"/>
      <c r="AV768" s="21"/>
      <c r="AW768" s="21"/>
    </row>
    <row r="769" spans="1:49" x14ac:dyDescent="0.2">
      <c r="A769">
        <v>408</v>
      </c>
      <c r="E769">
        <f t="shared" si="249"/>
        <v>1</v>
      </c>
      <c r="F769" s="5" t="s">
        <v>543</v>
      </c>
      <c r="G769" s="5" t="s">
        <v>522</v>
      </c>
      <c r="J769" t="str">
        <f t="shared" si="256"/>
        <v>1</v>
      </c>
      <c r="K769" t="str">
        <f t="shared" si="257"/>
        <v>50</v>
      </c>
      <c r="L769" t="str">
        <f t="shared" si="258"/>
        <v/>
      </c>
      <c r="M769" s="6" t="str">
        <f t="shared" si="259"/>
        <v/>
      </c>
      <c r="N769" t="s">
        <v>178</v>
      </c>
      <c r="O769">
        <v>31</v>
      </c>
      <c r="P769" t="s">
        <v>424</v>
      </c>
      <c r="Q769" t="s">
        <v>13</v>
      </c>
      <c r="R769" t="s">
        <v>204</v>
      </c>
      <c r="S769" t="s">
        <v>110</v>
      </c>
      <c r="Y769" t="str">
        <f t="shared" si="239"/>
        <v/>
      </c>
      <c r="Z769" t="str">
        <f t="shared" si="240"/>
        <v/>
      </c>
      <c r="AC769" t="str">
        <f t="shared" si="241"/>
        <v>Stoppage</v>
      </c>
      <c r="AD769" t="str">
        <f t="shared" si="242"/>
        <v>Stoppage_Play</v>
      </c>
      <c r="AE769" t="str">
        <f t="shared" si="243"/>
        <v>Stoppage-GoalieStoppage</v>
      </c>
      <c r="AF769" t="str">
        <f t="shared" si="244"/>
        <v/>
      </c>
      <c r="AG769">
        <f t="shared" si="250"/>
        <v>18981</v>
      </c>
      <c r="AH769" t="str">
        <f t="shared" si="251"/>
        <v>Nelson</v>
      </c>
      <c r="AI769" t="str">
        <f t="shared" si="252"/>
        <v>Velodrome</v>
      </c>
      <c r="AJ769" s="18">
        <f t="shared" si="245"/>
        <v>0</v>
      </c>
      <c r="AP769" s="18">
        <f t="shared" si="246"/>
        <v>0</v>
      </c>
      <c r="AQ769">
        <f t="shared" si="247"/>
        <v>0</v>
      </c>
      <c r="AR769" s="23">
        <f t="shared" si="248"/>
        <v>970</v>
      </c>
      <c r="AS769">
        <f t="shared" si="253"/>
        <v>965</v>
      </c>
      <c r="AT769" s="21">
        <f t="shared" si="254"/>
        <v>970</v>
      </c>
      <c r="AU769" s="21"/>
      <c r="AV769" s="21"/>
      <c r="AW769" s="21"/>
    </row>
    <row r="770" spans="1:49" x14ac:dyDescent="0.2">
      <c r="A770">
        <v>409</v>
      </c>
      <c r="E770">
        <f t="shared" si="249"/>
        <v>1</v>
      </c>
      <c r="F770" s="5" t="s">
        <v>543</v>
      </c>
      <c r="G770" s="5" t="s">
        <v>522</v>
      </c>
      <c r="H770" s="5" t="s">
        <v>543</v>
      </c>
      <c r="I770" s="7" t="s">
        <v>507</v>
      </c>
      <c r="J770" t="str">
        <f t="shared" si="256"/>
        <v>1</v>
      </c>
      <c r="K770" t="str">
        <f t="shared" si="257"/>
        <v>50</v>
      </c>
      <c r="L770" t="str">
        <f t="shared" si="258"/>
        <v>1</v>
      </c>
      <c r="M770" s="6" t="str">
        <f t="shared" si="259"/>
        <v>35</v>
      </c>
      <c r="N770" t="s">
        <v>178</v>
      </c>
      <c r="O770">
        <v>31</v>
      </c>
      <c r="P770" t="s">
        <v>424</v>
      </c>
      <c r="Q770" t="s">
        <v>282</v>
      </c>
      <c r="Y770" t="str">
        <f t="shared" si="239"/>
        <v/>
      </c>
      <c r="Z770" t="str">
        <f t="shared" si="240"/>
        <v/>
      </c>
      <c r="AC770" t="str">
        <f t="shared" si="241"/>
        <v>DeadIce</v>
      </c>
      <c r="AD770" t="str">
        <f t="shared" si="242"/>
        <v/>
      </c>
      <c r="AE770" t="str">
        <f t="shared" si="243"/>
        <v/>
      </c>
      <c r="AF770" t="str">
        <f t="shared" si="244"/>
        <v/>
      </c>
      <c r="AG770">
        <f t="shared" si="250"/>
        <v>18981</v>
      </c>
      <c r="AH770" t="str">
        <f t="shared" si="251"/>
        <v>Nelson</v>
      </c>
      <c r="AI770" t="str">
        <f t="shared" si="252"/>
        <v>Velodrome</v>
      </c>
      <c r="AJ770" s="18">
        <f t="shared" si="245"/>
        <v>15</v>
      </c>
      <c r="AP770" s="18">
        <f t="shared" si="246"/>
        <v>0</v>
      </c>
      <c r="AQ770">
        <f t="shared" si="247"/>
        <v>0</v>
      </c>
      <c r="AR770" s="23">
        <f t="shared" si="248"/>
        <v>970</v>
      </c>
      <c r="AS770">
        <f t="shared" si="253"/>
        <v>965</v>
      </c>
      <c r="AT770" s="21">
        <f t="shared" si="254"/>
        <v>985</v>
      </c>
      <c r="AU770" s="21"/>
      <c r="AV770" s="21"/>
      <c r="AW770" s="21"/>
    </row>
    <row r="771" spans="1:49" x14ac:dyDescent="0.2">
      <c r="A771">
        <v>410</v>
      </c>
      <c r="E771">
        <f t="shared" si="249"/>
        <v>1</v>
      </c>
      <c r="F771" s="5" t="s">
        <v>543</v>
      </c>
      <c r="G771" s="5" t="s">
        <v>507</v>
      </c>
      <c r="J771" t="str">
        <f t="shared" si="256"/>
        <v>1</v>
      </c>
      <c r="K771" t="str">
        <f t="shared" si="257"/>
        <v>35</v>
      </c>
      <c r="L771" t="str">
        <f t="shared" si="258"/>
        <v/>
      </c>
      <c r="M771" s="6" t="str">
        <f t="shared" si="259"/>
        <v/>
      </c>
      <c r="N771" t="s">
        <v>178</v>
      </c>
      <c r="O771">
        <v>10</v>
      </c>
      <c r="P771" t="s">
        <v>424</v>
      </c>
      <c r="Q771" t="s">
        <v>6</v>
      </c>
      <c r="R771" t="s">
        <v>275</v>
      </c>
      <c r="Y771" t="str">
        <f t="shared" ref="Y771:Y834" si="260">IF($N771="","",IF(X771="","",IF($N771="Home",$X771,IF($X771="n","n",IF($X771="d","o",IF($X771="o","d",""))))))</f>
        <v/>
      </c>
      <c r="Z771" t="str">
        <f t="shared" ref="Z771:Z834" si="261">IF($N771="","",IF(X771="","",IF($N771="Away",$X771,IF($X771="n","n",IF($X771="d","o",IF($X771="o","d",""))))))</f>
        <v/>
      </c>
      <c r="AC771" t="str">
        <f t="shared" ref="AC771:AC834" si="262">IF(Q771&lt;&gt;"",Q771,IF($A771=$A770,AC770,""))</f>
        <v>Faceoff</v>
      </c>
      <c r="AD771" t="str">
        <f t="shared" ref="AD771:AD834" si="263">IF(R771&lt;&gt;"",R771,IF($A771=$A770,AD770,""))</f>
        <v>Faceoff_AfterStoppage</v>
      </c>
      <c r="AE771" t="str">
        <f t="shared" ref="AE771:AE834" si="264">IF(S771&lt;&gt;"",S771,IF($A771=$A770,AE770,""))</f>
        <v/>
      </c>
      <c r="AF771" t="str">
        <f t="shared" ref="AF771:AF834" si="265">IF(AND(P771="e",OR(AC771="Save",AD771="Turnover_Takeaway",AD771="Play_Defensive")),"Defensive",IF(AND(P771="o",OR(AC771="Save",AD771="Turnover_Takeaway",AD771="Play_Defensive")),"Offensive",IF(OR(AC771="Deadice",AC771="Stoppage",AC771="Intermission"),"",IF(P771="e","Offensive",IF(P771="o","Defensive","")))))</f>
        <v>Offensive</v>
      </c>
      <c r="AG771">
        <f t="shared" si="250"/>
        <v>18981</v>
      </c>
      <c r="AH771" t="str">
        <f t="shared" si="251"/>
        <v>Nelson</v>
      </c>
      <c r="AI771" t="str">
        <f t="shared" si="252"/>
        <v>Velodrome</v>
      </c>
      <c r="AJ771" s="18">
        <f t="shared" ref="AJ771:AJ834" si="266">IF(AND(L771="",M771=""),0,((J771*60)+K771)-((L771*60)+M771))</f>
        <v>0</v>
      </c>
      <c r="AP771" s="18">
        <f t="shared" ref="AP771:AP834" si="267">SUMIFS(AJ771:AJ771,Q771:Q771,"=Intermission")</f>
        <v>0</v>
      </c>
      <c r="AQ771">
        <f t="shared" ref="AQ771:AQ834" si="268">IF(E771=1,0,IF(E771=2,1080+AP771,IF(E771=3,(1080*2)+AP771,0)))</f>
        <v>0</v>
      </c>
      <c r="AR771" s="23">
        <f t="shared" ref="AR771:AR834" si="269">IF(Q771="Intermission",AR770,((1080)-((J771*60)+K771))+AQ771)</f>
        <v>985</v>
      </c>
      <c r="AS771">
        <f t="shared" si="253"/>
        <v>980</v>
      </c>
      <c r="AT771" s="21">
        <f t="shared" si="254"/>
        <v>985</v>
      </c>
      <c r="AU771" s="21"/>
      <c r="AV771" s="21"/>
      <c r="AW771" s="21"/>
    </row>
    <row r="772" spans="1:49" x14ac:dyDescent="0.2">
      <c r="A772">
        <v>410</v>
      </c>
      <c r="E772">
        <f t="shared" ref="E772:E835" si="270">IF(Q772="Intermission",E771+1,E771)</f>
        <v>1</v>
      </c>
      <c r="J772" t="str">
        <f t="shared" si="256"/>
        <v>1</v>
      </c>
      <c r="K772" t="str">
        <f t="shared" si="257"/>
        <v>35</v>
      </c>
      <c r="L772" t="str">
        <f t="shared" si="258"/>
        <v/>
      </c>
      <c r="M772" s="6" t="str">
        <f t="shared" si="259"/>
        <v/>
      </c>
      <c r="N772" t="str">
        <f t="shared" si="255"/>
        <v>Home</v>
      </c>
      <c r="O772">
        <v>42</v>
      </c>
      <c r="P772" t="s">
        <v>425</v>
      </c>
      <c r="Y772" t="str">
        <f t="shared" si="260"/>
        <v/>
      </c>
      <c r="Z772" t="str">
        <f t="shared" si="261"/>
        <v/>
      </c>
      <c r="AC772" t="str">
        <f t="shared" si="262"/>
        <v>Faceoff</v>
      </c>
      <c r="AD772" t="str">
        <f t="shared" si="263"/>
        <v>Faceoff_AfterStoppage</v>
      </c>
      <c r="AE772" t="str">
        <f t="shared" si="264"/>
        <v/>
      </c>
      <c r="AF772" t="str">
        <f t="shared" si="265"/>
        <v>Defensive</v>
      </c>
      <c r="AG772">
        <f t="shared" ref="AG772:AG835" si="271">AG771</f>
        <v>18981</v>
      </c>
      <c r="AH772" t="str">
        <f t="shared" ref="AH772:AH835" si="272">AH771</f>
        <v>Nelson</v>
      </c>
      <c r="AI772" t="str">
        <f t="shared" ref="AI772:AI835" si="273">AI771</f>
        <v>Velodrome</v>
      </c>
      <c r="AJ772" s="18">
        <f t="shared" si="266"/>
        <v>0</v>
      </c>
      <c r="AP772" s="18">
        <f t="shared" si="267"/>
        <v>0</v>
      </c>
      <c r="AQ772">
        <f t="shared" si="268"/>
        <v>0</v>
      </c>
      <c r="AR772" s="23">
        <f t="shared" si="269"/>
        <v>985</v>
      </c>
      <c r="AS772">
        <f t="shared" ref="AS772:AS835" si="274">IF(AR772&lt;5,0,AR772-5)</f>
        <v>980</v>
      </c>
      <c r="AT772" s="21">
        <f t="shared" ref="AT772:AT835" si="275">AS772+AJ772+5</f>
        <v>985</v>
      </c>
      <c r="AU772" s="21"/>
      <c r="AV772" s="21"/>
      <c r="AW772" s="21"/>
    </row>
    <row r="773" spans="1:49" x14ac:dyDescent="0.2">
      <c r="A773">
        <v>411</v>
      </c>
      <c r="E773">
        <f t="shared" si="270"/>
        <v>1</v>
      </c>
      <c r="F773" s="5" t="s">
        <v>543</v>
      </c>
      <c r="G773" s="5" t="s">
        <v>503</v>
      </c>
      <c r="H773" s="5" t="s">
        <v>543</v>
      </c>
      <c r="I773" s="7" t="s">
        <v>499</v>
      </c>
      <c r="J773" t="str">
        <f t="shared" si="256"/>
        <v>1</v>
      </c>
      <c r="K773" t="str">
        <f t="shared" si="257"/>
        <v>31</v>
      </c>
      <c r="L773" t="str">
        <f t="shared" si="258"/>
        <v>1</v>
      </c>
      <c r="M773" s="6" t="str">
        <f t="shared" si="259"/>
        <v>27</v>
      </c>
      <c r="N773" t="s">
        <v>178</v>
      </c>
      <c r="O773">
        <v>37</v>
      </c>
      <c r="P773" t="s">
        <v>424</v>
      </c>
      <c r="Q773" t="s">
        <v>15</v>
      </c>
      <c r="Y773" t="str">
        <f t="shared" si="260"/>
        <v/>
      </c>
      <c r="Z773" t="str">
        <f t="shared" si="261"/>
        <v/>
      </c>
      <c r="AC773" t="str">
        <f t="shared" si="262"/>
        <v>Possession</v>
      </c>
      <c r="AD773" t="str">
        <f t="shared" si="263"/>
        <v/>
      </c>
      <c r="AE773" t="str">
        <f t="shared" si="264"/>
        <v/>
      </c>
      <c r="AF773" t="str">
        <f t="shared" si="265"/>
        <v>Offensive</v>
      </c>
      <c r="AG773">
        <f t="shared" si="271"/>
        <v>18981</v>
      </c>
      <c r="AH773" t="str">
        <f t="shared" si="272"/>
        <v>Nelson</v>
      </c>
      <c r="AI773" t="str">
        <f t="shared" si="273"/>
        <v>Velodrome</v>
      </c>
      <c r="AJ773" s="18">
        <f t="shared" si="266"/>
        <v>4</v>
      </c>
      <c r="AP773" s="18">
        <f t="shared" si="267"/>
        <v>0</v>
      </c>
      <c r="AQ773">
        <f t="shared" si="268"/>
        <v>0</v>
      </c>
      <c r="AR773" s="23">
        <f t="shared" si="269"/>
        <v>989</v>
      </c>
      <c r="AS773">
        <f t="shared" si="274"/>
        <v>984</v>
      </c>
      <c r="AT773" s="21">
        <f t="shared" si="275"/>
        <v>993</v>
      </c>
      <c r="AU773" s="21"/>
      <c r="AV773" s="21"/>
      <c r="AW773" s="21"/>
    </row>
    <row r="774" spans="1:49" x14ac:dyDescent="0.2">
      <c r="A774">
        <v>411</v>
      </c>
      <c r="E774">
        <f t="shared" si="270"/>
        <v>1</v>
      </c>
      <c r="J774" t="str">
        <f t="shared" si="256"/>
        <v>1</v>
      </c>
      <c r="K774" t="str">
        <f t="shared" si="257"/>
        <v>31</v>
      </c>
      <c r="L774" t="str">
        <f t="shared" si="258"/>
        <v>1</v>
      </c>
      <c r="M774" s="6" t="str">
        <f t="shared" si="259"/>
        <v>27</v>
      </c>
      <c r="N774" t="str">
        <f t="shared" ref="N774:N837" si="276">IF(A774=A773,N773,"")</f>
        <v>Home</v>
      </c>
      <c r="O774">
        <v>24</v>
      </c>
      <c r="P774" t="s">
        <v>425</v>
      </c>
      <c r="Y774" t="str">
        <f t="shared" si="260"/>
        <v/>
      </c>
      <c r="Z774" t="str">
        <f t="shared" si="261"/>
        <v/>
      </c>
      <c r="AC774" t="str">
        <f t="shared" si="262"/>
        <v>Possession</v>
      </c>
      <c r="AD774" t="str">
        <f t="shared" si="263"/>
        <v/>
      </c>
      <c r="AE774" t="str">
        <f t="shared" si="264"/>
        <v/>
      </c>
      <c r="AF774" t="str">
        <f t="shared" si="265"/>
        <v>Defensive</v>
      </c>
      <c r="AG774">
        <f t="shared" si="271"/>
        <v>18981</v>
      </c>
      <c r="AH774" t="str">
        <f t="shared" si="272"/>
        <v>Nelson</v>
      </c>
      <c r="AI774" t="str">
        <f t="shared" si="273"/>
        <v>Velodrome</v>
      </c>
      <c r="AJ774" s="18">
        <f t="shared" si="266"/>
        <v>4</v>
      </c>
      <c r="AP774" s="18">
        <f t="shared" si="267"/>
        <v>0</v>
      </c>
      <c r="AQ774">
        <f t="shared" si="268"/>
        <v>0</v>
      </c>
      <c r="AR774" s="23">
        <f t="shared" si="269"/>
        <v>989</v>
      </c>
      <c r="AS774">
        <f t="shared" si="274"/>
        <v>984</v>
      </c>
      <c r="AT774" s="21">
        <f t="shared" si="275"/>
        <v>993</v>
      </c>
      <c r="AU774" s="21"/>
      <c r="AV774" s="21"/>
      <c r="AW774" s="21"/>
    </row>
    <row r="775" spans="1:49" x14ac:dyDescent="0.2">
      <c r="A775">
        <v>412</v>
      </c>
      <c r="E775">
        <f t="shared" si="270"/>
        <v>1</v>
      </c>
      <c r="F775" s="5" t="s">
        <v>543</v>
      </c>
      <c r="G775" s="5" t="s">
        <v>499</v>
      </c>
      <c r="J775" t="str">
        <f t="shared" si="256"/>
        <v>1</v>
      </c>
      <c r="K775" t="str">
        <f t="shared" si="257"/>
        <v>27</v>
      </c>
      <c r="L775" t="str">
        <f t="shared" si="258"/>
        <v/>
      </c>
      <c r="M775" s="6" t="str">
        <f t="shared" si="259"/>
        <v/>
      </c>
      <c r="N775" t="s">
        <v>178</v>
      </c>
      <c r="O775">
        <v>37</v>
      </c>
      <c r="P775" t="s">
        <v>424</v>
      </c>
      <c r="Q775" t="s">
        <v>8</v>
      </c>
      <c r="R775" t="s">
        <v>189</v>
      </c>
      <c r="S775" t="s">
        <v>68</v>
      </c>
      <c r="Y775" t="str">
        <f t="shared" si="260"/>
        <v/>
      </c>
      <c r="Z775" t="str">
        <f t="shared" si="261"/>
        <v/>
      </c>
      <c r="AC775" t="str">
        <f t="shared" si="262"/>
        <v>Pass</v>
      </c>
      <c r="AD775" t="str">
        <f t="shared" si="263"/>
        <v>Pass_Completed</v>
      </c>
      <c r="AE775" t="str">
        <f t="shared" si="264"/>
        <v>Pass-Rim/Wrap</v>
      </c>
      <c r="AF775" t="str">
        <f t="shared" si="265"/>
        <v>Offensive</v>
      </c>
      <c r="AG775">
        <f t="shared" si="271"/>
        <v>18981</v>
      </c>
      <c r="AH775" t="str">
        <f t="shared" si="272"/>
        <v>Nelson</v>
      </c>
      <c r="AI775" t="str">
        <f t="shared" si="273"/>
        <v>Velodrome</v>
      </c>
      <c r="AJ775" s="18">
        <f t="shared" si="266"/>
        <v>0</v>
      </c>
      <c r="AP775" s="18">
        <f t="shared" si="267"/>
        <v>0</v>
      </c>
      <c r="AQ775">
        <f t="shared" si="268"/>
        <v>0</v>
      </c>
      <c r="AR775" s="23">
        <f t="shared" si="269"/>
        <v>993</v>
      </c>
      <c r="AS775">
        <f t="shared" si="274"/>
        <v>988</v>
      </c>
      <c r="AT775" s="21">
        <f t="shared" si="275"/>
        <v>993</v>
      </c>
      <c r="AU775" s="21"/>
      <c r="AV775" s="21"/>
      <c r="AW775" s="21"/>
    </row>
    <row r="776" spans="1:49" x14ac:dyDescent="0.2">
      <c r="A776">
        <v>412</v>
      </c>
      <c r="E776">
        <f t="shared" si="270"/>
        <v>1</v>
      </c>
      <c r="J776" t="str">
        <f t="shared" si="256"/>
        <v>1</v>
      </c>
      <c r="K776" t="str">
        <f t="shared" si="257"/>
        <v>27</v>
      </c>
      <c r="L776" t="str">
        <f t="shared" si="258"/>
        <v/>
      </c>
      <c r="M776" s="6" t="str">
        <f t="shared" si="259"/>
        <v/>
      </c>
      <c r="N776" t="str">
        <f t="shared" si="276"/>
        <v>Home</v>
      </c>
      <c r="O776">
        <v>16</v>
      </c>
      <c r="P776" t="s">
        <v>424</v>
      </c>
      <c r="Y776" t="str">
        <f t="shared" si="260"/>
        <v/>
      </c>
      <c r="Z776" t="str">
        <f t="shared" si="261"/>
        <v/>
      </c>
      <c r="AC776" t="str">
        <f t="shared" si="262"/>
        <v>Pass</v>
      </c>
      <c r="AD776" t="str">
        <f t="shared" si="263"/>
        <v>Pass_Completed</v>
      </c>
      <c r="AE776" t="str">
        <f t="shared" si="264"/>
        <v>Pass-Rim/Wrap</v>
      </c>
      <c r="AF776" t="str">
        <f t="shared" si="265"/>
        <v>Offensive</v>
      </c>
      <c r="AG776">
        <f t="shared" si="271"/>
        <v>18981</v>
      </c>
      <c r="AH776" t="str">
        <f t="shared" si="272"/>
        <v>Nelson</v>
      </c>
      <c r="AI776" t="str">
        <f t="shared" si="273"/>
        <v>Velodrome</v>
      </c>
      <c r="AJ776" s="18">
        <f t="shared" si="266"/>
        <v>0</v>
      </c>
      <c r="AP776" s="18">
        <f t="shared" si="267"/>
        <v>0</v>
      </c>
      <c r="AQ776">
        <f t="shared" si="268"/>
        <v>0</v>
      </c>
      <c r="AR776" s="23">
        <f t="shared" si="269"/>
        <v>993</v>
      </c>
      <c r="AS776">
        <f t="shared" si="274"/>
        <v>988</v>
      </c>
      <c r="AT776" s="21">
        <f t="shared" si="275"/>
        <v>993</v>
      </c>
      <c r="AU776" s="21"/>
      <c r="AV776" s="21"/>
      <c r="AW776" s="21"/>
    </row>
    <row r="777" spans="1:49" x14ac:dyDescent="0.2">
      <c r="A777">
        <v>413</v>
      </c>
      <c r="E777">
        <f t="shared" si="270"/>
        <v>1</v>
      </c>
      <c r="F777" s="5" t="s">
        <v>543</v>
      </c>
      <c r="G777" s="5" t="s">
        <v>499</v>
      </c>
      <c r="J777" t="str">
        <f t="shared" ref="J777:J840" si="277">IF(F777&lt;&gt;"",F777,IF($A777=$A776,J776,J777))</f>
        <v>1</v>
      </c>
      <c r="K777" t="str">
        <f t="shared" ref="K777:K840" si="278">IF($A777=$A776,K776,G777)</f>
        <v>27</v>
      </c>
      <c r="L777" t="str">
        <f t="shared" ref="L777:L840" si="279">IF(H777&lt;&gt;"",H777,IF($A777=$A776,L776,""))</f>
        <v/>
      </c>
      <c r="M777" s="6" t="str">
        <f t="shared" ref="M777:M840" si="280">IF(I777&lt;&gt;"",I777,IF($A777=$A776,M776,""))</f>
        <v/>
      </c>
      <c r="N777" t="s">
        <v>178</v>
      </c>
      <c r="O777">
        <v>16</v>
      </c>
      <c r="P777" t="s">
        <v>424</v>
      </c>
      <c r="Q777" t="s">
        <v>10</v>
      </c>
      <c r="R777" t="s">
        <v>190</v>
      </c>
      <c r="S777" t="s">
        <v>73</v>
      </c>
      <c r="Y777" t="str">
        <f t="shared" si="260"/>
        <v/>
      </c>
      <c r="Z777" t="str">
        <f t="shared" si="261"/>
        <v/>
      </c>
      <c r="AC777" t="str">
        <f t="shared" si="262"/>
        <v>Turnover</v>
      </c>
      <c r="AD777" t="str">
        <f t="shared" si="263"/>
        <v>Turnover_Giveaway</v>
      </c>
      <c r="AE777" t="str">
        <f t="shared" si="264"/>
        <v>Giveaway-Misplayed</v>
      </c>
      <c r="AF777" t="str">
        <f t="shared" si="265"/>
        <v>Offensive</v>
      </c>
      <c r="AG777">
        <f t="shared" si="271"/>
        <v>18981</v>
      </c>
      <c r="AH777" t="str">
        <f t="shared" si="272"/>
        <v>Nelson</v>
      </c>
      <c r="AI777" t="str">
        <f t="shared" si="273"/>
        <v>Velodrome</v>
      </c>
      <c r="AJ777" s="18">
        <f t="shared" si="266"/>
        <v>0</v>
      </c>
      <c r="AP777" s="18">
        <f t="shared" si="267"/>
        <v>0</v>
      </c>
      <c r="AQ777">
        <f t="shared" si="268"/>
        <v>0</v>
      </c>
      <c r="AR777" s="23">
        <f t="shared" si="269"/>
        <v>993</v>
      </c>
      <c r="AS777">
        <f t="shared" si="274"/>
        <v>988</v>
      </c>
      <c r="AT777" s="21">
        <f t="shared" si="275"/>
        <v>993</v>
      </c>
      <c r="AU777" s="21"/>
      <c r="AV777" s="21"/>
      <c r="AW777" s="21"/>
    </row>
    <row r="778" spans="1:49" x14ac:dyDescent="0.2">
      <c r="A778">
        <v>414</v>
      </c>
      <c r="E778">
        <f t="shared" si="270"/>
        <v>1</v>
      </c>
      <c r="F778" s="5" t="s">
        <v>543</v>
      </c>
      <c r="G778" s="5" t="s">
        <v>499</v>
      </c>
      <c r="J778" t="str">
        <f t="shared" si="277"/>
        <v>1</v>
      </c>
      <c r="K778" t="str">
        <f t="shared" si="278"/>
        <v>27</v>
      </c>
      <c r="L778" t="str">
        <f t="shared" si="279"/>
        <v/>
      </c>
      <c r="M778" s="6" t="str">
        <f t="shared" si="280"/>
        <v/>
      </c>
      <c r="N778" t="s">
        <v>179</v>
      </c>
      <c r="O778">
        <v>91</v>
      </c>
      <c r="P778" t="s">
        <v>424</v>
      </c>
      <c r="Q778" t="s">
        <v>277</v>
      </c>
      <c r="R778" t="s">
        <v>210</v>
      </c>
      <c r="S778" t="s">
        <v>93</v>
      </c>
      <c r="Y778" t="str">
        <f t="shared" si="260"/>
        <v/>
      </c>
      <c r="Z778" t="str">
        <f t="shared" si="261"/>
        <v/>
      </c>
      <c r="AC778" t="str">
        <f t="shared" si="262"/>
        <v>Zone_Entry_Exit</v>
      </c>
      <c r="AD778" t="str">
        <f t="shared" si="263"/>
        <v>Zone_Keepin</v>
      </c>
      <c r="AE778" t="str">
        <f t="shared" si="264"/>
        <v>Zone-KeepIn</v>
      </c>
      <c r="AF778" t="str">
        <f t="shared" si="265"/>
        <v>Offensive</v>
      </c>
      <c r="AG778">
        <f t="shared" si="271"/>
        <v>18981</v>
      </c>
      <c r="AH778" t="str">
        <f t="shared" si="272"/>
        <v>Nelson</v>
      </c>
      <c r="AI778" t="str">
        <f t="shared" si="273"/>
        <v>Velodrome</v>
      </c>
      <c r="AJ778" s="18">
        <f t="shared" si="266"/>
        <v>0</v>
      </c>
      <c r="AP778" s="18">
        <f t="shared" si="267"/>
        <v>0</v>
      </c>
      <c r="AQ778">
        <f t="shared" si="268"/>
        <v>0</v>
      </c>
      <c r="AR778" s="23">
        <f t="shared" si="269"/>
        <v>993</v>
      </c>
      <c r="AS778">
        <f t="shared" si="274"/>
        <v>988</v>
      </c>
      <c r="AT778" s="21">
        <f t="shared" si="275"/>
        <v>993</v>
      </c>
      <c r="AU778" s="21"/>
      <c r="AV778" s="21"/>
      <c r="AW778" s="21"/>
    </row>
    <row r="779" spans="1:49" x14ac:dyDescent="0.2">
      <c r="A779">
        <v>415</v>
      </c>
      <c r="E779">
        <f t="shared" si="270"/>
        <v>1</v>
      </c>
      <c r="F779" s="5" t="s">
        <v>543</v>
      </c>
      <c r="G779" s="5" t="s">
        <v>498</v>
      </c>
      <c r="H779" s="5" t="s">
        <v>543</v>
      </c>
      <c r="I779" s="7" t="s">
        <v>495</v>
      </c>
      <c r="J779" t="str">
        <f t="shared" si="277"/>
        <v>1</v>
      </c>
      <c r="K779" t="str">
        <f t="shared" si="278"/>
        <v>26</v>
      </c>
      <c r="L779" t="str">
        <f t="shared" si="279"/>
        <v>1</v>
      </c>
      <c r="M779" s="6" t="str">
        <f t="shared" si="280"/>
        <v>23</v>
      </c>
      <c r="N779" t="s">
        <v>179</v>
      </c>
      <c r="O779">
        <v>91</v>
      </c>
      <c r="P779" t="s">
        <v>424</v>
      </c>
      <c r="Q779" t="s">
        <v>15</v>
      </c>
      <c r="Y779" t="str">
        <f t="shared" si="260"/>
        <v/>
      </c>
      <c r="Z779" t="str">
        <f t="shared" si="261"/>
        <v/>
      </c>
      <c r="AC779" t="str">
        <f t="shared" si="262"/>
        <v>Possession</v>
      </c>
      <c r="AD779" t="str">
        <f t="shared" si="263"/>
        <v/>
      </c>
      <c r="AE779" t="str">
        <f t="shared" si="264"/>
        <v/>
      </c>
      <c r="AF779" t="str">
        <f t="shared" si="265"/>
        <v>Offensive</v>
      </c>
      <c r="AG779">
        <f t="shared" si="271"/>
        <v>18981</v>
      </c>
      <c r="AH779" t="str">
        <f t="shared" si="272"/>
        <v>Nelson</v>
      </c>
      <c r="AI779" t="str">
        <f t="shared" si="273"/>
        <v>Velodrome</v>
      </c>
      <c r="AJ779" s="18">
        <f t="shared" si="266"/>
        <v>3</v>
      </c>
      <c r="AP779" s="18">
        <f t="shared" si="267"/>
        <v>0</v>
      </c>
      <c r="AQ779">
        <f t="shared" si="268"/>
        <v>0</v>
      </c>
      <c r="AR779" s="23">
        <f t="shared" si="269"/>
        <v>994</v>
      </c>
      <c r="AS779">
        <f t="shared" si="274"/>
        <v>989</v>
      </c>
      <c r="AT779" s="21">
        <f t="shared" si="275"/>
        <v>997</v>
      </c>
      <c r="AU779" s="21"/>
      <c r="AV779" s="21"/>
      <c r="AW779" s="21"/>
    </row>
    <row r="780" spans="1:49" x14ac:dyDescent="0.2">
      <c r="A780">
        <v>416</v>
      </c>
      <c r="E780">
        <f t="shared" si="270"/>
        <v>1</v>
      </c>
      <c r="F780" s="5" t="s">
        <v>543</v>
      </c>
      <c r="G780" s="5" t="s">
        <v>495</v>
      </c>
      <c r="J780" t="str">
        <f t="shared" si="277"/>
        <v>1</v>
      </c>
      <c r="K780" t="str">
        <f t="shared" si="278"/>
        <v>23</v>
      </c>
      <c r="L780" t="str">
        <f t="shared" si="279"/>
        <v/>
      </c>
      <c r="M780" s="6" t="str">
        <f t="shared" si="280"/>
        <v/>
      </c>
      <c r="N780" t="s">
        <v>179</v>
      </c>
      <c r="O780">
        <v>91</v>
      </c>
      <c r="P780" t="s">
        <v>424</v>
      </c>
      <c r="Q780" t="s">
        <v>8</v>
      </c>
      <c r="R780" t="s">
        <v>199</v>
      </c>
      <c r="S780" t="s">
        <v>70</v>
      </c>
      <c r="Y780" t="str">
        <f t="shared" si="260"/>
        <v/>
      </c>
      <c r="Z780" t="str">
        <f t="shared" si="261"/>
        <v/>
      </c>
      <c r="AC780" t="str">
        <f t="shared" si="262"/>
        <v>Pass</v>
      </c>
      <c r="AD780" t="str">
        <f t="shared" si="263"/>
        <v>Pass_Missed</v>
      </c>
      <c r="AE780" t="str">
        <f t="shared" si="264"/>
        <v>Pass-Forehand</v>
      </c>
      <c r="AF780" t="str">
        <f t="shared" si="265"/>
        <v>Offensive</v>
      </c>
      <c r="AG780">
        <f t="shared" si="271"/>
        <v>18981</v>
      </c>
      <c r="AH780" t="str">
        <f t="shared" si="272"/>
        <v>Nelson</v>
      </c>
      <c r="AI780" t="str">
        <f t="shared" si="273"/>
        <v>Velodrome</v>
      </c>
      <c r="AJ780" s="18">
        <f t="shared" si="266"/>
        <v>0</v>
      </c>
      <c r="AP780" s="18">
        <f t="shared" si="267"/>
        <v>0</v>
      </c>
      <c r="AQ780">
        <f t="shared" si="268"/>
        <v>0</v>
      </c>
      <c r="AR780" s="23">
        <f t="shared" si="269"/>
        <v>997</v>
      </c>
      <c r="AS780">
        <f t="shared" si="274"/>
        <v>992</v>
      </c>
      <c r="AT780" s="21">
        <f t="shared" si="275"/>
        <v>997</v>
      </c>
      <c r="AU780" s="21"/>
      <c r="AV780" s="21"/>
      <c r="AW780" s="21"/>
    </row>
    <row r="781" spans="1:49" x14ac:dyDescent="0.2">
      <c r="A781">
        <v>416</v>
      </c>
      <c r="E781">
        <f t="shared" si="270"/>
        <v>1</v>
      </c>
      <c r="J781" t="str">
        <f t="shared" si="277"/>
        <v>1</v>
      </c>
      <c r="K781" t="str">
        <f t="shared" si="278"/>
        <v>23</v>
      </c>
      <c r="L781" t="str">
        <f t="shared" si="279"/>
        <v/>
      </c>
      <c r="M781" s="6" t="str">
        <f t="shared" si="280"/>
        <v/>
      </c>
      <c r="N781" t="str">
        <f t="shared" si="276"/>
        <v>Away</v>
      </c>
      <c r="O781">
        <v>24</v>
      </c>
      <c r="P781" t="s">
        <v>424</v>
      </c>
      <c r="Y781" t="str">
        <f t="shared" si="260"/>
        <v/>
      </c>
      <c r="Z781" t="str">
        <f t="shared" si="261"/>
        <v/>
      </c>
      <c r="AC781" t="str">
        <f t="shared" si="262"/>
        <v>Pass</v>
      </c>
      <c r="AD781" t="str">
        <f t="shared" si="263"/>
        <v>Pass_Missed</v>
      </c>
      <c r="AE781" t="str">
        <f t="shared" si="264"/>
        <v>Pass-Forehand</v>
      </c>
      <c r="AF781" t="str">
        <f t="shared" si="265"/>
        <v>Offensive</v>
      </c>
      <c r="AG781">
        <f t="shared" si="271"/>
        <v>18981</v>
      </c>
      <c r="AH781" t="str">
        <f t="shared" si="272"/>
        <v>Nelson</v>
      </c>
      <c r="AI781" t="str">
        <f t="shared" si="273"/>
        <v>Velodrome</v>
      </c>
      <c r="AJ781" s="18">
        <f t="shared" si="266"/>
        <v>0</v>
      </c>
      <c r="AP781" s="18">
        <f t="shared" si="267"/>
        <v>0</v>
      </c>
      <c r="AQ781">
        <f t="shared" si="268"/>
        <v>0</v>
      </c>
      <c r="AR781" s="23">
        <f t="shared" si="269"/>
        <v>997</v>
      </c>
      <c r="AS781">
        <f t="shared" si="274"/>
        <v>992</v>
      </c>
      <c r="AT781" s="21">
        <f t="shared" si="275"/>
        <v>997</v>
      </c>
      <c r="AU781" s="21"/>
      <c r="AV781" s="21"/>
      <c r="AW781" s="21"/>
    </row>
    <row r="782" spans="1:49" x14ac:dyDescent="0.2">
      <c r="A782">
        <v>416</v>
      </c>
      <c r="E782">
        <f t="shared" si="270"/>
        <v>1</v>
      </c>
      <c r="J782" t="str">
        <f t="shared" si="277"/>
        <v>1</v>
      </c>
      <c r="K782" t="str">
        <f t="shared" si="278"/>
        <v>23</v>
      </c>
      <c r="L782" t="str">
        <f t="shared" si="279"/>
        <v/>
      </c>
      <c r="M782" s="6" t="str">
        <f t="shared" si="280"/>
        <v/>
      </c>
      <c r="N782" t="str">
        <f t="shared" si="276"/>
        <v>Away</v>
      </c>
      <c r="O782">
        <v>37</v>
      </c>
      <c r="P782" t="s">
        <v>425</v>
      </c>
      <c r="Y782" t="str">
        <f t="shared" si="260"/>
        <v/>
      </c>
      <c r="Z782" t="str">
        <f t="shared" si="261"/>
        <v/>
      </c>
      <c r="AC782" t="str">
        <f t="shared" si="262"/>
        <v>Pass</v>
      </c>
      <c r="AD782" t="str">
        <f t="shared" si="263"/>
        <v>Pass_Missed</v>
      </c>
      <c r="AE782" t="str">
        <f t="shared" si="264"/>
        <v>Pass-Forehand</v>
      </c>
      <c r="AF782" t="str">
        <f t="shared" si="265"/>
        <v>Defensive</v>
      </c>
      <c r="AG782">
        <f t="shared" si="271"/>
        <v>18981</v>
      </c>
      <c r="AH782" t="str">
        <f t="shared" si="272"/>
        <v>Nelson</v>
      </c>
      <c r="AI782" t="str">
        <f t="shared" si="273"/>
        <v>Velodrome</v>
      </c>
      <c r="AJ782" s="18">
        <f t="shared" si="266"/>
        <v>0</v>
      </c>
      <c r="AP782" s="18">
        <f t="shared" si="267"/>
        <v>0</v>
      </c>
      <c r="AQ782">
        <f t="shared" si="268"/>
        <v>0</v>
      </c>
      <c r="AR782" s="23">
        <f t="shared" si="269"/>
        <v>997</v>
      </c>
      <c r="AS782">
        <f t="shared" si="274"/>
        <v>992</v>
      </c>
      <c r="AT782" s="21">
        <f t="shared" si="275"/>
        <v>997</v>
      </c>
      <c r="AU782" s="21"/>
      <c r="AV782" s="21"/>
      <c r="AW782" s="21"/>
    </row>
    <row r="783" spans="1:49" x14ac:dyDescent="0.2">
      <c r="A783">
        <v>416</v>
      </c>
      <c r="E783">
        <f t="shared" si="270"/>
        <v>1</v>
      </c>
      <c r="J783" t="str">
        <f t="shared" si="277"/>
        <v>1</v>
      </c>
      <c r="K783" t="str">
        <f t="shared" si="278"/>
        <v>23</v>
      </c>
      <c r="L783" t="str">
        <f t="shared" si="279"/>
        <v/>
      </c>
      <c r="M783" s="6" t="str">
        <f t="shared" si="280"/>
        <v/>
      </c>
      <c r="N783" t="str">
        <f t="shared" si="276"/>
        <v>Away</v>
      </c>
      <c r="O783">
        <v>23</v>
      </c>
      <c r="P783" t="s">
        <v>425</v>
      </c>
      <c r="Y783" t="str">
        <f t="shared" si="260"/>
        <v/>
      </c>
      <c r="Z783" t="str">
        <f t="shared" si="261"/>
        <v/>
      </c>
      <c r="AC783" t="str">
        <f t="shared" si="262"/>
        <v>Pass</v>
      </c>
      <c r="AD783" t="str">
        <f t="shared" si="263"/>
        <v>Pass_Missed</v>
      </c>
      <c r="AE783" t="str">
        <f t="shared" si="264"/>
        <v>Pass-Forehand</v>
      </c>
      <c r="AF783" t="str">
        <f t="shared" si="265"/>
        <v>Defensive</v>
      </c>
      <c r="AG783">
        <f t="shared" si="271"/>
        <v>18981</v>
      </c>
      <c r="AH783" t="str">
        <f t="shared" si="272"/>
        <v>Nelson</v>
      </c>
      <c r="AI783" t="str">
        <f t="shared" si="273"/>
        <v>Velodrome</v>
      </c>
      <c r="AJ783" s="18">
        <f t="shared" si="266"/>
        <v>0</v>
      </c>
      <c r="AP783" s="18">
        <f t="shared" si="267"/>
        <v>0</v>
      </c>
      <c r="AQ783">
        <f t="shared" si="268"/>
        <v>0</v>
      </c>
      <c r="AR783" s="23">
        <f t="shared" si="269"/>
        <v>997</v>
      </c>
      <c r="AS783">
        <f t="shared" si="274"/>
        <v>992</v>
      </c>
      <c r="AT783" s="21">
        <f t="shared" si="275"/>
        <v>997</v>
      </c>
      <c r="AU783" s="21"/>
      <c r="AV783" s="21"/>
      <c r="AW783" s="21"/>
    </row>
    <row r="784" spans="1:49" x14ac:dyDescent="0.2">
      <c r="A784">
        <v>417</v>
      </c>
      <c r="E784">
        <f t="shared" si="270"/>
        <v>1</v>
      </c>
      <c r="F784" s="5" t="s">
        <v>543</v>
      </c>
      <c r="G784" s="5" t="s">
        <v>492</v>
      </c>
      <c r="H784" s="5" t="s">
        <v>543</v>
      </c>
      <c r="I784" s="7" t="s">
        <v>490</v>
      </c>
      <c r="J784" t="str">
        <f t="shared" si="277"/>
        <v>1</v>
      </c>
      <c r="K784" t="str">
        <f t="shared" si="278"/>
        <v>20</v>
      </c>
      <c r="L784" t="str">
        <f t="shared" si="279"/>
        <v>1</v>
      </c>
      <c r="M784" s="6" t="str">
        <f t="shared" si="280"/>
        <v>18</v>
      </c>
      <c r="N784" t="s">
        <v>179</v>
      </c>
      <c r="O784">
        <v>42</v>
      </c>
      <c r="P784" t="s">
        <v>424</v>
      </c>
      <c r="Q784" t="s">
        <v>15</v>
      </c>
      <c r="Y784" t="str">
        <f t="shared" si="260"/>
        <v/>
      </c>
      <c r="Z784" t="str">
        <f t="shared" si="261"/>
        <v/>
      </c>
      <c r="AC784" t="str">
        <f t="shared" si="262"/>
        <v>Possession</v>
      </c>
      <c r="AD784" t="str">
        <f t="shared" si="263"/>
        <v/>
      </c>
      <c r="AE784" t="str">
        <f t="shared" si="264"/>
        <v/>
      </c>
      <c r="AF784" t="str">
        <f t="shared" si="265"/>
        <v>Offensive</v>
      </c>
      <c r="AG784">
        <f t="shared" si="271"/>
        <v>18981</v>
      </c>
      <c r="AH784" t="str">
        <f t="shared" si="272"/>
        <v>Nelson</v>
      </c>
      <c r="AI784" t="str">
        <f t="shared" si="273"/>
        <v>Velodrome</v>
      </c>
      <c r="AJ784" s="18">
        <f t="shared" si="266"/>
        <v>2</v>
      </c>
      <c r="AP784" s="18">
        <f t="shared" si="267"/>
        <v>0</v>
      </c>
      <c r="AQ784">
        <f t="shared" si="268"/>
        <v>0</v>
      </c>
      <c r="AR784" s="23">
        <f t="shared" si="269"/>
        <v>1000</v>
      </c>
      <c r="AS784">
        <f t="shared" si="274"/>
        <v>995</v>
      </c>
      <c r="AT784" s="21">
        <f t="shared" si="275"/>
        <v>1002</v>
      </c>
      <c r="AU784" s="21"/>
      <c r="AV784" s="21"/>
      <c r="AW784" s="21"/>
    </row>
    <row r="785" spans="1:49" x14ac:dyDescent="0.2">
      <c r="A785">
        <v>418</v>
      </c>
      <c r="E785">
        <f t="shared" si="270"/>
        <v>1</v>
      </c>
      <c r="F785" s="5" t="s">
        <v>543</v>
      </c>
      <c r="G785" s="5" t="s">
        <v>490</v>
      </c>
      <c r="J785" t="str">
        <f t="shared" si="277"/>
        <v>1</v>
      </c>
      <c r="K785" t="str">
        <f t="shared" si="278"/>
        <v>18</v>
      </c>
      <c r="L785" t="str">
        <f t="shared" si="279"/>
        <v/>
      </c>
      <c r="M785" s="6" t="str">
        <f t="shared" si="280"/>
        <v/>
      </c>
      <c r="N785" t="s">
        <v>179</v>
      </c>
      <c r="O785">
        <v>42</v>
      </c>
      <c r="P785" t="s">
        <v>424</v>
      </c>
      <c r="Q785" t="s">
        <v>8</v>
      </c>
      <c r="R785" t="s">
        <v>189</v>
      </c>
      <c r="S785" t="s">
        <v>70</v>
      </c>
      <c r="Y785" t="str">
        <f t="shared" si="260"/>
        <v/>
      </c>
      <c r="Z785" t="str">
        <f t="shared" si="261"/>
        <v/>
      </c>
      <c r="AC785" t="str">
        <f t="shared" si="262"/>
        <v>Pass</v>
      </c>
      <c r="AD785" t="str">
        <f t="shared" si="263"/>
        <v>Pass_Completed</v>
      </c>
      <c r="AE785" t="str">
        <f t="shared" si="264"/>
        <v>Pass-Forehand</v>
      </c>
      <c r="AF785" t="str">
        <f t="shared" si="265"/>
        <v>Offensive</v>
      </c>
      <c r="AG785">
        <f t="shared" si="271"/>
        <v>18981</v>
      </c>
      <c r="AH785" t="str">
        <f t="shared" si="272"/>
        <v>Nelson</v>
      </c>
      <c r="AI785" t="str">
        <f t="shared" si="273"/>
        <v>Velodrome</v>
      </c>
      <c r="AJ785" s="18">
        <f t="shared" si="266"/>
        <v>0</v>
      </c>
      <c r="AP785" s="18">
        <f t="shared" si="267"/>
        <v>0</v>
      </c>
      <c r="AQ785">
        <f t="shared" si="268"/>
        <v>0</v>
      </c>
      <c r="AR785" s="23">
        <f t="shared" si="269"/>
        <v>1002</v>
      </c>
      <c r="AS785">
        <f t="shared" si="274"/>
        <v>997</v>
      </c>
      <c r="AT785" s="21">
        <f t="shared" si="275"/>
        <v>1002</v>
      </c>
      <c r="AU785" s="21"/>
      <c r="AV785" s="21"/>
      <c r="AW785" s="21"/>
    </row>
    <row r="786" spans="1:49" x14ac:dyDescent="0.2">
      <c r="A786">
        <v>418</v>
      </c>
      <c r="E786">
        <f t="shared" si="270"/>
        <v>1</v>
      </c>
      <c r="J786" t="str">
        <f t="shared" si="277"/>
        <v>1</v>
      </c>
      <c r="K786" t="str">
        <f t="shared" si="278"/>
        <v>18</v>
      </c>
      <c r="L786" t="str">
        <f t="shared" si="279"/>
        <v/>
      </c>
      <c r="M786" s="6" t="str">
        <f t="shared" si="280"/>
        <v/>
      </c>
      <c r="N786" t="str">
        <f t="shared" si="276"/>
        <v>Away</v>
      </c>
      <c r="O786">
        <v>91</v>
      </c>
      <c r="P786" t="s">
        <v>424</v>
      </c>
      <c r="Y786" t="str">
        <f t="shared" si="260"/>
        <v/>
      </c>
      <c r="Z786" t="str">
        <f t="shared" si="261"/>
        <v/>
      </c>
      <c r="AC786" t="str">
        <f t="shared" si="262"/>
        <v>Pass</v>
      </c>
      <c r="AD786" t="str">
        <f t="shared" si="263"/>
        <v>Pass_Completed</v>
      </c>
      <c r="AE786" t="str">
        <f t="shared" si="264"/>
        <v>Pass-Forehand</v>
      </c>
      <c r="AF786" t="str">
        <f t="shared" si="265"/>
        <v>Offensive</v>
      </c>
      <c r="AG786">
        <f t="shared" si="271"/>
        <v>18981</v>
      </c>
      <c r="AH786" t="str">
        <f t="shared" si="272"/>
        <v>Nelson</v>
      </c>
      <c r="AI786" t="str">
        <f t="shared" si="273"/>
        <v>Velodrome</v>
      </c>
      <c r="AJ786" s="18">
        <f t="shared" si="266"/>
        <v>0</v>
      </c>
      <c r="AP786" s="18">
        <f t="shared" si="267"/>
        <v>0</v>
      </c>
      <c r="AQ786">
        <f t="shared" si="268"/>
        <v>0</v>
      </c>
      <c r="AR786" s="23">
        <f t="shared" si="269"/>
        <v>1002</v>
      </c>
      <c r="AS786">
        <f t="shared" si="274"/>
        <v>997</v>
      </c>
      <c r="AT786" s="21">
        <f t="shared" si="275"/>
        <v>1002</v>
      </c>
      <c r="AU786" s="21"/>
      <c r="AV786" s="21"/>
      <c r="AW786" s="21"/>
    </row>
    <row r="787" spans="1:49" x14ac:dyDescent="0.2">
      <c r="A787">
        <v>419</v>
      </c>
      <c r="E787">
        <f t="shared" si="270"/>
        <v>1</v>
      </c>
      <c r="F787" s="5" t="s">
        <v>543</v>
      </c>
      <c r="G787" s="5" t="s">
        <v>472</v>
      </c>
      <c r="J787" t="str">
        <f t="shared" si="277"/>
        <v>1</v>
      </c>
      <c r="K787" t="str">
        <f t="shared" si="278"/>
        <v>17</v>
      </c>
      <c r="L787" t="str">
        <f t="shared" si="279"/>
        <v/>
      </c>
      <c r="M787" s="6" t="str">
        <f t="shared" si="280"/>
        <v/>
      </c>
      <c r="N787" t="s">
        <v>179</v>
      </c>
      <c r="O787">
        <v>91</v>
      </c>
      <c r="P787" t="s">
        <v>424</v>
      </c>
      <c r="Q787" t="s">
        <v>10</v>
      </c>
      <c r="R787" t="s">
        <v>190</v>
      </c>
      <c r="S787" t="s">
        <v>73</v>
      </c>
      <c r="Y787" t="str">
        <f t="shared" si="260"/>
        <v/>
      </c>
      <c r="Z787" t="str">
        <f t="shared" si="261"/>
        <v/>
      </c>
      <c r="AC787" t="str">
        <f t="shared" si="262"/>
        <v>Turnover</v>
      </c>
      <c r="AD787" t="str">
        <f t="shared" si="263"/>
        <v>Turnover_Giveaway</v>
      </c>
      <c r="AE787" t="str">
        <f t="shared" si="264"/>
        <v>Giveaway-Misplayed</v>
      </c>
      <c r="AF787" t="str">
        <f t="shared" si="265"/>
        <v>Offensive</v>
      </c>
      <c r="AG787">
        <f t="shared" si="271"/>
        <v>18981</v>
      </c>
      <c r="AH787" t="str">
        <f t="shared" si="272"/>
        <v>Nelson</v>
      </c>
      <c r="AI787" t="str">
        <f t="shared" si="273"/>
        <v>Velodrome</v>
      </c>
      <c r="AJ787" s="18">
        <f t="shared" si="266"/>
        <v>0</v>
      </c>
      <c r="AP787" s="18">
        <f t="shared" si="267"/>
        <v>0</v>
      </c>
      <c r="AQ787">
        <f t="shared" si="268"/>
        <v>0</v>
      </c>
      <c r="AR787" s="23">
        <f t="shared" si="269"/>
        <v>1003</v>
      </c>
      <c r="AS787">
        <f t="shared" si="274"/>
        <v>998</v>
      </c>
      <c r="AT787" s="21">
        <f t="shared" si="275"/>
        <v>1003</v>
      </c>
      <c r="AU787" s="21"/>
      <c r="AV787" s="21"/>
      <c r="AW787" s="21"/>
    </row>
    <row r="788" spans="1:49" x14ac:dyDescent="0.2">
      <c r="A788">
        <v>420</v>
      </c>
      <c r="E788">
        <f t="shared" si="270"/>
        <v>1</v>
      </c>
      <c r="F788" s="5" t="s">
        <v>543</v>
      </c>
      <c r="G788" s="5" t="s">
        <v>478</v>
      </c>
      <c r="H788" s="5" t="s">
        <v>543</v>
      </c>
      <c r="I788" s="7" t="s">
        <v>484</v>
      </c>
      <c r="J788" t="str">
        <f t="shared" si="277"/>
        <v>1</v>
      </c>
      <c r="K788" t="str">
        <f t="shared" si="278"/>
        <v>15</v>
      </c>
      <c r="L788" t="str">
        <f t="shared" si="279"/>
        <v>1</v>
      </c>
      <c r="M788" s="6" t="str">
        <f t="shared" si="280"/>
        <v>09</v>
      </c>
      <c r="N788" t="s">
        <v>178</v>
      </c>
      <c r="O788">
        <v>37</v>
      </c>
      <c r="P788" t="s">
        <v>424</v>
      </c>
      <c r="Q788" t="s">
        <v>15</v>
      </c>
      <c r="Y788" t="str">
        <f t="shared" si="260"/>
        <v/>
      </c>
      <c r="Z788" t="str">
        <f t="shared" si="261"/>
        <v/>
      </c>
      <c r="AC788" t="str">
        <f t="shared" si="262"/>
        <v>Possession</v>
      </c>
      <c r="AD788" t="str">
        <f t="shared" si="263"/>
        <v/>
      </c>
      <c r="AE788" t="str">
        <f t="shared" si="264"/>
        <v/>
      </c>
      <c r="AF788" t="str">
        <f t="shared" si="265"/>
        <v>Offensive</v>
      </c>
      <c r="AG788">
        <f t="shared" si="271"/>
        <v>18981</v>
      </c>
      <c r="AH788" t="str">
        <f t="shared" si="272"/>
        <v>Nelson</v>
      </c>
      <c r="AI788" t="str">
        <f t="shared" si="273"/>
        <v>Velodrome</v>
      </c>
      <c r="AJ788" s="18">
        <f t="shared" si="266"/>
        <v>6</v>
      </c>
      <c r="AP788" s="18">
        <f t="shared" si="267"/>
        <v>0</v>
      </c>
      <c r="AQ788">
        <f t="shared" si="268"/>
        <v>0</v>
      </c>
      <c r="AR788" s="23">
        <f t="shared" si="269"/>
        <v>1005</v>
      </c>
      <c r="AS788">
        <f t="shared" si="274"/>
        <v>1000</v>
      </c>
      <c r="AT788" s="21">
        <f t="shared" si="275"/>
        <v>1011</v>
      </c>
      <c r="AU788" s="21"/>
      <c r="AV788" s="21"/>
      <c r="AW788" s="21"/>
    </row>
    <row r="789" spans="1:49" x14ac:dyDescent="0.2">
      <c r="A789">
        <v>420</v>
      </c>
      <c r="E789">
        <f t="shared" si="270"/>
        <v>1</v>
      </c>
      <c r="J789" t="str">
        <f t="shared" si="277"/>
        <v>1</v>
      </c>
      <c r="K789" t="str">
        <f t="shared" si="278"/>
        <v>15</v>
      </c>
      <c r="L789" t="str">
        <f t="shared" si="279"/>
        <v>1</v>
      </c>
      <c r="M789" s="6" t="str">
        <f t="shared" si="280"/>
        <v>09</v>
      </c>
      <c r="N789" t="str">
        <f t="shared" si="276"/>
        <v>Home</v>
      </c>
      <c r="O789">
        <v>42</v>
      </c>
      <c r="P789" t="s">
        <v>425</v>
      </c>
      <c r="Y789" t="str">
        <f t="shared" si="260"/>
        <v/>
      </c>
      <c r="Z789" t="str">
        <f t="shared" si="261"/>
        <v/>
      </c>
      <c r="AC789" t="str">
        <f t="shared" si="262"/>
        <v>Possession</v>
      </c>
      <c r="AD789" t="str">
        <f t="shared" si="263"/>
        <v/>
      </c>
      <c r="AE789" t="str">
        <f t="shared" si="264"/>
        <v/>
      </c>
      <c r="AF789" t="str">
        <f t="shared" si="265"/>
        <v>Defensive</v>
      </c>
      <c r="AG789">
        <f t="shared" si="271"/>
        <v>18981</v>
      </c>
      <c r="AH789" t="str">
        <f t="shared" si="272"/>
        <v>Nelson</v>
      </c>
      <c r="AI789" t="str">
        <f t="shared" si="273"/>
        <v>Velodrome</v>
      </c>
      <c r="AJ789" s="18">
        <f t="shared" si="266"/>
        <v>6</v>
      </c>
      <c r="AP789" s="18">
        <f t="shared" si="267"/>
        <v>0</v>
      </c>
      <c r="AQ789">
        <f t="shared" si="268"/>
        <v>0</v>
      </c>
      <c r="AR789" s="23">
        <f t="shared" si="269"/>
        <v>1005</v>
      </c>
      <c r="AS789">
        <f t="shared" si="274"/>
        <v>1000</v>
      </c>
      <c r="AT789" s="21">
        <f t="shared" si="275"/>
        <v>1011</v>
      </c>
      <c r="AU789" s="21"/>
      <c r="AV789" s="21"/>
      <c r="AW789" s="21"/>
    </row>
    <row r="790" spans="1:49" x14ac:dyDescent="0.2">
      <c r="A790">
        <v>421</v>
      </c>
      <c r="E790">
        <f t="shared" si="270"/>
        <v>1</v>
      </c>
      <c r="F790" s="5" t="s">
        <v>543</v>
      </c>
      <c r="G790" s="5" t="s">
        <v>484</v>
      </c>
      <c r="H790" s="5" t="s">
        <v>543</v>
      </c>
      <c r="I790" s="7" t="s">
        <v>481</v>
      </c>
      <c r="J790" t="str">
        <f t="shared" si="277"/>
        <v>1</v>
      </c>
      <c r="K790" t="str">
        <f t="shared" si="278"/>
        <v>09</v>
      </c>
      <c r="L790" t="str">
        <f t="shared" si="279"/>
        <v>1</v>
      </c>
      <c r="M790" s="6" t="str">
        <f t="shared" si="280"/>
        <v>05</v>
      </c>
      <c r="N790" t="s">
        <v>178</v>
      </c>
      <c r="O790">
        <v>37</v>
      </c>
      <c r="P790" t="s">
        <v>424</v>
      </c>
      <c r="Q790" t="s">
        <v>277</v>
      </c>
      <c r="R790" t="s">
        <v>201</v>
      </c>
      <c r="S790" t="s">
        <v>90</v>
      </c>
      <c r="Y790" t="str">
        <f t="shared" si="260"/>
        <v/>
      </c>
      <c r="Z790" t="str">
        <f t="shared" si="261"/>
        <v/>
      </c>
      <c r="AC790" t="str">
        <f t="shared" si="262"/>
        <v>Zone_Entry_Exit</v>
      </c>
      <c r="AD790" t="str">
        <f t="shared" si="263"/>
        <v>Zone_Exit</v>
      </c>
      <c r="AE790" t="str">
        <f t="shared" si="264"/>
        <v>ZoneExit-Rush</v>
      </c>
      <c r="AF790" t="str">
        <f t="shared" si="265"/>
        <v>Offensive</v>
      </c>
      <c r="AG790">
        <f t="shared" si="271"/>
        <v>18981</v>
      </c>
      <c r="AH790" t="str">
        <f t="shared" si="272"/>
        <v>Nelson</v>
      </c>
      <c r="AI790" t="str">
        <f t="shared" si="273"/>
        <v>Velodrome</v>
      </c>
      <c r="AJ790" s="18">
        <f t="shared" si="266"/>
        <v>4</v>
      </c>
      <c r="AP790" s="18">
        <f t="shared" si="267"/>
        <v>0</v>
      </c>
      <c r="AQ790">
        <f t="shared" si="268"/>
        <v>0</v>
      </c>
      <c r="AR790" s="23">
        <f t="shared" si="269"/>
        <v>1011</v>
      </c>
      <c r="AS790">
        <f t="shared" si="274"/>
        <v>1006</v>
      </c>
      <c r="AT790" s="21">
        <f t="shared" si="275"/>
        <v>1015</v>
      </c>
      <c r="AU790" s="21"/>
      <c r="AV790" s="21"/>
      <c r="AW790" s="21"/>
    </row>
    <row r="791" spans="1:49" x14ac:dyDescent="0.2">
      <c r="A791">
        <v>422</v>
      </c>
      <c r="E791">
        <f t="shared" si="270"/>
        <v>1</v>
      </c>
      <c r="F791" s="5" t="s">
        <v>543</v>
      </c>
      <c r="G791" s="5" t="s">
        <v>481</v>
      </c>
      <c r="H791" s="5" t="s">
        <v>543</v>
      </c>
      <c r="I791" s="7" t="s">
        <v>473</v>
      </c>
      <c r="J791" t="str">
        <f t="shared" si="277"/>
        <v>1</v>
      </c>
      <c r="K791" t="str">
        <f t="shared" si="278"/>
        <v>05</v>
      </c>
      <c r="L791" t="str">
        <f t="shared" si="279"/>
        <v>1</v>
      </c>
      <c r="M791" s="6" t="str">
        <f t="shared" si="280"/>
        <v>03</v>
      </c>
      <c r="N791" t="s">
        <v>178</v>
      </c>
      <c r="O791">
        <v>37</v>
      </c>
      <c r="P791" t="s">
        <v>424</v>
      </c>
      <c r="Q791" t="s">
        <v>15</v>
      </c>
      <c r="Y791" t="str">
        <f t="shared" si="260"/>
        <v/>
      </c>
      <c r="Z791" t="str">
        <f t="shared" si="261"/>
        <v/>
      </c>
      <c r="AC791" t="str">
        <f t="shared" si="262"/>
        <v>Possession</v>
      </c>
      <c r="AD791" t="str">
        <f t="shared" si="263"/>
        <v/>
      </c>
      <c r="AE791" t="str">
        <f t="shared" si="264"/>
        <v/>
      </c>
      <c r="AF791" t="str">
        <f t="shared" si="265"/>
        <v>Offensive</v>
      </c>
      <c r="AG791">
        <f t="shared" si="271"/>
        <v>18981</v>
      </c>
      <c r="AH791" t="str">
        <f t="shared" si="272"/>
        <v>Nelson</v>
      </c>
      <c r="AI791" t="str">
        <f t="shared" si="273"/>
        <v>Velodrome</v>
      </c>
      <c r="AJ791" s="18">
        <f t="shared" si="266"/>
        <v>2</v>
      </c>
      <c r="AP791" s="18">
        <f t="shared" si="267"/>
        <v>0</v>
      </c>
      <c r="AQ791">
        <f t="shared" si="268"/>
        <v>0</v>
      </c>
      <c r="AR791" s="23">
        <f t="shared" si="269"/>
        <v>1015</v>
      </c>
      <c r="AS791">
        <f t="shared" si="274"/>
        <v>1010</v>
      </c>
      <c r="AT791" s="21">
        <f t="shared" si="275"/>
        <v>1017</v>
      </c>
      <c r="AU791" s="21"/>
      <c r="AV791" s="21"/>
      <c r="AW791" s="21"/>
    </row>
    <row r="792" spans="1:49" x14ac:dyDescent="0.2">
      <c r="A792">
        <v>423</v>
      </c>
      <c r="E792">
        <f t="shared" si="270"/>
        <v>1</v>
      </c>
      <c r="F792" s="5" t="s">
        <v>543</v>
      </c>
      <c r="G792" s="5" t="s">
        <v>473</v>
      </c>
      <c r="H792" s="5" t="s">
        <v>543</v>
      </c>
      <c r="I792" s="7" t="s">
        <v>471</v>
      </c>
      <c r="J792" t="str">
        <f t="shared" si="277"/>
        <v>1</v>
      </c>
      <c r="K792" t="str">
        <f t="shared" si="278"/>
        <v>03</v>
      </c>
      <c r="L792" t="str">
        <f t="shared" si="279"/>
        <v>1</v>
      </c>
      <c r="M792" s="6" t="str">
        <f t="shared" si="280"/>
        <v>01</v>
      </c>
      <c r="N792" t="s">
        <v>178</v>
      </c>
      <c r="O792">
        <v>37</v>
      </c>
      <c r="P792" t="s">
        <v>424</v>
      </c>
      <c r="Q792" t="s">
        <v>277</v>
      </c>
      <c r="R792" t="s">
        <v>191</v>
      </c>
      <c r="S792" t="s">
        <v>87</v>
      </c>
      <c r="Y792" t="str">
        <f t="shared" si="260"/>
        <v/>
      </c>
      <c r="Z792" t="str">
        <f t="shared" si="261"/>
        <v/>
      </c>
      <c r="AC792" t="str">
        <f t="shared" si="262"/>
        <v>Zone_Entry_Exit</v>
      </c>
      <c r="AD792" t="str">
        <f t="shared" si="263"/>
        <v>Zone_Entry</v>
      </c>
      <c r="AE792" t="str">
        <f t="shared" si="264"/>
        <v>ZoneEntry-Rush</v>
      </c>
      <c r="AF792" t="str">
        <f t="shared" si="265"/>
        <v>Offensive</v>
      </c>
      <c r="AG792">
        <f t="shared" si="271"/>
        <v>18981</v>
      </c>
      <c r="AH792" t="str">
        <f t="shared" si="272"/>
        <v>Nelson</v>
      </c>
      <c r="AI792" t="str">
        <f t="shared" si="273"/>
        <v>Velodrome</v>
      </c>
      <c r="AJ792" s="18">
        <f t="shared" si="266"/>
        <v>2</v>
      </c>
      <c r="AP792" s="18">
        <f t="shared" si="267"/>
        <v>0</v>
      </c>
      <c r="AQ792">
        <f t="shared" si="268"/>
        <v>0</v>
      </c>
      <c r="AR792" s="23">
        <f t="shared" si="269"/>
        <v>1017</v>
      </c>
      <c r="AS792">
        <f t="shared" si="274"/>
        <v>1012</v>
      </c>
      <c r="AT792" s="21">
        <f t="shared" si="275"/>
        <v>1019</v>
      </c>
      <c r="AU792" s="21"/>
      <c r="AV792" s="21"/>
      <c r="AW792" s="21"/>
    </row>
    <row r="793" spans="1:49" x14ac:dyDescent="0.2">
      <c r="A793">
        <v>423</v>
      </c>
      <c r="E793">
        <f t="shared" si="270"/>
        <v>1</v>
      </c>
      <c r="J793" t="str">
        <f t="shared" si="277"/>
        <v>1</v>
      </c>
      <c r="K793" t="str">
        <f t="shared" si="278"/>
        <v>03</v>
      </c>
      <c r="L793" t="str">
        <f t="shared" si="279"/>
        <v>1</v>
      </c>
      <c r="M793" s="6" t="str">
        <f t="shared" si="280"/>
        <v>01</v>
      </c>
      <c r="N793" t="str">
        <f t="shared" si="276"/>
        <v>Home</v>
      </c>
      <c r="O793">
        <v>16</v>
      </c>
      <c r="P793" t="s">
        <v>424</v>
      </c>
      <c r="Y793" t="str">
        <f t="shared" si="260"/>
        <v/>
      </c>
      <c r="Z793" t="str">
        <f t="shared" si="261"/>
        <v/>
      </c>
      <c r="AC793" t="str">
        <f t="shared" si="262"/>
        <v>Zone_Entry_Exit</v>
      </c>
      <c r="AD793" t="str">
        <f t="shared" si="263"/>
        <v>Zone_Entry</v>
      </c>
      <c r="AE793" t="str">
        <f t="shared" si="264"/>
        <v>ZoneEntry-Rush</v>
      </c>
      <c r="AF793" t="str">
        <f t="shared" si="265"/>
        <v>Offensive</v>
      </c>
      <c r="AG793">
        <f t="shared" si="271"/>
        <v>18981</v>
      </c>
      <c r="AH793" t="str">
        <f t="shared" si="272"/>
        <v>Nelson</v>
      </c>
      <c r="AI793" t="str">
        <f t="shared" si="273"/>
        <v>Velodrome</v>
      </c>
      <c r="AJ793" s="18">
        <f t="shared" si="266"/>
        <v>2</v>
      </c>
      <c r="AP793" s="18">
        <f t="shared" si="267"/>
        <v>0</v>
      </c>
      <c r="AQ793">
        <f t="shared" si="268"/>
        <v>0</v>
      </c>
      <c r="AR793" s="23">
        <f t="shared" si="269"/>
        <v>1017</v>
      </c>
      <c r="AS793">
        <f t="shared" si="274"/>
        <v>1012</v>
      </c>
      <c r="AT793" s="21">
        <f t="shared" si="275"/>
        <v>1019</v>
      </c>
      <c r="AU793" s="21"/>
      <c r="AV793" s="21"/>
      <c r="AW793" s="21"/>
    </row>
    <row r="794" spans="1:49" x14ac:dyDescent="0.2">
      <c r="A794">
        <v>423</v>
      </c>
      <c r="E794">
        <f t="shared" si="270"/>
        <v>1</v>
      </c>
      <c r="J794" t="str">
        <f t="shared" si="277"/>
        <v>1</v>
      </c>
      <c r="K794" t="str">
        <f t="shared" si="278"/>
        <v>03</v>
      </c>
      <c r="L794" t="str">
        <f t="shared" si="279"/>
        <v>1</v>
      </c>
      <c r="M794" s="6" t="str">
        <f t="shared" si="280"/>
        <v>01</v>
      </c>
      <c r="N794" t="str">
        <f t="shared" si="276"/>
        <v>Home</v>
      </c>
      <c r="O794">
        <v>9</v>
      </c>
      <c r="P794" t="s">
        <v>425</v>
      </c>
      <c r="Y794" t="str">
        <f t="shared" si="260"/>
        <v/>
      </c>
      <c r="Z794" t="str">
        <f t="shared" si="261"/>
        <v/>
      </c>
      <c r="AC794" t="str">
        <f t="shared" si="262"/>
        <v>Zone_Entry_Exit</v>
      </c>
      <c r="AD794" t="str">
        <f t="shared" si="263"/>
        <v>Zone_Entry</v>
      </c>
      <c r="AE794" t="str">
        <f t="shared" si="264"/>
        <v>ZoneEntry-Rush</v>
      </c>
      <c r="AF794" t="str">
        <f t="shared" si="265"/>
        <v>Defensive</v>
      </c>
      <c r="AG794">
        <f t="shared" si="271"/>
        <v>18981</v>
      </c>
      <c r="AH794" t="str">
        <f t="shared" si="272"/>
        <v>Nelson</v>
      </c>
      <c r="AI794" t="str">
        <f t="shared" si="273"/>
        <v>Velodrome</v>
      </c>
      <c r="AJ794" s="18">
        <f t="shared" si="266"/>
        <v>2</v>
      </c>
      <c r="AP794" s="18">
        <f t="shared" si="267"/>
        <v>0</v>
      </c>
      <c r="AQ794">
        <f t="shared" si="268"/>
        <v>0</v>
      </c>
      <c r="AR794" s="23">
        <f t="shared" si="269"/>
        <v>1017</v>
      </c>
      <c r="AS794">
        <f t="shared" si="274"/>
        <v>1012</v>
      </c>
      <c r="AT794" s="21">
        <f t="shared" si="275"/>
        <v>1019</v>
      </c>
      <c r="AU794" s="21"/>
      <c r="AV794" s="21"/>
      <c r="AW794" s="21"/>
    </row>
    <row r="795" spans="1:49" x14ac:dyDescent="0.2">
      <c r="A795">
        <v>423</v>
      </c>
      <c r="E795">
        <f t="shared" si="270"/>
        <v>1</v>
      </c>
      <c r="J795" t="str">
        <f t="shared" si="277"/>
        <v>1</v>
      </c>
      <c r="K795" t="str">
        <f t="shared" si="278"/>
        <v>03</v>
      </c>
      <c r="L795" t="str">
        <f t="shared" si="279"/>
        <v>1</v>
      </c>
      <c r="M795" s="6" t="str">
        <f t="shared" si="280"/>
        <v>01</v>
      </c>
      <c r="N795" t="str">
        <f t="shared" si="276"/>
        <v>Home</v>
      </c>
      <c r="O795">
        <v>91</v>
      </c>
      <c r="P795" t="s">
        <v>425</v>
      </c>
      <c r="Y795" t="str">
        <f t="shared" si="260"/>
        <v/>
      </c>
      <c r="Z795" t="str">
        <f t="shared" si="261"/>
        <v/>
      </c>
      <c r="AC795" t="str">
        <f t="shared" si="262"/>
        <v>Zone_Entry_Exit</v>
      </c>
      <c r="AD795" t="str">
        <f t="shared" si="263"/>
        <v>Zone_Entry</v>
      </c>
      <c r="AE795" t="str">
        <f t="shared" si="264"/>
        <v>ZoneEntry-Rush</v>
      </c>
      <c r="AF795" t="str">
        <f t="shared" si="265"/>
        <v>Defensive</v>
      </c>
      <c r="AG795">
        <f t="shared" si="271"/>
        <v>18981</v>
      </c>
      <c r="AH795" t="str">
        <f t="shared" si="272"/>
        <v>Nelson</v>
      </c>
      <c r="AI795" t="str">
        <f t="shared" si="273"/>
        <v>Velodrome</v>
      </c>
      <c r="AJ795" s="18">
        <f t="shared" si="266"/>
        <v>2</v>
      </c>
      <c r="AP795" s="18">
        <f t="shared" si="267"/>
        <v>0</v>
      </c>
      <c r="AQ795">
        <f t="shared" si="268"/>
        <v>0</v>
      </c>
      <c r="AR795" s="23">
        <f t="shared" si="269"/>
        <v>1017</v>
      </c>
      <c r="AS795">
        <f t="shared" si="274"/>
        <v>1012</v>
      </c>
      <c r="AT795" s="21">
        <f t="shared" si="275"/>
        <v>1019</v>
      </c>
      <c r="AU795" s="21"/>
      <c r="AV795" s="21"/>
      <c r="AW795" s="21"/>
    </row>
    <row r="796" spans="1:49" x14ac:dyDescent="0.2">
      <c r="A796">
        <v>423</v>
      </c>
      <c r="E796">
        <f t="shared" si="270"/>
        <v>1</v>
      </c>
      <c r="J796" t="str">
        <f t="shared" si="277"/>
        <v>1</v>
      </c>
      <c r="K796" t="str">
        <f t="shared" si="278"/>
        <v>03</v>
      </c>
      <c r="L796" t="str">
        <f t="shared" si="279"/>
        <v>1</v>
      </c>
      <c r="M796" s="6" t="str">
        <f t="shared" si="280"/>
        <v>01</v>
      </c>
      <c r="N796" t="str">
        <f t="shared" si="276"/>
        <v>Home</v>
      </c>
      <c r="O796">
        <v>84</v>
      </c>
      <c r="P796" t="s">
        <v>425</v>
      </c>
      <c r="Y796" t="str">
        <f t="shared" si="260"/>
        <v/>
      </c>
      <c r="Z796" t="str">
        <f t="shared" si="261"/>
        <v/>
      </c>
      <c r="AC796" t="str">
        <f t="shared" si="262"/>
        <v>Zone_Entry_Exit</v>
      </c>
      <c r="AD796" t="str">
        <f t="shared" si="263"/>
        <v>Zone_Entry</v>
      </c>
      <c r="AE796" t="str">
        <f t="shared" si="264"/>
        <v>ZoneEntry-Rush</v>
      </c>
      <c r="AF796" t="str">
        <f t="shared" si="265"/>
        <v>Defensive</v>
      </c>
      <c r="AG796">
        <f t="shared" si="271"/>
        <v>18981</v>
      </c>
      <c r="AH796" t="str">
        <f t="shared" si="272"/>
        <v>Nelson</v>
      </c>
      <c r="AI796" t="str">
        <f t="shared" si="273"/>
        <v>Velodrome</v>
      </c>
      <c r="AJ796" s="18">
        <f t="shared" si="266"/>
        <v>2</v>
      </c>
      <c r="AP796" s="18">
        <f t="shared" si="267"/>
        <v>0</v>
      </c>
      <c r="AQ796">
        <f t="shared" si="268"/>
        <v>0</v>
      </c>
      <c r="AR796" s="23">
        <f t="shared" si="269"/>
        <v>1017</v>
      </c>
      <c r="AS796">
        <f t="shared" si="274"/>
        <v>1012</v>
      </c>
      <c r="AT796" s="21">
        <f t="shared" si="275"/>
        <v>1019</v>
      </c>
      <c r="AU796" s="21"/>
      <c r="AV796" s="21"/>
      <c r="AW796" s="21"/>
    </row>
    <row r="797" spans="1:49" x14ac:dyDescent="0.2">
      <c r="A797">
        <v>424</v>
      </c>
      <c r="E797">
        <f t="shared" si="270"/>
        <v>1</v>
      </c>
      <c r="F797" s="5" t="s">
        <v>543</v>
      </c>
      <c r="G797" s="5" t="s">
        <v>471</v>
      </c>
      <c r="J797" t="str">
        <f t="shared" si="277"/>
        <v>1</v>
      </c>
      <c r="K797" t="str">
        <f t="shared" si="278"/>
        <v>01</v>
      </c>
      <c r="L797" t="str">
        <f t="shared" si="279"/>
        <v/>
      </c>
      <c r="M797" s="6" t="str">
        <f t="shared" si="280"/>
        <v/>
      </c>
      <c r="N797" t="s">
        <v>179</v>
      </c>
      <c r="O797">
        <v>9</v>
      </c>
      <c r="P797" t="s">
        <v>424</v>
      </c>
      <c r="Q797" t="s">
        <v>12</v>
      </c>
      <c r="R797" t="s">
        <v>192</v>
      </c>
      <c r="S797" t="s">
        <v>141</v>
      </c>
      <c r="Y797" t="str">
        <f t="shared" si="260"/>
        <v/>
      </c>
      <c r="Z797" t="str">
        <f t="shared" si="261"/>
        <v/>
      </c>
      <c r="AC797" t="str">
        <f t="shared" si="262"/>
        <v>Penalty</v>
      </c>
      <c r="AD797" t="str">
        <f t="shared" si="263"/>
        <v>Penalty_Minor</v>
      </c>
      <c r="AE797" t="str">
        <f t="shared" si="264"/>
        <v>Penalty-Tripping</v>
      </c>
      <c r="AF797" t="str">
        <f t="shared" si="265"/>
        <v>Offensive</v>
      </c>
      <c r="AG797">
        <f t="shared" si="271"/>
        <v>18981</v>
      </c>
      <c r="AH797" t="str">
        <f t="shared" si="272"/>
        <v>Nelson</v>
      </c>
      <c r="AI797" t="str">
        <f t="shared" si="273"/>
        <v>Velodrome</v>
      </c>
      <c r="AJ797" s="18">
        <f t="shared" si="266"/>
        <v>0</v>
      </c>
      <c r="AP797" s="18">
        <f t="shared" si="267"/>
        <v>0</v>
      </c>
      <c r="AQ797">
        <f t="shared" si="268"/>
        <v>0</v>
      </c>
      <c r="AR797" s="23">
        <f t="shared" si="269"/>
        <v>1019</v>
      </c>
      <c r="AS797">
        <f t="shared" si="274"/>
        <v>1014</v>
      </c>
      <c r="AT797" s="21">
        <f t="shared" si="275"/>
        <v>1019</v>
      </c>
      <c r="AU797" s="21"/>
      <c r="AV797" s="21"/>
      <c r="AW797" s="21"/>
    </row>
    <row r="798" spans="1:49" x14ac:dyDescent="0.2">
      <c r="A798">
        <v>424</v>
      </c>
      <c r="E798">
        <f t="shared" si="270"/>
        <v>1</v>
      </c>
      <c r="J798" t="str">
        <f t="shared" si="277"/>
        <v>1</v>
      </c>
      <c r="K798" t="str">
        <f t="shared" si="278"/>
        <v>01</v>
      </c>
      <c r="L798" t="str">
        <f t="shared" si="279"/>
        <v/>
      </c>
      <c r="M798" s="6" t="str">
        <f t="shared" si="280"/>
        <v/>
      </c>
      <c r="N798" t="str">
        <f t="shared" si="276"/>
        <v>Away</v>
      </c>
      <c r="O798">
        <v>37</v>
      </c>
      <c r="P798" t="s">
        <v>425</v>
      </c>
      <c r="Y798" t="str">
        <f t="shared" si="260"/>
        <v/>
      </c>
      <c r="Z798" t="str">
        <f t="shared" si="261"/>
        <v/>
      </c>
      <c r="AC798" t="str">
        <f t="shared" si="262"/>
        <v>Penalty</v>
      </c>
      <c r="AD798" t="str">
        <f t="shared" si="263"/>
        <v>Penalty_Minor</v>
      </c>
      <c r="AE798" t="str">
        <f t="shared" si="264"/>
        <v>Penalty-Tripping</v>
      </c>
      <c r="AF798" t="str">
        <f t="shared" si="265"/>
        <v>Defensive</v>
      </c>
      <c r="AG798">
        <f t="shared" si="271"/>
        <v>18981</v>
      </c>
      <c r="AH798" t="str">
        <f t="shared" si="272"/>
        <v>Nelson</v>
      </c>
      <c r="AI798" t="str">
        <f t="shared" si="273"/>
        <v>Velodrome</v>
      </c>
      <c r="AJ798" s="18">
        <f t="shared" si="266"/>
        <v>0</v>
      </c>
      <c r="AP798" s="18">
        <f t="shared" si="267"/>
        <v>0</v>
      </c>
      <c r="AQ798">
        <f t="shared" si="268"/>
        <v>0</v>
      </c>
      <c r="AR798" s="23">
        <f t="shared" si="269"/>
        <v>1019</v>
      </c>
      <c r="AS798">
        <f t="shared" si="274"/>
        <v>1014</v>
      </c>
      <c r="AT798" s="21">
        <f t="shared" si="275"/>
        <v>1019</v>
      </c>
      <c r="AU798" s="21"/>
      <c r="AV798" s="21"/>
      <c r="AW798" s="21"/>
    </row>
    <row r="799" spans="1:49" x14ac:dyDescent="0.2">
      <c r="A799">
        <v>425</v>
      </c>
      <c r="E799">
        <f t="shared" si="270"/>
        <v>1</v>
      </c>
      <c r="F799" s="5" t="s">
        <v>532</v>
      </c>
      <c r="G799" s="5" t="s">
        <v>529</v>
      </c>
      <c r="J799" t="str">
        <f t="shared" si="277"/>
        <v>0</v>
      </c>
      <c r="K799" t="str">
        <f t="shared" si="278"/>
        <v>57</v>
      </c>
      <c r="L799" t="str">
        <f t="shared" si="279"/>
        <v/>
      </c>
      <c r="M799" s="6" t="str">
        <f t="shared" si="280"/>
        <v/>
      </c>
      <c r="N799" t="s">
        <v>179</v>
      </c>
      <c r="O799">
        <v>9</v>
      </c>
      <c r="P799" t="s">
        <v>424</v>
      </c>
      <c r="Q799" t="s">
        <v>13</v>
      </c>
      <c r="R799" t="s">
        <v>204</v>
      </c>
      <c r="S799" t="s">
        <v>43</v>
      </c>
      <c r="Y799" t="str">
        <f t="shared" si="260"/>
        <v/>
      </c>
      <c r="Z799" t="str">
        <f t="shared" si="261"/>
        <v/>
      </c>
      <c r="AC799" t="str">
        <f t="shared" si="262"/>
        <v>Stoppage</v>
      </c>
      <c r="AD799" t="str">
        <f t="shared" si="263"/>
        <v>Stoppage_Play</v>
      </c>
      <c r="AE799" t="str">
        <f t="shared" si="264"/>
        <v>Stoppage-Penalty</v>
      </c>
      <c r="AF799" t="str">
        <f t="shared" si="265"/>
        <v/>
      </c>
      <c r="AG799">
        <f t="shared" si="271"/>
        <v>18981</v>
      </c>
      <c r="AH799" t="str">
        <f t="shared" si="272"/>
        <v>Nelson</v>
      </c>
      <c r="AI799" t="str">
        <f t="shared" si="273"/>
        <v>Velodrome</v>
      </c>
      <c r="AJ799" s="18">
        <f t="shared" si="266"/>
        <v>0</v>
      </c>
      <c r="AP799" s="18">
        <f t="shared" si="267"/>
        <v>0</v>
      </c>
      <c r="AQ799">
        <f t="shared" si="268"/>
        <v>0</v>
      </c>
      <c r="AR799" s="23">
        <f t="shared" si="269"/>
        <v>1023</v>
      </c>
      <c r="AS799">
        <f t="shared" si="274"/>
        <v>1018</v>
      </c>
      <c r="AT799" s="21">
        <f t="shared" si="275"/>
        <v>1023</v>
      </c>
      <c r="AU799" s="21"/>
      <c r="AV799" s="21"/>
      <c r="AW799" s="21"/>
    </row>
    <row r="800" spans="1:49" x14ac:dyDescent="0.2">
      <c r="A800">
        <v>426</v>
      </c>
      <c r="E800">
        <f t="shared" si="270"/>
        <v>1</v>
      </c>
      <c r="F800" s="5" t="s">
        <v>532</v>
      </c>
      <c r="G800" s="5" t="s">
        <v>529</v>
      </c>
      <c r="H800" s="5" t="s">
        <v>532</v>
      </c>
      <c r="I800" s="7" t="s">
        <v>505</v>
      </c>
      <c r="J800" t="str">
        <f t="shared" si="277"/>
        <v>0</v>
      </c>
      <c r="K800" t="str">
        <f t="shared" si="278"/>
        <v>57</v>
      </c>
      <c r="L800" t="str">
        <f t="shared" si="279"/>
        <v>0</v>
      </c>
      <c r="M800" s="6" t="str">
        <f t="shared" si="280"/>
        <v>33</v>
      </c>
      <c r="N800" t="s">
        <v>179</v>
      </c>
      <c r="O800">
        <v>9</v>
      </c>
      <c r="P800" t="s">
        <v>424</v>
      </c>
      <c r="Q800" t="s">
        <v>282</v>
      </c>
      <c r="Y800" t="str">
        <f t="shared" si="260"/>
        <v/>
      </c>
      <c r="Z800" t="str">
        <f t="shared" si="261"/>
        <v/>
      </c>
      <c r="AC800" t="str">
        <f t="shared" si="262"/>
        <v>DeadIce</v>
      </c>
      <c r="AD800" t="str">
        <f t="shared" si="263"/>
        <v/>
      </c>
      <c r="AE800" t="str">
        <f t="shared" si="264"/>
        <v/>
      </c>
      <c r="AF800" t="str">
        <f t="shared" si="265"/>
        <v/>
      </c>
      <c r="AG800">
        <f t="shared" si="271"/>
        <v>18981</v>
      </c>
      <c r="AH800" t="str">
        <f t="shared" si="272"/>
        <v>Nelson</v>
      </c>
      <c r="AI800" t="str">
        <f t="shared" si="273"/>
        <v>Velodrome</v>
      </c>
      <c r="AJ800" s="18">
        <f t="shared" si="266"/>
        <v>24</v>
      </c>
      <c r="AP800" s="18">
        <f t="shared" si="267"/>
        <v>0</v>
      </c>
      <c r="AQ800">
        <f t="shared" si="268"/>
        <v>0</v>
      </c>
      <c r="AR800" s="23">
        <f t="shared" si="269"/>
        <v>1023</v>
      </c>
      <c r="AS800">
        <f t="shared" si="274"/>
        <v>1018</v>
      </c>
      <c r="AT800" s="21">
        <f t="shared" si="275"/>
        <v>1047</v>
      </c>
      <c r="AU800" s="21"/>
      <c r="AV800" s="21"/>
      <c r="AW800" s="21"/>
    </row>
    <row r="801" spans="1:49" x14ac:dyDescent="0.2">
      <c r="A801">
        <v>427</v>
      </c>
      <c r="E801">
        <f t="shared" si="270"/>
        <v>1</v>
      </c>
      <c r="F801" s="5" t="s">
        <v>532</v>
      </c>
      <c r="G801" s="5" t="s">
        <v>505</v>
      </c>
      <c r="J801" t="str">
        <f t="shared" si="277"/>
        <v>0</v>
      </c>
      <c r="K801" t="str">
        <f t="shared" si="278"/>
        <v>33</v>
      </c>
      <c r="L801" t="str">
        <f t="shared" si="279"/>
        <v/>
      </c>
      <c r="M801" s="6" t="str">
        <f t="shared" si="280"/>
        <v/>
      </c>
      <c r="N801" t="s">
        <v>179</v>
      </c>
      <c r="O801">
        <v>14</v>
      </c>
      <c r="P801" t="s">
        <v>424</v>
      </c>
      <c r="Q801" t="s">
        <v>6</v>
      </c>
      <c r="R801" t="s">
        <v>197</v>
      </c>
      <c r="Y801" t="str">
        <f t="shared" si="260"/>
        <v/>
      </c>
      <c r="Z801" t="str">
        <f t="shared" si="261"/>
        <v/>
      </c>
      <c r="AC801" t="str">
        <f t="shared" si="262"/>
        <v>Faceoff</v>
      </c>
      <c r="AD801" t="str">
        <f t="shared" si="263"/>
        <v>Faceoff_AfterPenalty</v>
      </c>
      <c r="AE801" t="str">
        <f t="shared" si="264"/>
        <v/>
      </c>
      <c r="AF801" t="str">
        <f t="shared" si="265"/>
        <v>Offensive</v>
      </c>
      <c r="AG801">
        <f t="shared" si="271"/>
        <v>18981</v>
      </c>
      <c r="AH801" t="str">
        <f t="shared" si="272"/>
        <v>Nelson</v>
      </c>
      <c r="AI801" t="str">
        <f t="shared" si="273"/>
        <v>Velodrome</v>
      </c>
      <c r="AJ801" s="18">
        <f t="shared" si="266"/>
        <v>0</v>
      </c>
      <c r="AP801" s="18">
        <f t="shared" si="267"/>
        <v>0</v>
      </c>
      <c r="AQ801">
        <f t="shared" si="268"/>
        <v>0</v>
      </c>
      <c r="AR801" s="23">
        <f t="shared" si="269"/>
        <v>1047</v>
      </c>
      <c r="AS801">
        <f t="shared" si="274"/>
        <v>1042</v>
      </c>
      <c r="AT801" s="21">
        <f t="shared" si="275"/>
        <v>1047</v>
      </c>
      <c r="AU801" s="21"/>
      <c r="AV801" s="21"/>
      <c r="AW801" s="21"/>
    </row>
    <row r="802" spans="1:49" x14ac:dyDescent="0.2">
      <c r="A802">
        <v>427</v>
      </c>
      <c r="E802">
        <f t="shared" si="270"/>
        <v>1</v>
      </c>
      <c r="J802" t="str">
        <f t="shared" si="277"/>
        <v>0</v>
      </c>
      <c r="K802" t="str">
        <f t="shared" si="278"/>
        <v>33</v>
      </c>
      <c r="L802" t="str">
        <f t="shared" si="279"/>
        <v/>
      </c>
      <c r="M802" s="6" t="str">
        <f t="shared" si="280"/>
        <v/>
      </c>
      <c r="N802" t="str">
        <f t="shared" si="276"/>
        <v>Away</v>
      </c>
      <c r="O802">
        <v>10</v>
      </c>
      <c r="P802" t="s">
        <v>425</v>
      </c>
      <c r="Y802" t="str">
        <f t="shared" si="260"/>
        <v/>
      </c>
      <c r="Z802" t="str">
        <f t="shared" si="261"/>
        <v/>
      </c>
      <c r="AC802" t="str">
        <f t="shared" si="262"/>
        <v>Faceoff</v>
      </c>
      <c r="AD802" t="str">
        <f t="shared" si="263"/>
        <v>Faceoff_AfterPenalty</v>
      </c>
      <c r="AE802" t="str">
        <f t="shared" si="264"/>
        <v/>
      </c>
      <c r="AF802" t="str">
        <f t="shared" si="265"/>
        <v>Defensive</v>
      </c>
      <c r="AG802">
        <f t="shared" si="271"/>
        <v>18981</v>
      </c>
      <c r="AH802" t="str">
        <f t="shared" si="272"/>
        <v>Nelson</v>
      </c>
      <c r="AI802" t="str">
        <f t="shared" si="273"/>
        <v>Velodrome</v>
      </c>
      <c r="AJ802" s="18">
        <f t="shared" si="266"/>
        <v>0</v>
      </c>
      <c r="AP802" s="18">
        <f t="shared" si="267"/>
        <v>0</v>
      </c>
      <c r="AQ802">
        <f t="shared" si="268"/>
        <v>0</v>
      </c>
      <c r="AR802" s="23">
        <f t="shared" si="269"/>
        <v>1047</v>
      </c>
      <c r="AS802">
        <f t="shared" si="274"/>
        <v>1042</v>
      </c>
      <c r="AT802" s="21">
        <f t="shared" si="275"/>
        <v>1047</v>
      </c>
      <c r="AU802" s="21"/>
      <c r="AV802" s="21"/>
      <c r="AW802" s="21"/>
    </row>
    <row r="803" spans="1:49" x14ac:dyDescent="0.2">
      <c r="A803">
        <v>428</v>
      </c>
      <c r="E803">
        <f t="shared" si="270"/>
        <v>1</v>
      </c>
      <c r="F803" s="5" t="s">
        <v>532</v>
      </c>
      <c r="G803" s="5" t="s">
        <v>502</v>
      </c>
      <c r="J803" t="str">
        <f t="shared" si="277"/>
        <v>0</v>
      </c>
      <c r="K803" t="str">
        <f t="shared" si="278"/>
        <v>30</v>
      </c>
      <c r="L803" t="str">
        <f t="shared" si="279"/>
        <v/>
      </c>
      <c r="M803" s="6" t="str">
        <f t="shared" si="280"/>
        <v/>
      </c>
      <c r="N803" t="s">
        <v>179</v>
      </c>
      <c r="O803">
        <v>84</v>
      </c>
      <c r="P803" t="s">
        <v>424</v>
      </c>
      <c r="Q803" t="s">
        <v>277</v>
      </c>
      <c r="R803" t="s">
        <v>201</v>
      </c>
      <c r="S803" t="s">
        <v>92</v>
      </c>
      <c r="Y803" t="str">
        <f t="shared" si="260"/>
        <v/>
      </c>
      <c r="Z803" t="str">
        <f t="shared" si="261"/>
        <v/>
      </c>
      <c r="AC803" t="str">
        <f t="shared" si="262"/>
        <v>Zone_Entry_Exit</v>
      </c>
      <c r="AD803" t="str">
        <f t="shared" si="263"/>
        <v>Zone_Exit</v>
      </c>
      <c r="AE803" t="str">
        <f t="shared" si="264"/>
        <v>ZoneExit-Clear</v>
      </c>
      <c r="AF803" t="str">
        <f t="shared" si="265"/>
        <v>Offensive</v>
      </c>
      <c r="AG803">
        <f t="shared" si="271"/>
        <v>18981</v>
      </c>
      <c r="AH803" t="str">
        <f t="shared" si="272"/>
        <v>Nelson</v>
      </c>
      <c r="AI803" t="str">
        <f t="shared" si="273"/>
        <v>Velodrome</v>
      </c>
      <c r="AJ803" s="18">
        <f t="shared" si="266"/>
        <v>0</v>
      </c>
      <c r="AP803" s="18">
        <f t="shared" si="267"/>
        <v>0</v>
      </c>
      <c r="AQ803">
        <f t="shared" si="268"/>
        <v>0</v>
      </c>
      <c r="AR803" s="23">
        <f t="shared" si="269"/>
        <v>1050</v>
      </c>
      <c r="AS803">
        <f t="shared" si="274"/>
        <v>1045</v>
      </c>
      <c r="AT803" s="21">
        <f t="shared" si="275"/>
        <v>1050</v>
      </c>
      <c r="AU803" s="21"/>
      <c r="AV803" s="21"/>
      <c r="AW803" s="21"/>
    </row>
    <row r="804" spans="1:49" x14ac:dyDescent="0.2">
      <c r="A804">
        <v>429</v>
      </c>
      <c r="E804">
        <f t="shared" si="270"/>
        <v>1</v>
      </c>
      <c r="F804" s="5" t="s">
        <v>532</v>
      </c>
      <c r="G804" s="5" t="s">
        <v>502</v>
      </c>
      <c r="J804" t="str">
        <f t="shared" si="277"/>
        <v>0</v>
      </c>
      <c r="K804" t="str">
        <f t="shared" si="278"/>
        <v>30</v>
      </c>
      <c r="L804" t="str">
        <f t="shared" si="279"/>
        <v/>
      </c>
      <c r="M804" s="6" t="str">
        <f t="shared" si="280"/>
        <v/>
      </c>
      <c r="N804" t="s">
        <v>179</v>
      </c>
      <c r="O804">
        <v>84</v>
      </c>
      <c r="P804" t="s">
        <v>424</v>
      </c>
      <c r="Q804" t="s">
        <v>277</v>
      </c>
      <c r="R804" t="s">
        <v>191</v>
      </c>
      <c r="S804" t="s">
        <v>432</v>
      </c>
      <c r="Y804" t="str">
        <f t="shared" si="260"/>
        <v/>
      </c>
      <c r="Z804" t="str">
        <f t="shared" si="261"/>
        <v/>
      </c>
      <c r="AC804" t="str">
        <f t="shared" si="262"/>
        <v>Zone_Entry_Exit</v>
      </c>
      <c r="AD804" t="str">
        <f t="shared" si="263"/>
        <v>Zone_Entry</v>
      </c>
      <c r="AE804" t="str">
        <f t="shared" si="264"/>
        <v>ZoneEntry-FromExitClear</v>
      </c>
      <c r="AF804" t="str">
        <f t="shared" si="265"/>
        <v>Offensive</v>
      </c>
      <c r="AG804">
        <f t="shared" si="271"/>
        <v>18981</v>
      </c>
      <c r="AH804" t="str">
        <f t="shared" si="272"/>
        <v>Nelson</v>
      </c>
      <c r="AI804" t="str">
        <f t="shared" si="273"/>
        <v>Velodrome</v>
      </c>
      <c r="AJ804" s="18">
        <f t="shared" si="266"/>
        <v>0</v>
      </c>
      <c r="AP804" s="18">
        <f t="shared" si="267"/>
        <v>0</v>
      </c>
      <c r="AQ804">
        <f t="shared" si="268"/>
        <v>0</v>
      </c>
      <c r="AR804" s="23">
        <f t="shared" si="269"/>
        <v>1050</v>
      </c>
      <c r="AS804">
        <f t="shared" si="274"/>
        <v>1045</v>
      </c>
      <c r="AT804" s="21">
        <f t="shared" si="275"/>
        <v>1050</v>
      </c>
      <c r="AU804" s="21"/>
      <c r="AV804" s="21"/>
      <c r="AW804" s="21"/>
    </row>
    <row r="805" spans="1:49" x14ac:dyDescent="0.2">
      <c r="A805">
        <v>430</v>
      </c>
      <c r="E805">
        <f t="shared" si="270"/>
        <v>1</v>
      </c>
      <c r="F805" s="5" t="s">
        <v>532</v>
      </c>
      <c r="G805" s="5" t="s">
        <v>492</v>
      </c>
      <c r="J805" t="str">
        <f t="shared" si="277"/>
        <v>0</v>
      </c>
      <c r="K805" t="str">
        <f t="shared" si="278"/>
        <v>20</v>
      </c>
      <c r="L805" t="str">
        <f t="shared" si="279"/>
        <v/>
      </c>
      <c r="M805" s="6" t="str">
        <f t="shared" si="280"/>
        <v/>
      </c>
      <c r="N805" t="s">
        <v>178</v>
      </c>
      <c r="O805">
        <v>80</v>
      </c>
      <c r="P805" t="s">
        <v>424</v>
      </c>
      <c r="Q805" t="s">
        <v>8</v>
      </c>
      <c r="R805" t="s">
        <v>199</v>
      </c>
      <c r="S805" t="s">
        <v>67</v>
      </c>
      <c r="Y805" t="str">
        <f t="shared" si="260"/>
        <v/>
      </c>
      <c r="Z805" t="str">
        <f t="shared" si="261"/>
        <v/>
      </c>
      <c r="AC805" t="str">
        <f t="shared" si="262"/>
        <v>Pass</v>
      </c>
      <c r="AD805" t="str">
        <f t="shared" si="263"/>
        <v>Pass_Missed</v>
      </c>
      <c r="AE805" t="str">
        <f t="shared" si="264"/>
        <v>Pass-Stretch</v>
      </c>
      <c r="AF805" t="str">
        <f t="shared" si="265"/>
        <v>Offensive</v>
      </c>
      <c r="AG805">
        <f t="shared" si="271"/>
        <v>18981</v>
      </c>
      <c r="AH805" t="str">
        <f t="shared" si="272"/>
        <v>Nelson</v>
      </c>
      <c r="AI805" t="str">
        <f t="shared" si="273"/>
        <v>Velodrome</v>
      </c>
      <c r="AJ805" s="18">
        <f t="shared" si="266"/>
        <v>0</v>
      </c>
      <c r="AP805" s="18">
        <f t="shared" si="267"/>
        <v>0</v>
      </c>
      <c r="AQ805">
        <f t="shared" si="268"/>
        <v>0</v>
      </c>
      <c r="AR805" s="23">
        <f t="shared" si="269"/>
        <v>1060</v>
      </c>
      <c r="AS805">
        <f t="shared" si="274"/>
        <v>1055</v>
      </c>
      <c r="AT805" s="21">
        <f t="shared" si="275"/>
        <v>1060</v>
      </c>
      <c r="AU805" s="21"/>
      <c r="AV805" s="21"/>
      <c r="AW805" s="21"/>
    </row>
    <row r="806" spans="1:49" x14ac:dyDescent="0.2">
      <c r="A806">
        <v>430</v>
      </c>
      <c r="E806">
        <f t="shared" si="270"/>
        <v>1</v>
      </c>
      <c r="J806" t="str">
        <f t="shared" si="277"/>
        <v>0</v>
      </c>
      <c r="K806" t="str">
        <f t="shared" si="278"/>
        <v>20</v>
      </c>
      <c r="L806" t="str">
        <f t="shared" si="279"/>
        <v/>
      </c>
      <c r="M806" s="6" t="str">
        <f t="shared" si="280"/>
        <v/>
      </c>
      <c r="N806" t="s">
        <v>178</v>
      </c>
      <c r="O806">
        <v>14</v>
      </c>
      <c r="P806" t="s">
        <v>424</v>
      </c>
      <c r="Y806" t="str">
        <f t="shared" si="260"/>
        <v/>
      </c>
      <c r="Z806" t="str">
        <f t="shared" si="261"/>
        <v/>
      </c>
      <c r="AC806" t="str">
        <f t="shared" si="262"/>
        <v>Pass</v>
      </c>
      <c r="AD806" t="str">
        <f t="shared" si="263"/>
        <v>Pass_Missed</v>
      </c>
      <c r="AE806" t="str">
        <f t="shared" si="264"/>
        <v>Pass-Stretch</v>
      </c>
      <c r="AF806" t="str">
        <f t="shared" si="265"/>
        <v>Offensive</v>
      </c>
      <c r="AG806">
        <f t="shared" si="271"/>
        <v>18981</v>
      </c>
      <c r="AH806" t="str">
        <f t="shared" si="272"/>
        <v>Nelson</v>
      </c>
      <c r="AI806" t="str">
        <f t="shared" si="273"/>
        <v>Velodrome</v>
      </c>
      <c r="AJ806" s="18">
        <f t="shared" si="266"/>
        <v>0</v>
      </c>
      <c r="AP806" s="18">
        <f t="shared" si="267"/>
        <v>0</v>
      </c>
      <c r="AQ806">
        <f t="shared" si="268"/>
        <v>0</v>
      </c>
      <c r="AR806" s="23">
        <f t="shared" si="269"/>
        <v>1060</v>
      </c>
      <c r="AS806">
        <f t="shared" si="274"/>
        <v>1055</v>
      </c>
      <c r="AT806" s="21">
        <f t="shared" si="275"/>
        <v>1060</v>
      </c>
      <c r="AU806" s="21"/>
      <c r="AV806" s="21"/>
      <c r="AW806" s="21"/>
    </row>
    <row r="807" spans="1:49" x14ac:dyDescent="0.2">
      <c r="A807">
        <v>431</v>
      </c>
      <c r="E807">
        <f t="shared" si="270"/>
        <v>1</v>
      </c>
      <c r="F807" s="5" t="s">
        <v>532</v>
      </c>
      <c r="G807" s="5" t="s">
        <v>492</v>
      </c>
      <c r="J807" t="str">
        <f t="shared" si="277"/>
        <v>0</v>
      </c>
      <c r="K807" t="str">
        <f t="shared" si="278"/>
        <v>20</v>
      </c>
      <c r="L807" t="str">
        <f t="shared" si="279"/>
        <v/>
      </c>
      <c r="M807" s="6" t="str">
        <f t="shared" si="280"/>
        <v/>
      </c>
      <c r="N807" t="s">
        <v>178</v>
      </c>
      <c r="O807">
        <v>80</v>
      </c>
      <c r="P807" t="s">
        <v>424</v>
      </c>
      <c r="Q807" t="s">
        <v>277</v>
      </c>
      <c r="R807" t="s">
        <v>201</v>
      </c>
      <c r="S807" t="s">
        <v>433</v>
      </c>
      <c r="Y807" t="str">
        <f t="shared" si="260"/>
        <v/>
      </c>
      <c r="Z807" t="str">
        <f t="shared" si="261"/>
        <v/>
      </c>
      <c r="AC807" t="str">
        <f t="shared" si="262"/>
        <v>Zone_Entry_Exit</v>
      </c>
      <c r="AD807" t="str">
        <f t="shared" si="263"/>
        <v>Zone_Exit</v>
      </c>
      <c r="AE807" t="str">
        <f t="shared" si="264"/>
        <v>ZoneExit-PassMiss/Misplay</v>
      </c>
      <c r="AF807" t="str">
        <f t="shared" si="265"/>
        <v>Offensive</v>
      </c>
      <c r="AG807">
        <f t="shared" si="271"/>
        <v>18981</v>
      </c>
      <c r="AH807" t="str">
        <f t="shared" si="272"/>
        <v>Nelson</v>
      </c>
      <c r="AI807" t="str">
        <f t="shared" si="273"/>
        <v>Velodrome</v>
      </c>
      <c r="AJ807" s="18">
        <f t="shared" si="266"/>
        <v>0</v>
      </c>
      <c r="AP807" s="18">
        <f t="shared" si="267"/>
        <v>0</v>
      </c>
      <c r="AQ807">
        <f t="shared" si="268"/>
        <v>0</v>
      </c>
      <c r="AR807" s="23">
        <f t="shared" si="269"/>
        <v>1060</v>
      </c>
      <c r="AS807">
        <f t="shared" si="274"/>
        <v>1055</v>
      </c>
      <c r="AT807" s="21">
        <f t="shared" si="275"/>
        <v>1060</v>
      </c>
      <c r="AU807" s="21"/>
      <c r="AV807" s="21"/>
      <c r="AW807" s="21"/>
    </row>
    <row r="808" spans="1:49" x14ac:dyDescent="0.2">
      <c r="A808">
        <v>432</v>
      </c>
      <c r="E808">
        <f t="shared" si="270"/>
        <v>1</v>
      </c>
      <c r="F808" s="5" t="s">
        <v>532</v>
      </c>
      <c r="G808" s="5" t="s">
        <v>492</v>
      </c>
      <c r="J808" t="str">
        <f t="shared" si="277"/>
        <v>0</v>
      </c>
      <c r="K808" t="str">
        <f t="shared" si="278"/>
        <v>20</v>
      </c>
      <c r="L808" t="str">
        <f t="shared" si="279"/>
        <v/>
      </c>
      <c r="M808" s="6" t="str">
        <f t="shared" si="280"/>
        <v/>
      </c>
      <c r="N808" t="s">
        <v>178</v>
      </c>
      <c r="O808">
        <v>80</v>
      </c>
      <c r="P808" t="s">
        <v>424</v>
      </c>
      <c r="Q808" t="s">
        <v>277</v>
      </c>
      <c r="R808" t="s">
        <v>191</v>
      </c>
      <c r="S808" t="s">
        <v>432</v>
      </c>
      <c r="Y808" t="str">
        <f t="shared" si="260"/>
        <v/>
      </c>
      <c r="Z808" t="str">
        <f t="shared" si="261"/>
        <v/>
      </c>
      <c r="AC808" t="str">
        <f t="shared" si="262"/>
        <v>Zone_Entry_Exit</v>
      </c>
      <c r="AD808" t="str">
        <f t="shared" si="263"/>
        <v>Zone_Entry</v>
      </c>
      <c r="AE808" t="str">
        <f t="shared" si="264"/>
        <v>ZoneEntry-FromExitClear</v>
      </c>
      <c r="AF808" t="str">
        <f t="shared" si="265"/>
        <v>Offensive</v>
      </c>
      <c r="AG808">
        <f t="shared" si="271"/>
        <v>18981</v>
      </c>
      <c r="AH808" t="str">
        <f t="shared" si="272"/>
        <v>Nelson</v>
      </c>
      <c r="AI808" t="str">
        <f t="shared" si="273"/>
        <v>Velodrome</v>
      </c>
      <c r="AJ808" s="18">
        <f t="shared" si="266"/>
        <v>0</v>
      </c>
      <c r="AP808" s="18">
        <f t="shared" si="267"/>
        <v>0</v>
      </c>
      <c r="AQ808">
        <f t="shared" si="268"/>
        <v>0</v>
      </c>
      <c r="AR808" s="23">
        <f t="shared" si="269"/>
        <v>1060</v>
      </c>
      <c r="AS808">
        <f t="shared" si="274"/>
        <v>1055</v>
      </c>
      <c r="AT808" s="21">
        <f t="shared" si="275"/>
        <v>1060</v>
      </c>
      <c r="AU808" s="21"/>
      <c r="AV808" s="21"/>
      <c r="AW808" s="21"/>
    </row>
    <row r="809" spans="1:49" x14ac:dyDescent="0.2">
      <c r="A809">
        <v>433</v>
      </c>
      <c r="E809">
        <f t="shared" si="270"/>
        <v>1</v>
      </c>
      <c r="F809" s="5" t="s">
        <v>532</v>
      </c>
      <c r="G809" s="5" t="s">
        <v>492</v>
      </c>
      <c r="J809" t="str">
        <f t="shared" si="277"/>
        <v>0</v>
      </c>
      <c r="K809" t="str">
        <f t="shared" si="278"/>
        <v>20</v>
      </c>
      <c r="L809" t="str">
        <f t="shared" si="279"/>
        <v/>
      </c>
      <c r="M809" s="6" t="str">
        <f t="shared" si="280"/>
        <v/>
      </c>
      <c r="N809" t="s">
        <v>178</v>
      </c>
      <c r="O809">
        <v>80</v>
      </c>
      <c r="P809" t="s">
        <v>424</v>
      </c>
      <c r="Q809" t="s">
        <v>10</v>
      </c>
      <c r="R809" t="s">
        <v>190</v>
      </c>
      <c r="S809" t="s">
        <v>411</v>
      </c>
      <c r="Y809" t="str">
        <f t="shared" si="260"/>
        <v/>
      </c>
      <c r="Z809" t="str">
        <f t="shared" si="261"/>
        <v/>
      </c>
      <c r="AC809" t="str">
        <f t="shared" si="262"/>
        <v>Turnover</v>
      </c>
      <c r="AD809" t="str">
        <f t="shared" si="263"/>
        <v>Turnover_Giveaway</v>
      </c>
      <c r="AE809" t="str">
        <f t="shared" si="264"/>
        <v>Giveaway-ZoneClear/Dump</v>
      </c>
      <c r="AF809" t="str">
        <f t="shared" si="265"/>
        <v>Offensive</v>
      </c>
      <c r="AG809">
        <f t="shared" si="271"/>
        <v>18981</v>
      </c>
      <c r="AH809" t="str">
        <f t="shared" si="272"/>
        <v>Nelson</v>
      </c>
      <c r="AI809" t="str">
        <f t="shared" si="273"/>
        <v>Velodrome</v>
      </c>
      <c r="AJ809" s="18">
        <f t="shared" si="266"/>
        <v>0</v>
      </c>
      <c r="AP809" s="18">
        <f t="shared" si="267"/>
        <v>0</v>
      </c>
      <c r="AQ809">
        <f t="shared" si="268"/>
        <v>0</v>
      </c>
      <c r="AR809" s="23">
        <f t="shared" si="269"/>
        <v>1060</v>
      </c>
      <c r="AS809">
        <f t="shared" si="274"/>
        <v>1055</v>
      </c>
      <c r="AT809" s="21">
        <f t="shared" si="275"/>
        <v>1060</v>
      </c>
      <c r="AU809" s="21"/>
      <c r="AV809" s="21"/>
      <c r="AW809" s="21"/>
    </row>
    <row r="810" spans="1:49" x14ac:dyDescent="0.2">
      <c r="A810">
        <v>434</v>
      </c>
      <c r="E810">
        <f t="shared" si="270"/>
        <v>1</v>
      </c>
      <c r="F810" s="5" t="s">
        <v>532</v>
      </c>
      <c r="G810" s="5" t="s">
        <v>478</v>
      </c>
      <c r="J810" t="str">
        <f t="shared" si="277"/>
        <v>0</v>
      </c>
      <c r="K810" t="str">
        <f t="shared" si="278"/>
        <v>15</v>
      </c>
      <c r="L810" t="str">
        <f t="shared" si="279"/>
        <v/>
      </c>
      <c r="M810" s="6" t="str">
        <f t="shared" si="280"/>
        <v/>
      </c>
      <c r="N810" t="s">
        <v>179</v>
      </c>
      <c r="O810">
        <v>52</v>
      </c>
      <c r="P810" t="s">
        <v>424</v>
      </c>
      <c r="Q810" t="s">
        <v>277</v>
      </c>
      <c r="R810" t="s">
        <v>201</v>
      </c>
      <c r="S810" t="s">
        <v>92</v>
      </c>
      <c r="Y810" t="str">
        <f t="shared" si="260"/>
        <v/>
      </c>
      <c r="Z810" t="str">
        <f t="shared" si="261"/>
        <v/>
      </c>
      <c r="AC810" t="str">
        <f t="shared" si="262"/>
        <v>Zone_Entry_Exit</v>
      </c>
      <c r="AD810" t="str">
        <f t="shared" si="263"/>
        <v>Zone_Exit</v>
      </c>
      <c r="AE810" t="str">
        <f t="shared" si="264"/>
        <v>ZoneExit-Clear</v>
      </c>
      <c r="AF810" t="str">
        <f t="shared" si="265"/>
        <v>Offensive</v>
      </c>
      <c r="AG810">
        <f t="shared" si="271"/>
        <v>18981</v>
      </c>
      <c r="AH810" t="str">
        <f t="shared" si="272"/>
        <v>Nelson</v>
      </c>
      <c r="AI810" t="str">
        <f t="shared" si="273"/>
        <v>Velodrome</v>
      </c>
      <c r="AJ810" s="18">
        <f t="shared" si="266"/>
        <v>0</v>
      </c>
      <c r="AP810" s="18">
        <f t="shared" si="267"/>
        <v>0</v>
      </c>
      <c r="AQ810">
        <f t="shared" si="268"/>
        <v>0</v>
      </c>
      <c r="AR810" s="23">
        <f t="shared" si="269"/>
        <v>1065</v>
      </c>
      <c r="AS810">
        <f t="shared" si="274"/>
        <v>1060</v>
      </c>
      <c r="AT810" s="21">
        <f t="shared" si="275"/>
        <v>1065</v>
      </c>
      <c r="AU810" s="21"/>
      <c r="AV810" s="21"/>
      <c r="AW810" s="21"/>
    </row>
    <row r="811" spans="1:49" x14ac:dyDescent="0.2">
      <c r="A811">
        <v>435</v>
      </c>
      <c r="E811">
        <f t="shared" si="270"/>
        <v>1</v>
      </c>
      <c r="F811" s="5" t="s">
        <v>532</v>
      </c>
      <c r="G811" s="5" t="s">
        <v>478</v>
      </c>
      <c r="J811" t="str">
        <f t="shared" si="277"/>
        <v>0</v>
      </c>
      <c r="K811" t="str">
        <f t="shared" si="278"/>
        <v>15</v>
      </c>
      <c r="L811" t="str">
        <f t="shared" si="279"/>
        <v/>
      </c>
      <c r="M811" s="6" t="str">
        <f t="shared" si="280"/>
        <v/>
      </c>
      <c r="N811" t="s">
        <v>179</v>
      </c>
      <c r="O811">
        <v>52</v>
      </c>
      <c r="P811" t="s">
        <v>424</v>
      </c>
      <c r="Q811" t="s">
        <v>277</v>
      </c>
      <c r="R811" t="s">
        <v>191</v>
      </c>
      <c r="S811" t="s">
        <v>432</v>
      </c>
      <c r="Y811" t="str">
        <f t="shared" si="260"/>
        <v/>
      </c>
      <c r="Z811" t="str">
        <f t="shared" si="261"/>
        <v/>
      </c>
      <c r="AC811" t="str">
        <f t="shared" si="262"/>
        <v>Zone_Entry_Exit</v>
      </c>
      <c r="AD811" t="str">
        <f t="shared" si="263"/>
        <v>Zone_Entry</v>
      </c>
      <c r="AE811" t="str">
        <f t="shared" si="264"/>
        <v>ZoneEntry-FromExitClear</v>
      </c>
      <c r="AF811" t="str">
        <f t="shared" si="265"/>
        <v>Offensive</v>
      </c>
      <c r="AG811">
        <f t="shared" si="271"/>
        <v>18981</v>
      </c>
      <c r="AH811" t="str">
        <f t="shared" si="272"/>
        <v>Nelson</v>
      </c>
      <c r="AI811" t="str">
        <f t="shared" si="273"/>
        <v>Velodrome</v>
      </c>
      <c r="AJ811" s="18">
        <f t="shared" si="266"/>
        <v>0</v>
      </c>
      <c r="AP811" s="18">
        <f t="shared" si="267"/>
        <v>0</v>
      </c>
      <c r="AQ811">
        <f t="shared" si="268"/>
        <v>0</v>
      </c>
      <c r="AR811" s="23">
        <f t="shared" si="269"/>
        <v>1065</v>
      </c>
      <c r="AS811">
        <f t="shared" si="274"/>
        <v>1060</v>
      </c>
      <c r="AT811" s="21">
        <f t="shared" si="275"/>
        <v>1065</v>
      </c>
      <c r="AU811" s="21"/>
      <c r="AV811" s="21"/>
      <c r="AW811" s="21"/>
    </row>
    <row r="812" spans="1:49" x14ac:dyDescent="0.2">
      <c r="A812">
        <v>436</v>
      </c>
      <c r="E812">
        <f t="shared" si="270"/>
        <v>1</v>
      </c>
      <c r="F812" s="5" t="s">
        <v>532</v>
      </c>
      <c r="G812" s="5" t="s">
        <v>486</v>
      </c>
      <c r="J812" t="str">
        <f t="shared" si="277"/>
        <v>0</v>
      </c>
      <c r="K812" t="str">
        <f t="shared" si="278"/>
        <v>11</v>
      </c>
      <c r="L812" t="str">
        <f t="shared" si="279"/>
        <v/>
      </c>
      <c r="M812" s="6" t="str">
        <f t="shared" si="280"/>
        <v/>
      </c>
      <c r="N812" t="s">
        <v>178</v>
      </c>
      <c r="O812">
        <v>8</v>
      </c>
      <c r="P812" t="s">
        <v>424</v>
      </c>
      <c r="Q812" t="s">
        <v>8</v>
      </c>
      <c r="R812" t="s">
        <v>199</v>
      </c>
      <c r="S812" t="s">
        <v>67</v>
      </c>
      <c r="Y812" t="str">
        <f t="shared" si="260"/>
        <v/>
      </c>
      <c r="Z812" t="str">
        <f t="shared" si="261"/>
        <v/>
      </c>
      <c r="AC812" t="str">
        <f t="shared" si="262"/>
        <v>Pass</v>
      </c>
      <c r="AD812" t="str">
        <f t="shared" si="263"/>
        <v>Pass_Missed</v>
      </c>
      <c r="AE812" t="str">
        <f t="shared" si="264"/>
        <v>Pass-Stretch</v>
      </c>
      <c r="AF812" t="str">
        <f t="shared" si="265"/>
        <v>Offensive</v>
      </c>
      <c r="AG812">
        <f t="shared" si="271"/>
        <v>18981</v>
      </c>
      <c r="AH812" t="str">
        <f t="shared" si="272"/>
        <v>Nelson</v>
      </c>
      <c r="AI812" t="str">
        <f t="shared" si="273"/>
        <v>Velodrome</v>
      </c>
      <c r="AJ812" s="18">
        <f t="shared" si="266"/>
        <v>0</v>
      </c>
      <c r="AP812" s="18">
        <f t="shared" si="267"/>
        <v>0</v>
      </c>
      <c r="AQ812">
        <f t="shared" si="268"/>
        <v>0</v>
      </c>
      <c r="AR812" s="23">
        <f t="shared" si="269"/>
        <v>1069</v>
      </c>
      <c r="AS812">
        <f t="shared" si="274"/>
        <v>1064</v>
      </c>
      <c r="AT812" s="21">
        <f t="shared" si="275"/>
        <v>1069</v>
      </c>
      <c r="AU812" s="21"/>
      <c r="AV812" s="21"/>
      <c r="AW812" s="21"/>
    </row>
    <row r="813" spans="1:49" x14ac:dyDescent="0.2">
      <c r="A813">
        <v>436</v>
      </c>
      <c r="E813">
        <f t="shared" si="270"/>
        <v>1</v>
      </c>
      <c r="J813" t="str">
        <f t="shared" si="277"/>
        <v>0</v>
      </c>
      <c r="K813" t="str">
        <f t="shared" si="278"/>
        <v>11</v>
      </c>
      <c r="L813" t="str">
        <f t="shared" si="279"/>
        <v/>
      </c>
      <c r="M813" s="6" t="str">
        <f t="shared" si="280"/>
        <v/>
      </c>
      <c r="N813" t="str">
        <f t="shared" si="276"/>
        <v>Home</v>
      </c>
      <c r="O813">
        <v>61</v>
      </c>
      <c r="P813" t="s">
        <v>425</v>
      </c>
      <c r="Y813" t="str">
        <f t="shared" si="260"/>
        <v/>
      </c>
      <c r="Z813" t="str">
        <f t="shared" si="261"/>
        <v/>
      </c>
      <c r="AC813" t="str">
        <f t="shared" si="262"/>
        <v>Pass</v>
      </c>
      <c r="AD813" t="str">
        <f t="shared" si="263"/>
        <v>Pass_Missed</v>
      </c>
      <c r="AE813" t="str">
        <f t="shared" si="264"/>
        <v>Pass-Stretch</v>
      </c>
      <c r="AF813" t="str">
        <f t="shared" si="265"/>
        <v>Defensive</v>
      </c>
      <c r="AG813">
        <f t="shared" si="271"/>
        <v>18981</v>
      </c>
      <c r="AH813" t="str">
        <f t="shared" si="272"/>
        <v>Nelson</v>
      </c>
      <c r="AI813" t="str">
        <f t="shared" si="273"/>
        <v>Velodrome</v>
      </c>
      <c r="AJ813" s="18">
        <f t="shared" si="266"/>
        <v>0</v>
      </c>
      <c r="AP813" s="18">
        <f t="shared" si="267"/>
        <v>0</v>
      </c>
      <c r="AQ813">
        <f t="shared" si="268"/>
        <v>0</v>
      </c>
      <c r="AR813" s="23">
        <f t="shared" si="269"/>
        <v>1069</v>
      </c>
      <c r="AS813">
        <f t="shared" si="274"/>
        <v>1064</v>
      </c>
      <c r="AT813" s="21">
        <f t="shared" si="275"/>
        <v>1069</v>
      </c>
      <c r="AU813" s="21"/>
      <c r="AV813" s="21"/>
      <c r="AW813" s="21"/>
    </row>
    <row r="814" spans="1:49" x14ac:dyDescent="0.2">
      <c r="A814">
        <v>437</v>
      </c>
      <c r="E814">
        <f t="shared" si="270"/>
        <v>1</v>
      </c>
      <c r="F814" s="5" t="s">
        <v>532</v>
      </c>
      <c r="G814" s="5" t="s">
        <v>486</v>
      </c>
      <c r="J814" t="str">
        <f t="shared" si="277"/>
        <v>0</v>
      </c>
      <c r="K814" t="str">
        <f t="shared" si="278"/>
        <v>11</v>
      </c>
      <c r="L814" t="str">
        <f t="shared" si="279"/>
        <v/>
      </c>
      <c r="M814" s="6" t="str">
        <f t="shared" si="280"/>
        <v/>
      </c>
      <c r="N814" t="s">
        <v>178</v>
      </c>
      <c r="O814">
        <v>8</v>
      </c>
      <c r="P814" t="s">
        <v>424</v>
      </c>
      <c r="Q814" t="s">
        <v>277</v>
      </c>
      <c r="R814" t="s">
        <v>201</v>
      </c>
      <c r="S814" t="s">
        <v>433</v>
      </c>
      <c r="Y814" t="str">
        <f t="shared" si="260"/>
        <v/>
      </c>
      <c r="Z814" t="str">
        <f t="shared" si="261"/>
        <v/>
      </c>
      <c r="AC814" t="str">
        <f t="shared" si="262"/>
        <v>Zone_Entry_Exit</v>
      </c>
      <c r="AD814" t="str">
        <f t="shared" si="263"/>
        <v>Zone_Exit</v>
      </c>
      <c r="AE814" t="str">
        <f t="shared" si="264"/>
        <v>ZoneExit-PassMiss/Misplay</v>
      </c>
      <c r="AF814" t="str">
        <f t="shared" si="265"/>
        <v>Offensive</v>
      </c>
      <c r="AG814">
        <f t="shared" si="271"/>
        <v>18981</v>
      </c>
      <c r="AH814" t="str">
        <f t="shared" si="272"/>
        <v>Nelson</v>
      </c>
      <c r="AI814" t="str">
        <f t="shared" si="273"/>
        <v>Velodrome</v>
      </c>
      <c r="AJ814" s="18">
        <f t="shared" si="266"/>
        <v>0</v>
      </c>
      <c r="AP814" s="18">
        <f t="shared" si="267"/>
        <v>0</v>
      </c>
      <c r="AQ814">
        <f t="shared" si="268"/>
        <v>0</v>
      </c>
      <c r="AR814" s="23">
        <f t="shared" si="269"/>
        <v>1069</v>
      </c>
      <c r="AS814">
        <f t="shared" si="274"/>
        <v>1064</v>
      </c>
      <c r="AT814" s="21">
        <f t="shared" si="275"/>
        <v>1069</v>
      </c>
      <c r="AU814" s="21"/>
      <c r="AV814" s="21"/>
      <c r="AW814" s="21"/>
    </row>
    <row r="815" spans="1:49" x14ac:dyDescent="0.2">
      <c r="A815">
        <v>438</v>
      </c>
      <c r="E815">
        <f t="shared" si="270"/>
        <v>1</v>
      </c>
      <c r="F815" s="5" t="s">
        <v>532</v>
      </c>
      <c r="G815" s="5" t="s">
        <v>486</v>
      </c>
      <c r="J815" t="str">
        <f t="shared" si="277"/>
        <v>0</v>
      </c>
      <c r="K815" t="str">
        <f t="shared" si="278"/>
        <v>11</v>
      </c>
      <c r="L815" t="str">
        <f t="shared" si="279"/>
        <v/>
      </c>
      <c r="M815" s="6" t="str">
        <f t="shared" si="280"/>
        <v/>
      </c>
      <c r="N815" t="s">
        <v>178</v>
      </c>
      <c r="O815">
        <v>8</v>
      </c>
      <c r="P815" t="s">
        <v>424</v>
      </c>
      <c r="Q815" t="s">
        <v>277</v>
      </c>
      <c r="R815" t="s">
        <v>191</v>
      </c>
      <c r="S815" t="s">
        <v>432</v>
      </c>
      <c r="Y815" t="str">
        <f t="shared" si="260"/>
        <v/>
      </c>
      <c r="Z815" t="str">
        <f t="shared" si="261"/>
        <v/>
      </c>
      <c r="AC815" t="str">
        <f t="shared" si="262"/>
        <v>Zone_Entry_Exit</v>
      </c>
      <c r="AD815" t="str">
        <f t="shared" si="263"/>
        <v>Zone_Entry</v>
      </c>
      <c r="AE815" t="str">
        <f t="shared" si="264"/>
        <v>ZoneEntry-FromExitClear</v>
      </c>
      <c r="AF815" t="str">
        <f t="shared" si="265"/>
        <v>Offensive</v>
      </c>
      <c r="AG815">
        <f t="shared" si="271"/>
        <v>18981</v>
      </c>
      <c r="AH815" t="str">
        <f t="shared" si="272"/>
        <v>Nelson</v>
      </c>
      <c r="AI815" t="str">
        <f t="shared" si="273"/>
        <v>Velodrome</v>
      </c>
      <c r="AJ815" s="18">
        <f t="shared" si="266"/>
        <v>0</v>
      </c>
      <c r="AP815" s="18">
        <f t="shared" si="267"/>
        <v>0</v>
      </c>
      <c r="AQ815">
        <f t="shared" si="268"/>
        <v>0</v>
      </c>
      <c r="AR815" s="23">
        <f t="shared" si="269"/>
        <v>1069</v>
      </c>
      <c r="AS815">
        <f t="shared" si="274"/>
        <v>1064</v>
      </c>
      <c r="AT815" s="21">
        <f t="shared" si="275"/>
        <v>1069</v>
      </c>
      <c r="AU815" s="21"/>
      <c r="AV815" s="21"/>
      <c r="AW815" s="21"/>
    </row>
    <row r="816" spans="1:49" x14ac:dyDescent="0.2">
      <c r="A816">
        <v>439</v>
      </c>
      <c r="E816">
        <f t="shared" si="270"/>
        <v>1</v>
      </c>
      <c r="F816" s="5" t="s">
        <v>532</v>
      </c>
      <c r="G816" s="5" t="s">
        <v>486</v>
      </c>
      <c r="J816" t="str">
        <f t="shared" si="277"/>
        <v>0</v>
      </c>
      <c r="K816" t="str">
        <f t="shared" si="278"/>
        <v>11</v>
      </c>
      <c r="L816" t="str">
        <f t="shared" si="279"/>
        <v/>
      </c>
      <c r="M816" s="6" t="str">
        <f t="shared" si="280"/>
        <v/>
      </c>
      <c r="N816" t="s">
        <v>178</v>
      </c>
      <c r="O816">
        <v>8</v>
      </c>
      <c r="P816" t="s">
        <v>424</v>
      </c>
      <c r="Q816" t="s">
        <v>10</v>
      </c>
      <c r="R816" t="s">
        <v>190</v>
      </c>
      <c r="S816" t="s">
        <v>411</v>
      </c>
      <c r="Y816" t="str">
        <f t="shared" si="260"/>
        <v/>
      </c>
      <c r="Z816" t="str">
        <f t="shared" si="261"/>
        <v/>
      </c>
      <c r="AC816" t="str">
        <f t="shared" si="262"/>
        <v>Turnover</v>
      </c>
      <c r="AD816" t="str">
        <f t="shared" si="263"/>
        <v>Turnover_Giveaway</v>
      </c>
      <c r="AE816" t="str">
        <f t="shared" si="264"/>
        <v>Giveaway-ZoneClear/Dump</v>
      </c>
      <c r="AF816" t="str">
        <f t="shared" si="265"/>
        <v>Offensive</v>
      </c>
      <c r="AG816">
        <f t="shared" si="271"/>
        <v>18981</v>
      </c>
      <c r="AH816" t="str">
        <f t="shared" si="272"/>
        <v>Nelson</v>
      </c>
      <c r="AI816" t="str">
        <f t="shared" si="273"/>
        <v>Velodrome</v>
      </c>
      <c r="AJ816" s="18">
        <f t="shared" si="266"/>
        <v>0</v>
      </c>
      <c r="AP816" s="18">
        <f t="shared" si="267"/>
        <v>0</v>
      </c>
      <c r="AQ816">
        <f t="shared" si="268"/>
        <v>0</v>
      </c>
      <c r="AR816" s="23">
        <f t="shared" si="269"/>
        <v>1069</v>
      </c>
      <c r="AS816">
        <f t="shared" si="274"/>
        <v>1064</v>
      </c>
      <c r="AT816" s="21">
        <f t="shared" si="275"/>
        <v>1069</v>
      </c>
      <c r="AU816" s="21"/>
      <c r="AV816" s="21"/>
      <c r="AW816" s="21"/>
    </row>
    <row r="817" spans="1:49" x14ac:dyDescent="0.2">
      <c r="A817">
        <v>440</v>
      </c>
      <c r="E817">
        <f t="shared" si="270"/>
        <v>1</v>
      </c>
      <c r="F817" s="5" t="s">
        <v>532</v>
      </c>
      <c r="G817" s="5" t="s">
        <v>484</v>
      </c>
      <c r="J817" t="str">
        <f t="shared" si="277"/>
        <v>0</v>
      </c>
      <c r="K817" t="str">
        <f t="shared" si="278"/>
        <v>09</v>
      </c>
      <c r="L817" t="str">
        <f t="shared" si="279"/>
        <v/>
      </c>
      <c r="M817" s="6" t="str">
        <f t="shared" si="280"/>
        <v/>
      </c>
      <c r="N817" t="s">
        <v>179</v>
      </c>
      <c r="O817">
        <v>52</v>
      </c>
      <c r="P817" t="s">
        <v>424</v>
      </c>
      <c r="Q817" t="s">
        <v>277</v>
      </c>
      <c r="R817" t="s">
        <v>201</v>
      </c>
      <c r="S817" t="s">
        <v>92</v>
      </c>
      <c r="Y817" t="str">
        <f t="shared" si="260"/>
        <v/>
      </c>
      <c r="Z817" t="str">
        <f t="shared" si="261"/>
        <v/>
      </c>
      <c r="AC817" t="str">
        <f t="shared" si="262"/>
        <v>Zone_Entry_Exit</v>
      </c>
      <c r="AD817" t="str">
        <f t="shared" si="263"/>
        <v>Zone_Exit</v>
      </c>
      <c r="AE817" t="str">
        <f t="shared" si="264"/>
        <v>ZoneExit-Clear</v>
      </c>
      <c r="AF817" t="str">
        <f t="shared" si="265"/>
        <v>Offensive</v>
      </c>
      <c r="AG817">
        <f t="shared" si="271"/>
        <v>18981</v>
      </c>
      <c r="AH817" t="str">
        <f t="shared" si="272"/>
        <v>Nelson</v>
      </c>
      <c r="AI817" t="str">
        <f t="shared" si="273"/>
        <v>Velodrome</v>
      </c>
      <c r="AJ817" s="18">
        <f t="shared" si="266"/>
        <v>0</v>
      </c>
      <c r="AP817" s="18">
        <f t="shared" si="267"/>
        <v>0</v>
      </c>
      <c r="AQ817">
        <f t="shared" si="268"/>
        <v>0</v>
      </c>
      <c r="AR817" s="23">
        <f t="shared" si="269"/>
        <v>1071</v>
      </c>
      <c r="AS817">
        <f t="shared" si="274"/>
        <v>1066</v>
      </c>
      <c r="AT817" s="21">
        <f t="shared" si="275"/>
        <v>1071</v>
      </c>
      <c r="AU817" s="21"/>
      <c r="AV817" s="21"/>
      <c r="AW817" s="21"/>
    </row>
    <row r="818" spans="1:49" x14ac:dyDescent="0.2">
      <c r="A818">
        <v>441</v>
      </c>
      <c r="E818">
        <f t="shared" si="270"/>
        <v>1</v>
      </c>
      <c r="F818" s="5" t="s">
        <v>532</v>
      </c>
      <c r="G818" s="5" t="s">
        <v>481</v>
      </c>
      <c r="J818" t="str">
        <f t="shared" si="277"/>
        <v>0</v>
      </c>
      <c r="K818" t="str">
        <f t="shared" si="278"/>
        <v>05</v>
      </c>
      <c r="L818" t="str">
        <f t="shared" si="279"/>
        <v/>
      </c>
      <c r="M818" s="6" t="str">
        <f t="shared" si="280"/>
        <v/>
      </c>
      <c r="N818" t="s">
        <v>179</v>
      </c>
      <c r="O818">
        <v>52</v>
      </c>
      <c r="P818" t="s">
        <v>424</v>
      </c>
      <c r="Q818" t="s">
        <v>277</v>
      </c>
      <c r="R818" t="s">
        <v>191</v>
      </c>
      <c r="S818" t="s">
        <v>432</v>
      </c>
      <c r="Y818" t="str">
        <f t="shared" si="260"/>
        <v/>
      </c>
      <c r="Z818" t="str">
        <f t="shared" si="261"/>
        <v/>
      </c>
      <c r="AC818" t="str">
        <f t="shared" si="262"/>
        <v>Zone_Entry_Exit</v>
      </c>
      <c r="AD818" t="str">
        <f t="shared" si="263"/>
        <v>Zone_Entry</v>
      </c>
      <c r="AE818" t="str">
        <f t="shared" si="264"/>
        <v>ZoneEntry-FromExitClear</v>
      </c>
      <c r="AF818" t="str">
        <f t="shared" si="265"/>
        <v>Offensive</v>
      </c>
      <c r="AG818">
        <f t="shared" si="271"/>
        <v>18981</v>
      </c>
      <c r="AH818" t="str">
        <f t="shared" si="272"/>
        <v>Nelson</v>
      </c>
      <c r="AI818" t="str">
        <f t="shared" si="273"/>
        <v>Velodrome</v>
      </c>
      <c r="AJ818" s="18">
        <f t="shared" si="266"/>
        <v>0</v>
      </c>
      <c r="AP818" s="18">
        <f t="shared" si="267"/>
        <v>0</v>
      </c>
      <c r="AQ818">
        <f t="shared" si="268"/>
        <v>0</v>
      </c>
      <c r="AR818" s="23">
        <f t="shared" si="269"/>
        <v>1075</v>
      </c>
      <c r="AS818">
        <f t="shared" si="274"/>
        <v>1070</v>
      </c>
      <c r="AT818" s="21">
        <f t="shared" si="275"/>
        <v>1075</v>
      </c>
      <c r="AU818" s="21"/>
      <c r="AV818" s="21"/>
      <c r="AW818" s="21"/>
    </row>
    <row r="819" spans="1:49" x14ac:dyDescent="0.2">
      <c r="A819">
        <v>442</v>
      </c>
      <c r="E819">
        <f t="shared" si="270"/>
        <v>1</v>
      </c>
      <c r="F819" s="5" t="s">
        <v>532</v>
      </c>
      <c r="G819" s="5" t="s">
        <v>473</v>
      </c>
      <c r="J819" t="str">
        <f t="shared" si="277"/>
        <v>0</v>
      </c>
      <c r="K819" t="str">
        <f t="shared" si="278"/>
        <v>03</v>
      </c>
      <c r="L819" t="str">
        <f t="shared" si="279"/>
        <v/>
      </c>
      <c r="M819" s="6" t="str">
        <f t="shared" si="280"/>
        <v/>
      </c>
      <c r="N819" t="s">
        <v>178</v>
      </c>
      <c r="O819">
        <v>8</v>
      </c>
      <c r="P819" t="s">
        <v>424</v>
      </c>
      <c r="Q819" t="s">
        <v>277</v>
      </c>
      <c r="R819" t="s">
        <v>201</v>
      </c>
      <c r="S819" t="s">
        <v>92</v>
      </c>
      <c r="Y819" t="str">
        <f t="shared" si="260"/>
        <v/>
      </c>
      <c r="Z819" t="str">
        <f t="shared" si="261"/>
        <v/>
      </c>
      <c r="AC819" t="str">
        <f t="shared" si="262"/>
        <v>Zone_Entry_Exit</v>
      </c>
      <c r="AD819" t="str">
        <f t="shared" si="263"/>
        <v>Zone_Exit</v>
      </c>
      <c r="AE819" t="str">
        <f t="shared" si="264"/>
        <v>ZoneExit-Clear</v>
      </c>
      <c r="AF819" t="str">
        <f t="shared" si="265"/>
        <v>Offensive</v>
      </c>
      <c r="AG819">
        <f t="shared" si="271"/>
        <v>18981</v>
      </c>
      <c r="AH819" t="str">
        <f t="shared" si="272"/>
        <v>Nelson</v>
      </c>
      <c r="AI819" t="str">
        <f t="shared" si="273"/>
        <v>Velodrome</v>
      </c>
      <c r="AJ819" s="18">
        <f t="shared" si="266"/>
        <v>0</v>
      </c>
      <c r="AP819" s="18">
        <f t="shared" si="267"/>
        <v>0</v>
      </c>
      <c r="AQ819">
        <f t="shared" si="268"/>
        <v>0</v>
      </c>
      <c r="AR819" s="23">
        <f t="shared" si="269"/>
        <v>1077</v>
      </c>
      <c r="AS819">
        <f t="shared" si="274"/>
        <v>1072</v>
      </c>
      <c r="AT819" s="21">
        <f t="shared" si="275"/>
        <v>1077</v>
      </c>
      <c r="AU819" s="21"/>
      <c r="AV819" s="21"/>
      <c r="AW819" s="21"/>
    </row>
    <row r="820" spans="1:49" x14ac:dyDescent="0.2">
      <c r="A820">
        <v>442</v>
      </c>
      <c r="E820">
        <f t="shared" si="270"/>
        <v>1</v>
      </c>
      <c r="J820" t="str">
        <f t="shared" si="277"/>
        <v>0</v>
      </c>
      <c r="K820" t="str">
        <f t="shared" si="278"/>
        <v>03</v>
      </c>
      <c r="L820" t="str">
        <f t="shared" si="279"/>
        <v/>
      </c>
      <c r="M820" s="6" t="str">
        <f t="shared" si="280"/>
        <v/>
      </c>
      <c r="N820" t="str">
        <f t="shared" si="276"/>
        <v>Home</v>
      </c>
      <c r="O820">
        <v>61</v>
      </c>
      <c r="P820" t="s">
        <v>425</v>
      </c>
      <c r="Y820" t="str">
        <f t="shared" si="260"/>
        <v/>
      </c>
      <c r="Z820" t="str">
        <f t="shared" si="261"/>
        <v/>
      </c>
      <c r="AC820" t="str">
        <f t="shared" si="262"/>
        <v>Zone_Entry_Exit</v>
      </c>
      <c r="AD820" t="str">
        <f t="shared" si="263"/>
        <v>Zone_Exit</v>
      </c>
      <c r="AE820" t="str">
        <f t="shared" si="264"/>
        <v>ZoneExit-Clear</v>
      </c>
      <c r="AF820" t="str">
        <f t="shared" si="265"/>
        <v>Defensive</v>
      </c>
      <c r="AG820">
        <f t="shared" si="271"/>
        <v>18981</v>
      </c>
      <c r="AH820" t="str">
        <f t="shared" si="272"/>
        <v>Nelson</v>
      </c>
      <c r="AI820" t="str">
        <f t="shared" si="273"/>
        <v>Velodrome</v>
      </c>
      <c r="AJ820" s="18">
        <f t="shared" si="266"/>
        <v>0</v>
      </c>
      <c r="AP820" s="18">
        <f t="shared" si="267"/>
        <v>0</v>
      </c>
      <c r="AQ820">
        <f t="shared" si="268"/>
        <v>0</v>
      </c>
      <c r="AR820" s="23">
        <f t="shared" si="269"/>
        <v>1077</v>
      </c>
      <c r="AS820">
        <f t="shared" si="274"/>
        <v>1072</v>
      </c>
      <c r="AT820" s="21">
        <f t="shared" si="275"/>
        <v>1077</v>
      </c>
      <c r="AU820" s="21"/>
      <c r="AV820" s="21"/>
      <c r="AW820" s="21"/>
    </row>
    <row r="821" spans="1:49" x14ac:dyDescent="0.2">
      <c r="A821">
        <v>443</v>
      </c>
      <c r="E821">
        <f t="shared" si="270"/>
        <v>1</v>
      </c>
      <c r="F821" s="5" t="s">
        <v>532</v>
      </c>
      <c r="G821" s="5" t="s">
        <v>475</v>
      </c>
      <c r="J821" t="str">
        <f t="shared" si="277"/>
        <v>0</v>
      </c>
      <c r="K821" t="str">
        <f t="shared" si="278"/>
        <v>00</v>
      </c>
      <c r="L821" t="str">
        <f t="shared" si="279"/>
        <v/>
      </c>
      <c r="M821" s="6" t="str">
        <f t="shared" si="280"/>
        <v/>
      </c>
      <c r="Q821" t="s">
        <v>13</v>
      </c>
      <c r="R821" t="s">
        <v>194</v>
      </c>
      <c r="S821" t="s">
        <v>41</v>
      </c>
      <c r="Y821" t="str">
        <f t="shared" si="260"/>
        <v/>
      </c>
      <c r="Z821" t="str">
        <f t="shared" si="261"/>
        <v/>
      </c>
      <c r="AC821" t="str">
        <f t="shared" si="262"/>
        <v>Stoppage</v>
      </c>
      <c r="AD821" t="str">
        <f t="shared" si="263"/>
        <v>Stoppage_Period</v>
      </c>
      <c r="AE821" t="str">
        <f t="shared" si="264"/>
        <v>Stoppage-PeriodEnd</v>
      </c>
      <c r="AF821" t="str">
        <f t="shared" si="265"/>
        <v/>
      </c>
      <c r="AG821">
        <f t="shared" si="271"/>
        <v>18981</v>
      </c>
      <c r="AH821" t="str">
        <f t="shared" si="272"/>
        <v>Nelson</v>
      </c>
      <c r="AI821" t="str">
        <f t="shared" si="273"/>
        <v>Velodrome</v>
      </c>
      <c r="AJ821" s="18">
        <f t="shared" si="266"/>
        <v>0</v>
      </c>
      <c r="AP821" s="18">
        <f t="shared" si="267"/>
        <v>0</v>
      </c>
      <c r="AQ821">
        <f t="shared" si="268"/>
        <v>0</v>
      </c>
      <c r="AR821" s="23">
        <f t="shared" si="269"/>
        <v>1080</v>
      </c>
      <c r="AS821">
        <f t="shared" si="274"/>
        <v>1075</v>
      </c>
      <c r="AT821" s="21">
        <f t="shared" si="275"/>
        <v>1080</v>
      </c>
      <c r="AU821" s="21"/>
      <c r="AV821" s="21"/>
      <c r="AW821" s="21"/>
    </row>
    <row r="822" spans="1:49" x14ac:dyDescent="0.2">
      <c r="A822">
        <v>444</v>
      </c>
      <c r="E822">
        <f t="shared" si="270"/>
        <v>2</v>
      </c>
      <c r="F822" s="5" t="s">
        <v>533</v>
      </c>
      <c r="G822" s="5" t="s">
        <v>509</v>
      </c>
      <c r="H822" s="5" t="s">
        <v>531</v>
      </c>
      <c r="I822" s="7" t="s">
        <v>497</v>
      </c>
      <c r="J822" t="str">
        <f t="shared" si="277"/>
        <v>4</v>
      </c>
      <c r="K822" t="str">
        <f t="shared" si="278"/>
        <v>37</v>
      </c>
      <c r="L822" t="str">
        <f t="shared" si="279"/>
        <v>3</v>
      </c>
      <c r="M822" s="6" t="str">
        <f t="shared" si="280"/>
        <v>25</v>
      </c>
      <c r="Q822" t="s">
        <v>450</v>
      </c>
      <c r="Y822" t="str">
        <f t="shared" si="260"/>
        <v/>
      </c>
      <c r="Z822" t="str">
        <f t="shared" si="261"/>
        <v/>
      </c>
      <c r="AC822" t="str">
        <f t="shared" si="262"/>
        <v>Intermission</v>
      </c>
      <c r="AD822" t="str">
        <f t="shared" si="263"/>
        <v/>
      </c>
      <c r="AE822" t="str">
        <f t="shared" si="264"/>
        <v/>
      </c>
      <c r="AF822" t="str">
        <f t="shared" si="265"/>
        <v/>
      </c>
      <c r="AG822">
        <f t="shared" si="271"/>
        <v>18981</v>
      </c>
      <c r="AH822" t="str">
        <f t="shared" si="272"/>
        <v>Nelson</v>
      </c>
      <c r="AI822" t="str">
        <f t="shared" si="273"/>
        <v>Velodrome</v>
      </c>
      <c r="AJ822" s="18">
        <f t="shared" si="266"/>
        <v>72</v>
      </c>
      <c r="AP822" s="18">
        <f t="shared" si="267"/>
        <v>72</v>
      </c>
      <c r="AQ822">
        <f t="shared" si="268"/>
        <v>1152</v>
      </c>
      <c r="AR822" s="23">
        <f t="shared" si="269"/>
        <v>1080</v>
      </c>
      <c r="AS822">
        <f t="shared" si="274"/>
        <v>1075</v>
      </c>
      <c r="AT822" s="21">
        <f t="shared" si="275"/>
        <v>1152</v>
      </c>
      <c r="AU822" s="21"/>
      <c r="AV822" s="21"/>
      <c r="AW822" s="21"/>
    </row>
    <row r="823" spans="1:49" x14ac:dyDescent="0.2">
      <c r="A823">
        <v>445</v>
      </c>
      <c r="E823">
        <f t="shared" si="270"/>
        <v>2</v>
      </c>
      <c r="F823" s="5" t="s">
        <v>490</v>
      </c>
      <c r="G823" s="5" t="s">
        <v>475</v>
      </c>
      <c r="J823" t="str">
        <f t="shared" si="277"/>
        <v>18</v>
      </c>
      <c r="K823" t="str">
        <f t="shared" si="278"/>
        <v>00</v>
      </c>
      <c r="L823" t="str">
        <f t="shared" si="279"/>
        <v/>
      </c>
      <c r="M823" s="6" t="str">
        <f t="shared" si="280"/>
        <v/>
      </c>
      <c r="N823" t="s">
        <v>178</v>
      </c>
      <c r="O823">
        <v>10</v>
      </c>
      <c r="P823" t="s">
        <v>424</v>
      </c>
      <c r="Q823" t="s">
        <v>6</v>
      </c>
      <c r="R823" t="s">
        <v>214</v>
      </c>
      <c r="Y823" t="str">
        <f t="shared" si="260"/>
        <v/>
      </c>
      <c r="Z823" t="str">
        <f t="shared" si="261"/>
        <v/>
      </c>
      <c r="AC823" t="str">
        <f t="shared" si="262"/>
        <v>Faceoff</v>
      </c>
      <c r="AD823" t="str">
        <f t="shared" si="263"/>
        <v>Faceoff_PeriodStart</v>
      </c>
      <c r="AE823" t="str">
        <f t="shared" si="264"/>
        <v/>
      </c>
      <c r="AF823" t="str">
        <f t="shared" si="265"/>
        <v>Offensive</v>
      </c>
      <c r="AG823">
        <f t="shared" si="271"/>
        <v>18981</v>
      </c>
      <c r="AH823" t="str">
        <f t="shared" si="272"/>
        <v>Nelson</v>
      </c>
      <c r="AI823" t="str">
        <f t="shared" si="273"/>
        <v>Velodrome</v>
      </c>
      <c r="AJ823" s="18">
        <f t="shared" si="266"/>
        <v>0</v>
      </c>
      <c r="AP823" s="18">
        <f t="shared" si="267"/>
        <v>0</v>
      </c>
      <c r="AQ823">
        <f t="shared" si="268"/>
        <v>1080</v>
      </c>
      <c r="AR823" s="23">
        <f t="shared" si="269"/>
        <v>1080</v>
      </c>
      <c r="AS823">
        <f t="shared" si="274"/>
        <v>1075</v>
      </c>
      <c r="AT823" s="21">
        <f t="shared" si="275"/>
        <v>1080</v>
      </c>
      <c r="AU823" s="21"/>
      <c r="AV823" s="21"/>
      <c r="AW823" s="21"/>
    </row>
    <row r="824" spans="1:49" x14ac:dyDescent="0.2">
      <c r="A824">
        <v>445</v>
      </c>
      <c r="E824">
        <f t="shared" si="270"/>
        <v>2</v>
      </c>
      <c r="J824" t="str">
        <f t="shared" si="277"/>
        <v>18</v>
      </c>
      <c r="K824" t="str">
        <f t="shared" si="278"/>
        <v>00</v>
      </c>
      <c r="L824" t="str">
        <f t="shared" si="279"/>
        <v/>
      </c>
      <c r="M824" s="6" t="str">
        <f t="shared" si="280"/>
        <v/>
      </c>
      <c r="N824" t="str">
        <f t="shared" si="276"/>
        <v>Home</v>
      </c>
      <c r="O824">
        <v>14</v>
      </c>
      <c r="P824" t="s">
        <v>425</v>
      </c>
      <c r="Y824" t="str">
        <f t="shared" si="260"/>
        <v/>
      </c>
      <c r="Z824" t="str">
        <f t="shared" si="261"/>
        <v/>
      </c>
      <c r="AC824" t="str">
        <f t="shared" si="262"/>
        <v>Faceoff</v>
      </c>
      <c r="AD824" t="str">
        <f t="shared" si="263"/>
        <v>Faceoff_PeriodStart</v>
      </c>
      <c r="AE824" t="str">
        <f t="shared" si="264"/>
        <v/>
      </c>
      <c r="AF824" t="str">
        <f t="shared" si="265"/>
        <v>Defensive</v>
      </c>
      <c r="AG824">
        <f t="shared" si="271"/>
        <v>18981</v>
      </c>
      <c r="AH824" t="str">
        <f t="shared" si="272"/>
        <v>Nelson</v>
      </c>
      <c r="AI824" t="str">
        <f t="shared" si="273"/>
        <v>Velodrome</v>
      </c>
      <c r="AJ824" s="18">
        <f t="shared" si="266"/>
        <v>0</v>
      </c>
      <c r="AP824" s="18">
        <f t="shared" si="267"/>
        <v>0</v>
      </c>
      <c r="AQ824">
        <f t="shared" si="268"/>
        <v>1080</v>
      </c>
      <c r="AR824" s="23">
        <f t="shared" si="269"/>
        <v>1080</v>
      </c>
      <c r="AS824">
        <f t="shared" si="274"/>
        <v>1075</v>
      </c>
      <c r="AT824" s="21">
        <f t="shared" si="275"/>
        <v>1080</v>
      </c>
      <c r="AU824" s="21"/>
      <c r="AV824" s="21"/>
      <c r="AW824" s="21"/>
    </row>
    <row r="825" spans="1:49" x14ac:dyDescent="0.2">
      <c r="A825">
        <v>446</v>
      </c>
      <c r="E825">
        <f t="shared" si="270"/>
        <v>2</v>
      </c>
      <c r="F825" s="5" t="s">
        <v>472</v>
      </c>
      <c r="G825" s="5" t="s">
        <v>530</v>
      </c>
      <c r="J825" t="str">
        <f t="shared" si="277"/>
        <v>17</v>
      </c>
      <c r="K825" t="str">
        <f t="shared" si="278"/>
        <v>58</v>
      </c>
      <c r="L825" t="str">
        <f t="shared" si="279"/>
        <v/>
      </c>
      <c r="M825" s="6" t="str">
        <f t="shared" si="280"/>
        <v/>
      </c>
      <c r="N825" t="s">
        <v>178</v>
      </c>
      <c r="O825">
        <v>7</v>
      </c>
      <c r="P825" t="s">
        <v>424</v>
      </c>
      <c r="Q825" t="s">
        <v>8</v>
      </c>
      <c r="R825" t="s">
        <v>189</v>
      </c>
      <c r="S825" t="s">
        <v>70</v>
      </c>
      <c r="Y825" t="str">
        <f t="shared" si="260"/>
        <v/>
      </c>
      <c r="Z825" t="str">
        <f t="shared" si="261"/>
        <v/>
      </c>
      <c r="AC825" t="str">
        <f t="shared" si="262"/>
        <v>Pass</v>
      </c>
      <c r="AD825" t="str">
        <f t="shared" si="263"/>
        <v>Pass_Completed</v>
      </c>
      <c r="AE825" t="str">
        <f t="shared" si="264"/>
        <v>Pass-Forehand</v>
      </c>
      <c r="AF825" t="str">
        <f t="shared" si="265"/>
        <v>Offensive</v>
      </c>
      <c r="AG825">
        <f t="shared" si="271"/>
        <v>18981</v>
      </c>
      <c r="AH825" t="str">
        <f t="shared" si="272"/>
        <v>Nelson</v>
      </c>
      <c r="AI825" t="str">
        <f t="shared" si="273"/>
        <v>Velodrome</v>
      </c>
      <c r="AJ825" s="18">
        <f t="shared" si="266"/>
        <v>0</v>
      </c>
      <c r="AP825" s="18">
        <f t="shared" si="267"/>
        <v>0</v>
      </c>
      <c r="AQ825">
        <f t="shared" si="268"/>
        <v>1080</v>
      </c>
      <c r="AR825" s="23">
        <f t="shared" si="269"/>
        <v>1082</v>
      </c>
      <c r="AS825">
        <f t="shared" si="274"/>
        <v>1077</v>
      </c>
      <c r="AT825" s="21">
        <f t="shared" si="275"/>
        <v>1082</v>
      </c>
      <c r="AU825" s="21"/>
      <c r="AV825" s="21"/>
      <c r="AW825" s="21"/>
    </row>
    <row r="826" spans="1:49" x14ac:dyDescent="0.2">
      <c r="A826">
        <v>446</v>
      </c>
      <c r="E826">
        <f t="shared" si="270"/>
        <v>2</v>
      </c>
      <c r="J826" t="str">
        <f t="shared" si="277"/>
        <v>17</v>
      </c>
      <c r="K826" t="str">
        <f t="shared" si="278"/>
        <v>58</v>
      </c>
      <c r="L826" t="str">
        <f t="shared" si="279"/>
        <v/>
      </c>
      <c r="M826" s="6" t="str">
        <f t="shared" si="280"/>
        <v/>
      </c>
      <c r="N826" t="str">
        <f t="shared" si="276"/>
        <v>Home</v>
      </c>
      <c r="O826">
        <v>16</v>
      </c>
      <c r="P826" t="s">
        <v>424</v>
      </c>
      <c r="Y826" t="str">
        <f t="shared" si="260"/>
        <v/>
      </c>
      <c r="Z826" t="str">
        <f t="shared" si="261"/>
        <v/>
      </c>
      <c r="AC826" t="str">
        <f t="shared" si="262"/>
        <v>Pass</v>
      </c>
      <c r="AD826" t="str">
        <f t="shared" si="263"/>
        <v>Pass_Completed</v>
      </c>
      <c r="AE826" t="str">
        <f t="shared" si="264"/>
        <v>Pass-Forehand</v>
      </c>
      <c r="AF826" t="str">
        <f t="shared" si="265"/>
        <v>Offensive</v>
      </c>
      <c r="AG826">
        <f t="shared" si="271"/>
        <v>18981</v>
      </c>
      <c r="AH826" t="str">
        <f t="shared" si="272"/>
        <v>Nelson</v>
      </c>
      <c r="AI826" t="str">
        <f t="shared" si="273"/>
        <v>Velodrome</v>
      </c>
      <c r="AJ826" s="18">
        <f t="shared" si="266"/>
        <v>0</v>
      </c>
      <c r="AP826" s="18">
        <f t="shared" si="267"/>
        <v>0</v>
      </c>
      <c r="AQ826">
        <f t="shared" si="268"/>
        <v>1080</v>
      </c>
      <c r="AR826" s="23">
        <f t="shared" si="269"/>
        <v>1082</v>
      </c>
      <c r="AS826">
        <f t="shared" si="274"/>
        <v>1077</v>
      </c>
      <c r="AT826" s="21">
        <f t="shared" si="275"/>
        <v>1082</v>
      </c>
      <c r="AU826" s="21"/>
      <c r="AV826" s="21"/>
      <c r="AW826" s="21"/>
    </row>
    <row r="827" spans="1:49" x14ac:dyDescent="0.2">
      <c r="A827">
        <v>447</v>
      </c>
      <c r="E827">
        <f t="shared" si="270"/>
        <v>2</v>
      </c>
      <c r="F827" s="5" t="s">
        <v>472</v>
      </c>
      <c r="G827" s="5" t="s">
        <v>529</v>
      </c>
      <c r="J827" t="str">
        <f t="shared" si="277"/>
        <v>17</v>
      </c>
      <c r="K827" t="str">
        <f t="shared" si="278"/>
        <v>57</v>
      </c>
      <c r="L827" t="str">
        <f t="shared" si="279"/>
        <v/>
      </c>
      <c r="M827" s="6" t="str">
        <f t="shared" si="280"/>
        <v/>
      </c>
      <c r="N827" t="s">
        <v>178</v>
      </c>
      <c r="O827">
        <v>7</v>
      </c>
      <c r="P827" t="s">
        <v>424</v>
      </c>
      <c r="Q827" t="s">
        <v>277</v>
      </c>
      <c r="R827" t="s">
        <v>191</v>
      </c>
      <c r="S827" t="s">
        <v>88</v>
      </c>
      <c r="Y827" t="str">
        <f t="shared" si="260"/>
        <v/>
      </c>
      <c r="Z827" t="str">
        <f t="shared" si="261"/>
        <v/>
      </c>
      <c r="AC827" t="str">
        <f t="shared" si="262"/>
        <v>Zone_Entry_Exit</v>
      </c>
      <c r="AD827" t="str">
        <f t="shared" si="263"/>
        <v>Zone_Entry</v>
      </c>
      <c r="AE827" t="str">
        <f t="shared" si="264"/>
        <v>ZoneEntry-Pass</v>
      </c>
      <c r="AF827" t="str">
        <f t="shared" si="265"/>
        <v>Offensive</v>
      </c>
      <c r="AG827">
        <f t="shared" si="271"/>
        <v>18981</v>
      </c>
      <c r="AH827" t="str">
        <f t="shared" si="272"/>
        <v>Nelson</v>
      </c>
      <c r="AI827" t="str">
        <f t="shared" si="273"/>
        <v>Velodrome</v>
      </c>
      <c r="AJ827" s="18">
        <f t="shared" si="266"/>
        <v>0</v>
      </c>
      <c r="AP827" s="18">
        <f t="shared" si="267"/>
        <v>0</v>
      </c>
      <c r="AQ827">
        <f t="shared" si="268"/>
        <v>1080</v>
      </c>
      <c r="AR827" s="23">
        <f t="shared" si="269"/>
        <v>1083</v>
      </c>
      <c r="AS827">
        <f t="shared" si="274"/>
        <v>1078</v>
      </c>
      <c r="AT827" s="21">
        <f t="shared" si="275"/>
        <v>1083</v>
      </c>
      <c r="AU827" s="21"/>
      <c r="AV827" s="21"/>
      <c r="AW827" s="21"/>
    </row>
    <row r="828" spans="1:49" x14ac:dyDescent="0.2">
      <c r="A828">
        <v>447</v>
      </c>
      <c r="E828">
        <f t="shared" si="270"/>
        <v>2</v>
      </c>
      <c r="J828" t="str">
        <f t="shared" si="277"/>
        <v>17</v>
      </c>
      <c r="K828" t="str">
        <f t="shared" si="278"/>
        <v>57</v>
      </c>
      <c r="L828" t="str">
        <f t="shared" si="279"/>
        <v/>
      </c>
      <c r="M828" s="6" t="str">
        <f t="shared" si="280"/>
        <v/>
      </c>
      <c r="N828" t="str">
        <f t="shared" si="276"/>
        <v>Home</v>
      </c>
      <c r="O828">
        <v>16</v>
      </c>
      <c r="P828" t="s">
        <v>424</v>
      </c>
      <c r="Y828" t="str">
        <f t="shared" si="260"/>
        <v/>
      </c>
      <c r="Z828" t="str">
        <f t="shared" si="261"/>
        <v/>
      </c>
      <c r="AC828" t="str">
        <f t="shared" si="262"/>
        <v>Zone_Entry_Exit</v>
      </c>
      <c r="AD828" t="str">
        <f t="shared" si="263"/>
        <v>Zone_Entry</v>
      </c>
      <c r="AE828" t="str">
        <f t="shared" si="264"/>
        <v>ZoneEntry-Pass</v>
      </c>
      <c r="AF828" t="str">
        <f t="shared" si="265"/>
        <v>Offensive</v>
      </c>
      <c r="AG828">
        <f t="shared" si="271"/>
        <v>18981</v>
      </c>
      <c r="AH828" t="str">
        <f t="shared" si="272"/>
        <v>Nelson</v>
      </c>
      <c r="AI828" t="str">
        <f t="shared" si="273"/>
        <v>Velodrome</v>
      </c>
      <c r="AJ828" s="18">
        <f t="shared" si="266"/>
        <v>0</v>
      </c>
      <c r="AP828" s="18">
        <f t="shared" si="267"/>
        <v>0</v>
      </c>
      <c r="AQ828">
        <f t="shared" si="268"/>
        <v>1080</v>
      </c>
      <c r="AR828" s="23">
        <f t="shared" si="269"/>
        <v>1083</v>
      </c>
      <c r="AS828">
        <f t="shared" si="274"/>
        <v>1078</v>
      </c>
      <c r="AT828" s="21">
        <f t="shared" si="275"/>
        <v>1083</v>
      </c>
      <c r="AU828" s="21"/>
      <c r="AV828" s="21"/>
      <c r="AW828" s="21"/>
    </row>
    <row r="829" spans="1:49" x14ac:dyDescent="0.2">
      <c r="A829">
        <v>447</v>
      </c>
      <c r="E829">
        <f t="shared" si="270"/>
        <v>2</v>
      </c>
      <c r="J829" t="str">
        <f t="shared" si="277"/>
        <v>17</v>
      </c>
      <c r="K829" t="str">
        <f t="shared" si="278"/>
        <v>57</v>
      </c>
      <c r="L829" t="str">
        <f t="shared" si="279"/>
        <v/>
      </c>
      <c r="M829" s="6" t="str">
        <f t="shared" si="280"/>
        <v/>
      </c>
      <c r="N829" t="str">
        <f t="shared" si="276"/>
        <v>Home</v>
      </c>
      <c r="O829">
        <v>52</v>
      </c>
      <c r="P829" t="s">
        <v>425</v>
      </c>
      <c r="Y829" t="str">
        <f t="shared" si="260"/>
        <v/>
      </c>
      <c r="Z829" t="str">
        <f t="shared" si="261"/>
        <v/>
      </c>
      <c r="AC829" t="str">
        <f t="shared" si="262"/>
        <v>Zone_Entry_Exit</v>
      </c>
      <c r="AD829" t="str">
        <f t="shared" si="263"/>
        <v>Zone_Entry</v>
      </c>
      <c r="AE829" t="str">
        <f t="shared" si="264"/>
        <v>ZoneEntry-Pass</v>
      </c>
      <c r="AF829" t="str">
        <f t="shared" si="265"/>
        <v>Defensive</v>
      </c>
      <c r="AG829">
        <f t="shared" si="271"/>
        <v>18981</v>
      </c>
      <c r="AH829" t="str">
        <f t="shared" si="272"/>
        <v>Nelson</v>
      </c>
      <c r="AI829" t="str">
        <f t="shared" si="273"/>
        <v>Velodrome</v>
      </c>
      <c r="AJ829" s="18">
        <f t="shared" si="266"/>
        <v>0</v>
      </c>
      <c r="AP829" s="18">
        <f t="shared" si="267"/>
        <v>0</v>
      </c>
      <c r="AQ829">
        <f t="shared" si="268"/>
        <v>1080</v>
      </c>
      <c r="AR829" s="23">
        <f t="shared" si="269"/>
        <v>1083</v>
      </c>
      <c r="AS829">
        <f t="shared" si="274"/>
        <v>1078</v>
      </c>
      <c r="AT829" s="21">
        <f t="shared" si="275"/>
        <v>1083</v>
      </c>
      <c r="AU829" s="21"/>
      <c r="AV829" s="21"/>
      <c r="AW829" s="21"/>
    </row>
    <row r="830" spans="1:49" x14ac:dyDescent="0.2">
      <c r="A830">
        <v>447</v>
      </c>
      <c r="E830">
        <f t="shared" si="270"/>
        <v>2</v>
      </c>
      <c r="J830" t="str">
        <f t="shared" si="277"/>
        <v>17</v>
      </c>
      <c r="K830" t="str">
        <f t="shared" si="278"/>
        <v>57</v>
      </c>
      <c r="L830" t="str">
        <f t="shared" si="279"/>
        <v/>
      </c>
      <c r="M830" s="6" t="str">
        <f t="shared" si="280"/>
        <v/>
      </c>
      <c r="N830" t="str">
        <f t="shared" si="276"/>
        <v>Home</v>
      </c>
      <c r="O830">
        <v>84</v>
      </c>
      <c r="P830" t="s">
        <v>425</v>
      </c>
      <c r="Y830" t="str">
        <f t="shared" si="260"/>
        <v/>
      </c>
      <c r="Z830" t="str">
        <f t="shared" si="261"/>
        <v/>
      </c>
      <c r="AC830" t="str">
        <f t="shared" si="262"/>
        <v>Zone_Entry_Exit</v>
      </c>
      <c r="AD830" t="str">
        <f t="shared" si="263"/>
        <v>Zone_Entry</v>
      </c>
      <c r="AE830" t="str">
        <f t="shared" si="264"/>
        <v>ZoneEntry-Pass</v>
      </c>
      <c r="AF830" t="str">
        <f t="shared" si="265"/>
        <v>Defensive</v>
      </c>
      <c r="AG830">
        <f t="shared" si="271"/>
        <v>18981</v>
      </c>
      <c r="AH830" t="str">
        <f t="shared" si="272"/>
        <v>Nelson</v>
      </c>
      <c r="AI830" t="str">
        <f t="shared" si="273"/>
        <v>Velodrome</v>
      </c>
      <c r="AJ830" s="18">
        <f t="shared" si="266"/>
        <v>0</v>
      </c>
      <c r="AP830" s="18">
        <f t="shared" si="267"/>
        <v>0</v>
      </c>
      <c r="AQ830">
        <f t="shared" si="268"/>
        <v>1080</v>
      </c>
      <c r="AR830" s="23">
        <f t="shared" si="269"/>
        <v>1083</v>
      </c>
      <c r="AS830">
        <f t="shared" si="274"/>
        <v>1078</v>
      </c>
      <c r="AT830" s="21">
        <f t="shared" si="275"/>
        <v>1083</v>
      </c>
      <c r="AU830" s="21"/>
      <c r="AV830" s="21"/>
      <c r="AW830" s="21"/>
    </row>
    <row r="831" spans="1:49" x14ac:dyDescent="0.2">
      <c r="A831">
        <v>448</v>
      </c>
      <c r="E831">
        <f t="shared" si="270"/>
        <v>2</v>
      </c>
      <c r="F831" s="5" t="s">
        <v>472</v>
      </c>
      <c r="G831" s="5" t="s">
        <v>528</v>
      </c>
      <c r="H831" s="5" t="s">
        <v>472</v>
      </c>
      <c r="I831" s="7" t="s">
        <v>526</v>
      </c>
      <c r="J831" t="str">
        <f t="shared" si="277"/>
        <v>17</v>
      </c>
      <c r="K831" t="str">
        <f t="shared" si="278"/>
        <v>56</v>
      </c>
      <c r="L831" t="str">
        <f t="shared" si="279"/>
        <v>17</v>
      </c>
      <c r="M831" s="6" t="str">
        <f t="shared" si="280"/>
        <v>54</v>
      </c>
      <c r="N831" t="s">
        <v>178</v>
      </c>
      <c r="O831">
        <v>16</v>
      </c>
      <c r="P831" t="s">
        <v>424</v>
      </c>
      <c r="Q831" t="s">
        <v>15</v>
      </c>
      <c r="Y831" t="str">
        <f t="shared" si="260"/>
        <v/>
      </c>
      <c r="Z831" t="str">
        <f t="shared" si="261"/>
        <v/>
      </c>
      <c r="AC831" t="str">
        <f t="shared" si="262"/>
        <v>Possession</v>
      </c>
      <c r="AD831" t="str">
        <f t="shared" si="263"/>
        <v/>
      </c>
      <c r="AE831" t="str">
        <f t="shared" si="264"/>
        <v/>
      </c>
      <c r="AF831" t="str">
        <f t="shared" si="265"/>
        <v>Offensive</v>
      </c>
      <c r="AG831">
        <f t="shared" si="271"/>
        <v>18981</v>
      </c>
      <c r="AH831" t="str">
        <f t="shared" si="272"/>
        <v>Nelson</v>
      </c>
      <c r="AI831" t="str">
        <f t="shared" si="273"/>
        <v>Velodrome</v>
      </c>
      <c r="AJ831" s="18">
        <f t="shared" si="266"/>
        <v>2</v>
      </c>
      <c r="AP831" s="18">
        <f t="shared" si="267"/>
        <v>0</v>
      </c>
      <c r="AQ831">
        <f t="shared" si="268"/>
        <v>1080</v>
      </c>
      <c r="AR831" s="23">
        <f t="shared" si="269"/>
        <v>1084</v>
      </c>
      <c r="AS831">
        <f t="shared" si="274"/>
        <v>1079</v>
      </c>
      <c r="AT831" s="21">
        <f t="shared" si="275"/>
        <v>1086</v>
      </c>
      <c r="AU831" s="21"/>
      <c r="AV831" s="21"/>
      <c r="AW831" s="21"/>
    </row>
    <row r="832" spans="1:49" x14ac:dyDescent="0.2">
      <c r="A832">
        <v>448</v>
      </c>
      <c r="E832">
        <f t="shared" si="270"/>
        <v>2</v>
      </c>
      <c r="J832" t="str">
        <f t="shared" si="277"/>
        <v>17</v>
      </c>
      <c r="K832" t="str">
        <f t="shared" si="278"/>
        <v>56</v>
      </c>
      <c r="L832" t="str">
        <f t="shared" si="279"/>
        <v>17</v>
      </c>
      <c r="M832" s="6" t="str">
        <f t="shared" si="280"/>
        <v>54</v>
      </c>
      <c r="N832" t="str">
        <f t="shared" si="276"/>
        <v>Home</v>
      </c>
      <c r="O832">
        <v>52</v>
      </c>
      <c r="P832" t="s">
        <v>425</v>
      </c>
      <c r="Y832" t="str">
        <f t="shared" si="260"/>
        <v/>
      </c>
      <c r="Z832" t="str">
        <f t="shared" si="261"/>
        <v/>
      </c>
      <c r="AC832" t="str">
        <f t="shared" si="262"/>
        <v>Possession</v>
      </c>
      <c r="AD832" t="str">
        <f t="shared" si="263"/>
        <v/>
      </c>
      <c r="AE832" t="str">
        <f t="shared" si="264"/>
        <v/>
      </c>
      <c r="AF832" t="str">
        <f t="shared" si="265"/>
        <v>Defensive</v>
      </c>
      <c r="AG832">
        <f t="shared" si="271"/>
        <v>18981</v>
      </c>
      <c r="AH832" t="str">
        <f t="shared" si="272"/>
        <v>Nelson</v>
      </c>
      <c r="AI832" t="str">
        <f t="shared" si="273"/>
        <v>Velodrome</v>
      </c>
      <c r="AJ832" s="18">
        <f t="shared" si="266"/>
        <v>2</v>
      </c>
      <c r="AP832" s="18">
        <f t="shared" si="267"/>
        <v>0</v>
      </c>
      <c r="AQ832">
        <f t="shared" si="268"/>
        <v>1080</v>
      </c>
      <c r="AR832" s="23">
        <f t="shared" si="269"/>
        <v>1084</v>
      </c>
      <c r="AS832">
        <f t="shared" si="274"/>
        <v>1079</v>
      </c>
      <c r="AT832" s="21">
        <f t="shared" si="275"/>
        <v>1086</v>
      </c>
      <c r="AU832" s="21"/>
      <c r="AV832" s="21"/>
      <c r="AW832" s="21"/>
    </row>
    <row r="833" spans="1:49" x14ac:dyDescent="0.2">
      <c r="A833">
        <v>449</v>
      </c>
      <c r="E833">
        <f t="shared" si="270"/>
        <v>2</v>
      </c>
      <c r="F833" s="5" t="s">
        <v>472</v>
      </c>
      <c r="G833" s="5" t="s">
        <v>526</v>
      </c>
      <c r="J833" t="str">
        <f t="shared" si="277"/>
        <v>17</v>
      </c>
      <c r="K833" t="str">
        <f t="shared" si="278"/>
        <v>54</v>
      </c>
      <c r="L833" t="str">
        <f t="shared" si="279"/>
        <v/>
      </c>
      <c r="M833" s="6" t="str">
        <f t="shared" si="280"/>
        <v/>
      </c>
      <c r="N833" t="s">
        <v>179</v>
      </c>
      <c r="O833">
        <v>52</v>
      </c>
      <c r="P833" t="s">
        <v>424</v>
      </c>
      <c r="Q833" t="s">
        <v>10</v>
      </c>
      <c r="R833" t="s">
        <v>200</v>
      </c>
      <c r="S833" t="s">
        <v>82</v>
      </c>
      <c r="Y833" t="str">
        <f t="shared" si="260"/>
        <v/>
      </c>
      <c r="Z833" t="str">
        <f t="shared" si="261"/>
        <v/>
      </c>
      <c r="AC833" t="str">
        <f t="shared" si="262"/>
        <v>Turnover</v>
      </c>
      <c r="AD833" t="str">
        <f t="shared" si="263"/>
        <v>Turnover_Takeaway</v>
      </c>
      <c r="AE833" t="str">
        <f t="shared" si="264"/>
        <v>Takeaway-PokeCheck</v>
      </c>
      <c r="AF833" t="str">
        <f t="shared" si="265"/>
        <v>Defensive</v>
      </c>
      <c r="AG833">
        <f t="shared" si="271"/>
        <v>18981</v>
      </c>
      <c r="AH833" t="str">
        <f t="shared" si="272"/>
        <v>Nelson</v>
      </c>
      <c r="AI833" t="str">
        <f t="shared" si="273"/>
        <v>Velodrome</v>
      </c>
      <c r="AJ833" s="18">
        <f t="shared" si="266"/>
        <v>0</v>
      </c>
      <c r="AP833" s="18">
        <f t="shared" si="267"/>
        <v>0</v>
      </c>
      <c r="AQ833">
        <f t="shared" si="268"/>
        <v>1080</v>
      </c>
      <c r="AR833" s="23">
        <f t="shared" si="269"/>
        <v>1086</v>
      </c>
      <c r="AS833">
        <f t="shared" si="274"/>
        <v>1081</v>
      </c>
      <c r="AT833" s="21">
        <f t="shared" si="275"/>
        <v>1086</v>
      </c>
      <c r="AU833" s="21"/>
      <c r="AV833" s="21"/>
      <c r="AW833" s="21"/>
    </row>
    <row r="834" spans="1:49" x14ac:dyDescent="0.2">
      <c r="A834">
        <v>449</v>
      </c>
      <c r="E834">
        <f t="shared" si="270"/>
        <v>2</v>
      </c>
      <c r="J834" t="str">
        <f t="shared" si="277"/>
        <v>17</v>
      </c>
      <c r="K834" t="str">
        <f t="shared" si="278"/>
        <v>54</v>
      </c>
      <c r="L834" t="str">
        <f t="shared" si="279"/>
        <v/>
      </c>
      <c r="M834" s="6" t="str">
        <f t="shared" si="280"/>
        <v/>
      </c>
      <c r="N834" t="str">
        <f t="shared" si="276"/>
        <v>Away</v>
      </c>
      <c r="O834">
        <v>16</v>
      </c>
      <c r="P834" t="s">
        <v>425</v>
      </c>
      <c r="Y834" t="str">
        <f t="shared" si="260"/>
        <v/>
      </c>
      <c r="Z834" t="str">
        <f t="shared" si="261"/>
        <v/>
      </c>
      <c r="AC834" t="str">
        <f t="shared" si="262"/>
        <v>Turnover</v>
      </c>
      <c r="AD834" t="str">
        <f t="shared" si="263"/>
        <v>Turnover_Takeaway</v>
      </c>
      <c r="AE834" t="str">
        <f t="shared" si="264"/>
        <v>Takeaway-PokeCheck</v>
      </c>
      <c r="AF834" t="str">
        <f t="shared" si="265"/>
        <v>Offensive</v>
      </c>
      <c r="AG834">
        <f t="shared" si="271"/>
        <v>18981</v>
      </c>
      <c r="AH834" t="str">
        <f t="shared" si="272"/>
        <v>Nelson</v>
      </c>
      <c r="AI834" t="str">
        <f t="shared" si="273"/>
        <v>Velodrome</v>
      </c>
      <c r="AJ834" s="18">
        <f t="shared" si="266"/>
        <v>0</v>
      </c>
      <c r="AP834" s="18">
        <f t="shared" si="267"/>
        <v>0</v>
      </c>
      <c r="AQ834">
        <f t="shared" si="268"/>
        <v>1080</v>
      </c>
      <c r="AR834" s="23">
        <f t="shared" si="269"/>
        <v>1086</v>
      </c>
      <c r="AS834">
        <f t="shared" si="274"/>
        <v>1081</v>
      </c>
      <c r="AT834" s="21">
        <f t="shared" si="275"/>
        <v>1086</v>
      </c>
      <c r="AU834" s="21"/>
      <c r="AV834" s="21"/>
      <c r="AW834" s="21"/>
    </row>
    <row r="835" spans="1:49" x14ac:dyDescent="0.2">
      <c r="A835">
        <v>450</v>
      </c>
      <c r="E835">
        <f t="shared" si="270"/>
        <v>2</v>
      </c>
      <c r="F835" s="5" t="s">
        <v>472</v>
      </c>
      <c r="G835" s="5" t="s">
        <v>525</v>
      </c>
      <c r="J835" t="str">
        <f t="shared" si="277"/>
        <v>17</v>
      </c>
      <c r="K835" t="str">
        <f t="shared" si="278"/>
        <v>53</v>
      </c>
      <c r="L835" t="str">
        <f t="shared" si="279"/>
        <v/>
      </c>
      <c r="M835" s="6" t="str">
        <f t="shared" si="280"/>
        <v/>
      </c>
      <c r="N835" t="s">
        <v>178</v>
      </c>
      <c r="O835">
        <v>80</v>
      </c>
      <c r="P835" t="s">
        <v>424</v>
      </c>
      <c r="Q835" t="s">
        <v>277</v>
      </c>
      <c r="R835" t="s">
        <v>210</v>
      </c>
      <c r="S835" t="s">
        <v>93</v>
      </c>
      <c r="Y835" t="str">
        <f t="shared" ref="Y835:Y898" si="281">IF($N835="","",IF(X835="","",IF($N835="Home",$X835,IF($X835="n","n",IF($X835="d","o",IF($X835="o","d",""))))))</f>
        <v/>
      </c>
      <c r="Z835" t="str">
        <f t="shared" ref="Z835:Z898" si="282">IF($N835="","",IF(X835="","",IF($N835="Away",$X835,IF($X835="n","n",IF($X835="d","o",IF($X835="o","d",""))))))</f>
        <v/>
      </c>
      <c r="AC835" t="str">
        <f t="shared" ref="AC835:AC898" si="283">IF(Q835&lt;&gt;"",Q835,IF($A835=$A834,AC834,""))</f>
        <v>Zone_Entry_Exit</v>
      </c>
      <c r="AD835" t="str">
        <f t="shared" ref="AD835:AD898" si="284">IF(R835&lt;&gt;"",R835,IF($A835=$A834,AD834,""))</f>
        <v>Zone_Keepin</v>
      </c>
      <c r="AE835" t="str">
        <f t="shared" ref="AE835:AE898" si="285">IF(S835&lt;&gt;"",S835,IF($A835=$A834,AE834,""))</f>
        <v>Zone-KeepIn</v>
      </c>
      <c r="AF835" t="str">
        <f t="shared" ref="AF835:AF898" si="286">IF(AND(P835="e",OR(AC835="Save",AD835="Turnover_Takeaway",AD835="Play_Defensive")),"Defensive",IF(AND(P835="o",OR(AC835="Save",AD835="Turnover_Takeaway",AD835="Play_Defensive")),"Offensive",IF(OR(AC835="Deadice",AC835="Stoppage",AC835="Intermission"),"",IF(P835="e","Offensive",IF(P835="o","Defensive","")))))</f>
        <v>Offensive</v>
      </c>
      <c r="AG835">
        <f t="shared" si="271"/>
        <v>18981</v>
      </c>
      <c r="AH835" t="str">
        <f t="shared" si="272"/>
        <v>Nelson</v>
      </c>
      <c r="AI835" t="str">
        <f t="shared" si="273"/>
        <v>Velodrome</v>
      </c>
      <c r="AJ835" s="18">
        <f t="shared" ref="AJ835:AJ898" si="287">IF(AND(L835="",M835=""),0,((J835*60)+K835)-((L835*60)+M835))</f>
        <v>0</v>
      </c>
      <c r="AP835" s="18">
        <f t="shared" ref="AP835:AP898" si="288">SUMIFS(AJ835:AJ835,Q835:Q835,"=Intermission")</f>
        <v>0</v>
      </c>
      <c r="AQ835">
        <f t="shared" ref="AQ835:AQ898" si="289">IF(E835=1,0,IF(E835=2,1080+AP835,IF(E835=3,(1080*2)+AP835,0)))</f>
        <v>1080</v>
      </c>
      <c r="AR835" s="23">
        <f t="shared" ref="AR835:AR898" si="290">IF(Q835="Intermission",AR834,((1080)-((J835*60)+K835))+AQ835)</f>
        <v>1087</v>
      </c>
      <c r="AS835">
        <f t="shared" si="274"/>
        <v>1082</v>
      </c>
      <c r="AT835" s="21">
        <f t="shared" si="275"/>
        <v>1087</v>
      </c>
      <c r="AU835" s="21"/>
      <c r="AV835" s="21"/>
      <c r="AW835" s="21"/>
    </row>
    <row r="836" spans="1:49" x14ac:dyDescent="0.2">
      <c r="A836">
        <v>451</v>
      </c>
      <c r="E836">
        <f t="shared" ref="E836:E899" si="291">IF(Q836="Intermission",E835+1,E835)</f>
        <v>2</v>
      </c>
      <c r="F836" s="5" t="s">
        <v>472</v>
      </c>
      <c r="G836" s="5" t="s">
        <v>525</v>
      </c>
      <c r="J836" t="str">
        <f t="shared" si="277"/>
        <v>17</v>
      </c>
      <c r="K836" t="str">
        <f t="shared" si="278"/>
        <v>53</v>
      </c>
      <c r="L836" t="str">
        <f t="shared" si="279"/>
        <v/>
      </c>
      <c r="M836" s="6" t="str">
        <f t="shared" si="280"/>
        <v/>
      </c>
      <c r="N836" t="s">
        <v>178</v>
      </c>
      <c r="O836">
        <v>80</v>
      </c>
      <c r="P836" t="s">
        <v>424</v>
      </c>
      <c r="Q836" t="s">
        <v>8</v>
      </c>
      <c r="R836" t="s">
        <v>189</v>
      </c>
      <c r="S836" t="s">
        <v>69</v>
      </c>
      <c r="Y836" t="str">
        <f t="shared" si="281"/>
        <v/>
      </c>
      <c r="Z836" t="str">
        <f t="shared" si="282"/>
        <v/>
      </c>
      <c r="AC836" t="str">
        <f t="shared" si="283"/>
        <v>Pass</v>
      </c>
      <c r="AD836" t="str">
        <f t="shared" si="284"/>
        <v>Pass_Completed</v>
      </c>
      <c r="AE836" t="str">
        <f t="shared" si="285"/>
        <v>Pass-Backhand</v>
      </c>
      <c r="AF836" t="str">
        <f t="shared" si="286"/>
        <v>Offensive</v>
      </c>
      <c r="AG836">
        <f t="shared" ref="AG836:AG899" si="292">AG835</f>
        <v>18981</v>
      </c>
      <c r="AH836" t="str">
        <f t="shared" ref="AH836:AH899" si="293">AH835</f>
        <v>Nelson</v>
      </c>
      <c r="AI836" t="str">
        <f t="shared" ref="AI836:AI899" si="294">AI835</f>
        <v>Velodrome</v>
      </c>
      <c r="AJ836" s="18">
        <f t="shared" si="287"/>
        <v>0</v>
      </c>
      <c r="AP836" s="18">
        <f t="shared" si="288"/>
        <v>0</v>
      </c>
      <c r="AQ836">
        <f t="shared" si="289"/>
        <v>1080</v>
      </c>
      <c r="AR836" s="23">
        <f t="shared" si="290"/>
        <v>1087</v>
      </c>
      <c r="AS836">
        <f t="shared" ref="AS836:AS899" si="295">IF(AR836&lt;5,0,AR836-5)</f>
        <v>1082</v>
      </c>
      <c r="AT836" s="21">
        <f t="shared" ref="AT836:AT899" si="296">AS836+AJ836+5</f>
        <v>1087</v>
      </c>
      <c r="AU836" s="21"/>
      <c r="AV836" s="21"/>
      <c r="AW836" s="21"/>
    </row>
    <row r="837" spans="1:49" x14ac:dyDescent="0.2">
      <c r="A837">
        <v>451</v>
      </c>
      <c r="E837">
        <f t="shared" si="291"/>
        <v>2</v>
      </c>
      <c r="J837" t="str">
        <f t="shared" si="277"/>
        <v>17</v>
      </c>
      <c r="K837" t="str">
        <f t="shared" si="278"/>
        <v>53</v>
      </c>
      <c r="L837" t="str">
        <f t="shared" si="279"/>
        <v/>
      </c>
      <c r="M837" s="6" t="str">
        <f t="shared" si="280"/>
        <v/>
      </c>
      <c r="N837" t="str">
        <f t="shared" si="276"/>
        <v>Home</v>
      </c>
      <c r="O837">
        <v>16</v>
      </c>
      <c r="P837" t="s">
        <v>424</v>
      </c>
      <c r="Y837" t="str">
        <f t="shared" si="281"/>
        <v/>
      </c>
      <c r="Z837" t="str">
        <f t="shared" si="282"/>
        <v/>
      </c>
      <c r="AC837" t="str">
        <f t="shared" si="283"/>
        <v>Pass</v>
      </c>
      <c r="AD837" t="str">
        <f t="shared" si="284"/>
        <v>Pass_Completed</v>
      </c>
      <c r="AE837" t="str">
        <f t="shared" si="285"/>
        <v>Pass-Backhand</v>
      </c>
      <c r="AF837" t="str">
        <f t="shared" si="286"/>
        <v>Offensive</v>
      </c>
      <c r="AG837">
        <f t="shared" si="292"/>
        <v>18981</v>
      </c>
      <c r="AH837" t="str">
        <f t="shared" si="293"/>
        <v>Nelson</v>
      </c>
      <c r="AI837" t="str">
        <f t="shared" si="294"/>
        <v>Velodrome</v>
      </c>
      <c r="AJ837" s="18">
        <f t="shared" si="287"/>
        <v>0</v>
      </c>
      <c r="AP837" s="18">
        <f t="shared" si="288"/>
        <v>0</v>
      </c>
      <c r="AQ837">
        <f t="shared" si="289"/>
        <v>1080</v>
      </c>
      <c r="AR837" s="23">
        <f t="shared" si="290"/>
        <v>1087</v>
      </c>
      <c r="AS837">
        <f t="shared" si="295"/>
        <v>1082</v>
      </c>
      <c r="AT837" s="21">
        <f t="shared" si="296"/>
        <v>1087</v>
      </c>
      <c r="AU837" s="21"/>
      <c r="AV837" s="21"/>
      <c r="AW837" s="21"/>
    </row>
    <row r="838" spans="1:49" x14ac:dyDescent="0.2">
      <c r="A838">
        <v>452</v>
      </c>
      <c r="E838">
        <f t="shared" si="291"/>
        <v>2</v>
      </c>
      <c r="F838" s="5" t="s">
        <v>472</v>
      </c>
      <c r="G838" s="5" t="s">
        <v>525</v>
      </c>
      <c r="H838" s="5" t="s">
        <v>472</v>
      </c>
      <c r="I838" s="7" t="s">
        <v>522</v>
      </c>
      <c r="J838" t="str">
        <f t="shared" si="277"/>
        <v>17</v>
      </c>
      <c r="K838" t="str">
        <f t="shared" si="278"/>
        <v>53</v>
      </c>
      <c r="L838" t="str">
        <f t="shared" si="279"/>
        <v>17</v>
      </c>
      <c r="M838" s="6" t="str">
        <f t="shared" si="280"/>
        <v>50</v>
      </c>
      <c r="N838" t="s">
        <v>178</v>
      </c>
      <c r="O838">
        <v>16</v>
      </c>
      <c r="P838" t="s">
        <v>424</v>
      </c>
      <c r="Q838" t="s">
        <v>15</v>
      </c>
      <c r="Y838" t="str">
        <f t="shared" si="281"/>
        <v/>
      </c>
      <c r="Z838" t="str">
        <f t="shared" si="282"/>
        <v/>
      </c>
      <c r="AC838" t="str">
        <f t="shared" si="283"/>
        <v>Possession</v>
      </c>
      <c r="AD838" t="str">
        <f t="shared" si="284"/>
        <v/>
      </c>
      <c r="AE838" t="str">
        <f t="shared" si="285"/>
        <v/>
      </c>
      <c r="AF838" t="str">
        <f t="shared" si="286"/>
        <v>Offensive</v>
      </c>
      <c r="AG838">
        <f t="shared" si="292"/>
        <v>18981</v>
      </c>
      <c r="AH838" t="str">
        <f t="shared" si="293"/>
        <v>Nelson</v>
      </c>
      <c r="AI838" t="str">
        <f t="shared" si="294"/>
        <v>Velodrome</v>
      </c>
      <c r="AJ838" s="18">
        <f t="shared" si="287"/>
        <v>3</v>
      </c>
      <c r="AP838" s="18">
        <f t="shared" si="288"/>
        <v>0</v>
      </c>
      <c r="AQ838">
        <f t="shared" si="289"/>
        <v>1080</v>
      </c>
      <c r="AR838" s="23">
        <f t="shared" si="290"/>
        <v>1087</v>
      </c>
      <c r="AS838">
        <f t="shared" si="295"/>
        <v>1082</v>
      </c>
      <c r="AT838" s="21">
        <f t="shared" si="296"/>
        <v>1090</v>
      </c>
      <c r="AU838" s="21"/>
      <c r="AV838" s="21"/>
      <c r="AW838" s="21"/>
    </row>
    <row r="839" spans="1:49" x14ac:dyDescent="0.2">
      <c r="A839">
        <v>453</v>
      </c>
      <c r="E839">
        <f t="shared" si="291"/>
        <v>2</v>
      </c>
      <c r="F839" s="5" t="s">
        <v>472</v>
      </c>
      <c r="G839" s="5" t="s">
        <v>522</v>
      </c>
      <c r="J839" t="str">
        <f t="shared" si="277"/>
        <v>17</v>
      </c>
      <c r="K839" t="str">
        <f t="shared" si="278"/>
        <v>50</v>
      </c>
      <c r="L839" t="str">
        <f t="shared" si="279"/>
        <v/>
      </c>
      <c r="M839" s="6" t="str">
        <f t="shared" si="280"/>
        <v/>
      </c>
      <c r="N839" t="s">
        <v>179</v>
      </c>
      <c r="O839">
        <v>61</v>
      </c>
      <c r="P839" t="s">
        <v>424</v>
      </c>
      <c r="Q839" t="s">
        <v>10</v>
      </c>
      <c r="R839" t="s">
        <v>200</v>
      </c>
      <c r="S839" t="s">
        <v>82</v>
      </c>
      <c r="Y839" t="str">
        <f t="shared" si="281"/>
        <v/>
      </c>
      <c r="Z839" t="str">
        <f t="shared" si="282"/>
        <v/>
      </c>
      <c r="AC839" t="str">
        <f t="shared" si="283"/>
        <v>Turnover</v>
      </c>
      <c r="AD839" t="str">
        <f t="shared" si="284"/>
        <v>Turnover_Takeaway</v>
      </c>
      <c r="AE839" t="str">
        <f t="shared" si="285"/>
        <v>Takeaway-PokeCheck</v>
      </c>
      <c r="AF839" t="str">
        <f t="shared" si="286"/>
        <v>Defensive</v>
      </c>
      <c r="AG839">
        <f t="shared" si="292"/>
        <v>18981</v>
      </c>
      <c r="AH839" t="str">
        <f t="shared" si="293"/>
        <v>Nelson</v>
      </c>
      <c r="AI839" t="str">
        <f t="shared" si="294"/>
        <v>Velodrome</v>
      </c>
      <c r="AJ839" s="18">
        <f t="shared" si="287"/>
        <v>0</v>
      </c>
      <c r="AP839" s="18">
        <f t="shared" si="288"/>
        <v>0</v>
      </c>
      <c r="AQ839">
        <f t="shared" si="289"/>
        <v>1080</v>
      </c>
      <c r="AR839" s="23">
        <f t="shared" si="290"/>
        <v>1090</v>
      </c>
      <c r="AS839">
        <f t="shared" si="295"/>
        <v>1085</v>
      </c>
      <c r="AT839" s="21">
        <f t="shared" si="296"/>
        <v>1090</v>
      </c>
      <c r="AU839" s="21"/>
      <c r="AV839" s="21"/>
      <c r="AW839" s="21"/>
    </row>
    <row r="840" spans="1:49" x14ac:dyDescent="0.2">
      <c r="A840">
        <v>453</v>
      </c>
      <c r="E840">
        <f t="shared" si="291"/>
        <v>2</v>
      </c>
      <c r="J840" t="str">
        <f t="shared" si="277"/>
        <v>17</v>
      </c>
      <c r="K840" t="str">
        <f t="shared" si="278"/>
        <v>50</v>
      </c>
      <c r="L840" t="str">
        <f t="shared" si="279"/>
        <v/>
      </c>
      <c r="M840" s="6" t="str">
        <f t="shared" si="280"/>
        <v/>
      </c>
      <c r="N840" t="str">
        <f t="shared" ref="N840:N901" si="297">IF(A840=A839,N839,"")</f>
        <v>Away</v>
      </c>
      <c r="O840">
        <v>16</v>
      </c>
      <c r="P840" t="s">
        <v>425</v>
      </c>
      <c r="Y840" t="str">
        <f t="shared" si="281"/>
        <v/>
      </c>
      <c r="Z840" t="str">
        <f t="shared" si="282"/>
        <v/>
      </c>
      <c r="AC840" t="str">
        <f t="shared" si="283"/>
        <v>Turnover</v>
      </c>
      <c r="AD840" t="str">
        <f t="shared" si="284"/>
        <v>Turnover_Takeaway</v>
      </c>
      <c r="AE840" t="str">
        <f t="shared" si="285"/>
        <v>Takeaway-PokeCheck</v>
      </c>
      <c r="AF840" t="str">
        <f t="shared" si="286"/>
        <v>Offensive</v>
      </c>
      <c r="AG840">
        <f t="shared" si="292"/>
        <v>18981</v>
      </c>
      <c r="AH840" t="str">
        <f t="shared" si="293"/>
        <v>Nelson</v>
      </c>
      <c r="AI840" t="str">
        <f t="shared" si="294"/>
        <v>Velodrome</v>
      </c>
      <c r="AJ840" s="18">
        <f t="shared" si="287"/>
        <v>0</v>
      </c>
      <c r="AP840" s="18">
        <f t="shared" si="288"/>
        <v>0</v>
      </c>
      <c r="AQ840">
        <f t="shared" si="289"/>
        <v>1080</v>
      </c>
      <c r="AR840" s="23">
        <f t="shared" si="290"/>
        <v>1090</v>
      </c>
      <c r="AS840">
        <f t="shared" si="295"/>
        <v>1085</v>
      </c>
      <c r="AT840" s="21">
        <f t="shared" si="296"/>
        <v>1090</v>
      </c>
      <c r="AU840" s="21"/>
      <c r="AV840" s="21"/>
      <c r="AW840" s="21"/>
    </row>
    <row r="841" spans="1:49" x14ac:dyDescent="0.2">
      <c r="A841">
        <v>454</v>
      </c>
      <c r="E841">
        <f t="shared" si="291"/>
        <v>2</v>
      </c>
      <c r="F841" s="5" t="s">
        <v>472</v>
      </c>
      <c r="G841" s="5" t="s">
        <v>521</v>
      </c>
      <c r="J841" t="str">
        <f t="shared" ref="J841:J904" si="298">IF(F841&lt;&gt;"",F841,IF($A841=$A840,J840,J841))</f>
        <v>17</v>
      </c>
      <c r="K841" t="str">
        <f t="shared" ref="K841:K904" si="299">IF($A841=$A840,K840,G841)</f>
        <v>49</v>
      </c>
      <c r="L841" t="str">
        <f t="shared" ref="L841:L904" si="300">IF(H841&lt;&gt;"",H841,IF($A841=$A840,L840,""))</f>
        <v/>
      </c>
      <c r="M841" s="6" t="str">
        <f t="shared" ref="M841:M904" si="301">IF(I841&lt;&gt;"",I841,IF($A841=$A840,M840,""))</f>
        <v/>
      </c>
      <c r="N841" t="s">
        <v>178</v>
      </c>
      <c r="O841">
        <v>80</v>
      </c>
      <c r="P841" t="s">
        <v>424</v>
      </c>
      <c r="Q841" t="s">
        <v>277</v>
      </c>
      <c r="R841" t="s">
        <v>210</v>
      </c>
      <c r="S841" t="s">
        <v>93</v>
      </c>
      <c r="Y841" t="str">
        <f t="shared" si="281"/>
        <v/>
      </c>
      <c r="Z841" t="str">
        <f t="shared" si="282"/>
        <v/>
      </c>
      <c r="AC841" t="str">
        <f t="shared" si="283"/>
        <v>Zone_Entry_Exit</v>
      </c>
      <c r="AD841" t="str">
        <f t="shared" si="284"/>
        <v>Zone_Keepin</v>
      </c>
      <c r="AE841" t="str">
        <f t="shared" si="285"/>
        <v>Zone-KeepIn</v>
      </c>
      <c r="AF841" t="str">
        <f t="shared" si="286"/>
        <v>Offensive</v>
      </c>
      <c r="AG841">
        <f t="shared" si="292"/>
        <v>18981</v>
      </c>
      <c r="AH841" t="str">
        <f t="shared" si="293"/>
        <v>Nelson</v>
      </c>
      <c r="AI841" t="str">
        <f t="shared" si="294"/>
        <v>Velodrome</v>
      </c>
      <c r="AJ841" s="18">
        <f t="shared" si="287"/>
        <v>0</v>
      </c>
      <c r="AP841" s="18">
        <f t="shared" si="288"/>
        <v>0</v>
      </c>
      <c r="AQ841">
        <f t="shared" si="289"/>
        <v>1080</v>
      </c>
      <c r="AR841" s="23">
        <f t="shared" si="290"/>
        <v>1091</v>
      </c>
      <c r="AS841">
        <f t="shared" si="295"/>
        <v>1086</v>
      </c>
      <c r="AT841" s="21">
        <f t="shared" si="296"/>
        <v>1091</v>
      </c>
      <c r="AU841" s="21"/>
      <c r="AV841" s="21"/>
      <c r="AW841" s="21"/>
    </row>
    <row r="842" spans="1:49" x14ac:dyDescent="0.2">
      <c r="A842">
        <v>455</v>
      </c>
      <c r="E842">
        <f t="shared" si="291"/>
        <v>2</v>
      </c>
      <c r="F842" s="5" t="s">
        <v>472</v>
      </c>
      <c r="G842" s="5" t="s">
        <v>521</v>
      </c>
      <c r="H842" s="5" t="s">
        <v>472</v>
      </c>
      <c r="I842" s="7" t="s">
        <v>519</v>
      </c>
      <c r="J842" t="str">
        <f t="shared" si="298"/>
        <v>17</v>
      </c>
      <c r="K842" t="str">
        <f t="shared" si="299"/>
        <v>49</v>
      </c>
      <c r="L842" t="str">
        <f t="shared" si="300"/>
        <v>17</v>
      </c>
      <c r="M842" s="6" t="str">
        <f t="shared" si="301"/>
        <v>47</v>
      </c>
      <c r="N842" t="s">
        <v>178</v>
      </c>
      <c r="O842">
        <v>80</v>
      </c>
      <c r="P842" t="s">
        <v>424</v>
      </c>
      <c r="Q842" t="s">
        <v>15</v>
      </c>
      <c r="Y842" t="str">
        <f t="shared" si="281"/>
        <v/>
      </c>
      <c r="Z842" t="str">
        <f t="shared" si="282"/>
        <v/>
      </c>
      <c r="AC842" t="str">
        <f t="shared" si="283"/>
        <v>Possession</v>
      </c>
      <c r="AD842" t="str">
        <f t="shared" si="284"/>
        <v/>
      </c>
      <c r="AE842" t="str">
        <f t="shared" si="285"/>
        <v/>
      </c>
      <c r="AF842" t="str">
        <f t="shared" si="286"/>
        <v>Offensive</v>
      </c>
      <c r="AG842">
        <f t="shared" si="292"/>
        <v>18981</v>
      </c>
      <c r="AH842" t="str">
        <f t="shared" si="293"/>
        <v>Nelson</v>
      </c>
      <c r="AI842" t="str">
        <f t="shared" si="294"/>
        <v>Velodrome</v>
      </c>
      <c r="AJ842" s="18">
        <f t="shared" si="287"/>
        <v>2</v>
      </c>
      <c r="AP842" s="18">
        <f t="shared" si="288"/>
        <v>0</v>
      </c>
      <c r="AQ842">
        <f t="shared" si="289"/>
        <v>1080</v>
      </c>
      <c r="AR842" s="23">
        <f t="shared" si="290"/>
        <v>1091</v>
      </c>
      <c r="AS842">
        <f t="shared" si="295"/>
        <v>1086</v>
      </c>
      <c r="AT842" s="21">
        <f t="shared" si="296"/>
        <v>1093</v>
      </c>
      <c r="AU842" s="21"/>
      <c r="AV842" s="21"/>
      <c r="AW842" s="21"/>
    </row>
    <row r="843" spans="1:49" x14ac:dyDescent="0.2">
      <c r="A843">
        <v>456</v>
      </c>
      <c r="E843">
        <f t="shared" si="291"/>
        <v>2</v>
      </c>
      <c r="F843" s="5" t="s">
        <v>472</v>
      </c>
      <c r="G843" s="5" t="s">
        <v>518</v>
      </c>
      <c r="J843" t="str">
        <f t="shared" si="298"/>
        <v>17</v>
      </c>
      <c r="K843" t="str">
        <f t="shared" si="299"/>
        <v>46</v>
      </c>
      <c r="L843" t="str">
        <f t="shared" si="300"/>
        <v/>
      </c>
      <c r="M843" s="6" t="str">
        <f t="shared" si="301"/>
        <v/>
      </c>
      <c r="N843" t="s">
        <v>178</v>
      </c>
      <c r="O843">
        <v>80</v>
      </c>
      <c r="P843" t="s">
        <v>424</v>
      </c>
      <c r="Q843" t="s">
        <v>247</v>
      </c>
      <c r="R843" t="s">
        <v>445</v>
      </c>
      <c r="S843" t="s">
        <v>155</v>
      </c>
      <c r="Y843" t="str">
        <f t="shared" si="281"/>
        <v/>
      </c>
      <c r="Z843" t="str">
        <f t="shared" si="282"/>
        <v/>
      </c>
      <c r="AC843" t="str">
        <f t="shared" si="283"/>
        <v>Play</v>
      </c>
      <c r="AD843" t="str">
        <f t="shared" si="284"/>
        <v>Play_Offensive</v>
      </c>
      <c r="AE843" t="str">
        <f t="shared" si="285"/>
        <v>DumpChase</v>
      </c>
      <c r="AF843" t="str">
        <f t="shared" si="286"/>
        <v>Offensive</v>
      </c>
      <c r="AG843">
        <f t="shared" si="292"/>
        <v>18981</v>
      </c>
      <c r="AH843" t="str">
        <f t="shared" si="293"/>
        <v>Nelson</v>
      </c>
      <c r="AI843" t="str">
        <f t="shared" si="294"/>
        <v>Velodrome</v>
      </c>
      <c r="AJ843" s="18">
        <f t="shared" si="287"/>
        <v>0</v>
      </c>
      <c r="AP843" s="18">
        <f t="shared" si="288"/>
        <v>0</v>
      </c>
      <c r="AQ843">
        <f t="shared" si="289"/>
        <v>1080</v>
      </c>
      <c r="AR843" s="23">
        <f t="shared" si="290"/>
        <v>1094</v>
      </c>
      <c r="AS843">
        <f t="shared" si="295"/>
        <v>1089</v>
      </c>
      <c r="AT843" s="21">
        <f t="shared" si="296"/>
        <v>1094</v>
      </c>
      <c r="AU843" s="21"/>
      <c r="AV843" s="21"/>
      <c r="AW843" s="21"/>
    </row>
    <row r="844" spans="1:49" x14ac:dyDescent="0.2">
      <c r="A844">
        <v>457</v>
      </c>
      <c r="E844">
        <f t="shared" si="291"/>
        <v>2</v>
      </c>
      <c r="F844" s="5" t="s">
        <v>472</v>
      </c>
      <c r="G844" s="5" t="s">
        <v>513</v>
      </c>
      <c r="H844" s="5" t="s">
        <v>472</v>
      </c>
      <c r="I844" s="7" t="s">
        <v>512</v>
      </c>
      <c r="J844" t="str">
        <f t="shared" si="298"/>
        <v>17</v>
      </c>
      <c r="K844" t="str">
        <f t="shared" si="299"/>
        <v>41</v>
      </c>
      <c r="L844" t="str">
        <f t="shared" si="300"/>
        <v>17</v>
      </c>
      <c r="M844" s="6" t="str">
        <f t="shared" si="301"/>
        <v>40</v>
      </c>
      <c r="N844" t="s">
        <v>178</v>
      </c>
      <c r="O844">
        <v>10</v>
      </c>
      <c r="P844" t="s">
        <v>424</v>
      </c>
      <c r="Q844" t="s">
        <v>15</v>
      </c>
      <c r="Y844" t="str">
        <f t="shared" si="281"/>
        <v/>
      </c>
      <c r="Z844" t="str">
        <f t="shared" si="282"/>
        <v/>
      </c>
      <c r="AC844" t="str">
        <f t="shared" si="283"/>
        <v>Possession</v>
      </c>
      <c r="AD844" t="str">
        <f t="shared" si="284"/>
        <v/>
      </c>
      <c r="AE844" t="str">
        <f t="shared" si="285"/>
        <v/>
      </c>
      <c r="AF844" t="str">
        <f t="shared" si="286"/>
        <v>Offensive</v>
      </c>
      <c r="AG844">
        <f t="shared" si="292"/>
        <v>18981</v>
      </c>
      <c r="AH844" t="str">
        <f t="shared" si="293"/>
        <v>Nelson</v>
      </c>
      <c r="AI844" t="str">
        <f t="shared" si="294"/>
        <v>Velodrome</v>
      </c>
      <c r="AJ844" s="18">
        <f t="shared" si="287"/>
        <v>1</v>
      </c>
      <c r="AP844" s="18">
        <f t="shared" si="288"/>
        <v>0</v>
      </c>
      <c r="AQ844">
        <f t="shared" si="289"/>
        <v>1080</v>
      </c>
      <c r="AR844" s="23">
        <f t="shared" si="290"/>
        <v>1099</v>
      </c>
      <c r="AS844">
        <f t="shared" si="295"/>
        <v>1094</v>
      </c>
      <c r="AT844" s="21">
        <f t="shared" si="296"/>
        <v>1100</v>
      </c>
      <c r="AU844" s="21"/>
      <c r="AV844" s="21"/>
      <c r="AW844" s="21"/>
    </row>
    <row r="845" spans="1:49" x14ac:dyDescent="0.2">
      <c r="A845">
        <v>458</v>
      </c>
      <c r="E845">
        <f t="shared" si="291"/>
        <v>2</v>
      </c>
      <c r="F845" s="5" t="s">
        <v>472</v>
      </c>
      <c r="G845" s="5" t="s">
        <v>512</v>
      </c>
      <c r="J845" t="str">
        <f t="shared" si="298"/>
        <v>17</v>
      </c>
      <c r="K845" t="str">
        <f t="shared" si="299"/>
        <v>40</v>
      </c>
      <c r="L845" t="str">
        <f t="shared" si="300"/>
        <v/>
      </c>
      <c r="M845" s="6" t="str">
        <f t="shared" si="301"/>
        <v/>
      </c>
      <c r="N845" t="s">
        <v>178</v>
      </c>
      <c r="O845">
        <v>10</v>
      </c>
      <c r="P845" t="s">
        <v>424</v>
      </c>
      <c r="Q845" t="s">
        <v>8</v>
      </c>
      <c r="R845" t="s">
        <v>189</v>
      </c>
      <c r="S845" t="s">
        <v>71</v>
      </c>
      <c r="Y845" t="str">
        <f t="shared" si="281"/>
        <v/>
      </c>
      <c r="Z845" t="str">
        <f t="shared" si="282"/>
        <v/>
      </c>
      <c r="AC845" t="str">
        <f t="shared" si="283"/>
        <v>Pass</v>
      </c>
      <c r="AD845" t="str">
        <f t="shared" si="284"/>
        <v>Pass_Completed</v>
      </c>
      <c r="AE845" t="str">
        <f t="shared" si="285"/>
        <v>Pass-Bank</v>
      </c>
      <c r="AF845" t="str">
        <f t="shared" si="286"/>
        <v>Offensive</v>
      </c>
      <c r="AG845">
        <f t="shared" si="292"/>
        <v>18981</v>
      </c>
      <c r="AH845" t="str">
        <f t="shared" si="293"/>
        <v>Nelson</v>
      </c>
      <c r="AI845" t="str">
        <f t="shared" si="294"/>
        <v>Velodrome</v>
      </c>
      <c r="AJ845" s="18">
        <f t="shared" si="287"/>
        <v>0</v>
      </c>
      <c r="AP845" s="18">
        <f t="shared" si="288"/>
        <v>0</v>
      </c>
      <c r="AQ845">
        <f t="shared" si="289"/>
        <v>1080</v>
      </c>
      <c r="AR845" s="23">
        <f t="shared" si="290"/>
        <v>1100</v>
      </c>
      <c r="AS845">
        <f t="shared" si="295"/>
        <v>1095</v>
      </c>
      <c r="AT845" s="21">
        <f t="shared" si="296"/>
        <v>1100</v>
      </c>
      <c r="AU845" s="21"/>
      <c r="AV845" s="21"/>
      <c r="AW845" s="21"/>
    </row>
    <row r="846" spans="1:49" x14ac:dyDescent="0.2">
      <c r="A846">
        <v>458</v>
      </c>
      <c r="E846">
        <f t="shared" si="291"/>
        <v>2</v>
      </c>
      <c r="J846" t="str">
        <f t="shared" si="298"/>
        <v>17</v>
      </c>
      <c r="K846" t="str">
        <f t="shared" si="299"/>
        <v>40</v>
      </c>
      <c r="L846" t="str">
        <f t="shared" si="300"/>
        <v/>
      </c>
      <c r="M846" s="6" t="str">
        <f t="shared" si="301"/>
        <v/>
      </c>
      <c r="N846" t="str">
        <f t="shared" si="297"/>
        <v>Home</v>
      </c>
      <c r="O846">
        <v>80</v>
      </c>
      <c r="P846" t="s">
        <v>424</v>
      </c>
      <c r="Y846" t="str">
        <f t="shared" si="281"/>
        <v/>
      </c>
      <c r="Z846" t="str">
        <f t="shared" si="282"/>
        <v/>
      </c>
      <c r="AC846" t="str">
        <f t="shared" si="283"/>
        <v>Pass</v>
      </c>
      <c r="AD846" t="str">
        <f t="shared" si="284"/>
        <v>Pass_Completed</v>
      </c>
      <c r="AE846" t="str">
        <f t="shared" si="285"/>
        <v>Pass-Bank</v>
      </c>
      <c r="AF846" t="str">
        <f t="shared" si="286"/>
        <v>Offensive</v>
      </c>
      <c r="AG846">
        <f t="shared" si="292"/>
        <v>18981</v>
      </c>
      <c r="AH846" t="str">
        <f t="shared" si="293"/>
        <v>Nelson</v>
      </c>
      <c r="AI846" t="str">
        <f t="shared" si="294"/>
        <v>Velodrome</v>
      </c>
      <c r="AJ846" s="18">
        <f t="shared" si="287"/>
        <v>0</v>
      </c>
      <c r="AP846" s="18">
        <f t="shared" si="288"/>
        <v>0</v>
      </c>
      <c r="AQ846">
        <f t="shared" si="289"/>
        <v>1080</v>
      </c>
      <c r="AR846" s="23">
        <f t="shared" si="290"/>
        <v>1100</v>
      </c>
      <c r="AS846">
        <f t="shared" si="295"/>
        <v>1095</v>
      </c>
      <c r="AT846" s="21">
        <f t="shared" si="296"/>
        <v>1100</v>
      </c>
      <c r="AU846" s="21"/>
      <c r="AV846" s="21"/>
      <c r="AW846" s="21"/>
    </row>
    <row r="847" spans="1:49" x14ac:dyDescent="0.2">
      <c r="A847">
        <v>458</v>
      </c>
      <c r="E847">
        <f t="shared" si="291"/>
        <v>2</v>
      </c>
      <c r="J847" t="str">
        <f t="shared" si="298"/>
        <v>17</v>
      </c>
      <c r="K847" t="str">
        <f t="shared" si="299"/>
        <v>40</v>
      </c>
      <c r="L847" t="str">
        <f t="shared" si="300"/>
        <v/>
      </c>
      <c r="M847" s="6" t="str">
        <f t="shared" si="301"/>
        <v/>
      </c>
      <c r="N847" t="str">
        <f t="shared" si="297"/>
        <v>Home</v>
      </c>
      <c r="O847">
        <v>52</v>
      </c>
      <c r="P847" t="s">
        <v>425</v>
      </c>
      <c r="Y847" t="str">
        <f t="shared" si="281"/>
        <v/>
      </c>
      <c r="Z847" t="str">
        <f t="shared" si="282"/>
        <v/>
      </c>
      <c r="AC847" t="str">
        <f t="shared" si="283"/>
        <v>Pass</v>
      </c>
      <c r="AD847" t="str">
        <f t="shared" si="284"/>
        <v>Pass_Completed</v>
      </c>
      <c r="AE847" t="str">
        <f t="shared" si="285"/>
        <v>Pass-Bank</v>
      </c>
      <c r="AF847" t="str">
        <f t="shared" si="286"/>
        <v>Defensive</v>
      </c>
      <c r="AG847">
        <f t="shared" si="292"/>
        <v>18981</v>
      </c>
      <c r="AH847" t="str">
        <f t="shared" si="293"/>
        <v>Nelson</v>
      </c>
      <c r="AI847" t="str">
        <f t="shared" si="294"/>
        <v>Velodrome</v>
      </c>
      <c r="AJ847" s="18">
        <f t="shared" si="287"/>
        <v>0</v>
      </c>
      <c r="AP847" s="18">
        <f t="shared" si="288"/>
        <v>0</v>
      </c>
      <c r="AQ847">
        <f t="shared" si="289"/>
        <v>1080</v>
      </c>
      <c r="AR847" s="23">
        <f t="shared" si="290"/>
        <v>1100</v>
      </c>
      <c r="AS847">
        <f t="shared" si="295"/>
        <v>1095</v>
      </c>
      <c r="AT847" s="21">
        <f t="shared" si="296"/>
        <v>1100</v>
      </c>
      <c r="AU847" s="21"/>
      <c r="AV847" s="21"/>
      <c r="AW847" s="21"/>
    </row>
    <row r="848" spans="1:49" x14ac:dyDescent="0.2">
      <c r="A848">
        <v>459</v>
      </c>
      <c r="E848">
        <f t="shared" si="291"/>
        <v>2</v>
      </c>
      <c r="F848" s="5" t="s">
        <v>472</v>
      </c>
      <c r="G848" s="5" t="s">
        <v>510</v>
      </c>
      <c r="H848" s="5" t="s">
        <v>472</v>
      </c>
      <c r="I848" s="7" t="s">
        <v>504</v>
      </c>
      <c r="J848" t="str">
        <f t="shared" si="298"/>
        <v>17</v>
      </c>
      <c r="K848" t="str">
        <f t="shared" si="299"/>
        <v>38</v>
      </c>
      <c r="L848" t="str">
        <f t="shared" si="300"/>
        <v>17</v>
      </c>
      <c r="M848" s="6" t="str">
        <f t="shared" si="301"/>
        <v>32</v>
      </c>
      <c r="N848" t="s">
        <v>178</v>
      </c>
      <c r="O848">
        <v>80</v>
      </c>
      <c r="P848" t="s">
        <v>424</v>
      </c>
      <c r="Q848" t="s">
        <v>15</v>
      </c>
      <c r="Y848" t="str">
        <f t="shared" si="281"/>
        <v/>
      </c>
      <c r="Z848" t="str">
        <f t="shared" si="282"/>
        <v/>
      </c>
      <c r="AC848" t="str">
        <f t="shared" si="283"/>
        <v>Possession</v>
      </c>
      <c r="AD848" t="str">
        <f t="shared" si="284"/>
        <v/>
      </c>
      <c r="AE848" t="str">
        <f t="shared" si="285"/>
        <v/>
      </c>
      <c r="AF848" t="str">
        <f t="shared" si="286"/>
        <v>Offensive</v>
      </c>
      <c r="AG848">
        <f t="shared" si="292"/>
        <v>18981</v>
      </c>
      <c r="AH848" t="str">
        <f t="shared" si="293"/>
        <v>Nelson</v>
      </c>
      <c r="AI848" t="str">
        <f t="shared" si="294"/>
        <v>Velodrome</v>
      </c>
      <c r="AJ848" s="18">
        <f t="shared" si="287"/>
        <v>6</v>
      </c>
      <c r="AP848" s="18">
        <f t="shared" si="288"/>
        <v>0</v>
      </c>
      <c r="AQ848">
        <f t="shared" si="289"/>
        <v>1080</v>
      </c>
      <c r="AR848" s="23">
        <f t="shared" si="290"/>
        <v>1102</v>
      </c>
      <c r="AS848">
        <f t="shared" si="295"/>
        <v>1097</v>
      </c>
      <c r="AT848" s="21">
        <f t="shared" si="296"/>
        <v>1108</v>
      </c>
      <c r="AU848" s="21"/>
      <c r="AV848" s="21"/>
      <c r="AW848" s="21"/>
    </row>
    <row r="849" spans="1:49" x14ac:dyDescent="0.2">
      <c r="A849">
        <v>459</v>
      </c>
      <c r="E849">
        <f t="shared" si="291"/>
        <v>2</v>
      </c>
      <c r="J849" t="str">
        <f t="shared" si="298"/>
        <v>17</v>
      </c>
      <c r="K849" t="str">
        <f t="shared" si="299"/>
        <v>38</v>
      </c>
      <c r="L849" t="str">
        <f t="shared" si="300"/>
        <v>17</v>
      </c>
      <c r="M849" s="6" t="str">
        <f t="shared" si="301"/>
        <v>32</v>
      </c>
      <c r="N849" t="str">
        <f t="shared" si="297"/>
        <v>Home</v>
      </c>
      <c r="O849">
        <v>61</v>
      </c>
      <c r="P849" t="s">
        <v>425</v>
      </c>
      <c r="Y849" t="str">
        <f t="shared" si="281"/>
        <v/>
      </c>
      <c r="Z849" t="str">
        <f t="shared" si="282"/>
        <v/>
      </c>
      <c r="AC849" t="str">
        <f t="shared" si="283"/>
        <v>Possession</v>
      </c>
      <c r="AD849" t="str">
        <f t="shared" si="284"/>
        <v/>
      </c>
      <c r="AE849" t="str">
        <f t="shared" si="285"/>
        <v/>
      </c>
      <c r="AF849" t="str">
        <f t="shared" si="286"/>
        <v>Defensive</v>
      </c>
      <c r="AG849">
        <f t="shared" si="292"/>
        <v>18981</v>
      </c>
      <c r="AH849" t="str">
        <f t="shared" si="293"/>
        <v>Nelson</v>
      </c>
      <c r="AI849" t="str">
        <f t="shared" si="294"/>
        <v>Velodrome</v>
      </c>
      <c r="AJ849" s="18">
        <f t="shared" si="287"/>
        <v>6</v>
      </c>
      <c r="AP849" s="18">
        <f t="shared" si="288"/>
        <v>0</v>
      </c>
      <c r="AQ849">
        <f t="shared" si="289"/>
        <v>1080</v>
      </c>
      <c r="AR849" s="23">
        <f t="shared" si="290"/>
        <v>1102</v>
      </c>
      <c r="AS849">
        <f t="shared" si="295"/>
        <v>1097</v>
      </c>
      <c r="AT849" s="21">
        <f t="shared" si="296"/>
        <v>1108</v>
      </c>
      <c r="AU849" s="21"/>
      <c r="AV849" s="21"/>
      <c r="AW849" s="21"/>
    </row>
    <row r="850" spans="1:49" x14ac:dyDescent="0.2">
      <c r="A850">
        <v>459</v>
      </c>
      <c r="E850">
        <f t="shared" si="291"/>
        <v>2</v>
      </c>
      <c r="J850" t="str">
        <f t="shared" si="298"/>
        <v>17</v>
      </c>
      <c r="K850" t="str">
        <f t="shared" si="299"/>
        <v>38</v>
      </c>
      <c r="L850" t="str">
        <f t="shared" si="300"/>
        <v>17</v>
      </c>
      <c r="M850" s="6" t="str">
        <f t="shared" si="301"/>
        <v>32</v>
      </c>
      <c r="N850" t="str">
        <f t="shared" si="297"/>
        <v>Home</v>
      </c>
      <c r="O850">
        <v>14</v>
      </c>
      <c r="P850" t="s">
        <v>425</v>
      </c>
      <c r="Y850" t="str">
        <f t="shared" si="281"/>
        <v/>
      </c>
      <c r="Z850" t="str">
        <f t="shared" si="282"/>
        <v/>
      </c>
      <c r="AC850" t="str">
        <f t="shared" si="283"/>
        <v>Possession</v>
      </c>
      <c r="AD850" t="str">
        <f t="shared" si="284"/>
        <v/>
      </c>
      <c r="AE850" t="str">
        <f t="shared" si="285"/>
        <v/>
      </c>
      <c r="AF850" t="str">
        <f t="shared" si="286"/>
        <v>Defensive</v>
      </c>
      <c r="AG850">
        <f t="shared" si="292"/>
        <v>18981</v>
      </c>
      <c r="AH850" t="str">
        <f t="shared" si="293"/>
        <v>Nelson</v>
      </c>
      <c r="AI850" t="str">
        <f t="shared" si="294"/>
        <v>Velodrome</v>
      </c>
      <c r="AJ850" s="18">
        <f t="shared" si="287"/>
        <v>6</v>
      </c>
      <c r="AP850" s="18">
        <f t="shared" si="288"/>
        <v>0</v>
      </c>
      <c r="AQ850">
        <f t="shared" si="289"/>
        <v>1080</v>
      </c>
      <c r="AR850" s="23">
        <f t="shared" si="290"/>
        <v>1102</v>
      </c>
      <c r="AS850">
        <f t="shared" si="295"/>
        <v>1097</v>
      </c>
      <c r="AT850" s="21">
        <f t="shared" si="296"/>
        <v>1108</v>
      </c>
      <c r="AU850" s="21"/>
      <c r="AV850" s="21"/>
      <c r="AW850" s="21"/>
    </row>
    <row r="851" spans="1:49" x14ac:dyDescent="0.2">
      <c r="A851">
        <v>460</v>
      </c>
      <c r="E851">
        <f t="shared" si="291"/>
        <v>2</v>
      </c>
      <c r="F851" s="5" t="s">
        <v>472</v>
      </c>
      <c r="G851" s="5" t="s">
        <v>503</v>
      </c>
      <c r="J851" t="str">
        <f t="shared" si="298"/>
        <v>17</v>
      </c>
      <c r="K851" t="str">
        <f t="shared" si="299"/>
        <v>31</v>
      </c>
      <c r="L851" t="str">
        <f t="shared" si="300"/>
        <v/>
      </c>
      <c r="M851" s="6" t="str">
        <f t="shared" si="301"/>
        <v/>
      </c>
      <c r="N851" t="s">
        <v>178</v>
      </c>
      <c r="O851">
        <v>80</v>
      </c>
      <c r="P851" t="s">
        <v>424</v>
      </c>
      <c r="Q851" t="s">
        <v>8</v>
      </c>
      <c r="R851" t="s">
        <v>189</v>
      </c>
      <c r="S851" t="s">
        <v>70</v>
      </c>
      <c r="Y851" t="str">
        <f t="shared" si="281"/>
        <v/>
      </c>
      <c r="Z851" t="str">
        <f t="shared" si="282"/>
        <v/>
      </c>
      <c r="AC851" t="str">
        <f t="shared" si="283"/>
        <v>Pass</v>
      </c>
      <c r="AD851" t="str">
        <f t="shared" si="284"/>
        <v>Pass_Completed</v>
      </c>
      <c r="AE851" t="str">
        <f t="shared" si="285"/>
        <v>Pass-Forehand</v>
      </c>
      <c r="AF851" t="str">
        <f t="shared" si="286"/>
        <v>Offensive</v>
      </c>
      <c r="AG851">
        <f t="shared" si="292"/>
        <v>18981</v>
      </c>
      <c r="AH851" t="str">
        <f t="shared" si="293"/>
        <v>Nelson</v>
      </c>
      <c r="AI851" t="str">
        <f t="shared" si="294"/>
        <v>Velodrome</v>
      </c>
      <c r="AJ851" s="18">
        <f t="shared" si="287"/>
        <v>0</v>
      </c>
      <c r="AP851" s="18">
        <f t="shared" si="288"/>
        <v>0</v>
      </c>
      <c r="AQ851">
        <f t="shared" si="289"/>
        <v>1080</v>
      </c>
      <c r="AR851" s="23">
        <f t="shared" si="290"/>
        <v>1109</v>
      </c>
      <c r="AS851">
        <f t="shared" si="295"/>
        <v>1104</v>
      </c>
      <c r="AT851" s="21">
        <f t="shared" si="296"/>
        <v>1109</v>
      </c>
      <c r="AU851" s="21"/>
      <c r="AV851" s="21"/>
      <c r="AW851" s="21"/>
    </row>
    <row r="852" spans="1:49" x14ac:dyDescent="0.2">
      <c r="A852">
        <v>460</v>
      </c>
      <c r="E852">
        <f t="shared" si="291"/>
        <v>2</v>
      </c>
      <c r="J852" t="str">
        <f t="shared" si="298"/>
        <v>17</v>
      </c>
      <c r="K852" t="str">
        <f t="shared" si="299"/>
        <v>31</v>
      </c>
      <c r="L852" t="str">
        <f t="shared" si="300"/>
        <v/>
      </c>
      <c r="M852" s="6" t="str">
        <f t="shared" si="301"/>
        <v/>
      </c>
      <c r="N852" t="str">
        <f t="shared" si="297"/>
        <v>Home</v>
      </c>
      <c r="O852">
        <v>10</v>
      </c>
      <c r="P852" t="s">
        <v>424</v>
      </c>
      <c r="Y852" t="str">
        <f t="shared" si="281"/>
        <v/>
      </c>
      <c r="Z852" t="str">
        <f t="shared" si="282"/>
        <v/>
      </c>
      <c r="AC852" t="str">
        <f t="shared" si="283"/>
        <v>Pass</v>
      </c>
      <c r="AD852" t="str">
        <f t="shared" si="284"/>
        <v>Pass_Completed</v>
      </c>
      <c r="AE852" t="str">
        <f t="shared" si="285"/>
        <v>Pass-Forehand</v>
      </c>
      <c r="AF852" t="str">
        <f t="shared" si="286"/>
        <v>Offensive</v>
      </c>
      <c r="AG852">
        <f t="shared" si="292"/>
        <v>18981</v>
      </c>
      <c r="AH852" t="str">
        <f t="shared" si="293"/>
        <v>Nelson</v>
      </c>
      <c r="AI852" t="str">
        <f t="shared" si="294"/>
        <v>Velodrome</v>
      </c>
      <c r="AJ852" s="18">
        <f t="shared" si="287"/>
        <v>0</v>
      </c>
      <c r="AP852" s="18">
        <f t="shared" si="288"/>
        <v>0</v>
      </c>
      <c r="AQ852">
        <f t="shared" si="289"/>
        <v>1080</v>
      </c>
      <c r="AR852" s="23">
        <f t="shared" si="290"/>
        <v>1109</v>
      </c>
      <c r="AS852">
        <f t="shared" si="295"/>
        <v>1104</v>
      </c>
      <c r="AT852" s="21">
        <f t="shared" si="296"/>
        <v>1109</v>
      </c>
      <c r="AU852" s="21"/>
      <c r="AV852" s="21"/>
      <c r="AW852" s="21"/>
    </row>
    <row r="853" spans="1:49" x14ac:dyDescent="0.2">
      <c r="A853">
        <v>461</v>
      </c>
      <c r="E853">
        <f t="shared" si="291"/>
        <v>2</v>
      </c>
      <c r="F853" s="5" t="s">
        <v>472</v>
      </c>
      <c r="G853" s="5" t="s">
        <v>503</v>
      </c>
      <c r="H853" s="5" t="s">
        <v>472</v>
      </c>
      <c r="I853" s="7" t="s">
        <v>500</v>
      </c>
      <c r="J853" t="str">
        <f t="shared" si="298"/>
        <v>17</v>
      </c>
      <c r="K853" t="str">
        <f t="shared" si="299"/>
        <v>31</v>
      </c>
      <c r="L853" t="str">
        <f t="shared" si="300"/>
        <v>17</v>
      </c>
      <c r="M853" s="6" t="str">
        <f t="shared" si="301"/>
        <v>28</v>
      </c>
      <c r="N853" t="s">
        <v>178</v>
      </c>
      <c r="O853">
        <v>10</v>
      </c>
      <c r="P853" t="s">
        <v>424</v>
      </c>
      <c r="Q853" t="s">
        <v>15</v>
      </c>
      <c r="Y853" t="str">
        <f t="shared" si="281"/>
        <v/>
      </c>
      <c r="Z853" t="str">
        <f t="shared" si="282"/>
        <v/>
      </c>
      <c r="AC853" t="str">
        <f t="shared" si="283"/>
        <v>Possession</v>
      </c>
      <c r="AD853" t="str">
        <f t="shared" si="284"/>
        <v/>
      </c>
      <c r="AE853" t="str">
        <f t="shared" si="285"/>
        <v/>
      </c>
      <c r="AF853" t="str">
        <f t="shared" si="286"/>
        <v>Offensive</v>
      </c>
      <c r="AG853">
        <f t="shared" si="292"/>
        <v>18981</v>
      </c>
      <c r="AH853" t="str">
        <f t="shared" si="293"/>
        <v>Nelson</v>
      </c>
      <c r="AI853" t="str">
        <f t="shared" si="294"/>
        <v>Velodrome</v>
      </c>
      <c r="AJ853" s="18">
        <f t="shared" si="287"/>
        <v>3</v>
      </c>
      <c r="AP853" s="18">
        <f t="shared" si="288"/>
        <v>0</v>
      </c>
      <c r="AQ853">
        <f t="shared" si="289"/>
        <v>1080</v>
      </c>
      <c r="AR853" s="23">
        <f t="shared" si="290"/>
        <v>1109</v>
      </c>
      <c r="AS853">
        <f t="shared" si="295"/>
        <v>1104</v>
      </c>
      <c r="AT853" s="21">
        <f t="shared" si="296"/>
        <v>1112</v>
      </c>
      <c r="AU853" s="21"/>
      <c r="AV853" s="21"/>
      <c r="AW853" s="21"/>
    </row>
    <row r="854" spans="1:49" x14ac:dyDescent="0.2">
      <c r="A854">
        <v>462</v>
      </c>
      <c r="E854">
        <f t="shared" si="291"/>
        <v>2</v>
      </c>
      <c r="F854" s="5" t="s">
        <v>472</v>
      </c>
      <c r="G854" s="5" t="s">
        <v>500</v>
      </c>
      <c r="J854" t="str">
        <f t="shared" si="298"/>
        <v>17</v>
      </c>
      <c r="K854" t="str">
        <f t="shared" si="299"/>
        <v>28</v>
      </c>
      <c r="L854" t="str">
        <f t="shared" si="300"/>
        <v/>
      </c>
      <c r="M854" s="6" t="str">
        <f t="shared" si="301"/>
        <v/>
      </c>
      <c r="N854" t="s">
        <v>178</v>
      </c>
      <c r="O854">
        <v>10</v>
      </c>
      <c r="P854" t="s">
        <v>424</v>
      </c>
      <c r="Q854" t="s">
        <v>7</v>
      </c>
      <c r="R854" t="s">
        <v>281</v>
      </c>
      <c r="Y854" t="str">
        <f t="shared" si="281"/>
        <v/>
      </c>
      <c r="Z854" t="str">
        <f t="shared" si="282"/>
        <v/>
      </c>
      <c r="AC854" t="str">
        <f t="shared" si="283"/>
        <v>Shot</v>
      </c>
      <c r="AD854" t="str">
        <f t="shared" si="284"/>
        <v>Shot_Goal</v>
      </c>
      <c r="AE854" t="str">
        <f t="shared" si="285"/>
        <v/>
      </c>
      <c r="AF854" t="str">
        <f t="shared" si="286"/>
        <v>Offensive</v>
      </c>
      <c r="AG854">
        <f t="shared" si="292"/>
        <v>18981</v>
      </c>
      <c r="AH854" t="str">
        <f t="shared" si="293"/>
        <v>Nelson</v>
      </c>
      <c r="AI854" t="str">
        <f t="shared" si="294"/>
        <v>Velodrome</v>
      </c>
      <c r="AJ854" s="18">
        <f t="shared" si="287"/>
        <v>0</v>
      </c>
      <c r="AP854" s="18">
        <f t="shared" si="288"/>
        <v>0</v>
      </c>
      <c r="AQ854">
        <f t="shared" si="289"/>
        <v>1080</v>
      </c>
      <c r="AR854" s="23">
        <f t="shared" si="290"/>
        <v>1112</v>
      </c>
      <c r="AS854">
        <f t="shared" si="295"/>
        <v>1107</v>
      </c>
      <c r="AT854" s="21">
        <f t="shared" si="296"/>
        <v>1112</v>
      </c>
      <c r="AU854" s="21"/>
      <c r="AV854" s="21"/>
      <c r="AW854" s="21"/>
    </row>
    <row r="855" spans="1:49" x14ac:dyDescent="0.2">
      <c r="A855">
        <v>462</v>
      </c>
      <c r="E855">
        <f t="shared" si="291"/>
        <v>2</v>
      </c>
      <c r="J855" t="str">
        <f t="shared" si="298"/>
        <v>17</v>
      </c>
      <c r="K855" t="str">
        <f t="shared" si="299"/>
        <v>28</v>
      </c>
      <c r="L855" t="str">
        <f t="shared" si="300"/>
        <v/>
      </c>
      <c r="M855" s="6" t="str">
        <f t="shared" si="301"/>
        <v/>
      </c>
      <c r="N855" t="str">
        <f t="shared" si="297"/>
        <v>Home</v>
      </c>
      <c r="O855">
        <v>16</v>
      </c>
      <c r="P855" t="s">
        <v>424</v>
      </c>
      <c r="Y855" t="str">
        <f t="shared" si="281"/>
        <v/>
      </c>
      <c r="Z855" t="str">
        <f t="shared" si="282"/>
        <v/>
      </c>
      <c r="AC855" t="str">
        <f t="shared" si="283"/>
        <v>Shot</v>
      </c>
      <c r="AD855" t="str">
        <f t="shared" si="284"/>
        <v>Shot_Goal</v>
      </c>
      <c r="AE855" t="str">
        <f t="shared" si="285"/>
        <v/>
      </c>
      <c r="AF855" t="str">
        <f t="shared" si="286"/>
        <v>Offensive</v>
      </c>
      <c r="AG855">
        <f t="shared" si="292"/>
        <v>18981</v>
      </c>
      <c r="AH855" t="str">
        <f t="shared" si="293"/>
        <v>Nelson</v>
      </c>
      <c r="AI855" t="str">
        <f t="shared" si="294"/>
        <v>Velodrome</v>
      </c>
      <c r="AJ855" s="18">
        <f t="shared" si="287"/>
        <v>0</v>
      </c>
      <c r="AP855" s="18">
        <f t="shared" si="288"/>
        <v>0</v>
      </c>
      <c r="AQ855">
        <f t="shared" si="289"/>
        <v>1080</v>
      </c>
      <c r="AR855" s="23">
        <f t="shared" si="290"/>
        <v>1112</v>
      </c>
      <c r="AS855">
        <f t="shared" si="295"/>
        <v>1107</v>
      </c>
      <c r="AT855" s="21">
        <f t="shared" si="296"/>
        <v>1112</v>
      </c>
      <c r="AU855" s="21"/>
      <c r="AV855" s="21"/>
      <c r="AW855" s="21"/>
    </row>
    <row r="856" spans="1:49" x14ac:dyDescent="0.2">
      <c r="A856">
        <v>462</v>
      </c>
      <c r="E856">
        <f t="shared" si="291"/>
        <v>2</v>
      </c>
      <c r="J856" t="str">
        <f t="shared" si="298"/>
        <v>17</v>
      </c>
      <c r="K856" t="str">
        <f t="shared" si="299"/>
        <v>28</v>
      </c>
      <c r="L856" t="str">
        <f t="shared" si="300"/>
        <v/>
      </c>
      <c r="M856" s="6" t="str">
        <f t="shared" si="301"/>
        <v/>
      </c>
      <c r="N856" t="str">
        <f t="shared" si="297"/>
        <v>Home</v>
      </c>
      <c r="O856">
        <v>39</v>
      </c>
      <c r="P856" t="s">
        <v>425</v>
      </c>
      <c r="Y856" t="str">
        <f t="shared" si="281"/>
        <v/>
      </c>
      <c r="Z856" t="str">
        <f t="shared" si="282"/>
        <v/>
      </c>
      <c r="AC856" t="str">
        <f t="shared" si="283"/>
        <v>Shot</v>
      </c>
      <c r="AD856" t="str">
        <f t="shared" si="284"/>
        <v>Shot_Goal</v>
      </c>
      <c r="AE856" t="str">
        <f t="shared" si="285"/>
        <v/>
      </c>
      <c r="AF856" t="str">
        <f t="shared" si="286"/>
        <v>Defensive</v>
      </c>
      <c r="AG856">
        <f t="shared" si="292"/>
        <v>18981</v>
      </c>
      <c r="AH856" t="str">
        <f t="shared" si="293"/>
        <v>Nelson</v>
      </c>
      <c r="AI856" t="str">
        <f t="shared" si="294"/>
        <v>Velodrome</v>
      </c>
      <c r="AJ856" s="18">
        <f t="shared" si="287"/>
        <v>0</v>
      </c>
      <c r="AP856" s="18">
        <f t="shared" si="288"/>
        <v>0</v>
      </c>
      <c r="AQ856">
        <f t="shared" si="289"/>
        <v>1080</v>
      </c>
      <c r="AR856" s="23">
        <f t="shared" si="290"/>
        <v>1112</v>
      </c>
      <c r="AS856">
        <f t="shared" si="295"/>
        <v>1107</v>
      </c>
      <c r="AT856" s="21">
        <f t="shared" si="296"/>
        <v>1112</v>
      </c>
      <c r="AU856" s="21"/>
      <c r="AV856" s="21"/>
      <c r="AW856" s="21"/>
    </row>
    <row r="857" spans="1:49" x14ac:dyDescent="0.2">
      <c r="A857">
        <v>463</v>
      </c>
      <c r="E857">
        <f t="shared" si="291"/>
        <v>2</v>
      </c>
      <c r="F857" s="5" t="s">
        <v>472</v>
      </c>
      <c r="G857" s="5" t="s">
        <v>500</v>
      </c>
      <c r="J857" t="str">
        <f t="shared" si="298"/>
        <v>17</v>
      </c>
      <c r="K857" t="str">
        <f t="shared" si="299"/>
        <v>28</v>
      </c>
      <c r="L857" t="str">
        <f t="shared" si="300"/>
        <v/>
      </c>
      <c r="M857" s="6" t="str">
        <f t="shared" si="301"/>
        <v/>
      </c>
      <c r="N857" t="s">
        <v>178</v>
      </c>
      <c r="O857">
        <v>10</v>
      </c>
      <c r="P857" t="s">
        <v>424</v>
      </c>
      <c r="Q857" t="s">
        <v>9</v>
      </c>
      <c r="R857" t="s">
        <v>230</v>
      </c>
      <c r="S857" t="s">
        <v>233</v>
      </c>
      <c r="Y857" t="str">
        <f t="shared" si="281"/>
        <v/>
      </c>
      <c r="Z857" t="str">
        <f t="shared" si="282"/>
        <v/>
      </c>
      <c r="AC857" t="str">
        <f t="shared" si="283"/>
        <v>Goal</v>
      </c>
      <c r="AD857" t="str">
        <f t="shared" si="284"/>
        <v>Goal_Scored</v>
      </c>
      <c r="AE857" t="str">
        <f t="shared" si="285"/>
        <v>Goal-Wrist</v>
      </c>
      <c r="AF857" t="str">
        <f t="shared" si="286"/>
        <v>Offensive</v>
      </c>
      <c r="AG857">
        <f t="shared" si="292"/>
        <v>18981</v>
      </c>
      <c r="AH857" t="str">
        <f t="shared" si="293"/>
        <v>Nelson</v>
      </c>
      <c r="AI857" t="str">
        <f t="shared" si="294"/>
        <v>Velodrome</v>
      </c>
      <c r="AJ857" s="18">
        <f t="shared" si="287"/>
        <v>0</v>
      </c>
      <c r="AP857" s="18">
        <f t="shared" si="288"/>
        <v>0</v>
      </c>
      <c r="AQ857">
        <f t="shared" si="289"/>
        <v>1080</v>
      </c>
      <c r="AR857" s="23">
        <f t="shared" si="290"/>
        <v>1112</v>
      </c>
      <c r="AS857">
        <f t="shared" si="295"/>
        <v>1107</v>
      </c>
      <c r="AT857" s="21">
        <f t="shared" si="296"/>
        <v>1112</v>
      </c>
      <c r="AU857" s="21"/>
      <c r="AV857" s="21"/>
      <c r="AW857" s="21"/>
    </row>
    <row r="858" spans="1:49" x14ac:dyDescent="0.2">
      <c r="A858">
        <v>463</v>
      </c>
      <c r="E858">
        <f t="shared" si="291"/>
        <v>2</v>
      </c>
      <c r="J858" t="str">
        <f t="shared" si="298"/>
        <v>17</v>
      </c>
      <c r="K858" t="str">
        <f t="shared" si="299"/>
        <v>28</v>
      </c>
      <c r="L858" t="str">
        <f t="shared" si="300"/>
        <v/>
      </c>
      <c r="M858" s="6" t="str">
        <f t="shared" si="301"/>
        <v/>
      </c>
      <c r="N858" t="str">
        <f t="shared" si="297"/>
        <v>Home</v>
      </c>
      <c r="O858">
        <v>39</v>
      </c>
      <c r="P858" t="s">
        <v>425</v>
      </c>
      <c r="Y858" t="str">
        <f t="shared" si="281"/>
        <v/>
      </c>
      <c r="Z858" t="str">
        <f t="shared" si="282"/>
        <v/>
      </c>
      <c r="AC858" t="str">
        <f t="shared" si="283"/>
        <v>Goal</v>
      </c>
      <c r="AD858" t="str">
        <f t="shared" si="284"/>
        <v>Goal_Scored</v>
      </c>
      <c r="AE858" t="str">
        <f t="shared" si="285"/>
        <v>Goal-Wrist</v>
      </c>
      <c r="AF858" t="str">
        <f t="shared" si="286"/>
        <v>Defensive</v>
      </c>
      <c r="AG858">
        <f t="shared" si="292"/>
        <v>18981</v>
      </c>
      <c r="AH858" t="str">
        <f t="shared" si="293"/>
        <v>Nelson</v>
      </c>
      <c r="AI858" t="str">
        <f t="shared" si="294"/>
        <v>Velodrome</v>
      </c>
      <c r="AJ858" s="18">
        <f t="shared" si="287"/>
        <v>0</v>
      </c>
      <c r="AP858" s="18">
        <f t="shared" si="288"/>
        <v>0</v>
      </c>
      <c r="AQ858">
        <f t="shared" si="289"/>
        <v>1080</v>
      </c>
      <c r="AR858" s="23">
        <f t="shared" si="290"/>
        <v>1112</v>
      </c>
      <c r="AS858">
        <f t="shared" si="295"/>
        <v>1107</v>
      </c>
      <c r="AT858" s="21">
        <f t="shared" si="296"/>
        <v>1112</v>
      </c>
      <c r="AU858" s="21"/>
      <c r="AV858" s="21"/>
      <c r="AW858" s="21"/>
    </row>
    <row r="859" spans="1:49" x14ac:dyDescent="0.2">
      <c r="A859">
        <v>464</v>
      </c>
      <c r="E859">
        <f t="shared" si="291"/>
        <v>2</v>
      </c>
      <c r="F859" s="5" t="s">
        <v>472</v>
      </c>
      <c r="G859" s="5" t="s">
        <v>500</v>
      </c>
      <c r="J859" t="str">
        <f t="shared" si="298"/>
        <v>17</v>
      </c>
      <c r="K859" t="str">
        <f t="shared" si="299"/>
        <v>28</v>
      </c>
      <c r="L859" t="str">
        <f t="shared" si="300"/>
        <v/>
      </c>
      <c r="M859" s="6" t="str">
        <f t="shared" si="301"/>
        <v/>
      </c>
      <c r="N859" t="s">
        <v>178</v>
      </c>
      <c r="O859">
        <v>10</v>
      </c>
      <c r="P859" t="s">
        <v>424</v>
      </c>
      <c r="Q859" t="s">
        <v>13</v>
      </c>
      <c r="R859" t="s">
        <v>204</v>
      </c>
      <c r="S859" t="s">
        <v>42</v>
      </c>
      <c r="Y859" t="str">
        <f t="shared" si="281"/>
        <v/>
      </c>
      <c r="Z859" t="str">
        <f t="shared" si="282"/>
        <v/>
      </c>
      <c r="AC859" t="str">
        <f t="shared" si="283"/>
        <v>Stoppage</v>
      </c>
      <c r="AD859" t="str">
        <f t="shared" si="284"/>
        <v>Stoppage_Play</v>
      </c>
      <c r="AE859" t="str">
        <f t="shared" si="285"/>
        <v>Stoppage-Goal</v>
      </c>
      <c r="AF859" t="str">
        <f t="shared" si="286"/>
        <v/>
      </c>
      <c r="AG859">
        <f t="shared" si="292"/>
        <v>18981</v>
      </c>
      <c r="AH859" t="str">
        <f t="shared" si="293"/>
        <v>Nelson</v>
      </c>
      <c r="AI859" t="str">
        <f t="shared" si="294"/>
        <v>Velodrome</v>
      </c>
      <c r="AJ859" s="18">
        <f t="shared" si="287"/>
        <v>0</v>
      </c>
      <c r="AP859" s="18">
        <f t="shared" si="288"/>
        <v>0</v>
      </c>
      <c r="AQ859">
        <f t="shared" si="289"/>
        <v>1080</v>
      </c>
      <c r="AR859" s="23">
        <f t="shared" si="290"/>
        <v>1112</v>
      </c>
      <c r="AS859">
        <f t="shared" si="295"/>
        <v>1107</v>
      </c>
      <c r="AT859" s="21">
        <f t="shared" si="296"/>
        <v>1112</v>
      </c>
      <c r="AU859" s="21"/>
      <c r="AV859" s="21"/>
      <c r="AW859" s="21"/>
    </row>
    <row r="860" spans="1:49" x14ac:dyDescent="0.2">
      <c r="A860">
        <v>465</v>
      </c>
      <c r="E860">
        <f t="shared" si="291"/>
        <v>2</v>
      </c>
      <c r="F860" s="5" t="s">
        <v>472</v>
      </c>
      <c r="G860" s="5" t="s">
        <v>500</v>
      </c>
      <c r="H860" s="5" t="s">
        <v>477</v>
      </c>
      <c r="I860" s="7" t="s">
        <v>529</v>
      </c>
      <c r="J860" t="str">
        <f t="shared" si="298"/>
        <v>17</v>
      </c>
      <c r="K860" t="str">
        <f t="shared" si="299"/>
        <v>28</v>
      </c>
      <c r="L860" t="str">
        <f t="shared" si="300"/>
        <v>16</v>
      </c>
      <c r="M860" s="6" t="str">
        <f t="shared" si="301"/>
        <v>57</v>
      </c>
      <c r="N860" t="s">
        <v>178</v>
      </c>
      <c r="O860">
        <v>10</v>
      </c>
      <c r="P860" t="s">
        <v>424</v>
      </c>
      <c r="Q860" t="s">
        <v>282</v>
      </c>
      <c r="Y860" t="str">
        <f t="shared" si="281"/>
        <v/>
      </c>
      <c r="Z860" t="str">
        <f t="shared" si="282"/>
        <v/>
      </c>
      <c r="AC860" t="str">
        <f t="shared" si="283"/>
        <v>DeadIce</v>
      </c>
      <c r="AD860" t="str">
        <f t="shared" si="284"/>
        <v/>
      </c>
      <c r="AE860" t="str">
        <f t="shared" si="285"/>
        <v/>
      </c>
      <c r="AF860" t="str">
        <f t="shared" si="286"/>
        <v/>
      </c>
      <c r="AG860">
        <f t="shared" si="292"/>
        <v>18981</v>
      </c>
      <c r="AH860" t="str">
        <f t="shared" si="293"/>
        <v>Nelson</v>
      </c>
      <c r="AI860" t="str">
        <f t="shared" si="294"/>
        <v>Velodrome</v>
      </c>
      <c r="AJ860" s="18">
        <f t="shared" si="287"/>
        <v>31</v>
      </c>
      <c r="AP860" s="18">
        <f t="shared" si="288"/>
        <v>0</v>
      </c>
      <c r="AQ860">
        <f t="shared" si="289"/>
        <v>1080</v>
      </c>
      <c r="AR860" s="23">
        <f t="shared" si="290"/>
        <v>1112</v>
      </c>
      <c r="AS860">
        <f t="shared" si="295"/>
        <v>1107</v>
      </c>
      <c r="AT860" s="21">
        <f t="shared" si="296"/>
        <v>1143</v>
      </c>
      <c r="AU860" s="21"/>
      <c r="AV860" s="21"/>
      <c r="AW860" s="21"/>
    </row>
    <row r="861" spans="1:49" x14ac:dyDescent="0.2">
      <c r="A861">
        <v>466</v>
      </c>
      <c r="E861">
        <f t="shared" si="291"/>
        <v>2</v>
      </c>
      <c r="F861" s="5" t="s">
        <v>477</v>
      </c>
      <c r="G861" s="5" t="s">
        <v>529</v>
      </c>
      <c r="J861" t="str">
        <f t="shared" si="298"/>
        <v>16</v>
      </c>
      <c r="K861" t="str">
        <f t="shared" si="299"/>
        <v>57</v>
      </c>
      <c r="L861" t="str">
        <f t="shared" si="300"/>
        <v/>
      </c>
      <c r="M861" s="6" t="str">
        <f t="shared" si="301"/>
        <v/>
      </c>
      <c r="N861" t="s">
        <v>179</v>
      </c>
      <c r="O861">
        <v>70</v>
      </c>
      <c r="P861" t="s">
        <v>424</v>
      </c>
      <c r="Q861" t="s">
        <v>6</v>
      </c>
      <c r="R861" t="s">
        <v>207</v>
      </c>
      <c r="Y861" t="str">
        <f t="shared" si="281"/>
        <v/>
      </c>
      <c r="Z861" t="str">
        <f t="shared" si="282"/>
        <v/>
      </c>
      <c r="AC861" t="str">
        <f t="shared" si="283"/>
        <v>Faceoff</v>
      </c>
      <c r="AD861" t="str">
        <f t="shared" si="284"/>
        <v>Faceoff_AfterGoal</v>
      </c>
      <c r="AE861" t="str">
        <f t="shared" si="285"/>
        <v/>
      </c>
      <c r="AF861" t="str">
        <f t="shared" si="286"/>
        <v>Offensive</v>
      </c>
      <c r="AG861">
        <f t="shared" si="292"/>
        <v>18981</v>
      </c>
      <c r="AH861" t="str">
        <f t="shared" si="293"/>
        <v>Nelson</v>
      </c>
      <c r="AI861" t="str">
        <f t="shared" si="294"/>
        <v>Velodrome</v>
      </c>
      <c r="AJ861" s="18">
        <f t="shared" si="287"/>
        <v>0</v>
      </c>
      <c r="AP861" s="18">
        <f t="shared" si="288"/>
        <v>0</v>
      </c>
      <c r="AQ861">
        <f t="shared" si="289"/>
        <v>1080</v>
      </c>
      <c r="AR861" s="23">
        <f t="shared" si="290"/>
        <v>1143</v>
      </c>
      <c r="AS861">
        <f t="shared" si="295"/>
        <v>1138</v>
      </c>
      <c r="AT861" s="21">
        <f t="shared" si="296"/>
        <v>1143</v>
      </c>
      <c r="AU861" s="21"/>
      <c r="AV861" s="21"/>
      <c r="AW861" s="21"/>
    </row>
    <row r="862" spans="1:49" x14ac:dyDescent="0.2">
      <c r="A862">
        <v>466</v>
      </c>
      <c r="E862">
        <f t="shared" si="291"/>
        <v>2</v>
      </c>
      <c r="J862" t="str">
        <f t="shared" si="298"/>
        <v>16</v>
      </c>
      <c r="K862" t="str">
        <f t="shared" si="299"/>
        <v>57</v>
      </c>
      <c r="L862" t="str">
        <f t="shared" si="300"/>
        <v/>
      </c>
      <c r="M862" s="6" t="str">
        <f t="shared" si="301"/>
        <v/>
      </c>
      <c r="N862" t="str">
        <f t="shared" si="297"/>
        <v>Away</v>
      </c>
      <c r="O862">
        <v>10</v>
      </c>
      <c r="P862" t="s">
        <v>425</v>
      </c>
      <c r="Y862" t="str">
        <f t="shared" si="281"/>
        <v/>
      </c>
      <c r="Z862" t="str">
        <f t="shared" si="282"/>
        <v/>
      </c>
      <c r="AC862" t="str">
        <f t="shared" si="283"/>
        <v>Faceoff</v>
      </c>
      <c r="AD862" t="str">
        <f t="shared" si="284"/>
        <v>Faceoff_AfterGoal</v>
      </c>
      <c r="AE862" t="str">
        <f t="shared" si="285"/>
        <v/>
      </c>
      <c r="AF862" t="str">
        <f t="shared" si="286"/>
        <v>Defensive</v>
      </c>
      <c r="AG862">
        <f t="shared" si="292"/>
        <v>18981</v>
      </c>
      <c r="AH862" t="str">
        <f t="shared" si="293"/>
        <v>Nelson</v>
      </c>
      <c r="AI862" t="str">
        <f t="shared" si="294"/>
        <v>Velodrome</v>
      </c>
      <c r="AJ862" s="18">
        <f t="shared" si="287"/>
        <v>0</v>
      </c>
      <c r="AP862" s="18">
        <f t="shared" si="288"/>
        <v>0</v>
      </c>
      <c r="AQ862">
        <f t="shared" si="289"/>
        <v>1080</v>
      </c>
      <c r="AR862" s="23">
        <f t="shared" si="290"/>
        <v>1143</v>
      </c>
      <c r="AS862">
        <f t="shared" si="295"/>
        <v>1138</v>
      </c>
      <c r="AT862" s="21">
        <f t="shared" si="296"/>
        <v>1143</v>
      </c>
      <c r="AU862" s="21"/>
      <c r="AV862" s="21"/>
      <c r="AW862" s="21"/>
    </row>
    <row r="863" spans="1:49" x14ac:dyDescent="0.2">
      <c r="A863">
        <v>467</v>
      </c>
      <c r="E863">
        <f t="shared" si="291"/>
        <v>2</v>
      </c>
      <c r="F863" s="5" t="s">
        <v>477</v>
      </c>
      <c r="G863" s="5" t="s">
        <v>521</v>
      </c>
      <c r="H863" s="5" t="s">
        <v>477</v>
      </c>
      <c r="I863" s="7" t="s">
        <v>519</v>
      </c>
      <c r="J863" t="str">
        <f t="shared" si="298"/>
        <v>16</v>
      </c>
      <c r="K863" t="str">
        <f t="shared" si="299"/>
        <v>49</v>
      </c>
      <c r="L863" t="str">
        <f t="shared" si="300"/>
        <v>16</v>
      </c>
      <c r="M863" s="6" t="str">
        <f t="shared" si="301"/>
        <v>47</v>
      </c>
      <c r="N863" t="s">
        <v>179</v>
      </c>
      <c r="O863">
        <v>87</v>
      </c>
      <c r="P863" t="s">
        <v>424</v>
      </c>
      <c r="Q863" t="s">
        <v>277</v>
      </c>
      <c r="R863" t="s">
        <v>191</v>
      </c>
      <c r="S863" t="s">
        <v>87</v>
      </c>
      <c r="Y863" t="str">
        <f t="shared" si="281"/>
        <v/>
      </c>
      <c r="Z863" t="str">
        <f t="shared" si="282"/>
        <v/>
      </c>
      <c r="AC863" t="str">
        <f t="shared" si="283"/>
        <v>Zone_Entry_Exit</v>
      </c>
      <c r="AD863" t="str">
        <f t="shared" si="284"/>
        <v>Zone_Entry</v>
      </c>
      <c r="AE863" t="str">
        <f t="shared" si="285"/>
        <v>ZoneEntry-Rush</v>
      </c>
      <c r="AF863" t="str">
        <f t="shared" si="286"/>
        <v>Offensive</v>
      </c>
      <c r="AG863">
        <f t="shared" si="292"/>
        <v>18981</v>
      </c>
      <c r="AH863" t="str">
        <f t="shared" si="293"/>
        <v>Nelson</v>
      </c>
      <c r="AI863" t="str">
        <f t="shared" si="294"/>
        <v>Velodrome</v>
      </c>
      <c r="AJ863" s="18">
        <f t="shared" si="287"/>
        <v>2</v>
      </c>
      <c r="AP863" s="18">
        <f t="shared" si="288"/>
        <v>0</v>
      </c>
      <c r="AQ863">
        <f t="shared" si="289"/>
        <v>1080</v>
      </c>
      <c r="AR863" s="23">
        <f t="shared" si="290"/>
        <v>1151</v>
      </c>
      <c r="AS863">
        <f t="shared" si="295"/>
        <v>1146</v>
      </c>
      <c r="AT863" s="21">
        <f t="shared" si="296"/>
        <v>1153</v>
      </c>
      <c r="AU863" s="21"/>
      <c r="AV863" s="21"/>
      <c r="AW863" s="21"/>
    </row>
    <row r="864" spans="1:49" x14ac:dyDescent="0.2">
      <c r="A864">
        <v>467</v>
      </c>
      <c r="E864">
        <f t="shared" si="291"/>
        <v>2</v>
      </c>
      <c r="J864" t="str">
        <f t="shared" si="298"/>
        <v>16</v>
      </c>
      <c r="K864" t="str">
        <f t="shared" si="299"/>
        <v>49</v>
      </c>
      <c r="L864" t="str">
        <f t="shared" si="300"/>
        <v>16</v>
      </c>
      <c r="M864" s="6" t="str">
        <f t="shared" si="301"/>
        <v>47</v>
      </c>
      <c r="N864" t="str">
        <f t="shared" si="297"/>
        <v>Away</v>
      </c>
      <c r="O864">
        <v>16</v>
      </c>
      <c r="P864" t="s">
        <v>425</v>
      </c>
      <c r="Y864" t="str">
        <f t="shared" si="281"/>
        <v/>
      </c>
      <c r="Z864" t="str">
        <f t="shared" si="282"/>
        <v/>
      </c>
      <c r="AC864" t="str">
        <f t="shared" si="283"/>
        <v>Zone_Entry_Exit</v>
      </c>
      <c r="AD864" t="str">
        <f t="shared" si="284"/>
        <v>Zone_Entry</v>
      </c>
      <c r="AE864" t="str">
        <f t="shared" si="285"/>
        <v>ZoneEntry-Rush</v>
      </c>
      <c r="AF864" t="str">
        <f t="shared" si="286"/>
        <v>Defensive</v>
      </c>
      <c r="AG864">
        <f t="shared" si="292"/>
        <v>18981</v>
      </c>
      <c r="AH864" t="str">
        <f t="shared" si="293"/>
        <v>Nelson</v>
      </c>
      <c r="AI864" t="str">
        <f t="shared" si="294"/>
        <v>Velodrome</v>
      </c>
      <c r="AJ864" s="18">
        <f t="shared" si="287"/>
        <v>2</v>
      </c>
      <c r="AP864" s="18">
        <f t="shared" si="288"/>
        <v>0</v>
      </c>
      <c r="AQ864">
        <f t="shared" si="289"/>
        <v>1080</v>
      </c>
      <c r="AR864" s="23">
        <f t="shared" si="290"/>
        <v>1151</v>
      </c>
      <c r="AS864">
        <f t="shared" si="295"/>
        <v>1146</v>
      </c>
      <c r="AT864" s="21">
        <f t="shared" si="296"/>
        <v>1153</v>
      </c>
      <c r="AU864" s="21"/>
      <c r="AV864" s="21"/>
      <c r="AW864" s="21"/>
    </row>
    <row r="865" spans="1:49" x14ac:dyDescent="0.2">
      <c r="A865">
        <v>467</v>
      </c>
      <c r="E865">
        <f t="shared" si="291"/>
        <v>2</v>
      </c>
      <c r="J865" t="str">
        <f t="shared" si="298"/>
        <v>16</v>
      </c>
      <c r="K865" t="str">
        <f t="shared" si="299"/>
        <v>49</v>
      </c>
      <c r="L865" t="str">
        <f t="shared" si="300"/>
        <v>16</v>
      </c>
      <c r="M865" s="6" t="str">
        <f t="shared" si="301"/>
        <v>47</v>
      </c>
      <c r="N865" t="str">
        <f t="shared" si="297"/>
        <v>Away</v>
      </c>
      <c r="O865">
        <v>8</v>
      </c>
      <c r="P865" t="s">
        <v>425</v>
      </c>
      <c r="Y865" t="str">
        <f t="shared" si="281"/>
        <v/>
      </c>
      <c r="Z865" t="str">
        <f t="shared" si="282"/>
        <v/>
      </c>
      <c r="AC865" t="str">
        <f t="shared" si="283"/>
        <v>Zone_Entry_Exit</v>
      </c>
      <c r="AD865" t="str">
        <f t="shared" si="284"/>
        <v>Zone_Entry</v>
      </c>
      <c r="AE865" t="str">
        <f t="shared" si="285"/>
        <v>ZoneEntry-Rush</v>
      </c>
      <c r="AF865" t="str">
        <f t="shared" si="286"/>
        <v>Defensive</v>
      </c>
      <c r="AG865">
        <f t="shared" si="292"/>
        <v>18981</v>
      </c>
      <c r="AH865" t="str">
        <f t="shared" si="293"/>
        <v>Nelson</v>
      </c>
      <c r="AI865" t="str">
        <f t="shared" si="294"/>
        <v>Velodrome</v>
      </c>
      <c r="AJ865" s="18">
        <f t="shared" si="287"/>
        <v>2</v>
      </c>
      <c r="AP865" s="18">
        <f t="shared" si="288"/>
        <v>0</v>
      </c>
      <c r="AQ865">
        <f t="shared" si="289"/>
        <v>1080</v>
      </c>
      <c r="AR865" s="23">
        <f t="shared" si="290"/>
        <v>1151</v>
      </c>
      <c r="AS865">
        <f t="shared" si="295"/>
        <v>1146</v>
      </c>
      <c r="AT865" s="21">
        <f t="shared" si="296"/>
        <v>1153</v>
      </c>
      <c r="AU865" s="21"/>
      <c r="AV865" s="21"/>
      <c r="AW865" s="21"/>
    </row>
    <row r="866" spans="1:49" x14ac:dyDescent="0.2">
      <c r="A866">
        <v>467</v>
      </c>
      <c r="E866">
        <f t="shared" si="291"/>
        <v>2</v>
      </c>
      <c r="J866" t="str">
        <f t="shared" si="298"/>
        <v>16</v>
      </c>
      <c r="K866" t="str">
        <f t="shared" si="299"/>
        <v>49</v>
      </c>
      <c r="L866" t="str">
        <f t="shared" si="300"/>
        <v>16</v>
      </c>
      <c r="M866" s="6" t="str">
        <f t="shared" si="301"/>
        <v>47</v>
      </c>
      <c r="N866" t="str">
        <f t="shared" si="297"/>
        <v>Away</v>
      </c>
      <c r="O866">
        <v>80</v>
      </c>
      <c r="P866" t="s">
        <v>425</v>
      </c>
      <c r="Y866" t="str">
        <f t="shared" si="281"/>
        <v/>
      </c>
      <c r="Z866" t="str">
        <f t="shared" si="282"/>
        <v/>
      </c>
      <c r="AC866" t="str">
        <f t="shared" si="283"/>
        <v>Zone_Entry_Exit</v>
      </c>
      <c r="AD866" t="str">
        <f t="shared" si="284"/>
        <v>Zone_Entry</v>
      </c>
      <c r="AE866" t="str">
        <f t="shared" si="285"/>
        <v>ZoneEntry-Rush</v>
      </c>
      <c r="AF866" t="str">
        <f t="shared" si="286"/>
        <v>Defensive</v>
      </c>
      <c r="AG866">
        <f t="shared" si="292"/>
        <v>18981</v>
      </c>
      <c r="AH866" t="str">
        <f t="shared" si="293"/>
        <v>Nelson</v>
      </c>
      <c r="AI866" t="str">
        <f t="shared" si="294"/>
        <v>Velodrome</v>
      </c>
      <c r="AJ866" s="18">
        <f t="shared" si="287"/>
        <v>2</v>
      </c>
      <c r="AP866" s="18">
        <f t="shared" si="288"/>
        <v>0</v>
      </c>
      <c r="AQ866">
        <f t="shared" si="289"/>
        <v>1080</v>
      </c>
      <c r="AR866" s="23">
        <f t="shared" si="290"/>
        <v>1151</v>
      </c>
      <c r="AS866">
        <f t="shared" si="295"/>
        <v>1146</v>
      </c>
      <c r="AT866" s="21">
        <f t="shared" si="296"/>
        <v>1153</v>
      </c>
      <c r="AU866" s="21"/>
      <c r="AV866" s="21"/>
      <c r="AW866" s="21"/>
    </row>
    <row r="867" spans="1:49" x14ac:dyDescent="0.2">
      <c r="A867">
        <v>468</v>
      </c>
      <c r="E867">
        <f t="shared" si="291"/>
        <v>2</v>
      </c>
      <c r="F867" s="5" t="s">
        <v>477</v>
      </c>
      <c r="G867" s="5" t="s">
        <v>519</v>
      </c>
      <c r="H867" s="5" t="s">
        <v>477</v>
      </c>
      <c r="I867" s="7" t="s">
        <v>513</v>
      </c>
      <c r="J867" t="str">
        <f t="shared" si="298"/>
        <v>16</v>
      </c>
      <c r="K867" t="str">
        <f t="shared" si="299"/>
        <v>47</v>
      </c>
      <c r="L867" t="str">
        <f t="shared" si="300"/>
        <v>16</v>
      </c>
      <c r="M867" s="6" t="str">
        <f t="shared" si="301"/>
        <v>41</v>
      </c>
      <c r="N867" t="s">
        <v>179</v>
      </c>
      <c r="O867">
        <v>87</v>
      </c>
      <c r="P867" t="s">
        <v>424</v>
      </c>
      <c r="Q867" t="s">
        <v>15</v>
      </c>
      <c r="Y867" t="str">
        <f t="shared" si="281"/>
        <v/>
      </c>
      <c r="Z867" t="str">
        <f t="shared" si="282"/>
        <v/>
      </c>
      <c r="AC867" t="str">
        <f t="shared" si="283"/>
        <v>Possession</v>
      </c>
      <c r="AD867" t="str">
        <f t="shared" si="284"/>
        <v/>
      </c>
      <c r="AE867" t="str">
        <f t="shared" si="285"/>
        <v/>
      </c>
      <c r="AF867" t="str">
        <f t="shared" si="286"/>
        <v>Offensive</v>
      </c>
      <c r="AG867">
        <f t="shared" si="292"/>
        <v>18981</v>
      </c>
      <c r="AH867" t="str">
        <f t="shared" si="293"/>
        <v>Nelson</v>
      </c>
      <c r="AI867" t="str">
        <f t="shared" si="294"/>
        <v>Velodrome</v>
      </c>
      <c r="AJ867" s="18">
        <f t="shared" si="287"/>
        <v>6</v>
      </c>
      <c r="AP867" s="18">
        <f t="shared" si="288"/>
        <v>0</v>
      </c>
      <c r="AQ867">
        <f t="shared" si="289"/>
        <v>1080</v>
      </c>
      <c r="AR867" s="23">
        <f t="shared" si="290"/>
        <v>1153</v>
      </c>
      <c r="AS867">
        <f t="shared" si="295"/>
        <v>1148</v>
      </c>
      <c r="AT867" s="21">
        <f t="shared" si="296"/>
        <v>1159</v>
      </c>
      <c r="AU867" s="21"/>
      <c r="AV867" s="21"/>
      <c r="AW867" s="21"/>
    </row>
    <row r="868" spans="1:49" x14ac:dyDescent="0.2">
      <c r="A868">
        <v>468</v>
      </c>
      <c r="E868">
        <f t="shared" si="291"/>
        <v>2</v>
      </c>
      <c r="J868" t="str">
        <f t="shared" si="298"/>
        <v>16</v>
      </c>
      <c r="K868" t="str">
        <f t="shared" si="299"/>
        <v>47</v>
      </c>
      <c r="L868" t="str">
        <f t="shared" si="300"/>
        <v>16</v>
      </c>
      <c r="M868" s="6" t="str">
        <f t="shared" si="301"/>
        <v>41</v>
      </c>
      <c r="N868" t="str">
        <f t="shared" si="297"/>
        <v>Away</v>
      </c>
      <c r="O868">
        <v>8</v>
      </c>
      <c r="P868" t="s">
        <v>425</v>
      </c>
      <c r="Y868" t="str">
        <f t="shared" si="281"/>
        <v/>
      </c>
      <c r="Z868" t="str">
        <f t="shared" si="282"/>
        <v/>
      </c>
      <c r="AC868" t="str">
        <f t="shared" si="283"/>
        <v>Possession</v>
      </c>
      <c r="AD868" t="str">
        <f t="shared" si="284"/>
        <v/>
      </c>
      <c r="AE868" t="str">
        <f t="shared" si="285"/>
        <v/>
      </c>
      <c r="AF868" t="str">
        <f t="shared" si="286"/>
        <v>Defensive</v>
      </c>
      <c r="AG868">
        <f t="shared" si="292"/>
        <v>18981</v>
      </c>
      <c r="AH868" t="str">
        <f t="shared" si="293"/>
        <v>Nelson</v>
      </c>
      <c r="AI868" t="str">
        <f t="shared" si="294"/>
        <v>Velodrome</v>
      </c>
      <c r="AJ868" s="18">
        <f t="shared" si="287"/>
        <v>6</v>
      </c>
      <c r="AP868" s="18">
        <f t="shared" si="288"/>
        <v>0</v>
      </c>
      <c r="AQ868">
        <f t="shared" si="289"/>
        <v>1080</v>
      </c>
      <c r="AR868" s="23">
        <f t="shared" si="290"/>
        <v>1153</v>
      </c>
      <c r="AS868">
        <f t="shared" si="295"/>
        <v>1148</v>
      </c>
      <c r="AT868" s="21">
        <f t="shared" si="296"/>
        <v>1159</v>
      </c>
      <c r="AU868" s="21"/>
      <c r="AV868" s="21"/>
      <c r="AW868" s="21"/>
    </row>
    <row r="869" spans="1:49" x14ac:dyDescent="0.2">
      <c r="A869">
        <v>469</v>
      </c>
      <c r="E869">
        <f t="shared" si="291"/>
        <v>2</v>
      </c>
      <c r="F869" s="5" t="s">
        <v>477</v>
      </c>
      <c r="G869" s="5" t="s">
        <v>511</v>
      </c>
      <c r="H869" s="5" t="s">
        <v>477</v>
      </c>
      <c r="I869" s="7" t="s">
        <v>506</v>
      </c>
      <c r="J869" t="str">
        <f t="shared" si="298"/>
        <v>16</v>
      </c>
      <c r="K869" t="str">
        <f t="shared" si="299"/>
        <v>39</v>
      </c>
      <c r="L869" t="str">
        <f t="shared" si="300"/>
        <v>16</v>
      </c>
      <c r="M869" s="6" t="str">
        <f t="shared" si="301"/>
        <v>34</v>
      </c>
      <c r="N869" t="s">
        <v>179</v>
      </c>
      <c r="O869">
        <v>87</v>
      </c>
      <c r="P869" t="s">
        <v>424</v>
      </c>
      <c r="Q869" t="s">
        <v>15</v>
      </c>
      <c r="Y869" t="str">
        <f t="shared" si="281"/>
        <v/>
      </c>
      <c r="Z869" t="str">
        <f t="shared" si="282"/>
        <v/>
      </c>
      <c r="AC869" t="str">
        <f t="shared" si="283"/>
        <v>Possession</v>
      </c>
      <c r="AD869" t="str">
        <f t="shared" si="284"/>
        <v/>
      </c>
      <c r="AE869" t="str">
        <f t="shared" si="285"/>
        <v/>
      </c>
      <c r="AF869" t="str">
        <f t="shared" si="286"/>
        <v>Offensive</v>
      </c>
      <c r="AG869">
        <f t="shared" si="292"/>
        <v>18981</v>
      </c>
      <c r="AH869" t="str">
        <f t="shared" si="293"/>
        <v>Nelson</v>
      </c>
      <c r="AI869" t="str">
        <f t="shared" si="294"/>
        <v>Velodrome</v>
      </c>
      <c r="AJ869" s="18">
        <f t="shared" si="287"/>
        <v>5</v>
      </c>
      <c r="AP869" s="18">
        <f t="shared" si="288"/>
        <v>0</v>
      </c>
      <c r="AQ869">
        <f t="shared" si="289"/>
        <v>1080</v>
      </c>
      <c r="AR869" s="23">
        <f t="shared" si="290"/>
        <v>1161</v>
      </c>
      <c r="AS869">
        <f t="shared" si="295"/>
        <v>1156</v>
      </c>
      <c r="AT869" s="21">
        <f t="shared" si="296"/>
        <v>1166</v>
      </c>
      <c r="AU869" s="21"/>
      <c r="AV869" s="21"/>
      <c r="AW869" s="21"/>
    </row>
    <row r="870" spans="1:49" x14ac:dyDescent="0.2">
      <c r="A870">
        <v>469</v>
      </c>
      <c r="E870">
        <f t="shared" si="291"/>
        <v>2</v>
      </c>
      <c r="J870" t="str">
        <f t="shared" si="298"/>
        <v>16</v>
      </c>
      <c r="K870" t="str">
        <f t="shared" si="299"/>
        <v>39</v>
      </c>
      <c r="L870" t="str">
        <f t="shared" si="300"/>
        <v>16</v>
      </c>
      <c r="M870" s="6" t="str">
        <f t="shared" si="301"/>
        <v>34</v>
      </c>
      <c r="N870" t="str">
        <f t="shared" si="297"/>
        <v>Away</v>
      </c>
      <c r="O870">
        <v>8</v>
      </c>
      <c r="P870" t="s">
        <v>425</v>
      </c>
      <c r="Y870" t="str">
        <f t="shared" si="281"/>
        <v/>
      </c>
      <c r="Z870" t="str">
        <f t="shared" si="282"/>
        <v/>
      </c>
      <c r="AC870" t="str">
        <f t="shared" si="283"/>
        <v>Possession</v>
      </c>
      <c r="AD870" t="str">
        <f t="shared" si="284"/>
        <v/>
      </c>
      <c r="AE870" t="str">
        <f t="shared" si="285"/>
        <v/>
      </c>
      <c r="AF870" t="str">
        <f t="shared" si="286"/>
        <v>Defensive</v>
      </c>
      <c r="AG870">
        <f t="shared" si="292"/>
        <v>18981</v>
      </c>
      <c r="AH870" t="str">
        <f t="shared" si="293"/>
        <v>Nelson</v>
      </c>
      <c r="AI870" t="str">
        <f t="shared" si="294"/>
        <v>Velodrome</v>
      </c>
      <c r="AJ870" s="18">
        <f t="shared" si="287"/>
        <v>5</v>
      </c>
      <c r="AP870" s="18">
        <f t="shared" si="288"/>
        <v>0</v>
      </c>
      <c r="AQ870">
        <f t="shared" si="289"/>
        <v>1080</v>
      </c>
      <c r="AR870" s="23">
        <f t="shared" si="290"/>
        <v>1161</v>
      </c>
      <c r="AS870">
        <f t="shared" si="295"/>
        <v>1156</v>
      </c>
      <c r="AT870" s="21">
        <f t="shared" si="296"/>
        <v>1166</v>
      </c>
      <c r="AU870" s="21"/>
      <c r="AV870" s="21"/>
      <c r="AW870" s="21"/>
    </row>
    <row r="871" spans="1:49" x14ac:dyDescent="0.2">
      <c r="A871">
        <v>469</v>
      </c>
      <c r="E871">
        <f t="shared" si="291"/>
        <v>2</v>
      </c>
      <c r="J871" t="str">
        <f t="shared" si="298"/>
        <v>16</v>
      </c>
      <c r="K871" t="str">
        <f t="shared" si="299"/>
        <v>39</v>
      </c>
      <c r="L871" t="str">
        <f t="shared" si="300"/>
        <v>16</v>
      </c>
      <c r="M871" s="6" t="str">
        <f t="shared" si="301"/>
        <v>34</v>
      </c>
      <c r="N871" t="str">
        <f t="shared" si="297"/>
        <v>Away</v>
      </c>
      <c r="O871">
        <v>80</v>
      </c>
      <c r="P871" t="s">
        <v>425</v>
      </c>
      <c r="Y871" t="str">
        <f t="shared" si="281"/>
        <v/>
      </c>
      <c r="Z871" t="str">
        <f t="shared" si="282"/>
        <v/>
      </c>
      <c r="AC871" t="str">
        <f t="shared" si="283"/>
        <v>Possession</v>
      </c>
      <c r="AD871" t="str">
        <f t="shared" si="284"/>
        <v/>
      </c>
      <c r="AE871" t="str">
        <f t="shared" si="285"/>
        <v/>
      </c>
      <c r="AF871" t="str">
        <f t="shared" si="286"/>
        <v>Defensive</v>
      </c>
      <c r="AG871">
        <f t="shared" si="292"/>
        <v>18981</v>
      </c>
      <c r="AH871" t="str">
        <f t="shared" si="293"/>
        <v>Nelson</v>
      </c>
      <c r="AI871" t="str">
        <f t="shared" si="294"/>
        <v>Velodrome</v>
      </c>
      <c r="AJ871" s="18">
        <f t="shared" si="287"/>
        <v>5</v>
      </c>
      <c r="AP871" s="18">
        <f t="shared" si="288"/>
        <v>0</v>
      </c>
      <c r="AQ871">
        <f t="shared" si="289"/>
        <v>1080</v>
      </c>
      <c r="AR871" s="23">
        <f t="shared" si="290"/>
        <v>1161</v>
      </c>
      <c r="AS871">
        <f t="shared" si="295"/>
        <v>1156</v>
      </c>
      <c r="AT871" s="21">
        <f t="shared" si="296"/>
        <v>1166</v>
      </c>
      <c r="AU871" s="21"/>
      <c r="AV871" s="21"/>
      <c r="AW871" s="21"/>
    </row>
    <row r="872" spans="1:49" x14ac:dyDescent="0.2">
      <c r="A872">
        <v>470</v>
      </c>
      <c r="E872">
        <f t="shared" si="291"/>
        <v>2</v>
      </c>
      <c r="F872" s="5" t="s">
        <v>477</v>
      </c>
      <c r="G872" s="5" t="s">
        <v>497</v>
      </c>
      <c r="J872" t="str">
        <f t="shared" si="298"/>
        <v>16</v>
      </c>
      <c r="K872" t="str">
        <f t="shared" si="299"/>
        <v>25</v>
      </c>
      <c r="L872" t="str">
        <f t="shared" si="300"/>
        <v/>
      </c>
      <c r="M872" s="6" t="str">
        <f t="shared" si="301"/>
        <v/>
      </c>
      <c r="N872" t="s">
        <v>178</v>
      </c>
      <c r="O872">
        <v>8</v>
      </c>
      <c r="P872" t="s">
        <v>424</v>
      </c>
      <c r="Q872" t="s">
        <v>10</v>
      </c>
      <c r="R872" t="s">
        <v>200</v>
      </c>
      <c r="S872" t="s">
        <v>81</v>
      </c>
      <c r="Y872" t="str">
        <f t="shared" si="281"/>
        <v/>
      </c>
      <c r="Z872" t="str">
        <f t="shared" si="282"/>
        <v/>
      </c>
      <c r="AC872" t="str">
        <f t="shared" si="283"/>
        <v>Turnover</v>
      </c>
      <c r="AD872" t="str">
        <f t="shared" si="284"/>
        <v>Turnover_Takeaway</v>
      </c>
      <c r="AE872" t="str">
        <f t="shared" si="285"/>
        <v>Takeaway-BattleWon</v>
      </c>
      <c r="AF872" t="str">
        <f t="shared" si="286"/>
        <v>Defensive</v>
      </c>
      <c r="AG872">
        <f t="shared" si="292"/>
        <v>18981</v>
      </c>
      <c r="AH872" t="str">
        <f t="shared" si="293"/>
        <v>Nelson</v>
      </c>
      <c r="AI872" t="str">
        <f t="shared" si="294"/>
        <v>Velodrome</v>
      </c>
      <c r="AJ872" s="18">
        <f t="shared" si="287"/>
        <v>0</v>
      </c>
      <c r="AP872" s="18">
        <f t="shared" si="288"/>
        <v>0</v>
      </c>
      <c r="AQ872">
        <f t="shared" si="289"/>
        <v>1080</v>
      </c>
      <c r="AR872" s="23">
        <f t="shared" si="290"/>
        <v>1175</v>
      </c>
      <c r="AS872">
        <f t="shared" si="295"/>
        <v>1170</v>
      </c>
      <c r="AT872" s="21">
        <f t="shared" si="296"/>
        <v>1175</v>
      </c>
      <c r="AU872" s="21"/>
      <c r="AV872" s="21"/>
      <c r="AW872" s="21"/>
    </row>
    <row r="873" spans="1:49" x14ac:dyDescent="0.2">
      <c r="A873">
        <v>470</v>
      </c>
      <c r="E873">
        <f t="shared" si="291"/>
        <v>2</v>
      </c>
      <c r="J873" t="str">
        <f t="shared" si="298"/>
        <v>16</v>
      </c>
      <c r="K873" t="str">
        <f t="shared" si="299"/>
        <v>25</v>
      </c>
      <c r="L873" t="str">
        <f t="shared" si="300"/>
        <v/>
      </c>
      <c r="M873" s="6" t="str">
        <f t="shared" si="301"/>
        <v/>
      </c>
      <c r="N873" t="str">
        <f t="shared" si="297"/>
        <v>Home</v>
      </c>
      <c r="O873">
        <v>87</v>
      </c>
      <c r="P873" t="s">
        <v>425</v>
      </c>
      <c r="Y873" t="str">
        <f t="shared" si="281"/>
        <v/>
      </c>
      <c r="Z873" t="str">
        <f t="shared" si="282"/>
        <v/>
      </c>
      <c r="AC873" t="str">
        <f t="shared" si="283"/>
        <v>Turnover</v>
      </c>
      <c r="AD873" t="str">
        <f t="shared" si="284"/>
        <v>Turnover_Takeaway</v>
      </c>
      <c r="AE873" t="str">
        <f t="shared" si="285"/>
        <v>Takeaway-BattleWon</v>
      </c>
      <c r="AF873" t="str">
        <f t="shared" si="286"/>
        <v>Offensive</v>
      </c>
      <c r="AG873">
        <f t="shared" si="292"/>
        <v>18981</v>
      </c>
      <c r="AH873" t="str">
        <f t="shared" si="293"/>
        <v>Nelson</v>
      </c>
      <c r="AI873" t="str">
        <f t="shared" si="294"/>
        <v>Velodrome</v>
      </c>
      <c r="AJ873" s="18">
        <f t="shared" si="287"/>
        <v>0</v>
      </c>
      <c r="AP873" s="18">
        <f t="shared" si="288"/>
        <v>0</v>
      </c>
      <c r="AQ873">
        <f t="shared" si="289"/>
        <v>1080</v>
      </c>
      <c r="AR873" s="23">
        <f t="shared" si="290"/>
        <v>1175</v>
      </c>
      <c r="AS873">
        <f t="shared" si="295"/>
        <v>1170</v>
      </c>
      <c r="AT873" s="21">
        <f t="shared" si="296"/>
        <v>1175</v>
      </c>
      <c r="AU873" s="21"/>
      <c r="AV873" s="21"/>
      <c r="AW873" s="21"/>
    </row>
    <row r="874" spans="1:49" x14ac:dyDescent="0.2">
      <c r="A874">
        <v>471</v>
      </c>
      <c r="E874">
        <f t="shared" si="291"/>
        <v>2</v>
      </c>
      <c r="F874" s="5" t="s">
        <v>477</v>
      </c>
      <c r="G874" s="5" t="s">
        <v>497</v>
      </c>
      <c r="J874" t="str">
        <f t="shared" si="298"/>
        <v>16</v>
      </c>
      <c r="K874" t="str">
        <f t="shared" si="299"/>
        <v>25</v>
      </c>
      <c r="L874" t="str">
        <f t="shared" si="300"/>
        <v/>
      </c>
      <c r="M874" s="6" t="str">
        <f t="shared" si="301"/>
        <v/>
      </c>
      <c r="N874" t="s">
        <v>178</v>
      </c>
      <c r="O874">
        <v>8</v>
      </c>
      <c r="P874" t="s">
        <v>424</v>
      </c>
      <c r="Q874" t="s">
        <v>13</v>
      </c>
      <c r="R874" t="s">
        <v>204</v>
      </c>
      <c r="S874" t="s">
        <v>108</v>
      </c>
      <c r="Y874" t="str">
        <f t="shared" si="281"/>
        <v/>
      </c>
      <c r="Z874" t="str">
        <f t="shared" si="282"/>
        <v/>
      </c>
      <c r="AC874" t="str">
        <f t="shared" si="283"/>
        <v>Stoppage</v>
      </c>
      <c r="AD874" t="str">
        <f t="shared" si="284"/>
        <v>Stoppage_Play</v>
      </c>
      <c r="AE874" t="str">
        <f t="shared" si="285"/>
        <v>Stoppage-Icing</v>
      </c>
      <c r="AF874" t="str">
        <f t="shared" si="286"/>
        <v/>
      </c>
      <c r="AG874">
        <f t="shared" si="292"/>
        <v>18981</v>
      </c>
      <c r="AH874" t="str">
        <f t="shared" si="293"/>
        <v>Nelson</v>
      </c>
      <c r="AI874" t="str">
        <f t="shared" si="294"/>
        <v>Velodrome</v>
      </c>
      <c r="AJ874" s="18">
        <f t="shared" si="287"/>
        <v>0</v>
      </c>
      <c r="AP874" s="18">
        <f t="shared" si="288"/>
        <v>0</v>
      </c>
      <c r="AQ874">
        <f t="shared" si="289"/>
        <v>1080</v>
      </c>
      <c r="AR874" s="23">
        <f t="shared" si="290"/>
        <v>1175</v>
      </c>
      <c r="AS874">
        <f t="shared" si="295"/>
        <v>1170</v>
      </c>
      <c r="AT874" s="21">
        <f t="shared" si="296"/>
        <v>1175</v>
      </c>
      <c r="AU874" s="21"/>
      <c r="AV874" s="21"/>
      <c r="AW874" s="21"/>
    </row>
    <row r="875" spans="1:49" x14ac:dyDescent="0.2">
      <c r="A875">
        <v>472</v>
      </c>
      <c r="E875">
        <f t="shared" si="291"/>
        <v>2</v>
      </c>
      <c r="F875" s="5" t="s">
        <v>477</v>
      </c>
      <c r="G875" s="5" t="s">
        <v>492</v>
      </c>
      <c r="H875" s="5" t="s">
        <v>477</v>
      </c>
      <c r="I875" s="7" t="s">
        <v>475</v>
      </c>
      <c r="J875" t="str">
        <f t="shared" si="298"/>
        <v>16</v>
      </c>
      <c r="K875" t="str">
        <f t="shared" si="299"/>
        <v>20</v>
      </c>
      <c r="L875" t="str">
        <f t="shared" si="300"/>
        <v>16</v>
      </c>
      <c r="M875" s="6" t="str">
        <f t="shared" si="301"/>
        <v>00</v>
      </c>
      <c r="N875" t="s">
        <v>178</v>
      </c>
      <c r="O875">
        <v>8</v>
      </c>
      <c r="P875" t="s">
        <v>424</v>
      </c>
      <c r="Q875" t="s">
        <v>282</v>
      </c>
      <c r="Y875" t="str">
        <f t="shared" si="281"/>
        <v/>
      </c>
      <c r="Z875" t="str">
        <f t="shared" si="282"/>
        <v/>
      </c>
      <c r="AC875" t="str">
        <f t="shared" si="283"/>
        <v>DeadIce</v>
      </c>
      <c r="AD875" t="str">
        <f t="shared" si="284"/>
        <v/>
      </c>
      <c r="AE875" t="str">
        <f t="shared" si="285"/>
        <v/>
      </c>
      <c r="AF875" t="str">
        <f t="shared" si="286"/>
        <v/>
      </c>
      <c r="AG875">
        <f t="shared" si="292"/>
        <v>18981</v>
      </c>
      <c r="AH875" t="str">
        <f t="shared" si="293"/>
        <v>Nelson</v>
      </c>
      <c r="AI875" t="str">
        <f t="shared" si="294"/>
        <v>Velodrome</v>
      </c>
      <c r="AJ875" s="18">
        <f t="shared" si="287"/>
        <v>20</v>
      </c>
      <c r="AP875" s="18">
        <f t="shared" si="288"/>
        <v>0</v>
      </c>
      <c r="AQ875">
        <f t="shared" si="289"/>
        <v>1080</v>
      </c>
      <c r="AR875" s="23">
        <f t="shared" si="290"/>
        <v>1180</v>
      </c>
      <c r="AS875">
        <f t="shared" si="295"/>
        <v>1175</v>
      </c>
      <c r="AT875" s="21">
        <f t="shared" si="296"/>
        <v>1200</v>
      </c>
      <c r="AU875" s="21"/>
      <c r="AV875" s="21"/>
      <c r="AW875" s="21"/>
    </row>
    <row r="876" spans="1:49" x14ac:dyDescent="0.2">
      <c r="A876">
        <v>473</v>
      </c>
      <c r="E876">
        <f t="shared" si="291"/>
        <v>2</v>
      </c>
      <c r="F876" s="5" t="s">
        <v>477</v>
      </c>
      <c r="G876" s="5" t="s">
        <v>475</v>
      </c>
      <c r="J876" t="str">
        <f t="shared" si="298"/>
        <v>16</v>
      </c>
      <c r="K876" t="str">
        <f t="shared" si="299"/>
        <v>00</v>
      </c>
      <c r="L876" t="str">
        <f t="shared" si="300"/>
        <v/>
      </c>
      <c r="M876" s="6" t="str">
        <f t="shared" si="301"/>
        <v/>
      </c>
      <c r="N876" t="s">
        <v>178</v>
      </c>
      <c r="O876">
        <v>70</v>
      </c>
      <c r="P876" t="s">
        <v>424</v>
      </c>
      <c r="Q876" t="s">
        <v>6</v>
      </c>
      <c r="R876" t="s">
        <v>275</v>
      </c>
      <c r="Y876" t="str">
        <f t="shared" si="281"/>
        <v/>
      </c>
      <c r="Z876" t="str">
        <f t="shared" si="282"/>
        <v/>
      </c>
      <c r="AC876" t="str">
        <f t="shared" si="283"/>
        <v>Faceoff</v>
      </c>
      <c r="AD876" t="str">
        <f t="shared" si="284"/>
        <v>Faceoff_AfterStoppage</v>
      </c>
      <c r="AE876" t="str">
        <f t="shared" si="285"/>
        <v/>
      </c>
      <c r="AF876" t="str">
        <f t="shared" si="286"/>
        <v>Offensive</v>
      </c>
      <c r="AG876">
        <f t="shared" si="292"/>
        <v>18981</v>
      </c>
      <c r="AH876" t="str">
        <f t="shared" si="293"/>
        <v>Nelson</v>
      </c>
      <c r="AI876" t="str">
        <f t="shared" si="294"/>
        <v>Velodrome</v>
      </c>
      <c r="AJ876" s="18">
        <f t="shared" si="287"/>
        <v>0</v>
      </c>
      <c r="AP876" s="18">
        <f t="shared" si="288"/>
        <v>0</v>
      </c>
      <c r="AQ876">
        <f t="shared" si="289"/>
        <v>1080</v>
      </c>
      <c r="AR876" s="23">
        <f t="shared" si="290"/>
        <v>1200</v>
      </c>
      <c r="AS876">
        <f t="shared" si="295"/>
        <v>1195</v>
      </c>
      <c r="AT876" s="21">
        <f t="shared" si="296"/>
        <v>1200</v>
      </c>
      <c r="AU876" s="21"/>
      <c r="AV876" s="21"/>
      <c r="AW876" s="21"/>
    </row>
    <row r="877" spans="1:49" x14ac:dyDescent="0.2">
      <c r="A877">
        <v>473</v>
      </c>
      <c r="E877">
        <f t="shared" si="291"/>
        <v>2</v>
      </c>
      <c r="J877" t="str">
        <f t="shared" si="298"/>
        <v>16</v>
      </c>
      <c r="K877" t="str">
        <f t="shared" si="299"/>
        <v>00</v>
      </c>
      <c r="L877" t="str">
        <f t="shared" si="300"/>
        <v/>
      </c>
      <c r="M877" s="6" t="str">
        <f t="shared" si="301"/>
        <v/>
      </c>
      <c r="N877" t="str">
        <f t="shared" si="297"/>
        <v>Home</v>
      </c>
      <c r="O877">
        <v>79</v>
      </c>
      <c r="P877" t="s">
        <v>425</v>
      </c>
      <c r="Y877" t="str">
        <f t="shared" si="281"/>
        <v/>
      </c>
      <c r="Z877" t="str">
        <f t="shared" si="282"/>
        <v/>
      </c>
      <c r="AC877" t="str">
        <f t="shared" si="283"/>
        <v>Faceoff</v>
      </c>
      <c r="AD877" t="str">
        <f t="shared" si="284"/>
        <v>Faceoff_AfterStoppage</v>
      </c>
      <c r="AE877" t="str">
        <f t="shared" si="285"/>
        <v/>
      </c>
      <c r="AF877" t="str">
        <f t="shared" si="286"/>
        <v>Defensive</v>
      </c>
      <c r="AG877">
        <f t="shared" si="292"/>
        <v>18981</v>
      </c>
      <c r="AH877" t="str">
        <f t="shared" si="293"/>
        <v>Nelson</v>
      </c>
      <c r="AI877" t="str">
        <f t="shared" si="294"/>
        <v>Velodrome</v>
      </c>
      <c r="AJ877" s="18">
        <f t="shared" si="287"/>
        <v>0</v>
      </c>
      <c r="AP877" s="18">
        <f t="shared" si="288"/>
        <v>0</v>
      </c>
      <c r="AQ877">
        <f t="shared" si="289"/>
        <v>1080</v>
      </c>
      <c r="AR877" s="23">
        <f t="shared" si="290"/>
        <v>1200</v>
      </c>
      <c r="AS877">
        <f t="shared" si="295"/>
        <v>1195</v>
      </c>
      <c r="AT877" s="21">
        <f t="shared" si="296"/>
        <v>1200</v>
      </c>
      <c r="AU877" s="21"/>
      <c r="AV877" s="21"/>
      <c r="AW877" s="21"/>
    </row>
    <row r="878" spans="1:49" x14ac:dyDescent="0.2">
      <c r="A878">
        <v>474</v>
      </c>
      <c r="E878">
        <f t="shared" si="291"/>
        <v>2</v>
      </c>
      <c r="F878" s="5" t="s">
        <v>478</v>
      </c>
      <c r="G878" s="5" t="s">
        <v>519</v>
      </c>
      <c r="H878" s="5" t="s">
        <v>478</v>
      </c>
      <c r="I878" s="7" t="s">
        <v>516</v>
      </c>
      <c r="J878" t="str">
        <f t="shared" si="298"/>
        <v>15</v>
      </c>
      <c r="K878" t="str">
        <f t="shared" si="299"/>
        <v>47</v>
      </c>
      <c r="L878" t="str">
        <f t="shared" si="300"/>
        <v>15</v>
      </c>
      <c r="M878" s="6" t="str">
        <f t="shared" si="301"/>
        <v>44</v>
      </c>
      <c r="N878" t="s">
        <v>178</v>
      </c>
      <c r="O878">
        <v>37</v>
      </c>
      <c r="P878" t="s">
        <v>424</v>
      </c>
      <c r="Q878" t="s">
        <v>15</v>
      </c>
      <c r="Y878" t="str">
        <f t="shared" si="281"/>
        <v/>
      </c>
      <c r="Z878" t="str">
        <f t="shared" si="282"/>
        <v/>
      </c>
      <c r="AC878" t="str">
        <f t="shared" si="283"/>
        <v>Possession</v>
      </c>
      <c r="AD878" t="str">
        <f t="shared" si="284"/>
        <v/>
      </c>
      <c r="AE878" t="str">
        <f t="shared" si="285"/>
        <v/>
      </c>
      <c r="AF878" t="str">
        <f t="shared" si="286"/>
        <v>Offensive</v>
      </c>
      <c r="AG878">
        <f t="shared" si="292"/>
        <v>18981</v>
      </c>
      <c r="AH878" t="str">
        <f t="shared" si="293"/>
        <v>Nelson</v>
      </c>
      <c r="AI878" t="str">
        <f t="shared" si="294"/>
        <v>Velodrome</v>
      </c>
      <c r="AJ878" s="18">
        <f t="shared" si="287"/>
        <v>3</v>
      </c>
      <c r="AP878" s="18">
        <f t="shared" si="288"/>
        <v>0</v>
      </c>
      <c r="AQ878">
        <f t="shared" si="289"/>
        <v>1080</v>
      </c>
      <c r="AR878" s="23">
        <f t="shared" si="290"/>
        <v>1213</v>
      </c>
      <c r="AS878">
        <f t="shared" si="295"/>
        <v>1208</v>
      </c>
      <c r="AT878" s="21">
        <f t="shared" si="296"/>
        <v>1216</v>
      </c>
      <c r="AU878" s="21"/>
      <c r="AV878" s="21"/>
      <c r="AW878" s="21"/>
    </row>
    <row r="879" spans="1:49" x14ac:dyDescent="0.2">
      <c r="A879">
        <v>474</v>
      </c>
      <c r="E879">
        <f t="shared" si="291"/>
        <v>2</v>
      </c>
      <c r="J879" t="str">
        <f t="shared" si="298"/>
        <v>15</v>
      </c>
      <c r="K879" t="str">
        <f t="shared" si="299"/>
        <v>47</v>
      </c>
      <c r="L879" t="str">
        <f t="shared" si="300"/>
        <v>15</v>
      </c>
      <c r="M879" s="6" t="str">
        <f t="shared" si="301"/>
        <v>44</v>
      </c>
      <c r="N879" t="str">
        <f t="shared" si="297"/>
        <v>Home</v>
      </c>
      <c r="O879">
        <v>87</v>
      </c>
      <c r="P879" t="s">
        <v>425</v>
      </c>
      <c r="Y879" t="str">
        <f t="shared" si="281"/>
        <v/>
      </c>
      <c r="Z879" t="str">
        <f t="shared" si="282"/>
        <v/>
      </c>
      <c r="AC879" t="str">
        <f t="shared" si="283"/>
        <v>Possession</v>
      </c>
      <c r="AD879" t="str">
        <f t="shared" si="284"/>
        <v/>
      </c>
      <c r="AE879" t="str">
        <f t="shared" si="285"/>
        <v/>
      </c>
      <c r="AF879" t="str">
        <f t="shared" si="286"/>
        <v>Defensive</v>
      </c>
      <c r="AG879">
        <f t="shared" si="292"/>
        <v>18981</v>
      </c>
      <c r="AH879" t="str">
        <f t="shared" si="293"/>
        <v>Nelson</v>
      </c>
      <c r="AI879" t="str">
        <f t="shared" si="294"/>
        <v>Velodrome</v>
      </c>
      <c r="AJ879" s="18">
        <f t="shared" si="287"/>
        <v>3</v>
      </c>
      <c r="AP879" s="18">
        <f t="shared" si="288"/>
        <v>0</v>
      </c>
      <c r="AQ879">
        <f t="shared" si="289"/>
        <v>1080</v>
      </c>
      <c r="AR879" s="23">
        <f t="shared" si="290"/>
        <v>1213</v>
      </c>
      <c r="AS879">
        <f t="shared" si="295"/>
        <v>1208</v>
      </c>
      <c r="AT879" s="21">
        <f t="shared" si="296"/>
        <v>1216</v>
      </c>
      <c r="AU879" s="21"/>
      <c r="AV879" s="21"/>
      <c r="AW879" s="21"/>
    </row>
    <row r="880" spans="1:49" x14ac:dyDescent="0.2">
      <c r="A880">
        <v>475</v>
      </c>
      <c r="E880">
        <f t="shared" si="291"/>
        <v>2</v>
      </c>
      <c r="F880" s="5" t="s">
        <v>478</v>
      </c>
      <c r="G880" s="5" t="s">
        <v>516</v>
      </c>
      <c r="J880" t="str">
        <f t="shared" si="298"/>
        <v>15</v>
      </c>
      <c r="K880" t="str">
        <f t="shared" si="299"/>
        <v>44</v>
      </c>
      <c r="L880" t="str">
        <f t="shared" si="300"/>
        <v/>
      </c>
      <c r="M880" s="6" t="str">
        <f t="shared" si="301"/>
        <v/>
      </c>
      <c r="N880" t="s">
        <v>179</v>
      </c>
      <c r="O880">
        <v>87</v>
      </c>
      <c r="P880" t="s">
        <v>424</v>
      </c>
      <c r="Q880" t="s">
        <v>544</v>
      </c>
      <c r="Y880" t="str">
        <f t="shared" si="281"/>
        <v/>
      </c>
      <c r="Z880" t="str">
        <f t="shared" si="282"/>
        <v/>
      </c>
      <c r="AC880" t="str">
        <f t="shared" si="283"/>
        <v>Penalty_Delayed</v>
      </c>
      <c r="AD880" t="str">
        <f t="shared" si="284"/>
        <v/>
      </c>
      <c r="AE880" t="str">
        <f t="shared" si="285"/>
        <v/>
      </c>
      <c r="AF880" t="str">
        <f t="shared" si="286"/>
        <v>Offensive</v>
      </c>
      <c r="AG880">
        <f t="shared" si="292"/>
        <v>18981</v>
      </c>
      <c r="AH880" t="str">
        <f t="shared" si="293"/>
        <v>Nelson</v>
      </c>
      <c r="AI880" t="str">
        <f t="shared" si="294"/>
        <v>Velodrome</v>
      </c>
      <c r="AJ880" s="18">
        <f t="shared" si="287"/>
        <v>0</v>
      </c>
      <c r="AP880" s="18">
        <f t="shared" si="288"/>
        <v>0</v>
      </c>
      <c r="AQ880">
        <f t="shared" si="289"/>
        <v>1080</v>
      </c>
      <c r="AR880" s="23">
        <f t="shared" si="290"/>
        <v>1216</v>
      </c>
      <c r="AS880">
        <f t="shared" si="295"/>
        <v>1211</v>
      </c>
      <c r="AT880" s="21">
        <f t="shared" si="296"/>
        <v>1216</v>
      </c>
      <c r="AU880" s="21"/>
      <c r="AV880" s="21"/>
      <c r="AW880" s="21"/>
    </row>
    <row r="881" spans="1:49" x14ac:dyDescent="0.2">
      <c r="A881">
        <v>475</v>
      </c>
      <c r="E881">
        <f t="shared" si="291"/>
        <v>2</v>
      </c>
      <c r="J881" t="str">
        <f t="shared" si="298"/>
        <v>15</v>
      </c>
      <c r="K881" t="str">
        <f t="shared" si="299"/>
        <v>44</v>
      </c>
      <c r="L881" t="str">
        <f t="shared" si="300"/>
        <v/>
      </c>
      <c r="M881" s="6" t="str">
        <f t="shared" si="301"/>
        <v/>
      </c>
      <c r="N881" t="str">
        <f t="shared" si="297"/>
        <v>Away</v>
      </c>
      <c r="O881">
        <v>37</v>
      </c>
      <c r="P881" t="s">
        <v>425</v>
      </c>
      <c r="Y881" t="str">
        <f t="shared" si="281"/>
        <v/>
      </c>
      <c r="Z881" t="str">
        <f t="shared" si="282"/>
        <v/>
      </c>
      <c r="AC881" t="str">
        <f t="shared" si="283"/>
        <v>Penalty_Delayed</v>
      </c>
      <c r="AD881" t="str">
        <f t="shared" si="284"/>
        <v/>
      </c>
      <c r="AE881" t="str">
        <f t="shared" si="285"/>
        <v/>
      </c>
      <c r="AF881" t="str">
        <f t="shared" si="286"/>
        <v>Defensive</v>
      </c>
      <c r="AG881">
        <f t="shared" si="292"/>
        <v>18981</v>
      </c>
      <c r="AH881" t="str">
        <f t="shared" si="293"/>
        <v>Nelson</v>
      </c>
      <c r="AI881" t="str">
        <f t="shared" si="294"/>
        <v>Velodrome</v>
      </c>
      <c r="AJ881" s="18">
        <f t="shared" si="287"/>
        <v>0</v>
      </c>
      <c r="AP881" s="18">
        <f t="shared" si="288"/>
        <v>0</v>
      </c>
      <c r="AQ881">
        <f t="shared" si="289"/>
        <v>1080</v>
      </c>
      <c r="AR881" s="23">
        <f t="shared" si="290"/>
        <v>1216</v>
      </c>
      <c r="AS881">
        <f t="shared" si="295"/>
        <v>1211</v>
      </c>
      <c r="AT881" s="21">
        <f t="shared" si="296"/>
        <v>1216</v>
      </c>
      <c r="AU881" s="21"/>
      <c r="AV881" s="21"/>
      <c r="AW881" s="21"/>
    </row>
    <row r="882" spans="1:49" x14ac:dyDescent="0.2">
      <c r="A882">
        <v>476</v>
      </c>
      <c r="E882">
        <f t="shared" si="291"/>
        <v>2</v>
      </c>
      <c r="F882" s="5" t="s">
        <v>478</v>
      </c>
      <c r="G882" s="5" t="s">
        <v>516</v>
      </c>
      <c r="J882" t="str">
        <f t="shared" si="298"/>
        <v>15</v>
      </c>
      <c r="K882" t="str">
        <f t="shared" si="299"/>
        <v>44</v>
      </c>
      <c r="L882" t="str">
        <f t="shared" si="300"/>
        <v/>
      </c>
      <c r="M882" s="6" t="str">
        <f t="shared" si="301"/>
        <v/>
      </c>
      <c r="N882" t="s">
        <v>178</v>
      </c>
      <c r="O882">
        <v>37</v>
      </c>
      <c r="P882" t="s">
        <v>424</v>
      </c>
      <c r="Q882" t="s">
        <v>277</v>
      </c>
      <c r="R882" t="s">
        <v>201</v>
      </c>
      <c r="S882" t="s">
        <v>183</v>
      </c>
      <c r="Y882" t="str">
        <f t="shared" si="281"/>
        <v/>
      </c>
      <c r="Z882" t="str">
        <f t="shared" si="282"/>
        <v/>
      </c>
      <c r="AC882" t="str">
        <f t="shared" si="283"/>
        <v>Zone_Entry_Exit</v>
      </c>
      <c r="AD882" t="str">
        <f t="shared" si="284"/>
        <v>Zone_Exit</v>
      </c>
      <c r="AE882" t="str">
        <f t="shared" si="285"/>
        <v>ZoneExit-Other</v>
      </c>
      <c r="AF882" t="str">
        <f t="shared" si="286"/>
        <v>Offensive</v>
      </c>
      <c r="AG882">
        <f t="shared" si="292"/>
        <v>18981</v>
      </c>
      <c r="AH882" t="str">
        <f t="shared" si="293"/>
        <v>Nelson</v>
      </c>
      <c r="AI882" t="str">
        <f t="shared" si="294"/>
        <v>Velodrome</v>
      </c>
      <c r="AJ882" s="18">
        <f t="shared" si="287"/>
        <v>0</v>
      </c>
      <c r="AP882" s="18">
        <f t="shared" si="288"/>
        <v>0</v>
      </c>
      <c r="AQ882">
        <f t="shared" si="289"/>
        <v>1080</v>
      </c>
      <c r="AR882" s="23">
        <f t="shared" si="290"/>
        <v>1216</v>
      </c>
      <c r="AS882">
        <f t="shared" si="295"/>
        <v>1211</v>
      </c>
      <c r="AT882" s="21">
        <f t="shared" si="296"/>
        <v>1216</v>
      </c>
      <c r="AU882" s="21"/>
      <c r="AV882" s="21"/>
      <c r="AW882" s="21"/>
    </row>
    <row r="883" spans="1:49" x14ac:dyDescent="0.2">
      <c r="A883">
        <v>476</v>
      </c>
      <c r="E883">
        <f t="shared" si="291"/>
        <v>2</v>
      </c>
      <c r="J883" t="str">
        <f t="shared" si="298"/>
        <v>15</v>
      </c>
      <c r="K883" t="str">
        <f t="shared" si="299"/>
        <v>44</v>
      </c>
      <c r="L883" t="str">
        <f t="shared" si="300"/>
        <v/>
      </c>
      <c r="M883" s="6" t="str">
        <f t="shared" si="301"/>
        <v/>
      </c>
      <c r="N883" t="str">
        <f t="shared" si="297"/>
        <v>Home</v>
      </c>
      <c r="O883">
        <v>87</v>
      </c>
      <c r="P883" t="s">
        <v>425</v>
      </c>
      <c r="Y883" t="str">
        <f t="shared" si="281"/>
        <v/>
      </c>
      <c r="Z883" t="str">
        <f t="shared" si="282"/>
        <v/>
      </c>
      <c r="AC883" t="str">
        <f t="shared" si="283"/>
        <v>Zone_Entry_Exit</v>
      </c>
      <c r="AD883" t="str">
        <f t="shared" si="284"/>
        <v>Zone_Exit</v>
      </c>
      <c r="AE883" t="str">
        <f t="shared" si="285"/>
        <v>ZoneExit-Other</v>
      </c>
      <c r="AF883" t="str">
        <f t="shared" si="286"/>
        <v>Defensive</v>
      </c>
      <c r="AG883">
        <f t="shared" si="292"/>
        <v>18981</v>
      </c>
      <c r="AH883" t="str">
        <f t="shared" si="293"/>
        <v>Nelson</v>
      </c>
      <c r="AI883" t="str">
        <f t="shared" si="294"/>
        <v>Velodrome</v>
      </c>
      <c r="AJ883" s="18">
        <f t="shared" si="287"/>
        <v>0</v>
      </c>
      <c r="AP883" s="18">
        <f t="shared" si="288"/>
        <v>0</v>
      </c>
      <c r="AQ883">
        <f t="shared" si="289"/>
        <v>1080</v>
      </c>
      <c r="AR883" s="23">
        <f t="shared" si="290"/>
        <v>1216</v>
      </c>
      <c r="AS883">
        <f t="shared" si="295"/>
        <v>1211</v>
      </c>
      <c r="AT883" s="21">
        <f t="shared" si="296"/>
        <v>1216</v>
      </c>
      <c r="AU883" s="21"/>
      <c r="AV883" s="21"/>
      <c r="AW883" s="21"/>
    </row>
    <row r="884" spans="1:49" x14ac:dyDescent="0.2">
      <c r="A884">
        <v>477</v>
      </c>
      <c r="E884">
        <f t="shared" si="291"/>
        <v>2</v>
      </c>
      <c r="F884" s="5" t="s">
        <v>478</v>
      </c>
      <c r="G884" s="5" t="s">
        <v>514</v>
      </c>
      <c r="H884" s="5" t="s">
        <v>478</v>
      </c>
      <c r="I884" s="7" t="s">
        <v>512</v>
      </c>
      <c r="J884" t="str">
        <f t="shared" si="298"/>
        <v>15</v>
      </c>
      <c r="K884" t="str">
        <f t="shared" si="299"/>
        <v>42</v>
      </c>
      <c r="L884" t="str">
        <f t="shared" si="300"/>
        <v>15</v>
      </c>
      <c r="M884" s="6" t="str">
        <f t="shared" si="301"/>
        <v>40</v>
      </c>
      <c r="N884" t="s">
        <v>178</v>
      </c>
      <c r="O884">
        <v>79</v>
      </c>
      <c r="P884" t="s">
        <v>424</v>
      </c>
      <c r="Q884" t="s">
        <v>277</v>
      </c>
      <c r="R884" t="s">
        <v>191</v>
      </c>
      <c r="S884" t="s">
        <v>87</v>
      </c>
      <c r="Y884" t="str">
        <f t="shared" si="281"/>
        <v/>
      </c>
      <c r="Z884" t="str">
        <f t="shared" si="282"/>
        <v/>
      </c>
      <c r="AC884" t="str">
        <f t="shared" si="283"/>
        <v>Zone_Entry_Exit</v>
      </c>
      <c r="AD884" t="str">
        <f t="shared" si="284"/>
        <v>Zone_Entry</v>
      </c>
      <c r="AE884" t="str">
        <f t="shared" si="285"/>
        <v>ZoneEntry-Rush</v>
      </c>
      <c r="AF884" t="str">
        <f t="shared" si="286"/>
        <v>Offensive</v>
      </c>
      <c r="AG884">
        <f t="shared" si="292"/>
        <v>18981</v>
      </c>
      <c r="AH884" t="str">
        <f t="shared" si="293"/>
        <v>Nelson</v>
      </c>
      <c r="AI884" t="str">
        <f t="shared" si="294"/>
        <v>Velodrome</v>
      </c>
      <c r="AJ884" s="18">
        <f t="shared" si="287"/>
        <v>2</v>
      </c>
      <c r="AP884" s="18">
        <f t="shared" si="288"/>
        <v>0</v>
      </c>
      <c r="AQ884">
        <f t="shared" si="289"/>
        <v>1080</v>
      </c>
      <c r="AR884" s="23">
        <f t="shared" si="290"/>
        <v>1218</v>
      </c>
      <c r="AS884">
        <f t="shared" si="295"/>
        <v>1213</v>
      </c>
      <c r="AT884" s="21">
        <f t="shared" si="296"/>
        <v>1220</v>
      </c>
      <c r="AU884" s="21"/>
      <c r="AV884" s="21"/>
      <c r="AW884" s="21"/>
    </row>
    <row r="885" spans="1:49" x14ac:dyDescent="0.2">
      <c r="A885">
        <v>477</v>
      </c>
      <c r="E885">
        <f t="shared" si="291"/>
        <v>2</v>
      </c>
      <c r="J885" t="str">
        <f t="shared" si="298"/>
        <v>15</v>
      </c>
      <c r="K885" t="str">
        <f t="shared" si="299"/>
        <v>42</v>
      </c>
      <c r="L885" t="str">
        <f t="shared" si="300"/>
        <v>15</v>
      </c>
      <c r="M885" s="6" t="str">
        <f t="shared" si="301"/>
        <v>40</v>
      </c>
      <c r="N885" t="str">
        <f t="shared" si="297"/>
        <v>Home</v>
      </c>
      <c r="O885">
        <v>93</v>
      </c>
      <c r="P885" t="s">
        <v>425</v>
      </c>
      <c r="Y885" t="str">
        <f t="shared" si="281"/>
        <v/>
      </c>
      <c r="Z885" t="str">
        <f t="shared" si="282"/>
        <v/>
      </c>
      <c r="AC885" t="str">
        <f t="shared" si="283"/>
        <v>Zone_Entry_Exit</v>
      </c>
      <c r="AD885" t="str">
        <f t="shared" si="284"/>
        <v>Zone_Entry</v>
      </c>
      <c r="AE885" t="str">
        <f t="shared" si="285"/>
        <v>ZoneEntry-Rush</v>
      </c>
      <c r="AF885" t="str">
        <f t="shared" si="286"/>
        <v>Defensive</v>
      </c>
      <c r="AG885">
        <f t="shared" si="292"/>
        <v>18981</v>
      </c>
      <c r="AH885" t="str">
        <f t="shared" si="293"/>
        <v>Nelson</v>
      </c>
      <c r="AI885" t="str">
        <f t="shared" si="294"/>
        <v>Velodrome</v>
      </c>
      <c r="AJ885" s="18">
        <f t="shared" si="287"/>
        <v>2</v>
      </c>
      <c r="AP885" s="18">
        <f t="shared" si="288"/>
        <v>0</v>
      </c>
      <c r="AQ885">
        <f t="shared" si="289"/>
        <v>1080</v>
      </c>
      <c r="AR885" s="23">
        <f t="shared" si="290"/>
        <v>1218</v>
      </c>
      <c r="AS885">
        <f t="shared" si="295"/>
        <v>1213</v>
      </c>
      <c r="AT885" s="21">
        <f t="shared" si="296"/>
        <v>1220</v>
      </c>
      <c r="AU885" s="21"/>
      <c r="AV885" s="21"/>
      <c r="AW885" s="21"/>
    </row>
    <row r="886" spans="1:49" x14ac:dyDescent="0.2">
      <c r="A886">
        <v>478</v>
      </c>
      <c r="E886">
        <f t="shared" si="291"/>
        <v>2</v>
      </c>
      <c r="F886" s="5" t="s">
        <v>478</v>
      </c>
      <c r="G886" s="5" t="s">
        <v>512</v>
      </c>
      <c r="J886" t="str">
        <f t="shared" si="298"/>
        <v>15</v>
      </c>
      <c r="K886" t="str">
        <f t="shared" si="299"/>
        <v>40</v>
      </c>
      <c r="L886" t="str">
        <f t="shared" si="300"/>
        <v/>
      </c>
      <c r="M886" s="6" t="str">
        <f t="shared" si="301"/>
        <v/>
      </c>
      <c r="N886" t="s">
        <v>178</v>
      </c>
      <c r="O886">
        <v>79</v>
      </c>
      <c r="P886" t="s">
        <v>424</v>
      </c>
      <c r="Q886" t="s">
        <v>247</v>
      </c>
      <c r="R886" t="s">
        <v>445</v>
      </c>
      <c r="S886" t="s">
        <v>145</v>
      </c>
      <c r="Y886" t="str">
        <f t="shared" si="281"/>
        <v/>
      </c>
      <c r="Z886" t="str">
        <f t="shared" si="282"/>
        <v/>
      </c>
      <c r="AC886" t="str">
        <f t="shared" si="283"/>
        <v>Play</v>
      </c>
      <c r="AD886" t="str">
        <f t="shared" si="284"/>
        <v>Play_Offensive</v>
      </c>
      <c r="AE886" t="str">
        <f t="shared" si="285"/>
        <v>DriveMiddle</v>
      </c>
      <c r="AF886" t="str">
        <f t="shared" si="286"/>
        <v>Offensive</v>
      </c>
      <c r="AG886">
        <f t="shared" si="292"/>
        <v>18981</v>
      </c>
      <c r="AH886" t="str">
        <f t="shared" si="293"/>
        <v>Nelson</v>
      </c>
      <c r="AI886" t="str">
        <f t="shared" si="294"/>
        <v>Velodrome</v>
      </c>
      <c r="AJ886" s="18">
        <f t="shared" si="287"/>
        <v>0</v>
      </c>
      <c r="AP886" s="18">
        <f t="shared" si="288"/>
        <v>0</v>
      </c>
      <c r="AQ886">
        <f t="shared" si="289"/>
        <v>1080</v>
      </c>
      <c r="AR886" s="23">
        <f t="shared" si="290"/>
        <v>1220</v>
      </c>
      <c r="AS886">
        <f t="shared" si="295"/>
        <v>1215</v>
      </c>
      <c r="AT886" s="21">
        <f t="shared" si="296"/>
        <v>1220</v>
      </c>
      <c r="AU886" s="21"/>
      <c r="AV886" s="21"/>
      <c r="AW886" s="21"/>
    </row>
    <row r="887" spans="1:49" x14ac:dyDescent="0.2">
      <c r="A887">
        <v>478</v>
      </c>
      <c r="E887">
        <f t="shared" si="291"/>
        <v>2</v>
      </c>
      <c r="J887" t="str">
        <f t="shared" si="298"/>
        <v>15</v>
      </c>
      <c r="K887" t="str">
        <f t="shared" si="299"/>
        <v>40</v>
      </c>
      <c r="L887" t="str">
        <f t="shared" si="300"/>
        <v/>
      </c>
      <c r="M887" s="6" t="str">
        <f t="shared" si="301"/>
        <v/>
      </c>
      <c r="N887" t="str">
        <f t="shared" si="297"/>
        <v>Home</v>
      </c>
      <c r="O887">
        <v>93</v>
      </c>
      <c r="P887" t="s">
        <v>425</v>
      </c>
      <c r="Y887" t="str">
        <f t="shared" si="281"/>
        <v/>
      </c>
      <c r="Z887" t="str">
        <f t="shared" si="282"/>
        <v/>
      </c>
      <c r="AC887" t="str">
        <f t="shared" si="283"/>
        <v>Play</v>
      </c>
      <c r="AD887" t="str">
        <f t="shared" si="284"/>
        <v>Play_Offensive</v>
      </c>
      <c r="AE887" t="str">
        <f t="shared" si="285"/>
        <v>DriveMiddle</v>
      </c>
      <c r="AF887" t="str">
        <f t="shared" si="286"/>
        <v>Defensive</v>
      </c>
      <c r="AG887">
        <f t="shared" si="292"/>
        <v>18981</v>
      </c>
      <c r="AH887" t="str">
        <f t="shared" si="293"/>
        <v>Nelson</v>
      </c>
      <c r="AI887" t="str">
        <f t="shared" si="294"/>
        <v>Velodrome</v>
      </c>
      <c r="AJ887" s="18">
        <f t="shared" si="287"/>
        <v>0</v>
      </c>
      <c r="AP887" s="18">
        <f t="shared" si="288"/>
        <v>0</v>
      </c>
      <c r="AQ887">
        <f t="shared" si="289"/>
        <v>1080</v>
      </c>
      <c r="AR887" s="23">
        <f t="shared" si="290"/>
        <v>1220</v>
      </c>
      <c r="AS887">
        <f t="shared" si="295"/>
        <v>1215</v>
      </c>
      <c r="AT887" s="21">
        <f t="shared" si="296"/>
        <v>1220</v>
      </c>
      <c r="AU887" s="21"/>
      <c r="AV887" s="21"/>
      <c r="AW887" s="21"/>
    </row>
    <row r="888" spans="1:49" x14ac:dyDescent="0.2">
      <c r="A888">
        <v>479</v>
      </c>
      <c r="E888">
        <f t="shared" si="291"/>
        <v>2</v>
      </c>
      <c r="F888" s="5" t="s">
        <v>478</v>
      </c>
      <c r="G888" s="5" t="s">
        <v>512</v>
      </c>
      <c r="H888" s="5" t="s">
        <v>478</v>
      </c>
      <c r="I888" s="7" t="s">
        <v>510</v>
      </c>
      <c r="J888" t="str">
        <f t="shared" si="298"/>
        <v>15</v>
      </c>
      <c r="K888" t="str">
        <f t="shared" si="299"/>
        <v>40</v>
      </c>
      <c r="L888" t="str">
        <f t="shared" si="300"/>
        <v>15</v>
      </c>
      <c r="M888" s="6" t="str">
        <f t="shared" si="301"/>
        <v>38</v>
      </c>
      <c r="N888" t="s">
        <v>178</v>
      </c>
      <c r="O888">
        <v>79</v>
      </c>
      <c r="P888" t="s">
        <v>424</v>
      </c>
      <c r="Q888" t="s">
        <v>15</v>
      </c>
      <c r="R888" t="s">
        <v>545</v>
      </c>
      <c r="Y888" t="str">
        <f t="shared" si="281"/>
        <v/>
      </c>
      <c r="Z888" t="str">
        <f t="shared" si="282"/>
        <v/>
      </c>
      <c r="AC888" t="str">
        <f t="shared" si="283"/>
        <v>Possession</v>
      </c>
      <c r="AD888" t="str">
        <f t="shared" si="284"/>
        <v>Breakaway</v>
      </c>
      <c r="AE888" t="str">
        <f t="shared" si="285"/>
        <v/>
      </c>
      <c r="AF888" t="str">
        <f t="shared" si="286"/>
        <v>Offensive</v>
      </c>
      <c r="AG888">
        <f t="shared" si="292"/>
        <v>18981</v>
      </c>
      <c r="AH888" t="str">
        <f t="shared" si="293"/>
        <v>Nelson</v>
      </c>
      <c r="AI888" t="str">
        <f t="shared" si="294"/>
        <v>Velodrome</v>
      </c>
      <c r="AJ888" s="18">
        <f t="shared" si="287"/>
        <v>2</v>
      </c>
      <c r="AP888" s="18">
        <f t="shared" si="288"/>
        <v>0</v>
      </c>
      <c r="AQ888">
        <f t="shared" si="289"/>
        <v>1080</v>
      </c>
      <c r="AR888" s="23">
        <f t="shared" si="290"/>
        <v>1220</v>
      </c>
      <c r="AS888">
        <f t="shared" si="295"/>
        <v>1215</v>
      </c>
      <c r="AT888" s="21">
        <f t="shared" si="296"/>
        <v>1222</v>
      </c>
      <c r="AU888" s="21"/>
      <c r="AV888" s="21"/>
      <c r="AW888" s="21"/>
    </row>
    <row r="889" spans="1:49" x14ac:dyDescent="0.2">
      <c r="A889">
        <v>480</v>
      </c>
      <c r="E889">
        <f t="shared" si="291"/>
        <v>2</v>
      </c>
      <c r="F889" s="5" t="s">
        <v>478</v>
      </c>
      <c r="G889" s="5" t="s">
        <v>510</v>
      </c>
      <c r="J889" t="str">
        <f t="shared" si="298"/>
        <v>15</v>
      </c>
      <c r="K889" t="str">
        <f t="shared" si="299"/>
        <v>38</v>
      </c>
      <c r="L889" t="str">
        <f t="shared" si="300"/>
        <v/>
      </c>
      <c r="M889" s="6" t="str">
        <f t="shared" si="301"/>
        <v/>
      </c>
      <c r="N889" t="s">
        <v>178</v>
      </c>
      <c r="O889">
        <v>79</v>
      </c>
      <c r="P889" t="s">
        <v>424</v>
      </c>
      <c r="Q889" t="s">
        <v>7</v>
      </c>
      <c r="R889" t="s">
        <v>222</v>
      </c>
      <c r="S889" t="s">
        <v>53</v>
      </c>
      <c r="Y889" t="str">
        <f t="shared" si="281"/>
        <v/>
      </c>
      <c r="Z889" t="str">
        <f t="shared" si="282"/>
        <v/>
      </c>
      <c r="AC889" t="str">
        <f t="shared" si="283"/>
        <v>Shot</v>
      </c>
      <c r="AD889" t="str">
        <f t="shared" si="284"/>
        <v>Shot_OnNetSaved</v>
      </c>
      <c r="AE889" t="str">
        <f t="shared" si="285"/>
        <v>Shot-Wrist</v>
      </c>
      <c r="AF889" t="str">
        <f t="shared" si="286"/>
        <v>Offensive</v>
      </c>
      <c r="AG889">
        <f t="shared" si="292"/>
        <v>18981</v>
      </c>
      <c r="AH889" t="str">
        <f t="shared" si="293"/>
        <v>Nelson</v>
      </c>
      <c r="AI889" t="str">
        <f t="shared" si="294"/>
        <v>Velodrome</v>
      </c>
      <c r="AJ889" s="18">
        <f t="shared" si="287"/>
        <v>0</v>
      </c>
      <c r="AP889" s="18">
        <f t="shared" si="288"/>
        <v>0</v>
      </c>
      <c r="AQ889">
        <f t="shared" si="289"/>
        <v>1080</v>
      </c>
      <c r="AR889" s="23">
        <f t="shared" si="290"/>
        <v>1222</v>
      </c>
      <c r="AS889">
        <f t="shared" si="295"/>
        <v>1217</v>
      </c>
      <c r="AT889" s="21">
        <f t="shared" si="296"/>
        <v>1222</v>
      </c>
      <c r="AU889" s="21"/>
      <c r="AV889" s="21"/>
      <c r="AW889" s="21"/>
    </row>
    <row r="890" spans="1:49" x14ac:dyDescent="0.2">
      <c r="A890">
        <v>480</v>
      </c>
      <c r="E890">
        <f t="shared" si="291"/>
        <v>2</v>
      </c>
      <c r="J890" t="str">
        <f>IF(F890&lt;&gt;"",F890,IF($A890=$A889,J889,J890))</f>
        <v>15</v>
      </c>
      <c r="K890" t="str">
        <f t="shared" si="299"/>
        <v>38</v>
      </c>
      <c r="L890" t="str">
        <f t="shared" si="300"/>
        <v/>
      </c>
      <c r="M890" s="6" t="str">
        <f t="shared" si="301"/>
        <v/>
      </c>
      <c r="N890" t="str">
        <f t="shared" si="297"/>
        <v>Home</v>
      </c>
      <c r="O890">
        <v>39</v>
      </c>
      <c r="P890" t="s">
        <v>425</v>
      </c>
      <c r="Y890" t="str">
        <f t="shared" si="281"/>
        <v/>
      </c>
      <c r="Z890" t="str">
        <f t="shared" si="282"/>
        <v/>
      </c>
      <c r="AC890" t="str">
        <f t="shared" si="283"/>
        <v>Shot</v>
      </c>
      <c r="AD890" t="str">
        <f t="shared" si="284"/>
        <v>Shot_OnNetSaved</v>
      </c>
      <c r="AE890" t="str">
        <f t="shared" si="285"/>
        <v>Shot-Wrist</v>
      </c>
      <c r="AF890" t="str">
        <f t="shared" si="286"/>
        <v>Defensive</v>
      </c>
      <c r="AG890">
        <f t="shared" si="292"/>
        <v>18981</v>
      </c>
      <c r="AH890" t="str">
        <f t="shared" si="293"/>
        <v>Nelson</v>
      </c>
      <c r="AI890" t="str">
        <f t="shared" si="294"/>
        <v>Velodrome</v>
      </c>
      <c r="AJ890" s="18">
        <f t="shared" si="287"/>
        <v>0</v>
      </c>
      <c r="AP890" s="18">
        <f t="shared" si="288"/>
        <v>0</v>
      </c>
      <c r="AQ890">
        <f t="shared" si="289"/>
        <v>1080</v>
      </c>
      <c r="AR890" s="23">
        <f t="shared" si="290"/>
        <v>1222</v>
      </c>
      <c r="AS890">
        <f t="shared" si="295"/>
        <v>1217</v>
      </c>
      <c r="AT890" s="21">
        <f t="shared" si="296"/>
        <v>1222</v>
      </c>
      <c r="AU890" s="21"/>
      <c r="AV890" s="21"/>
      <c r="AW890" s="21"/>
    </row>
    <row r="891" spans="1:49" x14ac:dyDescent="0.2">
      <c r="A891">
        <v>481</v>
      </c>
      <c r="E891">
        <f t="shared" si="291"/>
        <v>2</v>
      </c>
      <c r="F891" s="5" t="s">
        <v>478</v>
      </c>
      <c r="G891" s="5" t="s">
        <v>510</v>
      </c>
      <c r="J891" t="str">
        <f>IF(F891&lt;&gt;"",F891,IF($A891=$A890,J890,J891))</f>
        <v>15</v>
      </c>
      <c r="K891" t="str">
        <f>IF($A891=$A890,K890,G891)</f>
        <v>38</v>
      </c>
      <c r="L891" t="str">
        <f t="shared" si="300"/>
        <v/>
      </c>
      <c r="M891" s="6" t="str">
        <f t="shared" si="301"/>
        <v/>
      </c>
      <c r="N891" t="s">
        <v>179</v>
      </c>
      <c r="O891">
        <v>39</v>
      </c>
      <c r="P891" t="s">
        <v>424</v>
      </c>
      <c r="Q891" t="s">
        <v>17</v>
      </c>
      <c r="R891" t="s">
        <v>206</v>
      </c>
      <c r="S891" t="s">
        <v>96</v>
      </c>
      <c r="Y891" t="str">
        <f t="shared" si="281"/>
        <v/>
      </c>
      <c r="Z891" t="str">
        <f t="shared" si="282"/>
        <v/>
      </c>
      <c r="AC891" t="str">
        <f t="shared" si="283"/>
        <v>Save</v>
      </c>
      <c r="AD891" t="str">
        <f t="shared" si="284"/>
        <v>Save_Freeze</v>
      </c>
      <c r="AE891" t="str">
        <f t="shared" si="285"/>
        <v>Save-Glove</v>
      </c>
      <c r="AF891" t="str">
        <f t="shared" si="286"/>
        <v>Defensive</v>
      </c>
      <c r="AG891">
        <f t="shared" si="292"/>
        <v>18981</v>
      </c>
      <c r="AH891" t="str">
        <f t="shared" si="293"/>
        <v>Nelson</v>
      </c>
      <c r="AI891" t="str">
        <f t="shared" si="294"/>
        <v>Velodrome</v>
      </c>
      <c r="AJ891" s="18">
        <f t="shared" si="287"/>
        <v>0</v>
      </c>
      <c r="AP891" s="18">
        <f t="shared" si="288"/>
        <v>0</v>
      </c>
      <c r="AQ891">
        <f t="shared" si="289"/>
        <v>1080</v>
      </c>
      <c r="AR891" s="23">
        <f t="shared" si="290"/>
        <v>1222</v>
      </c>
      <c r="AS891">
        <f t="shared" si="295"/>
        <v>1217</v>
      </c>
      <c r="AT891" s="21">
        <f t="shared" si="296"/>
        <v>1222</v>
      </c>
      <c r="AU891" s="21"/>
      <c r="AV891" s="21"/>
      <c r="AW891" s="21"/>
    </row>
    <row r="892" spans="1:49" x14ac:dyDescent="0.2">
      <c r="A892">
        <v>481</v>
      </c>
      <c r="E892">
        <f t="shared" si="291"/>
        <v>2</v>
      </c>
      <c r="J892" t="str">
        <f>IF(F892&lt;&gt;"",F892,IF($A892=$A891,J891,J892))</f>
        <v>15</v>
      </c>
      <c r="K892" t="str">
        <f t="shared" si="299"/>
        <v>38</v>
      </c>
      <c r="L892" t="str">
        <f t="shared" si="300"/>
        <v/>
      </c>
      <c r="M892" s="6" t="str">
        <f t="shared" si="301"/>
        <v/>
      </c>
      <c r="N892" t="str">
        <f t="shared" si="297"/>
        <v>Away</v>
      </c>
      <c r="O892">
        <v>79</v>
      </c>
      <c r="P892" t="s">
        <v>425</v>
      </c>
      <c r="Y892" t="str">
        <f t="shared" si="281"/>
        <v/>
      </c>
      <c r="Z892" t="str">
        <f t="shared" si="282"/>
        <v/>
      </c>
      <c r="AC892" t="str">
        <f t="shared" si="283"/>
        <v>Save</v>
      </c>
      <c r="AD892" t="str">
        <f t="shared" si="284"/>
        <v>Save_Freeze</v>
      </c>
      <c r="AE892" t="str">
        <f t="shared" si="285"/>
        <v>Save-Glove</v>
      </c>
      <c r="AF892" t="str">
        <f t="shared" si="286"/>
        <v>Offensive</v>
      </c>
      <c r="AG892">
        <f t="shared" si="292"/>
        <v>18981</v>
      </c>
      <c r="AH892" t="str">
        <f t="shared" si="293"/>
        <v>Nelson</v>
      </c>
      <c r="AI892" t="str">
        <f t="shared" si="294"/>
        <v>Velodrome</v>
      </c>
      <c r="AJ892" s="18">
        <f t="shared" si="287"/>
        <v>0</v>
      </c>
      <c r="AP892" s="18">
        <f t="shared" si="288"/>
        <v>0</v>
      </c>
      <c r="AQ892">
        <f t="shared" si="289"/>
        <v>1080</v>
      </c>
      <c r="AR892" s="23">
        <f t="shared" si="290"/>
        <v>1222</v>
      </c>
      <c r="AS892">
        <f t="shared" si="295"/>
        <v>1217</v>
      </c>
      <c r="AT892" s="21">
        <f t="shared" si="296"/>
        <v>1222</v>
      </c>
      <c r="AU892" s="21"/>
      <c r="AV892" s="21"/>
      <c r="AW892" s="21"/>
    </row>
    <row r="893" spans="1:49" x14ac:dyDescent="0.2">
      <c r="A893">
        <v>482</v>
      </c>
      <c r="E893">
        <f t="shared" si="291"/>
        <v>2</v>
      </c>
      <c r="F893" s="5" t="s">
        <v>478</v>
      </c>
      <c r="G893" s="5" t="s">
        <v>508</v>
      </c>
      <c r="J893" t="str">
        <f t="shared" si="298"/>
        <v>15</v>
      </c>
      <c r="K893" t="str">
        <f t="shared" si="299"/>
        <v>36</v>
      </c>
      <c r="L893" t="str">
        <f t="shared" si="300"/>
        <v/>
      </c>
      <c r="M893" s="6" t="str">
        <f t="shared" si="301"/>
        <v/>
      </c>
      <c r="N893" t="s">
        <v>179</v>
      </c>
      <c r="O893">
        <v>87</v>
      </c>
      <c r="P893" t="s">
        <v>424</v>
      </c>
      <c r="Q893" t="s">
        <v>12</v>
      </c>
      <c r="R893" t="s">
        <v>192</v>
      </c>
      <c r="S893" t="s">
        <v>141</v>
      </c>
      <c r="Y893" t="str">
        <f t="shared" si="281"/>
        <v/>
      </c>
      <c r="Z893" t="str">
        <f t="shared" si="282"/>
        <v/>
      </c>
      <c r="AC893" t="str">
        <f t="shared" si="283"/>
        <v>Penalty</v>
      </c>
      <c r="AD893" t="str">
        <f t="shared" si="284"/>
        <v>Penalty_Minor</v>
      </c>
      <c r="AE893" t="str">
        <f t="shared" si="285"/>
        <v>Penalty-Tripping</v>
      </c>
      <c r="AF893" t="str">
        <f t="shared" si="286"/>
        <v>Offensive</v>
      </c>
      <c r="AG893">
        <f t="shared" si="292"/>
        <v>18981</v>
      </c>
      <c r="AH893" t="str">
        <f t="shared" si="293"/>
        <v>Nelson</v>
      </c>
      <c r="AI893" t="str">
        <f t="shared" si="294"/>
        <v>Velodrome</v>
      </c>
      <c r="AJ893" s="18">
        <f t="shared" si="287"/>
        <v>0</v>
      </c>
      <c r="AP893" s="18">
        <f t="shared" si="288"/>
        <v>0</v>
      </c>
      <c r="AQ893">
        <f t="shared" si="289"/>
        <v>1080</v>
      </c>
      <c r="AR893" s="23">
        <f t="shared" si="290"/>
        <v>1224</v>
      </c>
      <c r="AS893">
        <f t="shared" si="295"/>
        <v>1219</v>
      </c>
      <c r="AT893" s="21">
        <f t="shared" si="296"/>
        <v>1224</v>
      </c>
      <c r="AU893" s="21"/>
      <c r="AV893" s="21"/>
      <c r="AW893" s="21"/>
    </row>
    <row r="894" spans="1:49" x14ac:dyDescent="0.2">
      <c r="A894">
        <v>483</v>
      </c>
      <c r="E894">
        <f t="shared" si="291"/>
        <v>2</v>
      </c>
      <c r="F894" s="5" t="s">
        <v>478</v>
      </c>
      <c r="G894" s="5" t="s">
        <v>508</v>
      </c>
      <c r="J894" t="str">
        <f t="shared" si="298"/>
        <v>15</v>
      </c>
      <c r="K894" t="str">
        <f t="shared" si="299"/>
        <v>36</v>
      </c>
      <c r="L894" t="str">
        <f t="shared" si="300"/>
        <v/>
      </c>
      <c r="M894" s="6" t="str">
        <f t="shared" si="301"/>
        <v/>
      </c>
      <c r="N894" t="s">
        <v>179</v>
      </c>
      <c r="O894">
        <v>87</v>
      </c>
      <c r="P894" t="s">
        <v>424</v>
      </c>
      <c r="Q894" t="s">
        <v>13</v>
      </c>
      <c r="R894" t="s">
        <v>204</v>
      </c>
      <c r="S894" t="s">
        <v>43</v>
      </c>
      <c r="Y894" t="str">
        <f t="shared" si="281"/>
        <v/>
      </c>
      <c r="Z894" t="str">
        <f t="shared" si="282"/>
        <v/>
      </c>
      <c r="AC894" t="str">
        <f t="shared" si="283"/>
        <v>Stoppage</v>
      </c>
      <c r="AD894" t="str">
        <f t="shared" si="284"/>
        <v>Stoppage_Play</v>
      </c>
      <c r="AE894" t="str">
        <f t="shared" si="285"/>
        <v>Stoppage-Penalty</v>
      </c>
      <c r="AF894" t="str">
        <f t="shared" si="286"/>
        <v/>
      </c>
      <c r="AG894">
        <f t="shared" si="292"/>
        <v>18981</v>
      </c>
      <c r="AH894" t="str">
        <f t="shared" si="293"/>
        <v>Nelson</v>
      </c>
      <c r="AI894" t="str">
        <f t="shared" si="294"/>
        <v>Velodrome</v>
      </c>
      <c r="AJ894" s="18">
        <f t="shared" si="287"/>
        <v>0</v>
      </c>
      <c r="AP894" s="18">
        <f t="shared" si="288"/>
        <v>0</v>
      </c>
      <c r="AQ894">
        <f t="shared" si="289"/>
        <v>1080</v>
      </c>
      <c r="AR894" s="23">
        <f t="shared" si="290"/>
        <v>1224</v>
      </c>
      <c r="AS894">
        <f t="shared" si="295"/>
        <v>1219</v>
      </c>
      <c r="AT894" s="21">
        <f t="shared" si="296"/>
        <v>1224</v>
      </c>
      <c r="AU894" s="21"/>
      <c r="AV894" s="21"/>
      <c r="AW894" s="21"/>
    </row>
    <row r="895" spans="1:49" x14ac:dyDescent="0.2">
      <c r="A895">
        <v>484</v>
      </c>
      <c r="E895">
        <f t="shared" si="291"/>
        <v>2</v>
      </c>
      <c r="F895" s="5" t="s">
        <v>478</v>
      </c>
      <c r="G895" s="5" t="s">
        <v>508</v>
      </c>
      <c r="H895" s="5" t="s">
        <v>478</v>
      </c>
      <c r="I895" s="7" t="s">
        <v>476</v>
      </c>
      <c r="J895" t="str">
        <f t="shared" si="298"/>
        <v>15</v>
      </c>
      <c r="K895" t="str">
        <f t="shared" si="299"/>
        <v>36</v>
      </c>
      <c r="L895" t="str">
        <f t="shared" si="300"/>
        <v>15</v>
      </c>
      <c r="M895" s="6" t="str">
        <f t="shared" si="301"/>
        <v>06</v>
      </c>
      <c r="N895" t="s">
        <v>179</v>
      </c>
      <c r="O895">
        <v>87</v>
      </c>
      <c r="P895" t="s">
        <v>424</v>
      </c>
      <c r="Q895" t="s">
        <v>282</v>
      </c>
      <c r="Y895" t="str">
        <f t="shared" si="281"/>
        <v/>
      </c>
      <c r="Z895" t="str">
        <f t="shared" si="282"/>
        <v/>
      </c>
      <c r="AC895" t="str">
        <f t="shared" si="283"/>
        <v>DeadIce</v>
      </c>
      <c r="AD895" t="str">
        <f t="shared" si="284"/>
        <v/>
      </c>
      <c r="AE895" t="str">
        <f t="shared" si="285"/>
        <v/>
      </c>
      <c r="AF895" t="str">
        <f t="shared" si="286"/>
        <v/>
      </c>
      <c r="AG895">
        <f t="shared" si="292"/>
        <v>18981</v>
      </c>
      <c r="AH895" t="str">
        <f t="shared" si="293"/>
        <v>Nelson</v>
      </c>
      <c r="AI895" t="str">
        <f t="shared" si="294"/>
        <v>Velodrome</v>
      </c>
      <c r="AJ895" s="18">
        <f t="shared" si="287"/>
        <v>30</v>
      </c>
      <c r="AP895" s="18">
        <f t="shared" si="288"/>
        <v>0</v>
      </c>
      <c r="AQ895">
        <f t="shared" si="289"/>
        <v>1080</v>
      </c>
      <c r="AR895" s="23">
        <f t="shared" si="290"/>
        <v>1224</v>
      </c>
      <c r="AS895">
        <f t="shared" si="295"/>
        <v>1219</v>
      </c>
      <c r="AT895" s="21">
        <f t="shared" si="296"/>
        <v>1254</v>
      </c>
      <c r="AU895" s="21"/>
      <c r="AV895" s="21"/>
      <c r="AW895" s="21"/>
    </row>
    <row r="896" spans="1:49" x14ac:dyDescent="0.2">
      <c r="A896">
        <v>485</v>
      </c>
      <c r="E896">
        <f t="shared" si="291"/>
        <v>2</v>
      </c>
      <c r="F896" s="5" t="s">
        <v>478</v>
      </c>
      <c r="G896" s="5" t="s">
        <v>476</v>
      </c>
      <c r="J896" t="str">
        <f t="shared" si="298"/>
        <v>15</v>
      </c>
      <c r="K896" t="str">
        <f t="shared" si="299"/>
        <v>06</v>
      </c>
      <c r="L896" t="str">
        <f t="shared" si="300"/>
        <v/>
      </c>
      <c r="M896" s="6" t="str">
        <f t="shared" si="301"/>
        <v/>
      </c>
      <c r="N896" t="s">
        <v>179</v>
      </c>
      <c r="O896">
        <v>70</v>
      </c>
      <c r="P896" t="s">
        <v>424</v>
      </c>
      <c r="Q896" t="s">
        <v>6</v>
      </c>
      <c r="R896" t="s">
        <v>197</v>
      </c>
      <c r="Y896" t="str">
        <f t="shared" si="281"/>
        <v/>
      </c>
      <c r="Z896" t="str">
        <f t="shared" si="282"/>
        <v/>
      </c>
      <c r="AC896" t="str">
        <f t="shared" si="283"/>
        <v>Faceoff</v>
      </c>
      <c r="AD896" t="str">
        <f t="shared" si="284"/>
        <v>Faceoff_AfterPenalty</v>
      </c>
      <c r="AE896" t="str">
        <f t="shared" si="285"/>
        <v/>
      </c>
      <c r="AF896" t="str">
        <f t="shared" si="286"/>
        <v>Offensive</v>
      </c>
      <c r="AG896">
        <f t="shared" si="292"/>
        <v>18981</v>
      </c>
      <c r="AH896" t="str">
        <f t="shared" si="293"/>
        <v>Nelson</v>
      </c>
      <c r="AI896" t="str">
        <f t="shared" si="294"/>
        <v>Velodrome</v>
      </c>
      <c r="AJ896" s="18">
        <f t="shared" si="287"/>
        <v>0</v>
      </c>
      <c r="AP896" s="18">
        <f t="shared" si="288"/>
        <v>0</v>
      </c>
      <c r="AQ896">
        <f t="shared" si="289"/>
        <v>1080</v>
      </c>
      <c r="AR896" s="23">
        <f t="shared" si="290"/>
        <v>1254</v>
      </c>
      <c r="AS896">
        <f t="shared" si="295"/>
        <v>1249</v>
      </c>
      <c r="AT896" s="21">
        <f t="shared" si="296"/>
        <v>1254</v>
      </c>
      <c r="AU896" s="21"/>
      <c r="AV896" s="21"/>
      <c r="AW896" s="21"/>
    </row>
    <row r="897" spans="1:49" x14ac:dyDescent="0.2">
      <c r="A897">
        <v>485</v>
      </c>
      <c r="E897">
        <f t="shared" si="291"/>
        <v>2</v>
      </c>
      <c r="J897" t="str">
        <f t="shared" si="298"/>
        <v>15</v>
      </c>
      <c r="K897" t="str">
        <f t="shared" si="299"/>
        <v>06</v>
      </c>
      <c r="L897" t="str">
        <f t="shared" si="300"/>
        <v/>
      </c>
      <c r="M897" s="6" t="str">
        <f t="shared" si="301"/>
        <v/>
      </c>
      <c r="N897" t="str">
        <f t="shared" si="297"/>
        <v>Away</v>
      </c>
      <c r="O897">
        <v>79</v>
      </c>
      <c r="P897" t="s">
        <v>425</v>
      </c>
      <c r="Y897" t="str">
        <f t="shared" si="281"/>
        <v/>
      </c>
      <c r="Z897" t="str">
        <f t="shared" si="282"/>
        <v/>
      </c>
      <c r="AC897" t="str">
        <f t="shared" si="283"/>
        <v>Faceoff</v>
      </c>
      <c r="AD897" t="str">
        <f t="shared" si="284"/>
        <v>Faceoff_AfterPenalty</v>
      </c>
      <c r="AE897" t="str">
        <f t="shared" si="285"/>
        <v/>
      </c>
      <c r="AF897" t="str">
        <f t="shared" si="286"/>
        <v>Defensive</v>
      </c>
      <c r="AG897">
        <f t="shared" si="292"/>
        <v>18981</v>
      </c>
      <c r="AH897" t="str">
        <f t="shared" si="293"/>
        <v>Nelson</v>
      </c>
      <c r="AI897" t="str">
        <f t="shared" si="294"/>
        <v>Velodrome</v>
      </c>
      <c r="AJ897" s="18">
        <f t="shared" si="287"/>
        <v>0</v>
      </c>
      <c r="AP897" s="18">
        <f t="shared" si="288"/>
        <v>0</v>
      </c>
      <c r="AQ897">
        <f t="shared" si="289"/>
        <v>1080</v>
      </c>
      <c r="AR897" s="23">
        <f t="shared" si="290"/>
        <v>1254</v>
      </c>
      <c r="AS897">
        <f t="shared" si="295"/>
        <v>1249</v>
      </c>
      <c r="AT897" s="21">
        <f t="shared" si="296"/>
        <v>1254</v>
      </c>
      <c r="AU897" s="21"/>
      <c r="AV897" s="21"/>
      <c r="AW897" s="21"/>
    </row>
    <row r="898" spans="1:49" x14ac:dyDescent="0.2">
      <c r="A898">
        <v>486</v>
      </c>
      <c r="E898">
        <f t="shared" si="291"/>
        <v>2</v>
      </c>
      <c r="F898" s="5" t="s">
        <v>478</v>
      </c>
      <c r="G898" s="5" t="s">
        <v>476</v>
      </c>
      <c r="J898" t="str">
        <f t="shared" si="298"/>
        <v>15</v>
      </c>
      <c r="K898" t="str">
        <f t="shared" si="299"/>
        <v>06</v>
      </c>
      <c r="L898" t="str">
        <f t="shared" si="300"/>
        <v/>
      </c>
      <c r="M898" s="6" t="str">
        <f t="shared" si="301"/>
        <v/>
      </c>
      <c r="N898" t="s">
        <v>179</v>
      </c>
      <c r="O898">
        <v>70</v>
      </c>
      <c r="P898" t="s">
        <v>424</v>
      </c>
      <c r="Q898" t="s">
        <v>277</v>
      </c>
      <c r="R898" t="s">
        <v>201</v>
      </c>
      <c r="S898" t="s">
        <v>183</v>
      </c>
      <c r="Y898" t="str">
        <f t="shared" si="281"/>
        <v/>
      </c>
      <c r="Z898" t="str">
        <f t="shared" si="282"/>
        <v/>
      </c>
      <c r="AC898" t="str">
        <f t="shared" si="283"/>
        <v>Zone_Entry_Exit</v>
      </c>
      <c r="AD898" t="str">
        <f t="shared" si="284"/>
        <v>Zone_Exit</v>
      </c>
      <c r="AE898" t="str">
        <f t="shared" si="285"/>
        <v>ZoneExit-Other</v>
      </c>
      <c r="AF898" t="str">
        <f t="shared" si="286"/>
        <v>Offensive</v>
      </c>
      <c r="AG898">
        <f t="shared" si="292"/>
        <v>18981</v>
      </c>
      <c r="AH898" t="str">
        <f t="shared" si="293"/>
        <v>Nelson</v>
      </c>
      <c r="AI898" t="str">
        <f t="shared" si="294"/>
        <v>Velodrome</v>
      </c>
      <c r="AJ898" s="18">
        <f t="shared" si="287"/>
        <v>0</v>
      </c>
      <c r="AP898" s="18">
        <f t="shared" si="288"/>
        <v>0</v>
      </c>
      <c r="AQ898">
        <f t="shared" si="289"/>
        <v>1080</v>
      </c>
      <c r="AR898" s="23">
        <f t="shared" si="290"/>
        <v>1254</v>
      </c>
      <c r="AS898">
        <f t="shared" si="295"/>
        <v>1249</v>
      </c>
      <c r="AT898" s="21">
        <f t="shared" si="296"/>
        <v>1254</v>
      </c>
      <c r="AU898" s="21"/>
      <c r="AV898" s="21"/>
      <c r="AW898" s="21"/>
    </row>
    <row r="899" spans="1:49" x14ac:dyDescent="0.2">
      <c r="A899">
        <v>487</v>
      </c>
      <c r="E899">
        <f t="shared" si="291"/>
        <v>2</v>
      </c>
      <c r="F899" s="5" t="s">
        <v>478</v>
      </c>
      <c r="G899" s="5" t="s">
        <v>476</v>
      </c>
      <c r="J899" t="str">
        <f t="shared" si="298"/>
        <v>15</v>
      </c>
      <c r="K899" t="str">
        <f t="shared" si="299"/>
        <v>06</v>
      </c>
      <c r="L899" t="str">
        <f t="shared" si="300"/>
        <v/>
      </c>
      <c r="M899" s="6" t="str">
        <f t="shared" si="301"/>
        <v/>
      </c>
      <c r="N899" t="s">
        <v>179</v>
      </c>
      <c r="O899">
        <v>70</v>
      </c>
      <c r="P899" t="s">
        <v>424</v>
      </c>
      <c r="Q899" t="s">
        <v>277</v>
      </c>
      <c r="R899" t="s">
        <v>191</v>
      </c>
      <c r="S899" t="s">
        <v>432</v>
      </c>
      <c r="Y899" t="str">
        <f t="shared" ref="Y899:Y962" si="302">IF($N899="","",IF(X899="","",IF($N899="Home",$X899,IF($X899="n","n",IF($X899="d","o",IF($X899="o","d",""))))))</f>
        <v/>
      </c>
      <c r="Z899" t="str">
        <f t="shared" ref="Z899:Z962" si="303">IF($N899="","",IF(X899="","",IF($N899="Away",$X899,IF($X899="n","n",IF($X899="d","o",IF($X899="o","d",""))))))</f>
        <v/>
      </c>
      <c r="AC899" t="str">
        <f t="shared" ref="AC899:AC962" si="304">IF(Q899&lt;&gt;"",Q899,IF($A899=$A898,AC898,""))</f>
        <v>Zone_Entry_Exit</v>
      </c>
      <c r="AD899" t="str">
        <f t="shared" ref="AD899:AD962" si="305">IF(R899&lt;&gt;"",R899,IF($A899=$A898,AD898,""))</f>
        <v>Zone_Entry</v>
      </c>
      <c r="AE899" t="str">
        <f t="shared" ref="AE899:AE962" si="306">IF(S899&lt;&gt;"",S899,IF($A899=$A898,AE898,""))</f>
        <v>ZoneEntry-FromExitClear</v>
      </c>
      <c r="AF899" t="str">
        <f t="shared" ref="AF899:AF962" si="307">IF(AND(P899="e",OR(AC899="Save",AD899="Turnover_Takeaway",AD899="Play_Defensive")),"Defensive",IF(AND(P899="o",OR(AC899="Save",AD899="Turnover_Takeaway",AD899="Play_Defensive")),"Offensive",IF(OR(AC899="Deadice",AC899="Stoppage",AC899="Intermission"),"",IF(P899="e","Offensive",IF(P899="o","Defensive","")))))</f>
        <v>Offensive</v>
      </c>
      <c r="AG899">
        <f t="shared" si="292"/>
        <v>18981</v>
      </c>
      <c r="AH899" t="str">
        <f t="shared" si="293"/>
        <v>Nelson</v>
      </c>
      <c r="AI899" t="str">
        <f t="shared" si="294"/>
        <v>Velodrome</v>
      </c>
      <c r="AJ899" s="18">
        <f t="shared" ref="AJ899:AJ962" si="308">IF(AND(L899="",M899=""),0,((J899*60)+K899)-((L899*60)+M899))</f>
        <v>0</v>
      </c>
      <c r="AP899" s="18">
        <f t="shared" ref="AP899:AP962" si="309">SUMIFS(AJ899:AJ899,Q899:Q899,"=Intermission")</f>
        <v>0</v>
      </c>
      <c r="AQ899">
        <f t="shared" ref="AQ899:AQ962" si="310">IF(E899=1,0,IF(E899=2,1080+AP899,IF(E899=3,(1080*2)+AP899,0)))</f>
        <v>1080</v>
      </c>
      <c r="AR899" s="23">
        <f t="shared" ref="AR899:AR962" si="311">IF(Q899="Intermission",AR898,((1080)-((J899*60)+K899))+AQ899)</f>
        <v>1254</v>
      </c>
      <c r="AS899">
        <f t="shared" si="295"/>
        <v>1249</v>
      </c>
      <c r="AT899" s="21">
        <f t="shared" si="296"/>
        <v>1254</v>
      </c>
      <c r="AU899" s="21"/>
      <c r="AV899" s="21"/>
      <c r="AW899" s="21"/>
    </row>
    <row r="900" spans="1:49" x14ac:dyDescent="0.2">
      <c r="A900">
        <v>488</v>
      </c>
      <c r="E900">
        <f t="shared" ref="E900:E963" si="312">IF(Q900="Intermission",E899+1,E899)</f>
        <v>2</v>
      </c>
      <c r="F900" s="5" t="s">
        <v>489</v>
      </c>
      <c r="G900" s="5" t="s">
        <v>479</v>
      </c>
      <c r="J900" t="str">
        <f t="shared" si="298"/>
        <v>14</v>
      </c>
      <c r="K900" t="str">
        <f t="shared" si="299"/>
        <v>59</v>
      </c>
      <c r="L900" t="str">
        <f t="shared" si="300"/>
        <v/>
      </c>
      <c r="M900" s="6" t="str">
        <f t="shared" si="301"/>
        <v/>
      </c>
      <c r="N900" t="s">
        <v>178</v>
      </c>
      <c r="O900">
        <v>23</v>
      </c>
      <c r="P900" t="s">
        <v>424</v>
      </c>
      <c r="Q900" t="s">
        <v>8</v>
      </c>
      <c r="R900" t="s">
        <v>189</v>
      </c>
      <c r="S900" t="s">
        <v>70</v>
      </c>
      <c r="Y900" t="str">
        <f t="shared" si="302"/>
        <v/>
      </c>
      <c r="Z900" t="str">
        <f t="shared" si="303"/>
        <v/>
      </c>
      <c r="AC900" t="str">
        <f t="shared" si="304"/>
        <v>Pass</v>
      </c>
      <c r="AD900" t="str">
        <f t="shared" si="305"/>
        <v>Pass_Completed</v>
      </c>
      <c r="AE900" t="str">
        <f t="shared" si="306"/>
        <v>Pass-Forehand</v>
      </c>
      <c r="AF900" t="str">
        <f t="shared" si="307"/>
        <v>Offensive</v>
      </c>
      <c r="AG900">
        <f t="shared" ref="AG900:AG963" si="313">AG899</f>
        <v>18981</v>
      </c>
      <c r="AH900" t="str">
        <f t="shared" ref="AH900:AH963" si="314">AH899</f>
        <v>Nelson</v>
      </c>
      <c r="AI900" t="str">
        <f t="shared" ref="AI900:AI963" si="315">AI899</f>
        <v>Velodrome</v>
      </c>
      <c r="AJ900" s="18">
        <f t="shared" si="308"/>
        <v>0</v>
      </c>
      <c r="AP900" s="18">
        <f t="shared" si="309"/>
        <v>0</v>
      </c>
      <c r="AQ900">
        <f t="shared" si="310"/>
        <v>1080</v>
      </c>
      <c r="AR900" s="23">
        <f t="shared" si="311"/>
        <v>1261</v>
      </c>
      <c r="AS900">
        <f t="shared" ref="AS900:AS963" si="316">IF(AR900&lt;5,0,AR900-5)</f>
        <v>1256</v>
      </c>
      <c r="AT900" s="21">
        <f t="shared" ref="AT900:AT963" si="317">AS900+AJ900+5</f>
        <v>1261</v>
      </c>
      <c r="AU900" s="21"/>
      <c r="AV900" s="21"/>
      <c r="AW900" s="21"/>
    </row>
    <row r="901" spans="1:49" x14ac:dyDescent="0.2">
      <c r="A901">
        <v>488</v>
      </c>
      <c r="E901">
        <f t="shared" si="312"/>
        <v>2</v>
      </c>
      <c r="J901" t="str">
        <f t="shared" si="298"/>
        <v>14</v>
      </c>
      <c r="K901" t="str">
        <f t="shared" si="299"/>
        <v>59</v>
      </c>
      <c r="L901" t="str">
        <f t="shared" si="300"/>
        <v/>
      </c>
      <c r="M901" s="6" t="str">
        <f t="shared" si="301"/>
        <v/>
      </c>
      <c r="N901" t="str">
        <f t="shared" si="297"/>
        <v>Home</v>
      </c>
      <c r="O901">
        <v>37</v>
      </c>
      <c r="P901" t="s">
        <v>424</v>
      </c>
      <c r="Y901" t="str">
        <f t="shared" si="302"/>
        <v/>
      </c>
      <c r="Z901" t="str">
        <f t="shared" si="303"/>
        <v/>
      </c>
      <c r="AC901" t="str">
        <f t="shared" si="304"/>
        <v>Pass</v>
      </c>
      <c r="AD901" t="str">
        <f t="shared" si="305"/>
        <v>Pass_Completed</v>
      </c>
      <c r="AE901" t="str">
        <f t="shared" si="306"/>
        <v>Pass-Forehand</v>
      </c>
      <c r="AF901" t="str">
        <f t="shared" si="307"/>
        <v>Offensive</v>
      </c>
      <c r="AG901">
        <f t="shared" si="313"/>
        <v>18981</v>
      </c>
      <c r="AH901" t="str">
        <f t="shared" si="314"/>
        <v>Nelson</v>
      </c>
      <c r="AI901" t="str">
        <f t="shared" si="315"/>
        <v>Velodrome</v>
      </c>
      <c r="AJ901" s="18">
        <f t="shared" si="308"/>
        <v>0</v>
      </c>
      <c r="AP901" s="18">
        <f t="shared" si="309"/>
        <v>0</v>
      </c>
      <c r="AQ901">
        <f t="shared" si="310"/>
        <v>1080</v>
      </c>
      <c r="AR901" s="23">
        <f t="shared" si="311"/>
        <v>1261</v>
      </c>
      <c r="AS901">
        <f t="shared" si="316"/>
        <v>1256</v>
      </c>
      <c r="AT901" s="21">
        <f t="shared" si="317"/>
        <v>1261</v>
      </c>
      <c r="AU901" s="21"/>
      <c r="AV901" s="21"/>
      <c r="AW901" s="21"/>
    </row>
    <row r="902" spans="1:49" x14ac:dyDescent="0.2">
      <c r="A902">
        <v>489</v>
      </c>
      <c r="E902">
        <f t="shared" si="312"/>
        <v>2</v>
      </c>
      <c r="F902" s="5" t="s">
        <v>489</v>
      </c>
      <c r="G902" s="5" t="s">
        <v>479</v>
      </c>
      <c r="H902" s="5" t="s">
        <v>489</v>
      </c>
      <c r="I902" s="7" t="s">
        <v>528</v>
      </c>
      <c r="J902" t="str">
        <f t="shared" si="298"/>
        <v>14</v>
      </c>
      <c r="K902" t="str">
        <f t="shared" si="299"/>
        <v>59</v>
      </c>
      <c r="L902" t="str">
        <f t="shared" si="300"/>
        <v>14</v>
      </c>
      <c r="M902" s="6" t="str">
        <f t="shared" si="301"/>
        <v>56</v>
      </c>
      <c r="N902" t="s">
        <v>178</v>
      </c>
      <c r="O902">
        <v>37</v>
      </c>
      <c r="P902" t="s">
        <v>424</v>
      </c>
      <c r="Q902" t="s">
        <v>15</v>
      </c>
      <c r="Y902" t="str">
        <f t="shared" si="302"/>
        <v/>
      </c>
      <c r="Z902" t="str">
        <f t="shared" si="303"/>
        <v/>
      </c>
      <c r="AC902" t="str">
        <f t="shared" si="304"/>
        <v>Possession</v>
      </c>
      <c r="AD902" t="str">
        <f t="shared" si="305"/>
        <v/>
      </c>
      <c r="AE902" t="str">
        <f t="shared" si="306"/>
        <v/>
      </c>
      <c r="AF902" t="str">
        <f t="shared" si="307"/>
        <v>Offensive</v>
      </c>
      <c r="AG902">
        <f t="shared" si="313"/>
        <v>18981</v>
      </c>
      <c r="AH902" t="str">
        <f t="shared" si="314"/>
        <v>Nelson</v>
      </c>
      <c r="AI902" t="str">
        <f t="shared" si="315"/>
        <v>Velodrome</v>
      </c>
      <c r="AJ902" s="18">
        <f t="shared" si="308"/>
        <v>3</v>
      </c>
      <c r="AP902" s="18">
        <f t="shared" si="309"/>
        <v>0</v>
      </c>
      <c r="AQ902">
        <f t="shared" si="310"/>
        <v>1080</v>
      </c>
      <c r="AR902" s="23">
        <f t="shared" si="311"/>
        <v>1261</v>
      </c>
      <c r="AS902">
        <f t="shared" si="316"/>
        <v>1256</v>
      </c>
      <c r="AT902" s="21">
        <f t="shared" si="317"/>
        <v>1264</v>
      </c>
      <c r="AU902" s="21"/>
      <c r="AV902" s="21"/>
      <c r="AW902" s="21"/>
    </row>
    <row r="903" spans="1:49" x14ac:dyDescent="0.2">
      <c r="A903">
        <v>490</v>
      </c>
      <c r="E903">
        <f t="shared" si="312"/>
        <v>2</v>
      </c>
      <c r="F903" s="5" t="s">
        <v>489</v>
      </c>
      <c r="G903" s="5" t="s">
        <v>528</v>
      </c>
      <c r="J903" t="str">
        <f t="shared" si="298"/>
        <v>14</v>
      </c>
      <c r="K903" t="str">
        <f t="shared" si="299"/>
        <v>56</v>
      </c>
      <c r="L903" t="str">
        <f t="shared" si="300"/>
        <v/>
      </c>
      <c r="M903" s="6" t="str">
        <f t="shared" si="301"/>
        <v/>
      </c>
      <c r="N903" t="s">
        <v>178</v>
      </c>
      <c r="O903">
        <v>37</v>
      </c>
      <c r="P903" t="s">
        <v>424</v>
      </c>
      <c r="Q903" t="s">
        <v>8</v>
      </c>
      <c r="R903" t="s">
        <v>199</v>
      </c>
      <c r="S903" t="s">
        <v>67</v>
      </c>
      <c r="Y903" t="str">
        <f t="shared" si="302"/>
        <v/>
      </c>
      <c r="Z903" t="str">
        <f t="shared" si="303"/>
        <v/>
      </c>
      <c r="AC903" t="str">
        <f t="shared" si="304"/>
        <v>Pass</v>
      </c>
      <c r="AD903" t="str">
        <f t="shared" si="305"/>
        <v>Pass_Missed</v>
      </c>
      <c r="AE903" t="str">
        <f t="shared" si="306"/>
        <v>Pass-Stretch</v>
      </c>
      <c r="AF903" t="str">
        <f t="shared" si="307"/>
        <v>Offensive</v>
      </c>
      <c r="AG903">
        <f t="shared" si="313"/>
        <v>18981</v>
      </c>
      <c r="AH903" t="str">
        <f t="shared" si="314"/>
        <v>Nelson</v>
      </c>
      <c r="AI903" t="str">
        <f t="shared" si="315"/>
        <v>Velodrome</v>
      </c>
      <c r="AJ903" s="18">
        <f t="shared" si="308"/>
        <v>0</v>
      </c>
      <c r="AP903" s="18">
        <f t="shared" si="309"/>
        <v>0</v>
      </c>
      <c r="AQ903">
        <f t="shared" si="310"/>
        <v>1080</v>
      </c>
      <c r="AR903" s="23">
        <f t="shared" si="311"/>
        <v>1264</v>
      </c>
      <c r="AS903">
        <f t="shared" si="316"/>
        <v>1259</v>
      </c>
      <c r="AT903" s="21">
        <f t="shared" si="317"/>
        <v>1264</v>
      </c>
      <c r="AU903" s="21"/>
      <c r="AV903" s="21"/>
      <c r="AW903" s="21"/>
    </row>
    <row r="904" spans="1:49" x14ac:dyDescent="0.2">
      <c r="A904">
        <v>490</v>
      </c>
      <c r="E904">
        <f t="shared" si="312"/>
        <v>2</v>
      </c>
      <c r="J904" t="str">
        <f t="shared" si="298"/>
        <v>14</v>
      </c>
      <c r="K904" t="str">
        <f t="shared" si="299"/>
        <v>56</v>
      </c>
      <c r="L904" t="str">
        <f t="shared" si="300"/>
        <v/>
      </c>
      <c r="M904" s="6" t="str">
        <f t="shared" si="301"/>
        <v/>
      </c>
      <c r="N904" t="str">
        <f t="shared" ref="N904:N965" si="318">IF(A904=A903,N903,"")</f>
        <v>Home</v>
      </c>
      <c r="O904">
        <v>15</v>
      </c>
      <c r="P904" t="s">
        <v>424</v>
      </c>
      <c r="Y904" t="str">
        <f t="shared" si="302"/>
        <v/>
      </c>
      <c r="Z904" t="str">
        <f t="shared" si="303"/>
        <v/>
      </c>
      <c r="AC904" t="str">
        <f t="shared" si="304"/>
        <v>Pass</v>
      </c>
      <c r="AD904" t="str">
        <f t="shared" si="305"/>
        <v>Pass_Missed</v>
      </c>
      <c r="AE904" t="str">
        <f t="shared" si="306"/>
        <v>Pass-Stretch</v>
      </c>
      <c r="AF904" t="str">
        <f t="shared" si="307"/>
        <v>Offensive</v>
      </c>
      <c r="AG904">
        <f t="shared" si="313"/>
        <v>18981</v>
      </c>
      <c r="AH904" t="str">
        <f t="shared" si="314"/>
        <v>Nelson</v>
      </c>
      <c r="AI904" t="str">
        <f t="shared" si="315"/>
        <v>Velodrome</v>
      </c>
      <c r="AJ904" s="18">
        <f t="shared" si="308"/>
        <v>0</v>
      </c>
      <c r="AP904" s="18">
        <f t="shared" si="309"/>
        <v>0</v>
      </c>
      <c r="AQ904">
        <f t="shared" si="310"/>
        <v>1080</v>
      </c>
      <c r="AR904" s="23">
        <f t="shared" si="311"/>
        <v>1264</v>
      </c>
      <c r="AS904">
        <f t="shared" si="316"/>
        <v>1259</v>
      </c>
      <c r="AT904" s="21">
        <f t="shared" si="317"/>
        <v>1264</v>
      </c>
      <c r="AU904" s="21"/>
      <c r="AV904" s="21"/>
      <c r="AW904" s="21"/>
    </row>
    <row r="905" spans="1:49" x14ac:dyDescent="0.2">
      <c r="A905">
        <v>491</v>
      </c>
      <c r="E905">
        <f t="shared" si="312"/>
        <v>2</v>
      </c>
      <c r="F905" s="5" t="s">
        <v>489</v>
      </c>
      <c r="G905" s="5" t="s">
        <v>528</v>
      </c>
      <c r="J905" t="str">
        <f t="shared" ref="J905:J968" si="319">IF(F905&lt;&gt;"",F905,IF($A905=$A904,J904,J905))</f>
        <v>14</v>
      </c>
      <c r="K905" t="str">
        <f t="shared" ref="K905:K968" si="320">IF($A905=$A904,K904,G905)</f>
        <v>56</v>
      </c>
      <c r="L905" t="str">
        <f t="shared" ref="L905:L968" si="321">IF(H905&lt;&gt;"",H905,IF($A905=$A904,L904,""))</f>
        <v/>
      </c>
      <c r="M905" s="6" t="str">
        <f t="shared" ref="M905:M968" si="322">IF(I905&lt;&gt;"",I905,IF($A905=$A904,M904,""))</f>
        <v/>
      </c>
      <c r="N905" t="s">
        <v>178</v>
      </c>
      <c r="O905">
        <v>37</v>
      </c>
      <c r="P905" t="s">
        <v>424</v>
      </c>
      <c r="Q905" t="s">
        <v>277</v>
      </c>
      <c r="R905" t="s">
        <v>201</v>
      </c>
      <c r="S905" t="s">
        <v>433</v>
      </c>
      <c r="Y905" t="str">
        <f t="shared" si="302"/>
        <v/>
      </c>
      <c r="Z905" t="str">
        <f t="shared" si="303"/>
        <v/>
      </c>
      <c r="AC905" t="str">
        <f t="shared" si="304"/>
        <v>Zone_Entry_Exit</v>
      </c>
      <c r="AD905" t="str">
        <f t="shared" si="305"/>
        <v>Zone_Exit</v>
      </c>
      <c r="AE905" t="str">
        <f t="shared" si="306"/>
        <v>ZoneExit-PassMiss/Misplay</v>
      </c>
      <c r="AF905" t="str">
        <f t="shared" si="307"/>
        <v>Offensive</v>
      </c>
      <c r="AG905">
        <f t="shared" si="313"/>
        <v>18981</v>
      </c>
      <c r="AH905" t="str">
        <f t="shared" si="314"/>
        <v>Nelson</v>
      </c>
      <c r="AI905" t="str">
        <f t="shared" si="315"/>
        <v>Velodrome</v>
      </c>
      <c r="AJ905" s="18">
        <f t="shared" si="308"/>
        <v>0</v>
      </c>
      <c r="AP905" s="18">
        <f t="shared" si="309"/>
        <v>0</v>
      </c>
      <c r="AQ905">
        <f t="shared" si="310"/>
        <v>1080</v>
      </c>
      <c r="AR905" s="23">
        <f t="shared" si="311"/>
        <v>1264</v>
      </c>
      <c r="AS905">
        <f t="shared" si="316"/>
        <v>1259</v>
      </c>
      <c r="AT905" s="21">
        <f t="shared" si="317"/>
        <v>1264</v>
      </c>
      <c r="AU905" s="21"/>
      <c r="AV905" s="21"/>
      <c r="AW905" s="21"/>
    </row>
    <row r="906" spans="1:49" x14ac:dyDescent="0.2">
      <c r="A906">
        <v>491</v>
      </c>
      <c r="E906">
        <f t="shared" si="312"/>
        <v>2</v>
      </c>
      <c r="J906" t="str">
        <f t="shared" si="319"/>
        <v>14</v>
      </c>
      <c r="K906" t="str">
        <f t="shared" si="320"/>
        <v>56</v>
      </c>
      <c r="L906" t="str">
        <f t="shared" si="321"/>
        <v/>
      </c>
      <c r="M906" s="6" t="str">
        <f t="shared" si="322"/>
        <v/>
      </c>
      <c r="N906" t="str">
        <f t="shared" si="318"/>
        <v>Home</v>
      </c>
      <c r="O906">
        <v>15</v>
      </c>
      <c r="P906" t="s">
        <v>424</v>
      </c>
      <c r="Y906" t="str">
        <f t="shared" si="302"/>
        <v/>
      </c>
      <c r="Z906" t="str">
        <f t="shared" si="303"/>
        <v/>
      </c>
      <c r="AC906" t="str">
        <f t="shared" si="304"/>
        <v>Zone_Entry_Exit</v>
      </c>
      <c r="AD906" t="str">
        <f t="shared" si="305"/>
        <v>Zone_Exit</v>
      </c>
      <c r="AE906" t="str">
        <f t="shared" si="306"/>
        <v>ZoneExit-PassMiss/Misplay</v>
      </c>
      <c r="AF906" t="str">
        <f t="shared" si="307"/>
        <v>Offensive</v>
      </c>
      <c r="AG906">
        <f t="shared" si="313"/>
        <v>18981</v>
      </c>
      <c r="AH906" t="str">
        <f t="shared" si="314"/>
        <v>Nelson</v>
      </c>
      <c r="AI906" t="str">
        <f t="shared" si="315"/>
        <v>Velodrome</v>
      </c>
      <c r="AJ906" s="18">
        <f t="shared" si="308"/>
        <v>0</v>
      </c>
      <c r="AP906" s="18">
        <f t="shared" si="309"/>
        <v>0</v>
      </c>
      <c r="AQ906">
        <f t="shared" si="310"/>
        <v>1080</v>
      </c>
      <c r="AR906" s="23">
        <f t="shared" si="311"/>
        <v>1264</v>
      </c>
      <c r="AS906">
        <f t="shared" si="316"/>
        <v>1259</v>
      </c>
      <c r="AT906" s="21">
        <f t="shared" si="317"/>
        <v>1264</v>
      </c>
      <c r="AU906" s="21"/>
      <c r="AV906" s="21"/>
      <c r="AW906" s="21"/>
    </row>
    <row r="907" spans="1:49" x14ac:dyDescent="0.2">
      <c r="A907">
        <v>492</v>
      </c>
      <c r="E907">
        <f t="shared" si="312"/>
        <v>2</v>
      </c>
      <c r="F907" s="5" t="s">
        <v>489</v>
      </c>
      <c r="G907" s="5" t="s">
        <v>524</v>
      </c>
      <c r="H907" s="5" t="s">
        <v>489</v>
      </c>
      <c r="I907" s="7" t="s">
        <v>523</v>
      </c>
      <c r="J907" t="str">
        <f t="shared" si="319"/>
        <v>14</v>
      </c>
      <c r="K907" t="str">
        <f t="shared" si="320"/>
        <v>52</v>
      </c>
      <c r="L907" t="str">
        <f t="shared" si="321"/>
        <v>14</v>
      </c>
      <c r="M907" s="6" t="str">
        <f t="shared" si="322"/>
        <v>51</v>
      </c>
      <c r="N907" t="s">
        <v>178</v>
      </c>
      <c r="O907">
        <v>44</v>
      </c>
      <c r="P907" t="s">
        <v>424</v>
      </c>
      <c r="Q907" t="s">
        <v>15</v>
      </c>
      <c r="Y907" t="str">
        <f t="shared" si="302"/>
        <v/>
      </c>
      <c r="Z907" t="str">
        <f t="shared" si="303"/>
        <v/>
      </c>
      <c r="AC907" t="str">
        <f t="shared" si="304"/>
        <v>Possession</v>
      </c>
      <c r="AD907" t="str">
        <f t="shared" si="305"/>
        <v/>
      </c>
      <c r="AE907" t="str">
        <f t="shared" si="306"/>
        <v/>
      </c>
      <c r="AF907" t="str">
        <f t="shared" si="307"/>
        <v>Offensive</v>
      </c>
      <c r="AG907">
        <f t="shared" si="313"/>
        <v>18981</v>
      </c>
      <c r="AH907" t="str">
        <f t="shared" si="314"/>
        <v>Nelson</v>
      </c>
      <c r="AI907" t="str">
        <f t="shared" si="315"/>
        <v>Velodrome</v>
      </c>
      <c r="AJ907" s="18">
        <f t="shared" si="308"/>
        <v>1</v>
      </c>
      <c r="AP907" s="18">
        <f t="shared" si="309"/>
        <v>0</v>
      </c>
      <c r="AQ907">
        <f t="shared" si="310"/>
        <v>1080</v>
      </c>
      <c r="AR907" s="23">
        <f t="shared" si="311"/>
        <v>1268</v>
      </c>
      <c r="AS907">
        <f t="shared" si="316"/>
        <v>1263</v>
      </c>
      <c r="AT907" s="21">
        <f t="shared" si="317"/>
        <v>1269</v>
      </c>
      <c r="AU907" s="21"/>
      <c r="AV907" s="21"/>
      <c r="AW907" s="21"/>
    </row>
    <row r="908" spans="1:49" x14ac:dyDescent="0.2">
      <c r="A908">
        <v>492</v>
      </c>
      <c r="E908">
        <f t="shared" si="312"/>
        <v>2</v>
      </c>
      <c r="J908" t="str">
        <f t="shared" si="319"/>
        <v>14</v>
      </c>
      <c r="K908" t="str">
        <f t="shared" si="320"/>
        <v>52</v>
      </c>
      <c r="L908" t="str">
        <f t="shared" si="321"/>
        <v>14</v>
      </c>
      <c r="M908" s="6" t="str">
        <f t="shared" si="322"/>
        <v>51</v>
      </c>
      <c r="N908" t="str">
        <f t="shared" si="318"/>
        <v>Home</v>
      </c>
      <c r="O908">
        <v>49</v>
      </c>
      <c r="P908" t="s">
        <v>425</v>
      </c>
      <c r="Y908" t="str">
        <f t="shared" si="302"/>
        <v/>
      </c>
      <c r="Z908" t="str">
        <f t="shared" si="303"/>
        <v/>
      </c>
      <c r="AC908" t="str">
        <f t="shared" si="304"/>
        <v>Possession</v>
      </c>
      <c r="AD908" t="str">
        <f t="shared" si="305"/>
        <v/>
      </c>
      <c r="AE908" t="str">
        <f t="shared" si="306"/>
        <v/>
      </c>
      <c r="AF908" t="str">
        <f t="shared" si="307"/>
        <v>Defensive</v>
      </c>
      <c r="AG908">
        <f t="shared" si="313"/>
        <v>18981</v>
      </c>
      <c r="AH908" t="str">
        <f t="shared" si="314"/>
        <v>Nelson</v>
      </c>
      <c r="AI908" t="str">
        <f t="shared" si="315"/>
        <v>Velodrome</v>
      </c>
      <c r="AJ908" s="18">
        <f t="shared" si="308"/>
        <v>1</v>
      </c>
      <c r="AP908" s="18">
        <f t="shared" si="309"/>
        <v>0</v>
      </c>
      <c r="AQ908">
        <f t="shared" si="310"/>
        <v>1080</v>
      </c>
      <c r="AR908" s="23">
        <f t="shared" si="311"/>
        <v>1268</v>
      </c>
      <c r="AS908">
        <f t="shared" si="316"/>
        <v>1263</v>
      </c>
      <c r="AT908" s="21">
        <f t="shared" si="317"/>
        <v>1269</v>
      </c>
      <c r="AU908" s="21"/>
      <c r="AV908" s="21"/>
      <c r="AW908" s="21"/>
    </row>
    <row r="909" spans="1:49" x14ac:dyDescent="0.2">
      <c r="A909">
        <v>493</v>
      </c>
      <c r="E909">
        <f t="shared" si="312"/>
        <v>2</v>
      </c>
      <c r="F909" s="5" t="s">
        <v>489</v>
      </c>
      <c r="G909" s="5" t="s">
        <v>523</v>
      </c>
      <c r="J909" t="str">
        <f t="shared" si="319"/>
        <v>14</v>
      </c>
      <c r="K909" t="str">
        <f t="shared" si="320"/>
        <v>51</v>
      </c>
      <c r="L909" t="str">
        <f t="shared" si="321"/>
        <v/>
      </c>
      <c r="M909" s="6" t="str">
        <f t="shared" si="322"/>
        <v/>
      </c>
      <c r="N909" t="s">
        <v>179</v>
      </c>
      <c r="O909">
        <v>49</v>
      </c>
      <c r="P909" t="s">
        <v>424</v>
      </c>
      <c r="Q909" t="s">
        <v>10</v>
      </c>
      <c r="R909" t="s">
        <v>200</v>
      </c>
      <c r="S909" t="s">
        <v>82</v>
      </c>
      <c r="Y909" t="str">
        <f t="shared" si="302"/>
        <v/>
      </c>
      <c r="Z909" t="str">
        <f t="shared" si="303"/>
        <v/>
      </c>
      <c r="AC909" t="str">
        <f t="shared" si="304"/>
        <v>Turnover</v>
      </c>
      <c r="AD909" t="str">
        <f t="shared" si="305"/>
        <v>Turnover_Takeaway</v>
      </c>
      <c r="AE909" t="str">
        <f t="shared" si="306"/>
        <v>Takeaway-PokeCheck</v>
      </c>
      <c r="AF909" t="str">
        <f t="shared" si="307"/>
        <v>Defensive</v>
      </c>
      <c r="AG909">
        <f t="shared" si="313"/>
        <v>18981</v>
      </c>
      <c r="AH909" t="str">
        <f t="shared" si="314"/>
        <v>Nelson</v>
      </c>
      <c r="AI909" t="str">
        <f t="shared" si="315"/>
        <v>Velodrome</v>
      </c>
      <c r="AJ909" s="18">
        <f t="shared" si="308"/>
        <v>0</v>
      </c>
      <c r="AP909" s="18">
        <f t="shared" si="309"/>
        <v>0</v>
      </c>
      <c r="AQ909">
        <f t="shared" si="310"/>
        <v>1080</v>
      </c>
      <c r="AR909" s="23">
        <f t="shared" si="311"/>
        <v>1269</v>
      </c>
      <c r="AS909">
        <f t="shared" si="316"/>
        <v>1264</v>
      </c>
      <c r="AT909" s="21">
        <f t="shared" si="317"/>
        <v>1269</v>
      </c>
      <c r="AU909" s="21"/>
      <c r="AV909" s="21"/>
      <c r="AW909" s="21"/>
    </row>
    <row r="910" spans="1:49" x14ac:dyDescent="0.2">
      <c r="A910">
        <v>493</v>
      </c>
      <c r="E910">
        <f t="shared" si="312"/>
        <v>2</v>
      </c>
      <c r="J910" t="str">
        <f t="shared" si="319"/>
        <v>14</v>
      </c>
      <c r="K910" t="str">
        <f t="shared" si="320"/>
        <v>51</v>
      </c>
      <c r="L910" t="str">
        <f t="shared" si="321"/>
        <v/>
      </c>
      <c r="M910" s="6" t="str">
        <f t="shared" si="322"/>
        <v/>
      </c>
      <c r="N910" t="str">
        <f t="shared" si="318"/>
        <v>Away</v>
      </c>
      <c r="O910">
        <v>44</v>
      </c>
      <c r="P910" t="s">
        <v>425</v>
      </c>
      <c r="Y910" t="str">
        <f t="shared" si="302"/>
        <v/>
      </c>
      <c r="Z910" t="str">
        <f t="shared" si="303"/>
        <v/>
      </c>
      <c r="AC910" t="str">
        <f t="shared" si="304"/>
        <v>Turnover</v>
      </c>
      <c r="AD910" t="str">
        <f t="shared" si="305"/>
        <v>Turnover_Takeaway</v>
      </c>
      <c r="AE910" t="str">
        <f t="shared" si="306"/>
        <v>Takeaway-PokeCheck</v>
      </c>
      <c r="AF910" t="str">
        <f t="shared" si="307"/>
        <v>Offensive</v>
      </c>
      <c r="AG910">
        <f t="shared" si="313"/>
        <v>18981</v>
      </c>
      <c r="AH910" t="str">
        <f t="shared" si="314"/>
        <v>Nelson</v>
      </c>
      <c r="AI910" t="str">
        <f t="shared" si="315"/>
        <v>Velodrome</v>
      </c>
      <c r="AJ910" s="18">
        <f t="shared" si="308"/>
        <v>0</v>
      </c>
      <c r="AP910" s="18">
        <f t="shared" si="309"/>
        <v>0</v>
      </c>
      <c r="AQ910">
        <f t="shared" si="310"/>
        <v>1080</v>
      </c>
      <c r="AR910" s="23">
        <f t="shared" si="311"/>
        <v>1269</v>
      </c>
      <c r="AS910">
        <f t="shared" si="316"/>
        <v>1264</v>
      </c>
      <c r="AT910" s="21">
        <f t="shared" si="317"/>
        <v>1269</v>
      </c>
      <c r="AU910" s="21"/>
      <c r="AV910" s="21"/>
      <c r="AW910" s="21"/>
    </row>
    <row r="911" spans="1:49" x14ac:dyDescent="0.2">
      <c r="A911">
        <v>494</v>
      </c>
      <c r="E911">
        <f t="shared" si="312"/>
        <v>2</v>
      </c>
      <c r="F911" s="5" t="s">
        <v>489</v>
      </c>
      <c r="G911" s="5" t="s">
        <v>523</v>
      </c>
      <c r="J911" t="str">
        <f t="shared" si="319"/>
        <v>14</v>
      </c>
      <c r="K911" t="str">
        <f t="shared" si="320"/>
        <v>51</v>
      </c>
      <c r="L911" t="str">
        <f t="shared" si="321"/>
        <v/>
      </c>
      <c r="M911" s="6" t="str">
        <f t="shared" si="322"/>
        <v/>
      </c>
      <c r="N911" t="s">
        <v>179</v>
      </c>
      <c r="O911">
        <v>49</v>
      </c>
      <c r="P911" t="s">
        <v>424</v>
      </c>
      <c r="Q911" t="s">
        <v>277</v>
      </c>
      <c r="R911" t="s">
        <v>191</v>
      </c>
      <c r="S911" t="s">
        <v>535</v>
      </c>
      <c r="Y911" t="str">
        <f t="shared" si="302"/>
        <v/>
      </c>
      <c r="Z911" t="str">
        <f t="shared" si="303"/>
        <v/>
      </c>
      <c r="AC911" t="str">
        <f t="shared" si="304"/>
        <v>Zone_Entry_Exit</v>
      </c>
      <c r="AD911" t="str">
        <f t="shared" si="305"/>
        <v>Zone_Entry</v>
      </c>
      <c r="AE911" t="str">
        <f t="shared" si="306"/>
        <v>ZoneEntry-CausedTurnover</v>
      </c>
      <c r="AF911" t="str">
        <f t="shared" si="307"/>
        <v>Offensive</v>
      </c>
      <c r="AG911">
        <f t="shared" si="313"/>
        <v>18981</v>
      </c>
      <c r="AH911" t="str">
        <f t="shared" si="314"/>
        <v>Nelson</v>
      </c>
      <c r="AI911" t="str">
        <f t="shared" si="315"/>
        <v>Velodrome</v>
      </c>
      <c r="AJ911" s="18">
        <f t="shared" si="308"/>
        <v>0</v>
      </c>
      <c r="AP911" s="18">
        <f t="shared" si="309"/>
        <v>0</v>
      </c>
      <c r="AQ911">
        <f t="shared" si="310"/>
        <v>1080</v>
      </c>
      <c r="AR911" s="23">
        <f t="shared" si="311"/>
        <v>1269</v>
      </c>
      <c r="AS911">
        <f t="shared" si="316"/>
        <v>1264</v>
      </c>
      <c r="AT911" s="21">
        <f t="shared" si="317"/>
        <v>1269</v>
      </c>
      <c r="AU911" s="21"/>
      <c r="AV911" s="21"/>
      <c r="AW911" s="21"/>
    </row>
    <row r="912" spans="1:49" x14ac:dyDescent="0.2">
      <c r="A912">
        <v>495</v>
      </c>
      <c r="E912">
        <f t="shared" si="312"/>
        <v>2</v>
      </c>
      <c r="F912" s="5" t="s">
        <v>489</v>
      </c>
      <c r="G912" s="5" t="s">
        <v>517</v>
      </c>
      <c r="J912" t="str">
        <f t="shared" si="319"/>
        <v>14</v>
      </c>
      <c r="K912" t="str">
        <f t="shared" si="320"/>
        <v>45</v>
      </c>
      <c r="L912" t="str">
        <f t="shared" si="321"/>
        <v/>
      </c>
      <c r="M912" s="6" t="str">
        <f t="shared" si="322"/>
        <v/>
      </c>
      <c r="N912" t="s">
        <v>179</v>
      </c>
      <c r="O912">
        <v>49</v>
      </c>
      <c r="P912" t="s">
        <v>424</v>
      </c>
      <c r="Q912" t="s">
        <v>10</v>
      </c>
      <c r="R912" t="s">
        <v>190</v>
      </c>
      <c r="S912" t="s">
        <v>440</v>
      </c>
      <c r="Y912" t="str">
        <f t="shared" si="302"/>
        <v/>
      </c>
      <c r="Z912" t="str">
        <f t="shared" si="303"/>
        <v/>
      </c>
      <c r="AC912" t="str">
        <f t="shared" si="304"/>
        <v>Turnover</v>
      </c>
      <c r="AD912" t="str">
        <f t="shared" si="305"/>
        <v>Turnover_Giveaway</v>
      </c>
      <c r="AE912" t="str">
        <f t="shared" si="306"/>
        <v>Giveaway-ZoneEntry/ExitMisplay</v>
      </c>
      <c r="AF912" t="str">
        <f t="shared" si="307"/>
        <v>Offensive</v>
      </c>
      <c r="AG912">
        <f t="shared" si="313"/>
        <v>18981</v>
      </c>
      <c r="AH912" t="str">
        <f t="shared" si="314"/>
        <v>Nelson</v>
      </c>
      <c r="AI912" t="str">
        <f t="shared" si="315"/>
        <v>Velodrome</v>
      </c>
      <c r="AJ912" s="18">
        <f t="shared" si="308"/>
        <v>0</v>
      </c>
      <c r="AP912" s="18">
        <f t="shared" si="309"/>
        <v>0</v>
      </c>
      <c r="AQ912">
        <f t="shared" si="310"/>
        <v>1080</v>
      </c>
      <c r="AR912" s="23">
        <f t="shared" si="311"/>
        <v>1275</v>
      </c>
      <c r="AS912">
        <f t="shared" si="316"/>
        <v>1270</v>
      </c>
      <c r="AT912" s="21">
        <f t="shared" si="317"/>
        <v>1275</v>
      </c>
      <c r="AU912" s="21"/>
      <c r="AV912" s="21"/>
      <c r="AW912" s="21"/>
    </row>
    <row r="913" spans="1:49" x14ac:dyDescent="0.2">
      <c r="A913">
        <v>496</v>
      </c>
      <c r="E913">
        <f t="shared" si="312"/>
        <v>2</v>
      </c>
      <c r="F913" s="5" t="s">
        <v>489</v>
      </c>
      <c r="G913" s="5" t="s">
        <v>515</v>
      </c>
      <c r="H913" s="5" t="s">
        <v>489</v>
      </c>
      <c r="I913" s="7" t="s">
        <v>514</v>
      </c>
      <c r="J913" t="str">
        <f t="shared" si="319"/>
        <v>14</v>
      </c>
      <c r="K913" t="str">
        <f t="shared" si="320"/>
        <v>43</v>
      </c>
      <c r="L913" t="str">
        <f t="shared" si="321"/>
        <v>14</v>
      </c>
      <c r="M913" s="6" t="str">
        <f t="shared" si="322"/>
        <v>42</v>
      </c>
      <c r="N913" t="s">
        <v>178</v>
      </c>
      <c r="O913">
        <v>79</v>
      </c>
      <c r="P913" t="s">
        <v>424</v>
      </c>
      <c r="Q913" t="s">
        <v>277</v>
      </c>
      <c r="R913" t="s">
        <v>201</v>
      </c>
      <c r="S913" t="s">
        <v>90</v>
      </c>
      <c r="Y913" t="str">
        <f t="shared" si="302"/>
        <v/>
      </c>
      <c r="Z913" t="str">
        <f t="shared" si="303"/>
        <v/>
      </c>
      <c r="AC913" t="str">
        <f t="shared" si="304"/>
        <v>Zone_Entry_Exit</v>
      </c>
      <c r="AD913" t="str">
        <f t="shared" si="305"/>
        <v>Zone_Exit</v>
      </c>
      <c r="AE913" t="str">
        <f t="shared" si="306"/>
        <v>ZoneExit-Rush</v>
      </c>
      <c r="AF913" t="str">
        <f t="shared" si="307"/>
        <v>Offensive</v>
      </c>
      <c r="AG913">
        <f t="shared" si="313"/>
        <v>18981</v>
      </c>
      <c r="AH913" t="str">
        <f t="shared" si="314"/>
        <v>Nelson</v>
      </c>
      <c r="AI913" t="str">
        <f t="shared" si="315"/>
        <v>Velodrome</v>
      </c>
      <c r="AJ913" s="18">
        <f t="shared" si="308"/>
        <v>1</v>
      </c>
      <c r="AP913" s="18">
        <f t="shared" si="309"/>
        <v>0</v>
      </c>
      <c r="AQ913">
        <f t="shared" si="310"/>
        <v>1080</v>
      </c>
      <c r="AR913" s="23">
        <f t="shared" si="311"/>
        <v>1277</v>
      </c>
      <c r="AS913">
        <f t="shared" si="316"/>
        <v>1272</v>
      </c>
      <c r="AT913" s="21">
        <f t="shared" si="317"/>
        <v>1278</v>
      </c>
      <c r="AU913" s="21"/>
      <c r="AV913" s="21"/>
      <c r="AW913" s="21"/>
    </row>
    <row r="914" spans="1:49" x14ac:dyDescent="0.2">
      <c r="A914">
        <v>497</v>
      </c>
      <c r="E914">
        <f t="shared" si="312"/>
        <v>2</v>
      </c>
      <c r="F914" s="5" t="s">
        <v>489</v>
      </c>
      <c r="G914" s="5" t="s">
        <v>514</v>
      </c>
      <c r="H914" s="5" t="s">
        <v>489</v>
      </c>
      <c r="I914" s="7" t="s">
        <v>512</v>
      </c>
      <c r="J914" t="str">
        <f t="shared" si="319"/>
        <v>14</v>
      </c>
      <c r="K914" t="str">
        <f t="shared" si="320"/>
        <v>42</v>
      </c>
      <c r="L914" t="str">
        <f t="shared" si="321"/>
        <v>14</v>
      </c>
      <c r="M914" s="6" t="str">
        <f t="shared" si="322"/>
        <v>40</v>
      </c>
      <c r="N914" t="s">
        <v>178</v>
      </c>
      <c r="O914">
        <v>79</v>
      </c>
      <c r="P914" t="s">
        <v>424</v>
      </c>
      <c r="Q914" t="s">
        <v>15</v>
      </c>
      <c r="Y914" t="str">
        <f t="shared" si="302"/>
        <v/>
      </c>
      <c r="Z914" t="str">
        <f t="shared" si="303"/>
        <v/>
      </c>
      <c r="AC914" t="str">
        <f t="shared" si="304"/>
        <v>Possession</v>
      </c>
      <c r="AD914" t="str">
        <f t="shared" si="305"/>
        <v/>
      </c>
      <c r="AE914" t="str">
        <f t="shared" si="306"/>
        <v/>
      </c>
      <c r="AF914" t="str">
        <f t="shared" si="307"/>
        <v>Offensive</v>
      </c>
      <c r="AG914">
        <f t="shared" si="313"/>
        <v>18981</v>
      </c>
      <c r="AH914" t="str">
        <f t="shared" si="314"/>
        <v>Nelson</v>
      </c>
      <c r="AI914" t="str">
        <f t="shared" si="315"/>
        <v>Velodrome</v>
      </c>
      <c r="AJ914" s="18">
        <f t="shared" si="308"/>
        <v>2</v>
      </c>
      <c r="AP914" s="18">
        <f t="shared" si="309"/>
        <v>0</v>
      </c>
      <c r="AQ914">
        <f t="shared" si="310"/>
        <v>1080</v>
      </c>
      <c r="AR914" s="23">
        <f t="shared" si="311"/>
        <v>1278</v>
      </c>
      <c r="AS914">
        <f t="shared" si="316"/>
        <v>1273</v>
      </c>
      <c r="AT914" s="21">
        <f t="shared" si="317"/>
        <v>1280</v>
      </c>
      <c r="AU914" s="21"/>
      <c r="AV914" s="21"/>
      <c r="AW914" s="21"/>
    </row>
    <row r="915" spans="1:49" x14ac:dyDescent="0.2">
      <c r="A915">
        <v>497</v>
      </c>
      <c r="E915">
        <f t="shared" si="312"/>
        <v>2</v>
      </c>
      <c r="J915" t="str">
        <f t="shared" si="319"/>
        <v>14</v>
      </c>
      <c r="K915" t="str">
        <f t="shared" si="320"/>
        <v>42</v>
      </c>
      <c r="L915" t="str">
        <f t="shared" si="321"/>
        <v>14</v>
      </c>
      <c r="M915" s="6" t="str">
        <f t="shared" si="322"/>
        <v>40</v>
      </c>
      <c r="N915" t="str">
        <f t="shared" si="318"/>
        <v>Home</v>
      </c>
      <c r="O915">
        <v>70</v>
      </c>
      <c r="P915" t="s">
        <v>425</v>
      </c>
      <c r="Y915" t="str">
        <f t="shared" si="302"/>
        <v/>
      </c>
      <c r="Z915" t="str">
        <f t="shared" si="303"/>
        <v/>
      </c>
      <c r="AC915" t="str">
        <f t="shared" si="304"/>
        <v>Possession</v>
      </c>
      <c r="AD915" t="str">
        <f t="shared" si="305"/>
        <v/>
      </c>
      <c r="AE915" t="str">
        <f t="shared" si="306"/>
        <v/>
      </c>
      <c r="AF915" t="str">
        <f t="shared" si="307"/>
        <v>Defensive</v>
      </c>
      <c r="AG915">
        <f t="shared" si="313"/>
        <v>18981</v>
      </c>
      <c r="AH915" t="str">
        <f t="shared" si="314"/>
        <v>Nelson</v>
      </c>
      <c r="AI915" t="str">
        <f t="shared" si="315"/>
        <v>Velodrome</v>
      </c>
      <c r="AJ915" s="18">
        <f t="shared" si="308"/>
        <v>2</v>
      </c>
      <c r="AP915" s="18">
        <f t="shared" si="309"/>
        <v>0</v>
      </c>
      <c r="AQ915">
        <f t="shared" si="310"/>
        <v>1080</v>
      </c>
      <c r="AR915" s="23">
        <f t="shared" si="311"/>
        <v>1278</v>
      </c>
      <c r="AS915">
        <f t="shared" si="316"/>
        <v>1273</v>
      </c>
      <c r="AT915" s="21">
        <f t="shared" si="317"/>
        <v>1280</v>
      </c>
      <c r="AU915" s="21"/>
      <c r="AV915" s="21"/>
      <c r="AW915" s="21"/>
    </row>
    <row r="916" spans="1:49" x14ac:dyDescent="0.2">
      <c r="A916">
        <v>498</v>
      </c>
      <c r="E916">
        <f t="shared" si="312"/>
        <v>2</v>
      </c>
      <c r="F916" s="5" t="s">
        <v>489</v>
      </c>
      <c r="G916" s="5" t="s">
        <v>512</v>
      </c>
      <c r="H916" s="5" t="s">
        <v>489</v>
      </c>
      <c r="I916" s="7" t="s">
        <v>511</v>
      </c>
      <c r="J916" t="str">
        <f t="shared" si="319"/>
        <v>14</v>
      </c>
      <c r="K916" t="str">
        <f t="shared" si="320"/>
        <v>40</v>
      </c>
      <c r="L916" t="str">
        <f t="shared" si="321"/>
        <v>14</v>
      </c>
      <c r="M916" s="6" t="str">
        <f t="shared" si="322"/>
        <v>39</v>
      </c>
      <c r="N916" t="s">
        <v>178</v>
      </c>
      <c r="O916">
        <v>79</v>
      </c>
      <c r="P916" t="s">
        <v>424</v>
      </c>
      <c r="Q916" t="s">
        <v>277</v>
      </c>
      <c r="R916" t="s">
        <v>191</v>
      </c>
      <c r="S916" t="s">
        <v>87</v>
      </c>
      <c r="Y916" t="str">
        <f t="shared" si="302"/>
        <v/>
      </c>
      <c r="Z916" t="str">
        <f t="shared" si="303"/>
        <v/>
      </c>
      <c r="AC916" t="str">
        <f t="shared" si="304"/>
        <v>Zone_Entry_Exit</v>
      </c>
      <c r="AD916" t="str">
        <f t="shared" si="305"/>
        <v>Zone_Entry</v>
      </c>
      <c r="AE916" t="str">
        <f t="shared" si="306"/>
        <v>ZoneEntry-Rush</v>
      </c>
      <c r="AF916" t="str">
        <f t="shared" si="307"/>
        <v>Offensive</v>
      </c>
      <c r="AG916">
        <f t="shared" si="313"/>
        <v>18981</v>
      </c>
      <c r="AH916" t="str">
        <f t="shared" si="314"/>
        <v>Nelson</v>
      </c>
      <c r="AI916" t="str">
        <f t="shared" si="315"/>
        <v>Velodrome</v>
      </c>
      <c r="AJ916" s="18">
        <f t="shared" si="308"/>
        <v>1</v>
      </c>
      <c r="AP916" s="18">
        <f t="shared" si="309"/>
        <v>0</v>
      </c>
      <c r="AQ916">
        <f t="shared" si="310"/>
        <v>1080</v>
      </c>
      <c r="AR916" s="23">
        <f t="shared" si="311"/>
        <v>1280</v>
      </c>
      <c r="AS916">
        <f t="shared" si="316"/>
        <v>1275</v>
      </c>
      <c r="AT916" s="21">
        <f t="shared" si="317"/>
        <v>1281</v>
      </c>
      <c r="AU916" s="21"/>
      <c r="AV916" s="21"/>
      <c r="AW916" s="21"/>
    </row>
    <row r="917" spans="1:49" x14ac:dyDescent="0.2">
      <c r="A917">
        <v>498</v>
      </c>
      <c r="E917">
        <f t="shared" si="312"/>
        <v>2</v>
      </c>
      <c r="J917" t="str">
        <f t="shared" si="319"/>
        <v>14</v>
      </c>
      <c r="K917" t="str">
        <f t="shared" si="320"/>
        <v>40</v>
      </c>
      <c r="L917" t="str">
        <f t="shared" si="321"/>
        <v>14</v>
      </c>
      <c r="M917" s="6" t="str">
        <f t="shared" si="322"/>
        <v>39</v>
      </c>
      <c r="N917" t="str">
        <f t="shared" si="318"/>
        <v>Home</v>
      </c>
      <c r="O917">
        <v>70</v>
      </c>
      <c r="P917" t="s">
        <v>425</v>
      </c>
      <c r="Y917" t="str">
        <f t="shared" si="302"/>
        <v/>
      </c>
      <c r="Z917" t="str">
        <f t="shared" si="303"/>
        <v/>
      </c>
      <c r="AC917" t="str">
        <f t="shared" si="304"/>
        <v>Zone_Entry_Exit</v>
      </c>
      <c r="AD917" t="str">
        <f t="shared" si="305"/>
        <v>Zone_Entry</v>
      </c>
      <c r="AE917" t="str">
        <f t="shared" si="306"/>
        <v>ZoneEntry-Rush</v>
      </c>
      <c r="AF917" t="str">
        <f t="shared" si="307"/>
        <v>Defensive</v>
      </c>
      <c r="AG917">
        <f t="shared" si="313"/>
        <v>18981</v>
      </c>
      <c r="AH917" t="str">
        <f t="shared" si="314"/>
        <v>Nelson</v>
      </c>
      <c r="AI917" t="str">
        <f t="shared" si="315"/>
        <v>Velodrome</v>
      </c>
      <c r="AJ917" s="18">
        <f t="shared" si="308"/>
        <v>1</v>
      </c>
      <c r="AP917" s="18">
        <f t="shared" si="309"/>
        <v>0</v>
      </c>
      <c r="AQ917">
        <f t="shared" si="310"/>
        <v>1080</v>
      </c>
      <c r="AR917" s="23">
        <f t="shared" si="311"/>
        <v>1280</v>
      </c>
      <c r="AS917">
        <f t="shared" si="316"/>
        <v>1275</v>
      </c>
      <c r="AT917" s="21">
        <f t="shared" si="317"/>
        <v>1281</v>
      </c>
      <c r="AU917" s="21"/>
      <c r="AV917" s="21"/>
      <c r="AW917" s="21"/>
    </row>
    <row r="918" spans="1:49" x14ac:dyDescent="0.2">
      <c r="A918">
        <v>498</v>
      </c>
      <c r="E918">
        <f t="shared" si="312"/>
        <v>2</v>
      </c>
      <c r="J918" t="str">
        <f t="shared" si="319"/>
        <v>14</v>
      </c>
      <c r="K918" t="str">
        <f t="shared" si="320"/>
        <v>40</v>
      </c>
      <c r="L918" t="str">
        <f t="shared" si="321"/>
        <v>14</v>
      </c>
      <c r="M918" s="6" t="str">
        <f t="shared" si="322"/>
        <v>39</v>
      </c>
      <c r="N918" t="str">
        <f t="shared" si="318"/>
        <v>Home</v>
      </c>
      <c r="O918">
        <v>93</v>
      </c>
      <c r="P918" t="s">
        <v>425</v>
      </c>
      <c r="Y918" t="str">
        <f t="shared" si="302"/>
        <v/>
      </c>
      <c r="Z918" t="str">
        <f t="shared" si="303"/>
        <v/>
      </c>
      <c r="AC918" t="str">
        <f t="shared" si="304"/>
        <v>Zone_Entry_Exit</v>
      </c>
      <c r="AD918" t="str">
        <f t="shared" si="305"/>
        <v>Zone_Entry</v>
      </c>
      <c r="AE918" t="str">
        <f t="shared" si="306"/>
        <v>ZoneEntry-Rush</v>
      </c>
      <c r="AF918" t="str">
        <f t="shared" si="307"/>
        <v>Defensive</v>
      </c>
      <c r="AG918">
        <f t="shared" si="313"/>
        <v>18981</v>
      </c>
      <c r="AH918" t="str">
        <f t="shared" si="314"/>
        <v>Nelson</v>
      </c>
      <c r="AI918" t="str">
        <f t="shared" si="315"/>
        <v>Velodrome</v>
      </c>
      <c r="AJ918" s="18">
        <f t="shared" si="308"/>
        <v>1</v>
      </c>
      <c r="AP918" s="18">
        <f t="shared" si="309"/>
        <v>0</v>
      </c>
      <c r="AQ918">
        <f t="shared" si="310"/>
        <v>1080</v>
      </c>
      <c r="AR918" s="23">
        <f t="shared" si="311"/>
        <v>1280</v>
      </c>
      <c r="AS918">
        <f t="shared" si="316"/>
        <v>1275</v>
      </c>
      <c r="AT918" s="21">
        <f t="shared" si="317"/>
        <v>1281</v>
      </c>
      <c r="AU918" s="21"/>
      <c r="AV918" s="21"/>
      <c r="AW918" s="21"/>
    </row>
    <row r="919" spans="1:49" x14ac:dyDescent="0.2">
      <c r="A919">
        <v>498</v>
      </c>
      <c r="E919">
        <f t="shared" si="312"/>
        <v>2</v>
      </c>
      <c r="J919" t="str">
        <f t="shared" si="319"/>
        <v>14</v>
      </c>
      <c r="K919" t="str">
        <f t="shared" si="320"/>
        <v>40</v>
      </c>
      <c r="L919" t="str">
        <f t="shared" si="321"/>
        <v>14</v>
      </c>
      <c r="M919" s="6" t="str">
        <f t="shared" si="322"/>
        <v>39</v>
      </c>
      <c r="N919" t="str">
        <f t="shared" si="318"/>
        <v>Home</v>
      </c>
      <c r="O919">
        <v>22</v>
      </c>
      <c r="P919" t="s">
        <v>425</v>
      </c>
      <c r="Y919" t="str">
        <f t="shared" si="302"/>
        <v/>
      </c>
      <c r="Z919" t="str">
        <f t="shared" si="303"/>
        <v/>
      </c>
      <c r="AC919" t="str">
        <f t="shared" si="304"/>
        <v>Zone_Entry_Exit</v>
      </c>
      <c r="AD919" t="str">
        <f t="shared" si="305"/>
        <v>Zone_Entry</v>
      </c>
      <c r="AE919" t="str">
        <f t="shared" si="306"/>
        <v>ZoneEntry-Rush</v>
      </c>
      <c r="AF919" t="str">
        <f t="shared" si="307"/>
        <v>Defensive</v>
      </c>
      <c r="AG919">
        <f t="shared" si="313"/>
        <v>18981</v>
      </c>
      <c r="AH919" t="str">
        <f t="shared" si="314"/>
        <v>Nelson</v>
      </c>
      <c r="AI919" t="str">
        <f t="shared" si="315"/>
        <v>Velodrome</v>
      </c>
      <c r="AJ919" s="18">
        <f t="shared" si="308"/>
        <v>1</v>
      </c>
      <c r="AP919" s="18">
        <f t="shared" si="309"/>
        <v>0</v>
      </c>
      <c r="AQ919">
        <f t="shared" si="310"/>
        <v>1080</v>
      </c>
      <c r="AR919" s="23">
        <f t="shared" si="311"/>
        <v>1280</v>
      </c>
      <c r="AS919">
        <f t="shared" si="316"/>
        <v>1275</v>
      </c>
      <c r="AT919" s="21">
        <f t="shared" si="317"/>
        <v>1281</v>
      </c>
      <c r="AU919" s="21"/>
      <c r="AV919" s="21"/>
      <c r="AW919" s="21"/>
    </row>
    <row r="920" spans="1:49" x14ac:dyDescent="0.2">
      <c r="A920">
        <v>499</v>
      </c>
      <c r="E920">
        <f t="shared" si="312"/>
        <v>2</v>
      </c>
      <c r="F920" s="5" t="s">
        <v>489</v>
      </c>
      <c r="G920" s="5" t="s">
        <v>511</v>
      </c>
      <c r="J920" t="str">
        <f t="shared" si="319"/>
        <v>14</v>
      </c>
      <c r="K920" t="str">
        <f t="shared" si="320"/>
        <v>39</v>
      </c>
      <c r="L920" t="str">
        <f t="shared" si="321"/>
        <v/>
      </c>
      <c r="M920" s="6" t="str">
        <f t="shared" si="322"/>
        <v/>
      </c>
      <c r="N920" t="s">
        <v>178</v>
      </c>
      <c r="O920">
        <v>79</v>
      </c>
      <c r="P920" t="s">
        <v>424</v>
      </c>
      <c r="Q920" t="s">
        <v>8</v>
      </c>
      <c r="R920" t="s">
        <v>189</v>
      </c>
      <c r="S920" t="s">
        <v>69</v>
      </c>
      <c r="Y920" t="str">
        <f t="shared" si="302"/>
        <v/>
      </c>
      <c r="Z920" t="str">
        <f t="shared" si="303"/>
        <v/>
      </c>
      <c r="AC920" t="str">
        <f t="shared" si="304"/>
        <v>Pass</v>
      </c>
      <c r="AD920" t="str">
        <f t="shared" si="305"/>
        <v>Pass_Completed</v>
      </c>
      <c r="AE920" t="str">
        <f t="shared" si="306"/>
        <v>Pass-Backhand</v>
      </c>
      <c r="AF920" t="str">
        <f t="shared" si="307"/>
        <v>Offensive</v>
      </c>
      <c r="AG920">
        <f t="shared" si="313"/>
        <v>18981</v>
      </c>
      <c r="AH920" t="str">
        <f t="shared" si="314"/>
        <v>Nelson</v>
      </c>
      <c r="AI920" t="str">
        <f t="shared" si="315"/>
        <v>Velodrome</v>
      </c>
      <c r="AJ920" s="18">
        <f t="shared" si="308"/>
        <v>0</v>
      </c>
      <c r="AP920" s="18">
        <f t="shared" si="309"/>
        <v>0</v>
      </c>
      <c r="AQ920">
        <f t="shared" si="310"/>
        <v>1080</v>
      </c>
      <c r="AR920" s="23">
        <f t="shared" si="311"/>
        <v>1281</v>
      </c>
      <c r="AS920">
        <f t="shared" si="316"/>
        <v>1276</v>
      </c>
      <c r="AT920" s="21">
        <f t="shared" si="317"/>
        <v>1281</v>
      </c>
      <c r="AU920" s="21"/>
      <c r="AV920" s="21"/>
      <c r="AW920" s="21"/>
    </row>
    <row r="921" spans="1:49" x14ac:dyDescent="0.2">
      <c r="A921">
        <v>499</v>
      </c>
      <c r="E921">
        <f t="shared" si="312"/>
        <v>2</v>
      </c>
      <c r="J921" t="str">
        <f t="shared" si="319"/>
        <v>14</v>
      </c>
      <c r="K921" t="str">
        <f t="shared" si="320"/>
        <v>39</v>
      </c>
      <c r="L921" t="str">
        <f t="shared" si="321"/>
        <v/>
      </c>
      <c r="M921" s="6" t="str">
        <f t="shared" si="322"/>
        <v/>
      </c>
      <c r="N921" t="str">
        <f t="shared" si="318"/>
        <v>Home</v>
      </c>
      <c r="O921">
        <v>44</v>
      </c>
      <c r="P921" t="s">
        <v>424</v>
      </c>
      <c r="Y921" t="str">
        <f t="shared" si="302"/>
        <v/>
      </c>
      <c r="Z921" t="str">
        <f t="shared" si="303"/>
        <v/>
      </c>
      <c r="AC921" t="str">
        <f t="shared" si="304"/>
        <v>Pass</v>
      </c>
      <c r="AD921" t="str">
        <f t="shared" si="305"/>
        <v>Pass_Completed</v>
      </c>
      <c r="AE921" t="str">
        <f t="shared" si="306"/>
        <v>Pass-Backhand</v>
      </c>
      <c r="AF921" t="str">
        <f t="shared" si="307"/>
        <v>Offensive</v>
      </c>
      <c r="AG921">
        <f t="shared" si="313"/>
        <v>18981</v>
      </c>
      <c r="AH921" t="str">
        <f t="shared" si="314"/>
        <v>Nelson</v>
      </c>
      <c r="AI921" t="str">
        <f t="shared" si="315"/>
        <v>Velodrome</v>
      </c>
      <c r="AJ921" s="18">
        <f t="shared" si="308"/>
        <v>0</v>
      </c>
      <c r="AP921" s="18">
        <f t="shared" si="309"/>
        <v>0</v>
      </c>
      <c r="AQ921">
        <f t="shared" si="310"/>
        <v>1080</v>
      </c>
      <c r="AR921" s="23">
        <f t="shared" si="311"/>
        <v>1281</v>
      </c>
      <c r="AS921">
        <f t="shared" si="316"/>
        <v>1276</v>
      </c>
      <c r="AT921" s="21">
        <f t="shared" si="317"/>
        <v>1281</v>
      </c>
      <c r="AU921" s="21"/>
      <c r="AV921" s="21"/>
      <c r="AW921" s="21"/>
    </row>
    <row r="922" spans="1:49" x14ac:dyDescent="0.2">
      <c r="A922">
        <v>500</v>
      </c>
      <c r="E922">
        <f t="shared" si="312"/>
        <v>2</v>
      </c>
      <c r="F922" s="5" t="s">
        <v>489</v>
      </c>
      <c r="G922" s="5" t="s">
        <v>510</v>
      </c>
      <c r="H922" s="5" t="s">
        <v>489</v>
      </c>
      <c r="I922" s="7" t="s">
        <v>509</v>
      </c>
      <c r="J922" t="str">
        <f t="shared" si="319"/>
        <v>14</v>
      </c>
      <c r="K922" t="str">
        <f t="shared" si="320"/>
        <v>38</v>
      </c>
      <c r="L922" t="str">
        <f t="shared" si="321"/>
        <v>14</v>
      </c>
      <c r="M922" s="6" t="str">
        <f t="shared" si="322"/>
        <v>37</v>
      </c>
      <c r="N922" t="s">
        <v>178</v>
      </c>
      <c r="O922">
        <v>44</v>
      </c>
      <c r="P922" t="s">
        <v>424</v>
      </c>
      <c r="Q922" t="s">
        <v>15</v>
      </c>
      <c r="Y922" t="str">
        <f t="shared" si="302"/>
        <v/>
      </c>
      <c r="Z922" t="str">
        <f t="shared" si="303"/>
        <v/>
      </c>
      <c r="AC922" t="str">
        <f t="shared" si="304"/>
        <v>Possession</v>
      </c>
      <c r="AD922" t="str">
        <f t="shared" si="305"/>
        <v/>
      </c>
      <c r="AE922" t="str">
        <f t="shared" si="306"/>
        <v/>
      </c>
      <c r="AF922" t="str">
        <f t="shared" si="307"/>
        <v>Offensive</v>
      </c>
      <c r="AG922">
        <f t="shared" si="313"/>
        <v>18981</v>
      </c>
      <c r="AH922" t="str">
        <f t="shared" si="314"/>
        <v>Nelson</v>
      </c>
      <c r="AI922" t="str">
        <f t="shared" si="315"/>
        <v>Velodrome</v>
      </c>
      <c r="AJ922" s="18">
        <f t="shared" si="308"/>
        <v>1</v>
      </c>
      <c r="AP922" s="18">
        <f t="shared" si="309"/>
        <v>0</v>
      </c>
      <c r="AQ922">
        <f t="shared" si="310"/>
        <v>1080</v>
      </c>
      <c r="AR922" s="23">
        <f t="shared" si="311"/>
        <v>1282</v>
      </c>
      <c r="AS922">
        <f t="shared" si="316"/>
        <v>1277</v>
      </c>
      <c r="AT922" s="21">
        <f t="shared" si="317"/>
        <v>1283</v>
      </c>
      <c r="AU922" s="21"/>
      <c r="AV922" s="21"/>
      <c r="AW922" s="21"/>
    </row>
    <row r="923" spans="1:49" x14ac:dyDescent="0.2">
      <c r="A923">
        <v>501</v>
      </c>
      <c r="E923">
        <f t="shared" si="312"/>
        <v>2</v>
      </c>
      <c r="F923" s="5" t="s">
        <v>489</v>
      </c>
      <c r="G923" s="5" t="s">
        <v>509</v>
      </c>
      <c r="J923" t="str">
        <f t="shared" si="319"/>
        <v>14</v>
      </c>
      <c r="K923" t="str">
        <f t="shared" si="320"/>
        <v>37</v>
      </c>
      <c r="L923" t="str">
        <f t="shared" si="321"/>
        <v/>
      </c>
      <c r="M923" s="6" t="str">
        <f t="shared" si="322"/>
        <v/>
      </c>
      <c r="N923" t="s">
        <v>178</v>
      </c>
      <c r="O923">
        <v>44</v>
      </c>
      <c r="P923" t="s">
        <v>424</v>
      </c>
      <c r="Q923" t="s">
        <v>7</v>
      </c>
      <c r="R923" t="s">
        <v>222</v>
      </c>
      <c r="S923" t="s">
        <v>53</v>
      </c>
      <c r="Y923" t="str">
        <f t="shared" si="302"/>
        <v/>
      </c>
      <c r="Z923" t="str">
        <f t="shared" si="303"/>
        <v/>
      </c>
      <c r="AC923" t="str">
        <f t="shared" si="304"/>
        <v>Shot</v>
      </c>
      <c r="AD923" t="str">
        <f t="shared" si="305"/>
        <v>Shot_OnNetSaved</v>
      </c>
      <c r="AE923" t="str">
        <f t="shared" si="306"/>
        <v>Shot-Wrist</v>
      </c>
      <c r="AF923" t="str">
        <f t="shared" si="307"/>
        <v>Offensive</v>
      </c>
      <c r="AG923">
        <f t="shared" si="313"/>
        <v>18981</v>
      </c>
      <c r="AH923" t="str">
        <f t="shared" si="314"/>
        <v>Nelson</v>
      </c>
      <c r="AI923" t="str">
        <f t="shared" si="315"/>
        <v>Velodrome</v>
      </c>
      <c r="AJ923" s="18">
        <f t="shared" si="308"/>
        <v>0</v>
      </c>
      <c r="AP923" s="18">
        <f t="shared" si="309"/>
        <v>0</v>
      </c>
      <c r="AQ923">
        <f t="shared" si="310"/>
        <v>1080</v>
      </c>
      <c r="AR923" s="23">
        <f t="shared" si="311"/>
        <v>1283</v>
      </c>
      <c r="AS923">
        <f t="shared" si="316"/>
        <v>1278</v>
      </c>
      <c r="AT923" s="21">
        <f t="shared" si="317"/>
        <v>1283</v>
      </c>
      <c r="AU923" s="21"/>
      <c r="AV923" s="21"/>
      <c r="AW923" s="21"/>
    </row>
    <row r="924" spans="1:49" x14ac:dyDescent="0.2">
      <c r="A924">
        <v>501</v>
      </c>
      <c r="E924">
        <f t="shared" si="312"/>
        <v>2</v>
      </c>
      <c r="J924" t="str">
        <f t="shared" si="319"/>
        <v>14</v>
      </c>
      <c r="K924" t="str">
        <f t="shared" si="320"/>
        <v>37</v>
      </c>
      <c r="L924" t="str">
        <f t="shared" si="321"/>
        <v/>
      </c>
      <c r="M924" s="6" t="str">
        <f t="shared" si="322"/>
        <v/>
      </c>
      <c r="N924" t="str">
        <f t="shared" si="318"/>
        <v>Home</v>
      </c>
      <c r="O924">
        <v>79</v>
      </c>
      <c r="P924" t="s">
        <v>424</v>
      </c>
      <c r="Y924" t="str">
        <f t="shared" si="302"/>
        <v/>
      </c>
      <c r="Z924" t="str">
        <f t="shared" si="303"/>
        <v/>
      </c>
      <c r="AC924" t="str">
        <f t="shared" si="304"/>
        <v>Shot</v>
      </c>
      <c r="AD924" t="str">
        <f t="shared" si="305"/>
        <v>Shot_OnNetSaved</v>
      </c>
      <c r="AE924" t="str">
        <f t="shared" si="306"/>
        <v>Shot-Wrist</v>
      </c>
      <c r="AF924" t="str">
        <f t="shared" si="307"/>
        <v>Offensive</v>
      </c>
      <c r="AG924">
        <f t="shared" si="313"/>
        <v>18981</v>
      </c>
      <c r="AH924" t="str">
        <f t="shared" si="314"/>
        <v>Nelson</v>
      </c>
      <c r="AI924" t="str">
        <f t="shared" si="315"/>
        <v>Velodrome</v>
      </c>
      <c r="AJ924" s="18">
        <f t="shared" si="308"/>
        <v>0</v>
      </c>
      <c r="AP924" s="18">
        <f t="shared" si="309"/>
        <v>0</v>
      </c>
      <c r="AQ924">
        <f t="shared" si="310"/>
        <v>1080</v>
      </c>
      <c r="AR924" s="23">
        <f t="shared" si="311"/>
        <v>1283</v>
      </c>
      <c r="AS924">
        <f t="shared" si="316"/>
        <v>1278</v>
      </c>
      <c r="AT924" s="21">
        <f t="shared" si="317"/>
        <v>1283</v>
      </c>
      <c r="AU924" s="21"/>
      <c r="AV924" s="21"/>
      <c r="AW924" s="21"/>
    </row>
    <row r="925" spans="1:49" x14ac:dyDescent="0.2">
      <c r="A925">
        <v>501</v>
      </c>
      <c r="E925">
        <f t="shared" si="312"/>
        <v>2</v>
      </c>
      <c r="J925" t="str">
        <f t="shared" si="319"/>
        <v>14</v>
      </c>
      <c r="K925" t="str">
        <f t="shared" si="320"/>
        <v>37</v>
      </c>
      <c r="L925" t="str">
        <f t="shared" si="321"/>
        <v/>
      </c>
      <c r="M925" s="6" t="str">
        <f t="shared" si="322"/>
        <v/>
      </c>
      <c r="N925" t="str">
        <f t="shared" si="318"/>
        <v>Home</v>
      </c>
      <c r="O925">
        <v>39</v>
      </c>
      <c r="P925" t="s">
        <v>425</v>
      </c>
      <c r="Y925" t="str">
        <f t="shared" si="302"/>
        <v/>
      </c>
      <c r="Z925" t="str">
        <f t="shared" si="303"/>
        <v/>
      </c>
      <c r="AC925" t="str">
        <f t="shared" si="304"/>
        <v>Shot</v>
      </c>
      <c r="AD925" t="str">
        <f t="shared" si="305"/>
        <v>Shot_OnNetSaved</v>
      </c>
      <c r="AE925" t="str">
        <f t="shared" si="306"/>
        <v>Shot-Wrist</v>
      </c>
      <c r="AF925" t="str">
        <f t="shared" si="307"/>
        <v>Defensive</v>
      </c>
      <c r="AG925">
        <f t="shared" si="313"/>
        <v>18981</v>
      </c>
      <c r="AH925" t="str">
        <f t="shared" si="314"/>
        <v>Nelson</v>
      </c>
      <c r="AI925" t="str">
        <f t="shared" si="315"/>
        <v>Velodrome</v>
      </c>
      <c r="AJ925" s="18">
        <f t="shared" si="308"/>
        <v>0</v>
      </c>
      <c r="AP925" s="18">
        <f t="shared" si="309"/>
        <v>0</v>
      </c>
      <c r="AQ925">
        <f t="shared" si="310"/>
        <v>1080</v>
      </c>
      <c r="AR925" s="23">
        <f t="shared" si="311"/>
        <v>1283</v>
      </c>
      <c r="AS925">
        <f t="shared" si="316"/>
        <v>1278</v>
      </c>
      <c r="AT925" s="21">
        <f t="shared" si="317"/>
        <v>1283</v>
      </c>
      <c r="AU925" s="21"/>
      <c r="AV925" s="21"/>
      <c r="AW925" s="21"/>
    </row>
    <row r="926" spans="1:49" x14ac:dyDescent="0.2">
      <c r="A926">
        <v>501</v>
      </c>
      <c r="E926">
        <f t="shared" si="312"/>
        <v>2</v>
      </c>
      <c r="J926" t="str">
        <f t="shared" si="319"/>
        <v>14</v>
      </c>
      <c r="K926" t="str">
        <f t="shared" si="320"/>
        <v>37</v>
      </c>
      <c r="L926" t="str">
        <f t="shared" si="321"/>
        <v/>
      </c>
      <c r="M926" s="6" t="str">
        <f t="shared" si="322"/>
        <v/>
      </c>
      <c r="N926" t="str">
        <f t="shared" si="318"/>
        <v>Home</v>
      </c>
      <c r="O926">
        <v>93</v>
      </c>
      <c r="P926" t="s">
        <v>425</v>
      </c>
      <c r="Y926" t="str">
        <f t="shared" si="302"/>
        <v/>
      </c>
      <c r="Z926" t="str">
        <f t="shared" si="303"/>
        <v/>
      </c>
      <c r="AC926" t="str">
        <f t="shared" si="304"/>
        <v>Shot</v>
      </c>
      <c r="AD926" t="str">
        <f t="shared" si="305"/>
        <v>Shot_OnNetSaved</v>
      </c>
      <c r="AE926" t="str">
        <f t="shared" si="306"/>
        <v>Shot-Wrist</v>
      </c>
      <c r="AF926" t="str">
        <f t="shared" si="307"/>
        <v>Defensive</v>
      </c>
      <c r="AG926">
        <f t="shared" si="313"/>
        <v>18981</v>
      </c>
      <c r="AH926" t="str">
        <f t="shared" si="314"/>
        <v>Nelson</v>
      </c>
      <c r="AI926" t="str">
        <f t="shared" si="315"/>
        <v>Velodrome</v>
      </c>
      <c r="AJ926" s="18">
        <f t="shared" si="308"/>
        <v>0</v>
      </c>
      <c r="AP926" s="18">
        <f t="shared" si="309"/>
        <v>0</v>
      </c>
      <c r="AQ926">
        <f t="shared" si="310"/>
        <v>1080</v>
      </c>
      <c r="AR926" s="23">
        <f t="shared" si="311"/>
        <v>1283</v>
      </c>
      <c r="AS926">
        <f t="shared" si="316"/>
        <v>1278</v>
      </c>
      <c r="AT926" s="21">
        <f t="shared" si="317"/>
        <v>1283</v>
      </c>
      <c r="AU926" s="21"/>
      <c r="AV926" s="21"/>
      <c r="AW926" s="21"/>
    </row>
    <row r="927" spans="1:49" x14ac:dyDescent="0.2">
      <c r="A927">
        <v>502</v>
      </c>
      <c r="E927">
        <f t="shared" si="312"/>
        <v>2</v>
      </c>
      <c r="F927" s="5" t="s">
        <v>489</v>
      </c>
      <c r="G927" s="5" t="s">
        <v>509</v>
      </c>
      <c r="J927" t="str">
        <f t="shared" si="319"/>
        <v>14</v>
      </c>
      <c r="K927" t="str">
        <f t="shared" si="320"/>
        <v>37</v>
      </c>
      <c r="L927" t="str">
        <f t="shared" si="321"/>
        <v/>
      </c>
      <c r="M927" s="6" t="str">
        <f t="shared" si="322"/>
        <v/>
      </c>
      <c r="N927" t="s">
        <v>179</v>
      </c>
      <c r="O927">
        <v>39</v>
      </c>
      <c r="P927" t="s">
        <v>424</v>
      </c>
      <c r="Q927" t="s">
        <v>17</v>
      </c>
      <c r="R927" t="s">
        <v>196</v>
      </c>
      <c r="S927" t="s">
        <v>96</v>
      </c>
      <c r="Y927" t="str">
        <f t="shared" si="302"/>
        <v/>
      </c>
      <c r="Z927" t="str">
        <f t="shared" si="303"/>
        <v/>
      </c>
      <c r="AC927" t="str">
        <f t="shared" si="304"/>
        <v>Save</v>
      </c>
      <c r="AD927" t="str">
        <f t="shared" si="305"/>
        <v>Save_Rebound</v>
      </c>
      <c r="AE927" t="str">
        <f t="shared" si="306"/>
        <v>Save-Glove</v>
      </c>
      <c r="AF927" t="str">
        <f t="shared" si="307"/>
        <v>Defensive</v>
      </c>
      <c r="AG927">
        <f>AG926</f>
        <v>18981</v>
      </c>
      <c r="AH927" t="str">
        <f t="shared" si="314"/>
        <v>Nelson</v>
      </c>
      <c r="AI927" t="str">
        <f t="shared" si="315"/>
        <v>Velodrome</v>
      </c>
      <c r="AJ927" s="18">
        <f t="shared" si="308"/>
        <v>0</v>
      </c>
      <c r="AP927" s="18">
        <f t="shared" si="309"/>
        <v>0</v>
      </c>
      <c r="AQ927">
        <f t="shared" si="310"/>
        <v>1080</v>
      </c>
      <c r="AR927" s="23">
        <f t="shared" si="311"/>
        <v>1283</v>
      </c>
      <c r="AS927">
        <f t="shared" si="316"/>
        <v>1278</v>
      </c>
      <c r="AT927" s="21">
        <f t="shared" si="317"/>
        <v>1283</v>
      </c>
      <c r="AU927" s="21"/>
      <c r="AV927" s="21"/>
      <c r="AW927" s="21"/>
    </row>
    <row r="928" spans="1:49" x14ac:dyDescent="0.2">
      <c r="A928">
        <v>502</v>
      </c>
      <c r="E928">
        <f t="shared" si="312"/>
        <v>2</v>
      </c>
      <c r="J928" t="str">
        <f t="shared" si="319"/>
        <v>14</v>
      </c>
      <c r="K928" t="str">
        <f t="shared" si="320"/>
        <v>37</v>
      </c>
      <c r="L928" t="str">
        <f t="shared" si="321"/>
        <v/>
      </c>
      <c r="M928" s="6" t="str">
        <f t="shared" si="322"/>
        <v/>
      </c>
      <c r="N928" t="str">
        <f t="shared" si="318"/>
        <v>Away</v>
      </c>
      <c r="O928">
        <v>93</v>
      </c>
      <c r="P928" t="s">
        <v>424</v>
      </c>
      <c r="Y928" t="str">
        <f t="shared" si="302"/>
        <v/>
      </c>
      <c r="Z928" t="str">
        <f t="shared" si="303"/>
        <v/>
      </c>
      <c r="AC928" t="str">
        <f t="shared" si="304"/>
        <v>Save</v>
      </c>
      <c r="AD928" t="str">
        <f t="shared" si="305"/>
        <v>Save_Rebound</v>
      </c>
      <c r="AE928" t="str">
        <f t="shared" si="306"/>
        <v>Save-Glove</v>
      </c>
      <c r="AF928" t="str">
        <f t="shared" si="307"/>
        <v>Defensive</v>
      </c>
      <c r="AG928">
        <f t="shared" si="313"/>
        <v>18981</v>
      </c>
      <c r="AH928" t="str">
        <f t="shared" si="314"/>
        <v>Nelson</v>
      </c>
      <c r="AI928" t="str">
        <f t="shared" si="315"/>
        <v>Velodrome</v>
      </c>
      <c r="AJ928" s="18">
        <f t="shared" si="308"/>
        <v>0</v>
      </c>
      <c r="AP928" s="18">
        <f t="shared" si="309"/>
        <v>0</v>
      </c>
      <c r="AQ928">
        <f t="shared" si="310"/>
        <v>1080</v>
      </c>
      <c r="AR928" s="23">
        <f t="shared" si="311"/>
        <v>1283</v>
      </c>
      <c r="AS928">
        <f t="shared" si="316"/>
        <v>1278</v>
      </c>
      <c r="AT928" s="21">
        <f t="shared" si="317"/>
        <v>1283</v>
      </c>
      <c r="AU928" s="21"/>
      <c r="AV928" s="21"/>
      <c r="AW928" s="21"/>
    </row>
    <row r="929" spans="1:49" x14ac:dyDescent="0.2">
      <c r="A929">
        <v>502</v>
      </c>
      <c r="E929">
        <f t="shared" si="312"/>
        <v>2</v>
      </c>
      <c r="J929" t="str">
        <f t="shared" si="319"/>
        <v>14</v>
      </c>
      <c r="K929" t="str">
        <f t="shared" si="320"/>
        <v>37</v>
      </c>
      <c r="L929" t="str">
        <f t="shared" si="321"/>
        <v/>
      </c>
      <c r="M929" s="6" t="str">
        <f t="shared" si="322"/>
        <v/>
      </c>
      <c r="N929" t="str">
        <f t="shared" si="318"/>
        <v>Away</v>
      </c>
      <c r="O929">
        <v>44</v>
      </c>
      <c r="P929" t="s">
        <v>425</v>
      </c>
      <c r="Y929" t="str">
        <f t="shared" si="302"/>
        <v/>
      </c>
      <c r="Z929" t="str">
        <f t="shared" si="303"/>
        <v/>
      </c>
      <c r="AC929" t="str">
        <f t="shared" si="304"/>
        <v>Save</v>
      </c>
      <c r="AD929" t="str">
        <f t="shared" si="305"/>
        <v>Save_Rebound</v>
      </c>
      <c r="AE929" t="str">
        <f t="shared" si="306"/>
        <v>Save-Glove</v>
      </c>
      <c r="AF929" t="str">
        <f t="shared" si="307"/>
        <v>Offensive</v>
      </c>
      <c r="AG929">
        <f t="shared" si="313"/>
        <v>18981</v>
      </c>
      <c r="AH929" t="str">
        <f t="shared" si="314"/>
        <v>Nelson</v>
      </c>
      <c r="AI929" t="str">
        <f t="shared" si="315"/>
        <v>Velodrome</v>
      </c>
      <c r="AJ929" s="18">
        <f t="shared" si="308"/>
        <v>0</v>
      </c>
      <c r="AP929" s="18">
        <f t="shared" si="309"/>
        <v>0</v>
      </c>
      <c r="AQ929">
        <f t="shared" si="310"/>
        <v>1080</v>
      </c>
      <c r="AR929" s="23">
        <f t="shared" si="311"/>
        <v>1283</v>
      </c>
      <c r="AS929">
        <f t="shared" si="316"/>
        <v>1278</v>
      </c>
      <c r="AT929" s="21">
        <f t="shared" si="317"/>
        <v>1283</v>
      </c>
      <c r="AU929" s="21"/>
      <c r="AV929" s="21"/>
      <c r="AW929" s="21"/>
    </row>
    <row r="930" spans="1:49" x14ac:dyDescent="0.2">
      <c r="A930">
        <v>502</v>
      </c>
      <c r="E930">
        <f t="shared" si="312"/>
        <v>2</v>
      </c>
      <c r="J930" t="str">
        <f t="shared" si="319"/>
        <v>14</v>
      </c>
      <c r="K930" t="str">
        <f t="shared" si="320"/>
        <v>37</v>
      </c>
      <c r="L930" t="str">
        <f t="shared" si="321"/>
        <v/>
      </c>
      <c r="M930" s="6" t="str">
        <f t="shared" si="322"/>
        <v/>
      </c>
      <c r="N930" t="str">
        <f t="shared" si="318"/>
        <v>Away</v>
      </c>
      <c r="O930">
        <v>79</v>
      </c>
      <c r="P930" t="s">
        <v>425</v>
      </c>
      <c r="Y930" t="str">
        <f t="shared" si="302"/>
        <v/>
      </c>
      <c r="Z930" t="str">
        <f t="shared" si="303"/>
        <v/>
      </c>
      <c r="AC930" t="str">
        <f t="shared" si="304"/>
        <v>Save</v>
      </c>
      <c r="AD930" t="str">
        <f t="shared" si="305"/>
        <v>Save_Rebound</v>
      </c>
      <c r="AE930" t="str">
        <f t="shared" si="306"/>
        <v>Save-Glove</v>
      </c>
      <c r="AF930" t="str">
        <f t="shared" si="307"/>
        <v>Offensive</v>
      </c>
      <c r="AG930">
        <f t="shared" si="313"/>
        <v>18981</v>
      </c>
      <c r="AH930" t="str">
        <f t="shared" si="314"/>
        <v>Nelson</v>
      </c>
      <c r="AI930" t="str">
        <f t="shared" si="315"/>
        <v>Velodrome</v>
      </c>
      <c r="AJ930" s="18">
        <f t="shared" si="308"/>
        <v>0</v>
      </c>
      <c r="AP930" s="18">
        <f t="shared" si="309"/>
        <v>0</v>
      </c>
      <c r="AQ930">
        <f t="shared" si="310"/>
        <v>1080</v>
      </c>
      <c r="AR930" s="23">
        <f t="shared" si="311"/>
        <v>1283</v>
      </c>
      <c r="AS930">
        <f t="shared" si="316"/>
        <v>1278</v>
      </c>
      <c r="AT930" s="21">
        <f t="shared" si="317"/>
        <v>1283</v>
      </c>
      <c r="AU930" s="21"/>
      <c r="AV930" s="21"/>
      <c r="AW930" s="21"/>
    </row>
    <row r="931" spans="1:49" x14ac:dyDescent="0.2">
      <c r="A931">
        <v>503</v>
      </c>
      <c r="E931">
        <f t="shared" si="312"/>
        <v>2</v>
      </c>
      <c r="F931" s="5" t="s">
        <v>489</v>
      </c>
      <c r="G931" s="5" t="s">
        <v>509</v>
      </c>
      <c r="J931" t="str">
        <f t="shared" si="319"/>
        <v>14</v>
      </c>
      <c r="K931" t="str">
        <f t="shared" si="320"/>
        <v>37</v>
      </c>
      <c r="L931" t="str">
        <f t="shared" si="321"/>
        <v/>
      </c>
      <c r="M931" s="6" t="str">
        <f t="shared" si="322"/>
        <v/>
      </c>
      <c r="N931" t="s">
        <v>179</v>
      </c>
      <c r="O931">
        <v>39</v>
      </c>
      <c r="P931" t="s">
        <v>424</v>
      </c>
      <c r="Q931" t="s">
        <v>270</v>
      </c>
      <c r="R931" t="s">
        <v>271</v>
      </c>
      <c r="Y931" t="str">
        <f t="shared" si="302"/>
        <v/>
      </c>
      <c r="Z931" t="str">
        <f t="shared" si="303"/>
        <v/>
      </c>
      <c r="AC931" t="str">
        <f t="shared" si="304"/>
        <v>Rebound</v>
      </c>
      <c r="AD931" t="str">
        <f t="shared" si="305"/>
        <v>Rebound_TeamRecovered</v>
      </c>
      <c r="AE931" t="str">
        <f t="shared" si="306"/>
        <v/>
      </c>
      <c r="AF931" t="str">
        <f t="shared" si="307"/>
        <v>Offensive</v>
      </c>
      <c r="AG931">
        <f t="shared" si="313"/>
        <v>18981</v>
      </c>
      <c r="AH931" t="str">
        <f t="shared" si="314"/>
        <v>Nelson</v>
      </c>
      <c r="AI931" t="str">
        <f t="shared" si="315"/>
        <v>Velodrome</v>
      </c>
      <c r="AJ931" s="18">
        <f t="shared" si="308"/>
        <v>0</v>
      </c>
      <c r="AP931" s="18">
        <f t="shared" si="309"/>
        <v>0</v>
      </c>
      <c r="AQ931">
        <f t="shared" si="310"/>
        <v>1080</v>
      </c>
      <c r="AR931" s="23">
        <f t="shared" si="311"/>
        <v>1283</v>
      </c>
      <c r="AS931">
        <f t="shared" si="316"/>
        <v>1278</v>
      </c>
      <c r="AT931" s="21">
        <f t="shared" si="317"/>
        <v>1283</v>
      </c>
      <c r="AU931" s="21"/>
      <c r="AV931" s="21"/>
      <c r="AW931" s="21"/>
    </row>
    <row r="932" spans="1:49" x14ac:dyDescent="0.2">
      <c r="A932">
        <v>504</v>
      </c>
      <c r="E932">
        <f t="shared" si="312"/>
        <v>2</v>
      </c>
      <c r="F932" s="5" t="s">
        <v>489</v>
      </c>
      <c r="G932" s="5" t="s">
        <v>504</v>
      </c>
      <c r="H932" s="5" t="s">
        <v>489</v>
      </c>
      <c r="I932" s="7" t="s">
        <v>503</v>
      </c>
      <c r="J932" t="str">
        <f t="shared" si="319"/>
        <v>14</v>
      </c>
      <c r="K932" t="str">
        <f t="shared" si="320"/>
        <v>32</v>
      </c>
      <c r="L932" t="str">
        <f t="shared" si="321"/>
        <v>14</v>
      </c>
      <c r="M932" s="6" t="str">
        <f t="shared" si="322"/>
        <v>31</v>
      </c>
      <c r="N932" t="s">
        <v>179</v>
      </c>
      <c r="O932">
        <v>70</v>
      </c>
      <c r="P932" t="s">
        <v>424</v>
      </c>
      <c r="Q932" t="s">
        <v>277</v>
      </c>
      <c r="R932" t="s">
        <v>201</v>
      </c>
      <c r="S932" t="s">
        <v>90</v>
      </c>
      <c r="Y932" t="str">
        <f t="shared" si="302"/>
        <v/>
      </c>
      <c r="Z932" t="str">
        <f t="shared" si="303"/>
        <v/>
      </c>
      <c r="AC932" t="str">
        <f t="shared" si="304"/>
        <v>Zone_Entry_Exit</v>
      </c>
      <c r="AD932" t="str">
        <f t="shared" si="305"/>
        <v>Zone_Exit</v>
      </c>
      <c r="AE932" t="str">
        <f t="shared" si="306"/>
        <v>ZoneExit-Rush</v>
      </c>
      <c r="AF932" t="str">
        <f t="shared" si="307"/>
        <v>Offensive</v>
      </c>
      <c r="AG932">
        <f t="shared" si="313"/>
        <v>18981</v>
      </c>
      <c r="AH932" t="str">
        <f t="shared" si="314"/>
        <v>Nelson</v>
      </c>
      <c r="AI932" t="str">
        <f t="shared" si="315"/>
        <v>Velodrome</v>
      </c>
      <c r="AJ932" s="18">
        <f t="shared" si="308"/>
        <v>1</v>
      </c>
      <c r="AP932" s="18">
        <f t="shared" si="309"/>
        <v>0</v>
      </c>
      <c r="AQ932">
        <f t="shared" si="310"/>
        <v>1080</v>
      </c>
      <c r="AR932" s="23">
        <f t="shared" si="311"/>
        <v>1288</v>
      </c>
      <c r="AS932">
        <f t="shared" si="316"/>
        <v>1283</v>
      </c>
      <c r="AT932" s="21">
        <f t="shared" si="317"/>
        <v>1289</v>
      </c>
      <c r="AU932" s="21"/>
      <c r="AV932" s="21"/>
      <c r="AW932" s="21"/>
    </row>
    <row r="933" spans="1:49" x14ac:dyDescent="0.2">
      <c r="A933">
        <v>505</v>
      </c>
      <c r="E933">
        <f t="shared" si="312"/>
        <v>2</v>
      </c>
      <c r="F933" s="5" t="s">
        <v>489</v>
      </c>
      <c r="G933" s="5" t="s">
        <v>503</v>
      </c>
      <c r="J933" t="str">
        <f t="shared" si="319"/>
        <v>14</v>
      </c>
      <c r="K933" t="str">
        <f t="shared" si="320"/>
        <v>31</v>
      </c>
      <c r="L933" t="str">
        <f t="shared" si="321"/>
        <v/>
      </c>
      <c r="M933" s="6" t="str">
        <f t="shared" si="322"/>
        <v/>
      </c>
      <c r="N933" t="s">
        <v>179</v>
      </c>
      <c r="O933">
        <v>70</v>
      </c>
      <c r="P933" t="s">
        <v>424</v>
      </c>
      <c r="Q933" t="s">
        <v>8</v>
      </c>
      <c r="R933" t="s">
        <v>199</v>
      </c>
      <c r="S933" t="s">
        <v>70</v>
      </c>
      <c r="Y933" t="str">
        <f t="shared" si="302"/>
        <v/>
      </c>
      <c r="Z933" t="str">
        <f t="shared" si="303"/>
        <v/>
      </c>
      <c r="AC933" t="str">
        <f t="shared" si="304"/>
        <v>Pass</v>
      </c>
      <c r="AD933" t="str">
        <f t="shared" si="305"/>
        <v>Pass_Missed</v>
      </c>
      <c r="AE933" t="str">
        <f t="shared" si="306"/>
        <v>Pass-Forehand</v>
      </c>
      <c r="AF933" t="str">
        <f t="shared" si="307"/>
        <v>Offensive</v>
      </c>
      <c r="AG933">
        <f t="shared" si="313"/>
        <v>18981</v>
      </c>
      <c r="AH933" t="str">
        <f t="shared" si="314"/>
        <v>Nelson</v>
      </c>
      <c r="AI933" t="str">
        <f t="shared" si="315"/>
        <v>Velodrome</v>
      </c>
      <c r="AJ933" s="18">
        <f t="shared" si="308"/>
        <v>0</v>
      </c>
      <c r="AP933" s="18">
        <f t="shared" si="309"/>
        <v>0</v>
      </c>
      <c r="AQ933">
        <f t="shared" si="310"/>
        <v>1080</v>
      </c>
      <c r="AR933" s="23">
        <f t="shared" si="311"/>
        <v>1289</v>
      </c>
      <c r="AS933">
        <f t="shared" si="316"/>
        <v>1284</v>
      </c>
      <c r="AT933" s="21">
        <f t="shared" si="317"/>
        <v>1289</v>
      </c>
      <c r="AU933" s="21"/>
      <c r="AV933" s="21"/>
      <c r="AW933" s="21"/>
    </row>
    <row r="934" spans="1:49" x14ac:dyDescent="0.2">
      <c r="A934">
        <v>505</v>
      </c>
      <c r="E934">
        <f t="shared" si="312"/>
        <v>2</v>
      </c>
      <c r="J934" t="str">
        <f t="shared" si="319"/>
        <v>14</v>
      </c>
      <c r="K934" t="str">
        <f t="shared" si="320"/>
        <v>31</v>
      </c>
      <c r="L934" t="str">
        <f t="shared" si="321"/>
        <v/>
      </c>
      <c r="M934" s="6" t="str">
        <f t="shared" si="322"/>
        <v/>
      </c>
      <c r="N934" t="str">
        <f t="shared" si="318"/>
        <v>Away</v>
      </c>
      <c r="O934">
        <v>49</v>
      </c>
      <c r="P934" t="s">
        <v>424</v>
      </c>
      <c r="Y934" t="str">
        <f t="shared" si="302"/>
        <v/>
      </c>
      <c r="Z934" t="str">
        <f t="shared" si="303"/>
        <v/>
      </c>
      <c r="AC934" t="str">
        <f t="shared" si="304"/>
        <v>Pass</v>
      </c>
      <c r="AD934" t="str">
        <f t="shared" si="305"/>
        <v>Pass_Missed</v>
      </c>
      <c r="AE934" t="str">
        <f t="shared" si="306"/>
        <v>Pass-Forehand</v>
      </c>
      <c r="AF934" t="str">
        <f t="shared" si="307"/>
        <v>Offensive</v>
      </c>
      <c r="AG934">
        <f t="shared" si="313"/>
        <v>18981</v>
      </c>
      <c r="AH934" t="str">
        <f t="shared" si="314"/>
        <v>Nelson</v>
      </c>
      <c r="AI934" t="str">
        <f t="shared" si="315"/>
        <v>Velodrome</v>
      </c>
      <c r="AJ934" s="18">
        <f t="shared" si="308"/>
        <v>0</v>
      </c>
      <c r="AP934" s="18">
        <f t="shared" si="309"/>
        <v>0</v>
      </c>
      <c r="AQ934">
        <f t="shared" si="310"/>
        <v>1080</v>
      </c>
      <c r="AR934" s="23">
        <f t="shared" si="311"/>
        <v>1289</v>
      </c>
      <c r="AS934">
        <f t="shared" si="316"/>
        <v>1284</v>
      </c>
      <c r="AT934" s="21">
        <f t="shared" si="317"/>
        <v>1289</v>
      </c>
      <c r="AU934" s="21"/>
      <c r="AV934" s="21"/>
      <c r="AW934" s="21"/>
    </row>
    <row r="935" spans="1:49" x14ac:dyDescent="0.2">
      <c r="A935">
        <v>506</v>
      </c>
      <c r="E935">
        <f t="shared" si="312"/>
        <v>2</v>
      </c>
      <c r="F935" s="5" t="s">
        <v>489</v>
      </c>
      <c r="G935" s="5" t="s">
        <v>503</v>
      </c>
      <c r="J935" t="str">
        <f t="shared" si="319"/>
        <v>14</v>
      </c>
      <c r="K935" t="str">
        <f t="shared" si="320"/>
        <v>31</v>
      </c>
      <c r="L935" t="str">
        <f t="shared" si="321"/>
        <v/>
      </c>
      <c r="M935" s="6" t="str">
        <f t="shared" si="322"/>
        <v/>
      </c>
      <c r="N935" t="s">
        <v>179</v>
      </c>
      <c r="O935">
        <v>70</v>
      </c>
      <c r="P935" t="s">
        <v>424</v>
      </c>
      <c r="Q935" t="s">
        <v>277</v>
      </c>
      <c r="R935" t="s">
        <v>191</v>
      </c>
      <c r="S935" t="s">
        <v>447</v>
      </c>
      <c r="Y935" t="str">
        <f t="shared" si="302"/>
        <v/>
      </c>
      <c r="Z935" t="str">
        <f t="shared" si="303"/>
        <v/>
      </c>
      <c r="AC935" t="str">
        <f t="shared" si="304"/>
        <v>Zone_Entry_Exit</v>
      </c>
      <c r="AD935" t="str">
        <f t="shared" si="305"/>
        <v>Zone_Entry</v>
      </c>
      <c r="AE935" t="str">
        <f t="shared" si="306"/>
        <v>ZoneEntry-PassMiss/Misplay</v>
      </c>
      <c r="AF935" t="str">
        <f t="shared" si="307"/>
        <v>Offensive</v>
      </c>
      <c r="AG935">
        <f t="shared" si="313"/>
        <v>18981</v>
      </c>
      <c r="AH935" t="str">
        <f t="shared" si="314"/>
        <v>Nelson</v>
      </c>
      <c r="AI935" t="str">
        <f t="shared" si="315"/>
        <v>Velodrome</v>
      </c>
      <c r="AJ935" s="18">
        <f t="shared" si="308"/>
        <v>0</v>
      </c>
      <c r="AP935" s="18">
        <f t="shared" si="309"/>
        <v>0</v>
      </c>
      <c r="AQ935">
        <f t="shared" si="310"/>
        <v>1080</v>
      </c>
      <c r="AR935" s="23">
        <f t="shared" si="311"/>
        <v>1289</v>
      </c>
      <c r="AS935">
        <f t="shared" si="316"/>
        <v>1284</v>
      </c>
      <c r="AT935" s="21">
        <f t="shared" si="317"/>
        <v>1289</v>
      </c>
      <c r="AU935" s="21"/>
      <c r="AV935" s="21"/>
      <c r="AW935" s="21"/>
    </row>
    <row r="936" spans="1:49" x14ac:dyDescent="0.2">
      <c r="A936">
        <v>507</v>
      </c>
      <c r="E936">
        <f t="shared" si="312"/>
        <v>2</v>
      </c>
      <c r="F936" s="5" t="s">
        <v>489</v>
      </c>
      <c r="G936" s="5" t="s">
        <v>498</v>
      </c>
      <c r="J936" t="str">
        <f t="shared" si="319"/>
        <v>14</v>
      </c>
      <c r="K936" t="str">
        <f t="shared" si="320"/>
        <v>26</v>
      </c>
      <c r="L936" t="str">
        <f t="shared" si="321"/>
        <v/>
      </c>
      <c r="M936" s="6" t="str">
        <f t="shared" si="322"/>
        <v/>
      </c>
      <c r="N936" t="s">
        <v>178</v>
      </c>
      <c r="O936">
        <v>23</v>
      </c>
      <c r="P936" t="s">
        <v>424</v>
      </c>
      <c r="Q936" t="s">
        <v>8</v>
      </c>
      <c r="R936" t="s">
        <v>189</v>
      </c>
      <c r="S936" t="s">
        <v>68</v>
      </c>
      <c r="Y936" t="str">
        <f t="shared" si="302"/>
        <v/>
      </c>
      <c r="Z936" t="str">
        <f t="shared" si="303"/>
        <v/>
      </c>
      <c r="AC936" t="str">
        <f t="shared" si="304"/>
        <v>Pass</v>
      </c>
      <c r="AD936" t="str">
        <f t="shared" si="305"/>
        <v>Pass_Completed</v>
      </c>
      <c r="AE936" t="str">
        <f t="shared" si="306"/>
        <v>Pass-Rim/Wrap</v>
      </c>
      <c r="AF936" t="str">
        <f t="shared" si="307"/>
        <v>Offensive</v>
      </c>
      <c r="AG936">
        <f t="shared" si="313"/>
        <v>18981</v>
      </c>
      <c r="AH936" t="str">
        <f t="shared" si="314"/>
        <v>Nelson</v>
      </c>
      <c r="AI936" t="str">
        <f t="shared" si="315"/>
        <v>Velodrome</v>
      </c>
      <c r="AJ936" s="18">
        <f t="shared" si="308"/>
        <v>0</v>
      </c>
      <c r="AP936" s="18">
        <f t="shared" si="309"/>
        <v>0</v>
      </c>
      <c r="AQ936">
        <f t="shared" si="310"/>
        <v>1080</v>
      </c>
      <c r="AR936" s="23">
        <f t="shared" si="311"/>
        <v>1294</v>
      </c>
      <c r="AS936">
        <f t="shared" si="316"/>
        <v>1289</v>
      </c>
      <c r="AT936" s="21">
        <f t="shared" si="317"/>
        <v>1294</v>
      </c>
      <c r="AU936" s="21"/>
      <c r="AV936" s="21"/>
      <c r="AW936" s="21"/>
    </row>
    <row r="937" spans="1:49" x14ac:dyDescent="0.2">
      <c r="A937">
        <v>507</v>
      </c>
      <c r="E937">
        <f t="shared" si="312"/>
        <v>2</v>
      </c>
      <c r="J937" t="str">
        <f t="shared" si="319"/>
        <v>14</v>
      </c>
      <c r="K937" t="str">
        <f t="shared" si="320"/>
        <v>26</v>
      </c>
      <c r="L937" t="str">
        <f t="shared" si="321"/>
        <v/>
      </c>
      <c r="M937" s="6" t="str">
        <f t="shared" si="322"/>
        <v/>
      </c>
      <c r="N937" t="str">
        <f t="shared" si="318"/>
        <v>Home</v>
      </c>
      <c r="O937">
        <v>79</v>
      </c>
      <c r="P937" t="s">
        <v>424</v>
      </c>
      <c r="Y937" t="str">
        <f t="shared" si="302"/>
        <v/>
      </c>
      <c r="Z937" t="str">
        <f t="shared" si="303"/>
        <v/>
      </c>
      <c r="AC937" t="str">
        <f t="shared" si="304"/>
        <v>Pass</v>
      </c>
      <c r="AD937" t="str">
        <f t="shared" si="305"/>
        <v>Pass_Completed</v>
      </c>
      <c r="AE937" t="str">
        <f t="shared" si="306"/>
        <v>Pass-Rim/Wrap</v>
      </c>
      <c r="AF937" t="str">
        <f t="shared" si="307"/>
        <v>Offensive</v>
      </c>
      <c r="AG937">
        <f t="shared" si="313"/>
        <v>18981</v>
      </c>
      <c r="AH937" t="str">
        <f t="shared" si="314"/>
        <v>Nelson</v>
      </c>
      <c r="AI937" t="str">
        <f t="shared" si="315"/>
        <v>Velodrome</v>
      </c>
      <c r="AJ937" s="18">
        <f t="shared" si="308"/>
        <v>0</v>
      </c>
      <c r="AP937" s="18">
        <f t="shared" si="309"/>
        <v>0</v>
      </c>
      <c r="AQ937">
        <f t="shared" si="310"/>
        <v>1080</v>
      </c>
      <c r="AR937" s="23">
        <f t="shared" si="311"/>
        <v>1294</v>
      </c>
      <c r="AS937">
        <f t="shared" si="316"/>
        <v>1289</v>
      </c>
      <c r="AT937" s="21">
        <f t="shared" si="317"/>
        <v>1294</v>
      </c>
      <c r="AU937" s="21"/>
      <c r="AV937" s="21"/>
      <c r="AW937" s="21"/>
    </row>
    <row r="938" spans="1:49" x14ac:dyDescent="0.2">
      <c r="A938">
        <v>508</v>
      </c>
      <c r="E938">
        <f t="shared" si="312"/>
        <v>2</v>
      </c>
      <c r="F938" s="5" t="s">
        <v>489</v>
      </c>
      <c r="G938" s="5" t="s">
        <v>495</v>
      </c>
      <c r="H938" s="5" t="s">
        <v>489</v>
      </c>
      <c r="I938" s="7" t="s">
        <v>493</v>
      </c>
      <c r="J938" t="str">
        <f t="shared" si="319"/>
        <v>14</v>
      </c>
      <c r="K938" t="str">
        <f t="shared" si="320"/>
        <v>23</v>
      </c>
      <c r="L938" t="str">
        <f t="shared" si="321"/>
        <v>14</v>
      </c>
      <c r="M938" s="6" t="str">
        <f t="shared" si="322"/>
        <v>21</v>
      </c>
      <c r="N938" t="s">
        <v>178</v>
      </c>
      <c r="O938">
        <v>79</v>
      </c>
      <c r="P938" t="s">
        <v>424</v>
      </c>
      <c r="Q938" t="s">
        <v>277</v>
      </c>
      <c r="R938" t="s">
        <v>201</v>
      </c>
      <c r="S938" t="s">
        <v>90</v>
      </c>
      <c r="Y938" t="str">
        <f t="shared" si="302"/>
        <v/>
      </c>
      <c r="Z938" t="str">
        <f t="shared" si="303"/>
        <v/>
      </c>
      <c r="AC938" t="str">
        <f t="shared" si="304"/>
        <v>Zone_Entry_Exit</v>
      </c>
      <c r="AD938" t="str">
        <f t="shared" si="305"/>
        <v>Zone_Exit</v>
      </c>
      <c r="AE938" t="str">
        <f t="shared" si="306"/>
        <v>ZoneExit-Rush</v>
      </c>
      <c r="AF938" t="str">
        <f t="shared" si="307"/>
        <v>Offensive</v>
      </c>
      <c r="AG938">
        <f t="shared" si="313"/>
        <v>18981</v>
      </c>
      <c r="AH938" t="str">
        <f t="shared" si="314"/>
        <v>Nelson</v>
      </c>
      <c r="AI938" t="str">
        <f t="shared" si="315"/>
        <v>Velodrome</v>
      </c>
      <c r="AJ938" s="18">
        <f t="shared" si="308"/>
        <v>2</v>
      </c>
      <c r="AP938" s="18">
        <f t="shared" si="309"/>
        <v>0</v>
      </c>
      <c r="AQ938">
        <f t="shared" si="310"/>
        <v>1080</v>
      </c>
      <c r="AR938" s="23">
        <f t="shared" si="311"/>
        <v>1297</v>
      </c>
      <c r="AS938">
        <f t="shared" si="316"/>
        <v>1292</v>
      </c>
      <c r="AT938" s="21">
        <f t="shared" si="317"/>
        <v>1299</v>
      </c>
      <c r="AU938" s="21"/>
      <c r="AV938" s="21"/>
      <c r="AW938" s="21"/>
    </row>
    <row r="939" spans="1:49" x14ac:dyDescent="0.2">
      <c r="A939">
        <v>509</v>
      </c>
      <c r="E939">
        <f t="shared" si="312"/>
        <v>2</v>
      </c>
      <c r="F939" s="5" t="s">
        <v>489</v>
      </c>
      <c r="G939" s="5" t="s">
        <v>493</v>
      </c>
      <c r="H939" s="5" t="s">
        <v>489</v>
      </c>
      <c r="I939" s="7" t="s">
        <v>491</v>
      </c>
      <c r="J939" t="str">
        <f t="shared" si="319"/>
        <v>14</v>
      </c>
      <c r="K939" t="str">
        <f t="shared" si="320"/>
        <v>21</v>
      </c>
      <c r="L939" t="str">
        <f t="shared" si="321"/>
        <v>14</v>
      </c>
      <c r="M939" s="6" t="str">
        <f t="shared" si="322"/>
        <v>19</v>
      </c>
      <c r="N939" t="s">
        <v>178</v>
      </c>
      <c r="O939">
        <v>79</v>
      </c>
      <c r="P939" t="s">
        <v>424</v>
      </c>
      <c r="Q939" t="s">
        <v>15</v>
      </c>
      <c r="Y939" t="str">
        <f t="shared" si="302"/>
        <v/>
      </c>
      <c r="Z939" t="str">
        <f t="shared" si="303"/>
        <v/>
      </c>
      <c r="AC939" t="str">
        <f t="shared" si="304"/>
        <v>Possession</v>
      </c>
      <c r="AD939" t="str">
        <f t="shared" si="305"/>
        <v/>
      </c>
      <c r="AE939" t="str">
        <f t="shared" si="306"/>
        <v/>
      </c>
      <c r="AF939" t="str">
        <f t="shared" si="307"/>
        <v>Offensive</v>
      </c>
      <c r="AG939">
        <f t="shared" si="313"/>
        <v>18981</v>
      </c>
      <c r="AH939" t="str">
        <f t="shared" si="314"/>
        <v>Nelson</v>
      </c>
      <c r="AI939" t="str">
        <f t="shared" si="315"/>
        <v>Velodrome</v>
      </c>
      <c r="AJ939" s="18">
        <f t="shared" si="308"/>
        <v>2</v>
      </c>
      <c r="AP939" s="18">
        <f t="shared" si="309"/>
        <v>0</v>
      </c>
      <c r="AQ939">
        <f t="shared" si="310"/>
        <v>1080</v>
      </c>
      <c r="AR939" s="23">
        <f t="shared" si="311"/>
        <v>1299</v>
      </c>
      <c r="AS939">
        <f t="shared" si="316"/>
        <v>1294</v>
      </c>
      <c r="AT939" s="21">
        <f t="shared" si="317"/>
        <v>1301</v>
      </c>
      <c r="AU939" s="21"/>
      <c r="AV939" s="21"/>
      <c r="AW939" s="21"/>
    </row>
    <row r="940" spans="1:49" x14ac:dyDescent="0.2">
      <c r="A940">
        <v>510</v>
      </c>
      <c r="E940">
        <f t="shared" si="312"/>
        <v>2</v>
      </c>
      <c r="F940" s="5" t="s">
        <v>489</v>
      </c>
      <c r="G940" s="5" t="s">
        <v>491</v>
      </c>
      <c r="H940" s="5" t="s">
        <v>489</v>
      </c>
      <c r="I940" s="7" t="s">
        <v>478</v>
      </c>
      <c r="J940" t="str">
        <f t="shared" si="319"/>
        <v>14</v>
      </c>
      <c r="K940" t="str">
        <f t="shared" si="320"/>
        <v>19</v>
      </c>
      <c r="L940" t="str">
        <f t="shared" si="321"/>
        <v>14</v>
      </c>
      <c r="M940" s="6" t="str">
        <f t="shared" si="322"/>
        <v>15</v>
      </c>
      <c r="N940" t="s">
        <v>178</v>
      </c>
      <c r="O940">
        <v>79</v>
      </c>
      <c r="P940" t="s">
        <v>424</v>
      </c>
      <c r="Q940" t="s">
        <v>277</v>
      </c>
      <c r="R940" t="s">
        <v>191</v>
      </c>
      <c r="S940" t="s">
        <v>87</v>
      </c>
      <c r="Y940" t="str">
        <f t="shared" si="302"/>
        <v/>
      </c>
      <c r="Z940" t="str">
        <f t="shared" si="303"/>
        <v/>
      </c>
      <c r="AC940" t="str">
        <f t="shared" si="304"/>
        <v>Zone_Entry_Exit</v>
      </c>
      <c r="AD940" t="str">
        <f t="shared" si="305"/>
        <v>Zone_Entry</v>
      </c>
      <c r="AE940" t="str">
        <f t="shared" si="306"/>
        <v>ZoneEntry-Rush</v>
      </c>
      <c r="AF940" t="str">
        <f t="shared" si="307"/>
        <v>Offensive</v>
      </c>
      <c r="AG940">
        <f t="shared" si="313"/>
        <v>18981</v>
      </c>
      <c r="AH940" t="str">
        <f t="shared" si="314"/>
        <v>Nelson</v>
      </c>
      <c r="AI940" t="str">
        <f t="shared" si="315"/>
        <v>Velodrome</v>
      </c>
      <c r="AJ940" s="18">
        <f t="shared" si="308"/>
        <v>4</v>
      </c>
      <c r="AP940" s="18">
        <f t="shared" si="309"/>
        <v>0</v>
      </c>
      <c r="AQ940">
        <f t="shared" si="310"/>
        <v>1080</v>
      </c>
      <c r="AR940" s="23">
        <f t="shared" si="311"/>
        <v>1301</v>
      </c>
      <c r="AS940">
        <f t="shared" si="316"/>
        <v>1296</v>
      </c>
      <c r="AT940" s="21">
        <f t="shared" si="317"/>
        <v>1305</v>
      </c>
      <c r="AU940" s="21"/>
      <c r="AV940" s="21"/>
      <c r="AW940" s="21"/>
    </row>
    <row r="941" spans="1:49" x14ac:dyDescent="0.2">
      <c r="A941">
        <v>510</v>
      </c>
      <c r="E941">
        <f t="shared" si="312"/>
        <v>2</v>
      </c>
      <c r="J941" t="str">
        <f t="shared" si="319"/>
        <v>14</v>
      </c>
      <c r="K941" t="str">
        <f t="shared" si="320"/>
        <v>19</v>
      </c>
      <c r="L941" t="str">
        <f t="shared" si="321"/>
        <v>14</v>
      </c>
      <c r="M941" s="6" t="str">
        <f t="shared" si="322"/>
        <v>15</v>
      </c>
      <c r="N941" t="str">
        <f t="shared" si="318"/>
        <v>Home</v>
      </c>
      <c r="O941">
        <v>44</v>
      </c>
      <c r="P941" t="s">
        <v>424</v>
      </c>
      <c r="Y941" t="str">
        <f t="shared" si="302"/>
        <v/>
      </c>
      <c r="Z941" t="str">
        <f t="shared" si="303"/>
        <v/>
      </c>
      <c r="AC941" t="str">
        <f t="shared" si="304"/>
        <v>Zone_Entry_Exit</v>
      </c>
      <c r="AD941" t="str">
        <f t="shared" si="305"/>
        <v>Zone_Entry</v>
      </c>
      <c r="AE941" t="str">
        <f t="shared" si="306"/>
        <v>ZoneEntry-Rush</v>
      </c>
      <c r="AF941" t="str">
        <f t="shared" si="307"/>
        <v>Offensive</v>
      </c>
      <c r="AG941">
        <f t="shared" si="313"/>
        <v>18981</v>
      </c>
      <c r="AH941" t="str">
        <f t="shared" si="314"/>
        <v>Nelson</v>
      </c>
      <c r="AI941" t="str">
        <f t="shared" si="315"/>
        <v>Velodrome</v>
      </c>
      <c r="AJ941" s="18">
        <f t="shared" si="308"/>
        <v>4</v>
      </c>
      <c r="AP941" s="18">
        <f t="shared" si="309"/>
        <v>0</v>
      </c>
      <c r="AQ941">
        <f t="shared" si="310"/>
        <v>1080</v>
      </c>
      <c r="AR941" s="23">
        <f t="shared" si="311"/>
        <v>1301</v>
      </c>
      <c r="AS941">
        <f t="shared" si="316"/>
        <v>1296</v>
      </c>
      <c r="AT941" s="21">
        <f t="shared" si="317"/>
        <v>1305</v>
      </c>
      <c r="AU941" s="21"/>
      <c r="AV941" s="21"/>
      <c r="AW941" s="21"/>
    </row>
    <row r="942" spans="1:49" x14ac:dyDescent="0.2">
      <c r="A942">
        <v>510</v>
      </c>
      <c r="E942">
        <f t="shared" si="312"/>
        <v>2</v>
      </c>
      <c r="J942" t="str">
        <f t="shared" si="319"/>
        <v>14</v>
      </c>
      <c r="K942" t="str">
        <f t="shared" si="320"/>
        <v>19</v>
      </c>
      <c r="L942" t="str">
        <f t="shared" si="321"/>
        <v>14</v>
      </c>
      <c r="M942" s="6" t="str">
        <f t="shared" si="322"/>
        <v>15</v>
      </c>
      <c r="N942" t="str">
        <f t="shared" si="318"/>
        <v>Home</v>
      </c>
      <c r="O942">
        <v>42</v>
      </c>
      <c r="P942" t="s">
        <v>425</v>
      </c>
      <c r="Y942" t="str">
        <f t="shared" si="302"/>
        <v/>
      </c>
      <c r="Z942" t="str">
        <f t="shared" si="303"/>
        <v/>
      </c>
      <c r="AC942" t="str">
        <f t="shared" si="304"/>
        <v>Zone_Entry_Exit</v>
      </c>
      <c r="AD942" t="str">
        <f t="shared" si="305"/>
        <v>Zone_Entry</v>
      </c>
      <c r="AE942" t="str">
        <f t="shared" si="306"/>
        <v>ZoneEntry-Rush</v>
      </c>
      <c r="AF942" t="str">
        <f t="shared" si="307"/>
        <v>Defensive</v>
      </c>
      <c r="AG942">
        <f t="shared" si="313"/>
        <v>18981</v>
      </c>
      <c r="AH942" t="str">
        <f t="shared" si="314"/>
        <v>Nelson</v>
      </c>
      <c r="AI942" t="str">
        <f t="shared" si="315"/>
        <v>Velodrome</v>
      </c>
      <c r="AJ942" s="18">
        <f t="shared" si="308"/>
        <v>4</v>
      </c>
      <c r="AP942" s="18">
        <f t="shared" si="309"/>
        <v>0</v>
      </c>
      <c r="AQ942">
        <f t="shared" si="310"/>
        <v>1080</v>
      </c>
      <c r="AR942" s="23">
        <f t="shared" si="311"/>
        <v>1301</v>
      </c>
      <c r="AS942">
        <f t="shared" si="316"/>
        <v>1296</v>
      </c>
      <c r="AT942" s="21">
        <f t="shared" si="317"/>
        <v>1305</v>
      </c>
      <c r="AU942" s="21"/>
      <c r="AV942" s="21"/>
      <c r="AW942" s="21"/>
    </row>
    <row r="943" spans="1:49" x14ac:dyDescent="0.2">
      <c r="A943">
        <v>510</v>
      </c>
      <c r="E943">
        <f t="shared" si="312"/>
        <v>2</v>
      </c>
      <c r="J943" t="str">
        <f t="shared" si="319"/>
        <v>14</v>
      </c>
      <c r="K943" t="str">
        <f t="shared" si="320"/>
        <v>19</v>
      </c>
      <c r="L943" t="str">
        <f t="shared" si="321"/>
        <v>14</v>
      </c>
      <c r="M943" s="6" t="str">
        <f t="shared" si="322"/>
        <v>15</v>
      </c>
      <c r="N943" t="str">
        <f t="shared" si="318"/>
        <v>Home</v>
      </c>
      <c r="O943">
        <v>93</v>
      </c>
      <c r="P943" t="s">
        <v>425</v>
      </c>
      <c r="Y943" t="str">
        <f t="shared" si="302"/>
        <v/>
      </c>
      <c r="Z943" t="str">
        <f t="shared" si="303"/>
        <v/>
      </c>
      <c r="AC943" t="str">
        <f t="shared" si="304"/>
        <v>Zone_Entry_Exit</v>
      </c>
      <c r="AD943" t="str">
        <f t="shared" si="305"/>
        <v>Zone_Entry</v>
      </c>
      <c r="AE943" t="str">
        <f t="shared" si="306"/>
        <v>ZoneEntry-Rush</v>
      </c>
      <c r="AF943" t="str">
        <f t="shared" si="307"/>
        <v>Defensive</v>
      </c>
      <c r="AG943">
        <f t="shared" si="313"/>
        <v>18981</v>
      </c>
      <c r="AH943" t="str">
        <f t="shared" si="314"/>
        <v>Nelson</v>
      </c>
      <c r="AI943" t="str">
        <f t="shared" si="315"/>
        <v>Velodrome</v>
      </c>
      <c r="AJ943" s="18">
        <f t="shared" si="308"/>
        <v>4</v>
      </c>
      <c r="AP943" s="18">
        <f t="shared" si="309"/>
        <v>0</v>
      </c>
      <c r="AQ943">
        <f t="shared" si="310"/>
        <v>1080</v>
      </c>
      <c r="AR943" s="23">
        <f t="shared" si="311"/>
        <v>1301</v>
      </c>
      <c r="AS943">
        <f t="shared" si="316"/>
        <v>1296</v>
      </c>
      <c r="AT943" s="21">
        <f t="shared" si="317"/>
        <v>1305</v>
      </c>
      <c r="AU943" s="21"/>
      <c r="AV943" s="21"/>
      <c r="AW943" s="21"/>
    </row>
    <row r="944" spans="1:49" x14ac:dyDescent="0.2">
      <c r="A944">
        <v>510</v>
      </c>
      <c r="E944">
        <f t="shared" si="312"/>
        <v>2</v>
      </c>
      <c r="J944" t="str">
        <f t="shared" si="319"/>
        <v>14</v>
      </c>
      <c r="K944" t="str">
        <f t="shared" si="320"/>
        <v>19</v>
      </c>
      <c r="L944" t="str">
        <f t="shared" si="321"/>
        <v>14</v>
      </c>
      <c r="M944" s="6" t="str">
        <f t="shared" si="322"/>
        <v>15</v>
      </c>
      <c r="N944" t="str">
        <f t="shared" si="318"/>
        <v>Home</v>
      </c>
      <c r="O944">
        <v>9</v>
      </c>
      <c r="P944" t="s">
        <v>425</v>
      </c>
      <c r="Y944" t="str">
        <f t="shared" si="302"/>
        <v/>
      </c>
      <c r="Z944" t="str">
        <f t="shared" si="303"/>
        <v/>
      </c>
      <c r="AC944" t="str">
        <f t="shared" si="304"/>
        <v>Zone_Entry_Exit</v>
      </c>
      <c r="AD944" t="str">
        <f t="shared" si="305"/>
        <v>Zone_Entry</v>
      </c>
      <c r="AE944" t="str">
        <f t="shared" si="306"/>
        <v>ZoneEntry-Rush</v>
      </c>
      <c r="AF944" t="str">
        <f t="shared" si="307"/>
        <v>Defensive</v>
      </c>
      <c r="AG944">
        <f t="shared" si="313"/>
        <v>18981</v>
      </c>
      <c r="AH944" t="str">
        <f t="shared" si="314"/>
        <v>Nelson</v>
      </c>
      <c r="AI944" t="str">
        <f t="shared" si="315"/>
        <v>Velodrome</v>
      </c>
      <c r="AJ944" s="18">
        <f t="shared" si="308"/>
        <v>4</v>
      </c>
      <c r="AP944" s="18">
        <f t="shared" si="309"/>
        <v>0</v>
      </c>
      <c r="AQ944">
        <f t="shared" si="310"/>
        <v>1080</v>
      </c>
      <c r="AR944" s="23">
        <f t="shared" si="311"/>
        <v>1301</v>
      </c>
      <c r="AS944">
        <f t="shared" si="316"/>
        <v>1296</v>
      </c>
      <c r="AT944" s="21">
        <f t="shared" si="317"/>
        <v>1305</v>
      </c>
      <c r="AU944" s="21"/>
      <c r="AV944" s="21"/>
      <c r="AW944" s="21"/>
    </row>
    <row r="945" spans="1:49" x14ac:dyDescent="0.2">
      <c r="A945">
        <v>511</v>
      </c>
      <c r="E945">
        <f t="shared" si="312"/>
        <v>2</v>
      </c>
      <c r="F945" s="5" t="s">
        <v>489</v>
      </c>
      <c r="G945" s="5" t="s">
        <v>478</v>
      </c>
      <c r="J945" t="str">
        <f t="shared" si="319"/>
        <v>14</v>
      </c>
      <c r="K945" t="str">
        <f t="shared" si="320"/>
        <v>15</v>
      </c>
      <c r="L945" t="str">
        <f t="shared" si="321"/>
        <v/>
      </c>
      <c r="M945" s="6" t="str">
        <f t="shared" si="322"/>
        <v/>
      </c>
      <c r="N945" t="s">
        <v>178</v>
      </c>
      <c r="O945">
        <v>79</v>
      </c>
      <c r="P945" t="s">
        <v>424</v>
      </c>
      <c r="Q945" t="s">
        <v>8</v>
      </c>
      <c r="R945" t="s">
        <v>189</v>
      </c>
      <c r="S945" t="s">
        <v>70</v>
      </c>
      <c r="Y945" t="str">
        <f t="shared" si="302"/>
        <v/>
      </c>
      <c r="Z945" t="str">
        <f t="shared" si="303"/>
        <v/>
      </c>
      <c r="AC945" t="str">
        <f t="shared" si="304"/>
        <v>Pass</v>
      </c>
      <c r="AD945" t="str">
        <f t="shared" si="305"/>
        <v>Pass_Completed</v>
      </c>
      <c r="AE945" t="str">
        <f t="shared" si="306"/>
        <v>Pass-Forehand</v>
      </c>
      <c r="AF945" t="str">
        <f t="shared" si="307"/>
        <v>Offensive</v>
      </c>
      <c r="AG945">
        <f t="shared" si="313"/>
        <v>18981</v>
      </c>
      <c r="AH945" t="str">
        <f t="shared" si="314"/>
        <v>Nelson</v>
      </c>
      <c r="AI945" t="str">
        <f t="shared" si="315"/>
        <v>Velodrome</v>
      </c>
      <c r="AJ945" s="18">
        <f t="shared" si="308"/>
        <v>0</v>
      </c>
      <c r="AP945" s="18">
        <f t="shared" si="309"/>
        <v>0</v>
      </c>
      <c r="AQ945">
        <f t="shared" si="310"/>
        <v>1080</v>
      </c>
      <c r="AR945" s="23">
        <f t="shared" si="311"/>
        <v>1305</v>
      </c>
      <c r="AS945">
        <f t="shared" si="316"/>
        <v>1300</v>
      </c>
      <c r="AT945" s="21">
        <f t="shared" si="317"/>
        <v>1305</v>
      </c>
      <c r="AU945" s="21"/>
      <c r="AV945" s="21"/>
      <c r="AW945" s="21"/>
    </row>
    <row r="946" spans="1:49" x14ac:dyDescent="0.2">
      <c r="A946">
        <v>511</v>
      </c>
      <c r="E946">
        <f t="shared" si="312"/>
        <v>2</v>
      </c>
      <c r="J946" t="str">
        <f t="shared" si="319"/>
        <v>14</v>
      </c>
      <c r="K946" t="str">
        <f t="shared" si="320"/>
        <v>15</v>
      </c>
      <c r="L946" t="str">
        <f t="shared" si="321"/>
        <v/>
      </c>
      <c r="M946" s="6" t="str">
        <f t="shared" si="322"/>
        <v/>
      </c>
      <c r="N946" t="str">
        <f t="shared" si="318"/>
        <v>Home</v>
      </c>
      <c r="O946">
        <v>44</v>
      </c>
      <c r="P946" t="s">
        <v>424</v>
      </c>
      <c r="Y946" t="str">
        <f t="shared" si="302"/>
        <v/>
      </c>
      <c r="Z946" t="str">
        <f t="shared" si="303"/>
        <v/>
      </c>
      <c r="AC946" t="str">
        <f t="shared" si="304"/>
        <v>Pass</v>
      </c>
      <c r="AD946" t="str">
        <f t="shared" si="305"/>
        <v>Pass_Completed</v>
      </c>
      <c r="AE946" t="str">
        <f t="shared" si="306"/>
        <v>Pass-Forehand</v>
      </c>
      <c r="AF946" t="str">
        <f t="shared" si="307"/>
        <v>Offensive</v>
      </c>
      <c r="AG946">
        <f t="shared" si="313"/>
        <v>18981</v>
      </c>
      <c r="AH946" t="str">
        <f t="shared" si="314"/>
        <v>Nelson</v>
      </c>
      <c r="AI946" t="str">
        <f t="shared" si="315"/>
        <v>Velodrome</v>
      </c>
      <c r="AJ946" s="18">
        <f t="shared" si="308"/>
        <v>0</v>
      </c>
      <c r="AP946" s="18">
        <f t="shared" si="309"/>
        <v>0</v>
      </c>
      <c r="AQ946">
        <f t="shared" si="310"/>
        <v>1080</v>
      </c>
      <c r="AR946" s="23">
        <f t="shared" si="311"/>
        <v>1305</v>
      </c>
      <c r="AS946">
        <f t="shared" si="316"/>
        <v>1300</v>
      </c>
      <c r="AT946" s="21">
        <f t="shared" si="317"/>
        <v>1305</v>
      </c>
      <c r="AU946" s="21"/>
      <c r="AV946" s="21"/>
      <c r="AW946" s="21"/>
    </row>
    <row r="947" spans="1:49" x14ac:dyDescent="0.2">
      <c r="A947">
        <v>512</v>
      </c>
      <c r="E947">
        <f t="shared" si="312"/>
        <v>2</v>
      </c>
      <c r="F947" s="5" t="s">
        <v>489</v>
      </c>
      <c r="G947" s="5" t="s">
        <v>488</v>
      </c>
      <c r="J947" t="str">
        <f t="shared" si="319"/>
        <v>14</v>
      </c>
      <c r="K947" t="str">
        <f t="shared" si="320"/>
        <v>13</v>
      </c>
      <c r="L947" t="str">
        <f t="shared" si="321"/>
        <v/>
      </c>
      <c r="M947" s="6" t="str">
        <f t="shared" si="322"/>
        <v/>
      </c>
      <c r="N947" t="s">
        <v>178</v>
      </c>
      <c r="O947">
        <v>44</v>
      </c>
      <c r="P947" t="s">
        <v>424</v>
      </c>
      <c r="Q947" t="s">
        <v>7</v>
      </c>
      <c r="R947" t="s">
        <v>198</v>
      </c>
      <c r="S947" t="s">
        <v>61</v>
      </c>
      <c r="Y947" t="str">
        <f t="shared" si="302"/>
        <v/>
      </c>
      <c r="Z947" t="str">
        <f t="shared" si="303"/>
        <v/>
      </c>
      <c r="AC947" t="str">
        <f t="shared" si="304"/>
        <v>Shot</v>
      </c>
      <c r="AD947" t="str">
        <f t="shared" si="305"/>
        <v>Shot_Missed</v>
      </c>
      <c r="AE947" t="str">
        <f t="shared" si="306"/>
        <v>Shot-Poke</v>
      </c>
      <c r="AF947" t="str">
        <f t="shared" si="307"/>
        <v>Offensive</v>
      </c>
      <c r="AG947">
        <f t="shared" si="313"/>
        <v>18981</v>
      </c>
      <c r="AH947" t="str">
        <f t="shared" si="314"/>
        <v>Nelson</v>
      </c>
      <c r="AI947" t="str">
        <f t="shared" si="315"/>
        <v>Velodrome</v>
      </c>
      <c r="AJ947" s="18">
        <f t="shared" si="308"/>
        <v>0</v>
      </c>
      <c r="AP947" s="18">
        <f t="shared" si="309"/>
        <v>0</v>
      </c>
      <c r="AQ947">
        <f t="shared" si="310"/>
        <v>1080</v>
      </c>
      <c r="AR947" s="23">
        <f t="shared" si="311"/>
        <v>1307</v>
      </c>
      <c r="AS947">
        <f t="shared" si="316"/>
        <v>1302</v>
      </c>
      <c r="AT947" s="21">
        <f t="shared" si="317"/>
        <v>1307</v>
      </c>
      <c r="AU947" s="21"/>
      <c r="AV947" s="21"/>
      <c r="AW947" s="21"/>
    </row>
    <row r="948" spans="1:49" x14ac:dyDescent="0.2">
      <c r="A948">
        <v>512</v>
      </c>
      <c r="E948">
        <f t="shared" si="312"/>
        <v>2</v>
      </c>
      <c r="J948" t="str">
        <f t="shared" si="319"/>
        <v>14</v>
      </c>
      <c r="K948" t="str">
        <f t="shared" si="320"/>
        <v>13</v>
      </c>
      <c r="L948" t="str">
        <f t="shared" si="321"/>
        <v/>
      </c>
      <c r="M948" s="6" t="str">
        <f t="shared" si="322"/>
        <v/>
      </c>
      <c r="N948" t="str">
        <f t="shared" si="318"/>
        <v>Home</v>
      </c>
      <c r="O948">
        <v>9</v>
      </c>
      <c r="P948" t="s">
        <v>425</v>
      </c>
      <c r="Y948" t="str">
        <f t="shared" si="302"/>
        <v/>
      </c>
      <c r="Z948" t="str">
        <f t="shared" si="303"/>
        <v/>
      </c>
      <c r="AC948" t="str">
        <f t="shared" si="304"/>
        <v>Shot</v>
      </c>
      <c r="AD948" t="str">
        <f t="shared" si="305"/>
        <v>Shot_Missed</v>
      </c>
      <c r="AE948" t="str">
        <f t="shared" si="306"/>
        <v>Shot-Poke</v>
      </c>
      <c r="AF948" t="str">
        <f t="shared" si="307"/>
        <v>Defensive</v>
      </c>
      <c r="AG948">
        <f t="shared" si="313"/>
        <v>18981</v>
      </c>
      <c r="AH948" t="str">
        <f t="shared" si="314"/>
        <v>Nelson</v>
      </c>
      <c r="AI948" t="str">
        <f t="shared" si="315"/>
        <v>Velodrome</v>
      </c>
      <c r="AJ948" s="18">
        <f t="shared" si="308"/>
        <v>0</v>
      </c>
      <c r="AP948" s="18">
        <f t="shared" si="309"/>
        <v>0</v>
      </c>
      <c r="AQ948">
        <f t="shared" si="310"/>
        <v>1080</v>
      </c>
      <c r="AR948" s="23">
        <f t="shared" si="311"/>
        <v>1307</v>
      </c>
      <c r="AS948">
        <f t="shared" si="316"/>
        <v>1302</v>
      </c>
      <c r="AT948" s="21">
        <f t="shared" si="317"/>
        <v>1307</v>
      </c>
      <c r="AU948" s="21"/>
      <c r="AV948" s="21"/>
      <c r="AW948" s="21"/>
    </row>
    <row r="949" spans="1:49" x14ac:dyDescent="0.2">
      <c r="A949">
        <v>513</v>
      </c>
      <c r="E949">
        <f t="shared" si="312"/>
        <v>2</v>
      </c>
      <c r="F949" s="5" t="s">
        <v>489</v>
      </c>
      <c r="G949" s="5" t="s">
        <v>484</v>
      </c>
      <c r="H949" s="5" t="s">
        <v>489</v>
      </c>
      <c r="I949" s="7" t="s">
        <v>483</v>
      </c>
      <c r="J949" t="str">
        <f t="shared" si="319"/>
        <v>14</v>
      </c>
      <c r="K949" t="str">
        <f t="shared" si="320"/>
        <v>09</v>
      </c>
      <c r="L949" t="str">
        <f t="shared" si="321"/>
        <v>14</v>
      </c>
      <c r="M949" s="6" t="str">
        <f t="shared" si="322"/>
        <v>08</v>
      </c>
      <c r="N949" t="s">
        <v>178</v>
      </c>
      <c r="O949">
        <v>3</v>
      </c>
      <c r="P949" t="s">
        <v>424</v>
      </c>
      <c r="Q949" t="s">
        <v>15</v>
      </c>
      <c r="Y949" t="str">
        <f t="shared" si="302"/>
        <v/>
      </c>
      <c r="Z949" t="str">
        <f t="shared" si="303"/>
        <v/>
      </c>
      <c r="AC949" t="str">
        <f t="shared" si="304"/>
        <v>Possession</v>
      </c>
      <c r="AD949" t="str">
        <f t="shared" si="305"/>
        <v/>
      </c>
      <c r="AE949" t="str">
        <f t="shared" si="306"/>
        <v/>
      </c>
      <c r="AF949" t="str">
        <f t="shared" si="307"/>
        <v>Offensive</v>
      </c>
      <c r="AG949">
        <f t="shared" si="313"/>
        <v>18981</v>
      </c>
      <c r="AH949" t="str">
        <f t="shared" si="314"/>
        <v>Nelson</v>
      </c>
      <c r="AI949" t="str">
        <f t="shared" si="315"/>
        <v>Velodrome</v>
      </c>
      <c r="AJ949" s="18">
        <f t="shared" si="308"/>
        <v>1</v>
      </c>
      <c r="AP949" s="18">
        <f t="shared" si="309"/>
        <v>0</v>
      </c>
      <c r="AQ949">
        <f t="shared" si="310"/>
        <v>1080</v>
      </c>
      <c r="AR949" s="23">
        <f t="shared" si="311"/>
        <v>1311</v>
      </c>
      <c r="AS949">
        <f t="shared" si="316"/>
        <v>1306</v>
      </c>
      <c r="AT949" s="21">
        <f t="shared" si="317"/>
        <v>1312</v>
      </c>
      <c r="AU949" s="21"/>
      <c r="AV949" s="21"/>
      <c r="AW949" s="21"/>
    </row>
    <row r="950" spans="1:49" x14ac:dyDescent="0.2">
      <c r="A950">
        <v>513</v>
      </c>
      <c r="E950">
        <f t="shared" si="312"/>
        <v>2</v>
      </c>
      <c r="J950" t="str">
        <f t="shared" si="319"/>
        <v>14</v>
      </c>
      <c r="K950" t="str">
        <f t="shared" si="320"/>
        <v>09</v>
      </c>
      <c r="L950" t="str">
        <f t="shared" si="321"/>
        <v>14</v>
      </c>
      <c r="M950" s="6" t="str">
        <f t="shared" si="322"/>
        <v>08</v>
      </c>
      <c r="N950" t="str">
        <f t="shared" si="318"/>
        <v>Home</v>
      </c>
      <c r="O950">
        <v>49</v>
      </c>
      <c r="P950" t="s">
        <v>425</v>
      </c>
      <c r="Y950" t="str">
        <f t="shared" si="302"/>
        <v/>
      </c>
      <c r="Z950" t="str">
        <f t="shared" si="303"/>
        <v/>
      </c>
      <c r="AC950" t="str">
        <f t="shared" si="304"/>
        <v>Possession</v>
      </c>
      <c r="AD950" t="str">
        <f t="shared" si="305"/>
        <v/>
      </c>
      <c r="AE950" t="str">
        <f t="shared" si="306"/>
        <v/>
      </c>
      <c r="AF950" t="str">
        <f t="shared" si="307"/>
        <v>Defensive</v>
      </c>
      <c r="AG950">
        <f t="shared" si="313"/>
        <v>18981</v>
      </c>
      <c r="AH950" t="str">
        <f t="shared" si="314"/>
        <v>Nelson</v>
      </c>
      <c r="AI950" t="str">
        <f t="shared" si="315"/>
        <v>Velodrome</v>
      </c>
      <c r="AJ950" s="18">
        <f t="shared" si="308"/>
        <v>1</v>
      </c>
      <c r="AP950" s="18">
        <f t="shared" si="309"/>
        <v>0</v>
      </c>
      <c r="AQ950">
        <f t="shared" si="310"/>
        <v>1080</v>
      </c>
      <c r="AR950" s="23">
        <f t="shared" si="311"/>
        <v>1311</v>
      </c>
      <c r="AS950">
        <f t="shared" si="316"/>
        <v>1306</v>
      </c>
      <c r="AT950" s="21">
        <f t="shared" si="317"/>
        <v>1312</v>
      </c>
      <c r="AU950" s="21"/>
      <c r="AV950" s="21"/>
      <c r="AW950" s="21"/>
    </row>
    <row r="951" spans="1:49" x14ac:dyDescent="0.2">
      <c r="A951">
        <v>514</v>
      </c>
      <c r="E951">
        <f t="shared" si="312"/>
        <v>2</v>
      </c>
      <c r="F951" s="5" t="s">
        <v>489</v>
      </c>
      <c r="G951" s="5" t="s">
        <v>483</v>
      </c>
      <c r="J951" t="str">
        <f t="shared" si="319"/>
        <v>14</v>
      </c>
      <c r="K951" t="str">
        <f t="shared" si="320"/>
        <v>08</v>
      </c>
      <c r="L951" t="str">
        <f t="shared" si="321"/>
        <v/>
      </c>
      <c r="M951" s="6" t="str">
        <f t="shared" si="322"/>
        <v/>
      </c>
      <c r="N951" t="s">
        <v>179</v>
      </c>
      <c r="O951">
        <v>49</v>
      </c>
      <c r="P951" t="s">
        <v>424</v>
      </c>
      <c r="Q951" t="s">
        <v>10</v>
      </c>
      <c r="R951" t="s">
        <v>200</v>
      </c>
      <c r="S951" t="s">
        <v>82</v>
      </c>
      <c r="Y951" t="str">
        <f t="shared" si="302"/>
        <v/>
      </c>
      <c r="Z951" t="str">
        <f t="shared" si="303"/>
        <v/>
      </c>
      <c r="AC951" t="str">
        <f t="shared" si="304"/>
        <v>Turnover</v>
      </c>
      <c r="AD951" t="str">
        <f t="shared" si="305"/>
        <v>Turnover_Takeaway</v>
      </c>
      <c r="AE951" t="str">
        <f t="shared" si="306"/>
        <v>Takeaway-PokeCheck</v>
      </c>
      <c r="AF951" t="str">
        <f t="shared" si="307"/>
        <v>Defensive</v>
      </c>
      <c r="AG951">
        <f t="shared" si="313"/>
        <v>18981</v>
      </c>
      <c r="AH951" t="str">
        <f t="shared" si="314"/>
        <v>Nelson</v>
      </c>
      <c r="AI951" t="str">
        <f t="shared" si="315"/>
        <v>Velodrome</v>
      </c>
      <c r="AJ951" s="18">
        <f t="shared" si="308"/>
        <v>0</v>
      </c>
      <c r="AP951" s="18">
        <f t="shared" si="309"/>
        <v>0</v>
      </c>
      <c r="AQ951">
        <f t="shared" si="310"/>
        <v>1080</v>
      </c>
      <c r="AR951" s="23">
        <f t="shared" si="311"/>
        <v>1312</v>
      </c>
      <c r="AS951">
        <f t="shared" si="316"/>
        <v>1307</v>
      </c>
      <c r="AT951" s="21">
        <f t="shared" si="317"/>
        <v>1312</v>
      </c>
      <c r="AU951" s="21"/>
      <c r="AV951" s="21"/>
      <c r="AW951" s="21"/>
    </row>
    <row r="952" spans="1:49" x14ac:dyDescent="0.2">
      <c r="A952">
        <v>514</v>
      </c>
      <c r="E952">
        <f t="shared" si="312"/>
        <v>2</v>
      </c>
      <c r="J952" t="str">
        <f t="shared" si="319"/>
        <v>14</v>
      </c>
      <c r="K952" t="str">
        <f t="shared" si="320"/>
        <v>08</v>
      </c>
      <c r="L952" t="str">
        <f t="shared" si="321"/>
        <v/>
      </c>
      <c r="M952" s="6" t="str">
        <f t="shared" si="322"/>
        <v/>
      </c>
      <c r="N952" t="str">
        <f t="shared" si="318"/>
        <v>Away</v>
      </c>
      <c r="O952">
        <v>3</v>
      </c>
      <c r="P952" t="s">
        <v>425</v>
      </c>
      <c r="Y952" t="str">
        <f t="shared" si="302"/>
        <v/>
      </c>
      <c r="Z952" t="str">
        <f t="shared" si="303"/>
        <v/>
      </c>
      <c r="AC952" t="str">
        <f t="shared" si="304"/>
        <v>Turnover</v>
      </c>
      <c r="AD952" t="str">
        <f t="shared" si="305"/>
        <v>Turnover_Takeaway</v>
      </c>
      <c r="AE952" t="str">
        <f t="shared" si="306"/>
        <v>Takeaway-PokeCheck</v>
      </c>
      <c r="AF952" t="str">
        <f t="shared" si="307"/>
        <v>Offensive</v>
      </c>
      <c r="AG952">
        <f t="shared" si="313"/>
        <v>18981</v>
      </c>
      <c r="AH952" t="str">
        <f t="shared" si="314"/>
        <v>Nelson</v>
      </c>
      <c r="AI952" t="str">
        <f t="shared" si="315"/>
        <v>Velodrome</v>
      </c>
      <c r="AJ952" s="18">
        <f t="shared" si="308"/>
        <v>0</v>
      </c>
      <c r="AP952" s="18">
        <f t="shared" si="309"/>
        <v>0</v>
      </c>
      <c r="AQ952">
        <f t="shared" si="310"/>
        <v>1080</v>
      </c>
      <c r="AR952" s="23">
        <f t="shared" si="311"/>
        <v>1312</v>
      </c>
      <c r="AS952">
        <f t="shared" si="316"/>
        <v>1307</v>
      </c>
      <c r="AT952" s="21">
        <f t="shared" si="317"/>
        <v>1312</v>
      </c>
      <c r="AU952" s="21"/>
      <c r="AV952" s="21"/>
      <c r="AW952" s="21"/>
    </row>
    <row r="953" spans="1:49" x14ac:dyDescent="0.2">
      <c r="A953">
        <v>515</v>
      </c>
      <c r="E953">
        <f t="shared" si="312"/>
        <v>2</v>
      </c>
      <c r="F953" s="5" t="s">
        <v>489</v>
      </c>
      <c r="G953" s="5" t="s">
        <v>471</v>
      </c>
      <c r="J953" t="str">
        <f t="shared" si="319"/>
        <v>14</v>
      </c>
      <c r="K953" t="str">
        <f t="shared" si="320"/>
        <v>01</v>
      </c>
      <c r="L953" t="str">
        <f t="shared" si="321"/>
        <v/>
      </c>
      <c r="M953" s="6" t="str">
        <f t="shared" si="322"/>
        <v/>
      </c>
      <c r="N953" t="s">
        <v>179</v>
      </c>
      <c r="O953">
        <v>49</v>
      </c>
      <c r="P953" t="s">
        <v>424</v>
      </c>
      <c r="Q953" t="s">
        <v>277</v>
      </c>
      <c r="R953" t="s">
        <v>201</v>
      </c>
      <c r="S953" t="s">
        <v>183</v>
      </c>
      <c r="Y953" t="str">
        <f t="shared" si="302"/>
        <v/>
      </c>
      <c r="Z953" t="str">
        <f t="shared" si="303"/>
        <v/>
      </c>
      <c r="AC953" t="str">
        <f t="shared" si="304"/>
        <v>Zone_Entry_Exit</v>
      </c>
      <c r="AD953" t="str">
        <f t="shared" si="305"/>
        <v>Zone_Exit</v>
      </c>
      <c r="AE953" t="str">
        <f t="shared" si="306"/>
        <v>ZoneExit-Other</v>
      </c>
      <c r="AF953" t="str">
        <f t="shared" si="307"/>
        <v>Offensive</v>
      </c>
      <c r="AG953">
        <f t="shared" si="313"/>
        <v>18981</v>
      </c>
      <c r="AH953" t="str">
        <f t="shared" si="314"/>
        <v>Nelson</v>
      </c>
      <c r="AI953" t="str">
        <f t="shared" si="315"/>
        <v>Velodrome</v>
      </c>
      <c r="AJ953" s="18">
        <f t="shared" si="308"/>
        <v>0</v>
      </c>
      <c r="AP953" s="18">
        <f t="shared" si="309"/>
        <v>0</v>
      </c>
      <c r="AQ953">
        <f t="shared" si="310"/>
        <v>1080</v>
      </c>
      <c r="AR953" s="23">
        <f t="shared" si="311"/>
        <v>1319</v>
      </c>
      <c r="AS953">
        <f t="shared" si="316"/>
        <v>1314</v>
      </c>
      <c r="AT953" s="21">
        <f t="shared" si="317"/>
        <v>1319</v>
      </c>
      <c r="AU953" s="21"/>
      <c r="AV953" s="21"/>
      <c r="AW953" s="21"/>
    </row>
    <row r="954" spans="1:49" x14ac:dyDescent="0.2">
      <c r="A954">
        <v>515</v>
      </c>
      <c r="E954">
        <f t="shared" si="312"/>
        <v>2</v>
      </c>
      <c r="J954" t="str">
        <f t="shared" si="319"/>
        <v>14</v>
      </c>
      <c r="K954" t="str">
        <f t="shared" si="320"/>
        <v>01</v>
      </c>
      <c r="L954" t="str">
        <f t="shared" si="321"/>
        <v/>
      </c>
      <c r="M954" s="6" t="str">
        <f t="shared" si="322"/>
        <v/>
      </c>
      <c r="N954" t="str">
        <f t="shared" si="318"/>
        <v>Away</v>
      </c>
      <c r="O954">
        <v>79</v>
      </c>
      <c r="P954" t="s">
        <v>425</v>
      </c>
      <c r="Y954" t="str">
        <f t="shared" si="302"/>
        <v/>
      </c>
      <c r="Z954" t="str">
        <f t="shared" si="303"/>
        <v/>
      </c>
      <c r="AC954" t="str">
        <f t="shared" si="304"/>
        <v>Zone_Entry_Exit</v>
      </c>
      <c r="AD954" t="str">
        <f t="shared" si="305"/>
        <v>Zone_Exit</v>
      </c>
      <c r="AE954" t="str">
        <f t="shared" si="306"/>
        <v>ZoneExit-Other</v>
      </c>
      <c r="AF954" t="str">
        <f t="shared" si="307"/>
        <v>Defensive</v>
      </c>
      <c r="AG954">
        <f t="shared" si="313"/>
        <v>18981</v>
      </c>
      <c r="AH954" t="str">
        <f t="shared" si="314"/>
        <v>Nelson</v>
      </c>
      <c r="AI954" t="str">
        <f t="shared" si="315"/>
        <v>Velodrome</v>
      </c>
      <c r="AJ954" s="18">
        <f t="shared" si="308"/>
        <v>0</v>
      </c>
      <c r="AP954" s="18">
        <f t="shared" si="309"/>
        <v>0</v>
      </c>
      <c r="AQ954">
        <f t="shared" si="310"/>
        <v>1080</v>
      </c>
      <c r="AR954" s="23">
        <f t="shared" si="311"/>
        <v>1319</v>
      </c>
      <c r="AS954">
        <f t="shared" si="316"/>
        <v>1314</v>
      </c>
      <c r="AT954" s="21">
        <f t="shared" si="317"/>
        <v>1319</v>
      </c>
      <c r="AU954" s="21"/>
      <c r="AV954" s="21"/>
      <c r="AW954" s="21"/>
    </row>
    <row r="955" spans="1:49" x14ac:dyDescent="0.2">
      <c r="A955">
        <v>516</v>
      </c>
      <c r="E955">
        <f t="shared" si="312"/>
        <v>2</v>
      </c>
      <c r="F955" s="5" t="s">
        <v>489</v>
      </c>
      <c r="G955" s="5" t="s">
        <v>471</v>
      </c>
      <c r="J955" t="str">
        <f t="shared" si="319"/>
        <v>14</v>
      </c>
      <c r="K955" t="str">
        <f t="shared" si="320"/>
        <v>01</v>
      </c>
      <c r="L955" t="str">
        <f t="shared" si="321"/>
        <v/>
      </c>
      <c r="M955" s="6" t="str">
        <f t="shared" si="322"/>
        <v/>
      </c>
      <c r="N955" t="s">
        <v>179</v>
      </c>
      <c r="O955">
        <v>49</v>
      </c>
      <c r="P955" t="s">
        <v>424</v>
      </c>
      <c r="Q955" t="s">
        <v>277</v>
      </c>
      <c r="R955" t="s">
        <v>191</v>
      </c>
      <c r="S955" t="s">
        <v>432</v>
      </c>
      <c r="Y955" t="str">
        <f t="shared" si="302"/>
        <v/>
      </c>
      <c r="Z955" t="str">
        <f t="shared" si="303"/>
        <v/>
      </c>
      <c r="AC955" t="str">
        <f t="shared" si="304"/>
        <v>Zone_Entry_Exit</v>
      </c>
      <c r="AD955" t="str">
        <f t="shared" si="305"/>
        <v>Zone_Entry</v>
      </c>
      <c r="AE955" t="str">
        <f t="shared" si="306"/>
        <v>ZoneEntry-FromExitClear</v>
      </c>
      <c r="AF955" t="str">
        <f t="shared" si="307"/>
        <v>Offensive</v>
      </c>
      <c r="AG955">
        <f t="shared" si="313"/>
        <v>18981</v>
      </c>
      <c r="AH955" t="str">
        <f t="shared" si="314"/>
        <v>Nelson</v>
      </c>
      <c r="AI955" t="str">
        <f t="shared" si="315"/>
        <v>Velodrome</v>
      </c>
      <c r="AJ955" s="18">
        <f t="shared" si="308"/>
        <v>0</v>
      </c>
      <c r="AP955" s="18">
        <f t="shared" si="309"/>
        <v>0</v>
      </c>
      <c r="AQ955">
        <f t="shared" si="310"/>
        <v>1080</v>
      </c>
      <c r="AR955" s="23">
        <f t="shared" si="311"/>
        <v>1319</v>
      </c>
      <c r="AS955">
        <f t="shared" si="316"/>
        <v>1314</v>
      </c>
      <c r="AT955" s="21">
        <f t="shared" si="317"/>
        <v>1319</v>
      </c>
      <c r="AU955" s="21"/>
      <c r="AV955" s="21"/>
      <c r="AW955" s="21"/>
    </row>
    <row r="956" spans="1:49" x14ac:dyDescent="0.2">
      <c r="A956">
        <v>517</v>
      </c>
      <c r="E956">
        <f t="shared" si="312"/>
        <v>2</v>
      </c>
      <c r="F956" s="5" t="s">
        <v>488</v>
      </c>
      <c r="G956" s="5" t="s">
        <v>528</v>
      </c>
      <c r="H956" s="5" t="s">
        <v>488</v>
      </c>
      <c r="I956" s="7" t="s">
        <v>524</v>
      </c>
      <c r="J956" t="str">
        <f t="shared" si="319"/>
        <v>13</v>
      </c>
      <c r="K956" t="str">
        <f t="shared" si="320"/>
        <v>56</v>
      </c>
      <c r="L956" t="str">
        <f t="shared" si="321"/>
        <v>13</v>
      </c>
      <c r="M956" s="6" t="str">
        <f t="shared" si="322"/>
        <v>52</v>
      </c>
      <c r="N956" t="s">
        <v>178</v>
      </c>
      <c r="O956">
        <v>23</v>
      </c>
      <c r="P956" t="s">
        <v>424</v>
      </c>
      <c r="Q956" t="s">
        <v>15</v>
      </c>
      <c r="Y956" t="str">
        <f t="shared" si="302"/>
        <v/>
      </c>
      <c r="Z956" t="str">
        <f t="shared" si="303"/>
        <v/>
      </c>
      <c r="AC956" t="str">
        <f t="shared" si="304"/>
        <v>Possession</v>
      </c>
      <c r="AD956" t="str">
        <f t="shared" si="305"/>
        <v/>
      </c>
      <c r="AE956" t="str">
        <f t="shared" si="306"/>
        <v/>
      </c>
      <c r="AF956" t="str">
        <f t="shared" si="307"/>
        <v>Offensive</v>
      </c>
      <c r="AG956">
        <f t="shared" si="313"/>
        <v>18981</v>
      </c>
      <c r="AH956" t="str">
        <f t="shared" si="314"/>
        <v>Nelson</v>
      </c>
      <c r="AI956" t="str">
        <f t="shared" si="315"/>
        <v>Velodrome</v>
      </c>
      <c r="AJ956" s="18">
        <f t="shared" si="308"/>
        <v>4</v>
      </c>
      <c r="AP956" s="18">
        <f t="shared" si="309"/>
        <v>0</v>
      </c>
      <c r="AQ956">
        <f t="shared" si="310"/>
        <v>1080</v>
      </c>
      <c r="AR956" s="23">
        <f t="shared" si="311"/>
        <v>1324</v>
      </c>
      <c r="AS956">
        <f t="shared" si="316"/>
        <v>1319</v>
      </c>
      <c r="AT956" s="21">
        <f t="shared" si="317"/>
        <v>1328</v>
      </c>
      <c r="AU956" s="21"/>
      <c r="AV956" s="21"/>
      <c r="AW956" s="21"/>
    </row>
    <row r="957" spans="1:49" x14ac:dyDescent="0.2">
      <c r="A957">
        <v>518</v>
      </c>
      <c r="E957">
        <f t="shared" si="312"/>
        <v>2</v>
      </c>
      <c r="F957" s="5" t="s">
        <v>488</v>
      </c>
      <c r="G957" s="5" t="s">
        <v>524</v>
      </c>
      <c r="J957" t="str">
        <f t="shared" si="319"/>
        <v>13</v>
      </c>
      <c r="K957" t="str">
        <f t="shared" si="320"/>
        <v>52</v>
      </c>
      <c r="L957" t="str">
        <f t="shared" si="321"/>
        <v/>
      </c>
      <c r="M957" s="6" t="str">
        <f t="shared" si="322"/>
        <v/>
      </c>
      <c r="N957" t="s">
        <v>178</v>
      </c>
      <c r="O957">
        <v>23</v>
      </c>
      <c r="P957" t="s">
        <v>424</v>
      </c>
      <c r="Q957" t="s">
        <v>8</v>
      </c>
      <c r="R957" t="s">
        <v>209</v>
      </c>
      <c r="S957" t="s">
        <v>67</v>
      </c>
      <c r="Y957" t="str">
        <f t="shared" si="302"/>
        <v/>
      </c>
      <c r="Z957" t="str">
        <f t="shared" si="303"/>
        <v/>
      </c>
      <c r="AC957" t="str">
        <f t="shared" si="304"/>
        <v>Pass</v>
      </c>
      <c r="AD957" t="str">
        <f t="shared" si="305"/>
        <v>Pass_Deflected</v>
      </c>
      <c r="AE957" t="str">
        <f t="shared" si="306"/>
        <v>Pass-Stretch</v>
      </c>
      <c r="AF957" t="str">
        <f t="shared" si="307"/>
        <v>Offensive</v>
      </c>
      <c r="AG957">
        <f t="shared" si="313"/>
        <v>18981</v>
      </c>
      <c r="AH957" t="str">
        <f t="shared" si="314"/>
        <v>Nelson</v>
      </c>
      <c r="AI957" t="str">
        <f t="shared" si="315"/>
        <v>Velodrome</v>
      </c>
      <c r="AJ957" s="18">
        <f t="shared" si="308"/>
        <v>0</v>
      </c>
      <c r="AP957" s="18">
        <f t="shared" si="309"/>
        <v>0</v>
      </c>
      <c r="AQ957">
        <f t="shared" si="310"/>
        <v>1080</v>
      </c>
      <c r="AR957" s="23">
        <f t="shared" si="311"/>
        <v>1328</v>
      </c>
      <c r="AS957">
        <f t="shared" si="316"/>
        <v>1323</v>
      </c>
      <c r="AT957" s="21">
        <f t="shared" si="317"/>
        <v>1328</v>
      </c>
      <c r="AU957" s="21"/>
      <c r="AV957" s="21"/>
      <c r="AW957" s="21"/>
    </row>
    <row r="958" spans="1:49" x14ac:dyDescent="0.2">
      <c r="A958">
        <v>518</v>
      </c>
      <c r="E958">
        <f t="shared" si="312"/>
        <v>2</v>
      </c>
      <c r="J958" t="str">
        <f t="shared" si="319"/>
        <v>13</v>
      </c>
      <c r="K958" t="str">
        <f t="shared" si="320"/>
        <v>52</v>
      </c>
      <c r="L958" t="str">
        <f t="shared" si="321"/>
        <v/>
      </c>
      <c r="M958" s="6" t="str">
        <f t="shared" si="322"/>
        <v/>
      </c>
      <c r="N958" t="str">
        <f t="shared" si="318"/>
        <v>Home</v>
      </c>
      <c r="O958">
        <v>42</v>
      </c>
      <c r="P958" t="s">
        <v>425</v>
      </c>
      <c r="Y958" t="str">
        <f t="shared" si="302"/>
        <v/>
      </c>
      <c r="Z958" t="str">
        <f t="shared" si="303"/>
        <v/>
      </c>
      <c r="AC958" t="str">
        <f t="shared" si="304"/>
        <v>Pass</v>
      </c>
      <c r="AD958" t="str">
        <f t="shared" si="305"/>
        <v>Pass_Deflected</v>
      </c>
      <c r="AE958" t="str">
        <f t="shared" si="306"/>
        <v>Pass-Stretch</v>
      </c>
      <c r="AF958" t="str">
        <f t="shared" si="307"/>
        <v>Defensive</v>
      </c>
      <c r="AG958">
        <f t="shared" si="313"/>
        <v>18981</v>
      </c>
      <c r="AH958" t="str">
        <f t="shared" si="314"/>
        <v>Nelson</v>
      </c>
      <c r="AI958" t="str">
        <f t="shared" si="315"/>
        <v>Velodrome</v>
      </c>
      <c r="AJ958" s="18">
        <f t="shared" si="308"/>
        <v>0</v>
      </c>
      <c r="AP958" s="18">
        <f t="shared" si="309"/>
        <v>0</v>
      </c>
      <c r="AQ958">
        <f t="shared" si="310"/>
        <v>1080</v>
      </c>
      <c r="AR958" s="23">
        <f t="shared" si="311"/>
        <v>1328</v>
      </c>
      <c r="AS958">
        <f t="shared" si="316"/>
        <v>1323</v>
      </c>
      <c r="AT958" s="21">
        <f t="shared" si="317"/>
        <v>1328</v>
      </c>
      <c r="AU958" s="21"/>
      <c r="AV958" s="21"/>
      <c r="AW958" s="21"/>
    </row>
    <row r="959" spans="1:49" x14ac:dyDescent="0.2">
      <c r="A959">
        <v>519</v>
      </c>
      <c r="E959">
        <f t="shared" si="312"/>
        <v>2</v>
      </c>
      <c r="F959" s="5" t="s">
        <v>488</v>
      </c>
      <c r="G959" s="5" t="s">
        <v>524</v>
      </c>
      <c r="J959" t="str">
        <f t="shared" si="319"/>
        <v>13</v>
      </c>
      <c r="K959" t="str">
        <f t="shared" si="320"/>
        <v>52</v>
      </c>
      <c r="L959" t="str">
        <f t="shared" si="321"/>
        <v/>
      </c>
      <c r="M959" s="6" t="str">
        <f t="shared" si="322"/>
        <v/>
      </c>
      <c r="N959" t="s">
        <v>178</v>
      </c>
      <c r="O959">
        <v>23</v>
      </c>
      <c r="P959" t="s">
        <v>424</v>
      </c>
      <c r="Q959" t="s">
        <v>277</v>
      </c>
      <c r="R959" t="s">
        <v>201</v>
      </c>
      <c r="S959" t="s">
        <v>433</v>
      </c>
      <c r="Y959" t="str">
        <f t="shared" si="302"/>
        <v/>
      </c>
      <c r="Z959" t="str">
        <f t="shared" si="303"/>
        <v/>
      </c>
      <c r="AC959" t="str">
        <f t="shared" si="304"/>
        <v>Zone_Entry_Exit</v>
      </c>
      <c r="AD959" t="str">
        <f t="shared" si="305"/>
        <v>Zone_Exit</v>
      </c>
      <c r="AE959" t="str">
        <f t="shared" si="306"/>
        <v>ZoneExit-PassMiss/Misplay</v>
      </c>
      <c r="AF959" t="str">
        <f t="shared" si="307"/>
        <v>Offensive</v>
      </c>
      <c r="AG959">
        <f t="shared" si="313"/>
        <v>18981</v>
      </c>
      <c r="AH959" t="str">
        <f t="shared" si="314"/>
        <v>Nelson</v>
      </c>
      <c r="AI959" t="str">
        <f t="shared" si="315"/>
        <v>Velodrome</v>
      </c>
      <c r="AJ959" s="18">
        <f t="shared" si="308"/>
        <v>0</v>
      </c>
      <c r="AP959" s="18">
        <f t="shared" si="309"/>
        <v>0</v>
      </c>
      <c r="AQ959">
        <f t="shared" si="310"/>
        <v>1080</v>
      </c>
      <c r="AR959" s="23">
        <f t="shared" si="311"/>
        <v>1328</v>
      </c>
      <c r="AS959">
        <f t="shared" si="316"/>
        <v>1323</v>
      </c>
      <c r="AT959" s="21">
        <f t="shared" si="317"/>
        <v>1328</v>
      </c>
      <c r="AU959" s="21"/>
      <c r="AV959" s="21"/>
      <c r="AW959" s="21"/>
    </row>
    <row r="960" spans="1:49" x14ac:dyDescent="0.2">
      <c r="A960">
        <v>519</v>
      </c>
      <c r="E960">
        <f t="shared" si="312"/>
        <v>2</v>
      </c>
      <c r="J960" t="str">
        <f t="shared" si="319"/>
        <v>13</v>
      </c>
      <c r="K960" t="str">
        <f t="shared" si="320"/>
        <v>52</v>
      </c>
      <c r="L960" t="str">
        <f t="shared" si="321"/>
        <v/>
      </c>
      <c r="M960" s="6" t="str">
        <f t="shared" si="322"/>
        <v/>
      </c>
      <c r="N960" t="str">
        <f t="shared" si="318"/>
        <v>Home</v>
      </c>
      <c r="O960">
        <v>42</v>
      </c>
      <c r="P960" t="s">
        <v>425</v>
      </c>
      <c r="Y960" t="str">
        <f t="shared" si="302"/>
        <v/>
      </c>
      <c r="Z960" t="str">
        <f t="shared" si="303"/>
        <v/>
      </c>
      <c r="AC960" t="str">
        <f t="shared" si="304"/>
        <v>Zone_Entry_Exit</v>
      </c>
      <c r="AD960" t="str">
        <f t="shared" si="305"/>
        <v>Zone_Exit</v>
      </c>
      <c r="AE960" t="str">
        <f t="shared" si="306"/>
        <v>ZoneExit-PassMiss/Misplay</v>
      </c>
      <c r="AF960" t="str">
        <f t="shared" si="307"/>
        <v>Defensive</v>
      </c>
      <c r="AG960">
        <f t="shared" si="313"/>
        <v>18981</v>
      </c>
      <c r="AH960" t="str">
        <f t="shared" si="314"/>
        <v>Nelson</v>
      </c>
      <c r="AI960" t="str">
        <f t="shared" si="315"/>
        <v>Velodrome</v>
      </c>
      <c r="AJ960" s="18">
        <f t="shared" si="308"/>
        <v>0</v>
      </c>
      <c r="AP960" s="18">
        <f t="shared" si="309"/>
        <v>0</v>
      </c>
      <c r="AQ960">
        <f t="shared" si="310"/>
        <v>1080</v>
      </c>
      <c r="AR960" s="23">
        <f t="shared" si="311"/>
        <v>1328</v>
      </c>
      <c r="AS960">
        <f t="shared" si="316"/>
        <v>1323</v>
      </c>
      <c r="AT960" s="21">
        <f t="shared" si="317"/>
        <v>1328</v>
      </c>
      <c r="AU960" s="21"/>
      <c r="AV960" s="21"/>
      <c r="AW960" s="21"/>
    </row>
    <row r="961" spans="1:49" x14ac:dyDescent="0.2">
      <c r="A961">
        <v>520</v>
      </c>
      <c r="E961">
        <f t="shared" si="312"/>
        <v>2</v>
      </c>
      <c r="F961" s="5" t="s">
        <v>488</v>
      </c>
      <c r="G961" s="5" t="s">
        <v>524</v>
      </c>
      <c r="J961" t="str">
        <f t="shared" si="319"/>
        <v>13</v>
      </c>
      <c r="K961" t="str">
        <f t="shared" si="320"/>
        <v>52</v>
      </c>
      <c r="L961" t="str">
        <f t="shared" si="321"/>
        <v/>
      </c>
      <c r="M961" s="6" t="str">
        <f t="shared" si="322"/>
        <v/>
      </c>
      <c r="N961" t="s">
        <v>178</v>
      </c>
      <c r="O961">
        <v>23</v>
      </c>
      <c r="P961" t="s">
        <v>424</v>
      </c>
      <c r="Q961" t="s">
        <v>10</v>
      </c>
      <c r="R961" t="s">
        <v>190</v>
      </c>
      <c r="S961" t="s">
        <v>76</v>
      </c>
      <c r="Y961" t="str">
        <f t="shared" si="302"/>
        <v/>
      </c>
      <c r="Z961" t="str">
        <f t="shared" si="303"/>
        <v/>
      </c>
      <c r="AC961" t="str">
        <f t="shared" si="304"/>
        <v>Turnover</v>
      </c>
      <c r="AD961" t="str">
        <f t="shared" si="305"/>
        <v>Turnover_Giveaway</v>
      </c>
      <c r="AE961" t="str">
        <f t="shared" si="306"/>
        <v>Giveaway-PassMissed</v>
      </c>
      <c r="AF961" t="str">
        <f t="shared" si="307"/>
        <v>Offensive</v>
      </c>
      <c r="AG961">
        <f t="shared" si="313"/>
        <v>18981</v>
      </c>
      <c r="AH961" t="str">
        <f t="shared" si="314"/>
        <v>Nelson</v>
      </c>
      <c r="AI961" t="str">
        <f t="shared" si="315"/>
        <v>Velodrome</v>
      </c>
      <c r="AJ961" s="18">
        <f t="shared" si="308"/>
        <v>0</v>
      </c>
      <c r="AP961" s="18">
        <f t="shared" si="309"/>
        <v>0</v>
      </c>
      <c r="AQ961">
        <f t="shared" si="310"/>
        <v>1080</v>
      </c>
      <c r="AR961" s="23">
        <f t="shared" si="311"/>
        <v>1328</v>
      </c>
      <c r="AS961">
        <f t="shared" si="316"/>
        <v>1323</v>
      </c>
      <c r="AT961" s="21">
        <f t="shared" si="317"/>
        <v>1328</v>
      </c>
      <c r="AU961" s="21"/>
      <c r="AV961" s="21"/>
      <c r="AW961" s="21"/>
    </row>
    <row r="962" spans="1:49" x14ac:dyDescent="0.2">
      <c r="A962">
        <v>520</v>
      </c>
      <c r="E962">
        <f t="shared" si="312"/>
        <v>2</v>
      </c>
      <c r="J962" t="str">
        <f t="shared" si="319"/>
        <v>13</v>
      </c>
      <c r="K962" t="str">
        <f t="shared" si="320"/>
        <v>52</v>
      </c>
      <c r="L962" t="str">
        <f t="shared" si="321"/>
        <v/>
      </c>
      <c r="M962" s="6" t="str">
        <f t="shared" si="322"/>
        <v/>
      </c>
      <c r="N962" t="str">
        <f t="shared" si="318"/>
        <v>Home</v>
      </c>
      <c r="O962">
        <v>42</v>
      </c>
      <c r="P962" t="s">
        <v>425</v>
      </c>
      <c r="Y962" t="str">
        <f t="shared" si="302"/>
        <v/>
      </c>
      <c r="Z962" t="str">
        <f t="shared" si="303"/>
        <v/>
      </c>
      <c r="AC962" t="str">
        <f t="shared" si="304"/>
        <v>Turnover</v>
      </c>
      <c r="AD962" t="str">
        <f t="shared" si="305"/>
        <v>Turnover_Giveaway</v>
      </c>
      <c r="AE962" t="str">
        <f t="shared" si="306"/>
        <v>Giveaway-PassMissed</v>
      </c>
      <c r="AF962" t="str">
        <f t="shared" si="307"/>
        <v>Defensive</v>
      </c>
      <c r="AG962">
        <f t="shared" si="313"/>
        <v>18981</v>
      </c>
      <c r="AH962" t="str">
        <f t="shared" si="314"/>
        <v>Nelson</v>
      </c>
      <c r="AI962" t="str">
        <f t="shared" si="315"/>
        <v>Velodrome</v>
      </c>
      <c r="AJ962" s="18">
        <f t="shared" si="308"/>
        <v>0</v>
      </c>
      <c r="AP962" s="18">
        <f t="shared" si="309"/>
        <v>0</v>
      </c>
      <c r="AQ962">
        <f t="shared" si="310"/>
        <v>1080</v>
      </c>
      <c r="AR962" s="23">
        <f t="shared" si="311"/>
        <v>1328</v>
      </c>
      <c r="AS962">
        <f t="shared" si="316"/>
        <v>1323</v>
      </c>
      <c r="AT962" s="21">
        <f t="shared" si="317"/>
        <v>1328</v>
      </c>
      <c r="AU962" s="21"/>
      <c r="AV962" s="21"/>
      <c r="AW962" s="21"/>
    </row>
    <row r="963" spans="1:49" x14ac:dyDescent="0.2">
      <c r="A963">
        <v>520</v>
      </c>
      <c r="E963">
        <f t="shared" si="312"/>
        <v>2</v>
      </c>
      <c r="J963" t="str">
        <f t="shared" si="319"/>
        <v>13</v>
      </c>
      <c r="K963" t="str">
        <f t="shared" si="320"/>
        <v>52</v>
      </c>
      <c r="L963" t="str">
        <f t="shared" si="321"/>
        <v/>
      </c>
      <c r="M963" s="6" t="str">
        <f t="shared" si="322"/>
        <v/>
      </c>
      <c r="N963" t="str">
        <f t="shared" si="318"/>
        <v>Home</v>
      </c>
      <c r="O963">
        <v>9</v>
      </c>
      <c r="P963" t="s">
        <v>425</v>
      </c>
      <c r="Y963" t="str">
        <f t="shared" ref="Y963:Y1026" si="323">IF($N963="","",IF(X963="","",IF($N963="Home",$X963,IF($X963="n","n",IF($X963="d","o",IF($X963="o","d",""))))))</f>
        <v/>
      </c>
      <c r="Z963" t="str">
        <f t="shared" ref="Z963:Z1026" si="324">IF($N963="","",IF(X963="","",IF($N963="Away",$X963,IF($X963="n","n",IF($X963="d","o",IF($X963="o","d",""))))))</f>
        <v/>
      </c>
      <c r="AC963" t="str">
        <f t="shared" ref="AC963:AC1026" si="325">IF(Q963&lt;&gt;"",Q963,IF($A963=$A962,AC962,""))</f>
        <v>Turnover</v>
      </c>
      <c r="AD963" t="str">
        <f t="shared" ref="AD963:AD1026" si="326">IF(R963&lt;&gt;"",R963,IF($A963=$A962,AD962,""))</f>
        <v>Turnover_Giveaway</v>
      </c>
      <c r="AE963" t="str">
        <f t="shared" ref="AE963:AE1026" si="327">IF(S963&lt;&gt;"",S963,IF($A963=$A962,AE962,""))</f>
        <v>Giveaway-PassMissed</v>
      </c>
      <c r="AF963" t="str">
        <f t="shared" ref="AF963:AF1026" si="328">IF(AND(P963="e",OR(AC963="Save",AD963="Turnover_Takeaway",AD963="Play_Defensive")),"Defensive",IF(AND(P963="o",OR(AC963="Save",AD963="Turnover_Takeaway",AD963="Play_Defensive")),"Offensive",IF(OR(AC963="Deadice",AC963="Stoppage",AC963="Intermission"),"",IF(P963="e","Offensive",IF(P963="o","Defensive","")))))</f>
        <v>Defensive</v>
      </c>
      <c r="AG963">
        <f t="shared" si="313"/>
        <v>18981</v>
      </c>
      <c r="AH963" t="str">
        <f t="shared" si="314"/>
        <v>Nelson</v>
      </c>
      <c r="AI963" t="str">
        <f t="shared" si="315"/>
        <v>Velodrome</v>
      </c>
      <c r="AJ963" s="18">
        <f t="shared" ref="AJ963:AJ1026" si="329">IF(AND(L963="",M963=""),0,((J963*60)+K963)-((L963*60)+M963))</f>
        <v>0</v>
      </c>
      <c r="AP963" s="18">
        <f t="shared" ref="AP963:AP1026" si="330">SUMIFS(AJ963:AJ963,Q963:Q963,"=Intermission")</f>
        <v>0</v>
      </c>
      <c r="AQ963">
        <f t="shared" ref="AQ963:AQ1026" si="331">IF(E963=1,0,IF(E963=2,1080+AP963,IF(E963=3,(1080*2)+AP963,0)))</f>
        <v>1080</v>
      </c>
      <c r="AR963" s="23">
        <f t="shared" ref="AR963:AR1026" si="332">IF(Q963="Intermission",AR962,((1080)-((J963*60)+K963))+AQ963)</f>
        <v>1328</v>
      </c>
      <c r="AS963">
        <f t="shared" si="316"/>
        <v>1323</v>
      </c>
      <c r="AT963" s="21">
        <f t="shared" si="317"/>
        <v>1328</v>
      </c>
      <c r="AU963" s="21"/>
      <c r="AV963" s="21"/>
      <c r="AW963" s="21"/>
    </row>
    <row r="964" spans="1:49" x14ac:dyDescent="0.2">
      <c r="A964">
        <v>521</v>
      </c>
      <c r="E964">
        <f t="shared" ref="E964:E1027" si="333">IF(Q964="Intermission",E963+1,E963)</f>
        <v>2</v>
      </c>
      <c r="F964" s="5" t="s">
        <v>488</v>
      </c>
      <c r="G964" s="5" t="s">
        <v>521</v>
      </c>
      <c r="H964" s="5" t="s">
        <v>488</v>
      </c>
      <c r="I964" s="7" t="s">
        <v>518</v>
      </c>
      <c r="J964" t="str">
        <f t="shared" si="319"/>
        <v>13</v>
      </c>
      <c r="K964" t="str">
        <f t="shared" si="320"/>
        <v>49</v>
      </c>
      <c r="L964" t="str">
        <f t="shared" si="321"/>
        <v>13</v>
      </c>
      <c r="M964" s="6" t="str">
        <f t="shared" si="322"/>
        <v>46</v>
      </c>
      <c r="N964" t="s">
        <v>179</v>
      </c>
      <c r="O964">
        <v>9</v>
      </c>
      <c r="P964" t="s">
        <v>424</v>
      </c>
      <c r="Q964" t="s">
        <v>15</v>
      </c>
      <c r="Y964" t="str">
        <f t="shared" si="323"/>
        <v/>
      </c>
      <c r="Z964" t="str">
        <f t="shared" si="324"/>
        <v/>
      </c>
      <c r="AC964" t="str">
        <f t="shared" si="325"/>
        <v>Possession</v>
      </c>
      <c r="AD964" t="str">
        <f t="shared" si="326"/>
        <v/>
      </c>
      <c r="AE964" t="str">
        <f t="shared" si="327"/>
        <v/>
      </c>
      <c r="AF964" t="str">
        <f t="shared" si="328"/>
        <v>Offensive</v>
      </c>
      <c r="AG964">
        <f t="shared" ref="AG964:AG1027" si="334">AG963</f>
        <v>18981</v>
      </c>
      <c r="AH964" t="str">
        <f t="shared" ref="AH964:AH1027" si="335">AH963</f>
        <v>Nelson</v>
      </c>
      <c r="AI964" t="str">
        <f t="shared" ref="AI964:AI1027" si="336">AI963</f>
        <v>Velodrome</v>
      </c>
      <c r="AJ964" s="18">
        <f t="shared" si="329"/>
        <v>3</v>
      </c>
      <c r="AP964" s="18">
        <f t="shared" si="330"/>
        <v>0</v>
      </c>
      <c r="AQ964">
        <f t="shared" si="331"/>
        <v>1080</v>
      </c>
      <c r="AR964" s="23">
        <f t="shared" si="332"/>
        <v>1331</v>
      </c>
      <c r="AS964">
        <f t="shared" ref="AS964:AS1027" si="337">IF(AR964&lt;5,0,AR964-5)</f>
        <v>1326</v>
      </c>
      <c r="AT964" s="21">
        <f t="shared" ref="AT964:AT1027" si="338">AS964+AJ964+5</f>
        <v>1334</v>
      </c>
      <c r="AU964" s="21"/>
      <c r="AV964" s="21"/>
      <c r="AW964" s="21"/>
    </row>
    <row r="965" spans="1:49" x14ac:dyDescent="0.2">
      <c r="A965">
        <v>521</v>
      </c>
      <c r="E965">
        <f t="shared" si="333"/>
        <v>2</v>
      </c>
      <c r="J965" t="str">
        <f t="shared" si="319"/>
        <v>13</v>
      </c>
      <c r="K965" t="str">
        <f t="shared" si="320"/>
        <v>49</v>
      </c>
      <c r="L965" t="str">
        <f t="shared" si="321"/>
        <v>13</v>
      </c>
      <c r="M965" s="6" t="str">
        <f t="shared" si="322"/>
        <v>46</v>
      </c>
      <c r="N965" t="str">
        <f t="shared" si="318"/>
        <v>Away</v>
      </c>
      <c r="O965">
        <v>37</v>
      </c>
      <c r="P965" t="s">
        <v>425</v>
      </c>
      <c r="Y965" t="str">
        <f t="shared" si="323"/>
        <v/>
      </c>
      <c r="Z965" t="str">
        <f t="shared" si="324"/>
        <v/>
      </c>
      <c r="AC965" t="str">
        <f t="shared" si="325"/>
        <v>Possession</v>
      </c>
      <c r="AD965" t="str">
        <f t="shared" si="326"/>
        <v/>
      </c>
      <c r="AE965" t="str">
        <f t="shared" si="327"/>
        <v/>
      </c>
      <c r="AF965" t="str">
        <f t="shared" si="328"/>
        <v>Defensive</v>
      </c>
      <c r="AG965">
        <f t="shared" si="334"/>
        <v>18981</v>
      </c>
      <c r="AH965" t="str">
        <f t="shared" si="335"/>
        <v>Nelson</v>
      </c>
      <c r="AI965" t="str">
        <f t="shared" si="336"/>
        <v>Velodrome</v>
      </c>
      <c r="AJ965" s="18">
        <f t="shared" si="329"/>
        <v>3</v>
      </c>
      <c r="AP965" s="18">
        <f t="shared" si="330"/>
        <v>0</v>
      </c>
      <c r="AQ965">
        <f t="shared" si="331"/>
        <v>1080</v>
      </c>
      <c r="AR965" s="23">
        <f t="shared" si="332"/>
        <v>1331</v>
      </c>
      <c r="AS965">
        <f t="shared" si="337"/>
        <v>1326</v>
      </c>
      <c r="AT965" s="21">
        <f t="shared" si="338"/>
        <v>1334</v>
      </c>
      <c r="AU965" s="21"/>
      <c r="AV965" s="21"/>
      <c r="AW965" s="21"/>
    </row>
    <row r="966" spans="1:49" x14ac:dyDescent="0.2">
      <c r="A966">
        <v>522</v>
      </c>
      <c r="E966">
        <f t="shared" si="333"/>
        <v>2</v>
      </c>
      <c r="F966" s="5" t="s">
        <v>488</v>
      </c>
      <c r="G966" s="5" t="s">
        <v>518</v>
      </c>
      <c r="J966" t="str">
        <f t="shared" si="319"/>
        <v>13</v>
      </c>
      <c r="K966" t="str">
        <f t="shared" si="320"/>
        <v>46</v>
      </c>
      <c r="L966" t="str">
        <f t="shared" si="321"/>
        <v/>
      </c>
      <c r="M966" s="6" t="str">
        <f t="shared" si="322"/>
        <v/>
      </c>
      <c r="N966" t="s">
        <v>179</v>
      </c>
      <c r="O966">
        <v>9</v>
      </c>
      <c r="P966" t="s">
        <v>424</v>
      </c>
      <c r="Q966" t="s">
        <v>277</v>
      </c>
      <c r="R966" t="s">
        <v>191</v>
      </c>
      <c r="S966" t="s">
        <v>89</v>
      </c>
      <c r="Y966" t="str">
        <f t="shared" si="323"/>
        <v/>
      </c>
      <c r="Z966" t="str">
        <f t="shared" si="324"/>
        <v/>
      </c>
      <c r="AC966" t="str">
        <f t="shared" si="325"/>
        <v>Zone_Entry_Exit</v>
      </c>
      <c r="AD966" t="str">
        <f t="shared" si="326"/>
        <v>Zone_Entry</v>
      </c>
      <c r="AE966" t="str">
        <f t="shared" si="327"/>
        <v>ZoneEntry-DumpIn</v>
      </c>
      <c r="AF966" t="str">
        <f t="shared" si="328"/>
        <v>Offensive</v>
      </c>
      <c r="AG966">
        <f t="shared" si="334"/>
        <v>18981</v>
      </c>
      <c r="AH966" t="str">
        <f t="shared" si="335"/>
        <v>Nelson</v>
      </c>
      <c r="AI966" t="str">
        <f t="shared" si="336"/>
        <v>Velodrome</v>
      </c>
      <c r="AJ966" s="18">
        <f t="shared" si="329"/>
        <v>0</v>
      </c>
      <c r="AP966" s="18">
        <f t="shared" si="330"/>
        <v>0</v>
      </c>
      <c r="AQ966">
        <f t="shared" si="331"/>
        <v>1080</v>
      </c>
      <c r="AR966" s="23">
        <f t="shared" si="332"/>
        <v>1334</v>
      </c>
      <c r="AS966">
        <f t="shared" si="337"/>
        <v>1329</v>
      </c>
      <c r="AT966" s="21">
        <f t="shared" si="338"/>
        <v>1334</v>
      </c>
      <c r="AU966" s="21"/>
      <c r="AV966" s="21"/>
      <c r="AW966" s="21"/>
    </row>
    <row r="967" spans="1:49" x14ac:dyDescent="0.2">
      <c r="A967">
        <v>522</v>
      </c>
      <c r="E967">
        <f t="shared" si="333"/>
        <v>2</v>
      </c>
      <c r="J967" t="str">
        <f t="shared" si="319"/>
        <v>13</v>
      </c>
      <c r="K967" t="str">
        <f t="shared" si="320"/>
        <v>46</v>
      </c>
      <c r="L967" t="str">
        <f t="shared" si="321"/>
        <v/>
      </c>
      <c r="M967" s="6" t="str">
        <f t="shared" si="322"/>
        <v/>
      </c>
      <c r="N967" t="str">
        <f t="shared" ref="N967:N1027" si="339">IF(A967=A966,N966,"")</f>
        <v>Away</v>
      </c>
      <c r="O967">
        <v>37</v>
      </c>
      <c r="P967" t="s">
        <v>425</v>
      </c>
      <c r="Y967" t="str">
        <f t="shared" si="323"/>
        <v/>
      </c>
      <c r="Z967" t="str">
        <f t="shared" si="324"/>
        <v/>
      </c>
      <c r="AC967" t="str">
        <f t="shared" si="325"/>
        <v>Zone_Entry_Exit</v>
      </c>
      <c r="AD967" t="str">
        <f t="shared" si="326"/>
        <v>Zone_Entry</v>
      </c>
      <c r="AE967" t="str">
        <f t="shared" si="327"/>
        <v>ZoneEntry-DumpIn</v>
      </c>
      <c r="AF967" t="str">
        <f t="shared" si="328"/>
        <v>Defensive</v>
      </c>
      <c r="AG967">
        <f t="shared" si="334"/>
        <v>18981</v>
      </c>
      <c r="AH967" t="str">
        <f t="shared" si="335"/>
        <v>Nelson</v>
      </c>
      <c r="AI967" t="str">
        <f t="shared" si="336"/>
        <v>Velodrome</v>
      </c>
      <c r="AJ967" s="18">
        <f t="shared" si="329"/>
        <v>0</v>
      </c>
      <c r="AP967" s="18">
        <f t="shared" si="330"/>
        <v>0</v>
      </c>
      <c r="AQ967">
        <f t="shared" si="331"/>
        <v>1080</v>
      </c>
      <c r="AR967" s="23">
        <f t="shared" si="332"/>
        <v>1334</v>
      </c>
      <c r="AS967">
        <f t="shared" si="337"/>
        <v>1329</v>
      </c>
      <c r="AT967" s="21">
        <f t="shared" si="338"/>
        <v>1334</v>
      </c>
      <c r="AU967" s="21"/>
      <c r="AV967" s="21"/>
      <c r="AW967" s="21"/>
    </row>
    <row r="968" spans="1:49" x14ac:dyDescent="0.2">
      <c r="A968">
        <v>523</v>
      </c>
      <c r="E968">
        <f t="shared" si="333"/>
        <v>2</v>
      </c>
      <c r="F968" s="5" t="s">
        <v>488</v>
      </c>
      <c r="G968" s="5" t="s">
        <v>518</v>
      </c>
      <c r="J968" t="str">
        <f t="shared" si="319"/>
        <v>13</v>
      </c>
      <c r="K968" t="str">
        <f t="shared" si="320"/>
        <v>46</v>
      </c>
      <c r="L968" t="str">
        <f t="shared" si="321"/>
        <v/>
      </c>
      <c r="M968" s="6" t="str">
        <f t="shared" si="322"/>
        <v/>
      </c>
      <c r="N968" t="s">
        <v>179</v>
      </c>
      <c r="O968">
        <v>9</v>
      </c>
      <c r="P968" t="s">
        <v>424</v>
      </c>
      <c r="Q968" t="s">
        <v>10</v>
      </c>
      <c r="R968" t="s">
        <v>190</v>
      </c>
      <c r="S968" t="s">
        <v>411</v>
      </c>
      <c r="Y968" t="str">
        <f t="shared" si="323"/>
        <v/>
      </c>
      <c r="Z968" t="str">
        <f t="shared" si="324"/>
        <v/>
      </c>
      <c r="AC968" t="str">
        <f t="shared" si="325"/>
        <v>Turnover</v>
      </c>
      <c r="AD968" t="str">
        <f t="shared" si="326"/>
        <v>Turnover_Giveaway</v>
      </c>
      <c r="AE968" t="str">
        <f t="shared" si="327"/>
        <v>Giveaway-ZoneClear/Dump</v>
      </c>
      <c r="AF968" t="str">
        <f t="shared" si="328"/>
        <v>Offensive</v>
      </c>
      <c r="AG968">
        <f t="shared" si="334"/>
        <v>18981</v>
      </c>
      <c r="AH968" t="str">
        <f t="shared" si="335"/>
        <v>Nelson</v>
      </c>
      <c r="AI968" t="str">
        <f t="shared" si="336"/>
        <v>Velodrome</v>
      </c>
      <c r="AJ968" s="18">
        <f t="shared" si="329"/>
        <v>0</v>
      </c>
      <c r="AP968" s="18">
        <f t="shared" si="330"/>
        <v>0</v>
      </c>
      <c r="AQ968">
        <f t="shared" si="331"/>
        <v>1080</v>
      </c>
      <c r="AR968" s="23">
        <f t="shared" si="332"/>
        <v>1334</v>
      </c>
      <c r="AS968">
        <f t="shared" si="337"/>
        <v>1329</v>
      </c>
      <c r="AT968" s="21">
        <f t="shared" si="338"/>
        <v>1334</v>
      </c>
      <c r="AU968" s="21"/>
      <c r="AV968" s="21"/>
      <c r="AW968" s="21"/>
    </row>
    <row r="969" spans="1:49" x14ac:dyDescent="0.2">
      <c r="A969">
        <v>524</v>
      </c>
      <c r="E969">
        <f t="shared" si="333"/>
        <v>2</v>
      </c>
      <c r="F969" s="5" t="s">
        <v>488</v>
      </c>
      <c r="G969" s="5" t="s">
        <v>514</v>
      </c>
      <c r="J969" t="str">
        <f t="shared" ref="J969:J1032" si="340">IF(F969&lt;&gt;"",F969,IF($A969=$A968,J968,J969))</f>
        <v>13</v>
      </c>
      <c r="K969" t="str">
        <f t="shared" ref="K969:K1032" si="341">IF($A969=$A968,K968,G969)</f>
        <v>42</v>
      </c>
      <c r="L969" t="str">
        <f t="shared" ref="L969:L1032" si="342">IF(H969&lt;&gt;"",H969,IF($A969=$A968,L968,""))</f>
        <v/>
      </c>
      <c r="M969" s="6" t="str">
        <f t="shared" ref="M969:M1032" si="343">IF(I969&lt;&gt;"",I969,IF($A969=$A968,M968,""))</f>
        <v/>
      </c>
      <c r="N969" t="s">
        <v>178</v>
      </c>
      <c r="O969">
        <v>23</v>
      </c>
      <c r="P969" t="s">
        <v>424</v>
      </c>
      <c r="Q969" t="s">
        <v>8</v>
      </c>
      <c r="R969" t="s">
        <v>189</v>
      </c>
      <c r="S969" t="s">
        <v>68</v>
      </c>
      <c r="Y969" t="str">
        <f t="shared" si="323"/>
        <v/>
      </c>
      <c r="Z969" t="str">
        <f t="shared" si="324"/>
        <v/>
      </c>
      <c r="AC969" t="str">
        <f t="shared" si="325"/>
        <v>Pass</v>
      </c>
      <c r="AD969" t="str">
        <f t="shared" si="326"/>
        <v>Pass_Completed</v>
      </c>
      <c r="AE969" t="str">
        <f t="shared" si="327"/>
        <v>Pass-Rim/Wrap</v>
      </c>
      <c r="AF969" t="str">
        <f t="shared" si="328"/>
        <v>Offensive</v>
      </c>
      <c r="AG969">
        <f t="shared" si="334"/>
        <v>18981</v>
      </c>
      <c r="AH969" t="str">
        <f t="shared" si="335"/>
        <v>Nelson</v>
      </c>
      <c r="AI969" t="str">
        <f t="shared" si="336"/>
        <v>Velodrome</v>
      </c>
      <c r="AJ969" s="18">
        <f t="shared" si="329"/>
        <v>0</v>
      </c>
      <c r="AP969" s="18">
        <f t="shared" si="330"/>
        <v>0</v>
      </c>
      <c r="AQ969">
        <f t="shared" si="331"/>
        <v>1080</v>
      </c>
      <c r="AR969" s="23">
        <f t="shared" si="332"/>
        <v>1338</v>
      </c>
      <c r="AS969">
        <f t="shared" si="337"/>
        <v>1333</v>
      </c>
      <c r="AT969" s="21">
        <f t="shared" si="338"/>
        <v>1338</v>
      </c>
      <c r="AU969" s="21"/>
      <c r="AV969" s="21"/>
      <c r="AW969" s="21"/>
    </row>
    <row r="970" spans="1:49" x14ac:dyDescent="0.2">
      <c r="A970">
        <v>524</v>
      </c>
      <c r="E970">
        <f t="shared" si="333"/>
        <v>2</v>
      </c>
      <c r="J970" t="str">
        <f t="shared" si="340"/>
        <v>13</v>
      </c>
      <c r="K970" t="str">
        <f t="shared" si="341"/>
        <v>42</v>
      </c>
      <c r="L970" t="str">
        <f t="shared" si="342"/>
        <v/>
      </c>
      <c r="M970" s="6" t="str">
        <f t="shared" si="343"/>
        <v/>
      </c>
      <c r="N970" t="str">
        <f t="shared" si="339"/>
        <v>Home</v>
      </c>
      <c r="O970">
        <v>10</v>
      </c>
      <c r="P970" t="s">
        <v>424</v>
      </c>
      <c r="Y970" t="str">
        <f t="shared" si="323"/>
        <v/>
      </c>
      <c r="Z970" t="str">
        <f t="shared" si="324"/>
        <v/>
      </c>
      <c r="AC970" t="str">
        <f t="shared" si="325"/>
        <v>Pass</v>
      </c>
      <c r="AD970" t="str">
        <f t="shared" si="326"/>
        <v>Pass_Completed</v>
      </c>
      <c r="AE970" t="str">
        <f t="shared" si="327"/>
        <v>Pass-Rim/Wrap</v>
      </c>
      <c r="AF970" t="str">
        <f t="shared" si="328"/>
        <v>Offensive</v>
      </c>
      <c r="AG970">
        <f t="shared" si="334"/>
        <v>18981</v>
      </c>
      <c r="AH970" t="str">
        <f t="shared" si="335"/>
        <v>Nelson</v>
      </c>
      <c r="AI970" t="str">
        <f t="shared" si="336"/>
        <v>Velodrome</v>
      </c>
      <c r="AJ970" s="18">
        <f t="shared" si="329"/>
        <v>0</v>
      </c>
      <c r="AP970" s="18">
        <f t="shared" si="330"/>
        <v>0</v>
      </c>
      <c r="AQ970">
        <f t="shared" si="331"/>
        <v>1080</v>
      </c>
      <c r="AR970" s="23">
        <f t="shared" si="332"/>
        <v>1338</v>
      </c>
      <c r="AS970">
        <f t="shared" si="337"/>
        <v>1333</v>
      </c>
      <c r="AT970" s="21">
        <f t="shared" si="338"/>
        <v>1338</v>
      </c>
      <c r="AU970" s="21"/>
      <c r="AV970" s="21"/>
      <c r="AW970" s="21"/>
    </row>
    <row r="971" spans="1:49" x14ac:dyDescent="0.2">
      <c r="A971">
        <v>525</v>
      </c>
      <c r="E971">
        <f t="shared" si="333"/>
        <v>2</v>
      </c>
      <c r="F971" s="5" t="s">
        <v>488</v>
      </c>
      <c r="G971" s="5" t="s">
        <v>512</v>
      </c>
      <c r="H971" s="5" t="s">
        <v>488</v>
      </c>
      <c r="I971" s="7" t="s">
        <v>511</v>
      </c>
      <c r="J971" t="str">
        <f t="shared" si="340"/>
        <v>13</v>
      </c>
      <c r="K971" t="str">
        <f t="shared" si="341"/>
        <v>40</v>
      </c>
      <c r="L971" t="str">
        <f t="shared" si="342"/>
        <v>13</v>
      </c>
      <c r="M971" s="6" t="str">
        <f t="shared" si="343"/>
        <v>39</v>
      </c>
      <c r="N971" t="s">
        <v>178</v>
      </c>
      <c r="O971">
        <v>10</v>
      </c>
      <c r="P971" t="s">
        <v>424</v>
      </c>
      <c r="Q971" t="s">
        <v>277</v>
      </c>
      <c r="R971" t="s">
        <v>201</v>
      </c>
      <c r="S971" t="s">
        <v>90</v>
      </c>
      <c r="Y971" t="str">
        <f t="shared" si="323"/>
        <v/>
      </c>
      <c r="Z971" t="str">
        <f t="shared" si="324"/>
        <v/>
      </c>
      <c r="AC971" t="str">
        <f t="shared" si="325"/>
        <v>Zone_Entry_Exit</v>
      </c>
      <c r="AD971" t="str">
        <f t="shared" si="326"/>
        <v>Zone_Exit</v>
      </c>
      <c r="AE971" t="str">
        <f t="shared" si="327"/>
        <v>ZoneExit-Rush</v>
      </c>
      <c r="AF971" t="str">
        <f t="shared" si="328"/>
        <v>Offensive</v>
      </c>
      <c r="AG971">
        <f t="shared" si="334"/>
        <v>18981</v>
      </c>
      <c r="AH971" t="str">
        <f t="shared" si="335"/>
        <v>Nelson</v>
      </c>
      <c r="AI971" t="str">
        <f t="shared" si="336"/>
        <v>Velodrome</v>
      </c>
      <c r="AJ971" s="18">
        <f t="shared" si="329"/>
        <v>1</v>
      </c>
      <c r="AP971" s="18">
        <f t="shared" si="330"/>
        <v>0</v>
      </c>
      <c r="AQ971">
        <f t="shared" si="331"/>
        <v>1080</v>
      </c>
      <c r="AR971" s="23">
        <f t="shared" si="332"/>
        <v>1340</v>
      </c>
      <c r="AS971">
        <f t="shared" si="337"/>
        <v>1335</v>
      </c>
      <c r="AT971" s="21">
        <f t="shared" si="338"/>
        <v>1341</v>
      </c>
      <c r="AU971" s="21"/>
      <c r="AV971" s="21"/>
      <c r="AW971" s="21"/>
    </row>
    <row r="972" spans="1:49" x14ac:dyDescent="0.2">
      <c r="A972">
        <v>526</v>
      </c>
      <c r="E972">
        <f t="shared" si="333"/>
        <v>2</v>
      </c>
      <c r="F972" s="5" t="s">
        <v>488</v>
      </c>
      <c r="G972" s="5" t="s">
        <v>511</v>
      </c>
      <c r="H972" s="5" t="s">
        <v>488</v>
      </c>
      <c r="I972" s="7" t="s">
        <v>509</v>
      </c>
      <c r="J972" t="str">
        <f t="shared" si="340"/>
        <v>13</v>
      </c>
      <c r="K972" t="str">
        <f t="shared" si="341"/>
        <v>39</v>
      </c>
      <c r="L972" t="str">
        <f t="shared" si="342"/>
        <v>13</v>
      </c>
      <c r="M972" s="6" t="str">
        <f t="shared" si="343"/>
        <v>37</v>
      </c>
      <c r="N972" t="s">
        <v>178</v>
      </c>
      <c r="O972">
        <v>10</v>
      </c>
      <c r="P972" t="s">
        <v>424</v>
      </c>
      <c r="Q972" t="s">
        <v>15</v>
      </c>
      <c r="Y972" t="str">
        <f t="shared" si="323"/>
        <v/>
      </c>
      <c r="Z972" t="str">
        <f t="shared" si="324"/>
        <v/>
      </c>
      <c r="AC972" t="str">
        <f t="shared" si="325"/>
        <v>Possession</v>
      </c>
      <c r="AD972" t="str">
        <f t="shared" si="326"/>
        <v/>
      </c>
      <c r="AE972" t="str">
        <f t="shared" si="327"/>
        <v/>
      </c>
      <c r="AF972" t="str">
        <f t="shared" si="328"/>
        <v>Offensive</v>
      </c>
      <c r="AG972">
        <f t="shared" si="334"/>
        <v>18981</v>
      </c>
      <c r="AH972" t="str">
        <f t="shared" si="335"/>
        <v>Nelson</v>
      </c>
      <c r="AI972" t="str">
        <f t="shared" si="336"/>
        <v>Velodrome</v>
      </c>
      <c r="AJ972" s="18">
        <f t="shared" si="329"/>
        <v>2</v>
      </c>
      <c r="AP972" s="18">
        <f t="shared" si="330"/>
        <v>0</v>
      </c>
      <c r="AQ972">
        <f t="shared" si="331"/>
        <v>1080</v>
      </c>
      <c r="AR972" s="23">
        <f t="shared" si="332"/>
        <v>1341</v>
      </c>
      <c r="AS972">
        <f t="shared" si="337"/>
        <v>1336</v>
      </c>
      <c r="AT972" s="21">
        <f t="shared" si="338"/>
        <v>1343</v>
      </c>
      <c r="AU972" s="21"/>
      <c r="AV972" s="21"/>
      <c r="AW972" s="21"/>
    </row>
    <row r="973" spans="1:49" x14ac:dyDescent="0.2">
      <c r="A973">
        <v>527</v>
      </c>
      <c r="E973">
        <f t="shared" si="333"/>
        <v>2</v>
      </c>
      <c r="F973" s="5" t="s">
        <v>488</v>
      </c>
      <c r="G973" s="5" t="s">
        <v>509</v>
      </c>
      <c r="H973" s="5" t="s">
        <v>488</v>
      </c>
      <c r="I973" s="7" t="s">
        <v>508</v>
      </c>
      <c r="J973" t="str">
        <f t="shared" si="340"/>
        <v>13</v>
      </c>
      <c r="K973" t="str">
        <f t="shared" si="341"/>
        <v>37</v>
      </c>
      <c r="L973" t="str">
        <f t="shared" si="342"/>
        <v>13</v>
      </c>
      <c r="M973" s="6" t="str">
        <f t="shared" si="343"/>
        <v>36</v>
      </c>
      <c r="N973" t="s">
        <v>178</v>
      </c>
      <c r="O973">
        <v>10</v>
      </c>
      <c r="P973" t="s">
        <v>424</v>
      </c>
      <c r="Q973" t="s">
        <v>277</v>
      </c>
      <c r="R973" t="s">
        <v>191</v>
      </c>
      <c r="S973" t="s">
        <v>87</v>
      </c>
      <c r="Y973" t="str">
        <f t="shared" si="323"/>
        <v/>
      </c>
      <c r="Z973" t="str">
        <f t="shared" si="324"/>
        <v/>
      </c>
      <c r="AC973" t="str">
        <f t="shared" si="325"/>
        <v>Zone_Entry_Exit</v>
      </c>
      <c r="AD973" t="str">
        <f t="shared" si="326"/>
        <v>Zone_Entry</v>
      </c>
      <c r="AE973" t="str">
        <f t="shared" si="327"/>
        <v>ZoneEntry-Rush</v>
      </c>
      <c r="AF973" t="str">
        <f t="shared" si="328"/>
        <v>Offensive</v>
      </c>
      <c r="AG973">
        <f t="shared" si="334"/>
        <v>18981</v>
      </c>
      <c r="AH973" t="str">
        <f t="shared" si="335"/>
        <v>Nelson</v>
      </c>
      <c r="AI973" t="str">
        <f t="shared" si="336"/>
        <v>Velodrome</v>
      </c>
      <c r="AJ973" s="18">
        <f t="shared" si="329"/>
        <v>1</v>
      </c>
      <c r="AP973" s="18">
        <f t="shared" si="330"/>
        <v>0</v>
      </c>
      <c r="AQ973">
        <f t="shared" si="331"/>
        <v>1080</v>
      </c>
      <c r="AR973" s="23">
        <f t="shared" si="332"/>
        <v>1343</v>
      </c>
      <c r="AS973">
        <f t="shared" si="337"/>
        <v>1338</v>
      </c>
      <c r="AT973" s="21">
        <f t="shared" si="338"/>
        <v>1344</v>
      </c>
      <c r="AU973" s="21"/>
      <c r="AV973" s="21"/>
      <c r="AW973" s="21"/>
    </row>
    <row r="974" spans="1:49" x14ac:dyDescent="0.2">
      <c r="A974">
        <v>527</v>
      </c>
      <c r="E974">
        <f t="shared" si="333"/>
        <v>2</v>
      </c>
      <c r="J974" t="str">
        <f t="shared" si="340"/>
        <v>13</v>
      </c>
      <c r="K974" t="str">
        <f t="shared" si="341"/>
        <v>37</v>
      </c>
      <c r="L974" t="str">
        <f t="shared" si="342"/>
        <v>13</v>
      </c>
      <c r="M974" s="6" t="str">
        <f t="shared" si="343"/>
        <v>36</v>
      </c>
      <c r="N974" t="str">
        <f t="shared" si="339"/>
        <v>Home</v>
      </c>
      <c r="O974">
        <v>9</v>
      </c>
      <c r="P974" t="s">
        <v>425</v>
      </c>
      <c r="Y974" t="str">
        <f t="shared" si="323"/>
        <v/>
      </c>
      <c r="Z974" t="str">
        <f t="shared" si="324"/>
        <v/>
      </c>
      <c r="AC974" t="str">
        <f t="shared" si="325"/>
        <v>Zone_Entry_Exit</v>
      </c>
      <c r="AD974" t="str">
        <f t="shared" si="326"/>
        <v>Zone_Entry</v>
      </c>
      <c r="AE974" t="str">
        <f t="shared" si="327"/>
        <v>ZoneEntry-Rush</v>
      </c>
      <c r="AF974" t="str">
        <f t="shared" si="328"/>
        <v>Defensive</v>
      </c>
      <c r="AG974">
        <f t="shared" si="334"/>
        <v>18981</v>
      </c>
      <c r="AH974" t="str">
        <f t="shared" si="335"/>
        <v>Nelson</v>
      </c>
      <c r="AI974" t="str">
        <f t="shared" si="336"/>
        <v>Velodrome</v>
      </c>
      <c r="AJ974" s="18">
        <f t="shared" si="329"/>
        <v>1</v>
      </c>
      <c r="AP974" s="18">
        <f t="shared" si="330"/>
        <v>0</v>
      </c>
      <c r="AQ974">
        <f t="shared" si="331"/>
        <v>1080</v>
      </c>
      <c r="AR974" s="23">
        <f t="shared" si="332"/>
        <v>1343</v>
      </c>
      <c r="AS974">
        <f t="shared" si="337"/>
        <v>1338</v>
      </c>
      <c r="AT974" s="21">
        <f t="shared" si="338"/>
        <v>1344</v>
      </c>
      <c r="AU974" s="21"/>
      <c r="AV974" s="21"/>
      <c r="AW974" s="21"/>
    </row>
    <row r="975" spans="1:49" x14ac:dyDescent="0.2">
      <c r="A975">
        <v>527</v>
      </c>
      <c r="E975">
        <f t="shared" si="333"/>
        <v>2</v>
      </c>
      <c r="J975" t="str">
        <f t="shared" si="340"/>
        <v>13</v>
      </c>
      <c r="K975" t="str">
        <f t="shared" si="341"/>
        <v>37</v>
      </c>
      <c r="L975" t="str">
        <f t="shared" si="342"/>
        <v>13</v>
      </c>
      <c r="M975" s="6" t="str">
        <f t="shared" si="343"/>
        <v>36</v>
      </c>
      <c r="N975" t="str">
        <f t="shared" si="339"/>
        <v>Home</v>
      </c>
      <c r="O975">
        <v>93</v>
      </c>
      <c r="P975" t="s">
        <v>425</v>
      </c>
      <c r="Y975" t="str">
        <f t="shared" si="323"/>
        <v/>
      </c>
      <c r="Z975" t="str">
        <f t="shared" si="324"/>
        <v/>
      </c>
      <c r="AC975" t="str">
        <f t="shared" si="325"/>
        <v>Zone_Entry_Exit</v>
      </c>
      <c r="AD975" t="str">
        <f t="shared" si="326"/>
        <v>Zone_Entry</v>
      </c>
      <c r="AE975" t="str">
        <f t="shared" si="327"/>
        <v>ZoneEntry-Rush</v>
      </c>
      <c r="AF975" t="str">
        <f t="shared" si="328"/>
        <v>Defensive</v>
      </c>
      <c r="AG975">
        <f t="shared" si="334"/>
        <v>18981</v>
      </c>
      <c r="AH975" t="str">
        <f t="shared" si="335"/>
        <v>Nelson</v>
      </c>
      <c r="AI975" t="str">
        <f t="shared" si="336"/>
        <v>Velodrome</v>
      </c>
      <c r="AJ975" s="18">
        <f t="shared" si="329"/>
        <v>1</v>
      </c>
      <c r="AP975" s="18">
        <f t="shared" si="330"/>
        <v>0</v>
      </c>
      <c r="AQ975">
        <f t="shared" si="331"/>
        <v>1080</v>
      </c>
      <c r="AR975" s="23">
        <f t="shared" si="332"/>
        <v>1343</v>
      </c>
      <c r="AS975">
        <f t="shared" si="337"/>
        <v>1338</v>
      </c>
      <c r="AT975" s="21">
        <f t="shared" si="338"/>
        <v>1344</v>
      </c>
      <c r="AU975" s="21"/>
      <c r="AV975" s="21"/>
      <c r="AW975" s="21"/>
    </row>
    <row r="976" spans="1:49" x14ac:dyDescent="0.2">
      <c r="A976">
        <v>528</v>
      </c>
      <c r="E976">
        <f t="shared" si="333"/>
        <v>2</v>
      </c>
      <c r="F976" s="5" t="s">
        <v>488</v>
      </c>
      <c r="G976" s="5" t="s">
        <v>508</v>
      </c>
      <c r="J976" t="str">
        <f t="shared" si="340"/>
        <v>13</v>
      </c>
      <c r="K976" t="str">
        <f t="shared" si="341"/>
        <v>36</v>
      </c>
      <c r="L976" t="str">
        <f t="shared" si="342"/>
        <v/>
      </c>
      <c r="M976" s="6" t="str">
        <f t="shared" si="343"/>
        <v/>
      </c>
      <c r="N976" t="s">
        <v>178</v>
      </c>
      <c r="O976">
        <v>10</v>
      </c>
      <c r="P976" t="s">
        <v>424</v>
      </c>
      <c r="Q976" t="s">
        <v>7</v>
      </c>
      <c r="R976" t="s">
        <v>208</v>
      </c>
      <c r="S976" t="s">
        <v>53</v>
      </c>
      <c r="Y976" t="str">
        <f t="shared" si="323"/>
        <v/>
      </c>
      <c r="Z976" t="str">
        <f t="shared" si="324"/>
        <v/>
      </c>
      <c r="AC976" t="str">
        <f t="shared" si="325"/>
        <v>Shot</v>
      </c>
      <c r="AD976" t="str">
        <f t="shared" si="326"/>
        <v>Shot_Blocked</v>
      </c>
      <c r="AE976" t="str">
        <f t="shared" si="327"/>
        <v>Shot-Wrist</v>
      </c>
      <c r="AF976" t="str">
        <f t="shared" si="328"/>
        <v>Offensive</v>
      </c>
      <c r="AG976">
        <f t="shared" si="334"/>
        <v>18981</v>
      </c>
      <c r="AH976" t="str">
        <f t="shared" si="335"/>
        <v>Nelson</v>
      </c>
      <c r="AI976" t="str">
        <f t="shared" si="336"/>
        <v>Velodrome</v>
      </c>
      <c r="AJ976" s="18">
        <f t="shared" si="329"/>
        <v>0</v>
      </c>
      <c r="AP976" s="18">
        <f t="shared" si="330"/>
        <v>0</v>
      </c>
      <c r="AQ976">
        <f t="shared" si="331"/>
        <v>1080</v>
      </c>
      <c r="AR976" s="23">
        <f t="shared" si="332"/>
        <v>1344</v>
      </c>
      <c r="AS976">
        <f t="shared" si="337"/>
        <v>1339</v>
      </c>
      <c r="AT976" s="21">
        <f t="shared" si="338"/>
        <v>1344</v>
      </c>
      <c r="AU976" s="21"/>
      <c r="AV976" s="21"/>
      <c r="AW976" s="21"/>
    </row>
    <row r="977" spans="1:49" x14ac:dyDescent="0.2">
      <c r="A977">
        <v>528</v>
      </c>
      <c r="E977">
        <f t="shared" si="333"/>
        <v>2</v>
      </c>
      <c r="J977" t="str">
        <f t="shared" si="340"/>
        <v>13</v>
      </c>
      <c r="K977" t="str">
        <f t="shared" si="341"/>
        <v>36</v>
      </c>
      <c r="L977" t="str">
        <f t="shared" si="342"/>
        <v/>
      </c>
      <c r="M977" s="6" t="str">
        <f t="shared" si="343"/>
        <v/>
      </c>
      <c r="N977" t="str">
        <f t="shared" si="339"/>
        <v>Home</v>
      </c>
      <c r="O977">
        <v>9</v>
      </c>
      <c r="P977" t="s">
        <v>425</v>
      </c>
      <c r="Y977" t="str">
        <f t="shared" si="323"/>
        <v/>
      </c>
      <c r="Z977" t="str">
        <f t="shared" si="324"/>
        <v/>
      </c>
      <c r="AC977" t="str">
        <f t="shared" si="325"/>
        <v>Shot</v>
      </c>
      <c r="AD977" t="str">
        <f t="shared" si="326"/>
        <v>Shot_Blocked</v>
      </c>
      <c r="AE977" t="str">
        <f t="shared" si="327"/>
        <v>Shot-Wrist</v>
      </c>
      <c r="AF977" t="str">
        <f t="shared" si="328"/>
        <v>Defensive</v>
      </c>
      <c r="AG977">
        <f t="shared" si="334"/>
        <v>18981</v>
      </c>
      <c r="AH977" t="str">
        <f t="shared" si="335"/>
        <v>Nelson</v>
      </c>
      <c r="AI977" t="str">
        <f t="shared" si="336"/>
        <v>Velodrome</v>
      </c>
      <c r="AJ977" s="18">
        <f t="shared" si="329"/>
        <v>0</v>
      </c>
      <c r="AP977" s="18">
        <f t="shared" si="330"/>
        <v>0</v>
      </c>
      <c r="AQ977">
        <f t="shared" si="331"/>
        <v>1080</v>
      </c>
      <c r="AR977" s="23">
        <f t="shared" si="332"/>
        <v>1344</v>
      </c>
      <c r="AS977">
        <f t="shared" si="337"/>
        <v>1339</v>
      </c>
      <c r="AT977" s="21">
        <f t="shared" si="338"/>
        <v>1344</v>
      </c>
      <c r="AU977" s="21"/>
      <c r="AV977" s="21"/>
      <c r="AW977" s="21"/>
    </row>
    <row r="978" spans="1:49" x14ac:dyDescent="0.2">
      <c r="A978">
        <v>529</v>
      </c>
      <c r="E978">
        <f t="shared" si="333"/>
        <v>2</v>
      </c>
      <c r="F978" s="5" t="s">
        <v>488</v>
      </c>
      <c r="G978" s="5" t="s">
        <v>506</v>
      </c>
      <c r="H978" s="5" t="s">
        <v>488</v>
      </c>
      <c r="I978" s="7" t="s">
        <v>503</v>
      </c>
      <c r="J978" t="str">
        <f t="shared" si="340"/>
        <v>13</v>
      </c>
      <c r="K978" t="str">
        <f t="shared" si="341"/>
        <v>34</v>
      </c>
      <c r="L978" t="str">
        <f t="shared" si="342"/>
        <v>13</v>
      </c>
      <c r="M978" s="6" t="str">
        <f t="shared" si="343"/>
        <v>31</v>
      </c>
      <c r="N978" t="s">
        <v>178</v>
      </c>
      <c r="O978">
        <v>44</v>
      </c>
      <c r="P978" t="s">
        <v>424</v>
      </c>
      <c r="Q978" t="s">
        <v>15</v>
      </c>
      <c r="Y978" t="str">
        <f t="shared" si="323"/>
        <v/>
      </c>
      <c r="Z978" t="str">
        <f t="shared" si="324"/>
        <v/>
      </c>
      <c r="AC978" t="str">
        <f t="shared" si="325"/>
        <v>Possession</v>
      </c>
      <c r="AD978" t="str">
        <f t="shared" si="326"/>
        <v/>
      </c>
      <c r="AE978" t="str">
        <f t="shared" si="327"/>
        <v/>
      </c>
      <c r="AF978" t="str">
        <f t="shared" si="328"/>
        <v>Offensive</v>
      </c>
      <c r="AG978">
        <f t="shared" si="334"/>
        <v>18981</v>
      </c>
      <c r="AH978" t="str">
        <f t="shared" si="335"/>
        <v>Nelson</v>
      </c>
      <c r="AI978" t="str">
        <f t="shared" si="336"/>
        <v>Velodrome</v>
      </c>
      <c r="AJ978" s="18">
        <f t="shared" si="329"/>
        <v>3</v>
      </c>
      <c r="AP978" s="18">
        <f t="shared" si="330"/>
        <v>0</v>
      </c>
      <c r="AQ978">
        <f t="shared" si="331"/>
        <v>1080</v>
      </c>
      <c r="AR978" s="23">
        <f t="shared" si="332"/>
        <v>1346</v>
      </c>
      <c r="AS978">
        <f t="shared" si="337"/>
        <v>1341</v>
      </c>
      <c r="AT978" s="21">
        <f t="shared" si="338"/>
        <v>1349</v>
      </c>
      <c r="AU978" s="21"/>
      <c r="AV978" s="21"/>
      <c r="AW978" s="21"/>
    </row>
    <row r="979" spans="1:49" x14ac:dyDescent="0.2">
      <c r="A979">
        <v>530</v>
      </c>
      <c r="E979">
        <f t="shared" si="333"/>
        <v>2</v>
      </c>
      <c r="F979" s="5" t="s">
        <v>488</v>
      </c>
      <c r="G979" s="5" t="s">
        <v>503</v>
      </c>
      <c r="J979" t="str">
        <f t="shared" si="340"/>
        <v>13</v>
      </c>
      <c r="K979" t="str">
        <f t="shared" si="341"/>
        <v>31</v>
      </c>
      <c r="L979" t="str">
        <f t="shared" si="342"/>
        <v/>
      </c>
      <c r="M979" s="6" t="str">
        <f t="shared" si="343"/>
        <v/>
      </c>
      <c r="N979" t="s">
        <v>179</v>
      </c>
      <c r="O979">
        <v>93</v>
      </c>
      <c r="P979" t="s">
        <v>424</v>
      </c>
      <c r="Q979" t="s">
        <v>247</v>
      </c>
      <c r="R979" t="s">
        <v>446</v>
      </c>
      <c r="S979" t="s">
        <v>158</v>
      </c>
      <c r="Y979" t="str">
        <f t="shared" si="323"/>
        <v/>
      </c>
      <c r="Z979" t="str">
        <f t="shared" si="324"/>
        <v/>
      </c>
      <c r="AC979" t="str">
        <f t="shared" si="325"/>
        <v>Play</v>
      </c>
      <c r="AD979" t="str">
        <f t="shared" si="326"/>
        <v>Play_Defensive</v>
      </c>
      <c r="AE979" t="str">
        <f t="shared" si="327"/>
        <v>PokeCheck</v>
      </c>
      <c r="AF979" t="str">
        <f t="shared" si="328"/>
        <v>Defensive</v>
      </c>
      <c r="AG979">
        <f t="shared" si="334"/>
        <v>18981</v>
      </c>
      <c r="AH979" t="str">
        <f t="shared" si="335"/>
        <v>Nelson</v>
      </c>
      <c r="AI979" t="str">
        <f t="shared" si="336"/>
        <v>Velodrome</v>
      </c>
      <c r="AJ979" s="18">
        <f t="shared" si="329"/>
        <v>0</v>
      </c>
      <c r="AP979" s="18">
        <f t="shared" si="330"/>
        <v>0</v>
      </c>
      <c r="AQ979">
        <f t="shared" si="331"/>
        <v>1080</v>
      </c>
      <c r="AR979" s="23">
        <f t="shared" si="332"/>
        <v>1349</v>
      </c>
      <c r="AS979">
        <f t="shared" si="337"/>
        <v>1344</v>
      </c>
      <c r="AT979" s="21">
        <f t="shared" si="338"/>
        <v>1349</v>
      </c>
      <c r="AU979" s="21"/>
      <c r="AV979" s="21"/>
      <c r="AW979" s="21"/>
    </row>
    <row r="980" spans="1:49" x14ac:dyDescent="0.2">
      <c r="A980">
        <v>530</v>
      </c>
      <c r="E980">
        <f t="shared" si="333"/>
        <v>2</v>
      </c>
      <c r="J980" t="str">
        <f t="shared" si="340"/>
        <v>13</v>
      </c>
      <c r="K980" t="str">
        <f t="shared" si="341"/>
        <v>31</v>
      </c>
      <c r="L980" t="str">
        <f t="shared" si="342"/>
        <v/>
      </c>
      <c r="M980" s="6" t="str">
        <f t="shared" si="343"/>
        <v/>
      </c>
      <c r="N980" t="str">
        <f t="shared" si="339"/>
        <v>Away</v>
      </c>
      <c r="O980">
        <v>44</v>
      </c>
      <c r="P980" t="s">
        <v>425</v>
      </c>
      <c r="Y980" t="str">
        <f t="shared" si="323"/>
        <v/>
      </c>
      <c r="Z980" t="str">
        <f t="shared" si="324"/>
        <v/>
      </c>
      <c r="AC980" t="str">
        <f t="shared" si="325"/>
        <v>Play</v>
      </c>
      <c r="AD980" t="str">
        <f t="shared" si="326"/>
        <v>Play_Defensive</v>
      </c>
      <c r="AE980" t="str">
        <f t="shared" si="327"/>
        <v>PokeCheck</v>
      </c>
      <c r="AF980" t="str">
        <f t="shared" si="328"/>
        <v>Offensive</v>
      </c>
      <c r="AG980">
        <f t="shared" si="334"/>
        <v>18981</v>
      </c>
      <c r="AH980" t="str">
        <f t="shared" si="335"/>
        <v>Nelson</v>
      </c>
      <c r="AI980" t="str">
        <f t="shared" si="336"/>
        <v>Velodrome</v>
      </c>
      <c r="AJ980" s="18">
        <f t="shared" si="329"/>
        <v>0</v>
      </c>
      <c r="AP980" s="18">
        <f t="shared" si="330"/>
        <v>0</v>
      </c>
      <c r="AQ980">
        <f t="shared" si="331"/>
        <v>1080</v>
      </c>
      <c r="AR980" s="23">
        <f t="shared" si="332"/>
        <v>1349</v>
      </c>
      <c r="AS980">
        <f t="shared" si="337"/>
        <v>1344</v>
      </c>
      <c r="AT980" s="21">
        <f t="shared" si="338"/>
        <v>1349</v>
      </c>
      <c r="AU980" s="21"/>
      <c r="AV980" s="21"/>
      <c r="AW980" s="21"/>
    </row>
    <row r="981" spans="1:49" x14ac:dyDescent="0.2">
      <c r="A981">
        <v>531</v>
      </c>
      <c r="E981">
        <f t="shared" si="333"/>
        <v>2</v>
      </c>
      <c r="F981" s="5" t="s">
        <v>488</v>
      </c>
      <c r="G981" s="5" t="s">
        <v>501</v>
      </c>
      <c r="J981" t="str">
        <f t="shared" si="340"/>
        <v>13</v>
      </c>
      <c r="K981" t="str">
        <f t="shared" si="341"/>
        <v>29</v>
      </c>
      <c r="L981" t="str">
        <f t="shared" si="342"/>
        <v/>
      </c>
      <c r="M981" s="6" t="str">
        <f t="shared" si="343"/>
        <v/>
      </c>
      <c r="N981" t="s">
        <v>178</v>
      </c>
      <c r="O981">
        <v>37</v>
      </c>
      <c r="P981" t="s">
        <v>424</v>
      </c>
      <c r="Q981" t="s">
        <v>277</v>
      </c>
      <c r="R981" t="s">
        <v>210</v>
      </c>
      <c r="S981" t="s">
        <v>93</v>
      </c>
      <c r="Y981" t="str">
        <f t="shared" si="323"/>
        <v/>
      </c>
      <c r="Z981" t="str">
        <f t="shared" si="324"/>
        <v/>
      </c>
      <c r="AC981" t="str">
        <f t="shared" si="325"/>
        <v>Zone_Entry_Exit</v>
      </c>
      <c r="AD981" t="str">
        <f t="shared" si="326"/>
        <v>Zone_Keepin</v>
      </c>
      <c r="AE981" t="str">
        <f t="shared" si="327"/>
        <v>Zone-KeepIn</v>
      </c>
      <c r="AF981" t="str">
        <f t="shared" si="328"/>
        <v>Offensive</v>
      </c>
      <c r="AG981">
        <f t="shared" si="334"/>
        <v>18981</v>
      </c>
      <c r="AH981" t="str">
        <f t="shared" si="335"/>
        <v>Nelson</v>
      </c>
      <c r="AI981" t="str">
        <f t="shared" si="336"/>
        <v>Velodrome</v>
      </c>
      <c r="AJ981" s="18">
        <f t="shared" si="329"/>
        <v>0</v>
      </c>
      <c r="AP981" s="18">
        <f t="shared" si="330"/>
        <v>0</v>
      </c>
      <c r="AQ981">
        <f t="shared" si="331"/>
        <v>1080</v>
      </c>
      <c r="AR981" s="23">
        <f t="shared" si="332"/>
        <v>1351</v>
      </c>
      <c r="AS981">
        <f t="shared" si="337"/>
        <v>1346</v>
      </c>
      <c r="AT981" s="21">
        <f t="shared" si="338"/>
        <v>1351</v>
      </c>
      <c r="AU981" s="21"/>
      <c r="AV981" s="21"/>
      <c r="AW981" s="21"/>
    </row>
    <row r="982" spans="1:49" x14ac:dyDescent="0.2">
      <c r="A982">
        <v>532</v>
      </c>
      <c r="E982">
        <f t="shared" si="333"/>
        <v>2</v>
      </c>
      <c r="F982" s="5" t="s">
        <v>488</v>
      </c>
      <c r="G982" s="5" t="s">
        <v>501</v>
      </c>
      <c r="H982" s="5" t="s">
        <v>488</v>
      </c>
      <c r="I982" s="7" t="s">
        <v>499</v>
      </c>
      <c r="J982" t="str">
        <f t="shared" si="340"/>
        <v>13</v>
      </c>
      <c r="K982" t="str">
        <f t="shared" si="341"/>
        <v>29</v>
      </c>
      <c r="L982" t="str">
        <f t="shared" si="342"/>
        <v>13</v>
      </c>
      <c r="M982" s="6" t="str">
        <f t="shared" si="343"/>
        <v>27</v>
      </c>
      <c r="N982" t="s">
        <v>178</v>
      </c>
      <c r="O982">
        <v>37</v>
      </c>
      <c r="P982" t="s">
        <v>424</v>
      </c>
      <c r="Q982" t="s">
        <v>15</v>
      </c>
      <c r="Y982" t="str">
        <f t="shared" si="323"/>
        <v/>
      </c>
      <c r="Z982" t="str">
        <f t="shared" si="324"/>
        <v/>
      </c>
      <c r="AC982" t="str">
        <f t="shared" si="325"/>
        <v>Possession</v>
      </c>
      <c r="AD982" t="str">
        <f t="shared" si="326"/>
        <v/>
      </c>
      <c r="AE982" t="str">
        <f t="shared" si="327"/>
        <v/>
      </c>
      <c r="AF982" t="str">
        <f t="shared" si="328"/>
        <v>Offensive</v>
      </c>
      <c r="AG982">
        <f t="shared" si="334"/>
        <v>18981</v>
      </c>
      <c r="AH982" t="str">
        <f t="shared" si="335"/>
        <v>Nelson</v>
      </c>
      <c r="AI982" t="str">
        <f t="shared" si="336"/>
        <v>Velodrome</v>
      </c>
      <c r="AJ982" s="18">
        <f t="shared" si="329"/>
        <v>2</v>
      </c>
      <c r="AP982" s="18">
        <f t="shared" si="330"/>
        <v>0</v>
      </c>
      <c r="AQ982">
        <f t="shared" si="331"/>
        <v>1080</v>
      </c>
      <c r="AR982" s="23">
        <f t="shared" si="332"/>
        <v>1351</v>
      </c>
      <c r="AS982">
        <f t="shared" si="337"/>
        <v>1346</v>
      </c>
      <c r="AT982" s="21">
        <f t="shared" si="338"/>
        <v>1353</v>
      </c>
      <c r="AU982" s="21"/>
      <c r="AV982" s="21"/>
      <c r="AW982" s="21"/>
    </row>
    <row r="983" spans="1:49" x14ac:dyDescent="0.2">
      <c r="A983">
        <v>532</v>
      </c>
      <c r="E983">
        <f t="shared" si="333"/>
        <v>2</v>
      </c>
      <c r="J983" t="str">
        <f t="shared" si="340"/>
        <v>13</v>
      </c>
      <c r="K983" t="str">
        <f t="shared" si="341"/>
        <v>29</v>
      </c>
      <c r="L983" t="str">
        <f t="shared" si="342"/>
        <v>13</v>
      </c>
      <c r="M983" s="6" t="str">
        <f t="shared" si="343"/>
        <v>27</v>
      </c>
      <c r="N983" t="str">
        <f t="shared" si="339"/>
        <v>Home</v>
      </c>
      <c r="O983">
        <v>49</v>
      </c>
      <c r="P983" t="s">
        <v>425</v>
      </c>
      <c r="Y983" t="str">
        <f t="shared" si="323"/>
        <v/>
      </c>
      <c r="Z983" t="str">
        <f t="shared" si="324"/>
        <v/>
      </c>
      <c r="AC983" t="str">
        <f t="shared" si="325"/>
        <v>Possession</v>
      </c>
      <c r="AD983" t="str">
        <f t="shared" si="326"/>
        <v/>
      </c>
      <c r="AE983" t="str">
        <f t="shared" si="327"/>
        <v/>
      </c>
      <c r="AF983" t="str">
        <f t="shared" si="328"/>
        <v>Defensive</v>
      </c>
      <c r="AG983">
        <f t="shared" si="334"/>
        <v>18981</v>
      </c>
      <c r="AH983" t="str">
        <f t="shared" si="335"/>
        <v>Nelson</v>
      </c>
      <c r="AI983" t="str">
        <f t="shared" si="336"/>
        <v>Velodrome</v>
      </c>
      <c r="AJ983" s="18">
        <f t="shared" si="329"/>
        <v>2</v>
      </c>
      <c r="AP983" s="18">
        <f t="shared" si="330"/>
        <v>0</v>
      </c>
      <c r="AQ983">
        <f t="shared" si="331"/>
        <v>1080</v>
      </c>
      <c r="AR983" s="23">
        <f t="shared" si="332"/>
        <v>1351</v>
      </c>
      <c r="AS983">
        <f t="shared" si="337"/>
        <v>1346</v>
      </c>
      <c r="AT983" s="21">
        <f t="shared" si="338"/>
        <v>1353</v>
      </c>
      <c r="AU983" s="21"/>
      <c r="AV983" s="21"/>
      <c r="AW983" s="21"/>
    </row>
    <row r="984" spans="1:49" x14ac:dyDescent="0.2">
      <c r="A984">
        <v>533</v>
      </c>
      <c r="E984">
        <f t="shared" si="333"/>
        <v>2</v>
      </c>
      <c r="F984" s="5" t="s">
        <v>488</v>
      </c>
      <c r="G984" s="5" t="s">
        <v>498</v>
      </c>
      <c r="J984" t="str">
        <f t="shared" si="340"/>
        <v>13</v>
      </c>
      <c r="K984" t="str">
        <f t="shared" si="341"/>
        <v>26</v>
      </c>
      <c r="L984" t="str">
        <f t="shared" si="342"/>
        <v/>
      </c>
      <c r="M984" s="6" t="str">
        <f t="shared" si="343"/>
        <v/>
      </c>
      <c r="N984" t="s">
        <v>178</v>
      </c>
      <c r="O984">
        <v>37</v>
      </c>
      <c r="P984" t="s">
        <v>424</v>
      </c>
      <c r="Q984" t="s">
        <v>8</v>
      </c>
      <c r="R984" t="s">
        <v>189</v>
      </c>
      <c r="S984" t="s">
        <v>68</v>
      </c>
      <c r="Y984" t="str">
        <f t="shared" si="323"/>
        <v/>
      </c>
      <c r="Z984" t="str">
        <f t="shared" si="324"/>
        <v/>
      </c>
      <c r="AC984" t="str">
        <f t="shared" si="325"/>
        <v>Pass</v>
      </c>
      <c r="AD984" t="str">
        <f t="shared" si="326"/>
        <v>Pass_Completed</v>
      </c>
      <c r="AE984" t="str">
        <f t="shared" si="327"/>
        <v>Pass-Rim/Wrap</v>
      </c>
      <c r="AF984" t="str">
        <f t="shared" si="328"/>
        <v>Offensive</v>
      </c>
      <c r="AG984">
        <f t="shared" si="334"/>
        <v>18981</v>
      </c>
      <c r="AH984" t="str">
        <f t="shared" si="335"/>
        <v>Nelson</v>
      </c>
      <c r="AI984" t="str">
        <f t="shared" si="336"/>
        <v>Velodrome</v>
      </c>
      <c r="AJ984" s="18">
        <f t="shared" si="329"/>
        <v>0</v>
      </c>
      <c r="AP984" s="18">
        <f t="shared" si="330"/>
        <v>0</v>
      </c>
      <c r="AQ984">
        <f t="shared" si="331"/>
        <v>1080</v>
      </c>
      <c r="AR984" s="23">
        <f t="shared" si="332"/>
        <v>1354</v>
      </c>
      <c r="AS984">
        <f t="shared" si="337"/>
        <v>1349</v>
      </c>
      <c r="AT984" s="21">
        <f t="shared" si="338"/>
        <v>1354</v>
      </c>
      <c r="AU984" s="21"/>
      <c r="AV984" s="21"/>
      <c r="AW984" s="21"/>
    </row>
    <row r="985" spans="1:49" x14ac:dyDescent="0.2">
      <c r="A985">
        <v>533</v>
      </c>
      <c r="E985">
        <f t="shared" si="333"/>
        <v>2</v>
      </c>
      <c r="J985" t="str">
        <f t="shared" si="340"/>
        <v>13</v>
      </c>
      <c r="K985" t="str">
        <f t="shared" si="341"/>
        <v>26</v>
      </c>
      <c r="L985" t="str">
        <f t="shared" si="342"/>
        <v/>
      </c>
      <c r="M985" s="6" t="str">
        <f t="shared" si="343"/>
        <v/>
      </c>
      <c r="N985" t="str">
        <f t="shared" si="339"/>
        <v>Home</v>
      </c>
      <c r="O985">
        <v>10</v>
      </c>
      <c r="P985" t="s">
        <v>424</v>
      </c>
      <c r="Y985" t="str">
        <f t="shared" si="323"/>
        <v/>
      </c>
      <c r="Z985" t="str">
        <f t="shared" si="324"/>
        <v/>
      </c>
      <c r="AC985" t="str">
        <f t="shared" si="325"/>
        <v>Pass</v>
      </c>
      <c r="AD985" t="str">
        <f t="shared" si="326"/>
        <v>Pass_Completed</v>
      </c>
      <c r="AE985" t="str">
        <f t="shared" si="327"/>
        <v>Pass-Rim/Wrap</v>
      </c>
      <c r="AF985" t="str">
        <f t="shared" si="328"/>
        <v>Offensive</v>
      </c>
      <c r="AG985">
        <f t="shared" si="334"/>
        <v>18981</v>
      </c>
      <c r="AH985" t="str">
        <f t="shared" si="335"/>
        <v>Nelson</v>
      </c>
      <c r="AI985" t="str">
        <f t="shared" si="336"/>
        <v>Velodrome</v>
      </c>
      <c r="AJ985" s="18">
        <f t="shared" si="329"/>
        <v>0</v>
      </c>
      <c r="AP985" s="18">
        <f t="shared" si="330"/>
        <v>0</v>
      </c>
      <c r="AQ985">
        <f t="shared" si="331"/>
        <v>1080</v>
      </c>
      <c r="AR985" s="23">
        <f t="shared" si="332"/>
        <v>1354</v>
      </c>
      <c r="AS985">
        <f t="shared" si="337"/>
        <v>1349</v>
      </c>
      <c r="AT985" s="21">
        <f t="shared" si="338"/>
        <v>1354</v>
      </c>
      <c r="AU985" s="21"/>
      <c r="AV985" s="21"/>
      <c r="AW985" s="21"/>
    </row>
    <row r="986" spans="1:49" x14ac:dyDescent="0.2">
      <c r="A986">
        <v>534</v>
      </c>
      <c r="E986">
        <f t="shared" si="333"/>
        <v>2</v>
      </c>
      <c r="F986" s="5" t="s">
        <v>488</v>
      </c>
      <c r="G986" s="5" t="s">
        <v>496</v>
      </c>
      <c r="J986" t="str">
        <f t="shared" si="340"/>
        <v>13</v>
      </c>
      <c r="K986" t="str">
        <f t="shared" si="341"/>
        <v>24</v>
      </c>
      <c r="L986" t="str">
        <f t="shared" si="342"/>
        <v/>
      </c>
      <c r="M986" s="6" t="str">
        <f t="shared" si="343"/>
        <v/>
      </c>
      <c r="N986" t="s">
        <v>178</v>
      </c>
      <c r="O986">
        <v>10</v>
      </c>
      <c r="P986" t="s">
        <v>424</v>
      </c>
      <c r="Q986" t="s">
        <v>8</v>
      </c>
      <c r="R986" t="s">
        <v>216</v>
      </c>
      <c r="S986" t="s">
        <v>69</v>
      </c>
      <c r="Y986" t="str">
        <f t="shared" si="323"/>
        <v/>
      </c>
      <c r="Z986" t="str">
        <f t="shared" si="324"/>
        <v/>
      </c>
      <c r="AC986" t="str">
        <f t="shared" si="325"/>
        <v>Pass</v>
      </c>
      <c r="AD986" t="str">
        <f t="shared" si="326"/>
        <v>Pass_Intercepted</v>
      </c>
      <c r="AE986" t="str">
        <f t="shared" si="327"/>
        <v>Pass-Backhand</v>
      </c>
      <c r="AF986" t="str">
        <f t="shared" si="328"/>
        <v>Offensive</v>
      </c>
      <c r="AG986">
        <f t="shared" si="334"/>
        <v>18981</v>
      </c>
      <c r="AH986" t="str">
        <f t="shared" si="335"/>
        <v>Nelson</v>
      </c>
      <c r="AI986" t="str">
        <f t="shared" si="336"/>
        <v>Velodrome</v>
      </c>
      <c r="AJ986" s="18">
        <f t="shared" si="329"/>
        <v>0</v>
      </c>
      <c r="AP986" s="18">
        <f t="shared" si="330"/>
        <v>0</v>
      </c>
      <c r="AQ986">
        <f t="shared" si="331"/>
        <v>1080</v>
      </c>
      <c r="AR986" s="23">
        <f t="shared" si="332"/>
        <v>1356</v>
      </c>
      <c r="AS986">
        <f t="shared" si="337"/>
        <v>1351</v>
      </c>
      <c r="AT986" s="21">
        <f t="shared" si="338"/>
        <v>1356</v>
      </c>
      <c r="AU986" s="21"/>
      <c r="AV986" s="21"/>
      <c r="AW986" s="21"/>
    </row>
    <row r="987" spans="1:49" x14ac:dyDescent="0.2">
      <c r="A987">
        <v>534</v>
      </c>
      <c r="E987">
        <f t="shared" si="333"/>
        <v>2</v>
      </c>
      <c r="J987" t="str">
        <f t="shared" si="340"/>
        <v>13</v>
      </c>
      <c r="K987" t="str">
        <f t="shared" si="341"/>
        <v>24</v>
      </c>
      <c r="L987" t="str">
        <f t="shared" si="342"/>
        <v/>
      </c>
      <c r="M987" s="6" t="str">
        <f t="shared" si="343"/>
        <v/>
      </c>
      <c r="N987" t="str">
        <f t="shared" si="339"/>
        <v>Home</v>
      </c>
      <c r="O987">
        <v>93</v>
      </c>
      <c r="P987" t="s">
        <v>425</v>
      </c>
      <c r="Y987" t="str">
        <f t="shared" si="323"/>
        <v/>
      </c>
      <c r="Z987" t="str">
        <f t="shared" si="324"/>
        <v/>
      </c>
      <c r="AC987" t="str">
        <f t="shared" si="325"/>
        <v>Pass</v>
      </c>
      <c r="AD987" t="str">
        <f t="shared" si="326"/>
        <v>Pass_Intercepted</v>
      </c>
      <c r="AE987" t="str">
        <f t="shared" si="327"/>
        <v>Pass-Backhand</v>
      </c>
      <c r="AF987" t="str">
        <f t="shared" si="328"/>
        <v>Defensive</v>
      </c>
      <c r="AG987">
        <f t="shared" si="334"/>
        <v>18981</v>
      </c>
      <c r="AH987" t="str">
        <f t="shared" si="335"/>
        <v>Nelson</v>
      </c>
      <c r="AI987" t="str">
        <f t="shared" si="336"/>
        <v>Velodrome</v>
      </c>
      <c r="AJ987" s="18">
        <f t="shared" si="329"/>
        <v>0</v>
      </c>
      <c r="AP987" s="18">
        <f t="shared" si="330"/>
        <v>0</v>
      </c>
      <c r="AQ987">
        <f t="shared" si="331"/>
        <v>1080</v>
      </c>
      <c r="AR987" s="23">
        <f t="shared" si="332"/>
        <v>1356</v>
      </c>
      <c r="AS987">
        <f t="shared" si="337"/>
        <v>1351</v>
      </c>
      <c r="AT987" s="21">
        <f t="shared" si="338"/>
        <v>1356</v>
      </c>
      <c r="AU987" s="21"/>
      <c r="AV987" s="21"/>
      <c r="AW987" s="21"/>
    </row>
    <row r="988" spans="1:49" x14ac:dyDescent="0.2">
      <c r="A988">
        <v>535</v>
      </c>
      <c r="E988">
        <f t="shared" si="333"/>
        <v>2</v>
      </c>
      <c r="F988" s="5" t="s">
        <v>488</v>
      </c>
      <c r="G988" s="5" t="s">
        <v>496</v>
      </c>
      <c r="J988" t="str">
        <f t="shared" si="340"/>
        <v>13</v>
      </c>
      <c r="K988" t="str">
        <f t="shared" si="341"/>
        <v>24</v>
      </c>
      <c r="L988" t="str">
        <f t="shared" si="342"/>
        <v/>
      </c>
      <c r="M988" s="6" t="str">
        <f t="shared" si="343"/>
        <v/>
      </c>
      <c r="N988" t="s">
        <v>178</v>
      </c>
      <c r="O988">
        <v>10</v>
      </c>
      <c r="P988" t="s">
        <v>424</v>
      </c>
      <c r="Q988" t="s">
        <v>10</v>
      </c>
      <c r="R988" t="s">
        <v>190</v>
      </c>
      <c r="S988" t="s">
        <v>75</v>
      </c>
      <c r="Y988" t="str">
        <f t="shared" si="323"/>
        <v/>
      </c>
      <c r="Z988" t="str">
        <f t="shared" si="324"/>
        <v/>
      </c>
      <c r="AC988" t="str">
        <f t="shared" si="325"/>
        <v>Turnover</v>
      </c>
      <c r="AD988" t="str">
        <f t="shared" si="326"/>
        <v>Turnover_Giveaway</v>
      </c>
      <c r="AE988" t="str">
        <f t="shared" si="327"/>
        <v>Giveaway-PassIntercepted</v>
      </c>
      <c r="AF988" t="str">
        <f t="shared" si="328"/>
        <v>Offensive</v>
      </c>
      <c r="AG988">
        <f t="shared" si="334"/>
        <v>18981</v>
      </c>
      <c r="AH988" t="str">
        <f t="shared" si="335"/>
        <v>Nelson</v>
      </c>
      <c r="AI988" t="str">
        <f t="shared" si="336"/>
        <v>Velodrome</v>
      </c>
      <c r="AJ988" s="18">
        <f t="shared" si="329"/>
        <v>0</v>
      </c>
      <c r="AP988" s="18">
        <f t="shared" si="330"/>
        <v>0</v>
      </c>
      <c r="AQ988">
        <f t="shared" si="331"/>
        <v>1080</v>
      </c>
      <c r="AR988" s="23">
        <f t="shared" si="332"/>
        <v>1356</v>
      </c>
      <c r="AS988">
        <f t="shared" si="337"/>
        <v>1351</v>
      </c>
      <c r="AT988" s="21">
        <f t="shared" si="338"/>
        <v>1356</v>
      </c>
      <c r="AU988" s="21"/>
      <c r="AV988" s="21"/>
      <c r="AW988" s="21"/>
    </row>
    <row r="989" spans="1:49" x14ac:dyDescent="0.2">
      <c r="A989">
        <v>535</v>
      </c>
      <c r="E989">
        <f t="shared" si="333"/>
        <v>2</v>
      </c>
      <c r="J989" t="str">
        <f t="shared" si="340"/>
        <v>13</v>
      </c>
      <c r="K989" t="str">
        <f t="shared" si="341"/>
        <v>24</v>
      </c>
      <c r="L989" t="str">
        <f t="shared" si="342"/>
        <v/>
      </c>
      <c r="M989" s="6" t="str">
        <f t="shared" si="343"/>
        <v/>
      </c>
      <c r="N989" t="str">
        <f t="shared" si="339"/>
        <v>Home</v>
      </c>
      <c r="O989">
        <v>93</v>
      </c>
      <c r="P989" t="s">
        <v>425</v>
      </c>
      <c r="Y989" t="str">
        <f t="shared" si="323"/>
        <v/>
      </c>
      <c r="Z989" t="str">
        <f t="shared" si="324"/>
        <v/>
      </c>
      <c r="AC989" t="str">
        <f t="shared" si="325"/>
        <v>Turnover</v>
      </c>
      <c r="AD989" t="str">
        <f t="shared" si="326"/>
        <v>Turnover_Giveaway</v>
      </c>
      <c r="AE989" t="str">
        <f t="shared" si="327"/>
        <v>Giveaway-PassIntercepted</v>
      </c>
      <c r="AF989" t="str">
        <f t="shared" si="328"/>
        <v>Defensive</v>
      </c>
      <c r="AG989">
        <f t="shared" si="334"/>
        <v>18981</v>
      </c>
      <c r="AH989" t="str">
        <f t="shared" si="335"/>
        <v>Nelson</v>
      </c>
      <c r="AI989" t="str">
        <f t="shared" si="336"/>
        <v>Velodrome</v>
      </c>
      <c r="AJ989" s="18">
        <f t="shared" si="329"/>
        <v>0</v>
      </c>
      <c r="AP989" s="18">
        <f t="shared" si="330"/>
        <v>0</v>
      </c>
      <c r="AQ989">
        <f t="shared" si="331"/>
        <v>1080</v>
      </c>
      <c r="AR989" s="23">
        <f t="shared" si="332"/>
        <v>1356</v>
      </c>
      <c r="AS989">
        <f t="shared" si="337"/>
        <v>1351</v>
      </c>
      <c r="AT989" s="21">
        <f t="shared" si="338"/>
        <v>1356</v>
      </c>
      <c r="AU989" s="21"/>
      <c r="AV989" s="21"/>
      <c r="AW989" s="21"/>
    </row>
    <row r="990" spans="1:49" x14ac:dyDescent="0.2">
      <c r="A990">
        <v>536</v>
      </c>
      <c r="E990">
        <f t="shared" si="333"/>
        <v>2</v>
      </c>
      <c r="F990" s="5" t="s">
        <v>488</v>
      </c>
      <c r="G990" s="5" t="s">
        <v>494</v>
      </c>
      <c r="J990" t="str">
        <f t="shared" si="340"/>
        <v>13</v>
      </c>
      <c r="K990" t="str">
        <f t="shared" si="341"/>
        <v>22</v>
      </c>
      <c r="L990" t="str">
        <f t="shared" si="342"/>
        <v/>
      </c>
      <c r="M990" s="6" t="str">
        <f t="shared" si="343"/>
        <v/>
      </c>
      <c r="N990" t="s">
        <v>179</v>
      </c>
      <c r="O990">
        <v>93</v>
      </c>
      <c r="P990" t="s">
        <v>424</v>
      </c>
      <c r="Q990" t="s">
        <v>10</v>
      </c>
      <c r="R990" t="s">
        <v>190</v>
      </c>
      <c r="S990" t="s">
        <v>422</v>
      </c>
      <c r="Y990" t="str">
        <f t="shared" si="323"/>
        <v/>
      </c>
      <c r="Z990" t="str">
        <f t="shared" si="324"/>
        <v/>
      </c>
      <c r="AC990" t="str">
        <f t="shared" si="325"/>
        <v>Turnover</v>
      </c>
      <c r="AD990" t="str">
        <f t="shared" si="326"/>
        <v>Turnover_Giveaway</v>
      </c>
      <c r="AE990" t="str">
        <f t="shared" si="327"/>
        <v>Giveaway-AttemptedZoneClear/Dump</v>
      </c>
      <c r="AF990" t="str">
        <f t="shared" si="328"/>
        <v>Offensive</v>
      </c>
      <c r="AG990">
        <f t="shared" si="334"/>
        <v>18981</v>
      </c>
      <c r="AH990" t="str">
        <f t="shared" si="335"/>
        <v>Nelson</v>
      </c>
      <c r="AI990" t="str">
        <f t="shared" si="336"/>
        <v>Velodrome</v>
      </c>
      <c r="AJ990" s="18">
        <f t="shared" si="329"/>
        <v>0</v>
      </c>
      <c r="AP990" s="18">
        <f t="shared" si="330"/>
        <v>0</v>
      </c>
      <c r="AQ990">
        <f t="shared" si="331"/>
        <v>1080</v>
      </c>
      <c r="AR990" s="23">
        <f t="shared" si="332"/>
        <v>1358</v>
      </c>
      <c r="AS990">
        <f t="shared" si="337"/>
        <v>1353</v>
      </c>
      <c r="AT990" s="21">
        <f t="shared" si="338"/>
        <v>1358</v>
      </c>
      <c r="AU990" s="21"/>
      <c r="AV990" s="21"/>
      <c r="AW990" s="21"/>
    </row>
    <row r="991" spans="1:49" x14ac:dyDescent="0.2">
      <c r="A991">
        <v>537</v>
      </c>
      <c r="E991">
        <f t="shared" si="333"/>
        <v>2</v>
      </c>
      <c r="F991" s="5" t="s">
        <v>488</v>
      </c>
      <c r="G991" s="5" t="s">
        <v>492</v>
      </c>
      <c r="J991" t="str">
        <f t="shared" si="340"/>
        <v>13</v>
      </c>
      <c r="K991" t="str">
        <f t="shared" si="341"/>
        <v>20</v>
      </c>
      <c r="L991" t="str">
        <f t="shared" si="342"/>
        <v/>
      </c>
      <c r="M991" s="6" t="str">
        <f t="shared" si="343"/>
        <v/>
      </c>
      <c r="N991" t="s">
        <v>178</v>
      </c>
      <c r="O991">
        <v>44</v>
      </c>
      <c r="P991" t="s">
        <v>424</v>
      </c>
      <c r="Q991" t="s">
        <v>10</v>
      </c>
      <c r="R991" t="s">
        <v>190</v>
      </c>
      <c r="S991" t="s">
        <v>448</v>
      </c>
      <c r="Y991" t="str">
        <f t="shared" si="323"/>
        <v/>
      </c>
      <c r="Z991" t="str">
        <f t="shared" si="324"/>
        <v/>
      </c>
      <c r="AC991" t="str">
        <f t="shared" si="325"/>
        <v>Turnover</v>
      </c>
      <c r="AD991" t="str">
        <f t="shared" si="326"/>
        <v>Turnover_Giveaway</v>
      </c>
      <c r="AE991" t="str">
        <f t="shared" si="327"/>
        <v>Giveaway-DumpInZone</v>
      </c>
      <c r="AF991" t="str">
        <f t="shared" si="328"/>
        <v>Offensive</v>
      </c>
      <c r="AG991">
        <f t="shared" si="334"/>
        <v>18981</v>
      </c>
      <c r="AH991" t="str">
        <f t="shared" si="335"/>
        <v>Nelson</v>
      </c>
      <c r="AI991" t="str">
        <f t="shared" si="336"/>
        <v>Velodrome</v>
      </c>
      <c r="AJ991" s="18">
        <f t="shared" si="329"/>
        <v>0</v>
      </c>
      <c r="AP991" s="18">
        <f t="shared" si="330"/>
        <v>0</v>
      </c>
      <c r="AQ991">
        <f t="shared" si="331"/>
        <v>1080</v>
      </c>
      <c r="AR991" s="23">
        <f t="shared" si="332"/>
        <v>1360</v>
      </c>
      <c r="AS991">
        <f t="shared" si="337"/>
        <v>1355</v>
      </c>
      <c r="AT991" s="21">
        <f t="shared" si="338"/>
        <v>1360</v>
      </c>
      <c r="AU991" s="21"/>
      <c r="AV991" s="21"/>
      <c r="AW991" s="21"/>
    </row>
    <row r="992" spans="1:49" x14ac:dyDescent="0.2">
      <c r="A992">
        <v>538</v>
      </c>
      <c r="E992">
        <f t="shared" si="333"/>
        <v>2</v>
      </c>
      <c r="F992" s="5" t="s">
        <v>488</v>
      </c>
      <c r="G992" s="5" t="s">
        <v>490</v>
      </c>
      <c r="J992" t="str">
        <f t="shared" si="340"/>
        <v>13</v>
      </c>
      <c r="K992" t="str">
        <f t="shared" si="341"/>
        <v>18</v>
      </c>
      <c r="L992" t="str">
        <f t="shared" si="342"/>
        <v/>
      </c>
      <c r="M992" s="6" t="str">
        <f t="shared" si="343"/>
        <v/>
      </c>
      <c r="N992" t="s">
        <v>179</v>
      </c>
      <c r="O992">
        <v>9</v>
      </c>
      <c r="P992" t="s">
        <v>424</v>
      </c>
      <c r="Q992" t="s">
        <v>10</v>
      </c>
      <c r="R992" t="s">
        <v>190</v>
      </c>
      <c r="S992" t="s">
        <v>422</v>
      </c>
      <c r="Y992" t="str">
        <f t="shared" si="323"/>
        <v/>
      </c>
      <c r="Z992" t="str">
        <f t="shared" si="324"/>
        <v/>
      </c>
      <c r="AC992" t="str">
        <f t="shared" si="325"/>
        <v>Turnover</v>
      </c>
      <c r="AD992" t="str">
        <f t="shared" si="326"/>
        <v>Turnover_Giveaway</v>
      </c>
      <c r="AE992" t="str">
        <f t="shared" si="327"/>
        <v>Giveaway-AttemptedZoneClear/Dump</v>
      </c>
      <c r="AF992" t="str">
        <f t="shared" si="328"/>
        <v>Offensive</v>
      </c>
      <c r="AG992">
        <f t="shared" si="334"/>
        <v>18981</v>
      </c>
      <c r="AH992" t="str">
        <f t="shared" si="335"/>
        <v>Nelson</v>
      </c>
      <c r="AI992" t="str">
        <f t="shared" si="336"/>
        <v>Velodrome</v>
      </c>
      <c r="AJ992" s="18">
        <f t="shared" si="329"/>
        <v>0</v>
      </c>
      <c r="AP992" s="18">
        <f t="shared" si="330"/>
        <v>0</v>
      </c>
      <c r="AQ992">
        <f t="shared" si="331"/>
        <v>1080</v>
      </c>
      <c r="AR992" s="23">
        <f t="shared" si="332"/>
        <v>1362</v>
      </c>
      <c r="AS992">
        <f t="shared" si="337"/>
        <v>1357</v>
      </c>
      <c r="AT992" s="21">
        <f t="shared" si="338"/>
        <v>1362</v>
      </c>
      <c r="AU992" s="21"/>
      <c r="AV992" s="21"/>
      <c r="AW992" s="21"/>
    </row>
    <row r="993" spans="1:49" x14ac:dyDescent="0.2">
      <c r="A993">
        <v>539</v>
      </c>
      <c r="E993">
        <f t="shared" si="333"/>
        <v>2</v>
      </c>
      <c r="F993" s="5" t="s">
        <v>488</v>
      </c>
      <c r="G993" s="5" t="s">
        <v>490</v>
      </c>
      <c r="J993" t="str">
        <f t="shared" si="340"/>
        <v>13</v>
      </c>
      <c r="K993" t="str">
        <f t="shared" si="341"/>
        <v>18</v>
      </c>
      <c r="L993" t="str">
        <f t="shared" si="342"/>
        <v/>
      </c>
      <c r="M993" s="6" t="str">
        <f t="shared" si="343"/>
        <v/>
      </c>
      <c r="N993" t="s">
        <v>178</v>
      </c>
      <c r="O993">
        <v>80</v>
      </c>
      <c r="P993" t="s">
        <v>424</v>
      </c>
      <c r="Q993" t="s">
        <v>277</v>
      </c>
      <c r="R993" t="s">
        <v>210</v>
      </c>
      <c r="S993" t="s">
        <v>93</v>
      </c>
      <c r="Y993" t="str">
        <f t="shared" si="323"/>
        <v/>
      </c>
      <c r="Z993" t="str">
        <f t="shared" si="324"/>
        <v/>
      </c>
      <c r="AC993" t="str">
        <f t="shared" si="325"/>
        <v>Zone_Entry_Exit</v>
      </c>
      <c r="AD993" t="str">
        <f t="shared" si="326"/>
        <v>Zone_Keepin</v>
      </c>
      <c r="AE993" t="str">
        <f t="shared" si="327"/>
        <v>Zone-KeepIn</v>
      </c>
      <c r="AF993" t="str">
        <f t="shared" si="328"/>
        <v>Offensive</v>
      </c>
      <c r="AG993">
        <f t="shared" si="334"/>
        <v>18981</v>
      </c>
      <c r="AH993" t="str">
        <f t="shared" si="335"/>
        <v>Nelson</v>
      </c>
      <c r="AI993" t="str">
        <f t="shared" si="336"/>
        <v>Velodrome</v>
      </c>
      <c r="AJ993" s="18">
        <f t="shared" si="329"/>
        <v>0</v>
      </c>
      <c r="AP993" s="18">
        <f t="shared" si="330"/>
        <v>0</v>
      </c>
      <c r="AQ993">
        <f t="shared" si="331"/>
        <v>1080</v>
      </c>
      <c r="AR993" s="23">
        <f t="shared" si="332"/>
        <v>1362</v>
      </c>
      <c r="AS993">
        <f t="shared" si="337"/>
        <v>1357</v>
      </c>
      <c r="AT993" s="21">
        <f t="shared" si="338"/>
        <v>1362</v>
      </c>
      <c r="AU993" s="21"/>
      <c r="AV993" s="21"/>
      <c r="AW993" s="21"/>
    </row>
    <row r="994" spans="1:49" x14ac:dyDescent="0.2">
      <c r="A994">
        <v>540</v>
      </c>
      <c r="E994">
        <f t="shared" si="333"/>
        <v>2</v>
      </c>
      <c r="F994" s="5" t="s">
        <v>488</v>
      </c>
      <c r="G994" s="5" t="s">
        <v>477</v>
      </c>
      <c r="H994" s="5" t="s">
        <v>488</v>
      </c>
      <c r="I994" s="7" t="s">
        <v>489</v>
      </c>
      <c r="J994" t="str">
        <f t="shared" si="340"/>
        <v>13</v>
      </c>
      <c r="K994" t="str">
        <f t="shared" si="341"/>
        <v>16</v>
      </c>
      <c r="L994" t="str">
        <f t="shared" si="342"/>
        <v>13</v>
      </c>
      <c r="M994" s="6" t="str">
        <f t="shared" si="343"/>
        <v>14</v>
      </c>
      <c r="N994" t="s">
        <v>178</v>
      </c>
      <c r="O994">
        <v>80</v>
      </c>
      <c r="P994" t="s">
        <v>424</v>
      </c>
      <c r="Q994" t="s">
        <v>15</v>
      </c>
      <c r="Y994" t="str">
        <f t="shared" si="323"/>
        <v/>
      </c>
      <c r="Z994" t="str">
        <f t="shared" si="324"/>
        <v/>
      </c>
      <c r="AC994" t="str">
        <f t="shared" si="325"/>
        <v>Possession</v>
      </c>
      <c r="AD994" t="str">
        <f t="shared" si="326"/>
        <v/>
      </c>
      <c r="AE994" t="str">
        <f t="shared" si="327"/>
        <v/>
      </c>
      <c r="AF994" t="str">
        <f t="shared" si="328"/>
        <v>Offensive</v>
      </c>
      <c r="AG994">
        <f t="shared" si="334"/>
        <v>18981</v>
      </c>
      <c r="AH994" t="str">
        <f t="shared" si="335"/>
        <v>Nelson</v>
      </c>
      <c r="AI994" t="str">
        <f t="shared" si="336"/>
        <v>Velodrome</v>
      </c>
      <c r="AJ994" s="18">
        <f t="shared" si="329"/>
        <v>2</v>
      </c>
      <c r="AP994" s="18">
        <f t="shared" si="330"/>
        <v>0</v>
      </c>
      <c r="AQ994">
        <f t="shared" si="331"/>
        <v>1080</v>
      </c>
      <c r="AR994" s="23">
        <f t="shared" si="332"/>
        <v>1364</v>
      </c>
      <c r="AS994">
        <f t="shared" si="337"/>
        <v>1359</v>
      </c>
      <c r="AT994" s="21">
        <f t="shared" si="338"/>
        <v>1366</v>
      </c>
      <c r="AU994" s="21"/>
      <c r="AV994" s="21"/>
      <c r="AW994" s="21"/>
    </row>
    <row r="995" spans="1:49" x14ac:dyDescent="0.2">
      <c r="A995">
        <v>541</v>
      </c>
      <c r="E995">
        <f t="shared" si="333"/>
        <v>2</v>
      </c>
      <c r="F995" s="5" t="s">
        <v>488</v>
      </c>
      <c r="G995" s="5" t="s">
        <v>489</v>
      </c>
      <c r="J995" t="str">
        <f t="shared" si="340"/>
        <v>13</v>
      </c>
      <c r="K995" t="str">
        <f t="shared" si="341"/>
        <v>14</v>
      </c>
      <c r="L995" t="str">
        <f t="shared" si="342"/>
        <v/>
      </c>
      <c r="M995" s="6" t="str">
        <f t="shared" si="343"/>
        <v/>
      </c>
      <c r="N995" t="s">
        <v>178</v>
      </c>
      <c r="O995">
        <v>80</v>
      </c>
      <c r="P995" t="s">
        <v>424</v>
      </c>
      <c r="Q995" t="s">
        <v>7</v>
      </c>
      <c r="R995" t="s">
        <v>222</v>
      </c>
      <c r="S995" t="s">
        <v>53</v>
      </c>
      <c r="Y995" t="str">
        <f t="shared" si="323"/>
        <v/>
      </c>
      <c r="Z995" t="str">
        <f t="shared" si="324"/>
        <v/>
      </c>
      <c r="AC995" t="str">
        <f t="shared" si="325"/>
        <v>Shot</v>
      </c>
      <c r="AD995" t="str">
        <f t="shared" si="326"/>
        <v>Shot_OnNetSaved</v>
      </c>
      <c r="AE995" t="str">
        <f t="shared" si="327"/>
        <v>Shot-Wrist</v>
      </c>
      <c r="AF995" t="str">
        <f t="shared" si="328"/>
        <v>Offensive</v>
      </c>
      <c r="AG995">
        <f t="shared" si="334"/>
        <v>18981</v>
      </c>
      <c r="AH995" t="str">
        <f t="shared" si="335"/>
        <v>Nelson</v>
      </c>
      <c r="AI995" t="str">
        <f t="shared" si="336"/>
        <v>Velodrome</v>
      </c>
      <c r="AJ995" s="18">
        <f t="shared" si="329"/>
        <v>0</v>
      </c>
      <c r="AP995" s="18">
        <f t="shared" si="330"/>
        <v>0</v>
      </c>
      <c r="AQ995">
        <f t="shared" si="331"/>
        <v>1080</v>
      </c>
      <c r="AR995" s="23">
        <f t="shared" si="332"/>
        <v>1366</v>
      </c>
      <c r="AS995">
        <f t="shared" si="337"/>
        <v>1361</v>
      </c>
      <c r="AT995" s="21">
        <f t="shared" si="338"/>
        <v>1366</v>
      </c>
      <c r="AU995" s="21"/>
      <c r="AV995" s="21"/>
      <c r="AW995" s="21"/>
    </row>
    <row r="996" spans="1:49" x14ac:dyDescent="0.2">
      <c r="A996">
        <v>541</v>
      </c>
      <c r="E996">
        <f t="shared" si="333"/>
        <v>2</v>
      </c>
      <c r="J996" t="str">
        <f t="shared" si="340"/>
        <v>13</v>
      </c>
      <c r="K996" t="str">
        <f t="shared" si="341"/>
        <v>14</v>
      </c>
      <c r="L996" t="str">
        <f t="shared" si="342"/>
        <v/>
      </c>
      <c r="M996" s="6" t="str">
        <f t="shared" si="343"/>
        <v/>
      </c>
      <c r="N996" t="str">
        <f t="shared" si="339"/>
        <v>Home</v>
      </c>
      <c r="O996">
        <v>10</v>
      </c>
      <c r="P996" t="s">
        <v>424</v>
      </c>
      <c r="Y996" t="str">
        <f t="shared" si="323"/>
        <v/>
      </c>
      <c r="Z996" t="str">
        <f t="shared" si="324"/>
        <v/>
      </c>
      <c r="AC996" t="str">
        <f t="shared" si="325"/>
        <v>Shot</v>
      </c>
      <c r="AD996" t="str">
        <f t="shared" si="326"/>
        <v>Shot_OnNetSaved</v>
      </c>
      <c r="AE996" t="str">
        <f t="shared" si="327"/>
        <v>Shot-Wrist</v>
      </c>
      <c r="AF996" t="str">
        <f t="shared" si="328"/>
        <v>Offensive</v>
      </c>
      <c r="AG996">
        <f t="shared" si="334"/>
        <v>18981</v>
      </c>
      <c r="AH996" t="str">
        <f t="shared" si="335"/>
        <v>Nelson</v>
      </c>
      <c r="AI996" t="str">
        <f t="shared" si="336"/>
        <v>Velodrome</v>
      </c>
      <c r="AJ996" s="18">
        <f t="shared" si="329"/>
        <v>0</v>
      </c>
      <c r="AP996" s="18">
        <f t="shared" si="330"/>
        <v>0</v>
      </c>
      <c r="AQ996">
        <f t="shared" si="331"/>
        <v>1080</v>
      </c>
      <c r="AR996" s="23">
        <f t="shared" si="332"/>
        <v>1366</v>
      </c>
      <c r="AS996">
        <f t="shared" si="337"/>
        <v>1361</v>
      </c>
      <c r="AT996" s="21">
        <f t="shared" si="338"/>
        <v>1366</v>
      </c>
      <c r="AU996" s="21"/>
      <c r="AV996" s="21"/>
      <c r="AW996" s="21"/>
    </row>
    <row r="997" spans="1:49" x14ac:dyDescent="0.2">
      <c r="A997">
        <v>541</v>
      </c>
      <c r="E997">
        <f t="shared" si="333"/>
        <v>2</v>
      </c>
      <c r="J997" t="str">
        <f t="shared" si="340"/>
        <v>13</v>
      </c>
      <c r="K997" t="str">
        <f t="shared" si="341"/>
        <v>14</v>
      </c>
      <c r="L997" t="str">
        <f t="shared" si="342"/>
        <v/>
      </c>
      <c r="M997" s="6" t="str">
        <f t="shared" si="343"/>
        <v/>
      </c>
      <c r="N997" t="str">
        <f t="shared" si="339"/>
        <v>Home</v>
      </c>
      <c r="O997">
        <v>42</v>
      </c>
      <c r="P997" t="s">
        <v>425</v>
      </c>
      <c r="Y997" t="str">
        <f t="shared" si="323"/>
        <v/>
      </c>
      <c r="Z997" t="str">
        <f t="shared" si="324"/>
        <v/>
      </c>
      <c r="AC997" t="str">
        <f t="shared" si="325"/>
        <v>Shot</v>
      </c>
      <c r="AD997" t="str">
        <f t="shared" si="326"/>
        <v>Shot_OnNetSaved</v>
      </c>
      <c r="AE997" t="str">
        <f t="shared" si="327"/>
        <v>Shot-Wrist</v>
      </c>
      <c r="AF997" t="str">
        <f t="shared" si="328"/>
        <v>Defensive</v>
      </c>
      <c r="AG997">
        <f t="shared" si="334"/>
        <v>18981</v>
      </c>
      <c r="AH997" t="str">
        <f t="shared" si="335"/>
        <v>Nelson</v>
      </c>
      <c r="AI997" t="str">
        <f t="shared" si="336"/>
        <v>Velodrome</v>
      </c>
      <c r="AJ997" s="18">
        <f t="shared" si="329"/>
        <v>0</v>
      </c>
      <c r="AP997" s="18">
        <f t="shared" si="330"/>
        <v>0</v>
      </c>
      <c r="AQ997">
        <f t="shared" si="331"/>
        <v>1080</v>
      </c>
      <c r="AR997" s="23">
        <f t="shared" si="332"/>
        <v>1366</v>
      </c>
      <c r="AS997">
        <f t="shared" si="337"/>
        <v>1361</v>
      </c>
      <c r="AT997" s="21">
        <f t="shared" si="338"/>
        <v>1366</v>
      </c>
      <c r="AU997" s="21"/>
      <c r="AV997" s="21"/>
      <c r="AW997" s="21"/>
    </row>
    <row r="998" spans="1:49" x14ac:dyDescent="0.2">
      <c r="A998">
        <v>541</v>
      </c>
      <c r="E998">
        <f t="shared" si="333"/>
        <v>2</v>
      </c>
      <c r="J998" t="str">
        <f t="shared" si="340"/>
        <v>13</v>
      </c>
      <c r="K998" t="str">
        <f t="shared" si="341"/>
        <v>14</v>
      </c>
      <c r="L998" t="str">
        <f t="shared" si="342"/>
        <v/>
      </c>
      <c r="M998" s="6" t="str">
        <f t="shared" si="343"/>
        <v/>
      </c>
      <c r="N998" t="str">
        <f t="shared" si="339"/>
        <v>Home</v>
      </c>
      <c r="O998">
        <v>39</v>
      </c>
      <c r="P998" t="s">
        <v>425</v>
      </c>
      <c r="Y998" t="str">
        <f t="shared" si="323"/>
        <v/>
      </c>
      <c r="Z998" t="str">
        <f t="shared" si="324"/>
        <v/>
      </c>
      <c r="AC998" t="str">
        <f t="shared" si="325"/>
        <v>Shot</v>
      </c>
      <c r="AD998" t="str">
        <f t="shared" si="326"/>
        <v>Shot_OnNetSaved</v>
      </c>
      <c r="AE998" t="str">
        <f t="shared" si="327"/>
        <v>Shot-Wrist</v>
      </c>
      <c r="AF998" t="str">
        <f t="shared" si="328"/>
        <v>Defensive</v>
      </c>
      <c r="AG998">
        <f t="shared" si="334"/>
        <v>18981</v>
      </c>
      <c r="AH998" t="str">
        <f t="shared" si="335"/>
        <v>Nelson</v>
      </c>
      <c r="AI998" t="str">
        <f t="shared" si="336"/>
        <v>Velodrome</v>
      </c>
      <c r="AJ998" s="18">
        <f t="shared" si="329"/>
        <v>0</v>
      </c>
      <c r="AP998" s="18">
        <f t="shared" si="330"/>
        <v>0</v>
      </c>
      <c r="AQ998">
        <f t="shared" si="331"/>
        <v>1080</v>
      </c>
      <c r="AR998" s="23">
        <f t="shared" si="332"/>
        <v>1366</v>
      </c>
      <c r="AS998">
        <f t="shared" si="337"/>
        <v>1361</v>
      </c>
      <c r="AT998" s="21">
        <f t="shared" si="338"/>
        <v>1366</v>
      </c>
      <c r="AU998" s="21"/>
      <c r="AV998" s="21"/>
      <c r="AW998" s="21"/>
    </row>
    <row r="999" spans="1:49" x14ac:dyDescent="0.2">
      <c r="A999">
        <v>542</v>
      </c>
      <c r="E999">
        <f t="shared" si="333"/>
        <v>2</v>
      </c>
      <c r="F999" s="5" t="s">
        <v>488</v>
      </c>
      <c r="G999" s="5" t="s">
        <v>489</v>
      </c>
      <c r="J999" t="str">
        <f t="shared" si="340"/>
        <v>13</v>
      </c>
      <c r="K999" t="str">
        <f t="shared" si="341"/>
        <v>14</v>
      </c>
      <c r="L999" t="str">
        <f t="shared" si="342"/>
        <v/>
      </c>
      <c r="M999" s="6" t="str">
        <f t="shared" si="343"/>
        <v/>
      </c>
      <c r="N999" t="s">
        <v>179</v>
      </c>
      <c r="O999">
        <v>39</v>
      </c>
      <c r="P999" t="s">
        <v>424</v>
      </c>
      <c r="Q999" t="s">
        <v>17</v>
      </c>
      <c r="R999" t="s">
        <v>196</v>
      </c>
      <c r="S999" t="s">
        <v>98</v>
      </c>
      <c r="Y999" t="str">
        <f t="shared" si="323"/>
        <v/>
      </c>
      <c r="Z999" t="str">
        <f t="shared" si="324"/>
        <v/>
      </c>
      <c r="AC999" t="str">
        <f t="shared" si="325"/>
        <v>Save</v>
      </c>
      <c r="AD999" t="str">
        <f t="shared" si="326"/>
        <v>Save_Rebound</v>
      </c>
      <c r="AE999" t="str">
        <f t="shared" si="327"/>
        <v>Save-LeftPad</v>
      </c>
      <c r="AF999" t="str">
        <f t="shared" si="328"/>
        <v>Defensive</v>
      </c>
      <c r="AG999">
        <f t="shared" si="334"/>
        <v>18981</v>
      </c>
      <c r="AH999" t="str">
        <f t="shared" si="335"/>
        <v>Nelson</v>
      </c>
      <c r="AI999" t="str">
        <f t="shared" si="336"/>
        <v>Velodrome</v>
      </c>
      <c r="AJ999" s="18">
        <f t="shared" si="329"/>
        <v>0</v>
      </c>
      <c r="AP999" s="18">
        <f t="shared" si="330"/>
        <v>0</v>
      </c>
      <c r="AQ999">
        <f t="shared" si="331"/>
        <v>1080</v>
      </c>
      <c r="AR999" s="23">
        <f t="shared" si="332"/>
        <v>1366</v>
      </c>
      <c r="AS999">
        <f t="shared" si="337"/>
        <v>1361</v>
      </c>
      <c r="AT999" s="21">
        <f t="shared" si="338"/>
        <v>1366</v>
      </c>
      <c r="AU999" s="21"/>
      <c r="AV999" s="21"/>
      <c r="AW999" s="21"/>
    </row>
    <row r="1000" spans="1:49" x14ac:dyDescent="0.2">
      <c r="A1000">
        <v>542</v>
      </c>
      <c r="E1000">
        <f t="shared" si="333"/>
        <v>2</v>
      </c>
      <c r="J1000" t="str">
        <f t="shared" si="340"/>
        <v>13</v>
      </c>
      <c r="K1000" t="str">
        <f t="shared" si="341"/>
        <v>14</v>
      </c>
      <c r="L1000" t="str">
        <f t="shared" si="342"/>
        <v/>
      </c>
      <c r="M1000" s="6" t="str">
        <f t="shared" si="343"/>
        <v/>
      </c>
      <c r="N1000" t="str">
        <f t="shared" si="339"/>
        <v>Away</v>
      </c>
      <c r="O1000">
        <v>42</v>
      </c>
      <c r="P1000" t="s">
        <v>424</v>
      </c>
      <c r="Y1000" t="str">
        <f t="shared" si="323"/>
        <v/>
      </c>
      <c r="Z1000" t="str">
        <f t="shared" si="324"/>
        <v/>
      </c>
      <c r="AC1000" t="str">
        <f t="shared" si="325"/>
        <v>Save</v>
      </c>
      <c r="AD1000" t="str">
        <f t="shared" si="326"/>
        <v>Save_Rebound</v>
      </c>
      <c r="AE1000" t="str">
        <f t="shared" si="327"/>
        <v>Save-LeftPad</v>
      </c>
      <c r="AF1000" t="str">
        <f t="shared" si="328"/>
        <v>Defensive</v>
      </c>
      <c r="AG1000">
        <f t="shared" si="334"/>
        <v>18981</v>
      </c>
      <c r="AH1000" t="str">
        <f t="shared" si="335"/>
        <v>Nelson</v>
      </c>
      <c r="AI1000" t="str">
        <f t="shared" si="336"/>
        <v>Velodrome</v>
      </c>
      <c r="AJ1000" s="18">
        <f t="shared" si="329"/>
        <v>0</v>
      </c>
      <c r="AP1000" s="18">
        <f t="shared" si="330"/>
        <v>0</v>
      </c>
      <c r="AQ1000">
        <f t="shared" si="331"/>
        <v>1080</v>
      </c>
      <c r="AR1000" s="23">
        <f t="shared" si="332"/>
        <v>1366</v>
      </c>
      <c r="AS1000">
        <f t="shared" si="337"/>
        <v>1361</v>
      </c>
      <c r="AT1000" s="21">
        <f t="shared" si="338"/>
        <v>1366</v>
      </c>
      <c r="AU1000" s="21"/>
      <c r="AV1000" s="21"/>
      <c r="AW1000" s="21"/>
    </row>
    <row r="1001" spans="1:49" x14ac:dyDescent="0.2">
      <c r="A1001">
        <v>542</v>
      </c>
      <c r="E1001">
        <f t="shared" si="333"/>
        <v>2</v>
      </c>
      <c r="J1001" t="str">
        <f t="shared" si="340"/>
        <v>13</v>
      </c>
      <c r="K1001" t="str">
        <f t="shared" si="341"/>
        <v>14</v>
      </c>
      <c r="L1001" t="str">
        <f t="shared" si="342"/>
        <v/>
      </c>
      <c r="M1001" s="6" t="str">
        <f t="shared" si="343"/>
        <v/>
      </c>
      <c r="N1001" t="str">
        <f t="shared" si="339"/>
        <v>Away</v>
      </c>
      <c r="O1001">
        <v>80</v>
      </c>
      <c r="P1001" t="s">
        <v>425</v>
      </c>
      <c r="Y1001" t="str">
        <f t="shared" si="323"/>
        <v/>
      </c>
      <c r="Z1001" t="str">
        <f t="shared" si="324"/>
        <v/>
      </c>
      <c r="AC1001" t="str">
        <f t="shared" si="325"/>
        <v>Save</v>
      </c>
      <c r="AD1001" t="str">
        <f t="shared" si="326"/>
        <v>Save_Rebound</v>
      </c>
      <c r="AE1001" t="str">
        <f t="shared" si="327"/>
        <v>Save-LeftPad</v>
      </c>
      <c r="AF1001" t="str">
        <f t="shared" si="328"/>
        <v>Offensive</v>
      </c>
      <c r="AG1001">
        <f t="shared" si="334"/>
        <v>18981</v>
      </c>
      <c r="AH1001" t="str">
        <f t="shared" si="335"/>
        <v>Nelson</v>
      </c>
      <c r="AI1001" t="str">
        <f t="shared" si="336"/>
        <v>Velodrome</v>
      </c>
      <c r="AJ1001" s="18">
        <f t="shared" si="329"/>
        <v>0</v>
      </c>
      <c r="AP1001" s="18">
        <f t="shared" si="330"/>
        <v>0</v>
      </c>
      <c r="AQ1001">
        <f t="shared" si="331"/>
        <v>1080</v>
      </c>
      <c r="AR1001" s="23">
        <f t="shared" si="332"/>
        <v>1366</v>
      </c>
      <c r="AS1001">
        <f t="shared" si="337"/>
        <v>1361</v>
      </c>
      <c r="AT1001" s="21">
        <f t="shared" si="338"/>
        <v>1366</v>
      </c>
      <c r="AU1001" s="21"/>
      <c r="AV1001" s="21"/>
      <c r="AW1001" s="21"/>
    </row>
    <row r="1002" spans="1:49" x14ac:dyDescent="0.2">
      <c r="A1002">
        <v>542</v>
      </c>
      <c r="E1002">
        <f t="shared" si="333"/>
        <v>2</v>
      </c>
      <c r="J1002" t="str">
        <f t="shared" si="340"/>
        <v>13</v>
      </c>
      <c r="K1002" t="str">
        <f t="shared" si="341"/>
        <v>14</v>
      </c>
      <c r="L1002" t="str">
        <f t="shared" si="342"/>
        <v/>
      </c>
      <c r="M1002" s="6" t="str">
        <f t="shared" si="343"/>
        <v/>
      </c>
      <c r="N1002" t="str">
        <f t="shared" si="339"/>
        <v>Away</v>
      </c>
      <c r="O1002">
        <v>10</v>
      </c>
      <c r="P1002" t="s">
        <v>425</v>
      </c>
      <c r="Y1002" t="str">
        <f t="shared" si="323"/>
        <v/>
      </c>
      <c r="Z1002" t="str">
        <f t="shared" si="324"/>
        <v/>
      </c>
      <c r="AC1002" t="str">
        <f t="shared" si="325"/>
        <v>Save</v>
      </c>
      <c r="AD1002" t="str">
        <f t="shared" si="326"/>
        <v>Save_Rebound</v>
      </c>
      <c r="AE1002" t="str">
        <f t="shared" si="327"/>
        <v>Save-LeftPad</v>
      </c>
      <c r="AF1002" t="str">
        <f t="shared" si="328"/>
        <v>Offensive</v>
      </c>
      <c r="AG1002">
        <f t="shared" si="334"/>
        <v>18981</v>
      </c>
      <c r="AH1002" t="str">
        <f t="shared" si="335"/>
        <v>Nelson</v>
      </c>
      <c r="AI1002" t="str">
        <f t="shared" si="336"/>
        <v>Velodrome</v>
      </c>
      <c r="AJ1002" s="18">
        <f t="shared" si="329"/>
        <v>0</v>
      </c>
      <c r="AP1002" s="18">
        <f t="shared" si="330"/>
        <v>0</v>
      </c>
      <c r="AQ1002">
        <f t="shared" si="331"/>
        <v>1080</v>
      </c>
      <c r="AR1002" s="23">
        <f t="shared" si="332"/>
        <v>1366</v>
      </c>
      <c r="AS1002">
        <f t="shared" si="337"/>
        <v>1361</v>
      </c>
      <c r="AT1002" s="21">
        <f t="shared" si="338"/>
        <v>1366</v>
      </c>
      <c r="AU1002" s="21"/>
      <c r="AV1002" s="21"/>
      <c r="AW1002" s="21"/>
    </row>
    <row r="1003" spans="1:49" x14ac:dyDescent="0.2">
      <c r="A1003">
        <v>543</v>
      </c>
      <c r="E1003">
        <f t="shared" si="333"/>
        <v>2</v>
      </c>
      <c r="F1003" s="5" t="s">
        <v>488</v>
      </c>
      <c r="G1003" s="5" t="s">
        <v>488</v>
      </c>
      <c r="J1003" t="str">
        <f t="shared" si="340"/>
        <v>13</v>
      </c>
      <c r="K1003" t="str">
        <f t="shared" si="341"/>
        <v>13</v>
      </c>
      <c r="L1003" t="str">
        <f t="shared" si="342"/>
        <v/>
      </c>
      <c r="M1003" s="6" t="str">
        <f t="shared" si="343"/>
        <v/>
      </c>
      <c r="N1003" t="s">
        <v>179</v>
      </c>
      <c r="O1003">
        <v>39</v>
      </c>
      <c r="P1003" t="s">
        <v>424</v>
      </c>
      <c r="Q1003" t="s">
        <v>270</v>
      </c>
      <c r="R1003" t="s">
        <v>272</v>
      </c>
      <c r="Y1003" t="str">
        <f t="shared" si="323"/>
        <v/>
      </c>
      <c r="Z1003" t="str">
        <f t="shared" si="324"/>
        <v/>
      </c>
      <c r="AC1003" t="str">
        <f t="shared" si="325"/>
        <v>Rebound</v>
      </c>
      <c r="AD1003" t="str">
        <f t="shared" si="326"/>
        <v>Rebound_OppTeamRecovered</v>
      </c>
      <c r="AE1003" t="str">
        <f t="shared" si="327"/>
        <v/>
      </c>
      <c r="AF1003" t="str">
        <f t="shared" si="328"/>
        <v>Offensive</v>
      </c>
      <c r="AG1003">
        <f t="shared" si="334"/>
        <v>18981</v>
      </c>
      <c r="AH1003" t="str">
        <f t="shared" si="335"/>
        <v>Nelson</v>
      </c>
      <c r="AI1003" t="str">
        <f t="shared" si="336"/>
        <v>Velodrome</v>
      </c>
      <c r="AJ1003" s="18">
        <f t="shared" si="329"/>
        <v>0</v>
      </c>
      <c r="AP1003" s="18">
        <f t="shared" si="330"/>
        <v>0</v>
      </c>
      <c r="AQ1003">
        <f t="shared" si="331"/>
        <v>1080</v>
      </c>
      <c r="AR1003" s="23">
        <f t="shared" si="332"/>
        <v>1367</v>
      </c>
      <c r="AS1003">
        <f t="shared" si="337"/>
        <v>1362</v>
      </c>
      <c r="AT1003" s="21">
        <f t="shared" si="338"/>
        <v>1367</v>
      </c>
      <c r="AU1003" s="21"/>
      <c r="AV1003" s="21"/>
      <c r="AW1003" s="21"/>
    </row>
    <row r="1004" spans="1:49" x14ac:dyDescent="0.2">
      <c r="A1004">
        <v>544</v>
      </c>
      <c r="E1004">
        <f t="shared" si="333"/>
        <v>2</v>
      </c>
      <c r="F1004" s="5" t="s">
        <v>488</v>
      </c>
      <c r="G1004" s="5" t="s">
        <v>487</v>
      </c>
      <c r="H1004" s="5" t="s">
        <v>488</v>
      </c>
      <c r="I1004" s="7" t="s">
        <v>485</v>
      </c>
      <c r="J1004" t="str">
        <f t="shared" si="340"/>
        <v>13</v>
      </c>
      <c r="K1004" t="str">
        <f t="shared" si="341"/>
        <v>12</v>
      </c>
      <c r="L1004" t="str">
        <f t="shared" si="342"/>
        <v>13</v>
      </c>
      <c r="M1004" s="6" t="str">
        <f t="shared" si="343"/>
        <v>10</v>
      </c>
      <c r="N1004" t="s">
        <v>179</v>
      </c>
      <c r="O1004">
        <v>37</v>
      </c>
      <c r="P1004" t="s">
        <v>424</v>
      </c>
      <c r="Q1004" t="s">
        <v>15</v>
      </c>
      <c r="Y1004" t="str">
        <f t="shared" si="323"/>
        <v/>
      </c>
      <c r="Z1004" t="str">
        <f t="shared" si="324"/>
        <v/>
      </c>
      <c r="AC1004" t="str">
        <f t="shared" si="325"/>
        <v>Possession</v>
      </c>
      <c r="AD1004" t="str">
        <f t="shared" si="326"/>
        <v/>
      </c>
      <c r="AE1004" t="str">
        <f t="shared" si="327"/>
        <v/>
      </c>
      <c r="AF1004" t="str">
        <f t="shared" si="328"/>
        <v>Offensive</v>
      </c>
      <c r="AG1004">
        <f t="shared" si="334"/>
        <v>18981</v>
      </c>
      <c r="AH1004" t="str">
        <f t="shared" si="335"/>
        <v>Nelson</v>
      </c>
      <c r="AI1004" t="str">
        <f t="shared" si="336"/>
        <v>Velodrome</v>
      </c>
      <c r="AJ1004" s="18">
        <f t="shared" si="329"/>
        <v>2</v>
      </c>
      <c r="AP1004" s="18">
        <f t="shared" si="330"/>
        <v>0</v>
      </c>
      <c r="AQ1004">
        <f t="shared" si="331"/>
        <v>1080</v>
      </c>
      <c r="AR1004" s="23">
        <f t="shared" si="332"/>
        <v>1368</v>
      </c>
      <c r="AS1004">
        <f t="shared" si="337"/>
        <v>1363</v>
      </c>
      <c r="AT1004" s="21">
        <f t="shared" si="338"/>
        <v>1370</v>
      </c>
      <c r="AU1004" s="21"/>
      <c r="AV1004" s="21"/>
      <c r="AW1004" s="21"/>
    </row>
    <row r="1005" spans="1:49" x14ac:dyDescent="0.2">
      <c r="A1005">
        <v>545</v>
      </c>
      <c r="E1005">
        <f t="shared" si="333"/>
        <v>2</v>
      </c>
      <c r="F1005" s="5" t="s">
        <v>488</v>
      </c>
      <c r="G1005" s="5" t="s">
        <v>484</v>
      </c>
      <c r="J1005" t="str">
        <f t="shared" si="340"/>
        <v>13</v>
      </c>
      <c r="K1005" t="str">
        <f t="shared" si="341"/>
        <v>09</v>
      </c>
      <c r="L1005" t="str">
        <f t="shared" si="342"/>
        <v/>
      </c>
      <c r="M1005" s="6" t="str">
        <f t="shared" si="343"/>
        <v/>
      </c>
      <c r="N1005" t="s">
        <v>178</v>
      </c>
      <c r="O1005">
        <v>37</v>
      </c>
      <c r="P1005" t="s">
        <v>424</v>
      </c>
      <c r="Q1005" t="s">
        <v>8</v>
      </c>
      <c r="R1005" t="s">
        <v>189</v>
      </c>
      <c r="S1005" t="s">
        <v>70</v>
      </c>
      <c r="Y1005" t="str">
        <f t="shared" si="323"/>
        <v/>
      </c>
      <c r="Z1005" t="str">
        <f t="shared" si="324"/>
        <v/>
      </c>
      <c r="AC1005" t="str">
        <f t="shared" si="325"/>
        <v>Pass</v>
      </c>
      <c r="AD1005" t="str">
        <f t="shared" si="326"/>
        <v>Pass_Completed</v>
      </c>
      <c r="AE1005" t="str">
        <f t="shared" si="327"/>
        <v>Pass-Forehand</v>
      </c>
      <c r="AF1005" t="str">
        <f t="shared" si="328"/>
        <v>Offensive</v>
      </c>
      <c r="AG1005">
        <f t="shared" si="334"/>
        <v>18981</v>
      </c>
      <c r="AH1005" t="str">
        <f t="shared" si="335"/>
        <v>Nelson</v>
      </c>
      <c r="AI1005" t="str">
        <f t="shared" si="336"/>
        <v>Velodrome</v>
      </c>
      <c r="AJ1005" s="18">
        <f t="shared" si="329"/>
        <v>0</v>
      </c>
      <c r="AP1005" s="18">
        <f t="shared" si="330"/>
        <v>0</v>
      </c>
      <c r="AQ1005">
        <f t="shared" si="331"/>
        <v>1080</v>
      </c>
      <c r="AR1005" s="23">
        <f t="shared" si="332"/>
        <v>1371</v>
      </c>
      <c r="AS1005">
        <f t="shared" si="337"/>
        <v>1366</v>
      </c>
      <c r="AT1005" s="21">
        <f t="shared" si="338"/>
        <v>1371</v>
      </c>
      <c r="AU1005" s="21"/>
      <c r="AV1005" s="21"/>
      <c r="AW1005" s="21"/>
    </row>
    <row r="1006" spans="1:49" x14ac:dyDescent="0.2">
      <c r="A1006">
        <v>545</v>
      </c>
      <c r="E1006">
        <f t="shared" si="333"/>
        <v>2</v>
      </c>
      <c r="J1006" t="str">
        <f t="shared" si="340"/>
        <v>13</v>
      </c>
      <c r="K1006" t="str">
        <f t="shared" si="341"/>
        <v>09</v>
      </c>
      <c r="L1006" t="str">
        <f t="shared" si="342"/>
        <v/>
      </c>
      <c r="M1006" s="6" t="str">
        <f t="shared" si="343"/>
        <v/>
      </c>
      <c r="N1006" t="str">
        <f t="shared" si="339"/>
        <v>Home</v>
      </c>
      <c r="O1006">
        <v>44</v>
      </c>
      <c r="P1006" t="s">
        <v>424</v>
      </c>
      <c r="Y1006" t="str">
        <f t="shared" si="323"/>
        <v/>
      </c>
      <c r="Z1006" t="str">
        <f t="shared" si="324"/>
        <v/>
      </c>
      <c r="AC1006" t="str">
        <f t="shared" si="325"/>
        <v>Pass</v>
      </c>
      <c r="AD1006" t="str">
        <f t="shared" si="326"/>
        <v>Pass_Completed</v>
      </c>
      <c r="AE1006" t="str">
        <f t="shared" si="327"/>
        <v>Pass-Forehand</v>
      </c>
      <c r="AF1006" t="str">
        <f t="shared" si="328"/>
        <v>Offensive</v>
      </c>
      <c r="AG1006">
        <f t="shared" si="334"/>
        <v>18981</v>
      </c>
      <c r="AH1006" t="str">
        <f t="shared" si="335"/>
        <v>Nelson</v>
      </c>
      <c r="AI1006" t="str">
        <f t="shared" si="336"/>
        <v>Velodrome</v>
      </c>
      <c r="AJ1006" s="18">
        <f t="shared" si="329"/>
        <v>0</v>
      </c>
      <c r="AP1006" s="18">
        <f t="shared" si="330"/>
        <v>0</v>
      </c>
      <c r="AQ1006">
        <f t="shared" si="331"/>
        <v>1080</v>
      </c>
      <c r="AR1006" s="23">
        <f t="shared" si="332"/>
        <v>1371</v>
      </c>
      <c r="AS1006">
        <f t="shared" si="337"/>
        <v>1366</v>
      </c>
      <c r="AT1006" s="21">
        <f t="shared" si="338"/>
        <v>1371</v>
      </c>
      <c r="AU1006" s="21"/>
      <c r="AV1006" s="21"/>
      <c r="AW1006" s="21"/>
    </row>
    <row r="1007" spans="1:49" x14ac:dyDescent="0.2">
      <c r="A1007">
        <v>546</v>
      </c>
      <c r="E1007">
        <f t="shared" si="333"/>
        <v>2</v>
      </c>
      <c r="F1007" s="5" t="s">
        <v>488</v>
      </c>
      <c r="G1007" s="5" t="s">
        <v>483</v>
      </c>
      <c r="J1007" t="str">
        <f t="shared" si="340"/>
        <v>13</v>
      </c>
      <c r="K1007" t="str">
        <f t="shared" si="341"/>
        <v>08</v>
      </c>
      <c r="L1007" t="str">
        <f t="shared" si="342"/>
        <v/>
      </c>
      <c r="M1007" s="6" t="str">
        <f t="shared" si="343"/>
        <v/>
      </c>
      <c r="N1007" t="s">
        <v>178</v>
      </c>
      <c r="O1007">
        <v>44</v>
      </c>
      <c r="P1007" t="s">
        <v>424</v>
      </c>
      <c r="Q1007" t="s">
        <v>7</v>
      </c>
      <c r="R1007" t="s">
        <v>222</v>
      </c>
      <c r="S1007" t="s">
        <v>53</v>
      </c>
      <c r="Y1007" t="str">
        <f t="shared" si="323"/>
        <v/>
      </c>
      <c r="Z1007" t="str">
        <f t="shared" si="324"/>
        <v/>
      </c>
      <c r="AC1007" t="str">
        <f t="shared" si="325"/>
        <v>Shot</v>
      </c>
      <c r="AD1007" t="str">
        <f t="shared" si="326"/>
        <v>Shot_OnNetSaved</v>
      </c>
      <c r="AE1007" t="str">
        <f t="shared" si="327"/>
        <v>Shot-Wrist</v>
      </c>
      <c r="AF1007" t="str">
        <f t="shared" si="328"/>
        <v>Offensive</v>
      </c>
      <c r="AG1007">
        <f t="shared" si="334"/>
        <v>18981</v>
      </c>
      <c r="AH1007" t="str">
        <f t="shared" si="335"/>
        <v>Nelson</v>
      </c>
      <c r="AI1007" t="str">
        <f t="shared" si="336"/>
        <v>Velodrome</v>
      </c>
      <c r="AJ1007" s="18">
        <f t="shared" si="329"/>
        <v>0</v>
      </c>
      <c r="AP1007" s="18">
        <f t="shared" si="330"/>
        <v>0</v>
      </c>
      <c r="AQ1007">
        <f t="shared" si="331"/>
        <v>1080</v>
      </c>
      <c r="AR1007" s="23">
        <f t="shared" si="332"/>
        <v>1372</v>
      </c>
      <c r="AS1007">
        <f t="shared" si="337"/>
        <v>1367</v>
      </c>
      <c r="AT1007" s="21">
        <f t="shared" si="338"/>
        <v>1372</v>
      </c>
      <c r="AU1007" s="21"/>
      <c r="AV1007" s="21"/>
      <c r="AW1007" s="21"/>
    </row>
    <row r="1008" spans="1:49" x14ac:dyDescent="0.2">
      <c r="A1008">
        <v>546</v>
      </c>
      <c r="E1008">
        <f t="shared" si="333"/>
        <v>2</v>
      </c>
      <c r="J1008" t="str">
        <f t="shared" si="340"/>
        <v>13</v>
      </c>
      <c r="K1008" t="str">
        <f t="shared" si="341"/>
        <v>08</v>
      </c>
      <c r="L1008" t="str">
        <f t="shared" si="342"/>
        <v/>
      </c>
      <c r="M1008" s="6" t="str">
        <f t="shared" si="343"/>
        <v/>
      </c>
      <c r="N1008" t="str">
        <f t="shared" si="339"/>
        <v>Home</v>
      </c>
      <c r="O1008">
        <v>39</v>
      </c>
      <c r="P1008" t="s">
        <v>425</v>
      </c>
      <c r="Y1008" t="str">
        <f t="shared" si="323"/>
        <v/>
      </c>
      <c r="Z1008" t="str">
        <f t="shared" si="324"/>
        <v/>
      </c>
      <c r="AC1008" t="str">
        <f t="shared" si="325"/>
        <v>Shot</v>
      </c>
      <c r="AD1008" t="str">
        <f t="shared" si="326"/>
        <v>Shot_OnNetSaved</v>
      </c>
      <c r="AE1008" t="str">
        <f t="shared" si="327"/>
        <v>Shot-Wrist</v>
      </c>
      <c r="AF1008" t="str">
        <f t="shared" si="328"/>
        <v>Defensive</v>
      </c>
      <c r="AG1008">
        <f t="shared" si="334"/>
        <v>18981</v>
      </c>
      <c r="AH1008" t="str">
        <f t="shared" si="335"/>
        <v>Nelson</v>
      </c>
      <c r="AI1008" t="str">
        <f t="shared" si="336"/>
        <v>Velodrome</v>
      </c>
      <c r="AJ1008" s="18">
        <f t="shared" si="329"/>
        <v>0</v>
      </c>
      <c r="AP1008" s="18">
        <f t="shared" si="330"/>
        <v>0</v>
      </c>
      <c r="AQ1008">
        <f t="shared" si="331"/>
        <v>1080</v>
      </c>
      <c r="AR1008" s="23">
        <f t="shared" si="332"/>
        <v>1372</v>
      </c>
      <c r="AS1008">
        <f t="shared" si="337"/>
        <v>1367</v>
      </c>
      <c r="AT1008" s="21">
        <f t="shared" si="338"/>
        <v>1372</v>
      </c>
      <c r="AU1008" s="21"/>
      <c r="AV1008" s="21"/>
      <c r="AW1008" s="21"/>
    </row>
    <row r="1009" spans="1:49" x14ac:dyDescent="0.2">
      <c r="A1009">
        <v>546</v>
      </c>
      <c r="E1009">
        <f t="shared" si="333"/>
        <v>2</v>
      </c>
      <c r="J1009" t="str">
        <f t="shared" si="340"/>
        <v>13</v>
      </c>
      <c r="K1009" t="str">
        <f t="shared" si="341"/>
        <v>08</v>
      </c>
      <c r="L1009" t="str">
        <f t="shared" si="342"/>
        <v/>
      </c>
      <c r="M1009" s="6" t="str">
        <f t="shared" si="343"/>
        <v/>
      </c>
      <c r="N1009" t="str">
        <f t="shared" si="339"/>
        <v>Home</v>
      </c>
      <c r="O1009">
        <v>9</v>
      </c>
      <c r="P1009" t="s">
        <v>425</v>
      </c>
      <c r="Y1009" t="str">
        <f t="shared" si="323"/>
        <v/>
      </c>
      <c r="Z1009" t="str">
        <f t="shared" si="324"/>
        <v/>
      </c>
      <c r="AC1009" t="str">
        <f t="shared" si="325"/>
        <v>Shot</v>
      </c>
      <c r="AD1009" t="str">
        <f t="shared" si="326"/>
        <v>Shot_OnNetSaved</v>
      </c>
      <c r="AE1009" t="str">
        <f t="shared" si="327"/>
        <v>Shot-Wrist</v>
      </c>
      <c r="AF1009" t="str">
        <f t="shared" si="328"/>
        <v>Defensive</v>
      </c>
      <c r="AG1009">
        <f t="shared" si="334"/>
        <v>18981</v>
      </c>
      <c r="AH1009" t="str">
        <f t="shared" si="335"/>
        <v>Nelson</v>
      </c>
      <c r="AI1009" t="str">
        <f t="shared" si="336"/>
        <v>Velodrome</v>
      </c>
      <c r="AJ1009" s="18">
        <f t="shared" si="329"/>
        <v>0</v>
      </c>
      <c r="AP1009" s="18">
        <f t="shared" si="330"/>
        <v>0</v>
      </c>
      <c r="AQ1009">
        <f t="shared" si="331"/>
        <v>1080</v>
      </c>
      <c r="AR1009" s="23">
        <f t="shared" si="332"/>
        <v>1372</v>
      </c>
      <c r="AS1009">
        <f t="shared" si="337"/>
        <v>1367</v>
      </c>
      <c r="AT1009" s="21">
        <f t="shared" si="338"/>
        <v>1372</v>
      </c>
      <c r="AU1009" s="21"/>
      <c r="AV1009" s="21"/>
      <c r="AW1009" s="21"/>
    </row>
    <row r="1010" spans="1:49" x14ac:dyDescent="0.2">
      <c r="A1010">
        <v>547</v>
      </c>
      <c r="E1010">
        <f t="shared" si="333"/>
        <v>2</v>
      </c>
      <c r="F1010" s="5" t="s">
        <v>488</v>
      </c>
      <c r="G1010" s="5" t="s">
        <v>483</v>
      </c>
      <c r="J1010" t="str">
        <f t="shared" si="340"/>
        <v>13</v>
      </c>
      <c r="K1010" t="str">
        <f t="shared" si="341"/>
        <v>08</v>
      </c>
      <c r="L1010" t="str">
        <f t="shared" si="342"/>
        <v/>
      </c>
      <c r="M1010" s="6" t="str">
        <f t="shared" si="343"/>
        <v/>
      </c>
      <c r="N1010" t="s">
        <v>179</v>
      </c>
      <c r="O1010">
        <v>39</v>
      </c>
      <c r="P1010" t="s">
        <v>424</v>
      </c>
      <c r="Q1010" t="s">
        <v>17</v>
      </c>
      <c r="R1010" t="s">
        <v>196</v>
      </c>
      <c r="S1010" t="s">
        <v>103</v>
      </c>
      <c r="Y1010" t="str">
        <f t="shared" si="323"/>
        <v/>
      </c>
      <c r="Z1010" t="str">
        <f t="shared" si="324"/>
        <v/>
      </c>
      <c r="AC1010" t="str">
        <f t="shared" si="325"/>
        <v>Save</v>
      </c>
      <c r="AD1010" t="str">
        <f t="shared" si="326"/>
        <v>Save_Rebound</v>
      </c>
      <c r="AE1010" t="str">
        <f t="shared" si="327"/>
        <v>Save-Chest</v>
      </c>
      <c r="AF1010" t="str">
        <f t="shared" si="328"/>
        <v>Defensive</v>
      </c>
      <c r="AG1010">
        <f t="shared" si="334"/>
        <v>18981</v>
      </c>
      <c r="AH1010" t="str">
        <f t="shared" si="335"/>
        <v>Nelson</v>
      </c>
      <c r="AI1010" t="str">
        <f t="shared" si="336"/>
        <v>Velodrome</v>
      </c>
      <c r="AJ1010" s="18">
        <f t="shared" si="329"/>
        <v>0</v>
      </c>
      <c r="AP1010" s="18">
        <f t="shared" si="330"/>
        <v>0</v>
      </c>
      <c r="AQ1010">
        <f t="shared" si="331"/>
        <v>1080</v>
      </c>
      <c r="AR1010" s="23">
        <f t="shared" si="332"/>
        <v>1372</v>
      </c>
      <c r="AS1010">
        <f t="shared" si="337"/>
        <v>1367</v>
      </c>
      <c r="AT1010" s="21">
        <f t="shared" si="338"/>
        <v>1372</v>
      </c>
      <c r="AU1010" s="21"/>
      <c r="AV1010" s="21"/>
      <c r="AW1010" s="21"/>
    </row>
    <row r="1011" spans="1:49" x14ac:dyDescent="0.2">
      <c r="A1011">
        <v>547</v>
      </c>
      <c r="E1011">
        <f t="shared" si="333"/>
        <v>2</v>
      </c>
      <c r="J1011" t="str">
        <f t="shared" si="340"/>
        <v>13</v>
      </c>
      <c r="K1011" t="str">
        <f t="shared" si="341"/>
        <v>08</v>
      </c>
      <c r="L1011" t="str">
        <f t="shared" si="342"/>
        <v/>
      </c>
      <c r="M1011" s="6" t="str">
        <f t="shared" si="343"/>
        <v/>
      </c>
      <c r="N1011" t="str">
        <f t="shared" si="339"/>
        <v>Away</v>
      </c>
      <c r="O1011">
        <v>9</v>
      </c>
      <c r="P1011" t="s">
        <v>424</v>
      </c>
      <c r="Y1011" t="str">
        <f t="shared" si="323"/>
        <v/>
      </c>
      <c r="Z1011" t="str">
        <f t="shared" si="324"/>
        <v/>
      </c>
      <c r="AC1011" t="str">
        <f t="shared" si="325"/>
        <v>Save</v>
      </c>
      <c r="AD1011" t="str">
        <f t="shared" si="326"/>
        <v>Save_Rebound</v>
      </c>
      <c r="AE1011" t="str">
        <f t="shared" si="327"/>
        <v>Save-Chest</v>
      </c>
      <c r="AF1011" t="str">
        <f t="shared" si="328"/>
        <v>Defensive</v>
      </c>
      <c r="AG1011">
        <f t="shared" si="334"/>
        <v>18981</v>
      </c>
      <c r="AH1011" t="str">
        <f t="shared" si="335"/>
        <v>Nelson</v>
      </c>
      <c r="AI1011" t="str">
        <f t="shared" si="336"/>
        <v>Velodrome</v>
      </c>
      <c r="AJ1011" s="18">
        <f t="shared" si="329"/>
        <v>0</v>
      </c>
      <c r="AP1011" s="18">
        <f t="shared" si="330"/>
        <v>0</v>
      </c>
      <c r="AQ1011">
        <f t="shared" si="331"/>
        <v>1080</v>
      </c>
      <c r="AR1011" s="23">
        <f t="shared" si="332"/>
        <v>1372</v>
      </c>
      <c r="AS1011">
        <f t="shared" si="337"/>
        <v>1367</v>
      </c>
      <c r="AT1011" s="21">
        <f t="shared" si="338"/>
        <v>1372</v>
      </c>
      <c r="AU1011" s="21"/>
      <c r="AV1011" s="21"/>
      <c r="AW1011" s="21"/>
    </row>
    <row r="1012" spans="1:49" x14ac:dyDescent="0.2">
      <c r="A1012">
        <v>547</v>
      </c>
      <c r="E1012">
        <f t="shared" si="333"/>
        <v>2</v>
      </c>
      <c r="J1012" t="str">
        <f t="shared" si="340"/>
        <v>13</v>
      </c>
      <c r="K1012" t="str">
        <f t="shared" si="341"/>
        <v>08</v>
      </c>
      <c r="L1012" t="str">
        <f t="shared" si="342"/>
        <v/>
      </c>
      <c r="M1012" s="6" t="str">
        <f t="shared" si="343"/>
        <v/>
      </c>
      <c r="N1012" t="str">
        <f t="shared" si="339"/>
        <v>Away</v>
      </c>
      <c r="O1012">
        <v>44</v>
      </c>
      <c r="P1012" t="s">
        <v>425</v>
      </c>
      <c r="Y1012" t="str">
        <f t="shared" si="323"/>
        <v/>
      </c>
      <c r="Z1012" t="str">
        <f t="shared" si="324"/>
        <v/>
      </c>
      <c r="AC1012" t="str">
        <f t="shared" si="325"/>
        <v>Save</v>
      </c>
      <c r="AD1012" t="str">
        <f t="shared" si="326"/>
        <v>Save_Rebound</v>
      </c>
      <c r="AE1012" t="str">
        <f t="shared" si="327"/>
        <v>Save-Chest</v>
      </c>
      <c r="AF1012" t="str">
        <f t="shared" si="328"/>
        <v>Offensive</v>
      </c>
      <c r="AG1012">
        <f t="shared" si="334"/>
        <v>18981</v>
      </c>
      <c r="AH1012" t="str">
        <f t="shared" si="335"/>
        <v>Nelson</v>
      </c>
      <c r="AI1012" t="str">
        <f t="shared" si="336"/>
        <v>Velodrome</v>
      </c>
      <c r="AJ1012" s="18">
        <f t="shared" si="329"/>
        <v>0</v>
      </c>
      <c r="AP1012" s="18">
        <f t="shared" si="330"/>
        <v>0</v>
      </c>
      <c r="AQ1012">
        <f t="shared" si="331"/>
        <v>1080</v>
      </c>
      <c r="AR1012" s="23">
        <f t="shared" si="332"/>
        <v>1372</v>
      </c>
      <c r="AS1012">
        <f t="shared" si="337"/>
        <v>1367</v>
      </c>
      <c r="AT1012" s="21">
        <f t="shared" si="338"/>
        <v>1372</v>
      </c>
      <c r="AU1012" s="21"/>
      <c r="AV1012" s="21"/>
      <c r="AW1012" s="21"/>
    </row>
    <row r="1013" spans="1:49" x14ac:dyDescent="0.2">
      <c r="A1013">
        <v>548</v>
      </c>
      <c r="E1013">
        <f t="shared" si="333"/>
        <v>2</v>
      </c>
      <c r="F1013" s="5" t="s">
        <v>488</v>
      </c>
      <c r="G1013" s="5" t="s">
        <v>483</v>
      </c>
      <c r="J1013" t="str">
        <f t="shared" si="340"/>
        <v>13</v>
      </c>
      <c r="K1013" t="str">
        <f t="shared" si="341"/>
        <v>08</v>
      </c>
      <c r="L1013" t="str">
        <f t="shared" si="342"/>
        <v/>
      </c>
      <c r="M1013" s="6" t="str">
        <f t="shared" si="343"/>
        <v/>
      </c>
      <c r="N1013" t="s">
        <v>179</v>
      </c>
      <c r="O1013">
        <v>39</v>
      </c>
      <c r="P1013" t="s">
        <v>424</v>
      </c>
      <c r="Q1013" t="s">
        <v>270</v>
      </c>
      <c r="R1013" t="s">
        <v>272</v>
      </c>
      <c r="Y1013" t="str">
        <f t="shared" si="323"/>
        <v/>
      </c>
      <c r="Z1013" t="str">
        <f t="shared" si="324"/>
        <v/>
      </c>
      <c r="AC1013" t="str">
        <f t="shared" si="325"/>
        <v>Rebound</v>
      </c>
      <c r="AD1013" t="str">
        <f t="shared" si="326"/>
        <v>Rebound_OppTeamRecovered</v>
      </c>
      <c r="AE1013" t="str">
        <f t="shared" si="327"/>
        <v/>
      </c>
      <c r="AF1013" t="str">
        <f t="shared" si="328"/>
        <v>Offensive</v>
      </c>
      <c r="AG1013">
        <f t="shared" si="334"/>
        <v>18981</v>
      </c>
      <c r="AH1013" t="str">
        <f t="shared" si="335"/>
        <v>Nelson</v>
      </c>
      <c r="AI1013" t="str">
        <f t="shared" si="336"/>
        <v>Velodrome</v>
      </c>
      <c r="AJ1013" s="18">
        <f t="shared" si="329"/>
        <v>0</v>
      </c>
      <c r="AP1013" s="18">
        <f t="shared" si="330"/>
        <v>0</v>
      </c>
      <c r="AQ1013">
        <f t="shared" si="331"/>
        <v>1080</v>
      </c>
      <c r="AR1013" s="23">
        <f t="shared" si="332"/>
        <v>1372</v>
      </c>
      <c r="AS1013">
        <f t="shared" si="337"/>
        <v>1367</v>
      </c>
      <c r="AT1013" s="21">
        <f t="shared" si="338"/>
        <v>1372</v>
      </c>
      <c r="AU1013" s="21"/>
      <c r="AV1013" s="21"/>
      <c r="AW1013" s="21"/>
    </row>
    <row r="1014" spans="1:49" x14ac:dyDescent="0.2">
      <c r="A1014">
        <v>549</v>
      </c>
      <c r="E1014">
        <f t="shared" si="333"/>
        <v>2</v>
      </c>
      <c r="F1014" s="5" t="s">
        <v>488</v>
      </c>
      <c r="G1014" s="5" t="s">
        <v>481</v>
      </c>
      <c r="J1014" t="str">
        <f t="shared" si="340"/>
        <v>13</v>
      </c>
      <c r="K1014" t="str">
        <f t="shared" si="341"/>
        <v>05</v>
      </c>
      <c r="L1014" t="str">
        <f t="shared" si="342"/>
        <v/>
      </c>
      <c r="M1014" s="6" t="str">
        <f t="shared" si="343"/>
        <v/>
      </c>
      <c r="N1014" t="s">
        <v>178</v>
      </c>
      <c r="O1014">
        <v>80</v>
      </c>
      <c r="P1014" t="s">
        <v>424</v>
      </c>
      <c r="Q1014" t="s">
        <v>7</v>
      </c>
      <c r="R1014" t="s">
        <v>222</v>
      </c>
      <c r="S1014" t="s">
        <v>53</v>
      </c>
      <c r="Y1014" t="str">
        <f t="shared" si="323"/>
        <v/>
      </c>
      <c r="Z1014" t="str">
        <f t="shared" si="324"/>
        <v/>
      </c>
      <c r="AC1014" t="str">
        <f t="shared" si="325"/>
        <v>Shot</v>
      </c>
      <c r="AD1014" t="str">
        <f t="shared" si="326"/>
        <v>Shot_OnNetSaved</v>
      </c>
      <c r="AE1014" t="str">
        <f t="shared" si="327"/>
        <v>Shot-Wrist</v>
      </c>
      <c r="AF1014" t="str">
        <f t="shared" si="328"/>
        <v>Offensive</v>
      </c>
      <c r="AG1014">
        <f t="shared" si="334"/>
        <v>18981</v>
      </c>
      <c r="AH1014" t="str">
        <f t="shared" si="335"/>
        <v>Nelson</v>
      </c>
      <c r="AI1014" t="str">
        <f t="shared" si="336"/>
        <v>Velodrome</v>
      </c>
      <c r="AJ1014" s="18">
        <f t="shared" si="329"/>
        <v>0</v>
      </c>
      <c r="AP1014" s="18">
        <f t="shared" si="330"/>
        <v>0</v>
      </c>
      <c r="AQ1014">
        <f t="shared" si="331"/>
        <v>1080</v>
      </c>
      <c r="AR1014" s="23">
        <f t="shared" si="332"/>
        <v>1375</v>
      </c>
      <c r="AS1014">
        <f t="shared" si="337"/>
        <v>1370</v>
      </c>
      <c r="AT1014" s="21">
        <f t="shared" si="338"/>
        <v>1375</v>
      </c>
      <c r="AU1014" s="21"/>
      <c r="AV1014" s="21"/>
      <c r="AW1014" s="21"/>
    </row>
    <row r="1015" spans="1:49" x14ac:dyDescent="0.2">
      <c r="A1015">
        <v>549</v>
      </c>
      <c r="E1015">
        <f t="shared" si="333"/>
        <v>2</v>
      </c>
      <c r="J1015" t="str">
        <f t="shared" si="340"/>
        <v>13</v>
      </c>
      <c r="K1015" t="str">
        <f t="shared" si="341"/>
        <v>05</v>
      </c>
      <c r="L1015" t="str">
        <f t="shared" si="342"/>
        <v/>
      </c>
      <c r="M1015" s="6" t="str">
        <f t="shared" si="343"/>
        <v/>
      </c>
      <c r="N1015" t="str">
        <f t="shared" si="339"/>
        <v>Home</v>
      </c>
      <c r="O1015">
        <v>39</v>
      </c>
      <c r="P1015" t="s">
        <v>425</v>
      </c>
      <c r="Y1015" t="str">
        <f t="shared" si="323"/>
        <v/>
      </c>
      <c r="Z1015" t="str">
        <f t="shared" si="324"/>
        <v/>
      </c>
      <c r="AC1015" t="str">
        <f t="shared" si="325"/>
        <v>Shot</v>
      </c>
      <c r="AD1015" t="str">
        <f t="shared" si="326"/>
        <v>Shot_OnNetSaved</v>
      </c>
      <c r="AE1015" t="str">
        <f t="shared" si="327"/>
        <v>Shot-Wrist</v>
      </c>
      <c r="AF1015" t="str">
        <f t="shared" si="328"/>
        <v>Defensive</v>
      </c>
      <c r="AG1015">
        <f t="shared" si="334"/>
        <v>18981</v>
      </c>
      <c r="AH1015" t="str">
        <f t="shared" si="335"/>
        <v>Nelson</v>
      </c>
      <c r="AI1015" t="str">
        <f t="shared" si="336"/>
        <v>Velodrome</v>
      </c>
      <c r="AJ1015" s="18">
        <f t="shared" si="329"/>
        <v>0</v>
      </c>
      <c r="AP1015" s="18">
        <f t="shared" si="330"/>
        <v>0</v>
      </c>
      <c r="AQ1015">
        <f t="shared" si="331"/>
        <v>1080</v>
      </c>
      <c r="AR1015" s="23">
        <f t="shared" si="332"/>
        <v>1375</v>
      </c>
      <c r="AS1015">
        <f t="shared" si="337"/>
        <v>1370</v>
      </c>
      <c r="AT1015" s="21">
        <f t="shared" si="338"/>
        <v>1375</v>
      </c>
      <c r="AU1015" s="21"/>
      <c r="AV1015" s="21"/>
      <c r="AW1015" s="21"/>
    </row>
    <row r="1016" spans="1:49" x14ac:dyDescent="0.2">
      <c r="A1016">
        <v>550</v>
      </c>
      <c r="E1016">
        <f t="shared" si="333"/>
        <v>2</v>
      </c>
      <c r="F1016" s="5" t="s">
        <v>488</v>
      </c>
      <c r="G1016" s="5" t="s">
        <v>481</v>
      </c>
      <c r="J1016" t="str">
        <f t="shared" si="340"/>
        <v>13</v>
      </c>
      <c r="K1016" t="str">
        <f t="shared" si="341"/>
        <v>05</v>
      </c>
      <c r="L1016" t="str">
        <f t="shared" si="342"/>
        <v/>
      </c>
      <c r="M1016" s="6" t="str">
        <f t="shared" si="343"/>
        <v/>
      </c>
      <c r="N1016" t="s">
        <v>179</v>
      </c>
      <c r="O1016">
        <v>39</v>
      </c>
      <c r="P1016" t="s">
        <v>424</v>
      </c>
      <c r="Q1016" t="s">
        <v>17</v>
      </c>
      <c r="R1016" t="s">
        <v>196</v>
      </c>
      <c r="S1016" t="s">
        <v>98</v>
      </c>
      <c r="Y1016" t="str">
        <f t="shared" si="323"/>
        <v/>
      </c>
      <c r="Z1016" t="str">
        <f t="shared" si="324"/>
        <v/>
      </c>
      <c r="AC1016" t="str">
        <f t="shared" si="325"/>
        <v>Save</v>
      </c>
      <c r="AD1016" t="str">
        <f t="shared" si="326"/>
        <v>Save_Rebound</v>
      </c>
      <c r="AE1016" t="str">
        <f t="shared" si="327"/>
        <v>Save-LeftPad</v>
      </c>
      <c r="AF1016" t="str">
        <f t="shared" si="328"/>
        <v>Defensive</v>
      </c>
      <c r="AG1016">
        <f t="shared" si="334"/>
        <v>18981</v>
      </c>
      <c r="AH1016" t="str">
        <f t="shared" si="335"/>
        <v>Nelson</v>
      </c>
      <c r="AI1016" t="str">
        <f t="shared" si="336"/>
        <v>Velodrome</v>
      </c>
      <c r="AJ1016" s="18">
        <f t="shared" si="329"/>
        <v>0</v>
      </c>
      <c r="AP1016" s="18">
        <f t="shared" si="330"/>
        <v>0</v>
      </c>
      <c r="AQ1016">
        <f t="shared" si="331"/>
        <v>1080</v>
      </c>
      <c r="AR1016" s="23">
        <f t="shared" si="332"/>
        <v>1375</v>
      </c>
      <c r="AS1016">
        <f t="shared" si="337"/>
        <v>1370</v>
      </c>
      <c r="AT1016" s="21">
        <f t="shared" si="338"/>
        <v>1375</v>
      </c>
      <c r="AU1016" s="21"/>
      <c r="AV1016" s="21"/>
      <c r="AW1016" s="21"/>
    </row>
    <row r="1017" spans="1:49" x14ac:dyDescent="0.2">
      <c r="A1017">
        <v>550</v>
      </c>
      <c r="E1017">
        <f t="shared" si="333"/>
        <v>2</v>
      </c>
      <c r="J1017" t="str">
        <f t="shared" si="340"/>
        <v>13</v>
      </c>
      <c r="K1017" t="str">
        <f t="shared" si="341"/>
        <v>05</v>
      </c>
      <c r="L1017" t="str">
        <f t="shared" si="342"/>
        <v/>
      </c>
      <c r="M1017" s="6" t="str">
        <f t="shared" si="343"/>
        <v/>
      </c>
      <c r="N1017" t="str">
        <f t="shared" si="339"/>
        <v>Away</v>
      </c>
      <c r="O1017">
        <v>80</v>
      </c>
      <c r="P1017" t="s">
        <v>425</v>
      </c>
      <c r="Y1017" t="str">
        <f t="shared" si="323"/>
        <v/>
      </c>
      <c r="Z1017" t="str">
        <f t="shared" si="324"/>
        <v/>
      </c>
      <c r="AC1017" t="str">
        <f t="shared" si="325"/>
        <v>Save</v>
      </c>
      <c r="AD1017" t="str">
        <f t="shared" si="326"/>
        <v>Save_Rebound</v>
      </c>
      <c r="AE1017" t="str">
        <f t="shared" si="327"/>
        <v>Save-LeftPad</v>
      </c>
      <c r="AF1017" t="str">
        <f t="shared" si="328"/>
        <v>Offensive</v>
      </c>
      <c r="AG1017">
        <f t="shared" si="334"/>
        <v>18981</v>
      </c>
      <c r="AH1017" t="str">
        <f t="shared" si="335"/>
        <v>Nelson</v>
      </c>
      <c r="AI1017" t="str">
        <f t="shared" si="336"/>
        <v>Velodrome</v>
      </c>
      <c r="AJ1017" s="18">
        <f t="shared" si="329"/>
        <v>0</v>
      </c>
      <c r="AP1017" s="18">
        <f t="shared" si="330"/>
        <v>0</v>
      </c>
      <c r="AQ1017">
        <f t="shared" si="331"/>
        <v>1080</v>
      </c>
      <c r="AR1017" s="23">
        <f t="shared" si="332"/>
        <v>1375</v>
      </c>
      <c r="AS1017">
        <f t="shared" si="337"/>
        <v>1370</v>
      </c>
      <c r="AT1017" s="21">
        <f t="shared" si="338"/>
        <v>1375</v>
      </c>
      <c r="AU1017" s="21"/>
      <c r="AV1017" s="21"/>
      <c r="AW1017" s="21"/>
    </row>
    <row r="1018" spans="1:49" x14ac:dyDescent="0.2">
      <c r="A1018">
        <v>551</v>
      </c>
      <c r="E1018">
        <f t="shared" si="333"/>
        <v>2</v>
      </c>
      <c r="F1018" s="5" t="s">
        <v>488</v>
      </c>
      <c r="G1018" s="5" t="s">
        <v>481</v>
      </c>
      <c r="J1018" t="str">
        <f t="shared" si="340"/>
        <v>13</v>
      </c>
      <c r="K1018" t="str">
        <f t="shared" si="341"/>
        <v>05</v>
      </c>
      <c r="L1018" t="str">
        <f t="shared" si="342"/>
        <v/>
      </c>
      <c r="M1018" s="6" t="str">
        <f t="shared" si="343"/>
        <v/>
      </c>
      <c r="N1018" t="s">
        <v>179</v>
      </c>
      <c r="O1018">
        <v>39</v>
      </c>
      <c r="P1018" t="s">
        <v>424</v>
      </c>
      <c r="Q1018" t="s">
        <v>270</v>
      </c>
      <c r="R1018" t="s">
        <v>271</v>
      </c>
      <c r="Y1018" t="str">
        <f t="shared" si="323"/>
        <v/>
      </c>
      <c r="Z1018" t="str">
        <f t="shared" si="324"/>
        <v/>
      </c>
      <c r="AC1018" t="str">
        <f t="shared" si="325"/>
        <v>Rebound</v>
      </c>
      <c r="AD1018" t="str">
        <f t="shared" si="326"/>
        <v>Rebound_TeamRecovered</v>
      </c>
      <c r="AE1018" t="str">
        <f t="shared" si="327"/>
        <v/>
      </c>
      <c r="AF1018" t="str">
        <f t="shared" si="328"/>
        <v>Offensive</v>
      </c>
      <c r="AG1018">
        <f t="shared" si="334"/>
        <v>18981</v>
      </c>
      <c r="AH1018" t="str">
        <f t="shared" si="335"/>
        <v>Nelson</v>
      </c>
      <c r="AI1018" t="str">
        <f t="shared" si="336"/>
        <v>Velodrome</v>
      </c>
      <c r="AJ1018" s="18">
        <f t="shared" si="329"/>
        <v>0</v>
      </c>
      <c r="AP1018" s="18">
        <f t="shared" si="330"/>
        <v>0</v>
      </c>
      <c r="AQ1018">
        <f t="shared" si="331"/>
        <v>1080</v>
      </c>
      <c r="AR1018" s="23">
        <f t="shared" si="332"/>
        <v>1375</v>
      </c>
      <c r="AS1018">
        <f t="shared" si="337"/>
        <v>1370</v>
      </c>
      <c r="AT1018" s="21">
        <f t="shared" si="338"/>
        <v>1375</v>
      </c>
      <c r="AU1018" s="21"/>
      <c r="AV1018" s="21"/>
      <c r="AW1018" s="21"/>
    </row>
    <row r="1019" spans="1:49" x14ac:dyDescent="0.2">
      <c r="A1019">
        <v>552</v>
      </c>
      <c r="E1019">
        <f t="shared" si="333"/>
        <v>2</v>
      </c>
      <c r="F1019" s="5" t="s">
        <v>488</v>
      </c>
      <c r="G1019" s="5" t="s">
        <v>471</v>
      </c>
      <c r="H1019" s="5" t="s">
        <v>488</v>
      </c>
      <c r="I1019" s="7" t="s">
        <v>475</v>
      </c>
      <c r="J1019" t="str">
        <f t="shared" si="340"/>
        <v>13</v>
      </c>
      <c r="K1019" t="str">
        <f t="shared" si="341"/>
        <v>01</v>
      </c>
      <c r="L1019" t="str">
        <f t="shared" si="342"/>
        <v>13</v>
      </c>
      <c r="M1019" s="6" t="str">
        <f t="shared" si="343"/>
        <v>00</v>
      </c>
      <c r="N1019" t="s">
        <v>179</v>
      </c>
      <c r="O1019">
        <v>42</v>
      </c>
      <c r="P1019" t="s">
        <v>424</v>
      </c>
      <c r="Q1019" t="s">
        <v>15</v>
      </c>
      <c r="Y1019" t="str">
        <f t="shared" si="323"/>
        <v/>
      </c>
      <c r="Z1019" t="str">
        <f t="shared" si="324"/>
        <v/>
      </c>
      <c r="AC1019" t="str">
        <f t="shared" si="325"/>
        <v>Possession</v>
      </c>
      <c r="AD1019" t="str">
        <f t="shared" si="326"/>
        <v/>
      </c>
      <c r="AE1019" t="str">
        <f t="shared" si="327"/>
        <v/>
      </c>
      <c r="AF1019" t="str">
        <f t="shared" si="328"/>
        <v>Offensive</v>
      </c>
      <c r="AG1019">
        <f t="shared" si="334"/>
        <v>18981</v>
      </c>
      <c r="AH1019" t="str">
        <f t="shared" si="335"/>
        <v>Nelson</v>
      </c>
      <c r="AI1019" t="str">
        <f t="shared" si="336"/>
        <v>Velodrome</v>
      </c>
      <c r="AJ1019" s="18">
        <f t="shared" si="329"/>
        <v>1</v>
      </c>
      <c r="AP1019" s="18">
        <f t="shared" si="330"/>
        <v>0</v>
      </c>
      <c r="AQ1019">
        <f t="shared" si="331"/>
        <v>1080</v>
      </c>
      <c r="AR1019" s="23">
        <f t="shared" si="332"/>
        <v>1379</v>
      </c>
      <c r="AS1019">
        <f t="shared" si="337"/>
        <v>1374</v>
      </c>
      <c r="AT1019" s="21">
        <f t="shared" si="338"/>
        <v>1380</v>
      </c>
      <c r="AU1019" s="21"/>
      <c r="AV1019" s="21"/>
      <c r="AW1019" s="21"/>
    </row>
    <row r="1020" spans="1:49" x14ac:dyDescent="0.2">
      <c r="A1020">
        <v>553</v>
      </c>
      <c r="E1020">
        <f t="shared" si="333"/>
        <v>2</v>
      </c>
      <c r="F1020" s="5" t="s">
        <v>488</v>
      </c>
      <c r="G1020" s="5" t="s">
        <v>475</v>
      </c>
      <c r="J1020" t="str">
        <f t="shared" si="340"/>
        <v>13</v>
      </c>
      <c r="K1020" t="str">
        <f t="shared" si="341"/>
        <v>00</v>
      </c>
      <c r="L1020" t="str">
        <f t="shared" si="342"/>
        <v/>
      </c>
      <c r="M1020" s="6" t="str">
        <f t="shared" si="343"/>
        <v/>
      </c>
      <c r="N1020" t="s">
        <v>178</v>
      </c>
      <c r="O1020">
        <v>10</v>
      </c>
      <c r="P1020" t="s">
        <v>424</v>
      </c>
      <c r="Q1020" t="s">
        <v>10</v>
      </c>
      <c r="R1020" t="s">
        <v>200</v>
      </c>
      <c r="S1020" t="s">
        <v>82</v>
      </c>
      <c r="Y1020" t="str">
        <f t="shared" si="323"/>
        <v/>
      </c>
      <c r="Z1020" t="str">
        <f t="shared" si="324"/>
        <v/>
      </c>
      <c r="AC1020" t="str">
        <f t="shared" si="325"/>
        <v>Turnover</v>
      </c>
      <c r="AD1020" t="str">
        <f t="shared" si="326"/>
        <v>Turnover_Takeaway</v>
      </c>
      <c r="AE1020" t="str">
        <f t="shared" si="327"/>
        <v>Takeaway-PokeCheck</v>
      </c>
      <c r="AF1020" t="str">
        <f t="shared" si="328"/>
        <v>Defensive</v>
      </c>
      <c r="AG1020">
        <f t="shared" si="334"/>
        <v>18981</v>
      </c>
      <c r="AH1020" t="str">
        <f t="shared" si="335"/>
        <v>Nelson</v>
      </c>
      <c r="AI1020" t="str">
        <f t="shared" si="336"/>
        <v>Velodrome</v>
      </c>
      <c r="AJ1020" s="18">
        <f t="shared" si="329"/>
        <v>0</v>
      </c>
      <c r="AP1020" s="18">
        <f t="shared" si="330"/>
        <v>0</v>
      </c>
      <c r="AQ1020">
        <f t="shared" si="331"/>
        <v>1080</v>
      </c>
      <c r="AR1020" s="23">
        <f t="shared" si="332"/>
        <v>1380</v>
      </c>
      <c r="AS1020">
        <f t="shared" si="337"/>
        <v>1375</v>
      </c>
      <c r="AT1020" s="21">
        <f t="shared" si="338"/>
        <v>1380</v>
      </c>
      <c r="AU1020" s="21"/>
      <c r="AV1020" s="21"/>
      <c r="AW1020" s="21"/>
    </row>
    <row r="1021" spans="1:49" x14ac:dyDescent="0.2">
      <c r="A1021">
        <v>553</v>
      </c>
      <c r="E1021">
        <f t="shared" si="333"/>
        <v>2</v>
      </c>
      <c r="J1021" t="str">
        <f t="shared" si="340"/>
        <v>13</v>
      </c>
      <c r="K1021" t="str">
        <f t="shared" si="341"/>
        <v>00</v>
      </c>
      <c r="L1021" t="str">
        <f t="shared" si="342"/>
        <v/>
      </c>
      <c r="M1021" s="6" t="str">
        <f t="shared" si="343"/>
        <v/>
      </c>
      <c r="N1021" t="str">
        <f t="shared" si="339"/>
        <v>Home</v>
      </c>
      <c r="O1021">
        <v>42</v>
      </c>
      <c r="P1021" t="s">
        <v>425</v>
      </c>
      <c r="Y1021" t="str">
        <f t="shared" si="323"/>
        <v/>
      </c>
      <c r="Z1021" t="str">
        <f t="shared" si="324"/>
        <v/>
      </c>
      <c r="AC1021" t="str">
        <f t="shared" si="325"/>
        <v>Turnover</v>
      </c>
      <c r="AD1021" t="str">
        <f t="shared" si="326"/>
        <v>Turnover_Takeaway</v>
      </c>
      <c r="AE1021" t="str">
        <f t="shared" si="327"/>
        <v>Takeaway-PokeCheck</v>
      </c>
      <c r="AF1021" t="str">
        <f t="shared" si="328"/>
        <v>Offensive</v>
      </c>
      <c r="AG1021">
        <f t="shared" si="334"/>
        <v>18981</v>
      </c>
      <c r="AH1021" t="str">
        <f t="shared" si="335"/>
        <v>Nelson</v>
      </c>
      <c r="AI1021" t="str">
        <f t="shared" si="336"/>
        <v>Velodrome</v>
      </c>
      <c r="AJ1021" s="18">
        <f t="shared" si="329"/>
        <v>0</v>
      </c>
      <c r="AP1021" s="18">
        <f t="shared" si="330"/>
        <v>0</v>
      </c>
      <c r="AQ1021">
        <f t="shared" si="331"/>
        <v>1080</v>
      </c>
      <c r="AR1021" s="23">
        <f t="shared" si="332"/>
        <v>1380</v>
      </c>
      <c r="AS1021">
        <f t="shared" si="337"/>
        <v>1375</v>
      </c>
      <c r="AT1021" s="21">
        <f t="shared" si="338"/>
        <v>1380</v>
      </c>
      <c r="AU1021" s="21"/>
      <c r="AV1021" s="21"/>
      <c r="AW1021" s="21"/>
    </row>
    <row r="1022" spans="1:49" x14ac:dyDescent="0.2">
      <c r="A1022">
        <v>554</v>
      </c>
      <c r="E1022">
        <f t="shared" si="333"/>
        <v>2</v>
      </c>
      <c r="F1022" s="5" t="s">
        <v>487</v>
      </c>
      <c r="G1022" s="5" t="s">
        <v>479</v>
      </c>
      <c r="J1022" t="str">
        <f t="shared" si="340"/>
        <v>12</v>
      </c>
      <c r="K1022" t="str">
        <f t="shared" si="341"/>
        <v>59</v>
      </c>
      <c r="L1022" t="str">
        <f t="shared" si="342"/>
        <v/>
      </c>
      <c r="M1022" s="6" t="str">
        <f t="shared" si="343"/>
        <v/>
      </c>
      <c r="N1022" t="s">
        <v>178</v>
      </c>
      <c r="O1022">
        <v>10</v>
      </c>
      <c r="P1022" t="s">
        <v>424</v>
      </c>
      <c r="Q1022" t="s">
        <v>8</v>
      </c>
      <c r="R1022" t="s">
        <v>189</v>
      </c>
      <c r="S1022" t="s">
        <v>68</v>
      </c>
      <c r="Y1022" t="str">
        <f t="shared" si="323"/>
        <v/>
      </c>
      <c r="Z1022" t="str">
        <f t="shared" si="324"/>
        <v/>
      </c>
      <c r="AC1022" t="str">
        <f t="shared" si="325"/>
        <v>Pass</v>
      </c>
      <c r="AD1022" t="str">
        <f t="shared" si="326"/>
        <v>Pass_Completed</v>
      </c>
      <c r="AE1022" t="str">
        <f t="shared" si="327"/>
        <v>Pass-Rim/Wrap</v>
      </c>
      <c r="AF1022" t="str">
        <f t="shared" si="328"/>
        <v>Offensive</v>
      </c>
      <c r="AG1022">
        <f t="shared" si="334"/>
        <v>18981</v>
      </c>
      <c r="AH1022" t="str">
        <f t="shared" si="335"/>
        <v>Nelson</v>
      </c>
      <c r="AI1022" t="str">
        <f t="shared" si="336"/>
        <v>Velodrome</v>
      </c>
      <c r="AJ1022" s="18">
        <f t="shared" si="329"/>
        <v>0</v>
      </c>
      <c r="AP1022" s="18">
        <f t="shared" si="330"/>
        <v>0</v>
      </c>
      <c r="AQ1022">
        <f t="shared" si="331"/>
        <v>1080</v>
      </c>
      <c r="AR1022" s="23">
        <f t="shared" si="332"/>
        <v>1381</v>
      </c>
      <c r="AS1022">
        <f t="shared" si="337"/>
        <v>1376</v>
      </c>
      <c r="AT1022" s="21">
        <f t="shared" si="338"/>
        <v>1381</v>
      </c>
      <c r="AU1022" s="21"/>
      <c r="AV1022" s="21"/>
      <c r="AW1022" s="21"/>
    </row>
    <row r="1023" spans="1:49" x14ac:dyDescent="0.2">
      <c r="A1023">
        <v>554</v>
      </c>
      <c r="E1023">
        <f t="shared" si="333"/>
        <v>2</v>
      </c>
      <c r="J1023" t="str">
        <f t="shared" si="340"/>
        <v>12</v>
      </c>
      <c r="K1023" t="str">
        <f t="shared" si="341"/>
        <v>59</v>
      </c>
      <c r="L1023" t="str">
        <f t="shared" si="342"/>
        <v/>
      </c>
      <c r="M1023" s="6" t="str">
        <f t="shared" si="343"/>
        <v/>
      </c>
      <c r="N1023" t="str">
        <f t="shared" si="339"/>
        <v>Home</v>
      </c>
      <c r="O1023">
        <v>80</v>
      </c>
      <c r="P1023" t="s">
        <v>424</v>
      </c>
      <c r="Y1023" t="str">
        <f t="shared" si="323"/>
        <v/>
      </c>
      <c r="Z1023" t="str">
        <f t="shared" si="324"/>
        <v/>
      </c>
      <c r="AC1023" t="str">
        <f t="shared" si="325"/>
        <v>Pass</v>
      </c>
      <c r="AD1023" t="str">
        <f t="shared" si="326"/>
        <v>Pass_Completed</v>
      </c>
      <c r="AE1023" t="str">
        <f t="shared" si="327"/>
        <v>Pass-Rim/Wrap</v>
      </c>
      <c r="AF1023" t="str">
        <f t="shared" si="328"/>
        <v>Offensive</v>
      </c>
      <c r="AG1023">
        <f t="shared" si="334"/>
        <v>18981</v>
      </c>
      <c r="AH1023" t="str">
        <f t="shared" si="335"/>
        <v>Nelson</v>
      </c>
      <c r="AI1023" t="str">
        <f t="shared" si="336"/>
        <v>Velodrome</v>
      </c>
      <c r="AJ1023" s="18">
        <f t="shared" si="329"/>
        <v>0</v>
      </c>
      <c r="AP1023" s="18">
        <f t="shared" si="330"/>
        <v>0</v>
      </c>
      <c r="AQ1023">
        <f t="shared" si="331"/>
        <v>1080</v>
      </c>
      <c r="AR1023" s="23">
        <f t="shared" si="332"/>
        <v>1381</v>
      </c>
      <c r="AS1023">
        <f t="shared" si="337"/>
        <v>1376</v>
      </c>
      <c r="AT1023" s="21">
        <f t="shared" si="338"/>
        <v>1381</v>
      </c>
      <c r="AU1023" s="21"/>
      <c r="AV1023" s="21"/>
      <c r="AW1023" s="21"/>
    </row>
    <row r="1024" spans="1:49" x14ac:dyDescent="0.2">
      <c r="A1024">
        <v>555</v>
      </c>
      <c r="E1024">
        <f t="shared" si="333"/>
        <v>2</v>
      </c>
      <c r="F1024" s="5" t="s">
        <v>487</v>
      </c>
      <c r="G1024" s="5" t="s">
        <v>530</v>
      </c>
      <c r="J1024" t="str">
        <f t="shared" si="340"/>
        <v>12</v>
      </c>
      <c r="K1024" t="str">
        <f t="shared" si="341"/>
        <v>58</v>
      </c>
      <c r="L1024" t="str">
        <f t="shared" si="342"/>
        <v/>
      </c>
      <c r="M1024" s="6" t="str">
        <f t="shared" si="343"/>
        <v/>
      </c>
      <c r="N1024" t="s">
        <v>178</v>
      </c>
      <c r="O1024">
        <v>10</v>
      </c>
      <c r="P1024" t="s">
        <v>424</v>
      </c>
      <c r="Q1024" t="s">
        <v>7</v>
      </c>
      <c r="R1024" t="s">
        <v>222</v>
      </c>
      <c r="S1024" t="s">
        <v>65</v>
      </c>
      <c r="Y1024" t="str">
        <f t="shared" si="323"/>
        <v/>
      </c>
      <c r="Z1024" t="str">
        <f t="shared" si="324"/>
        <v/>
      </c>
      <c r="AC1024" t="str">
        <f t="shared" si="325"/>
        <v>Shot</v>
      </c>
      <c r="AD1024" t="str">
        <f t="shared" si="326"/>
        <v>Shot_OnNetSaved</v>
      </c>
      <c r="AE1024" t="str">
        <f t="shared" si="327"/>
        <v>Shot-OneTime</v>
      </c>
      <c r="AF1024" t="str">
        <f t="shared" si="328"/>
        <v>Offensive</v>
      </c>
      <c r="AG1024">
        <f t="shared" si="334"/>
        <v>18981</v>
      </c>
      <c r="AH1024" t="str">
        <f t="shared" si="335"/>
        <v>Nelson</v>
      </c>
      <c r="AI1024" t="str">
        <f t="shared" si="336"/>
        <v>Velodrome</v>
      </c>
      <c r="AJ1024" s="18">
        <f t="shared" si="329"/>
        <v>0</v>
      </c>
      <c r="AP1024" s="18">
        <f t="shared" si="330"/>
        <v>0</v>
      </c>
      <c r="AQ1024">
        <f t="shared" si="331"/>
        <v>1080</v>
      </c>
      <c r="AR1024" s="23">
        <f t="shared" si="332"/>
        <v>1382</v>
      </c>
      <c r="AS1024">
        <f t="shared" si="337"/>
        <v>1377</v>
      </c>
      <c r="AT1024" s="21">
        <f t="shared" si="338"/>
        <v>1382</v>
      </c>
      <c r="AU1024" s="21"/>
      <c r="AV1024" s="21"/>
      <c r="AW1024" s="21"/>
    </row>
    <row r="1025" spans="1:49" x14ac:dyDescent="0.2">
      <c r="A1025">
        <v>555</v>
      </c>
      <c r="E1025">
        <f t="shared" si="333"/>
        <v>2</v>
      </c>
      <c r="J1025" t="str">
        <f t="shared" si="340"/>
        <v>12</v>
      </c>
      <c r="K1025" t="str">
        <f t="shared" si="341"/>
        <v>58</v>
      </c>
      <c r="L1025" t="str">
        <f t="shared" si="342"/>
        <v/>
      </c>
      <c r="M1025" s="6" t="str">
        <f t="shared" si="343"/>
        <v/>
      </c>
      <c r="N1025" t="str">
        <f t="shared" si="339"/>
        <v>Home</v>
      </c>
      <c r="O1025">
        <v>39</v>
      </c>
      <c r="P1025" t="s">
        <v>425</v>
      </c>
      <c r="Y1025" t="str">
        <f t="shared" si="323"/>
        <v/>
      </c>
      <c r="Z1025" t="str">
        <f t="shared" si="324"/>
        <v/>
      </c>
      <c r="AC1025" t="str">
        <f t="shared" si="325"/>
        <v>Shot</v>
      </c>
      <c r="AD1025" t="str">
        <f t="shared" si="326"/>
        <v>Shot_OnNetSaved</v>
      </c>
      <c r="AE1025" t="str">
        <f t="shared" si="327"/>
        <v>Shot-OneTime</v>
      </c>
      <c r="AF1025" t="str">
        <f t="shared" si="328"/>
        <v>Defensive</v>
      </c>
      <c r="AG1025">
        <f t="shared" si="334"/>
        <v>18981</v>
      </c>
      <c r="AH1025" t="str">
        <f t="shared" si="335"/>
        <v>Nelson</v>
      </c>
      <c r="AI1025" t="str">
        <f t="shared" si="336"/>
        <v>Velodrome</v>
      </c>
      <c r="AJ1025" s="18">
        <f t="shared" si="329"/>
        <v>0</v>
      </c>
      <c r="AP1025" s="18">
        <f t="shared" si="330"/>
        <v>0</v>
      </c>
      <c r="AQ1025">
        <f t="shared" si="331"/>
        <v>1080</v>
      </c>
      <c r="AR1025" s="23">
        <f t="shared" si="332"/>
        <v>1382</v>
      </c>
      <c r="AS1025">
        <f t="shared" si="337"/>
        <v>1377</v>
      </c>
      <c r="AT1025" s="21">
        <f t="shared" si="338"/>
        <v>1382</v>
      </c>
      <c r="AU1025" s="21"/>
      <c r="AV1025" s="21"/>
      <c r="AW1025" s="21"/>
    </row>
    <row r="1026" spans="1:49" x14ac:dyDescent="0.2">
      <c r="A1026">
        <v>556</v>
      </c>
      <c r="E1026">
        <f t="shared" si="333"/>
        <v>2</v>
      </c>
      <c r="F1026" s="5" t="s">
        <v>487</v>
      </c>
      <c r="G1026" s="5" t="s">
        <v>530</v>
      </c>
      <c r="J1026" t="str">
        <f t="shared" si="340"/>
        <v>12</v>
      </c>
      <c r="K1026" t="str">
        <f t="shared" si="341"/>
        <v>58</v>
      </c>
      <c r="L1026" t="str">
        <f t="shared" si="342"/>
        <v/>
      </c>
      <c r="M1026" s="6" t="str">
        <f t="shared" si="343"/>
        <v/>
      </c>
      <c r="N1026" t="s">
        <v>179</v>
      </c>
      <c r="O1026">
        <v>39</v>
      </c>
      <c r="P1026" t="s">
        <v>424</v>
      </c>
      <c r="Q1026" t="s">
        <v>17</v>
      </c>
      <c r="R1026" t="s">
        <v>196</v>
      </c>
      <c r="S1026" t="s">
        <v>98</v>
      </c>
      <c r="Y1026" t="str">
        <f t="shared" si="323"/>
        <v/>
      </c>
      <c r="Z1026" t="str">
        <f t="shared" si="324"/>
        <v/>
      </c>
      <c r="AC1026" t="str">
        <f t="shared" si="325"/>
        <v>Save</v>
      </c>
      <c r="AD1026" t="str">
        <f t="shared" si="326"/>
        <v>Save_Rebound</v>
      </c>
      <c r="AE1026" t="str">
        <f t="shared" si="327"/>
        <v>Save-LeftPad</v>
      </c>
      <c r="AF1026" t="str">
        <f t="shared" si="328"/>
        <v>Defensive</v>
      </c>
      <c r="AG1026">
        <f t="shared" si="334"/>
        <v>18981</v>
      </c>
      <c r="AH1026" t="str">
        <f t="shared" si="335"/>
        <v>Nelson</v>
      </c>
      <c r="AI1026" t="str">
        <f t="shared" si="336"/>
        <v>Velodrome</v>
      </c>
      <c r="AJ1026" s="18">
        <f t="shared" si="329"/>
        <v>0</v>
      </c>
      <c r="AP1026" s="18">
        <f t="shared" si="330"/>
        <v>0</v>
      </c>
      <c r="AQ1026">
        <f t="shared" si="331"/>
        <v>1080</v>
      </c>
      <c r="AR1026" s="23">
        <f t="shared" si="332"/>
        <v>1382</v>
      </c>
      <c r="AS1026">
        <f t="shared" si="337"/>
        <v>1377</v>
      </c>
      <c r="AT1026" s="21">
        <f t="shared" si="338"/>
        <v>1382</v>
      </c>
      <c r="AU1026" s="21"/>
      <c r="AV1026" s="21"/>
      <c r="AW1026" s="21"/>
    </row>
    <row r="1027" spans="1:49" x14ac:dyDescent="0.2">
      <c r="A1027">
        <v>556</v>
      </c>
      <c r="E1027">
        <f t="shared" si="333"/>
        <v>2</v>
      </c>
      <c r="J1027" t="str">
        <f t="shared" si="340"/>
        <v>12</v>
      </c>
      <c r="K1027" t="str">
        <f t="shared" si="341"/>
        <v>58</v>
      </c>
      <c r="L1027" t="str">
        <f t="shared" si="342"/>
        <v/>
      </c>
      <c r="M1027" s="6" t="str">
        <f t="shared" si="343"/>
        <v/>
      </c>
      <c r="N1027" t="str">
        <f t="shared" si="339"/>
        <v>Away</v>
      </c>
      <c r="O1027">
        <v>10</v>
      </c>
      <c r="P1027" t="s">
        <v>425</v>
      </c>
      <c r="Y1027" t="str">
        <f t="shared" ref="Y1027:Y1090" si="344">IF($N1027="","",IF(X1027="","",IF($N1027="Home",$X1027,IF($X1027="n","n",IF($X1027="d","o",IF($X1027="o","d",""))))))</f>
        <v/>
      </c>
      <c r="Z1027" t="str">
        <f t="shared" ref="Z1027:Z1090" si="345">IF($N1027="","",IF(X1027="","",IF($N1027="Away",$X1027,IF($X1027="n","n",IF($X1027="d","o",IF($X1027="o","d",""))))))</f>
        <v/>
      </c>
      <c r="AC1027" t="str">
        <f t="shared" ref="AC1027:AC1069" si="346">IF(Q1027&lt;&gt;"",Q1027,IF($A1027=$A1026,AC1026,""))</f>
        <v>Save</v>
      </c>
      <c r="AD1027" t="str">
        <f t="shared" ref="AD1027:AD1069" si="347">IF(R1027&lt;&gt;"",R1027,IF($A1027=$A1026,AD1026,""))</f>
        <v>Save_Rebound</v>
      </c>
      <c r="AE1027" t="str">
        <f t="shared" ref="AE1027:AE1069" si="348">IF(S1027&lt;&gt;"",S1027,IF($A1027=$A1026,AE1026,""))</f>
        <v>Save-LeftPad</v>
      </c>
      <c r="AF1027" t="str">
        <f t="shared" ref="AF1027:AF1090" si="349">IF(AND(P1027="e",OR(AC1027="Save",AD1027="Turnover_Takeaway",AD1027="Play_Defensive")),"Defensive",IF(AND(P1027="o",OR(AC1027="Save",AD1027="Turnover_Takeaway",AD1027="Play_Defensive")),"Offensive",IF(OR(AC1027="Deadice",AC1027="Stoppage",AC1027="Intermission"),"",IF(P1027="e","Offensive",IF(P1027="o","Defensive","")))))</f>
        <v>Offensive</v>
      </c>
      <c r="AG1027">
        <f t="shared" si="334"/>
        <v>18981</v>
      </c>
      <c r="AH1027" t="str">
        <f t="shared" si="335"/>
        <v>Nelson</v>
      </c>
      <c r="AI1027" t="str">
        <f t="shared" si="336"/>
        <v>Velodrome</v>
      </c>
      <c r="AJ1027" s="18">
        <f t="shared" ref="AJ1027:AJ1090" si="350">IF(AND(L1027="",M1027=""),0,((J1027*60)+K1027)-((L1027*60)+M1027))</f>
        <v>0</v>
      </c>
      <c r="AP1027" s="18">
        <f t="shared" ref="AP1027:AP1090" si="351">SUMIFS(AJ1027:AJ1027,Q1027:Q1027,"=Intermission")</f>
        <v>0</v>
      </c>
      <c r="AQ1027">
        <f t="shared" ref="AQ1027:AQ1090" si="352">IF(E1027=1,0,IF(E1027=2,1080+AP1027,IF(E1027=3,(1080*2)+AP1027,0)))</f>
        <v>1080</v>
      </c>
      <c r="AR1027" s="23">
        <f t="shared" ref="AR1027:AR1090" si="353">IF(Q1027="Intermission",AR1026,((1080)-((J1027*60)+K1027))+AQ1027)</f>
        <v>1382</v>
      </c>
      <c r="AS1027">
        <f t="shared" si="337"/>
        <v>1377</v>
      </c>
      <c r="AT1027" s="21">
        <f t="shared" si="338"/>
        <v>1382</v>
      </c>
      <c r="AU1027" s="21"/>
      <c r="AV1027" s="21"/>
      <c r="AW1027" s="21"/>
    </row>
    <row r="1028" spans="1:49" x14ac:dyDescent="0.2">
      <c r="A1028">
        <v>557</v>
      </c>
      <c r="E1028">
        <f t="shared" ref="E1028:E1091" si="354">IF(Q1028="Intermission",E1027+1,E1027)</f>
        <v>2</v>
      </c>
      <c r="F1028" s="5" t="s">
        <v>487</v>
      </c>
      <c r="G1028" s="5" t="s">
        <v>529</v>
      </c>
      <c r="J1028" t="str">
        <f t="shared" si="340"/>
        <v>12</v>
      </c>
      <c r="K1028" t="str">
        <f t="shared" si="341"/>
        <v>57</v>
      </c>
      <c r="L1028" t="str">
        <f t="shared" si="342"/>
        <v/>
      </c>
      <c r="M1028" s="6" t="str">
        <f t="shared" si="343"/>
        <v/>
      </c>
      <c r="N1028" t="s">
        <v>179</v>
      </c>
      <c r="O1028">
        <v>39</v>
      </c>
      <c r="P1028" t="s">
        <v>424</v>
      </c>
      <c r="Q1028" t="s">
        <v>270</v>
      </c>
      <c r="R1028" t="s">
        <v>272</v>
      </c>
      <c r="Y1028" t="str">
        <f t="shared" si="344"/>
        <v/>
      </c>
      <c r="Z1028" t="str">
        <f t="shared" si="345"/>
        <v/>
      </c>
      <c r="AC1028" t="str">
        <f t="shared" si="346"/>
        <v>Rebound</v>
      </c>
      <c r="AD1028" t="str">
        <f t="shared" si="347"/>
        <v>Rebound_OppTeamRecovered</v>
      </c>
      <c r="AE1028" t="str">
        <f t="shared" si="348"/>
        <v/>
      </c>
      <c r="AF1028" t="str">
        <f t="shared" si="349"/>
        <v>Offensive</v>
      </c>
      <c r="AG1028">
        <f t="shared" ref="AG1028:AG1091" si="355">AG1027</f>
        <v>18981</v>
      </c>
      <c r="AH1028" t="str">
        <f t="shared" ref="AH1028:AH1091" si="356">AH1027</f>
        <v>Nelson</v>
      </c>
      <c r="AI1028" t="str">
        <f t="shared" ref="AI1028:AI1091" si="357">AI1027</f>
        <v>Velodrome</v>
      </c>
      <c r="AJ1028" s="18">
        <f t="shared" si="350"/>
        <v>0</v>
      </c>
      <c r="AP1028" s="18">
        <f t="shared" si="351"/>
        <v>0</v>
      </c>
      <c r="AQ1028">
        <f t="shared" si="352"/>
        <v>1080</v>
      </c>
      <c r="AR1028" s="23">
        <f t="shared" si="353"/>
        <v>1383</v>
      </c>
      <c r="AS1028">
        <f t="shared" ref="AS1028:AS1091" si="358">IF(AR1028&lt;5,0,AR1028-5)</f>
        <v>1378</v>
      </c>
      <c r="AT1028" s="21">
        <f t="shared" ref="AT1028:AT1091" si="359">AS1028+AJ1028+5</f>
        <v>1383</v>
      </c>
      <c r="AU1028" s="21"/>
      <c r="AV1028" s="21"/>
      <c r="AW1028" s="21"/>
    </row>
    <row r="1029" spans="1:49" x14ac:dyDescent="0.2">
      <c r="A1029">
        <v>558</v>
      </c>
      <c r="E1029">
        <f t="shared" si="354"/>
        <v>2</v>
      </c>
      <c r="F1029" s="5" t="s">
        <v>487</v>
      </c>
      <c r="G1029" s="5" t="s">
        <v>527</v>
      </c>
      <c r="J1029" t="str">
        <f t="shared" si="340"/>
        <v>12</v>
      </c>
      <c r="K1029" t="str">
        <f t="shared" si="341"/>
        <v>55</v>
      </c>
      <c r="L1029" t="str">
        <f t="shared" si="342"/>
        <v/>
      </c>
      <c r="M1029" s="6" t="str">
        <f t="shared" si="343"/>
        <v/>
      </c>
      <c r="N1029" t="s">
        <v>178</v>
      </c>
      <c r="O1029">
        <v>10</v>
      </c>
      <c r="P1029" t="s">
        <v>424</v>
      </c>
      <c r="Q1029" t="s">
        <v>8</v>
      </c>
      <c r="R1029" t="s">
        <v>189</v>
      </c>
      <c r="S1029" t="s">
        <v>68</v>
      </c>
      <c r="Y1029" t="str">
        <f t="shared" si="344"/>
        <v/>
      </c>
      <c r="Z1029" t="str">
        <f t="shared" si="345"/>
        <v/>
      </c>
      <c r="AC1029" t="str">
        <f t="shared" si="346"/>
        <v>Pass</v>
      </c>
      <c r="AD1029" t="str">
        <f t="shared" si="347"/>
        <v>Pass_Completed</v>
      </c>
      <c r="AE1029" t="str">
        <f t="shared" si="348"/>
        <v>Pass-Rim/Wrap</v>
      </c>
      <c r="AF1029" t="str">
        <f t="shared" si="349"/>
        <v>Offensive</v>
      </c>
      <c r="AG1029">
        <f t="shared" si="355"/>
        <v>18981</v>
      </c>
      <c r="AH1029" t="str">
        <f t="shared" si="356"/>
        <v>Nelson</v>
      </c>
      <c r="AI1029" t="str">
        <f t="shared" si="357"/>
        <v>Velodrome</v>
      </c>
      <c r="AJ1029" s="18">
        <f t="shared" si="350"/>
        <v>0</v>
      </c>
      <c r="AP1029" s="18">
        <f t="shared" si="351"/>
        <v>0</v>
      </c>
      <c r="AQ1029">
        <f t="shared" si="352"/>
        <v>1080</v>
      </c>
      <c r="AR1029" s="23">
        <f t="shared" si="353"/>
        <v>1385</v>
      </c>
      <c r="AS1029">
        <f t="shared" si="358"/>
        <v>1380</v>
      </c>
      <c r="AT1029" s="21">
        <f t="shared" si="359"/>
        <v>1385</v>
      </c>
      <c r="AU1029" s="21"/>
      <c r="AV1029" s="21"/>
      <c r="AW1029" s="21"/>
    </row>
    <row r="1030" spans="1:49" x14ac:dyDescent="0.2">
      <c r="A1030">
        <v>558</v>
      </c>
      <c r="E1030">
        <f t="shared" si="354"/>
        <v>2</v>
      </c>
      <c r="J1030" t="str">
        <f t="shared" si="340"/>
        <v>12</v>
      </c>
      <c r="K1030" t="str">
        <f t="shared" si="341"/>
        <v>55</v>
      </c>
      <c r="L1030" t="str">
        <f t="shared" si="342"/>
        <v/>
      </c>
      <c r="M1030" s="6" t="str">
        <f t="shared" si="343"/>
        <v/>
      </c>
      <c r="N1030" t="str">
        <f t="shared" ref="N1030:N1092" si="360">IF(A1030=A1029,N1029,"")</f>
        <v>Home</v>
      </c>
      <c r="O1030">
        <v>80</v>
      </c>
      <c r="P1030" t="s">
        <v>424</v>
      </c>
      <c r="Y1030" t="str">
        <f t="shared" si="344"/>
        <v/>
      </c>
      <c r="Z1030" t="str">
        <f t="shared" si="345"/>
        <v/>
      </c>
      <c r="AC1030" t="str">
        <f t="shared" si="346"/>
        <v>Pass</v>
      </c>
      <c r="AD1030" t="str">
        <f t="shared" si="347"/>
        <v>Pass_Completed</v>
      </c>
      <c r="AE1030" t="str">
        <f t="shared" si="348"/>
        <v>Pass-Rim/Wrap</v>
      </c>
      <c r="AF1030" t="str">
        <f t="shared" si="349"/>
        <v>Offensive</v>
      </c>
      <c r="AG1030">
        <f t="shared" si="355"/>
        <v>18981</v>
      </c>
      <c r="AH1030" t="str">
        <f t="shared" si="356"/>
        <v>Nelson</v>
      </c>
      <c r="AI1030" t="str">
        <f t="shared" si="357"/>
        <v>Velodrome</v>
      </c>
      <c r="AJ1030" s="18">
        <f t="shared" si="350"/>
        <v>0</v>
      </c>
      <c r="AP1030" s="18">
        <f t="shared" si="351"/>
        <v>0</v>
      </c>
      <c r="AQ1030">
        <f t="shared" si="352"/>
        <v>1080</v>
      </c>
      <c r="AR1030" s="23">
        <f t="shared" si="353"/>
        <v>1385</v>
      </c>
      <c r="AS1030">
        <f t="shared" si="358"/>
        <v>1380</v>
      </c>
      <c r="AT1030" s="21">
        <f t="shared" si="359"/>
        <v>1385</v>
      </c>
      <c r="AU1030" s="21"/>
      <c r="AV1030" s="21"/>
      <c r="AW1030" s="21"/>
    </row>
    <row r="1031" spans="1:49" x14ac:dyDescent="0.2">
      <c r="A1031">
        <v>559</v>
      </c>
      <c r="E1031">
        <f t="shared" si="354"/>
        <v>2</v>
      </c>
      <c r="F1031" s="5" t="s">
        <v>487</v>
      </c>
      <c r="G1031" s="5" t="s">
        <v>524</v>
      </c>
      <c r="H1031" s="5" t="s">
        <v>487</v>
      </c>
      <c r="I1031" s="7" t="s">
        <v>519</v>
      </c>
      <c r="J1031" t="str">
        <f t="shared" si="340"/>
        <v>12</v>
      </c>
      <c r="K1031" t="str">
        <f t="shared" si="341"/>
        <v>52</v>
      </c>
      <c r="L1031" t="str">
        <f t="shared" si="342"/>
        <v>12</v>
      </c>
      <c r="M1031" s="6" t="str">
        <f t="shared" si="343"/>
        <v>47</v>
      </c>
      <c r="N1031" t="s">
        <v>178</v>
      </c>
      <c r="O1031">
        <v>80</v>
      </c>
      <c r="P1031" t="s">
        <v>424</v>
      </c>
      <c r="Q1031" t="s">
        <v>15</v>
      </c>
      <c r="Y1031" t="str">
        <f t="shared" si="344"/>
        <v/>
      </c>
      <c r="Z1031" t="str">
        <f t="shared" si="345"/>
        <v/>
      </c>
      <c r="AC1031" t="str">
        <f t="shared" si="346"/>
        <v>Possession</v>
      </c>
      <c r="AD1031" t="str">
        <f t="shared" si="347"/>
        <v/>
      </c>
      <c r="AE1031" t="str">
        <f t="shared" si="348"/>
        <v/>
      </c>
      <c r="AF1031" t="str">
        <f t="shared" si="349"/>
        <v>Offensive</v>
      </c>
      <c r="AG1031">
        <f t="shared" si="355"/>
        <v>18981</v>
      </c>
      <c r="AH1031" t="str">
        <f t="shared" si="356"/>
        <v>Nelson</v>
      </c>
      <c r="AI1031" t="str">
        <f t="shared" si="357"/>
        <v>Velodrome</v>
      </c>
      <c r="AJ1031" s="18">
        <f t="shared" si="350"/>
        <v>5</v>
      </c>
      <c r="AP1031" s="18">
        <f t="shared" si="351"/>
        <v>0</v>
      </c>
      <c r="AQ1031">
        <f t="shared" si="352"/>
        <v>1080</v>
      </c>
      <c r="AR1031" s="23">
        <f t="shared" si="353"/>
        <v>1388</v>
      </c>
      <c r="AS1031">
        <f t="shared" si="358"/>
        <v>1383</v>
      </c>
      <c r="AT1031" s="21">
        <f t="shared" si="359"/>
        <v>1393</v>
      </c>
      <c r="AU1031" s="21"/>
      <c r="AV1031" s="21"/>
      <c r="AW1031" s="21"/>
    </row>
    <row r="1032" spans="1:49" x14ac:dyDescent="0.2">
      <c r="A1032">
        <v>559</v>
      </c>
      <c r="E1032">
        <f t="shared" si="354"/>
        <v>2</v>
      </c>
      <c r="J1032" t="str">
        <f t="shared" si="340"/>
        <v>12</v>
      </c>
      <c r="K1032" t="str">
        <f t="shared" si="341"/>
        <v>52</v>
      </c>
      <c r="L1032" t="str">
        <f t="shared" si="342"/>
        <v>12</v>
      </c>
      <c r="M1032" s="6" t="str">
        <f t="shared" si="343"/>
        <v>47</v>
      </c>
      <c r="N1032" t="str">
        <f t="shared" si="360"/>
        <v>Home</v>
      </c>
      <c r="O1032">
        <v>49</v>
      </c>
      <c r="P1032" t="s">
        <v>425</v>
      </c>
      <c r="Y1032" t="str">
        <f t="shared" si="344"/>
        <v/>
      </c>
      <c r="Z1032" t="str">
        <f t="shared" si="345"/>
        <v/>
      </c>
      <c r="AC1032" t="str">
        <f t="shared" si="346"/>
        <v>Possession</v>
      </c>
      <c r="AD1032" t="str">
        <f t="shared" si="347"/>
        <v/>
      </c>
      <c r="AE1032" t="str">
        <f t="shared" si="348"/>
        <v/>
      </c>
      <c r="AF1032" t="str">
        <f t="shared" si="349"/>
        <v>Defensive</v>
      </c>
      <c r="AG1032">
        <f t="shared" si="355"/>
        <v>18981</v>
      </c>
      <c r="AH1032" t="str">
        <f t="shared" si="356"/>
        <v>Nelson</v>
      </c>
      <c r="AI1032" t="str">
        <f t="shared" si="357"/>
        <v>Velodrome</v>
      </c>
      <c r="AJ1032" s="18">
        <f t="shared" si="350"/>
        <v>5</v>
      </c>
      <c r="AP1032" s="18">
        <f t="shared" si="351"/>
        <v>0</v>
      </c>
      <c r="AQ1032">
        <f t="shared" si="352"/>
        <v>1080</v>
      </c>
      <c r="AR1032" s="23">
        <f t="shared" si="353"/>
        <v>1388</v>
      </c>
      <c r="AS1032">
        <f t="shared" si="358"/>
        <v>1383</v>
      </c>
      <c r="AT1032" s="21">
        <f t="shared" si="359"/>
        <v>1393</v>
      </c>
      <c r="AU1032" s="21"/>
      <c r="AV1032" s="21"/>
      <c r="AW1032" s="21"/>
    </row>
    <row r="1033" spans="1:49" x14ac:dyDescent="0.2">
      <c r="A1033">
        <v>560</v>
      </c>
      <c r="E1033">
        <f t="shared" si="354"/>
        <v>2</v>
      </c>
      <c r="F1033" s="5" t="s">
        <v>487</v>
      </c>
      <c r="G1033" s="5" t="s">
        <v>519</v>
      </c>
      <c r="J1033" t="str">
        <f t="shared" ref="J1033:J1096" si="361">IF(F1033&lt;&gt;"",F1033,IF($A1033=$A1032,J1032,J1033))</f>
        <v>12</v>
      </c>
      <c r="K1033" t="str">
        <f t="shared" ref="K1033:K1096" si="362">IF($A1033=$A1032,K1032,G1033)</f>
        <v>47</v>
      </c>
      <c r="L1033" t="str">
        <f t="shared" ref="L1033:L1096" si="363">IF(H1033&lt;&gt;"",H1033,IF($A1033=$A1032,L1032,""))</f>
        <v/>
      </c>
      <c r="M1033" s="6" t="str">
        <f t="shared" ref="M1033:M1096" si="364">IF(I1033&lt;&gt;"",I1033,IF($A1033=$A1032,M1032,""))</f>
        <v/>
      </c>
      <c r="N1033" t="s">
        <v>178</v>
      </c>
      <c r="O1033">
        <v>80</v>
      </c>
      <c r="P1033" t="s">
        <v>424</v>
      </c>
      <c r="Q1033" t="s">
        <v>7</v>
      </c>
      <c r="R1033" t="s">
        <v>208</v>
      </c>
      <c r="S1033" t="s">
        <v>53</v>
      </c>
      <c r="Y1033" t="str">
        <f t="shared" si="344"/>
        <v/>
      </c>
      <c r="Z1033" t="str">
        <f t="shared" si="345"/>
        <v/>
      </c>
      <c r="AC1033" t="str">
        <f t="shared" si="346"/>
        <v>Shot</v>
      </c>
      <c r="AD1033" t="str">
        <f t="shared" si="347"/>
        <v>Shot_Blocked</v>
      </c>
      <c r="AE1033" t="str">
        <f t="shared" si="348"/>
        <v>Shot-Wrist</v>
      </c>
      <c r="AF1033" t="str">
        <f t="shared" si="349"/>
        <v>Offensive</v>
      </c>
      <c r="AG1033">
        <f t="shared" si="355"/>
        <v>18981</v>
      </c>
      <c r="AH1033" t="str">
        <f t="shared" si="356"/>
        <v>Nelson</v>
      </c>
      <c r="AI1033" t="str">
        <f t="shared" si="357"/>
        <v>Velodrome</v>
      </c>
      <c r="AJ1033" s="18">
        <f t="shared" si="350"/>
        <v>0</v>
      </c>
      <c r="AP1033" s="18">
        <f t="shared" si="351"/>
        <v>0</v>
      </c>
      <c r="AQ1033">
        <f t="shared" si="352"/>
        <v>1080</v>
      </c>
      <c r="AR1033" s="23">
        <f t="shared" si="353"/>
        <v>1393</v>
      </c>
      <c r="AS1033">
        <f t="shared" si="358"/>
        <v>1388</v>
      </c>
      <c r="AT1033" s="21">
        <f t="shared" si="359"/>
        <v>1393</v>
      </c>
      <c r="AU1033" s="21"/>
      <c r="AV1033" s="21"/>
      <c r="AW1033" s="21"/>
    </row>
    <row r="1034" spans="1:49" x14ac:dyDescent="0.2">
      <c r="A1034">
        <v>560</v>
      </c>
      <c r="E1034">
        <f t="shared" si="354"/>
        <v>2</v>
      </c>
      <c r="J1034" t="str">
        <f t="shared" si="361"/>
        <v>12</v>
      </c>
      <c r="K1034" t="str">
        <f t="shared" si="362"/>
        <v>47</v>
      </c>
      <c r="L1034" t="str">
        <f t="shared" si="363"/>
        <v/>
      </c>
      <c r="M1034" s="6" t="str">
        <f t="shared" si="364"/>
        <v/>
      </c>
      <c r="N1034" t="str">
        <f t="shared" si="360"/>
        <v>Home</v>
      </c>
      <c r="O1034">
        <v>93</v>
      </c>
      <c r="P1034" t="s">
        <v>424</v>
      </c>
      <c r="Y1034" t="str">
        <f t="shared" si="344"/>
        <v/>
      </c>
      <c r="Z1034" t="str">
        <f t="shared" si="345"/>
        <v/>
      </c>
      <c r="AC1034" t="str">
        <f t="shared" si="346"/>
        <v>Shot</v>
      </c>
      <c r="AD1034" t="str">
        <f t="shared" si="347"/>
        <v>Shot_Blocked</v>
      </c>
      <c r="AE1034" t="str">
        <f t="shared" si="348"/>
        <v>Shot-Wrist</v>
      </c>
      <c r="AF1034" t="str">
        <f t="shared" si="349"/>
        <v>Offensive</v>
      </c>
      <c r="AG1034">
        <f t="shared" si="355"/>
        <v>18981</v>
      </c>
      <c r="AH1034" t="str">
        <f t="shared" si="356"/>
        <v>Nelson</v>
      </c>
      <c r="AI1034" t="str">
        <f t="shared" si="357"/>
        <v>Velodrome</v>
      </c>
      <c r="AJ1034" s="18">
        <f t="shared" si="350"/>
        <v>0</v>
      </c>
      <c r="AP1034" s="18">
        <f t="shared" si="351"/>
        <v>0</v>
      </c>
      <c r="AQ1034">
        <f t="shared" si="352"/>
        <v>1080</v>
      </c>
      <c r="AR1034" s="23">
        <f t="shared" si="353"/>
        <v>1393</v>
      </c>
      <c r="AS1034">
        <f t="shared" si="358"/>
        <v>1388</v>
      </c>
      <c r="AT1034" s="21">
        <f t="shared" si="359"/>
        <v>1393</v>
      </c>
      <c r="AU1034" s="21"/>
      <c r="AV1034" s="21"/>
      <c r="AW1034" s="21"/>
    </row>
    <row r="1035" spans="1:49" x14ac:dyDescent="0.2">
      <c r="A1035">
        <v>561</v>
      </c>
      <c r="E1035">
        <f t="shared" si="354"/>
        <v>2</v>
      </c>
      <c r="F1035" s="5" t="s">
        <v>487</v>
      </c>
      <c r="G1035" s="5" t="s">
        <v>517</v>
      </c>
      <c r="J1035" t="str">
        <f t="shared" si="361"/>
        <v>12</v>
      </c>
      <c r="K1035" t="str">
        <f t="shared" si="362"/>
        <v>45</v>
      </c>
      <c r="L1035" t="str">
        <f t="shared" si="363"/>
        <v/>
      </c>
      <c r="M1035" s="6" t="str">
        <f t="shared" si="364"/>
        <v/>
      </c>
      <c r="N1035" t="s">
        <v>178</v>
      </c>
      <c r="O1035">
        <v>44</v>
      </c>
      <c r="P1035" t="s">
        <v>424</v>
      </c>
      <c r="Q1035" t="s">
        <v>7</v>
      </c>
      <c r="R1035" t="s">
        <v>198</v>
      </c>
      <c r="S1035" t="s">
        <v>53</v>
      </c>
      <c r="Y1035" t="str">
        <f t="shared" si="344"/>
        <v/>
      </c>
      <c r="Z1035" t="str">
        <f t="shared" si="345"/>
        <v/>
      </c>
      <c r="AC1035" t="str">
        <f t="shared" si="346"/>
        <v>Shot</v>
      </c>
      <c r="AD1035" t="str">
        <f t="shared" si="347"/>
        <v>Shot_Missed</v>
      </c>
      <c r="AE1035" t="str">
        <f t="shared" si="348"/>
        <v>Shot-Wrist</v>
      </c>
      <c r="AF1035" t="str">
        <f t="shared" si="349"/>
        <v>Offensive</v>
      </c>
      <c r="AG1035">
        <f t="shared" si="355"/>
        <v>18981</v>
      </c>
      <c r="AH1035" t="str">
        <f t="shared" si="356"/>
        <v>Nelson</v>
      </c>
      <c r="AI1035" t="str">
        <f t="shared" si="357"/>
        <v>Velodrome</v>
      </c>
      <c r="AJ1035" s="18">
        <f t="shared" si="350"/>
        <v>0</v>
      </c>
      <c r="AP1035" s="18">
        <f t="shared" si="351"/>
        <v>0</v>
      </c>
      <c r="AQ1035">
        <f t="shared" si="352"/>
        <v>1080</v>
      </c>
      <c r="AR1035" s="23">
        <f t="shared" si="353"/>
        <v>1395</v>
      </c>
      <c r="AS1035">
        <f t="shared" si="358"/>
        <v>1390</v>
      </c>
      <c r="AT1035" s="21">
        <f t="shared" si="359"/>
        <v>1395</v>
      </c>
      <c r="AU1035" s="21"/>
      <c r="AV1035" s="21"/>
      <c r="AW1035" s="21"/>
    </row>
    <row r="1036" spans="1:49" x14ac:dyDescent="0.2">
      <c r="A1036">
        <v>561</v>
      </c>
      <c r="E1036">
        <f t="shared" si="354"/>
        <v>2</v>
      </c>
      <c r="J1036" t="str">
        <f t="shared" si="361"/>
        <v>12</v>
      </c>
      <c r="K1036" t="str">
        <f t="shared" si="362"/>
        <v>45</v>
      </c>
      <c r="L1036" t="str">
        <f t="shared" si="363"/>
        <v/>
      </c>
      <c r="M1036" s="6" t="str">
        <f t="shared" si="364"/>
        <v/>
      </c>
      <c r="N1036" t="str">
        <f t="shared" si="360"/>
        <v>Home</v>
      </c>
      <c r="O1036">
        <v>9</v>
      </c>
      <c r="P1036" t="s">
        <v>425</v>
      </c>
      <c r="Y1036" t="str">
        <f t="shared" si="344"/>
        <v/>
      </c>
      <c r="Z1036" t="str">
        <f t="shared" si="345"/>
        <v/>
      </c>
      <c r="AC1036" t="str">
        <f t="shared" si="346"/>
        <v>Shot</v>
      </c>
      <c r="AD1036" t="str">
        <f t="shared" si="347"/>
        <v>Shot_Missed</v>
      </c>
      <c r="AE1036" t="str">
        <f t="shared" si="348"/>
        <v>Shot-Wrist</v>
      </c>
      <c r="AF1036" t="str">
        <f t="shared" si="349"/>
        <v>Defensive</v>
      </c>
      <c r="AG1036">
        <f t="shared" si="355"/>
        <v>18981</v>
      </c>
      <c r="AH1036" t="str">
        <f t="shared" si="356"/>
        <v>Nelson</v>
      </c>
      <c r="AI1036" t="str">
        <f t="shared" si="357"/>
        <v>Velodrome</v>
      </c>
      <c r="AJ1036" s="18">
        <f t="shared" si="350"/>
        <v>0</v>
      </c>
      <c r="AP1036" s="18">
        <f t="shared" si="351"/>
        <v>0</v>
      </c>
      <c r="AQ1036">
        <f t="shared" si="352"/>
        <v>1080</v>
      </c>
      <c r="AR1036" s="23">
        <f t="shared" si="353"/>
        <v>1395</v>
      </c>
      <c r="AS1036">
        <f t="shared" si="358"/>
        <v>1390</v>
      </c>
      <c r="AT1036" s="21">
        <f t="shared" si="359"/>
        <v>1395</v>
      </c>
      <c r="AU1036" s="21"/>
      <c r="AV1036" s="21"/>
      <c r="AW1036" s="21"/>
    </row>
    <row r="1037" spans="1:49" x14ac:dyDescent="0.2">
      <c r="A1037">
        <v>562</v>
      </c>
      <c r="E1037">
        <f t="shared" si="354"/>
        <v>2</v>
      </c>
      <c r="F1037" s="5" t="s">
        <v>487</v>
      </c>
      <c r="G1037" s="5" t="s">
        <v>514</v>
      </c>
      <c r="H1037" s="5" t="s">
        <v>487</v>
      </c>
      <c r="I1037" s="7" t="s">
        <v>512</v>
      </c>
      <c r="J1037" t="str">
        <f t="shared" si="361"/>
        <v>12</v>
      </c>
      <c r="K1037" t="str">
        <f t="shared" si="362"/>
        <v>42</v>
      </c>
      <c r="L1037" t="str">
        <f t="shared" si="363"/>
        <v>12</v>
      </c>
      <c r="M1037" s="6" t="str">
        <f t="shared" si="364"/>
        <v>40</v>
      </c>
      <c r="N1037" t="s">
        <v>179</v>
      </c>
      <c r="O1037">
        <v>93</v>
      </c>
      <c r="P1037" t="s">
        <v>424</v>
      </c>
      <c r="Q1037" t="s">
        <v>15</v>
      </c>
      <c r="Y1037" t="str">
        <f t="shared" si="344"/>
        <v/>
      </c>
      <c r="Z1037" t="str">
        <f t="shared" si="345"/>
        <v/>
      </c>
      <c r="AC1037" t="str">
        <f t="shared" si="346"/>
        <v>Possession</v>
      </c>
      <c r="AD1037" t="str">
        <f t="shared" si="347"/>
        <v/>
      </c>
      <c r="AE1037" t="str">
        <f t="shared" si="348"/>
        <v/>
      </c>
      <c r="AF1037" t="str">
        <f t="shared" si="349"/>
        <v>Offensive</v>
      </c>
      <c r="AG1037">
        <f t="shared" si="355"/>
        <v>18981</v>
      </c>
      <c r="AH1037" t="str">
        <f t="shared" si="356"/>
        <v>Nelson</v>
      </c>
      <c r="AI1037" t="str">
        <f t="shared" si="357"/>
        <v>Velodrome</v>
      </c>
      <c r="AJ1037" s="18">
        <f t="shared" si="350"/>
        <v>2</v>
      </c>
      <c r="AP1037" s="18">
        <f t="shared" si="351"/>
        <v>0</v>
      </c>
      <c r="AQ1037">
        <f t="shared" si="352"/>
        <v>1080</v>
      </c>
      <c r="AR1037" s="23">
        <f t="shared" si="353"/>
        <v>1398</v>
      </c>
      <c r="AS1037">
        <f t="shared" si="358"/>
        <v>1393</v>
      </c>
      <c r="AT1037" s="21">
        <f t="shared" si="359"/>
        <v>1400</v>
      </c>
      <c r="AU1037" s="21"/>
      <c r="AV1037" s="21"/>
      <c r="AW1037" s="21"/>
    </row>
    <row r="1038" spans="1:49" x14ac:dyDescent="0.2">
      <c r="A1038">
        <v>563</v>
      </c>
      <c r="E1038">
        <f t="shared" si="354"/>
        <v>2</v>
      </c>
      <c r="F1038" s="5" t="s">
        <v>487</v>
      </c>
      <c r="G1038" s="5" t="s">
        <v>512</v>
      </c>
      <c r="J1038" t="str">
        <f t="shared" si="361"/>
        <v>12</v>
      </c>
      <c r="K1038" t="str">
        <f t="shared" si="362"/>
        <v>40</v>
      </c>
      <c r="L1038" t="str">
        <f t="shared" si="363"/>
        <v/>
      </c>
      <c r="M1038" s="6" t="str">
        <f t="shared" si="364"/>
        <v/>
      </c>
      <c r="N1038" t="s">
        <v>179</v>
      </c>
      <c r="O1038">
        <v>93</v>
      </c>
      <c r="P1038" t="s">
        <v>424</v>
      </c>
      <c r="Q1038" t="s">
        <v>277</v>
      </c>
      <c r="R1038" t="s">
        <v>201</v>
      </c>
      <c r="S1038" t="s">
        <v>92</v>
      </c>
      <c r="Y1038" t="str">
        <f t="shared" si="344"/>
        <v/>
      </c>
      <c r="Z1038" t="str">
        <f t="shared" si="345"/>
        <v/>
      </c>
      <c r="AC1038" t="str">
        <f t="shared" si="346"/>
        <v>Zone_Entry_Exit</v>
      </c>
      <c r="AD1038" t="str">
        <f t="shared" si="347"/>
        <v>Zone_Exit</v>
      </c>
      <c r="AE1038" t="str">
        <f t="shared" si="348"/>
        <v>ZoneExit-Clear</v>
      </c>
      <c r="AF1038" t="str">
        <f t="shared" si="349"/>
        <v>Offensive</v>
      </c>
      <c r="AG1038">
        <f t="shared" si="355"/>
        <v>18981</v>
      </c>
      <c r="AH1038" t="str">
        <f t="shared" si="356"/>
        <v>Nelson</v>
      </c>
      <c r="AI1038" t="str">
        <f t="shared" si="357"/>
        <v>Velodrome</v>
      </c>
      <c r="AJ1038" s="18">
        <f t="shared" si="350"/>
        <v>0</v>
      </c>
      <c r="AP1038" s="18">
        <f t="shared" si="351"/>
        <v>0</v>
      </c>
      <c r="AQ1038">
        <f t="shared" si="352"/>
        <v>1080</v>
      </c>
      <c r="AR1038" s="23">
        <f t="shared" si="353"/>
        <v>1400</v>
      </c>
      <c r="AS1038">
        <f t="shared" si="358"/>
        <v>1395</v>
      </c>
      <c r="AT1038" s="21">
        <f t="shared" si="359"/>
        <v>1400</v>
      </c>
      <c r="AU1038" s="21"/>
      <c r="AV1038" s="21"/>
      <c r="AW1038" s="21"/>
    </row>
    <row r="1039" spans="1:49" x14ac:dyDescent="0.2">
      <c r="A1039">
        <v>564</v>
      </c>
      <c r="E1039">
        <f t="shared" si="354"/>
        <v>2</v>
      </c>
      <c r="F1039" s="5" t="s">
        <v>487</v>
      </c>
      <c r="G1039" s="5" t="s">
        <v>512</v>
      </c>
      <c r="J1039" t="str">
        <f t="shared" si="361"/>
        <v>12</v>
      </c>
      <c r="K1039" t="str">
        <f t="shared" si="362"/>
        <v>40</v>
      </c>
      <c r="L1039" t="str">
        <f t="shared" si="363"/>
        <v/>
      </c>
      <c r="M1039" s="6" t="str">
        <f t="shared" si="364"/>
        <v/>
      </c>
      <c r="N1039" t="s">
        <v>179</v>
      </c>
      <c r="O1039">
        <v>93</v>
      </c>
      <c r="P1039" t="s">
        <v>424</v>
      </c>
      <c r="Q1039" t="s">
        <v>277</v>
      </c>
      <c r="R1039" t="s">
        <v>191</v>
      </c>
      <c r="S1039" t="s">
        <v>432</v>
      </c>
      <c r="Y1039" t="str">
        <f t="shared" si="344"/>
        <v/>
      </c>
      <c r="Z1039" t="str">
        <f t="shared" si="345"/>
        <v/>
      </c>
      <c r="AC1039" t="str">
        <f t="shared" si="346"/>
        <v>Zone_Entry_Exit</v>
      </c>
      <c r="AD1039" t="str">
        <f t="shared" si="347"/>
        <v>Zone_Entry</v>
      </c>
      <c r="AE1039" t="str">
        <f t="shared" si="348"/>
        <v>ZoneEntry-FromExitClear</v>
      </c>
      <c r="AF1039" t="str">
        <f t="shared" si="349"/>
        <v>Offensive</v>
      </c>
      <c r="AG1039">
        <f t="shared" si="355"/>
        <v>18981</v>
      </c>
      <c r="AH1039" t="str">
        <f t="shared" si="356"/>
        <v>Nelson</v>
      </c>
      <c r="AI1039" t="str">
        <f t="shared" si="357"/>
        <v>Velodrome</v>
      </c>
      <c r="AJ1039" s="18">
        <f t="shared" si="350"/>
        <v>0</v>
      </c>
      <c r="AP1039" s="18">
        <f t="shared" si="351"/>
        <v>0</v>
      </c>
      <c r="AQ1039">
        <f t="shared" si="352"/>
        <v>1080</v>
      </c>
      <c r="AR1039" s="23">
        <f t="shared" si="353"/>
        <v>1400</v>
      </c>
      <c r="AS1039">
        <f t="shared" si="358"/>
        <v>1395</v>
      </c>
      <c r="AT1039" s="21">
        <f t="shared" si="359"/>
        <v>1400</v>
      </c>
      <c r="AU1039" s="21"/>
      <c r="AV1039" s="21"/>
      <c r="AW1039" s="21"/>
    </row>
    <row r="1040" spans="1:49" x14ac:dyDescent="0.2">
      <c r="A1040">
        <v>565</v>
      </c>
      <c r="E1040">
        <f t="shared" si="354"/>
        <v>2</v>
      </c>
      <c r="F1040" s="5" t="s">
        <v>487</v>
      </c>
      <c r="G1040" s="5" t="s">
        <v>505</v>
      </c>
      <c r="H1040" s="5" t="s">
        <v>487</v>
      </c>
      <c r="I1040" s="7" t="s">
        <v>501</v>
      </c>
      <c r="J1040" t="str">
        <f t="shared" si="361"/>
        <v>12</v>
      </c>
      <c r="K1040" t="str">
        <f t="shared" si="362"/>
        <v>33</v>
      </c>
      <c r="L1040" t="str">
        <f t="shared" si="363"/>
        <v>12</v>
      </c>
      <c r="M1040" s="6" t="str">
        <f t="shared" si="364"/>
        <v>29</v>
      </c>
      <c r="N1040" t="s">
        <v>178</v>
      </c>
      <c r="O1040">
        <v>80</v>
      </c>
      <c r="P1040" t="s">
        <v>424</v>
      </c>
      <c r="Q1040" t="s">
        <v>277</v>
      </c>
      <c r="R1040" t="s">
        <v>201</v>
      </c>
      <c r="S1040" t="s">
        <v>90</v>
      </c>
      <c r="Y1040" t="str">
        <f t="shared" si="344"/>
        <v/>
      </c>
      <c r="Z1040" t="str">
        <f t="shared" si="345"/>
        <v/>
      </c>
      <c r="AC1040" t="str">
        <f t="shared" si="346"/>
        <v>Zone_Entry_Exit</v>
      </c>
      <c r="AD1040" t="str">
        <f t="shared" si="347"/>
        <v>Zone_Exit</v>
      </c>
      <c r="AE1040" t="str">
        <f t="shared" si="348"/>
        <v>ZoneExit-Rush</v>
      </c>
      <c r="AF1040" t="str">
        <f t="shared" si="349"/>
        <v>Offensive</v>
      </c>
      <c r="AG1040">
        <f t="shared" si="355"/>
        <v>18981</v>
      </c>
      <c r="AH1040" t="str">
        <f t="shared" si="356"/>
        <v>Nelson</v>
      </c>
      <c r="AI1040" t="str">
        <f t="shared" si="357"/>
        <v>Velodrome</v>
      </c>
      <c r="AJ1040" s="18">
        <f t="shared" si="350"/>
        <v>4</v>
      </c>
      <c r="AP1040" s="18">
        <f t="shared" si="351"/>
        <v>0</v>
      </c>
      <c r="AQ1040">
        <f t="shared" si="352"/>
        <v>1080</v>
      </c>
      <c r="AR1040" s="23">
        <f t="shared" si="353"/>
        <v>1407</v>
      </c>
      <c r="AS1040">
        <f t="shared" si="358"/>
        <v>1402</v>
      </c>
      <c r="AT1040" s="21">
        <f t="shared" si="359"/>
        <v>1411</v>
      </c>
      <c r="AU1040" s="21"/>
      <c r="AV1040" s="21"/>
      <c r="AW1040" s="21"/>
    </row>
    <row r="1041" spans="1:49" x14ac:dyDescent="0.2">
      <c r="A1041">
        <v>566</v>
      </c>
      <c r="E1041">
        <f t="shared" si="354"/>
        <v>2</v>
      </c>
      <c r="F1041" s="5" t="s">
        <v>487</v>
      </c>
      <c r="G1041" s="5" t="s">
        <v>501</v>
      </c>
      <c r="H1041" s="5" t="s">
        <v>487</v>
      </c>
      <c r="I1041" s="7" t="s">
        <v>499</v>
      </c>
      <c r="J1041" t="str">
        <f t="shared" si="361"/>
        <v>12</v>
      </c>
      <c r="K1041" t="str">
        <f t="shared" si="362"/>
        <v>29</v>
      </c>
      <c r="L1041" t="str">
        <f t="shared" si="363"/>
        <v>12</v>
      </c>
      <c r="M1041" s="6" t="str">
        <f t="shared" si="364"/>
        <v>27</v>
      </c>
      <c r="N1041" t="s">
        <v>178</v>
      </c>
      <c r="O1041">
        <v>80</v>
      </c>
      <c r="P1041" t="s">
        <v>424</v>
      </c>
      <c r="Q1041" t="s">
        <v>15</v>
      </c>
      <c r="Y1041" t="str">
        <f t="shared" si="344"/>
        <v/>
      </c>
      <c r="Z1041" t="str">
        <f t="shared" si="345"/>
        <v/>
      </c>
      <c r="AC1041" t="str">
        <f t="shared" si="346"/>
        <v>Possession</v>
      </c>
      <c r="AD1041" t="str">
        <f t="shared" si="347"/>
        <v/>
      </c>
      <c r="AE1041" t="str">
        <f t="shared" si="348"/>
        <v/>
      </c>
      <c r="AF1041" t="str">
        <f t="shared" si="349"/>
        <v>Offensive</v>
      </c>
      <c r="AG1041">
        <f t="shared" si="355"/>
        <v>18981</v>
      </c>
      <c r="AH1041" t="str">
        <f t="shared" si="356"/>
        <v>Nelson</v>
      </c>
      <c r="AI1041" t="str">
        <f t="shared" si="357"/>
        <v>Velodrome</v>
      </c>
      <c r="AJ1041" s="18">
        <f t="shared" si="350"/>
        <v>2</v>
      </c>
      <c r="AP1041" s="18">
        <f t="shared" si="351"/>
        <v>0</v>
      </c>
      <c r="AQ1041">
        <f t="shared" si="352"/>
        <v>1080</v>
      </c>
      <c r="AR1041" s="23">
        <f t="shared" si="353"/>
        <v>1411</v>
      </c>
      <c r="AS1041">
        <f t="shared" si="358"/>
        <v>1406</v>
      </c>
      <c r="AT1041" s="21">
        <f t="shared" si="359"/>
        <v>1413</v>
      </c>
      <c r="AU1041" s="21"/>
      <c r="AV1041" s="21"/>
      <c r="AW1041" s="21"/>
    </row>
    <row r="1042" spans="1:49" x14ac:dyDescent="0.2">
      <c r="A1042">
        <v>567</v>
      </c>
      <c r="E1042">
        <f t="shared" si="354"/>
        <v>2</v>
      </c>
      <c r="F1042" s="5" t="s">
        <v>487</v>
      </c>
      <c r="G1042" s="5" t="s">
        <v>499</v>
      </c>
      <c r="H1042" s="5" t="s">
        <v>487</v>
      </c>
      <c r="I1042" s="7" t="s">
        <v>497</v>
      </c>
      <c r="J1042" t="str">
        <f t="shared" si="361"/>
        <v>12</v>
      </c>
      <c r="K1042" t="str">
        <f t="shared" si="362"/>
        <v>27</v>
      </c>
      <c r="L1042" t="str">
        <f t="shared" si="363"/>
        <v>12</v>
      </c>
      <c r="M1042" s="6" t="str">
        <f t="shared" si="364"/>
        <v>25</v>
      </c>
      <c r="N1042" t="s">
        <v>178</v>
      </c>
      <c r="O1042">
        <v>80</v>
      </c>
      <c r="P1042" t="s">
        <v>424</v>
      </c>
      <c r="Q1042" t="s">
        <v>277</v>
      </c>
      <c r="R1042" t="s">
        <v>191</v>
      </c>
      <c r="S1042" t="s">
        <v>87</v>
      </c>
      <c r="Y1042" t="str">
        <f t="shared" si="344"/>
        <v/>
      </c>
      <c r="Z1042" t="str">
        <f t="shared" si="345"/>
        <v/>
      </c>
      <c r="AC1042" t="str">
        <f t="shared" si="346"/>
        <v>Zone_Entry_Exit</v>
      </c>
      <c r="AD1042" t="str">
        <f t="shared" si="347"/>
        <v>Zone_Entry</v>
      </c>
      <c r="AE1042" t="str">
        <f t="shared" si="348"/>
        <v>ZoneEntry-Rush</v>
      </c>
      <c r="AF1042" t="str">
        <f t="shared" si="349"/>
        <v>Offensive</v>
      </c>
      <c r="AG1042">
        <f t="shared" si="355"/>
        <v>18981</v>
      </c>
      <c r="AH1042" t="str">
        <f t="shared" si="356"/>
        <v>Nelson</v>
      </c>
      <c r="AI1042" t="str">
        <f t="shared" si="357"/>
        <v>Velodrome</v>
      </c>
      <c r="AJ1042" s="18">
        <f t="shared" si="350"/>
        <v>2</v>
      </c>
      <c r="AP1042" s="18">
        <f t="shared" si="351"/>
        <v>0</v>
      </c>
      <c r="AQ1042">
        <f t="shared" si="352"/>
        <v>1080</v>
      </c>
      <c r="AR1042" s="23">
        <f t="shared" si="353"/>
        <v>1413</v>
      </c>
      <c r="AS1042">
        <f t="shared" si="358"/>
        <v>1408</v>
      </c>
      <c r="AT1042" s="21">
        <f t="shared" si="359"/>
        <v>1415</v>
      </c>
      <c r="AU1042" s="21"/>
      <c r="AV1042" s="21"/>
      <c r="AW1042" s="21"/>
    </row>
    <row r="1043" spans="1:49" x14ac:dyDescent="0.2">
      <c r="A1043">
        <v>567</v>
      </c>
      <c r="E1043">
        <f t="shared" si="354"/>
        <v>2</v>
      </c>
      <c r="J1043" t="str">
        <f t="shared" si="361"/>
        <v>12</v>
      </c>
      <c r="K1043" t="str">
        <f t="shared" si="362"/>
        <v>27</v>
      </c>
      <c r="L1043" t="str">
        <f t="shared" si="363"/>
        <v>12</v>
      </c>
      <c r="M1043" s="6" t="str">
        <f t="shared" si="364"/>
        <v>25</v>
      </c>
      <c r="N1043" t="str">
        <f t="shared" si="360"/>
        <v>Home</v>
      </c>
      <c r="O1043">
        <v>24</v>
      </c>
      <c r="P1043" t="s">
        <v>425</v>
      </c>
      <c r="Y1043" t="str">
        <f t="shared" si="344"/>
        <v/>
      </c>
      <c r="Z1043" t="str">
        <f t="shared" si="345"/>
        <v/>
      </c>
      <c r="AC1043" t="str">
        <f t="shared" si="346"/>
        <v>Zone_Entry_Exit</v>
      </c>
      <c r="AD1043" t="str">
        <f t="shared" si="347"/>
        <v>Zone_Entry</v>
      </c>
      <c r="AE1043" t="str">
        <f t="shared" si="348"/>
        <v>ZoneEntry-Rush</v>
      </c>
      <c r="AF1043" t="str">
        <f t="shared" si="349"/>
        <v>Defensive</v>
      </c>
      <c r="AG1043">
        <f t="shared" si="355"/>
        <v>18981</v>
      </c>
      <c r="AH1043" t="str">
        <f t="shared" si="356"/>
        <v>Nelson</v>
      </c>
      <c r="AI1043" t="str">
        <f t="shared" si="357"/>
        <v>Velodrome</v>
      </c>
      <c r="AJ1043" s="18">
        <f t="shared" si="350"/>
        <v>2</v>
      </c>
      <c r="AP1043" s="18">
        <f t="shared" si="351"/>
        <v>0</v>
      </c>
      <c r="AQ1043">
        <f t="shared" si="352"/>
        <v>1080</v>
      </c>
      <c r="AR1043" s="23">
        <f t="shared" si="353"/>
        <v>1413</v>
      </c>
      <c r="AS1043">
        <f t="shared" si="358"/>
        <v>1408</v>
      </c>
      <c r="AT1043" s="21">
        <f t="shared" si="359"/>
        <v>1415</v>
      </c>
      <c r="AU1043" s="21"/>
      <c r="AV1043" s="21"/>
      <c r="AW1043" s="21"/>
    </row>
    <row r="1044" spans="1:49" x14ac:dyDescent="0.2">
      <c r="A1044">
        <v>567</v>
      </c>
      <c r="E1044">
        <f t="shared" si="354"/>
        <v>2</v>
      </c>
      <c r="J1044" t="str">
        <f t="shared" si="361"/>
        <v>12</v>
      </c>
      <c r="K1044" t="str">
        <f t="shared" si="362"/>
        <v>27</v>
      </c>
      <c r="L1044" t="str">
        <f t="shared" si="363"/>
        <v>12</v>
      </c>
      <c r="M1044" s="6" t="str">
        <f t="shared" si="364"/>
        <v>25</v>
      </c>
      <c r="N1044" t="str">
        <f t="shared" si="360"/>
        <v>Home</v>
      </c>
      <c r="O1044">
        <v>93</v>
      </c>
      <c r="P1044" t="s">
        <v>425</v>
      </c>
      <c r="Y1044" t="str">
        <f t="shared" si="344"/>
        <v/>
      </c>
      <c r="Z1044" t="str">
        <f t="shared" si="345"/>
        <v/>
      </c>
      <c r="AC1044" t="str">
        <f t="shared" si="346"/>
        <v>Zone_Entry_Exit</v>
      </c>
      <c r="AD1044" t="str">
        <f t="shared" si="347"/>
        <v>Zone_Entry</v>
      </c>
      <c r="AE1044" t="str">
        <f t="shared" si="348"/>
        <v>ZoneEntry-Rush</v>
      </c>
      <c r="AF1044" t="str">
        <f t="shared" si="349"/>
        <v>Defensive</v>
      </c>
      <c r="AG1044">
        <f t="shared" si="355"/>
        <v>18981</v>
      </c>
      <c r="AH1044" t="str">
        <f t="shared" si="356"/>
        <v>Nelson</v>
      </c>
      <c r="AI1044" t="str">
        <f t="shared" si="357"/>
        <v>Velodrome</v>
      </c>
      <c r="AJ1044" s="18">
        <f t="shared" si="350"/>
        <v>2</v>
      </c>
      <c r="AP1044" s="18">
        <f t="shared" si="351"/>
        <v>0</v>
      </c>
      <c r="AQ1044">
        <f t="shared" si="352"/>
        <v>1080</v>
      </c>
      <c r="AR1044" s="23">
        <f t="shared" si="353"/>
        <v>1413</v>
      </c>
      <c r="AS1044">
        <f t="shared" si="358"/>
        <v>1408</v>
      </c>
      <c r="AT1044" s="21">
        <f t="shared" si="359"/>
        <v>1415</v>
      </c>
      <c r="AU1044" s="21"/>
      <c r="AV1044" s="21"/>
      <c r="AW1044" s="21"/>
    </row>
    <row r="1045" spans="1:49" x14ac:dyDescent="0.2">
      <c r="A1045">
        <v>567</v>
      </c>
      <c r="E1045">
        <f t="shared" si="354"/>
        <v>2</v>
      </c>
      <c r="J1045" t="str">
        <f t="shared" si="361"/>
        <v>12</v>
      </c>
      <c r="K1045" t="str">
        <f t="shared" si="362"/>
        <v>27</v>
      </c>
      <c r="L1045" t="str">
        <f t="shared" si="363"/>
        <v>12</v>
      </c>
      <c r="M1045" s="6" t="str">
        <f t="shared" si="364"/>
        <v>25</v>
      </c>
      <c r="N1045" t="str">
        <f t="shared" si="360"/>
        <v>Home</v>
      </c>
      <c r="O1045">
        <v>9</v>
      </c>
      <c r="P1045" t="s">
        <v>425</v>
      </c>
      <c r="Y1045" t="str">
        <f t="shared" si="344"/>
        <v/>
      </c>
      <c r="Z1045" t="str">
        <f t="shared" si="345"/>
        <v/>
      </c>
      <c r="AC1045" t="str">
        <f t="shared" si="346"/>
        <v>Zone_Entry_Exit</v>
      </c>
      <c r="AD1045" t="str">
        <f t="shared" si="347"/>
        <v>Zone_Entry</v>
      </c>
      <c r="AE1045" t="str">
        <f t="shared" si="348"/>
        <v>ZoneEntry-Rush</v>
      </c>
      <c r="AF1045" t="str">
        <f t="shared" si="349"/>
        <v>Defensive</v>
      </c>
      <c r="AG1045">
        <f t="shared" si="355"/>
        <v>18981</v>
      </c>
      <c r="AH1045" t="str">
        <f t="shared" si="356"/>
        <v>Nelson</v>
      </c>
      <c r="AI1045" t="str">
        <f t="shared" si="357"/>
        <v>Velodrome</v>
      </c>
      <c r="AJ1045" s="18">
        <f t="shared" si="350"/>
        <v>2</v>
      </c>
      <c r="AP1045" s="18">
        <f t="shared" si="351"/>
        <v>0</v>
      </c>
      <c r="AQ1045">
        <f t="shared" si="352"/>
        <v>1080</v>
      </c>
      <c r="AR1045" s="23">
        <f t="shared" si="353"/>
        <v>1413</v>
      </c>
      <c r="AS1045">
        <f t="shared" si="358"/>
        <v>1408</v>
      </c>
      <c r="AT1045" s="21">
        <f t="shared" si="359"/>
        <v>1415</v>
      </c>
      <c r="AU1045" s="21"/>
      <c r="AV1045" s="21"/>
      <c r="AW1045" s="21"/>
    </row>
    <row r="1046" spans="1:49" x14ac:dyDescent="0.2">
      <c r="A1046">
        <v>568</v>
      </c>
      <c r="E1046">
        <f t="shared" si="354"/>
        <v>2</v>
      </c>
      <c r="F1046" s="5" t="s">
        <v>487</v>
      </c>
      <c r="G1046" s="5" t="s">
        <v>497</v>
      </c>
      <c r="J1046" t="str">
        <f t="shared" si="361"/>
        <v>12</v>
      </c>
      <c r="K1046" t="str">
        <f t="shared" si="362"/>
        <v>25</v>
      </c>
      <c r="L1046" t="str">
        <f t="shared" si="363"/>
        <v/>
      </c>
      <c r="M1046" s="6" t="str">
        <f t="shared" si="364"/>
        <v/>
      </c>
      <c r="N1046" t="s">
        <v>178</v>
      </c>
      <c r="O1046">
        <v>80</v>
      </c>
      <c r="P1046" t="s">
        <v>424</v>
      </c>
      <c r="Q1046" t="s">
        <v>7</v>
      </c>
      <c r="R1046" t="s">
        <v>222</v>
      </c>
      <c r="S1046" t="s">
        <v>53</v>
      </c>
      <c r="Y1046" t="str">
        <f t="shared" si="344"/>
        <v/>
      </c>
      <c r="Z1046" t="str">
        <f t="shared" si="345"/>
        <v/>
      </c>
      <c r="AC1046" t="str">
        <f t="shared" si="346"/>
        <v>Shot</v>
      </c>
      <c r="AD1046" t="str">
        <f t="shared" si="347"/>
        <v>Shot_OnNetSaved</v>
      </c>
      <c r="AE1046" t="str">
        <f t="shared" si="348"/>
        <v>Shot-Wrist</v>
      </c>
      <c r="AF1046" t="str">
        <f t="shared" si="349"/>
        <v>Offensive</v>
      </c>
      <c r="AG1046">
        <f t="shared" si="355"/>
        <v>18981</v>
      </c>
      <c r="AH1046" t="str">
        <f t="shared" si="356"/>
        <v>Nelson</v>
      </c>
      <c r="AI1046" t="str">
        <f t="shared" si="357"/>
        <v>Velodrome</v>
      </c>
      <c r="AJ1046" s="18">
        <f t="shared" si="350"/>
        <v>0</v>
      </c>
      <c r="AP1046" s="18">
        <f t="shared" si="351"/>
        <v>0</v>
      </c>
      <c r="AQ1046">
        <f t="shared" si="352"/>
        <v>1080</v>
      </c>
      <c r="AR1046" s="23">
        <f t="shared" si="353"/>
        <v>1415</v>
      </c>
      <c r="AS1046">
        <f t="shared" si="358"/>
        <v>1410</v>
      </c>
      <c r="AT1046" s="21">
        <f t="shared" si="359"/>
        <v>1415</v>
      </c>
      <c r="AU1046" s="21"/>
      <c r="AV1046" s="21"/>
      <c r="AW1046" s="21"/>
    </row>
    <row r="1047" spans="1:49" x14ac:dyDescent="0.2">
      <c r="A1047">
        <v>568</v>
      </c>
      <c r="E1047">
        <f t="shared" si="354"/>
        <v>2</v>
      </c>
      <c r="J1047" t="str">
        <f t="shared" si="361"/>
        <v>12</v>
      </c>
      <c r="K1047" t="str">
        <f t="shared" si="362"/>
        <v>25</v>
      </c>
      <c r="L1047" t="str">
        <f t="shared" si="363"/>
        <v/>
      </c>
      <c r="M1047" s="6" t="str">
        <f t="shared" si="364"/>
        <v/>
      </c>
      <c r="N1047" t="str">
        <f t="shared" si="360"/>
        <v>Home</v>
      </c>
      <c r="O1047">
        <v>39</v>
      </c>
      <c r="P1047" t="s">
        <v>425</v>
      </c>
      <c r="Y1047" t="str">
        <f t="shared" si="344"/>
        <v/>
      </c>
      <c r="Z1047" t="str">
        <f t="shared" si="345"/>
        <v/>
      </c>
      <c r="AC1047" t="str">
        <f t="shared" si="346"/>
        <v>Shot</v>
      </c>
      <c r="AD1047" t="str">
        <f t="shared" si="347"/>
        <v>Shot_OnNetSaved</v>
      </c>
      <c r="AE1047" t="str">
        <f t="shared" si="348"/>
        <v>Shot-Wrist</v>
      </c>
      <c r="AF1047" t="str">
        <f t="shared" si="349"/>
        <v>Defensive</v>
      </c>
      <c r="AG1047">
        <f t="shared" si="355"/>
        <v>18981</v>
      </c>
      <c r="AH1047" t="str">
        <f t="shared" si="356"/>
        <v>Nelson</v>
      </c>
      <c r="AI1047" t="str">
        <f t="shared" si="357"/>
        <v>Velodrome</v>
      </c>
      <c r="AJ1047" s="18">
        <f t="shared" si="350"/>
        <v>0</v>
      </c>
      <c r="AP1047" s="18">
        <f t="shared" si="351"/>
        <v>0</v>
      </c>
      <c r="AQ1047">
        <f t="shared" si="352"/>
        <v>1080</v>
      </c>
      <c r="AR1047" s="23">
        <f t="shared" si="353"/>
        <v>1415</v>
      </c>
      <c r="AS1047">
        <f t="shared" si="358"/>
        <v>1410</v>
      </c>
      <c r="AT1047" s="21">
        <f t="shared" si="359"/>
        <v>1415</v>
      </c>
      <c r="AU1047" s="21"/>
      <c r="AV1047" s="21"/>
      <c r="AW1047" s="21"/>
    </row>
    <row r="1048" spans="1:49" x14ac:dyDescent="0.2">
      <c r="A1048">
        <v>569</v>
      </c>
      <c r="E1048">
        <f t="shared" si="354"/>
        <v>2</v>
      </c>
      <c r="F1048" s="5" t="s">
        <v>487</v>
      </c>
      <c r="G1048" s="5" t="s">
        <v>497</v>
      </c>
      <c r="J1048" t="str">
        <f t="shared" si="361"/>
        <v>12</v>
      </c>
      <c r="K1048" t="str">
        <f t="shared" si="362"/>
        <v>25</v>
      </c>
      <c r="L1048" t="str">
        <f t="shared" si="363"/>
        <v/>
      </c>
      <c r="M1048" s="6" t="str">
        <f t="shared" si="364"/>
        <v/>
      </c>
      <c r="N1048" t="s">
        <v>179</v>
      </c>
      <c r="O1048">
        <v>39</v>
      </c>
      <c r="P1048" t="s">
        <v>424</v>
      </c>
      <c r="Q1048" t="s">
        <v>17</v>
      </c>
      <c r="R1048" t="s">
        <v>196</v>
      </c>
      <c r="S1048" t="s">
        <v>102</v>
      </c>
      <c r="Y1048" t="str">
        <f t="shared" si="344"/>
        <v/>
      </c>
      <c r="Z1048" t="str">
        <f t="shared" si="345"/>
        <v/>
      </c>
      <c r="AC1048" t="str">
        <f t="shared" si="346"/>
        <v>Save</v>
      </c>
      <c r="AD1048" t="str">
        <f t="shared" si="347"/>
        <v>Save_Rebound</v>
      </c>
      <c r="AE1048" t="str">
        <f t="shared" si="348"/>
        <v>Save-Butterfly</v>
      </c>
      <c r="AF1048" t="str">
        <f t="shared" si="349"/>
        <v>Defensive</v>
      </c>
      <c r="AG1048">
        <f t="shared" si="355"/>
        <v>18981</v>
      </c>
      <c r="AH1048" t="str">
        <f t="shared" si="356"/>
        <v>Nelson</v>
      </c>
      <c r="AI1048" t="str">
        <f t="shared" si="357"/>
        <v>Velodrome</v>
      </c>
      <c r="AJ1048" s="18">
        <f t="shared" si="350"/>
        <v>0</v>
      </c>
      <c r="AP1048" s="18">
        <f t="shared" si="351"/>
        <v>0</v>
      </c>
      <c r="AQ1048">
        <f t="shared" si="352"/>
        <v>1080</v>
      </c>
      <c r="AR1048" s="23">
        <f t="shared" si="353"/>
        <v>1415</v>
      </c>
      <c r="AS1048">
        <f t="shared" si="358"/>
        <v>1410</v>
      </c>
      <c r="AT1048" s="21">
        <f t="shared" si="359"/>
        <v>1415</v>
      </c>
      <c r="AU1048" s="21"/>
      <c r="AV1048" s="21"/>
      <c r="AW1048" s="21"/>
    </row>
    <row r="1049" spans="1:49" x14ac:dyDescent="0.2">
      <c r="A1049">
        <v>569</v>
      </c>
      <c r="E1049">
        <f t="shared" si="354"/>
        <v>2</v>
      </c>
      <c r="J1049" t="str">
        <f t="shared" si="361"/>
        <v>12</v>
      </c>
      <c r="K1049" t="str">
        <f t="shared" si="362"/>
        <v>25</v>
      </c>
      <c r="L1049" t="str">
        <f t="shared" si="363"/>
        <v/>
      </c>
      <c r="M1049" s="6" t="str">
        <f t="shared" si="364"/>
        <v/>
      </c>
      <c r="N1049" t="str">
        <f t="shared" si="360"/>
        <v>Away</v>
      </c>
      <c r="O1049">
        <v>80</v>
      </c>
      <c r="P1049" t="s">
        <v>425</v>
      </c>
      <c r="Y1049" t="str">
        <f t="shared" si="344"/>
        <v/>
      </c>
      <c r="Z1049" t="str">
        <f t="shared" si="345"/>
        <v/>
      </c>
      <c r="AC1049" t="str">
        <f t="shared" si="346"/>
        <v>Save</v>
      </c>
      <c r="AD1049" t="str">
        <f t="shared" si="347"/>
        <v>Save_Rebound</v>
      </c>
      <c r="AE1049" t="str">
        <f t="shared" si="348"/>
        <v>Save-Butterfly</v>
      </c>
      <c r="AF1049" t="str">
        <f t="shared" si="349"/>
        <v>Offensive</v>
      </c>
      <c r="AG1049">
        <f t="shared" si="355"/>
        <v>18981</v>
      </c>
      <c r="AH1049" t="str">
        <f t="shared" si="356"/>
        <v>Nelson</v>
      </c>
      <c r="AI1049" t="str">
        <f t="shared" si="357"/>
        <v>Velodrome</v>
      </c>
      <c r="AJ1049" s="18">
        <f t="shared" si="350"/>
        <v>0</v>
      </c>
      <c r="AP1049" s="18">
        <f t="shared" si="351"/>
        <v>0</v>
      </c>
      <c r="AQ1049">
        <f t="shared" si="352"/>
        <v>1080</v>
      </c>
      <c r="AR1049" s="23">
        <f t="shared" si="353"/>
        <v>1415</v>
      </c>
      <c r="AS1049">
        <f t="shared" si="358"/>
        <v>1410</v>
      </c>
      <c r="AT1049" s="21">
        <f t="shared" si="359"/>
        <v>1415</v>
      </c>
      <c r="AU1049" s="21"/>
      <c r="AV1049" s="21"/>
      <c r="AW1049" s="21"/>
    </row>
    <row r="1050" spans="1:49" x14ac:dyDescent="0.2">
      <c r="A1050">
        <v>570</v>
      </c>
      <c r="E1050">
        <f t="shared" si="354"/>
        <v>2</v>
      </c>
      <c r="F1050" s="5" t="s">
        <v>487</v>
      </c>
      <c r="G1050" s="5" t="s">
        <v>497</v>
      </c>
      <c r="J1050" t="str">
        <f t="shared" si="361"/>
        <v>12</v>
      </c>
      <c r="K1050" t="str">
        <f t="shared" si="362"/>
        <v>25</v>
      </c>
      <c r="L1050" t="str">
        <f t="shared" si="363"/>
        <v/>
      </c>
      <c r="M1050" s="6" t="str">
        <f t="shared" si="364"/>
        <v/>
      </c>
      <c r="N1050" t="s">
        <v>179</v>
      </c>
      <c r="O1050">
        <v>39</v>
      </c>
      <c r="P1050" t="s">
        <v>424</v>
      </c>
      <c r="Q1050" t="s">
        <v>270</v>
      </c>
      <c r="R1050" t="s">
        <v>272</v>
      </c>
      <c r="Y1050" t="str">
        <f t="shared" si="344"/>
        <v/>
      </c>
      <c r="Z1050" t="str">
        <f t="shared" si="345"/>
        <v/>
      </c>
      <c r="AC1050" t="str">
        <f t="shared" si="346"/>
        <v>Rebound</v>
      </c>
      <c r="AD1050" t="str">
        <f t="shared" si="347"/>
        <v>Rebound_OppTeamRecovered</v>
      </c>
      <c r="AE1050" t="str">
        <f t="shared" si="348"/>
        <v/>
      </c>
      <c r="AF1050" t="str">
        <f t="shared" si="349"/>
        <v>Offensive</v>
      </c>
      <c r="AG1050">
        <f t="shared" si="355"/>
        <v>18981</v>
      </c>
      <c r="AH1050" t="str">
        <f t="shared" si="356"/>
        <v>Nelson</v>
      </c>
      <c r="AI1050" t="str">
        <f t="shared" si="357"/>
        <v>Velodrome</v>
      </c>
      <c r="AJ1050" s="18">
        <f t="shared" si="350"/>
        <v>0</v>
      </c>
      <c r="AP1050" s="18">
        <f t="shared" si="351"/>
        <v>0</v>
      </c>
      <c r="AQ1050">
        <f t="shared" si="352"/>
        <v>1080</v>
      </c>
      <c r="AR1050" s="23">
        <f t="shared" si="353"/>
        <v>1415</v>
      </c>
      <c r="AS1050">
        <f t="shared" si="358"/>
        <v>1410</v>
      </c>
      <c r="AT1050" s="21">
        <f t="shared" si="359"/>
        <v>1415</v>
      </c>
      <c r="AU1050" s="21"/>
      <c r="AV1050" s="21"/>
      <c r="AW1050" s="21"/>
    </row>
    <row r="1051" spans="1:49" x14ac:dyDescent="0.2">
      <c r="A1051">
        <v>571</v>
      </c>
      <c r="E1051">
        <f t="shared" si="354"/>
        <v>2</v>
      </c>
      <c r="F1051" s="5" t="s">
        <v>487</v>
      </c>
      <c r="G1051" s="5" t="s">
        <v>493</v>
      </c>
      <c r="J1051" t="str">
        <f t="shared" si="361"/>
        <v>12</v>
      </c>
      <c r="K1051" t="str">
        <f t="shared" si="362"/>
        <v>21</v>
      </c>
      <c r="L1051" t="str">
        <f t="shared" si="363"/>
        <v/>
      </c>
      <c r="M1051" s="6" t="str">
        <f t="shared" si="364"/>
        <v/>
      </c>
      <c r="N1051" t="s">
        <v>178</v>
      </c>
      <c r="O1051">
        <v>80</v>
      </c>
      <c r="P1051" t="s">
        <v>424</v>
      </c>
      <c r="Q1051" t="s">
        <v>8</v>
      </c>
      <c r="R1051" t="s">
        <v>189</v>
      </c>
      <c r="S1051" t="s">
        <v>442</v>
      </c>
      <c r="Y1051" t="str">
        <f t="shared" si="344"/>
        <v/>
      </c>
      <c r="Z1051" t="str">
        <f t="shared" si="345"/>
        <v/>
      </c>
      <c r="AC1051" t="str">
        <f t="shared" si="346"/>
        <v>Pass</v>
      </c>
      <c r="AD1051" t="str">
        <f t="shared" si="347"/>
        <v>Pass_Completed</v>
      </c>
      <c r="AE1051" t="str">
        <f t="shared" si="348"/>
        <v>Pass-Drop</v>
      </c>
      <c r="AF1051" t="str">
        <f t="shared" si="349"/>
        <v>Offensive</v>
      </c>
      <c r="AG1051">
        <f t="shared" si="355"/>
        <v>18981</v>
      </c>
      <c r="AH1051" t="str">
        <f t="shared" si="356"/>
        <v>Nelson</v>
      </c>
      <c r="AI1051" t="str">
        <f t="shared" si="357"/>
        <v>Velodrome</v>
      </c>
      <c r="AJ1051" s="18">
        <f t="shared" si="350"/>
        <v>0</v>
      </c>
      <c r="AP1051" s="18">
        <f t="shared" si="351"/>
        <v>0</v>
      </c>
      <c r="AQ1051">
        <f t="shared" si="352"/>
        <v>1080</v>
      </c>
      <c r="AR1051" s="23">
        <f t="shared" si="353"/>
        <v>1419</v>
      </c>
      <c r="AS1051">
        <f t="shared" si="358"/>
        <v>1414</v>
      </c>
      <c r="AT1051" s="21">
        <f t="shared" si="359"/>
        <v>1419</v>
      </c>
      <c r="AU1051" s="21"/>
      <c r="AV1051" s="21"/>
      <c r="AW1051" s="21"/>
    </row>
    <row r="1052" spans="1:49" x14ac:dyDescent="0.2">
      <c r="A1052">
        <v>571</v>
      </c>
      <c r="E1052">
        <f t="shared" si="354"/>
        <v>2</v>
      </c>
      <c r="J1052" t="str">
        <f t="shared" si="361"/>
        <v>12</v>
      </c>
      <c r="K1052" t="str">
        <f t="shared" si="362"/>
        <v>21</v>
      </c>
      <c r="L1052" t="str">
        <f t="shared" si="363"/>
        <v/>
      </c>
      <c r="M1052" s="6" t="str">
        <f t="shared" si="364"/>
        <v/>
      </c>
      <c r="N1052" t="str">
        <f t="shared" si="360"/>
        <v>Home</v>
      </c>
      <c r="O1052">
        <v>44</v>
      </c>
      <c r="P1052" t="s">
        <v>424</v>
      </c>
      <c r="Y1052" t="str">
        <f t="shared" si="344"/>
        <v/>
      </c>
      <c r="Z1052" t="str">
        <f t="shared" si="345"/>
        <v/>
      </c>
      <c r="AC1052" t="str">
        <f t="shared" si="346"/>
        <v>Pass</v>
      </c>
      <c r="AD1052" t="str">
        <f t="shared" si="347"/>
        <v>Pass_Completed</v>
      </c>
      <c r="AE1052" t="str">
        <f t="shared" si="348"/>
        <v>Pass-Drop</v>
      </c>
      <c r="AF1052" t="str">
        <f t="shared" si="349"/>
        <v>Offensive</v>
      </c>
      <c r="AG1052">
        <f t="shared" si="355"/>
        <v>18981</v>
      </c>
      <c r="AH1052" t="str">
        <f t="shared" si="356"/>
        <v>Nelson</v>
      </c>
      <c r="AI1052" t="str">
        <f t="shared" si="357"/>
        <v>Velodrome</v>
      </c>
      <c r="AJ1052" s="18">
        <f t="shared" si="350"/>
        <v>0</v>
      </c>
      <c r="AP1052" s="18">
        <f t="shared" si="351"/>
        <v>0</v>
      </c>
      <c r="AQ1052">
        <f t="shared" si="352"/>
        <v>1080</v>
      </c>
      <c r="AR1052" s="23">
        <f t="shared" si="353"/>
        <v>1419</v>
      </c>
      <c r="AS1052">
        <f t="shared" si="358"/>
        <v>1414</v>
      </c>
      <c r="AT1052" s="21">
        <f t="shared" si="359"/>
        <v>1419</v>
      </c>
      <c r="AU1052" s="21"/>
      <c r="AV1052" s="21"/>
      <c r="AW1052" s="21"/>
    </row>
    <row r="1053" spans="1:49" x14ac:dyDescent="0.2">
      <c r="A1053">
        <v>571</v>
      </c>
      <c r="E1053">
        <f t="shared" si="354"/>
        <v>2</v>
      </c>
      <c r="J1053" t="str">
        <f t="shared" si="361"/>
        <v>12</v>
      </c>
      <c r="K1053" t="str">
        <f t="shared" si="362"/>
        <v>21</v>
      </c>
      <c r="L1053" t="str">
        <f t="shared" si="363"/>
        <v/>
      </c>
      <c r="M1053" s="6" t="str">
        <f t="shared" si="364"/>
        <v/>
      </c>
      <c r="N1053" t="str">
        <f t="shared" si="360"/>
        <v>Home</v>
      </c>
      <c r="O1053">
        <v>93</v>
      </c>
      <c r="P1053" t="s">
        <v>425</v>
      </c>
      <c r="Y1053" t="str">
        <f t="shared" si="344"/>
        <v/>
      </c>
      <c r="Z1053" t="str">
        <f t="shared" si="345"/>
        <v/>
      </c>
      <c r="AC1053" t="str">
        <f t="shared" si="346"/>
        <v>Pass</v>
      </c>
      <c r="AD1053" t="str">
        <f t="shared" si="347"/>
        <v>Pass_Completed</v>
      </c>
      <c r="AE1053" t="str">
        <f t="shared" si="348"/>
        <v>Pass-Drop</v>
      </c>
      <c r="AF1053" t="str">
        <f t="shared" si="349"/>
        <v>Defensive</v>
      </c>
      <c r="AG1053">
        <f t="shared" si="355"/>
        <v>18981</v>
      </c>
      <c r="AH1053" t="str">
        <f t="shared" si="356"/>
        <v>Nelson</v>
      </c>
      <c r="AI1053" t="str">
        <f t="shared" si="357"/>
        <v>Velodrome</v>
      </c>
      <c r="AJ1053" s="18">
        <f t="shared" si="350"/>
        <v>0</v>
      </c>
      <c r="AP1053" s="18">
        <f t="shared" si="351"/>
        <v>0</v>
      </c>
      <c r="AQ1053">
        <f t="shared" si="352"/>
        <v>1080</v>
      </c>
      <c r="AR1053" s="23">
        <f t="shared" si="353"/>
        <v>1419</v>
      </c>
      <c r="AS1053">
        <f t="shared" si="358"/>
        <v>1414</v>
      </c>
      <c r="AT1053" s="21">
        <f t="shared" si="359"/>
        <v>1419</v>
      </c>
      <c r="AU1053" s="21"/>
      <c r="AV1053" s="21"/>
      <c r="AW1053" s="21"/>
    </row>
    <row r="1054" spans="1:49" x14ac:dyDescent="0.2">
      <c r="A1054">
        <v>572</v>
      </c>
      <c r="E1054">
        <f t="shared" si="354"/>
        <v>2</v>
      </c>
      <c r="F1054" s="5" t="s">
        <v>487</v>
      </c>
      <c r="G1054" s="5" t="s">
        <v>493</v>
      </c>
      <c r="H1054" s="5" t="s">
        <v>487</v>
      </c>
      <c r="I1054" s="7" t="s">
        <v>491</v>
      </c>
      <c r="J1054" t="str">
        <f t="shared" si="361"/>
        <v>12</v>
      </c>
      <c r="K1054" t="str">
        <f t="shared" si="362"/>
        <v>21</v>
      </c>
      <c r="L1054" t="str">
        <f t="shared" si="363"/>
        <v>12</v>
      </c>
      <c r="M1054" s="6" t="str">
        <f t="shared" si="364"/>
        <v>19</v>
      </c>
      <c r="N1054" t="s">
        <v>178</v>
      </c>
      <c r="O1054">
        <v>44</v>
      </c>
      <c r="P1054" t="s">
        <v>424</v>
      </c>
      <c r="Q1054" t="s">
        <v>15</v>
      </c>
      <c r="Y1054" t="str">
        <f t="shared" si="344"/>
        <v/>
      </c>
      <c r="Z1054" t="str">
        <f t="shared" si="345"/>
        <v/>
      </c>
      <c r="AC1054" t="str">
        <f t="shared" si="346"/>
        <v>Possession</v>
      </c>
      <c r="AD1054" t="str">
        <f t="shared" si="347"/>
        <v/>
      </c>
      <c r="AE1054" t="str">
        <f t="shared" si="348"/>
        <v/>
      </c>
      <c r="AF1054" t="str">
        <f t="shared" si="349"/>
        <v>Offensive</v>
      </c>
      <c r="AG1054">
        <f t="shared" si="355"/>
        <v>18981</v>
      </c>
      <c r="AH1054" t="str">
        <f t="shared" si="356"/>
        <v>Nelson</v>
      </c>
      <c r="AI1054" t="str">
        <f t="shared" si="357"/>
        <v>Velodrome</v>
      </c>
      <c r="AJ1054" s="18">
        <f t="shared" si="350"/>
        <v>2</v>
      </c>
      <c r="AP1054" s="18">
        <f t="shared" si="351"/>
        <v>0</v>
      </c>
      <c r="AQ1054">
        <f t="shared" si="352"/>
        <v>1080</v>
      </c>
      <c r="AR1054" s="23">
        <f t="shared" si="353"/>
        <v>1419</v>
      </c>
      <c r="AS1054">
        <f t="shared" si="358"/>
        <v>1414</v>
      </c>
      <c r="AT1054" s="21">
        <f t="shared" si="359"/>
        <v>1421</v>
      </c>
      <c r="AU1054" s="21"/>
      <c r="AV1054" s="21"/>
      <c r="AW1054" s="21"/>
    </row>
    <row r="1055" spans="1:49" x14ac:dyDescent="0.2">
      <c r="A1055">
        <v>572</v>
      </c>
      <c r="E1055">
        <f t="shared" si="354"/>
        <v>2</v>
      </c>
      <c r="J1055" t="str">
        <f t="shared" si="361"/>
        <v>12</v>
      </c>
      <c r="K1055" t="str">
        <f t="shared" si="362"/>
        <v>21</v>
      </c>
      <c r="L1055" t="str">
        <f t="shared" si="363"/>
        <v>12</v>
      </c>
      <c r="M1055" s="6" t="str">
        <f t="shared" si="364"/>
        <v>19</v>
      </c>
      <c r="N1055" t="str">
        <f t="shared" si="360"/>
        <v>Home</v>
      </c>
      <c r="O1055">
        <v>42</v>
      </c>
      <c r="P1055" t="s">
        <v>425</v>
      </c>
      <c r="Y1055" t="str">
        <f t="shared" si="344"/>
        <v/>
      </c>
      <c r="Z1055" t="str">
        <f t="shared" si="345"/>
        <v/>
      </c>
      <c r="AC1055" t="str">
        <f t="shared" si="346"/>
        <v>Possession</v>
      </c>
      <c r="AD1055" t="str">
        <f t="shared" si="347"/>
        <v/>
      </c>
      <c r="AE1055" t="str">
        <f t="shared" si="348"/>
        <v/>
      </c>
      <c r="AF1055" t="str">
        <f t="shared" si="349"/>
        <v>Defensive</v>
      </c>
      <c r="AG1055">
        <f t="shared" si="355"/>
        <v>18981</v>
      </c>
      <c r="AH1055" t="str">
        <f t="shared" si="356"/>
        <v>Nelson</v>
      </c>
      <c r="AI1055" t="str">
        <f t="shared" si="357"/>
        <v>Velodrome</v>
      </c>
      <c r="AJ1055" s="18">
        <f t="shared" si="350"/>
        <v>2</v>
      </c>
      <c r="AP1055" s="18">
        <f t="shared" si="351"/>
        <v>0</v>
      </c>
      <c r="AQ1055">
        <f t="shared" si="352"/>
        <v>1080</v>
      </c>
      <c r="AR1055" s="23">
        <f t="shared" si="353"/>
        <v>1419</v>
      </c>
      <c r="AS1055">
        <f t="shared" si="358"/>
        <v>1414</v>
      </c>
      <c r="AT1055" s="21">
        <f t="shared" si="359"/>
        <v>1421</v>
      </c>
      <c r="AU1055" s="21"/>
      <c r="AV1055" s="21"/>
      <c r="AW1055" s="21"/>
    </row>
    <row r="1056" spans="1:49" x14ac:dyDescent="0.2">
      <c r="A1056">
        <v>573</v>
      </c>
      <c r="E1056">
        <f t="shared" si="354"/>
        <v>2</v>
      </c>
      <c r="F1056" s="5" t="s">
        <v>487</v>
      </c>
      <c r="G1056" s="5" t="s">
        <v>490</v>
      </c>
      <c r="J1056" t="str">
        <f t="shared" si="361"/>
        <v>12</v>
      </c>
      <c r="K1056" t="str">
        <f t="shared" si="362"/>
        <v>18</v>
      </c>
      <c r="L1056" t="str">
        <f t="shared" si="363"/>
        <v/>
      </c>
      <c r="M1056" s="6" t="str">
        <f t="shared" si="364"/>
        <v/>
      </c>
      <c r="N1056" t="s">
        <v>178</v>
      </c>
      <c r="O1056">
        <v>44</v>
      </c>
      <c r="P1056" t="s">
        <v>424</v>
      </c>
      <c r="Q1056" t="s">
        <v>8</v>
      </c>
      <c r="R1056" t="s">
        <v>189</v>
      </c>
      <c r="S1056" t="s">
        <v>68</v>
      </c>
      <c r="Y1056" t="str">
        <f t="shared" si="344"/>
        <v/>
      </c>
      <c r="Z1056" t="str">
        <f t="shared" si="345"/>
        <v/>
      </c>
      <c r="AC1056" t="str">
        <f t="shared" si="346"/>
        <v>Pass</v>
      </c>
      <c r="AD1056" t="str">
        <f t="shared" si="347"/>
        <v>Pass_Completed</v>
      </c>
      <c r="AE1056" t="str">
        <f t="shared" si="348"/>
        <v>Pass-Rim/Wrap</v>
      </c>
      <c r="AF1056" t="str">
        <f t="shared" si="349"/>
        <v>Offensive</v>
      </c>
      <c r="AG1056">
        <f t="shared" si="355"/>
        <v>18981</v>
      </c>
      <c r="AH1056" t="str">
        <f t="shared" si="356"/>
        <v>Nelson</v>
      </c>
      <c r="AI1056" t="str">
        <f t="shared" si="357"/>
        <v>Velodrome</v>
      </c>
      <c r="AJ1056" s="18">
        <f t="shared" si="350"/>
        <v>0</v>
      </c>
      <c r="AP1056" s="18">
        <f t="shared" si="351"/>
        <v>0</v>
      </c>
      <c r="AQ1056">
        <f t="shared" si="352"/>
        <v>1080</v>
      </c>
      <c r="AR1056" s="23">
        <f t="shared" si="353"/>
        <v>1422</v>
      </c>
      <c r="AS1056">
        <f t="shared" si="358"/>
        <v>1417</v>
      </c>
      <c r="AT1056" s="21">
        <f t="shared" si="359"/>
        <v>1422</v>
      </c>
      <c r="AU1056" s="21"/>
      <c r="AV1056" s="21"/>
      <c r="AW1056" s="21"/>
    </row>
    <row r="1057" spans="1:49" x14ac:dyDescent="0.2">
      <c r="A1057">
        <v>573</v>
      </c>
      <c r="E1057">
        <f t="shared" si="354"/>
        <v>2</v>
      </c>
      <c r="J1057" t="str">
        <f t="shared" si="361"/>
        <v>12</v>
      </c>
      <c r="K1057" t="str">
        <f t="shared" si="362"/>
        <v>18</v>
      </c>
      <c r="L1057" t="str">
        <f t="shared" si="363"/>
        <v/>
      </c>
      <c r="M1057" s="6" t="str">
        <f t="shared" si="364"/>
        <v/>
      </c>
      <c r="N1057" t="str">
        <f t="shared" si="360"/>
        <v>Home</v>
      </c>
      <c r="O1057">
        <v>80</v>
      </c>
      <c r="P1057" t="s">
        <v>424</v>
      </c>
      <c r="Y1057" t="str">
        <f t="shared" si="344"/>
        <v/>
      </c>
      <c r="Z1057" t="str">
        <f t="shared" si="345"/>
        <v/>
      </c>
      <c r="AC1057" t="str">
        <f t="shared" si="346"/>
        <v>Pass</v>
      </c>
      <c r="AD1057" t="str">
        <f t="shared" si="347"/>
        <v>Pass_Completed</v>
      </c>
      <c r="AE1057" t="str">
        <f t="shared" si="348"/>
        <v>Pass-Rim/Wrap</v>
      </c>
      <c r="AF1057" t="str">
        <f t="shared" si="349"/>
        <v>Offensive</v>
      </c>
      <c r="AG1057">
        <f t="shared" si="355"/>
        <v>18981</v>
      </c>
      <c r="AH1057" t="str">
        <f t="shared" si="356"/>
        <v>Nelson</v>
      </c>
      <c r="AI1057" t="str">
        <f t="shared" si="357"/>
        <v>Velodrome</v>
      </c>
      <c r="AJ1057" s="18">
        <f t="shared" si="350"/>
        <v>0</v>
      </c>
      <c r="AP1057" s="18">
        <f t="shared" si="351"/>
        <v>0</v>
      </c>
      <c r="AQ1057">
        <f t="shared" si="352"/>
        <v>1080</v>
      </c>
      <c r="AR1057" s="23">
        <f t="shared" si="353"/>
        <v>1422</v>
      </c>
      <c r="AS1057">
        <f t="shared" si="358"/>
        <v>1417</v>
      </c>
      <c r="AT1057" s="21">
        <f t="shared" si="359"/>
        <v>1422</v>
      </c>
      <c r="AU1057" s="21"/>
      <c r="AV1057" s="21"/>
      <c r="AW1057" s="21"/>
    </row>
    <row r="1058" spans="1:49" x14ac:dyDescent="0.2">
      <c r="A1058">
        <v>573</v>
      </c>
      <c r="E1058">
        <f t="shared" si="354"/>
        <v>2</v>
      </c>
      <c r="J1058" t="str">
        <f t="shared" si="361"/>
        <v>12</v>
      </c>
      <c r="K1058" t="str">
        <f t="shared" si="362"/>
        <v>18</v>
      </c>
      <c r="L1058" t="str">
        <f t="shared" si="363"/>
        <v/>
      </c>
      <c r="M1058" s="6" t="str">
        <f t="shared" si="364"/>
        <v/>
      </c>
      <c r="N1058" t="str">
        <f t="shared" si="360"/>
        <v>Home</v>
      </c>
      <c r="O1058">
        <v>93</v>
      </c>
      <c r="P1058" t="s">
        <v>425</v>
      </c>
      <c r="Y1058" t="str">
        <f t="shared" si="344"/>
        <v/>
      </c>
      <c r="Z1058" t="str">
        <f t="shared" si="345"/>
        <v/>
      </c>
      <c r="AC1058" t="str">
        <f t="shared" si="346"/>
        <v>Pass</v>
      </c>
      <c r="AD1058" t="str">
        <f t="shared" si="347"/>
        <v>Pass_Completed</v>
      </c>
      <c r="AE1058" t="str">
        <f t="shared" si="348"/>
        <v>Pass-Rim/Wrap</v>
      </c>
      <c r="AF1058" t="str">
        <f t="shared" si="349"/>
        <v>Defensive</v>
      </c>
      <c r="AG1058">
        <f t="shared" si="355"/>
        <v>18981</v>
      </c>
      <c r="AH1058" t="str">
        <f t="shared" si="356"/>
        <v>Nelson</v>
      </c>
      <c r="AI1058" t="str">
        <f t="shared" si="357"/>
        <v>Velodrome</v>
      </c>
      <c r="AJ1058" s="18">
        <f t="shared" si="350"/>
        <v>0</v>
      </c>
      <c r="AP1058" s="18">
        <f t="shared" si="351"/>
        <v>0</v>
      </c>
      <c r="AQ1058">
        <f t="shared" si="352"/>
        <v>1080</v>
      </c>
      <c r="AR1058" s="23">
        <f t="shared" si="353"/>
        <v>1422</v>
      </c>
      <c r="AS1058">
        <f t="shared" si="358"/>
        <v>1417</v>
      </c>
      <c r="AT1058" s="21">
        <f t="shared" si="359"/>
        <v>1422</v>
      </c>
      <c r="AU1058" s="21"/>
      <c r="AV1058" s="21"/>
      <c r="AW1058" s="21"/>
    </row>
    <row r="1059" spans="1:49" x14ac:dyDescent="0.2">
      <c r="A1059">
        <v>574</v>
      </c>
      <c r="E1059">
        <f t="shared" si="354"/>
        <v>2</v>
      </c>
      <c r="F1059" s="5" t="s">
        <v>487</v>
      </c>
      <c r="G1059" s="5" t="s">
        <v>477</v>
      </c>
      <c r="H1059" s="5" t="s">
        <v>487</v>
      </c>
      <c r="I1059" s="7" t="s">
        <v>488</v>
      </c>
      <c r="J1059" t="str">
        <f t="shared" si="361"/>
        <v>12</v>
      </c>
      <c r="K1059" t="str">
        <f t="shared" si="362"/>
        <v>16</v>
      </c>
      <c r="L1059" t="str">
        <f t="shared" si="363"/>
        <v>12</v>
      </c>
      <c r="M1059" s="6" t="str">
        <f t="shared" si="364"/>
        <v>13</v>
      </c>
      <c r="N1059" t="s">
        <v>178</v>
      </c>
      <c r="O1059">
        <v>80</v>
      </c>
      <c r="P1059" t="s">
        <v>424</v>
      </c>
      <c r="Q1059" t="s">
        <v>15</v>
      </c>
      <c r="Y1059" t="str">
        <f t="shared" si="344"/>
        <v/>
      </c>
      <c r="Z1059" t="str">
        <f t="shared" si="345"/>
        <v/>
      </c>
      <c r="AC1059" t="str">
        <f t="shared" si="346"/>
        <v>Possession</v>
      </c>
      <c r="AD1059" t="str">
        <f t="shared" si="347"/>
        <v/>
      </c>
      <c r="AE1059" t="str">
        <f t="shared" si="348"/>
        <v/>
      </c>
      <c r="AF1059" t="str">
        <f t="shared" si="349"/>
        <v>Offensive</v>
      </c>
      <c r="AG1059">
        <f t="shared" si="355"/>
        <v>18981</v>
      </c>
      <c r="AH1059" t="str">
        <f t="shared" si="356"/>
        <v>Nelson</v>
      </c>
      <c r="AI1059" t="str">
        <f t="shared" si="357"/>
        <v>Velodrome</v>
      </c>
      <c r="AJ1059" s="18">
        <f t="shared" si="350"/>
        <v>3</v>
      </c>
      <c r="AP1059" s="18">
        <f t="shared" si="351"/>
        <v>0</v>
      </c>
      <c r="AQ1059">
        <f t="shared" si="352"/>
        <v>1080</v>
      </c>
      <c r="AR1059" s="23">
        <f t="shared" si="353"/>
        <v>1424</v>
      </c>
      <c r="AS1059">
        <f t="shared" si="358"/>
        <v>1419</v>
      </c>
      <c r="AT1059" s="21">
        <f t="shared" si="359"/>
        <v>1427</v>
      </c>
      <c r="AU1059" s="21"/>
      <c r="AV1059" s="21"/>
      <c r="AW1059" s="21"/>
    </row>
    <row r="1060" spans="1:49" x14ac:dyDescent="0.2">
      <c r="A1060">
        <v>575</v>
      </c>
      <c r="E1060">
        <f t="shared" si="354"/>
        <v>2</v>
      </c>
      <c r="F1060" s="5" t="s">
        <v>487</v>
      </c>
      <c r="G1060" s="5" t="s">
        <v>488</v>
      </c>
      <c r="J1060" t="str">
        <f t="shared" si="361"/>
        <v>12</v>
      </c>
      <c r="K1060" t="str">
        <f t="shared" si="362"/>
        <v>13</v>
      </c>
      <c r="L1060" t="str">
        <f t="shared" si="363"/>
        <v/>
      </c>
      <c r="M1060" s="6" t="str">
        <f t="shared" si="364"/>
        <v/>
      </c>
      <c r="N1060" t="s">
        <v>178</v>
      </c>
      <c r="O1060">
        <v>80</v>
      </c>
      <c r="P1060" t="s">
        <v>424</v>
      </c>
      <c r="Q1060" t="s">
        <v>7</v>
      </c>
      <c r="R1060" t="s">
        <v>208</v>
      </c>
      <c r="S1060" t="s">
        <v>53</v>
      </c>
      <c r="Y1060" t="str">
        <f t="shared" si="344"/>
        <v/>
      </c>
      <c r="Z1060" t="str">
        <f t="shared" si="345"/>
        <v/>
      </c>
      <c r="AC1060" t="str">
        <f t="shared" si="346"/>
        <v>Shot</v>
      </c>
      <c r="AD1060" t="str">
        <f t="shared" si="347"/>
        <v>Shot_Blocked</v>
      </c>
      <c r="AE1060" t="str">
        <f t="shared" si="348"/>
        <v>Shot-Wrist</v>
      </c>
      <c r="AF1060" t="str">
        <f t="shared" si="349"/>
        <v>Offensive</v>
      </c>
      <c r="AG1060">
        <f t="shared" si="355"/>
        <v>18981</v>
      </c>
      <c r="AH1060" t="str">
        <f t="shared" si="356"/>
        <v>Nelson</v>
      </c>
      <c r="AI1060" t="str">
        <f t="shared" si="357"/>
        <v>Velodrome</v>
      </c>
      <c r="AJ1060" s="18">
        <f t="shared" si="350"/>
        <v>0</v>
      </c>
      <c r="AP1060" s="18">
        <f t="shared" si="351"/>
        <v>0</v>
      </c>
      <c r="AQ1060">
        <f t="shared" si="352"/>
        <v>1080</v>
      </c>
      <c r="AR1060" s="23">
        <f t="shared" si="353"/>
        <v>1427</v>
      </c>
      <c r="AS1060">
        <f t="shared" si="358"/>
        <v>1422</v>
      </c>
      <c r="AT1060" s="21">
        <f t="shared" si="359"/>
        <v>1427</v>
      </c>
      <c r="AU1060" s="21"/>
      <c r="AV1060" s="21"/>
      <c r="AW1060" s="21"/>
    </row>
    <row r="1061" spans="1:49" x14ac:dyDescent="0.2">
      <c r="A1061">
        <v>575</v>
      </c>
      <c r="E1061">
        <f t="shared" si="354"/>
        <v>2</v>
      </c>
      <c r="J1061" t="str">
        <f t="shared" si="361"/>
        <v>12</v>
      </c>
      <c r="K1061" t="str">
        <f t="shared" si="362"/>
        <v>13</v>
      </c>
      <c r="L1061" t="str">
        <f t="shared" si="363"/>
        <v/>
      </c>
      <c r="M1061" s="6" t="str">
        <f t="shared" si="364"/>
        <v/>
      </c>
      <c r="N1061" t="str">
        <f t="shared" si="360"/>
        <v>Home</v>
      </c>
      <c r="O1061">
        <v>24</v>
      </c>
      <c r="P1061" t="s">
        <v>425</v>
      </c>
      <c r="Y1061" t="str">
        <f t="shared" si="344"/>
        <v/>
      </c>
      <c r="Z1061" t="str">
        <f t="shared" si="345"/>
        <v/>
      </c>
      <c r="AC1061" t="str">
        <f t="shared" si="346"/>
        <v>Shot</v>
      </c>
      <c r="AD1061" t="str">
        <f t="shared" si="347"/>
        <v>Shot_Blocked</v>
      </c>
      <c r="AE1061" t="str">
        <f t="shared" si="348"/>
        <v>Shot-Wrist</v>
      </c>
      <c r="AF1061" t="str">
        <f t="shared" si="349"/>
        <v>Defensive</v>
      </c>
      <c r="AG1061">
        <f t="shared" si="355"/>
        <v>18981</v>
      </c>
      <c r="AH1061" t="str">
        <f t="shared" si="356"/>
        <v>Nelson</v>
      </c>
      <c r="AI1061" t="str">
        <f t="shared" si="357"/>
        <v>Velodrome</v>
      </c>
      <c r="AJ1061" s="18">
        <f t="shared" si="350"/>
        <v>0</v>
      </c>
      <c r="AP1061" s="18">
        <f t="shared" si="351"/>
        <v>0</v>
      </c>
      <c r="AQ1061">
        <f t="shared" si="352"/>
        <v>1080</v>
      </c>
      <c r="AR1061" s="23">
        <f t="shared" si="353"/>
        <v>1427</v>
      </c>
      <c r="AS1061">
        <f t="shared" si="358"/>
        <v>1422</v>
      </c>
      <c r="AT1061" s="21">
        <f t="shared" si="359"/>
        <v>1427</v>
      </c>
      <c r="AU1061" s="21"/>
      <c r="AV1061" s="21"/>
      <c r="AW1061" s="21"/>
    </row>
    <row r="1062" spans="1:49" x14ac:dyDescent="0.2">
      <c r="A1062">
        <v>576</v>
      </c>
      <c r="E1062">
        <f t="shared" si="354"/>
        <v>2</v>
      </c>
      <c r="F1062" s="5" t="s">
        <v>487</v>
      </c>
      <c r="G1062" s="5" t="s">
        <v>487</v>
      </c>
      <c r="J1062" t="str">
        <f t="shared" si="361"/>
        <v>12</v>
      </c>
      <c r="K1062" t="str">
        <f t="shared" si="362"/>
        <v>12</v>
      </c>
      <c r="L1062" t="str">
        <f t="shared" si="363"/>
        <v/>
      </c>
      <c r="M1062" s="6" t="str">
        <f t="shared" si="364"/>
        <v/>
      </c>
      <c r="N1062" t="s">
        <v>178</v>
      </c>
      <c r="O1062">
        <v>80</v>
      </c>
      <c r="P1062" t="s">
        <v>424</v>
      </c>
      <c r="Q1062" t="s">
        <v>10</v>
      </c>
      <c r="R1062" t="s">
        <v>190</v>
      </c>
      <c r="S1062" t="s">
        <v>78</v>
      </c>
      <c r="Y1062" t="str">
        <f t="shared" si="344"/>
        <v/>
      </c>
      <c r="Z1062" t="str">
        <f t="shared" si="345"/>
        <v/>
      </c>
      <c r="AC1062" t="str">
        <f t="shared" si="346"/>
        <v>Turnover</v>
      </c>
      <c r="AD1062" t="str">
        <f t="shared" si="347"/>
        <v>Turnover_Giveaway</v>
      </c>
      <c r="AE1062" t="str">
        <f t="shared" si="348"/>
        <v>Giveaway-ShotBlocked</v>
      </c>
      <c r="AF1062" t="str">
        <f t="shared" si="349"/>
        <v>Offensive</v>
      </c>
      <c r="AG1062">
        <f t="shared" si="355"/>
        <v>18981</v>
      </c>
      <c r="AH1062" t="str">
        <f t="shared" si="356"/>
        <v>Nelson</v>
      </c>
      <c r="AI1062" t="str">
        <f t="shared" si="357"/>
        <v>Velodrome</v>
      </c>
      <c r="AJ1062" s="18">
        <f t="shared" si="350"/>
        <v>0</v>
      </c>
      <c r="AP1062" s="18">
        <f t="shared" si="351"/>
        <v>0</v>
      </c>
      <c r="AQ1062">
        <f t="shared" si="352"/>
        <v>1080</v>
      </c>
      <c r="AR1062" s="23">
        <f t="shared" si="353"/>
        <v>1428</v>
      </c>
      <c r="AS1062">
        <f t="shared" si="358"/>
        <v>1423</v>
      </c>
      <c r="AT1062" s="21">
        <f t="shared" si="359"/>
        <v>1428</v>
      </c>
      <c r="AU1062" s="21"/>
      <c r="AV1062" s="21"/>
      <c r="AW1062" s="21"/>
    </row>
    <row r="1063" spans="1:49" x14ac:dyDescent="0.2">
      <c r="A1063">
        <v>576</v>
      </c>
      <c r="E1063">
        <f t="shared" si="354"/>
        <v>2</v>
      </c>
      <c r="J1063" t="str">
        <f t="shared" si="361"/>
        <v>12</v>
      </c>
      <c r="K1063" t="str">
        <f t="shared" si="362"/>
        <v>12</v>
      </c>
      <c r="L1063" t="str">
        <f t="shared" si="363"/>
        <v/>
      </c>
      <c r="M1063" s="6" t="str">
        <f t="shared" si="364"/>
        <v/>
      </c>
      <c r="N1063" t="str">
        <f t="shared" si="360"/>
        <v>Home</v>
      </c>
      <c r="O1063">
        <v>24</v>
      </c>
      <c r="P1063" t="s">
        <v>425</v>
      </c>
      <c r="Y1063" t="str">
        <f t="shared" si="344"/>
        <v/>
      </c>
      <c r="Z1063" t="str">
        <f t="shared" si="345"/>
        <v/>
      </c>
      <c r="AC1063" t="str">
        <f t="shared" si="346"/>
        <v>Turnover</v>
      </c>
      <c r="AD1063" t="str">
        <f t="shared" si="347"/>
        <v>Turnover_Giveaway</v>
      </c>
      <c r="AE1063" t="str">
        <f t="shared" si="348"/>
        <v>Giveaway-ShotBlocked</v>
      </c>
      <c r="AF1063" t="str">
        <f t="shared" si="349"/>
        <v>Defensive</v>
      </c>
      <c r="AG1063">
        <f t="shared" si="355"/>
        <v>18981</v>
      </c>
      <c r="AH1063" t="str">
        <f t="shared" si="356"/>
        <v>Nelson</v>
      </c>
      <c r="AI1063" t="str">
        <f t="shared" si="357"/>
        <v>Velodrome</v>
      </c>
      <c r="AJ1063" s="18">
        <f t="shared" si="350"/>
        <v>0</v>
      </c>
      <c r="AP1063" s="18">
        <f t="shared" si="351"/>
        <v>0</v>
      </c>
      <c r="AQ1063">
        <f t="shared" si="352"/>
        <v>1080</v>
      </c>
      <c r="AR1063" s="23">
        <f t="shared" si="353"/>
        <v>1428</v>
      </c>
      <c r="AS1063">
        <f t="shared" si="358"/>
        <v>1423</v>
      </c>
      <c r="AT1063" s="21">
        <f t="shared" si="359"/>
        <v>1428</v>
      </c>
      <c r="AU1063" s="21"/>
      <c r="AV1063" s="21"/>
      <c r="AW1063" s="21"/>
    </row>
    <row r="1064" spans="1:49" x14ac:dyDescent="0.2">
      <c r="A1064">
        <v>577</v>
      </c>
      <c r="E1064">
        <f t="shared" si="354"/>
        <v>2</v>
      </c>
      <c r="F1064" s="5" t="s">
        <v>487</v>
      </c>
      <c r="G1064" s="5" t="s">
        <v>486</v>
      </c>
      <c r="J1064" t="str">
        <f t="shared" si="361"/>
        <v>12</v>
      </c>
      <c r="K1064" t="str">
        <f t="shared" si="362"/>
        <v>11</v>
      </c>
      <c r="L1064" t="str">
        <f t="shared" si="363"/>
        <v/>
      </c>
      <c r="M1064" s="6" t="str">
        <f t="shared" si="364"/>
        <v/>
      </c>
      <c r="N1064" t="s">
        <v>179</v>
      </c>
      <c r="O1064">
        <v>93</v>
      </c>
      <c r="P1064" t="s">
        <v>424</v>
      </c>
      <c r="Q1064" t="s">
        <v>277</v>
      </c>
      <c r="R1064" t="s">
        <v>201</v>
      </c>
      <c r="S1064" t="s">
        <v>92</v>
      </c>
      <c r="Y1064" t="str">
        <f t="shared" si="344"/>
        <v/>
      </c>
      <c r="Z1064" t="str">
        <f t="shared" si="345"/>
        <v/>
      </c>
      <c r="AC1064" t="str">
        <f t="shared" si="346"/>
        <v>Zone_Entry_Exit</v>
      </c>
      <c r="AD1064" t="str">
        <f t="shared" si="347"/>
        <v>Zone_Exit</v>
      </c>
      <c r="AE1064" t="str">
        <f t="shared" si="348"/>
        <v>ZoneExit-Clear</v>
      </c>
      <c r="AF1064" t="str">
        <f t="shared" si="349"/>
        <v>Offensive</v>
      </c>
      <c r="AG1064">
        <f t="shared" si="355"/>
        <v>18981</v>
      </c>
      <c r="AH1064" t="str">
        <f t="shared" si="356"/>
        <v>Nelson</v>
      </c>
      <c r="AI1064" t="str">
        <f t="shared" si="357"/>
        <v>Velodrome</v>
      </c>
      <c r="AJ1064" s="18">
        <f t="shared" si="350"/>
        <v>0</v>
      </c>
      <c r="AP1064" s="18">
        <f t="shared" si="351"/>
        <v>0</v>
      </c>
      <c r="AQ1064">
        <f t="shared" si="352"/>
        <v>1080</v>
      </c>
      <c r="AR1064" s="23">
        <f t="shared" si="353"/>
        <v>1429</v>
      </c>
      <c r="AS1064">
        <f t="shared" si="358"/>
        <v>1424</v>
      </c>
      <c r="AT1064" s="21">
        <f t="shared" si="359"/>
        <v>1429</v>
      </c>
      <c r="AU1064" s="21"/>
      <c r="AV1064" s="21"/>
      <c r="AW1064" s="21"/>
    </row>
    <row r="1065" spans="1:49" x14ac:dyDescent="0.2">
      <c r="A1065">
        <v>578</v>
      </c>
      <c r="E1065">
        <f t="shared" si="354"/>
        <v>2</v>
      </c>
      <c r="F1065" s="5" t="s">
        <v>487</v>
      </c>
      <c r="G1065" s="5" t="s">
        <v>486</v>
      </c>
      <c r="J1065" t="str">
        <f t="shared" si="361"/>
        <v>12</v>
      </c>
      <c r="K1065" t="str">
        <f t="shared" si="362"/>
        <v>11</v>
      </c>
      <c r="L1065" t="str">
        <f t="shared" si="363"/>
        <v/>
      </c>
      <c r="M1065" s="6" t="str">
        <f t="shared" si="364"/>
        <v/>
      </c>
      <c r="N1065" t="s">
        <v>179</v>
      </c>
      <c r="O1065">
        <v>93</v>
      </c>
      <c r="P1065" t="s">
        <v>424</v>
      </c>
      <c r="Q1065" t="s">
        <v>277</v>
      </c>
      <c r="R1065" t="s">
        <v>191</v>
      </c>
      <c r="S1065" t="s">
        <v>432</v>
      </c>
      <c r="Y1065" t="str">
        <f t="shared" si="344"/>
        <v/>
      </c>
      <c r="Z1065" t="str">
        <f t="shared" si="345"/>
        <v/>
      </c>
      <c r="AC1065" t="str">
        <f t="shared" si="346"/>
        <v>Zone_Entry_Exit</v>
      </c>
      <c r="AD1065" t="str">
        <f t="shared" si="347"/>
        <v>Zone_Entry</v>
      </c>
      <c r="AE1065" t="str">
        <f t="shared" si="348"/>
        <v>ZoneEntry-FromExitClear</v>
      </c>
      <c r="AF1065" t="str">
        <f t="shared" si="349"/>
        <v>Offensive</v>
      </c>
      <c r="AG1065">
        <f t="shared" si="355"/>
        <v>18981</v>
      </c>
      <c r="AH1065" t="str">
        <f t="shared" si="356"/>
        <v>Nelson</v>
      </c>
      <c r="AI1065" t="str">
        <f t="shared" si="357"/>
        <v>Velodrome</v>
      </c>
      <c r="AJ1065" s="18">
        <f t="shared" si="350"/>
        <v>0</v>
      </c>
      <c r="AP1065" s="18">
        <f t="shared" si="351"/>
        <v>0</v>
      </c>
      <c r="AQ1065">
        <f t="shared" si="352"/>
        <v>1080</v>
      </c>
      <c r="AR1065" s="23">
        <f t="shared" si="353"/>
        <v>1429</v>
      </c>
      <c r="AS1065">
        <f t="shared" si="358"/>
        <v>1424</v>
      </c>
      <c r="AT1065" s="21">
        <f t="shared" si="359"/>
        <v>1429</v>
      </c>
      <c r="AU1065" s="21"/>
      <c r="AV1065" s="21"/>
      <c r="AW1065" s="21"/>
    </row>
    <row r="1066" spans="1:49" x14ac:dyDescent="0.2">
      <c r="A1066">
        <v>579</v>
      </c>
      <c r="E1066">
        <f t="shared" si="354"/>
        <v>2</v>
      </c>
      <c r="F1066" s="5" t="s">
        <v>487</v>
      </c>
      <c r="G1066" s="5" t="s">
        <v>481</v>
      </c>
      <c r="H1066" s="5" t="s">
        <v>487</v>
      </c>
      <c r="I1066" s="7" t="s">
        <v>473</v>
      </c>
      <c r="J1066" t="str">
        <f t="shared" si="361"/>
        <v>12</v>
      </c>
      <c r="K1066" t="str">
        <f t="shared" si="362"/>
        <v>05</v>
      </c>
      <c r="L1066" t="str">
        <f t="shared" si="363"/>
        <v>12</v>
      </c>
      <c r="M1066" s="6" t="str">
        <f t="shared" si="364"/>
        <v>03</v>
      </c>
      <c r="N1066" t="s">
        <v>178</v>
      </c>
      <c r="O1066">
        <v>8</v>
      </c>
      <c r="P1066" t="s">
        <v>424</v>
      </c>
      <c r="Q1066" t="s">
        <v>15</v>
      </c>
      <c r="Y1066" t="str">
        <f t="shared" si="344"/>
        <v/>
      </c>
      <c r="Z1066" t="str">
        <f t="shared" si="345"/>
        <v/>
      </c>
      <c r="AC1066" t="str">
        <f t="shared" si="346"/>
        <v>Possession</v>
      </c>
      <c r="AD1066" t="str">
        <f t="shared" si="347"/>
        <v/>
      </c>
      <c r="AE1066" t="str">
        <f t="shared" si="348"/>
        <v/>
      </c>
      <c r="AF1066" t="str">
        <f t="shared" si="349"/>
        <v>Offensive</v>
      </c>
      <c r="AG1066">
        <f t="shared" si="355"/>
        <v>18981</v>
      </c>
      <c r="AH1066" t="str">
        <f t="shared" si="356"/>
        <v>Nelson</v>
      </c>
      <c r="AI1066" t="str">
        <f t="shared" si="357"/>
        <v>Velodrome</v>
      </c>
      <c r="AJ1066" s="18">
        <f t="shared" si="350"/>
        <v>2</v>
      </c>
      <c r="AP1066" s="18">
        <f t="shared" si="351"/>
        <v>0</v>
      </c>
      <c r="AQ1066">
        <f t="shared" si="352"/>
        <v>1080</v>
      </c>
      <c r="AR1066" s="23">
        <f t="shared" si="353"/>
        <v>1435</v>
      </c>
      <c r="AS1066">
        <f t="shared" si="358"/>
        <v>1430</v>
      </c>
      <c r="AT1066" s="21">
        <f t="shared" si="359"/>
        <v>1437</v>
      </c>
      <c r="AU1066" s="21"/>
      <c r="AV1066" s="21"/>
      <c r="AW1066" s="21"/>
    </row>
    <row r="1067" spans="1:49" x14ac:dyDescent="0.2">
      <c r="A1067">
        <v>580</v>
      </c>
      <c r="E1067">
        <f t="shared" si="354"/>
        <v>2</v>
      </c>
      <c r="F1067" s="5" t="s">
        <v>487</v>
      </c>
      <c r="G1067" s="5" t="s">
        <v>473</v>
      </c>
      <c r="H1067" s="5" t="s">
        <v>486</v>
      </c>
      <c r="I1067" s="7" t="s">
        <v>479</v>
      </c>
      <c r="J1067" t="str">
        <f t="shared" si="361"/>
        <v>12</v>
      </c>
      <c r="K1067" t="str">
        <f t="shared" si="362"/>
        <v>03</v>
      </c>
      <c r="L1067" t="str">
        <f t="shared" si="363"/>
        <v>11</v>
      </c>
      <c r="M1067" s="6" t="str">
        <f t="shared" si="364"/>
        <v>59</v>
      </c>
      <c r="N1067" t="s">
        <v>178</v>
      </c>
      <c r="O1067">
        <v>8</v>
      </c>
      <c r="P1067" t="s">
        <v>424</v>
      </c>
      <c r="Q1067" t="s">
        <v>277</v>
      </c>
      <c r="R1067" t="s">
        <v>201</v>
      </c>
      <c r="S1067" t="s">
        <v>90</v>
      </c>
      <c r="Y1067" t="str">
        <f t="shared" si="344"/>
        <v/>
      </c>
      <c r="Z1067" t="str">
        <f t="shared" si="345"/>
        <v/>
      </c>
      <c r="AC1067" t="str">
        <f t="shared" si="346"/>
        <v>Zone_Entry_Exit</v>
      </c>
      <c r="AD1067" t="str">
        <f t="shared" si="347"/>
        <v>Zone_Exit</v>
      </c>
      <c r="AE1067" t="str">
        <f t="shared" si="348"/>
        <v>ZoneExit-Rush</v>
      </c>
      <c r="AF1067" t="str">
        <f t="shared" si="349"/>
        <v>Offensive</v>
      </c>
      <c r="AG1067">
        <f t="shared" si="355"/>
        <v>18981</v>
      </c>
      <c r="AH1067" t="str">
        <f t="shared" si="356"/>
        <v>Nelson</v>
      </c>
      <c r="AI1067" t="str">
        <f t="shared" si="357"/>
        <v>Velodrome</v>
      </c>
      <c r="AJ1067" s="18">
        <f t="shared" si="350"/>
        <v>4</v>
      </c>
      <c r="AP1067" s="18">
        <f t="shared" si="351"/>
        <v>0</v>
      </c>
      <c r="AQ1067">
        <f t="shared" si="352"/>
        <v>1080</v>
      </c>
      <c r="AR1067" s="23">
        <f t="shared" si="353"/>
        <v>1437</v>
      </c>
      <c r="AS1067">
        <f t="shared" si="358"/>
        <v>1432</v>
      </c>
      <c r="AT1067" s="21">
        <f t="shared" si="359"/>
        <v>1441</v>
      </c>
      <c r="AU1067" s="21"/>
      <c r="AV1067" s="21"/>
      <c r="AW1067" s="21"/>
    </row>
    <row r="1068" spans="1:49" x14ac:dyDescent="0.2">
      <c r="A1068">
        <v>581</v>
      </c>
      <c r="E1068">
        <f t="shared" si="354"/>
        <v>2</v>
      </c>
      <c r="F1068" s="5" t="s">
        <v>486</v>
      </c>
      <c r="G1068" s="5" t="s">
        <v>479</v>
      </c>
      <c r="H1068" s="5" t="s">
        <v>486</v>
      </c>
      <c r="I1068" s="7" t="s">
        <v>529</v>
      </c>
      <c r="J1068" t="str">
        <f t="shared" si="361"/>
        <v>11</v>
      </c>
      <c r="K1068" t="str">
        <f t="shared" si="362"/>
        <v>59</v>
      </c>
      <c r="L1068" t="str">
        <f t="shared" si="363"/>
        <v>11</v>
      </c>
      <c r="M1068" s="6" t="str">
        <f t="shared" si="364"/>
        <v>57</v>
      </c>
      <c r="N1068" t="s">
        <v>178</v>
      </c>
      <c r="O1068">
        <v>8</v>
      </c>
      <c r="P1068" t="s">
        <v>424</v>
      </c>
      <c r="Q1068" t="s">
        <v>277</v>
      </c>
      <c r="R1068" t="s">
        <v>191</v>
      </c>
      <c r="S1068" t="s">
        <v>89</v>
      </c>
      <c r="Y1068" t="str">
        <f t="shared" si="344"/>
        <v/>
      </c>
      <c r="Z1068" t="str">
        <f t="shared" si="345"/>
        <v/>
      </c>
      <c r="AC1068" t="str">
        <f t="shared" si="346"/>
        <v>Zone_Entry_Exit</v>
      </c>
      <c r="AD1068" t="str">
        <f t="shared" si="347"/>
        <v>Zone_Entry</v>
      </c>
      <c r="AE1068" t="str">
        <f t="shared" si="348"/>
        <v>ZoneEntry-DumpIn</v>
      </c>
      <c r="AF1068" t="str">
        <f t="shared" si="349"/>
        <v>Offensive</v>
      </c>
      <c r="AG1068">
        <f t="shared" si="355"/>
        <v>18981</v>
      </c>
      <c r="AH1068" t="str">
        <f t="shared" si="356"/>
        <v>Nelson</v>
      </c>
      <c r="AI1068" t="str">
        <f t="shared" si="357"/>
        <v>Velodrome</v>
      </c>
      <c r="AJ1068" s="18">
        <f t="shared" si="350"/>
        <v>2</v>
      </c>
      <c r="AP1068" s="18">
        <f t="shared" si="351"/>
        <v>0</v>
      </c>
      <c r="AQ1068">
        <f t="shared" si="352"/>
        <v>1080</v>
      </c>
      <c r="AR1068" s="23">
        <f t="shared" si="353"/>
        <v>1441</v>
      </c>
      <c r="AS1068">
        <f t="shared" si="358"/>
        <v>1436</v>
      </c>
      <c r="AT1068" s="21">
        <f t="shared" si="359"/>
        <v>1443</v>
      </c>
      <c r="AU1068" s="21"/>
      <c r="AV1068" s="21"/>
      <c r="AW1068" s="21"/>
    </row>
    <row r="1069" spans="1:49" x14ac:dyDescent="0.2">
      <c r="A1069">
        <v>582</v>
      </c>
      <c r="E1069">
        <f t="shared" si="354"/>
        <v>2</v>
      </c>
      <c r="F1069" s="5" t="s">
        <v>486</v>
      </c>
      <c r="G1069" s="5" t="s">
        <v>529</v>
      </c>
      <c r="J1069" t="str">
        <f t="shared" si="361"/>
        <v>11</v>
      </c>
      <c r="K1069" t="str">
        <f t="shared" si="362"/>
        <v>57</v>
      </c>
      <c r="L1069" t="str">
        <f t="shared" si="363"/>
        <v/>
      </c>
      <c r="M1069" s="6" t="str">
        <f t="shared" si="364"/>
        <v/>
      </c>
      <c r="N1069" t="s">
        <v>178</v>
      </c>
      <c r="O1069">
        <v>8</v>
      </c>
      <c r="P1069" t="s">
        <v>424</v>
      </c>
      <c r="Q1069" t="s">
        <v>10</v>
      </c>
      <c r="R1069" t="s">
        <v>190</v>
      </c>
      <c r="S1069" t="s">
        <v>411</v>
      </c>
      <c r="Y1069" t="str">
        <f t="shared" si="344"/>
        <v/>
      </c>
      <c r="Z1069" t="str">
        <f t="shared" si="345"/>
        <v/>
      </c>
      <c r="AC1069" t="str">
        <f t="shared" si="346"/>
        <v>Turnover</v>
      </c>
      <c r="AD1069" t="str">
        <f t="shared" si="347"/>
        <v>Turnover_Giveaway</v>
      </c>
      <c r="AE1069" t="str">
        <f t="shared" si="348"/>
        <v>Giveaway-ZoneClear/Dump</v>
      </c>
      <c r="AF1069" t="str">
        <f t="shared" si="349"/>
        <v>Offensive</v>
      </c>
      <c r="AG1069">
        <f t="shared" si="355"/>
        <v>18981</v>
      </c>
      <c r="AH1069" t="str">
        <f t="shared" si="356"/>
        <v>Nelson</v>
      </c>
      <c r="AI1069" t="str">
        <f t="shared" si="357"/>
        <v>Velodrome</v>
      </c>
      <c r="AJ1069" s="18">
        <f t="shared" si="350"/>
        <v>0</v>
      </c>
      <c r="AP1069" s="18">
        <f t="shared" si="351"/>
        <v>0</v>
      </c>
      <c r="AQ1069">
        <f t="shared" si="352"/>
        <v>1080</v>
      </c>
      <c r="AR1069" s="23">
        <f t="shared" si="353"/>
        <v>1443</v>
      </c>
      <c r="AS1069">
        <f t="shared" si="358"/>
        <v>1438</v>
      </c>
      <c r="AT1069" s="21">
        <f t="shared" si="359"/>
        <v>1443</v>
      </c>
      <c r="AU1069" s="21"/>
      <c r="AV1069" s="21"/>
      <c r="AW1069" s="21"/>
    </row>
    <row r="1070" spans="1:49" x14ac:dyDescent="0.2">
      <c r="A1070">
        <v>583</v>
      </c>
      <c r="E1070">
        <f t="shared" si="354"/>
        <v>2</v>
      </c>
      <c r="F1070" s="5" t="s">
        <v>486</v>
      </c>
      <c r="G1070" s="5" t="s">
        <v>523</v>
      </c>
      <c r="J1070" t="str">
        <f t="shared" si="361"/>
        <v>11</v>
      </c>
      <c r="K1070" t="str">
        <f t="shared" si="362"/>
        <v>51</v>
      </c>
      <c r="L1070" t="str">
        <f t="shared" si="363"/>
        <v/>
      </c>
      <c r="M1070" s="6" t="str">
        <f t="shared" si="364"/>
        <v/>
      </c>
      <c r="N1070" t="s">
        <v>179</v>
      </c>
      <c r="O1070">
        <v>52</v>
      </c>
      <c r="P1070" t="s">
        <v>424</v>
      </c>
      <c r="Q1070" t="s">
        <v>8</v>
      </c>
      <c r="R1070" t="s">
        <v>189</v>
      </c>
      <c r="S1070" t="s">
        <v>68</v>
      </c>
      <c r="Y1070" t="str">
        <f t="shared" si="344"/>
        <v/>
      </c>
      <c r="Z1070" t="str">
        <f t="shared" si="345"/>
        <v/>
      </c>
      <c r="AC1070" t="s">
        <v>8</v>
      </c>
      <c r="AD1070" t="s">
        <v>189</v>
      </c>
      <c r="AE1070" t="s">
        <v>68</v>
      </c>
      <c r="AF1070" t="str">
        <f t="shared" si="349"/>
        <v>Offensive</v>
      </c>
      <c r="AG1070">
        <f t="shared" si="355"/>
        <v>18981</v>
      </c>
      <c r="AH1070" t="str">
        <f t="shared" si="356"/>
        <v>Nelson</v>
      </c>
      <c r="AI1070" t="str">
        <f t="shared" si="357"/>
        <v>Velodrome</v>
      </c>
      <c r="AJ1070" s="18">
        <f t="shared" si="350"/>
        <v>0</v>
      </c>
      <c r="AP1070" s="18">
        <f t="shared" si="351"/>
        <v>0</v>
      </c>
      <c r="AQ1070">
        <f t="shared" si="352"/>
        <v>1080</v>
      </c>
      <c r="AR1070" s="23">
        <f t="shared" si="353"/>
        <v>1449</v>
      </c>
      <c r="AS1070">
        <f t="shared" si="358"/>
        <v>1444</v>
      </c>
      <c r="AT1070" s="21">
        <f t="shared" si="359"/>
        <v>1449</v>
      </c>
      <c r="AU1070" s="21"/>
      <c r="AV1070" s="21"/>
      <c r="AW1070" s="21"/>
    </row>
    <row r="1071" spans="1:49" x14ac:dyDescent="0.2">
      <c r="A1071">
        <v>583</v>
      </c>
      <c r="E1071">
        <f t="shared" si="354"/>
        <v>2</v>
      </c>
      <c r="J1071" t="str">
        <f t="shared" si="361"/>
        <v>11</v>
      </c>
      <c r="K1071" t="str">
        <f t="shared" si="362"/>
        <v>51</v>
      </c>
      <c r="L1071" t="str">
        <f t="shared" si="363"/>
        <v/>
      </c>
      <c r="M1071" s="6" t="str">
        <f t="shared" si="364"/>
        <v/>
      </c>
      <c r="N1071" t="str">
        <f t="shared" si="360"/>
        <v>Away</v>
      </c>
      <c r="O1071">
        <v>70</v>
      </c>
      <c r="P1071" t="s">
        <v>424</v>
      </c>
      <c r="Y1071" t="str">
        <f t="shared" si="344"/>
        <v/>
      </c>
      <c r="Z1071" t="str">
        <f t="shared" si="345"/>
        <v/>
      </c>
      <c r="AC1071" t="str">
        <f t="shared" ref="AC1071:AC1134" si="365">IF(Q1071&lt;&gt;"",Q1071,IF($A1071=$A1070,AC1070,""))</f>
        <v>Pass</v>
      </c>
      <c r="AD1071" t="str">
        <f t="shared" ref="AD1071:AD1134" si="366">IF(R1071&lt;&gt;"",R1071,IF($A1071=$A1070,AD1070,""))</f>
        <v>Pass_Completed</v>
      </c>
      <c r="AE1071" t="str">
        <f t="shared" ref="AE1071:AE1134" si="367">IF(S1071&lt;&gt;"",S1071,IF($A1071=$A1070,AE1070,""))</f>
        <v>Pass-Rim/Wrap</v>
      </c>
      <c r="AF1071" t="str">
        <f t="shared" si="349"/>
        <v>Offensive</v>
      </c>
      <c r="AG1071">
        <f t="shared" si="355"/>
        <v>18981</v>
      </c>
      <c r="AH1071" t="str">
        <f t="shared" si="356"/>
        <v>Nelson</v>
      </c>
      <c r="AI1071" t="str">
        <f t="shared" si="357"/>
        <v>Velodrome</v>
      </c>
      <c r="AJ1071" s="18">
        <f t="shared" si="350"/>
        <v>0</v>
      </c>
      <c r="AP1071" s="18">
        <f t="shared" si="351"/>
        <v>0</v>
      </c>
      <c r="AQ1071">
        <f t="shared" si="352"/>
        <v>1080</v>
      </c>
      <c r="AR1071" s="23">
        <f t="shared" si="353"/>
        <v>1449</v>
      </c>
      <c r="AS1071">
        <f t="shared" si="358"/>
        <v>1444</v>
      </c>
      <c r="AT1071" s="21">
        <f t="shared" si="359"/>
        <v>1449</v>
      </c>
      <c r="AU1071" s="21"/>
      <c r="AV1071" s="21"/>
      <c r="AW1071" s="21"/>
    </row>
    <row r="1072" spans="1:49" x14ac:dyDescent="0.2">
      <c r="A1072">
        <v>584</v>
      </c>
      <c r="E1072">
        <f t="shared" si="354"/>
        <v>2</v>
      </c>
      <c r="F1072" s="5" t="s">
        <v>486</v>
      </c>
      <c r="G1072" s="5" t="s">
        <v>521</v>
      </c>
      <c r="J1072" t="str">
        <f t="shared" si="361"/>
        <v>11</v>
      </c>
      <c r="K1072" t="str">
        <f t="shared" si="362"/>
        <v>49</v>
      </c>
      <c r="L1072" t="str">
        <f t="shared" si="363"/>
        <v/>
      </c>
      <c r="M1072" s="6" t="str">
        <f t="shared" si="364"/>
        <v/>
      </c>
      <c r="N1072" t="s">
        <v>179</v>
      </c>
      <c r="O1072" s="20">
        <v>70</v>
      </c>
      <c r="P1072" s="20" t="s">
        <v>424</v>
      </c>
      <c r="Q1072" t="s">
        <v>10</v>
      </c>
      <c r="R1072" t="s">
        <v>190</v>
      </c>
      <c r="S1072" t="s">
        <v>422</v>
      </c>
      <c r="Y1072" t="str">
        <f t="shared" si="344"/>
        <v/>
      </c>
      <c r="Z1072" t="str">
        <f t="shared" si="345"/>
        <v/>
      </c>
      <c r="AC1072" t="str">
        <f t="shared" si="365"/>
        <v>Turnover</v>
      </c>
      <c r="AD1072" t="str">
        <f t="shared" si="366"/>
        <v>Turnover_Giveaway</v>
      </c>
      <c r="AE1072" t="str">
        <f t="shared" si="367"/>
        <v>Giveaway-AttemptedZoneClear/Dump</v>
      </c>
      <c r="AF1072" t="str">
        <f t="shared" si="349"/>
        <v>Offensive</v>
      </c>
      <c r="AG1072">
        <f t="shared" si="355"/>
        <v>18981</v>
      </c>
      <c r="AH1072" t="str">
        <f t="shared" si="356"/>
        <v>Nelson</v>
      </c>
      <c r="AI1072" t="str">
        <f t="shared" si="357"/>
        <v>Velodrome</v>
      </c>
      <c r="AJ1072" s="18">
        <f t="shared" si="350"/>
        <v>0</v>
      </c>
      <c r="AP1072" s="18">
        <f t="shared" si="351"/>
        <v>0</v>
      </c>
      <c r="AQ1072">
        <f t="shared" si="352"/>
        <v>1080</v>
      </c>
      <c r="AR1072" s="23">
        <f t="shared" si="353"/>
        <v>1451</v>
      </c>
      <c r="AS1072">
        <f t="shared" si="358"/>
        <v>1446</v>
      </c>
      <c r="AT1072" s="21">
        <f t="shared" si="359"/>
        <v>1451</v>
      </c>
      <c r="AU1072" s="21"/>
      <c r="AV1072" s="21"/>
      <c r="AW1072" s="21"/>
    </row>
    <row r="1073" spans="1:49" x14ac:dyDescent="0.2">
      <c r="A1073">
        <v>585</v>
      </c>
      <c r="E1073">
        <f t="shared" si="354"/>
        <v>2</v>
      </c>
      <c r="F1073" s="5" t="s">
        <v>486</v>
      </c>
      <c r="G1073" s="5" t="s">
        <v>516</v>
      </c>
      <c r="J1073" t="str">
        <f t="shared" si="361"/>
        <v>11</v>
      </c>
      <c r="K1073" t="str">
        <f t="shared" si="362"/>
        <v>44</v>
      </c>
      <c r="L1073" t="str">
        <f t="shared" si="363"/>
        <v/>
      </c>
      <c r="M1073" s="6" t="str">
        <f t="shared" si="364"/>
        <v/>
      </c>
      <c r="N1073" t="s">
        <v>178</v>
      </c>
      <c r="O1073">
        <v>80</v>
      </c>
      <c r="P1073" t="s">
        <v>424</v>
      </c>
      <c r="Q1073" t="s">
        <v>277</v>
      </c>
      <c r="R1073" t="s">
        <v>210</v>
      </c>
      <c r="S1073" t="s">
        <v>93</v>
      </c>
      <c r="Y1073" t="str">
        <f t="shared" si="344"/>
        <v/>
      </c>
      <c r="Z1073" t="str">
        <f t="shared" si="345"/>
        <v/>
      </c>
      <c r="AC1073" t="str">
        <f t="shared" si="365"/>
        <v>Zone_Entry_Exit</v>
      </c>
      <c r="AD1073" t="str">
        <f t="shared" si="366"/>
        <v>Zone_Keepin</v>
      </c>
      <c r="AE1073" t="str">
        <f t="shared" si="367"/>
        <v>Zone-KeepIn</v>
      </c>
      <c r="AF1073" t="str">
        <f t="shared" si="349"/>
        <v>Offensive</v>
      </c>
      <c r="AG1073">
        <f t="shared" si="355"/>
        <v>18981</v>
      </c>
      <c r="AH1073" t="str">
        <f t="shared" si="356"/>
        <v>Nelson</v>
      </c>
      <c r="AI1073" t="str">
        <f t="shared" si="357"/>
        <v>Velodrome</v>
      </c>
      <c r="AJ1073" s="18">
        <f t="shared" si="350"/>
        <v>0</v>
      </c>
      <c r="AP1073" s="18">
        <f t="shared" si="351"/>
        <v>0</v>
      </c>
      <c r="AQ1073">
        <f t="shared" si="352"/>
        <v>1080</v>
      </c>
      <c r="AR1073" s="23">
        <f t="shared" si="353"/>
        <v>1456</v>
      </c>
      <c r="AS1073">
        <f t="shared" si="358"/>
        <v>1451</v>
      </c>
      <c r="AT1073" s="21">
        <f t="shared" si="359"/>
        <v>1456</v>
      </c>
      <c r="AU1073" s="21"/>
      <c r="AV1073" s="21"/>
      <c r="AW1073" s="21"/>
    </row>
    <row r="1074" spans="1:49" x14ac:dyDescent="0.2">
      <c r="A1074">
        <v>585</v>
      </c>
      <c r="E1074">
        <f t="shared" si="354"/>
        <v>2</v>
      </c>
      <c r="J1074" t="str">
        <f t="shared" si="361"/>
        <v>11</v>
      </c>
      <c r="K1074" t="str">
        <f t="shared" si="362"/>
        <v>44</v>
      </c>
      <c r="L1074" t="str">
        <f t="shared" si="363"/>
        <v/>
      </c>
      <c r="M1074" s="6" t="str">
        <f t="shared" si="364"/>
        <v/>
      </c>
      <c r="N1074" t="str">
        <f t="shared" si="360"/>
        <v>Home</v>
      </c>
      <c r="O1074">
        <v>24</v>
      </c>
      <c r="P1074" t="s">
        <v>425</v>
      </c>
      <c r="Y1074" t="str">
        <f t="shared" si="344"/>
        <v/>
      </c>
      <c r="Z1074" t="str">
        <f t="shared" si="345"/>
        <v/>
      </c>
      <c r="AC1074" t="str">
        <f t="shared" si="365"/>
        <v>Zone_Entry_Exit</v>
      </c>
      <c r="AD1074" t="str">
        <f t="shared" si="366"/>
        <v>Zone_Keepin</v>
      </c>
      <c r="AE1074" t="str">
        <f t="shared" si="367"/>
        <v>Zone-KeepIn</v>
      </c>
      <c r="AF1074" t="str">
        <f t="shared" si="349"/>
        <v>Defensive</v>
      </c>
      <c r="AG1074">
        <f t="shared" si="355"/>
        <v>18981</v>
      </c>
      <c r="AH1074" t="str">
        <f t="shared" si="356"/>
        <v>Nelson</v>
      </c>
      <c r="AI1074" t="str">
        <f t="shared" si="357"/>
        <v>Velodrome</v>
      </c>
      <c r="AJ1074" s="18">
        <f t="shared" si="350"/>
        <v>0</v>
      </c>
      <c r="AP1074" s="18">
        <f t="shared" si="351"/>
        <v>0</v>
      </c>
      <c r="AQ1074">
        <f t="shared" si="352"/>
        <v>1080</v>
      </c>
      <c r="AR1074" s="23">
        <f t="shared" si="353"/>
        <v>1456</v>
      </c>
      <c r="AS1074">
        <f t="shared" si="358"/>
        <v>1451</v>
      </c>
      <c r="AT1074" s="21">
        <f t="shared" si="359"/>
        <v>1456</v>
      </c>
      <c r="AU1074" s="21"/>
      <c r="AV1074" s="21"/>
      <c r="AW1074" s="21"/>
    </row>
    <row r="1075" spans="1:49" x14ac:dyDescent="0.2">
      <c r="A1075">
        <v>586</v>
      </c>
      <c r="E1075">
        <f t="shared" si="354"/>
        <v>2</v>
      </c>
      <c r="F1075" s="5" t="s">
        <v>486</v>
      </c>
      <c r="G1075" s="5" t="s">
        <v>515</v>
      </c>
      <c r="J1075" t="str">
        <f t="shared" si="361"/>
        <v>11</v>
      </c>
      <c r="K1075" t="str">
        <f t="shared" si="362"/>
        <v>43</v>
      </c>
      <c r="L1075" t="str">
        <f t="shared" si="363"/>
        <v/>
      </c>
      <c r="M1075" s="6" t="str">
        <f t="shared" si="364"/>
        <v/>
      </c>
      <c r="N1075" t="s">
        <v>178</v>
      </c>
      <c r="O1075">
        <v>80</v>
      </c>
      <c r="P1075" t="s">
        <v>424</v>
      </c>
      <c r="Q1075" t="s">
        <v>10</v>
      </c>
      <c r="R1075" t="s">
        <v>190</v>
      </c>
      <c r="S1075" t="s">
        <v>448</v>
      </c>
      <c r="Y1075" t="str">
        <f t="shared" si="344"/>
        <v/>
      </c>
      <c r="Z1075" t="str">
        <f t="shared" si="345"/>
        <v/>
      </c>
      <c r="AC1075" t="str">
        <f t="shared" si="365"/>
        <v>Turnover</v>
      </c>
      <c r="AD1075" t="str">
        <f t="shared" si="366"/>
        <v>Turnover_Giveaway</v>
      </c>
      <c r="AE1075" t="str">
        <f t="shared" si="367"/>
        <v>Giveaway-DumpInZone</v>
      </c>
      <c r="AF1075" t="str">
        <f t="shared" si="349"/>
        <v>Offensive</v>
      </c>
      <c r="AG1075">
        <f t="shared" si="355"/>
        <v>18981</v>
      </c>
      <c r="AH1075" t="str">
        <f t="shared" si="356"/>
        <v>Nelson</v>
      </c>
      <c r="AI1075" t="str">
        <f t="shared" si="357"/>
        <v>Velodrome</v>
      </c>
      <c r="AJ1075" s="18">
        <f t="shared" si="350"/>
        <v>0</v>
      </c>
      <c r="AP1075" s="18">
        <f t="shared" si="351"/>
        <v>0</v>
      </c>
      <c r="AQ1075">
        <f t="shared" si="352"/>
        <v>1080</v>
      </c>
      <c r="AR1075" s="23">
        <f t="shared" si="353"/>
        <v>1457</v>
      </c>
      <c r="AS1075">
        <f t="shared" si="358"/>
        <v>1452</v>
      </c>
      <c r="AT1075" s="21">
        <f t="shared" si="359"/>
        <v>1457</v>
      </c>
      <c r="AU1075" s="21"/>
      <c r="AV1075" s="21"/>
      <c r="AW1075" s="21"/>
    </row>
    <row r="1076" spans="1:49" x14ac:dyDescent="0.2">
      <c r="A1076">
        <v>586</v>
      </c>
      <c r="E1076">
        <f t="shared" si="354"/>
        <v>2</v>
      </c>
      <c r="J1076" t="str">
        <f t="shared" si="361"/>
        <v>11</v>
      </c>
      <c r="K1076" t="str">
        <f t="shared" si="362"/>
        <v>43</v>
      </c>
      <c r="L1076" t="str">
        <f t="shared" si="363"/>
        <v/>
      </c>
      <c r="M1076" s="6" t="str">
        <f t="shared" si="364"/>
        <v/>
      </c>
      <c r="N1076" t="str">
        <f t="shared" si="360"/>
        <v>Home</v>
      </c>
      <c r="O1076">
        <v>24</v>
      </c>
      <c r="P1076" t="s">
        <v>425</v>
      </c>
      <c r="Y1076" t="str">
        <f t="shared" si="344"/>
        <v/>
      </c>
      <c r="Z1076" t="str">
        <f t="shared" si="345"/>
        <v/>
      </c>
      <c r="AC1076" t="str">
        <f t="shared" si="365"/>
        <v>Turnover</v>
      </c>
      <c r="AD1076" t="str">
        <f t="shared" si="366"/>
        <v>Turnover_Giveaway</v>
      </c>
      <c r="AE1076" t="str">
        <f t="shared" si="367"/>
        <v>Giveaway-DumpInZone</v>
      </c>
      <c r="AF1076" t="str">
        <f t="shared" si="349"/>
        <v>Defensive</v>
      </c>
      <c r="AG1076">
        <f t="shared" si="355"/>
        <v>18981</v>
      </c>
      <c r="AH1076" t="str">
        <f t="shared" si="356"/>
        <v>Nelson</v>
      </c>
      <c r="AI1076" t="str">
        <f t="shared" si="357"/>
        <v>Velodrome</v>
      </c>
      <c r="AJ1076" s="18">
        <f t="shared" si="350"/>
        <v>0</v>
      </c>
      <c r="AP1076" s="18">
        <f t="shared" si="351"/>
        <v>0</v>
      </c>
      <c r="AQ1076">
        <f t="shared" si="352"/>
        <v>1080</v>
      </c>
      <c r="AR1076" s="23">
        <f t="shared" si="353"/>
        <v>1457</v>
      </c>
      <c r="AS1076">
        <f t="shared" si="358"/>
        <v>1452</v>
      </c>
      <c r="AT1076" s="21">
        <f t="shared" si="359"/>
        <v>1457</v>
      </c>
      <c r="AU1076" s="21"/>
      <c r="AV1076" s="21"/>
      <c r="AW1076" s="21"/>
    </row>
    <row r="1077" spans="1:49" x14ac:dyDescent="0.2">
      <c r="A1077">
        <v>587</v>
      </c>
      <c r="E1077">
        <f t="shared" si="354"/>
        <v>2</v>
      </c>
      <c r="F1077" s="5" t="s">
        <v>486</v>
      </c>
      <c r="G1077" s="5" t="s">
        <v>515</v>
      </c>
      <c r="H1077" s="5" t="s">
        <v>486</v>
      </c>
      <c r="I1077" s="7" t="s">
        <v>513</v>
      </c>
      <c r="J1077" t="str">
        <f t="shared" si="361"/>
        <v>11</v>
      </c>
      <c r="K1077" t="str">
        <f t="shared" si="362"/>
        <v>43</v>
      </c>
      <c r="L1077" t="str">
        <f t="shared" si="363"/>
        <v>11</v>
      </c>
      <c r="M1077" s="6" t="str">
        <f t="shared" si="364"/>
        <v>41</v>
      </c>
      <c r="N1077" t="s">
        <v>179</v>
      </c>
      <c r="O1077">
        <v>52</v>
      </c>
      <c r="P1077" t="s">
        <v>424</v>
      </c>
      <c r="Q1077" t="s">
        <v>15</v>
      </c>
      <c r="Y1077" t="str">
        <f t="shared" si="344"/>
        <v/>
      </c>
      <c r="Z1077" t="str">
        <f t="shared" si="345"/>
        <v/>
      </c>
      <c r="AC1077" t="str">
        <f t="shared" si="365"/>
        <v>Possession</v>
      </c>
      <c r="AD1077" t="str">
        <f t="shared" si="366"/>
        <v/>
      </c>
      <c r="AE1077" t="str">
        <f t="shared" si="367"/>
        <v/>
      </c>
      <c r="AF1077" t="str">
        <f t="shared" si="349"/>
        <v>Offensive</v>
      </c>
      <c r="AG1077">
        <f t="shared" si="355"/>
        <v>18981</v>
      </c>
      <c r="AH1077" t="str">
        <f t="shared" si="356"/>
        <v>Nelson</v>
      </c>
      <c r="AI1077" t="str">
        <f t="shared" si="357"/>
        <v>Velodrome</v>
      </c>
      <c r="AJ1077" s="18">
        <f t="shared" si="350"/>
        <v>2</v>
      </c>
      <c r="AP1077" s="18">
        <f t="shared" si="351"/>
        <v>0</v>
      </c>
      <c r="AQ1077">
        <f t="shared" si="352"/>
        <v>1080</v>
      </c>
      <c r="AR1077" s="23">
        <f t="shared" si="353"/>
        <v>1457</v>
      </c>
      <c r="AS1077">
        <f t="shared" si="358"/>
        <v>1452</v>
      </c>
      <c r="AT1077" s="21">
        <f t="shared" si="359"/>
        <v>1459</v>
      </c>
      <c r="AU1077" s="21"/>
      <c r="AV1077" s="21"/>
      <c r="AW1077" s="21"/>
    </row>
    <row r="1078" spans="1:49" x14ac:dyDescent="0.2">
      <c r="A1078">
        <v>588</v>
      </c>
      <c r="E1078">
        <f t="shared" si="354"/>
        <v>2</v>
      </c>
      <c r="F1078" s="5" t="s">
        <v>486</v>
      </c>
      <c r="G1078" s="5" t="s">
        <v>513</v>
      </c>
      <c r="J1078" t="str">
        <f t="shared" si="361"/>
        <v>11</v>
      </c>
      <c r="K1078" t="str">
        <f t="shared" si="362"/>
        <v>41</v>
      </c>
      <c r="L1078" t="str">
        <f t="shared" si="363"/>
        <v/>
      </c>
      <c r="M1078" s="6" t="str">
        <f t="shared" si="364"/>
        <v/>
      </c>
      <c r="N1078" t="s">
        <v>179</v>
      </c>
      <c r="O1078">
        <v>52</v>
      </c>
      <c r="P1078" t="s">
        <v>424</v>
      </c>
      <c r="Q1078" t="s">
        <v>8</v>
      </c>
      <c r="R1078" t="s">
        <v>189</v>
      </c>
      <c r="S1078" t="s">
        <v>70</v>
      </c>
      <c r="Y1078" t="str">
        <f t="shared" si="344"/>
        <v/>
      </c>
      <c r="Z1078" t="str">
        <f t="shared" si="345"/>
        <v/>
      </c>
      <c r="AC1078" t="str">
        <f t="shared" si="365"/>
        <v>Pass</v>
      </c>
      <c r="AD1078" t="str">
        <f t="shared" si="366"/>
        <v>Pass_Completed</v>
      </c>
      <c r="AE1078" t="str">
        <f t="shared" si="367"/>
        <v>Pass-Forehand</v>
      </c>
      <c r="AF1078" t="str">
        <f t="shared" si="349"/>
        <v>Offensive</v>
      </c>
      <c r="AG1078">
        <f t="shared" si="355"/>
        <v>18981</v>
      </c>
      <c r="AH1078" t="str">
        <f t="shared" si="356"/>
        <v>Nelson</v>
      </c>
      <c r="AI1078" t="str">
        <f t="shared" si="357"/>
        <v>Velodrome</v>
      </c>
      <c r="AJ1078" s="18">
        <f t="shared" si="350"/>
        <v>0</v>
      </c>
      <c r="AP1078" s="18">
        <f t="shared" si="351"/>
        <v>0</v>
      </c>
      <c r="AQ1078">
        <f t="shared" si="352"/>
        <v>1080</v>
      </c>
      <c r="AR1078" s="23">
        <f t="shared" si="353"/>
        <v>1459</v>
      </c>
      <c r="AS1078">
        <f t="shared" si="358"/>
        <v>1454</v>
      </c>
      <c r="AT1078" s="21">
        <f t="shared" si="359"/>
        <v>1459</v>
      </c>
      <c r="AU1078" s="21"/>
      <c r="AV1078" s="21"/>
      <c r="AW1078" s="21"/>
    </row>
    <row r="1079" spans="1:49" x14ac:dyDescent="0.2">
      <c r="A1079">
        <v>588</v>
      </c>
      <c r="E1079">
        <f t="shared" si="354"/>
        <v>2</v>
      </c>
      <c r="J1079" t="str">
        <f t="shared" si="361"/>
        <v>11</v>
      </c>
      <c r="K1079" t="str">
        <f t="shared" si="362"/>
        <v>41</v>
      </c>
      <c r="L1079" t="str">
        <f t="shared" si="363"/>
        <v/>
      </c>
      <c r="M1079" s="6" t="str">
        <f t="shared" si="364"/>
        <v/>
      </c>
      <c r="N1079" t="str">
        <f t="shared" si="360"/>
        <v>Away</v>
      </c>
      <c r="O1079">
        <v>84</v>
      </c>
      <c r="P1079" t="s">
        <v>424</v>
      </c>
      <c r="Y1079" t="str">
        <f t="shared" si="344"/>
        <v/>
      </c>
      <c r="Z1079" t="str">
        <f t="shared" si="345"/>
        <v/>
      </c>
      <c r="AC1079" t="str">
        <f t="shared" si="365"/>
        <v>Pass</v>
      </c>
      <c r="AD1079" t="str">
        <f t="shared" si="366"/>
        <v>Pass_Completed</v>
      </c>
      <c r="AE1079" t="str">
        <f t="shared" si="367"/>
        <v>Pass-Forehand</v>
      </c>
      <c r="AF1079" t="str">
        <f t="shared" si="349"/>
        <v>Offensive</v>
      </c>
      <c r="AG1079">
        <f t="shared" si="355"/>
        <v>18981</v>
      </c>
      <c r="AH1079" t="str">
        <f t="shared" si="356"/>
        <v>Nelson</v>
      </c>
      <c r="AI1079" t="str">
        <f t="shared" si="357"/>
        <v>Velodrome</v>
      </c>
      <c r="AJ1079" s="18">
        <f t="shared" si="350"/>
        <v>0</v>
      </c>
      <c r="AP1079" s="18">
        <f t="shared" si="351"/>
        <v>0</v>
      </c>
      <c r="AQ1079">
        <f t="shared" si="352"/>
        <v>1080</v>
      </c>
      <c r="AR1079" s="23">
        <f t="shared" si="353"/>
        <v>1459</v>
      </c>
      <c r="AS1079">
        <f t="shared" si="358"/>
        <v>1454</v>
      </c>
      <c r="AT1079" s="21">
        <f t="shared" si="359"/>
        <v>1459</v>
      </c>
      <c r="AU1079" s="21"/>
      <c r="AV1079" s="21"/>
      <c r="AW1079" s="21"/>
    </row>
    <row r="1080" spans="1:49" x14ac:dyDescent="0.2">
      <c r="A1080">
        <v>589</v>
      </c>
      <c r="E1080">
        <f t="shared" si="354"/>
        <v>2</v>
      </c>
      <c r="F1080" s="5" t="s">
        <v>486</v>
      </c>
      <c r="G1080" s="5" t="s">
        <v>513</v>
      </c>
      <c r="H1080" s="5" t="s">
        <v>486</v>
      </c>
      <c r="I1080" s="7" t="s">
        <v>511</v>
      </c>
      <c r="J1080" t="str">
        <f t="shared" si="361"/>
        <v>11</v>
      </c>
      <c r="K1080" t="str">
        <f t="shared" si="362"/>
        <v>41</v>
      </c>
      <c r="L1080" t="str">
        <f t="shared" si="363"/>
        <v>11</v>
      </c>
      <c r="M1080" s="6" t="str">
        <f t="shared" si="364"/>
        <v>39</v>
      </c>
      <c r="N1080" t="s">
        <v>179</v>
      </c>
      <c r="O1080">
        <v>84</v>
      </c>
      <c r="P1080" t="s">
        <v>424</v>
      </c>
      <c r="Q1080" t="s">
        <v>277</v>
      </c>
      <c r="R1080" t="s">
        <v>201</v>
      </c>
      <c r="S1080" t="s">
        <v>90</v>
      </c>
      <c r="Y1080" t="str">
        <f t="shared" si="344"/>
        <v/>
      </c>
      <c r="Z1080" t="str">
        <f t="shared" si="345"/>
        <v/>
      </c>
      <c r="AC1080" t="str">
        <f t="shared" si="365"/>
        <v>Zone_Entry_Exit</v>
      </c>
      <c r="AD1080" t="str">
        <f t="shared" si="366"/>
        <v>Zone_Exit</v>
      </c>
      <c r="AE1080" t="str">
        <f t="shared" si="367"/>
        <v>ZoneExit-Rush</v>
      </c>
      <c r="AF1080" t="str">
        <f t="shared" si="349"/>
        <v>Offensive</v>
      </c>
      <c r="AG1080">
        <f t="shared" si="355"/>
        <v>18981</v>
      </c>
      <c r="AH1080" t="str">
        <f t="shared" si="356"/>
        <v>Nelson</v>
      </c>
      <c r="AI1080" t="str">
        <f t="shared" si="357"/>
        <v>Velodrome</v>
      </c>
      <c r="AJ1080" s="18">
        <f t="shared" si="350"/>
        <v>2</v>
      </c>
      <c r="AP1080" s="18">
        <f t="shared" si="351"/>
        <v>0</v>
      </c>
      <c r="AQ1080">
        <f t="shared" si="352"/>
        <v>1080</v>
      </c>
      <c r="AR1080" s="23">
        <f t="shared" si="353"/>
        <v>1459</v>
      </c>
      <c r="AS1080">
        <f t="shared" si="358"/>
        <v>1454</v>
      </c>
      <c r="AT1080" s="21">
        <f t="shared" si="359"/>
        <v>1461</v>
      </c>
      <c r="AU1080" s="21"/>
      <c r="AV1080" s="21"/>
      <c r="AW1080" s="21"/>
    </row>
    <row r="1081" spans="1:49" x14ac:dyDescent="0.2">
      <c r="A1081">
        <v>590</v>
      </c>
      <c r="E1081">
        <f t="shared" si="354"/>
        <v>2</v>
      </c>
      <c r="F1081" s="5" t="s">
        <v>486</v>
      </c>
      <c r="G1081" s="5" t="s">
        <v>511</v>
      </c>
      <c r="H1081" s="5" t="s">
        <v>486</v>
      </c>
      <c r="I1081" s="7" t="s">
        <v>510</v>
      </c>
      <c r="J1081" t="str">
        <f t="shared" si="361"/>
        <v>11</v>
      </c>
      <c r="K1081" t="str">
        <f t="shared" si="362"/>
        <v>39</v>
      </c>
      <c r="L1081" t="str">
        <f t="shared" si="363"/>
        <v>11</v>
      </c>
      <c r="M1081" s="6" t="str">
        <f t="shared" si="364"/>
        <v>38</v>
      </c>
      <c r="N1081" t="s">
        <v>179</v>
      </c>
      <c r="O1081">
        <v>84</v>
      </c>
      <c r="P1081" t="s">
        <v>424</v>
      </c>
      <c r="Q1081" t="s">
        <v>15</v>
      </c>
      <c r="Y1081" t="str">
        <f t="shared" si="344"/>
        <v/>
      </c>
      <c r="Z1081" t="str">
        <f t="shared" si="345"/>
        <v/>
      </c>
      <c r="AC1081" t="str">
        <f t="shared" si="365"/>
        <v>Possession</v>
      </c>
      <c r="AD1081" t="str">
        <f t="shared" si="366"/>
        <v/>
      </c>
      <c r="AE1081" t="str">
        <f t="shared" si="367"/>
        <v/>
      </c>
      <c r="AF1081" t="str">
        <f t="shared" si="349"/>
        <v>Offensive</v>
      </c>
      <c r="AG1081">
        <f t="shared" si="355"/>
        <v>18981</v>
      </c>
      <c r="AH1081" t="str">
        <f t="shared" si="356"/>
        <v>Nelson</v>
      </c>
      <c r="AI1081" t="str">
        <f t="shared" si="357"/>
        <v>Velodrome</v>
      </c>
      <c r="AJ1081" s="18">
        <f t="shared" si="350"/>
        <v>1</v>
      </c>
      <c r="AP1081" s="18">
        <f t="shared" si="351"/>
        <v>0</v>
      </c>
      <c r="AQ1081">
        <f t="shared" si="352"/>
        <v>1080</v>
      </c>
      <c r="AR1081" s="23">
        <f t="shared" si="353"/>
        <v>1461</v>
      </c>
      <c r="AS1081">
        <f t="shared" si="358"/>
        <v>1456</v>
      </c>
      <c r="AT1081" s="21">
        <f t="shared" si="359"/>
        <v>1462</v>
      </c>
      <c r="AU1081" s="21"/>
      <c r="AV1081" s="21"/>
      <c r="AW1081" s="21"/>
    </row>
    <row r="1082" spans="1:49" x14ac:dyDescent="0.2">
      <c r="A1082">
        <v>591</v>
      </c>
      <c r="E1082">
        <f t="shared" si="354"/>
        <v>2</v>
      </c>
      <c r="F1082" s="5" t="s">
        <v>486</v>
      </c>
      <c r="G1082" s="5" t="s">
        <v>510</v>
      </c>
      <c r="J1082" t="str">
        <f t="shared" si="361"/>
        <v>11</v>
      </c>
      <c r="K1082" t="str">
        <f t="shared" si="362"/>
        <v>38</v>
      </c>
      <c r="L1082" t="str">
        <f t="shared" si="363"/>
        <v/>
      </c>
      <c r="M1082" s="6" t="str">
        <f t="shared" si="364"/>
        <v/>
      </c>
      <c r="N1082" t="s">
        <v>179</v>
      </c>
      <c r="O1082">
        <v>84</v>
      </c>
      <c r="P1082" t="s">
        <v>424</v>
      </c>
      <c r="Q1082" t="s">
        <v>8</v>
      </c>
      <c r="R1082" t="s">
        <v>189</v>
      </c>
      <c r="S1082" t="s">
        <v>70</v>
      </c>
      <c r="Y1082" t="str">
        <f t="shared" si="344"/>
        <v/>
      </c>
      <c r="Z1082" t="str">
        <f t="shared" si="345"/>
        <v/>
      </c>
      <c r="AC1082" t="str">
        <f t="shared" si="365"/>
        <v>Pass</v>
      </c>
      <c r="AD1082" t="str">
        <f t="shared" si="366"/>
        <v>Pass_Completed</v>
      </c>
      <c r="AE1082" t="str">
        <f t="shared" si="367"/>
        <v>Pass-Forehand</v>
      </c>
      <c r="AF1082" t="str">
        <f t="shared" si="349"/>
        <v>Offensive</v>
      </c>
      <c r="AG1082">
        <f t="shared" si="355"/>
        <v>18981</v>
      </c>
      <c r="AH1082" t="str">
        <f t="shared" si="356"/>
        <v>Nelson</v>
      </c>
      <c r="AI1082" t="str">
        <f t="shared" si="357"/>
        <v>Velodrome</v>
      </c>
      <c r="AJ1082" s="18">
        <f t="shared" si="350"/>
        <v>0</v>
      </c>
      <c r="AP1082" s="18">
        <f t="shared" si="351"/>
        <v>0</v>
      </c>
      <c r="AQ1082">
        <f t="shared" si="352"/>
        <v>1080</v>
      </c>
      <c r="AR1082" s="23">
        <f t="shared" si="353"/>
        <v>1462</v>
      </c>
      <c r="AS1082">
        <f t="shared" si="358"/>
        <v>1457</v>
      </c>
      <c r="AT1082" s="21">
        <f t="shared" si="359"/>
        <v>1462</v>
      </c>
      <c r="AU1082" s="21"/>
      <c r="AV1082" s="21"/>
      <c r="AW1082" s="21"/>
    </row>
    <row r="1083" spans="1:49" x14ac:dyDescent="0.2">
      <c r="A1083">
        <v>591</v>
      </c>
      <c r="E1083">
        <f t="shared" si="354"/>
        <v>2</v>
      </c>
      <c r="J1083" t="str">
        <f t="shared" si="361"/>
        <v>11</v>
      </c>
      <c r="K1083" t="str">
        <f t="shared" si="362"/>
        <v>38</v>
      </c>
      <c r="L1083" t="str">
        <f t="shared" si="363"/>
        <v/>
      </c>
      <c r="M1083" s="6" t="str">
        <f t="shared" si="364"/>
        <v/>
      </c>
      <c r="N1083" t="str">
        <f t="shared" si="360"/>
        <v>Away</v>
      </c>
      <c r="O1083">
        <v>70</v>
      </c>
      <c r="P1083" t="s">
        <v>424</v>
      </c>
      <c r="Y1083" t="str">
        <f t="shared" si="344"/>
        <v/>
      </c>
      <c r="Z1083" t="str">
        <f t="shared" si="345"/>
        <v/>
      </c>
      <c r="AC1083" t="str">
        <f t="shared" si="365"/>
        <v>Pass</v>
      </c>
      <c r="AD1083" t="str">
        <f t="shared" si="366"/>
        <v>Pass_Completed</v>
      </c>
      <c r="AE1083" t="str">
        <f t="shared" si="367"/>
        <v>Pass-Forehand</v>
      </c>
      <c r="AF1083" t="str">
        <f t="shared" si="349"/>
        <v>Offensive</v>
      </c>
      <c r="AG1083">
        <f t="shared" si="355"/>
        <v>18981</v>
      </c>
      <c r="AH1083" t="str">
        <f t="shared" si="356"/>
        <v>Nelson</v>
      </c>
      <c r="AI1083" t="str">
        <f t="shared" si="357"/>
        <v>Velodrome</v>
      </c>
      <c r="AJ1083" s="18">
        <f t="shared" si="350"/>
        <v>0</v>
      </c>
      <c r="AP1083" s="18">
        <f t="shared" si="351"/>
        <v>0</v>
      </c>
      <c r="AQ1083">
        <f t="shared" si="352"/>
        <v>1080</v>
      </c>
      <c r="AR1083" s="23">
        <f t="shared" si="353"/>
        <v>1462</v>
      </c>
      <c r="AS1083">
        <f t="shared" si="358"/>
        <v>1457</v>
      </c>
      <c r="AT1083" s="21">
        <f t="shared" si="359"/>
        <v>1462</v>
      </c>
      <c r="AU1083" s="21"/>
      <c r="AV1083" s="21"/>
      <c r="AW1083" s="21"/>
    </row>
    <row r="1084" spans="1:49" x14ac:dyDescent="0.2">
      <c r="A1084">
        <v>592</v>
      </c>
      <c r="E1084">
        <f t="shared" si="354"/>
        <v>2</v>
      </c>
      <c r="F1084" s="5" t="s">
        <v>486</v>
      </c>
      <c r="G1084" s="5" t="s">
        <v>509</v>
      </c>
      <c r="J1084" t="str">
        <f t="shared" si="361"/>
        <v>11</v>
      </c>
      <c r="K1084" t="str">
        <f t="shared" si="362"/>
        <v>37</v>
      </c>
      <c r="L1084" t="str">
        <f t="shared" si="363"/>
        <v/>
      </c>
      <c r="M1084" s="6" t="str">
        <f t="shared" si="364"/>
        <v/>
      </c>
      <c r="N1084" t="s">
        <v>179</v>
      </c>
      <c r="O1084">
        <v>70</v>
      </c>
      <c r="P1084" t="s">
        <v>424</v>
      </c>
      <c r="Q1084" t="s">
        <v>8</v>
      </c>
      <c r="R1084" t="s">
        <v>189</v>
      </c>
      <c r="S1084" t="s">
        <v>442</v>
      </c>
      <c r="Y1084" t="str">
        <f t="shared" si="344"/>
        <v/>
      </c>
      <c r="Z1084" t="str">
        <f t="shared" si="345"/>
        <v/>
      </c>
      <c r="AC1084" t="str">
        <f t="shared" si="365"/>
        <v>Pass</v>
      </c>
      <c r="AD1084" t="str">
        <f t="shared" si="366"/>
        <v>Pass_Completed</v>
      </c>
      <c r="AE1084" t="str">
        <f t="shared" si="367"/>
        <v>Pass-Drop</v>
      </c>
      <c r="AF1084" t="str">
        <f t="shared" si="349"/>
        <v>Offensive</v>
      </c>
      <c r="AG1084">
        <f t="shared" si="355"/>
        <v>18981</v>
      </c>
      <c r="AH1084" t="str">
        <f t="shared" si="356"/>
        <v>Nelson</v>
      </c>
      <c r="AI1084" t="str">
        <f t="shared" si="357"/>
        <v>Velodrome</v>
      </c>
      <c r="AJ1084" s="18">
        <f t="shared" si="350"/>
        <v>0</v>
      </c>
      <c r="AP1084" s="18">
        <f t="shared" si="351"/>
        <v>0</v>
      </c>
      <c r="AQ1084">
        <f t="shared" si="352"/>
        <v>1080</v>
      </c>
      <c r="AR1084" s="23">
        <f t="shared" si="353"/>
        <v>1463</v>
      </c>
      <c r="AS1084">
        <f t="shared" si="358"/>
        <v>1458</v>
      </c>
      <c r="AT1084" s="21">
        <f t="shared" si="359"/>
        <v>1463</v>
      </c>
      <c r="AU1084" s="21"/>
      <c r="AV1084" s="21"/>
      <c r="AW1084" s="21"/>
    </row>
    <row r="1085" spans="1:49" x14ac:dyDescent="0.2">
      <c r="A1085">
        <v>592</v>
      </c>
      <c r="E1085">
        <f t="shared" si="354"/>
        <v>2</v>
      </c>
      <c r="J1085" t="str">
        <f t="shared" si="361"/>
        <v>11</v>
      </c>
      <c r="K1085" t="str">
        <f t="shared" si="362"/>
        <v>37</v>
      </c>
      <c r="L1085" t="str">
        <f t="shared" si="363"/>
        <v/>
      </c>
      <c r="M1085" s="6" t="str">
        <f t="shared" si="364"/>
        <v/>
      </c>
      <c r="N1085" t="str">
        <f t="shared" si="360"/>
        <v>Away</v>
      </c>
      <c r="O1085">
        <v>91</v>
      </c>
      <c r="P1085" t="s">
        <v>424</v>
      </c>
      <c r="Y1085" t="str">
        <f t="shared" si="344"/>
        <v/>
      </c>
      <c r="Z1085" t="str">
        <f t="shared" si="345"/>
        <v/>
      </c>
      <c r="AC1085" t="str">
        <f t="shared" si="365"/>
        <v>Pass</v>
      </c>
      <c r="AD1085" t="str">
        <f t="shared" si="366"/>
        <v>Pass_Completed</v>
      </c>
      <c r="AE1085" t="str">
        <f t="shared" si="367"/>
        <v>Pass-Drop</v>
      </c>
      <c r="AF1085" t="str">
        <f t="shared" si="349"/>
        <v>Offensive</v>
      </c>
      <c r="AG1085">
        <f t="shared" si="355"/>
        <v>18981</v>
      </c>
      <c r="AH1085" t="str">
        <f t="shared" si="356"/>
        <v>Nelson</v>
      </c>
      <c r="AI1085" t="str">
        <f t="shared" si="357"/>
        <v>Velodrome</v>
      </c>
      <c r="AJ1085" s="18">
        <f t="shared" si="350"/>
        <v>0</v>
      </c>
      <c r="AP1085" s="18">
        <f t="shared" si="351"/>
        <v>0</v>
      </c>
      <c r="AQ1085">
        <f t="shared" si="352"/>
        <v>1080</v>
      </c>
      <c r="AR1085" s="23">
        <f t="shared" si="353"/>
        <v>1463</v>
      </c>
      <c r="AS1085">
        <f t="shared" si="358"/>
        <v>1458</v>
      </c>
      <c r="AT1085" s="21">
        <f t="shared" si="359"/>
        <v>1463</v>
      </c>
      <c r="AU1085" s="21"/>
      <c r="AV1085" s="21"/>
      <c r="AW1085" s="21"/>
    </row>
    <row r="1086" spans="1:49" x14ac:dyDescent="0.2">
      <c r="A1086">
        <v>593</v>
      </c>
      <c r="E1086">
        <f t="shared" si="354"/>
        <v>2</v>
      </c>
      <c r="F1086" s="5" t="s">
        <v>486</v>
      </c>
      <c r="G1086" s="5" t="s">
        <v>509</v>
      </c>
      <c r="J1086" t="str">
        <f t="shared" si="361"/>
        <v>11</v>
      </c>
      <c r="K1086" t="str">
        <f t="shared" si="362"/>
        <v>37</v>
      </c>
      <c r="L1086" t="str">
        <f t="shared" si="363"/>
        <v/>
      </c>
      <c r="M1086" s="6" t="str">
        <f t="shared" si="364"/>
        <v/>
      </c>
      <c r="N1086" t="s">
        <v>179</v>
      </c>
      <c r="O1086">
        <v>70</v>
      </c>
      <c r="P1086" t="s">
        <v>424</v>
      </c>
      <c r="Q1086" t="s">
        <v>277</v>
      </c>
      <c r="R1086" t="s">
        <v>191</v>
      </c>
      <c r="S1086" t="s">
        <v>88</v>
      </c>
      <c r="Y1086" t="str">
        <f t="shared" si="344"/>
        <v/>
      </c>
      <c r="Z1086" t="str">
        <f t="shared" si="345"/>
        <v/>
      </c>
      <c r="AC1086" t="str">
        <f t="shared" si="365"/>
        <v>Zone_Entry_Exit</v>
      </c>
      <c r="AD1086" t="str">
        <f t="shared" si="366"/>
        <v>Zone_Entry</v>
      </c>
      <c r="AE1086" t="str">
        <f t="shared" si="367"/>
        <v>ZoneEntry-Pass</v>
      </c>
      <c r="AF1086" t="str">
        <f t="shared" si="349"/>
        <v>Offensive</v>
      </c>
      <c r="AG1086">
        <f t="shared" si="355"/>
        <v>18981</v>
      </c>
      <c r="AH1086" t="str">
        <f t="shared" si="356"/>
        <v>Nelson</v>
      </c>
      <c r="AI1086" t="str">
        <f t="shared" si="357"/>
        <v>Velodrome</v>
      </c>
      <c r="AJ1086" s="18">
        <f t="shared" si="350"/>
        <v>0</v>
      </c>
      <c r="AP1086" s="18">
        <f t="shared" si="351"/>
        <v>0</v>
      </c>
      <c r="AQ1086">
        <f t="shared" si="352"/>
        <v>1080</v>
      </c>
      <c r="AR1086" s="23">
        <f t="shared" si="353"/>
        <v>1463</v>
      </c>
      <c r="AS1086">
        <f t="shared" si="358"/>
        <v>1458</v>
      </c>
      <c r="AT1086" s="21">
        <f t="shared" si="359"/>
        <v>1463</v>
      </c>
      <c r="AU1086" s="21"/>
      <c r="AV1086" s="21"/>
      <c r="AW1086" s="21"/>
    </row>
    <row r="1087" spans="1:49" x14ac:dyDescent="0.2">
      <c r="A1087">
        <v>593</v>
      </c>
      <c r="E1087">
        <f t="shared" si="354"/>
        <v>2</v>
      </c>
      <c r="J1087" t="str">
        <f t="shared" si="361"/>
        <v>11</v>
      </c>
      <c r="K1087" t="str">
        <f t="shared" si="362"/>
        <v>37</v>
      </c>
      <c r="L1087" t="str">
        <f t="shared" si="363"/>
        <v/>
      </c>
      <c r="M1087" s="6" t="str">
        <f t="shared" si="364"/>
        <v/>
      </c>
      <c r="N1087" t="str">
        <f t="shared" si="360"/>
        <v>Away</v>
      </c>
      <c r="O1087">
        <v>91</v>
      </c>
      <c r="P1087" t="s">
        <v>424</v>
      </c>
      <c r="Y1087" t="str">
        <f t="shared" si="344"/>
        <v/>
      </c>
      <c r="Z1087" t="str">
        <f t="shared" si="345"/>
        <v/>
      </c>
      <c r="AC1087" t="str">
        <f t="shared" si="365"/>
        <v>Zone_Entry_Exit</v>
      </c>
      <c r="AD1087" t="str">
        <f t="shared" si="366"/>
        <v>Zone_Entry</v>
      </c>
      <c r="AE1087" t="str">
        <f t="shared" si="367"/>
        <v>ZoneEntry-Pass</v>
      </c>
      <c r="AF1087" t="str">
        <f t="shared" si="349"/>
        <v>Offensive</v>
      </c>
      <c r="AG1087">
        <f t="shared" si="355"/>
        <v>18981</v>
      </c>
      <c r="AH1087" t="str">
        <f t="shared" si="356"/>
        <v>Nelson</v>
      </c>
      <c r="AI1087" t="str">
        <f t="shared" si="357"/>
        <v>Velodrome</v>
      </c>
      <c r="AJ1087" s="18">
        <f t="shared" si="350"/>
        <v>0</v>
      </c>
      <c r="AP1087" s="18">
        <f t="shared" si="351"/>
        <v>0</v>
      </c>
      <c r="AQ1087">
        <f t="shared" si="352"/>
        <v>1080</v>
      </c>
      <c r="AR1087" s="23">
        <f t="shared" si="353"/>
        <v>1463</v>
      </c>
      <c r="AS1087">
        <f t="shared" si="358"/>
        <v>1458</v>
      </c>
      <c r="AT1087" s="21">
        <f t="shared" si="359"/>
        <v>1463</v>
      </c>
      <c r="AU1087" s="21"/>
      <c r="AV1087" s="21"/>
      <c r="AW1087" s="21"/>
    </row>
    <row r="1088" spans="1:49" x14ac:dyDescent="0.2">
      <c r="A1088">
        <v>593</v>
      </c>
      <c r="E1088">
        <f t="shared" si="354"/>
        <v>2</v>
      </c>
      <c r="J1088" t="str">
        <f t="shared" si="361"/>
        <v>11</v>
      </c>
      <c r="K1088" t="str">
        <f t="shared" si="362"/>
        <v>37</v>
      </c>
      <c r="L1088" t="str">
        <f t="shared" si="363"/>
        <v/>
      </c>
      <c r="M1088" s="6" t="str">
        <f t="shared" si="364"/>
        <v/>
      </c>
      <c r="N1088" t="str">
        <f t="shared" si="360"/>
        <v>Away</v>
      </c>
      <c r="O1088">
        <v>24</v>
      </c>
      <c r="P1088" t="s">
        <v>424</v>
      </c>
      <c r="Y1088" t="str">
        <f t="shared" si="344"/>
        <v/>
      </c>
      <c r="Z1088" t="str">
        <f t="shared" si="345"/>
        <v/>
      </c>
      <c r="AC1088" t="str">
        <f t="shared" si="365"/>
        <v>Zone_Entry_Exit</v>
      </c>
      <c r="AD1088" t="str">
        <f t="shared" si="366"/>
        <v>Zone_Entry</v>
      </c>
      <c r="AE1088" t="str">
        <f t="shared" si="367"/>
        <v>ZoneEntry-Pass</v>
      </c>
      <c r="AF1088" t="str">
        <f t="shared" si="349"/>
        <v>Offensive</v>
      </c>
      <c r="AG1088">
        <f t="shared" si="355"/>
        <v>18981</v>
      </c>
      <c r="AH1088" t="str">
        <f t="shared" si="356"/>
        <v>Nelson</v>
      </c>
      <c r="AI1088" t="str">
        <f t="shared" si="357"/>
        <v>Velodrome</v>
      </c>
      <c r="AJ1088" s="18">
        <f t="shared" si="350"/>
        <v>0</v>
      </c>
      <c r="AP1088" s="18">
        <f t="shared" si="351"/>
        <v>0</v>
      </c>
      <c r="AQ1088">
        <f t="shared" si="352"/>
        <v>1080</v>
      </c>
      <c r="AR1088" s="23">
        <f t="shared" si="353"/>
        <v>1463</v>
      </c>
      <c r="AS1088">
        <f t="shared" si="358"/>
        <v>1458</v>
      </c>
      <c r="AT1088" s="21">
        <f t="shared" si="359"/>
        <v>1463</v>
      </c>
      <c r="AU1088" s="21"/>
      <c r="AV1088" s="21"/>
      <c r="AW1088" s="21"/>
    </row>
    <row r="1089" spans="1:49" x14ac:dyDescent="0.2">
      <c r="A1089">
        <v>593</v>
      </c>
      <c r="E1089">
        <f t="shared" si="354"/>
        <v>2</v>
      </c>
      <c r="J1089" t="str">
        <f t="shared" si="361"/>
        <v>11</v>
      </c>
      <c r="K1089" t="str">
        <f t="shared" si="362"/>
        <v>37</v>
      </c>
      <c r="L1089" t="str">
        <f t="shared" si="363"/>
        <v/>
      </c>
      <c r="M1089" s="6" t="str">
        <f t="shared" si="364"/>
        <v/>
      </c>
      <c r="N1089" t="str">
        <f t="shared" si="360"/>
        <v>Away</v>
      </c>
      <c r="O1089">
        <v>80</v>
      </c>
      <c r="P1089" t="s">
        <v>425</v>
      </c>
      <c r="Y1089" t="str">
        <f t="shared" si="344"/>
        <v/>
      </c>
      <c r="Z1089" t="str">
        <f t="shared" si="345"/>
        <v/>
      </c>
      <c r="AC1089" t="str">
        <f t="shared" si="365"/>
        <v>Zone_Entry_Exit</v>
      </c>
      <c r="AD1089" t="str">
        <f t="shared" si="366"/>
        <v>Zone_Entry</v>
      </c>
      <c r="AE1089" t="str">
        <f t="shared" si="367"/>
        <v>ZoneEntry-Pass</v>
      </c>
      <c r="AF1089" t="str">
        <f t="shared" si="349"/>
        <v>Defensive</v>
      </c>
      <c r="AG1089">
        <f t="shared" si="355"/>
        <v>18981</v>
      </c>
      <c r="AH1089" t="str">
        <f t="shared" si="356"/>
        <v>Nelson</v>
      </c>
      <c r="AI1089" t="str">
        <f t="shared" si="357"/>
        <v>Velodrome</v>
      </c>
      <c r="AJ1089" s="18">
        <f t="shared" si="350"/>
        <v>0</v>
      </c>
      <c r="AP1089" s="18">
        <f t="shared" si="351"/>
        <v>0</v>
      </c>
      <c r="AQ1089">
        <f t="shared" si="352"/>
        <v>1080</v>
      </c>
      <c r="AR1089" s="23">
        <f t="shared" si="353"/>
        <v>1463</v>
      </c>
      <c r="AS1089">
        <f t="shared" si="358"/>
        <v>1458</v>
      </c>
      <c r="AT1089" s="21">
        <f t="shared" si="359"/>
        <v>1463</v>
      </c>
      <c r="AU1089" s="21"/>
      <c r="AV1089" s="21"/>
      <c r="AW1089" s="21"/>
    </row>
    <row r="1090" spans="1:49" x14ac:dyDescent="0.2">
      <c r="A1090">
        <v>593</v>
      </c>
      <c r="E1090">
        <f t="shared" si="354"/>
        <v>2</v>
      </c>
      <c r="J1090" t="str">
        <f t="shared" si="361"/>
        <v>11</v>
      </c>
      <c r="K1090" t="str">
        <f t="shared" si="362"/>
        <v>37</v>
      </c>
      <c r="L1090" t="str">
        <f t="shared" si="363"/>
        <v/>
      </c>
      <c r="M1090" s="6" t="str">
        <f t="shared" si="364"/>
        <v/>
      </c>
      <c r="N1090" t="str">
        <f t="shared" si="360"/>
        <v>Away</v>
      </c>
      <c r="O1090">
        <v>8</v>
      </c>
      <c r="P1090" t="s">
        <v>425</v>
      </c>
      <c r="Y1090" t="str">
        <f t="shared" si="344"/>
        <v/>
      </c>
      <c r="Z1090" t="str">
        <f t="shared" si="345"/>
        <v/>
      </c>
      <c r="AC1090" t="str">
        <f t="shared" si="365"/>
        <v>Zone_Entry_Exit</v>
      </c>
      <c r="AD1090" t="str">
        <f t="shared" si="366"/>
        <v>Zone_Entry</v>
      </c>
      <c r="AE1090" t="str">
        <f t="shared" si="367"/>
        <v>ZoneEntry-Pass</v>
      </c>
      <c r="AF1090" t="str">
        <f t="shared" si="349"/>
        <v>Defensive</v>
      </c>
      <c r="AG1090">
        <f t="shared" si="355"/>
        <v>18981</v>
      </c>
      <c r="AH1090" t="str">
        <f t="shared" si="356"/>
        <v>Nelson</v>
      </c>
      <c r="AI1090" t="str">
        <f t="shared" si="357"/>
        <v>Velodrome</v>
      </c>
      <c r="AJ1090" s="18">
        <f t="shared" si="350"/>
        <v>0</v>
      </c>
      <c r="AP1090" s="18">
        <f t="shared" si="351"/>
        <v>0</v>
      </c>
      <c r="AQ1090">
        <f t="shared" si="352"/>
        <v>1080</v>
      </c>
      <c r="AR1090" s="23">
        <f t="shared" si="353"/>
        <v>1463</v>
      </c>
      <c r="AS1090">
        <f t="shared" si="358"/>
        <v>1458</v>
      </c>
      <c r="AT1090" s="21">
        <f t="shared" si="359"/>
        <v>1463</v>
      </c>
      <c r="AU1090" s="21"/>
      <c r="AV1090" s="21"/>
      <c r="AW1090" s="21"/>
    </row>
    <row r="1091" spans="1:49" x14ac:dyDescent="0.2">
      <c r="A1091">
        <v>594</v>
      </c>
      <c r="E1091">
        <f t="shared" si="354"/>
        <v>2</v>
      </c>
      <c r="F1091" s="5" t="s">
        <v>486</v>
      </c>
      <c r="G1091" s="5" t="s">
        <v>509</v>
      </c>
      <c r="H1091" s="5" t="s">
        <v>486</v>
      </c>
      <c r="I1091" s="7" t="s">
        <v>507</v>
      </c>
      <c r="J1091" t="str">
        <f t="shared" si="361"/>
        <v>11</v>
      </c>
      <c r="K1091" t="str">
        <f t="shared" si="362"/>
        <v>37</v>
      </c>
      <c r="L1091" t="str">
        <f t="shared" si="363"/>
        <v>11</v>
      </c>
      <c r="M1091" s="6" t="str">
        <f t="shared" si="364"/>
        <v>35</v>
      </c>
      <c r="N1091" t="s">
        <v>179</v>
      </c>
      <c r="O1091">
        <v>91</v>
      </c>
      <c r="P1091" t="s">
        <v>424</v>
      </c>
      <c r="Q1091" t="s">
        <v>15</v>
      </c>
      <c r="Y1091" t="str">
        <f t="shared" ref="Y1091:Y1154" si="368">IF($N1091="","",IF(X1091="","",IF($N1091="Home",$X1091,IF($X1091="n","n",IF($X1091="d","o",IF($X1091="o","d",""))))))</f>
        <v/>
      </c>
      <c r="Z1091" t="str">
        <f t="shared" ref="Z1091:Z1154" si="369">IF($N1091="","",IF(X1091="","",IF($N1091="Away",$X1091,IF($X1091="n","n",IF($X1091="d","o",IF($X1091="o","d",""))))))</f>
        <v/>
      </c>
      <c r="AC1091" t="str">
        <f t="shared" si="365"/>
        <v>Possession</v>
      </c>
      <c r="AD1091" t="str">
        <f t="shared" si="366"/>
        <v/>
      </c>
      <c r="AE1091" t="str">
        <f t="shared" si="367"/>
        <v/>
      </c>
      <c r="AF1091" t="str">
        <f t="shared" ref="AF1091:AF1154" si="370">IF(AND(P1091="e",OR(AC1091="Save",AD1091="Turnover_Takeaway",AD1091="Play_Defensive")),"Defensive",IF(AND(P1091="o",OR(AC1091="Save",AD1091="Turnover_Takeaway",AD1091="Play_Defensive")),"Offensive",IF(OR(AC1091="Deadice",AC1091="Stoppage",AC1091="Intermission"),"",IF(P1091="e","Offensive",IF(P1091="o","Defensive","")))))</f>
        <v>Offensive</v>
      </c>
      <c r="AG1091">
        <f t="shared" si="355"/>
        <v>18981</v>
      </c>
      <c r="AH1091" t="str">
        <f t="shared" si="356"/>
        <v>Nelson</v>
      </c>
      <c r="AI1091" t="str">
        <f t="shared" si="357"/>
        <v>Velodrome</v>
      </c>
      <c r="AJ1091" s="18">
        <f t="shared" ref="AJ1091:AJ1154" si="371">IF(AND(L1091="",M1091=""),0,((J1091*60)+K1091)-((L1091*60)+M1091))</f>
        <v>2</v>
      </c>
      <c r="AP1091" s="18">
        <f t="shared" ref="AP1091:AP1154" si="372">SUMIFS(AJ1091:AJ1091,Q1091:Q1091,"=Intermission")</f>
        <v>0</v>
      </c>
      <c r="AQ1091">
        <f t="shared" ref="AQ1091:AQ1154" si="373">IF(E1091=1,0,IF(E1091=2,1080+AP1091,IF(E1091=3,(1080*2)+AP1091,0)))</f>
        <v>1080</v>
      </c>
      <c r="AR1091" s="23">
        <f t="shared" ref="AR1091:AR1154" si="374">IF(Q1091="Intermission",AR1090,((1080)-((J1091*60)+K1091))+AQ1091)</f>
        <v>1463</v>
      </c>
      <c r="AS1091">
        <f t="shared" si="358"/>
        <v>1458</v>
      </c>
      <c r="AT1091" s="21">
        <f t="shared" si="359"/>
        <v>1465</v>
      </c>
      <c r="AU1091" s="21"/>
      <c r="AV1091" s="21"/>
      <c r="AW1091" s="21"/>
    </row>
    <row r="1092" spans="1:49" x14ac:dyDescent="0.2">
      <c r="A1092">
        <v>594</v>
      </c>
      <c r="E1092">
        <f t="shared" ref="E1092:E1155" si="375">IF(Q1092="Intermission",E1091+1,E1091)</f>
        <v>2</v>
      </c>
      <c r="J1092" t="str">
        <f t="shared" si="361"/>
        <v>11</v>
      </c>
      <c r="K1092" t="str">
        <f t="shared" si="362"/>
        <v>37</v>
      </c>
      <c r="L1092" t="str">
        <f t="shared" si="363"/>
        <v>11</v>
      </c>
      <c r="M1092" s="6" t="str">
        <f t="shared" si="364"/>
        <v>35</v>
      </c>
      <c r="N1092" t="str">
        <f t="shared" si="360"/>
        <v>Away</v>
      </c>
      <c r="O1092">
        <v>80</v>
      </c>
      <c r="P1092" t="s">
        <v>425</v>
      </c>
      <c r="Y1092" t="str">
        <f t="shared" si="368"/>
        <v/>
      </c>
      <c r="Z1092" t="str">
        <f t="shared" si="369"/>
        <v/>
      </c>
      <c r="AC1092" t="str">
        <f t="shared" si="365"/>
        <v>Possession</v>
      </c>
      <c r="AD1092" t="str">
        <f t="shared" si="366"/>
        <v/>
      </c>
      <c r="AE1092" t="str">
        <f t="shared" si="367"/>
        <v/>
      </c>
      <c r="AF1092" t="str">
        <f t="shared" si="370"/>
        <v>Defensive</v>
      </c>
      <c r="AG1092">
        <f t="shared" ref="AG1092:AG1155" si="376">AG1091</f>
        <v>18981</v>
      </c>
      <c r="AH1092" t="str">
        <f t="shared" ref="AH1092:AH1155" si="377">AH1091</f>
        <v>Nelson</v>
      </c>
      <c r="AI1092" t="str">
        <f t="shared" ref="AI1092:AI1155" si="378">AI1091</f>
        <v>Velodrome</v>
      </c>
      <c r="AJ1092" s="18">
        <f t="shared" si="371"/>
        <v>2</v>
      </c>
      <c r="AP1092" s="18">
        <f t="shared" si="372"/>
        <v>0</v>
      </c>
      <c r="AQ1092">
        <f t="shared" si="373"/>
        <v>1080</v>
      </c>
      <c r="AR1092" s="23">
        <f t="shared" si="374"/>
        <v>1463</v>
      </c>
      <c r="AS1092">
        <f t="shared" ref="AS1092:AS1155" si="379">IF(AR1092&lt;5,0,AR1092-5)</f>
        <v>1458</v>
      </c>
      <c r="AT1092" s="21">
        <f t="shared" ref="AT1092:AT1155" si="380">AS1092+AJ1092+5</f>
        <v>1465</v>
      </c>
      <c r="AU1092" s="21"/>
      <c r="AV1092" s="21"/>
      <c r="AW1092" s="21"/>
    </row>
    <row r="1093" spans="1:49" x14ac:dyDescent="0.2">
      <c r="A1093">
        <v>595</v>
      </c>
      <c r="E1093">
        <f t="shared" si="375"/>
        <v>2</v>
      </c>
      <c r="F1093" s="5" t="s">
        <v>486</v>
      </c>
      <c r="G1093" s="5" t="s">
        <v>507</v>
      </c>
      <c r="J1093" t="str">
        <f t="shared" si="361"/>
        <v>11</v>
      </c>
      <c r="K1093" t="str">
        <f t="shared" si="362"/>
        <v>35</v>
      </c>
      <c r="L1093" t="str">
        <f t="shared" si="363"/>
        <v/>
      </c>
      <c r="M1093" s="6" t="str">
        <f t="shared" si="364"/>
        <v/>
      </c>
      <c r="N1093" t="s">
        <v>179</v>
      </c>
      <c r="O1093">
        <v>91</v>
      </c>
      <c r="P1093" t="s">
        <v>424</v>
      </c>
      <c r="Q1093" t="s">
        <v>8</v>
      </c>
      <c r="R1093" t="s">
        <v>199</v>
      </c>
      <c r="S1093" t="s">
        <v>69</v>
      </c>
      <c r="Y1093" t="str">
        <f t="shared" si="368"/>
        <v/>
      </c>
      <c r="Z1093" t="str">
        <f t="shared" si="369"/>
        <v/>
      </c>
      <c r="AC1093" t="str">
        <f t="shared" si="365"/>
        <v>Pass</v>
      </c>
      <c r="AD1093" t="str">
        <f t="shared" si="366"/>
        <v>Pass_Missed</v>
      </c>
      <c r="AE1093" t="str">
        <f t="shared" si="367"/>
        <v>Pass-Backhand</v>
      </c>
      <c r="AF1093" t="str">
        <f t="shared" si="370"/>
        <v>Offensive</v>
      </c>
      <c r="AG1093">
        <f t="shared" si="376"/>
        <v>18981</v>
      </c>
      <c r="AH1093" t="str">
        <f t="shared" si="377"/>
        <v>Nelson</v>
      </c>
      <c r="AI1093" t="str">
        <f t="shared" si="378"/>
        <v>Velodrome</v>
      </c>
      <c r="AJ1093" s="18">
        <f t="shared" si="371"/>
        <v>0</v>
      </c>
      <c r="AP1093" s="18">
        <f t="shared" si="372"/>
        <v>0</v>
      </c>
      <c r="AQ1093">
        <f t="shared" si="373"/>
        <v>1080</v>
      </c>
      <c r="AR1093" s="23">
        <f t="shared" si="374"/>
        <v>1465</v>
      </c>
      <c r="AS1093">
        <f t="shared" si="379"/>
        <v>1460</v>
      </c>
      <c r="AT1093" s="21">
        <f t="shared" si="380"/>
        <v>1465</v>
      </c>
      <c r="AU1093" s="21"/>
      <c r="AV1093" s="21"/>
      <c r="AW1093" s="21"/>
    </row>
    <row r="1094" spans="1:49" x14ac:dyDescent="0.2">
      <c r="A1094">
        <v>595</v>
      </c>
      <c r="E1094">
        <f t="shared" si="375"/>
        <v>2</v>
      </c>
      <c r="J1094" t="str">
        <f t="shared" si="361"/>
        <v>11</v>
      </c>
      <c r="K1094" t="str">
        <f t="shared" si="362"/>
        <v>35</v>
      </c>
      <c r="L1094" t="str">
        <f t="shared" si="363"/>
        <v/>
      </c>
      <c r="M1094" s="6" t="str">
        <f t="shared" si="364"/>
        <v/>
      </c>
      <c r="N1094" t="str">
        <f t="shared" ref="N1094:N1156" si="381">IF(A1094=A1093,N1093,"")</f>
        <v>Away</v>
      </c>
      <c r="O1094">
        <v>24</v>
      </c>
      <c r="P1094" t="s">
        <v>424</v>
      </c>
      <c r="Y1094" t="str">
        <f t="shared" si="368"/>
        <v/>
      </c>
      <c r="Z1094" t="str">
        <f t="shared" si="369"/>
        <v/>
      </c>
      <c r="AC1094" t="str">
        <f t="shared" si="365"/>
        <v>Pass</v>
      </c>
      <c r="AD1094" t="str">
        <f t="shared" si="366"/>
        <v>Pass_Missed</v>
      </c>
      <c r="AE1094" t="str">
        <f t="shared" si="367"/>
        <v>Pass-Backhand</v>
      </c>
      <c r="AF1094" t="str">
        <f t="shared" si="370"/>
        <v>Offensive</v>
      </c>
      <c r="AG1094">
        <f t="shared" si="376"/>
        <v>18981</v>
      </c>
      <c r="AH1094" t="str">
        <f t="shared" si="377"/>
        <v>Nelson</v>
      </c>
      <c r="AI1094" t="str">
        <f t="shared" si="378"/>
        <v>Velodrome</v>
      </c>
      <c r="AJ1094" s="18">
        <f t="shared" si="371"/>
        <v>0</v>
      </c>
      <c r="AP1094" s="18">
        <f t="shared" si="372"/>
        <v>0</v>
      </c>
      <c r="AQ1094">
        <f t="shared" si="373"/>
        <v>1080</v>
      </c>
      <c r="AR1094" s="23">
        <f t="shared" si="374"/>
        <v>1465</v>
      </c>
      <c r="AS1094">
        <f t="shared" si="379"/>
        <v>1460</v>
      </c>
      <c r="AT1094" s="21">
        <f t="shared" si="380"/>
        <v>1465</v>
      </c>
      <c r="AU1094" s="21"/>
      <c r="AV1094" s="21"/>
      <c r="AW1094" s="21"/>
    </row>
    <row r="1095" spans="1:49" x14ac:dyDescent="0.2">
      <c r="A1095">
        <v>596</v>
      </c>
      <c r="E1095">
        <f t="shared" si="375"/>
        <v>2</v>
      </c>
      <c r="F1095" s="5" t="s">
        <v>486</v>
      </c>
      <c r="G1095" s="5" t="s">
        <v>501</v>
      </c>
      <c r="J1095" t="str">
        <f t="shared" si="361"/>
        <v>11</v>
      </c>
      <c r="K1095" t="str">
        <f t="shared" si="362"/>
        <v>29</v>
      </c>
      <c r="L1095" t="str">
        <f t="shared" si="363"/>
        <v/>
      </c>
      <c r="M1095" s="6" t="str">
        <f t="shared" si="364"/>
        <v/>
      </c>
      <c r="N1095" t="s">
        <v>179</v>
      </c>
      <c r="O1095">
        <v>91</v>
      </c>
      <c r="P1095" t="s">
        <v>424</v>
      </c>
      <c r="Q1095" t="s">
        <v>8</v>
      </c>
      <c r="R1095" t="s">
        <v>199</v>
      </c>
      <c r="S1095" t="s">
        <v>69</v>
      </c>
      <c r="Y1095" t="str">
        <f t="shared" si="368"/>
        <v/>
      </c>
      <c r="Z1095" t="str">
        <f t="shared" si="369"/>
        <v/>
      </c>
      <c r="AC1095" t="str">
        <f t="shared" si="365"/>
        <v>Pass</v>
      </c>
      <c r="AD1095" t="str">
        <f t="shared" si="366"/>
        <v>Pass_Missed</v>
      </c>
      <c r="AE1095" t="str">
        <f t="shared" si="367"/>
        <v>Pass-Backhand</v>
      </c>
      <c r="AF1095" t="str">
        <f t="shared" si="370"/>
        <v>Offensive</v>
      </c>
      <c r="AG1095">
        <f t="shared" si="376"/>
        <v>18981</v>
      </c>
      <c r="AH1095" t="str">
        <f t="shared" si="377"/>
        <v>Nelson</v>
      </c>
      <c r="AI1095" t="str">
        <f t="shared" si="378"/>
        <v>Velodrome</v>
      </c>
      <c r="AJ1095" s="18">
        <f t="shared" si="371"/>
        <v>0</v>
      </c>
      <c r="AP1095" s="18">
        <f t="shared" si="372"/>
        <v>0</v>
      </c>
      <c r="AQ1095">
        <f t="shared" si="373"/>
        <v>1080</v>
      </c>
      <c r="AR1095" s="23">
        <f t="shared" si="374"/>
        <v>1471</v>
      </c>
      <c r="AS1095">
        <f t="shared" si="379"/>
        <v>1466</v>
      </c>
      <c r="AT1095" s="21">
        <f t="shared" si="380"/>
        <v>1471</v>
      </c>
      <c r="AU1095" s="21"/>
      <c r="AV1095" s="21"/>
      <c r="AW1095" s="21"/>
    </row>
    <row r="1096" spans="1:49" x14ac:dyDescent="0.2">
      <c r="A1096">
        <v>596</v>
      </c>
      <c r="E1096">
        <f t="shared" si="375"/>
        <v>2</v>
      </c>
      <c r="J1096" t="str">
        <f t="shared" si="361"/>
        <v>11</v>
      </c>
      <c r="K1096" t="str">
        <f t="shared" si="362"/>
        <v>29</v>
      </c>
      <c r="L1096" t="str">
        <f t="shared" si="363"/>
        <v/>
      </c>
      <c r="M1096" s="6" t="str">
        <f t="shared" si="364"/>
        <v/>
      </c>
      <c r="N1096" t="str">
        <f t="shared" si="381"/>
        <v>Away</v>
      </c>
      <c r="O1096">
        <v>70</v>
      </c>
      <c r="P1096" t="s">
        <v>424</v>
      </c>
      <c r="Y1096" t="str">
        <f t="shared" si="368"/>
        <v/>
      </c>
      <c r="Z1096" t="str">
        <f t="shared" si="369"/>
        <v/>
      </c>
      <c r="AC1096" t="str">
        <f t="shared" si="365"/>
        <v>Pass</v>
      </c>
      <c r="AD1096" t="str">
        <f t="shared" si="366"/>
        <v>Pass_Missed</v>
      </c>
      <c r="AE1096" t="str">
        <f t="shared" si="367"/>
        <v>Pass-Backhand</v>
      </c>
      <c r="AF1096" t="str">
        <f t="shared" si="370"/>
        <v>Offensive</v>
      </c>
      <c r="AG1096">
        <f t="shared" si="376"/>
        <v>18981</v>
      </c>
      <c r="AH1096" t="str">
        <f t="shared" si="377"/>
        <v>Nelson</v>
      </c>
      <c r="AI1096" t="str">
        <f t="shared" si="378"/>
        <v>Velodrome</v>
      </c>
      <c r="AJ1096" s="18">
        <f t="shared" si="371"/>
        <v>0</v>
      </c>
      <c r="AP1096" s="18">
        <f t="shared" si="372"/>
        <v>0</v>
      </c>
      <c r="AQ1096">
        <f t="shared" si="373"/>
        <v>1080</v>
      </c>
      <c r="AR1096" s="23">
        <f t="shared" si="374"/>
        <v>1471</v>
      </c>
      <c r="AS1096">
        <f t="shared" si="379"/>
        <v>1466</v>
      </c>
      <c r="AT1096" s="21">
        <f t="shared" si="380"/>
        <v>1471</v>
      </c>
      <c r="AU1096" s="21"/>
      <c r="AV1096" s="21"/>
      <c r="AW1096" s="21"/>
    </row>
    <row r="1097" spans="1:49" x14ac:dyDescent="0.2">
      <c r="A1097">
        <v>596</v>
      </c>
      <c r="E1097">
        <f t="shared" si="375"/>
        <v>2</v>
      </c>
      <c r="J1097" t="str">
        <f t="shared" ref="J1097:J1160" si="382">IF(F1097&lt;&gt;"",F1097,IF($A1097=$A1096,J1096,J1097))</f>
        <v>11</v>
      </c>
      <c r="K1097" t="str">
        <f t="shared" ref="K1097:K1160" si="383">IF($A1097=$A1096,K1096,G1097)</f>
        <v>29</v>
      </c>
      <c r="L1097" t="str">
        <f t="shared" ref="L1097:L1160" si="384">IF(H1097&lt;&gt;"",H1097,IF($A1097=$A1096,L1096,""))</f>
        <v/>
      </c>
      <c r="M1097" s="6" t="str">
        <f t="shared" ref="M1097:M1160" si="385">IF(I1097&lt;&gt;"",I1097,IF($A1097=$A1096,M1096,""))</f>
        <v/>
      </c>
      <c r="N1097" t="str">
        <f t="shared" si="381"/>
        <v>Away</v>
      </c>
      <c r="O1097">
        <v>80</v>
      </c>
      <c r="P1097" t="s">
        <v>425</v>
      </c>
      <c r="Y1097" t="str">
        <f t="shared" si="368"/>
        <v/>
      </c>
      <c r="Z1097" t="str">
        <f t="shared" si="369"/>
        <v/>
      </c>
      <c r="AC1097" t="str">
        <f t="shared" si="365"/>
        <v>Pass</v>
      </c>
      <c r="AD1097" t="str">
        <f t="shared" si="366"/>
        <v>Pass_Missed</v>
      </c>
      <c r="AE1097" t="str">
        <f t="shared" si="367"/>
        <v>Pass-Backhand</v>
      </c>
      <c r="AF1097" t="str">
        <f t="shared" si="370"/>
        <v>Defensive</v>
      </c>
      <c r="AG1097">
        <f t="shared" si="376"/>
        <v>18981</v>
      </c>
      <c r="AH1097" t="str">
        <f t="shared" si="377"/>
        <v>Nelson</v>
      </c>
      <c r="AI1097" t="str">
        <f t="shared" si="378"/>
        <v>Velodrome</v>
      </c>
      <c r="AJ1097" s="18">
        <f t="shared" si="371"/>
        <v>0</v>
      </c>
      <c r="AP1097" s="18">
        <f t="shared" si="372"/>
        <v>0</v>
      </c>
      <c r="AQ1097">
        <f t="shared" si="373"/>
        <v>1080</v>
      </c>
      <c r="AR1097" s="23">
        <f t="shared" si="374"/>
        <v>1471</v>
      </c>
      <c r="AS1097">
        <f t="shared" si="379"/>
        <v>1466</v>
      </c>
      <c r="AT1097" s="21">
        <f t="shared" si="380"/>
        <v>1471</v>
      </c>
      <c r="AU1097" s="21"/>
      <c r="AV1097" s="21"/>
      <c r="AW1097" s="21"/>
    </row>
    <row r="1098" spans="1:49" x14ac:dyDescent="0.2">
      <c r="A1098">
        <v>597</v>
      </c>
      <c r="E1098">
        <f t="shared" si="375"/>
        <v>2</v>
      </c>
      <c r="F1098" s="5" t="s">
        <v>486</v>
      </c>
      <c r="G1098" s="5" t="s">
        <v>498</v>
      </c>
      <c r="H1098" s="5" t="s">
        <v>486</v>
      </c>
      <c r="I1098" s="7" t="s">
        <v>495</v>
      </c>
      <c r="J1098" t="str">
        <f t="shared" si="382"/>
        <v>11</v>
      </c>
      <c r="K1098" t="str">
        <f t="shared" si="383"/>
        <v>26</v>
      </c>
      <c r="L1098" t="str">
        <f t="shared" si="384"/>
        <v>11</v>
      </c>
      <c r="M1098" s="6" t="str">
        <f t="shared" si="385"/>
        <v>23</v>
      </c>
      <c r="N1098" t="s">
        <v>179</v>
      </c>
      <c r="O1098">
        <v>70</v>
      </c>
      <c r="P1098" t="s">
        <v>424</v>
      </c>
      <c r="Q1098" t="s">
        <v>15</v>
      </c>
      <c r="Y1098" t="str">
        <f t="shared" si="368"/>
        <v/>
      </c>
      <c r="Z1098" t="str">
        <f t="shared" si="369"/>
        <v/>
      </c>
      <c r="AC1098" t="str">
        <f t="shared" si="365"/>
        <v>Possession</v>
      </c>
      <c r="AD1098" t="str">
        <f t="shared" si="366"/>
        <v/>
      </c>
      <c r="AE1098" t="str">
        <f t="shared" si="367"/>
        <v/>
      </c>
      <c r="AF1098" t="str">
        <f t="shared" si="370"/>
        <v>Offensive</v>
      </c>
      <c r="AG1098">
        <f t="shared" si="376"/>
        <v>18981</v>
      </c>
      <c r="AH1098" t="str">
        <f t="shared" si="377"/>
        <v>Nelson</v>
      </c>
      <c r="AI1098" t="str">
        <f t="shared" si="378"/>
        <v>Velodrome</v>
      </c>
      <c r="AJ1098" s="18">
        <f t="shared" si="371"/>
        <v>3</v>
      </c>
      <c r="AP1098" s="18">
        <f t="shared" si="372"/>
        <v>0</v>
      </c>
      <c r="AQ1098">
        <f t="shared" si="373"/>
        <v>1080</v>
      </c>
      <c r="AR1098" s="23">
        <f t="shared" si="374"/>
        <v>1474</v>
      </c>
      <c r="AS1098">
        <f t="shared" si="379"/>
        <v>1469</v>
      </c>
      <c r="AT1098" s="21">
        <f t="shared" si="380"/>
        <v>1477</v>
      </c>
      <c r="AU1098" s="21"/>
      <c r="AV1098" s="21"/>
      <c r="AW1098" s="21"/>
    </row>
    <row r="1099" spans="1:49" x14ac:dyDescent="0.2">
      <c r="A1099">
        <v>597</v>
      </c>
      <c r="E1099">
        <f t="shared" si="375"/>
        <v>2</v>
      </c>
      <c r="J1099" t="str">
        <f t="shared" si="382"/>
        <v>11</v>
      </c>
      <c r="K1099" t="str">
        <f t="shared" si="383"/>
        <v>26</v>
      </c>
      <c r="L1099" t="str">
        <f t="shared" si="384"/>
        <v>11</v>
      </c>
      <c r="M1099" s="6" t="str">
        <f t="shared" si="385"/>
        <v>23</v>
      </c>
      <c r="N1099" t="str">
        <f t="shared" si="381"/>
        <v>Away</v>
      </c>
      <c r="O1099">
        <v>16</v>
      </c>
      <c r="P1099" t="s">
        <v>425</v>
      </c>
      <c r="Y1099" t="str">
        <f t="shared" si="368"/>
        <v/>
      </c>
      <c r="Z1099" t="str">
        <f t="shared" si="369"/>
        <v/>
      </c>
      <c r="AC1099" t="str">
        <f t="shared" si="365"/>
        <v>Possession</v>
      </c>
      <c r="AD1099" t="str">
        <f t="shared" si="366"/>
        <v/>
      </c>
      <c r="AE1099" t="str">
        <f t="shared" si="367"/>
        <v/>
      </c>
      <c r="AF1099" t="str">
        <f t="shared" si="370"/>
        <v>Defensive</v>
      </c>
      <c r="AG1099">
        <f t="shared" si="376"/>
        <v>18981</v>
      </c>
      <c r="AH1099" t="str">
        <f t="shared" si="377"/>
        <v>Nelson</v>
      </c>
      <c r="AI1099" t="str">
        <f t="shared" si="378"/>
        <v>Velodrome</v>
      </c>
      <c r="AJ1099" s="18">
        <f t="shared" si="371"/>
        <v>3</v>
      </c>
      <c r="AP1099" s="18">
        <f t="shared" si="372"/>
        <v>0</v>
      </c>
      <c r="AQ1099">
        <f t="shared" si="373"/>
        <v>1080</v>
      </c>
      <c r="AR1099" s="23">
        <f t="shared" si="374"/>
        <v>1474</v>
      </c>
      <c r="AS1099">
        <f t="shared" si="379"/>
        <v>1469</v>
      </c>
      <c r="AT1099" s="21">
        <f t="shared" si="380"/>
        <v>1477</v>
      </c>
      <c r="AU1099" s="21"/>
      <c r="AV1099" s="21"/>
      <c r="AW1099" s="21"/>
    </row>
    <row r="1100" spans="1:49" x14ac:dyDescent="0.2">
      <c r="A1100">
        <v>597</v>
      </c>
      <c r="E1100">
        <f t="shared" si="375"/>
        <v>2</v>
      </c>
      <c r="J1100" t="str">
        <f t="shared" si="382"/>
        <v>11</v>
      </c>
      <c r="K1100" t="str">
        <f t="shared" si="383"/>
        <v>26</v>
      </c>
      <c r="L1100" t="str">
        <f t="shared" si="384"/>
        <v>11</v>
      </c>
      <c r="M1100" s="6" t="str">
        <f t="shared" si="385"/>
        <v>23</v>
      </c>
      <c r="N1100" t="str">
        <f t="shared" si="381"/>
        <v>Away</v>
      </c>
      <c r="O1100">
        <v>10</v>
      </c>
      <c r="P1100" t="s">
        <v>425</v>
      </c>
      <c r="Y1100" t="str">
        <f t="shared" si="368"/>
        <v/>
      </c>
      <c r="Z1100" t="str">
        <f t="shared" si="369"/>
        <v/>
      </c>
      <c r="AC1100" t="str">
        <f t="shared" si="365"/>
        <v>Possession</v>
      </c>
      <c r="AD1100" t="str">
        <f t="shared" si="366"/>
        <v/>
      </c>
      <c r="AE1100" t="str">
        <f t="shared" si="367"/>
        <v/>
      </c>
      <c r="AF1100" t="str">
        <f t="shared" si="370"/>
        <v>Defensive</v>
      </c>
      <c r="AG1100">
        <f t="shared" si="376"/>
        <v>18981</v>
      </c>
      <c r="AH1100" t="str">
        <f t="shared" si="377"/>
        <v>Nelson</v>
      </c>
      <c r="AI1100" t="str">
        <f t="shared" si="378"/>
        <v>Velodrome</v>
      </c>
      <c r="AJ1100" s="18">
        <f t="shared" si="371"/>
        <v>3</v>
      </c>
      <c r="AP1100" s="18">
        <f t="shared" si="372"/>
        <v>0</v>
      </c>
      <c r="AQ1100">
        <f t="shared" si="373"/>
        <v>1080</v>
      </c>
      <c r="AR1100" s="23">
        <f t="shared" si="374"/>
        <v>1474</v>
      </c>
      <c r="AS1100">
        <f t="shared" si="379"/>
        <v>1469</v>
      </c>
      <c r="AT1100" s="21">
        <f t="shared" si="380"/>
        <v>1477</v>
      </c>
      <c r="AU1100" s="21"/>
      <c r="AV1100" s="21"/>
      <c r="AW1100" s="21"/>
    </row>
    <row r="1101" spans="1:49" x14ac:dyDescent="0.2">
      <c r="A1101">
        <v>598</v>
      </c>
      <c r="E1101">
        <f t="shared" si="375"/>
        <v>2</v>
      </c>
      <c r="F1101" s="5" t="s">
        <v>486</v>
      </c>
      <c r="G1101" s="5" t="s">
        <v>495</v>
      </c>
      <c r="J1101" t="str">
        <f t="shared" ref="J1101:J1103" si="386">IF(F1101&lt;&gt;"",F1101,IF($A1101=$A1100,J1100,J1101))</f>
        <v>11</v>
      </c>
      <c r="K1101" t="str">
        <f t="shared" ref="K1101:K1103" si="387">IF($A1101=$A1100,K1100,G1101)</f>
        <v>23</v>
      </c>
      <c r="L1101" t="str">
        <f t="shared" si="384"/>
        <v/>
      </c>
      <c r="M1101" s="6" t="str">
        <f t="shared" si="385"/>
        <v/>
      </c>
      <c r="N1101" t="s">
        <v>179</v>
      </c>
      <c r="O1101">
        <v>70</v>
      </c>
      <c r="P1101" t="s">
        <v>424</v>
      </c>
      <c r="Q1101" t="s">
        <v>8</v>
      </c>
      <c r="R1101" t="s">
        <v>189</v>
      </c>
      <c r="S1101" t="s">
        <v>69</v>
      </c>
      <c r="Y1101" t="str">
        <f t="shared" si="368"/>
        <v/>
      </c>
      <c r="Z1101" t="str">
        <f t="shared" si="369"/>
        <v/>
      </c>
      <c r="AC1101" t="str">
        <f t="shared" si="365"/>
        <v>Pass</v>
      </c>
      <c r="AD1101" t="str">
        <f t="shared" si="366"/>
        <v>Pass_Completed</v>
      </c>
      <c r="AE1101" t="str">
        <f t="shared" si="367"/>
        <v>Pass-Backhand</v>
      </c>
      <c r="AF1101" t="str">
        <f t="shared" si="370"/>
        <v>Offensive</v>
      </c>
      <c r="AG1101">
        <f t="shared" si="376"/>
        <v>18981</v>
      </c>
      <c r="AH1101" t="str">
        <f t="shared" si="377"/>
        <v>Nelson</v>
      </c>
      <c r="AI1101" t="str">
        <f t="shared" si="378"/>
        <v>Velodrome</v>
      </c>
      <c r="AJ1101" s="18">
        <f t="shared" si="371"/>
        <v>0</v>
      </c>
      <c r="AP1101" s="18">
        <f t="shared" si="372"/>
        <v>0</v>
      </c>
      <c r="AQ1101">
        <f t="shared" si="373"/>
        <v>1080</v>
      </c>
      <c r="AR1101" s="23">
        <f t="shared" si="374"/>
        <v>1477</v>
      </c>
      <c r="AS1101">
        <f t="shared" si="379"/>
        <v>1472</v>
      </c>
      <c r="AT1101" s="21">
        <f t="shared" si="380"/>
        <v>1477</v>
      </c>
      <c r="AU1101" s="21"/>
      <c r="AV1101" s="21"/>
      <c r="AW1101" s="21"/>
    </row>
    <row r="1102" spans="1:49" x14ac:dyDescent="0.2">
      <c r="A1102">
        <v>598</v>
      </c>
      <c r="E1102">
        <f t="shared" si="375"/>
        <v>2</v>
      </c>
      <c r="J1102" t="str">
        <f t="shared" si="386"/>
        <v>11</v>
      </c>
      <c r="K1102" t="str">
        <f t="shared" si="387"/>
        <v>23</v>
      </c>
      <c r="L1102" t="str">
        <f t="shared" si="384"/>
        <v/>
      </c>
      <c r="M1102" s="6" t="str">
        <f t="shared" si="385"/>
        <v/>
      </c>
      <c r="N1102" t="str">
        <f t="shared" si="381"/>
        <v>Away</v>
      </c>
      <c r="O1102">
        <v>84</v>
      </c>
      <c r="P1102" t="s">
        <v>424</v>
      </c>
      <c r="Y1102" t="str">
        <f t="shared" si="368"/>
        <v/>
      </c>
      <c r="Z1102" t="str">
        <f t="shared" si="369"/>
        <v/>
      </c>
      <c r="AC1102" t="str">
        <f t="shared" si="365"/>
        <v>Pass</v>
      </c>
      <c r="AD1102" t="str">
        <f t="shared" si="366"/>
        <v>Pass_Completed</v>
      </c>
      <c r="AE1102" t="str">
        <f t="shared" si="367"/>
        <v>Pass-Backhand</v>
      </c>
      <c r="AF1102" t="str">
        <f t="shared" si="370"/>
        <v>Offensive</v>
      </c>
      <c r="AG1102">
        <f t="shared" si="376"/>
        <v>18981</v>
      </c>
      <c r="AH1102" t="str">
        <f t="shared" si="377"/>
        <v>Nelson</v>
      </c>
      <c r="AI1102" t="str">
        <f t="shared" si="378"/>
        <v>Velodrome</v>
      </c>
      <c r="AJ1102" s="18">
        <f t="shared" si="371"/>
        <v>0</v>
      </c>
      <c r="AP1102" s="18">
        <f t="shared" si="372"/>
        <v>0</v>
      </c>
      <c r="AQ1102">
        <f t="shared" si="373"/>
        <v>1080</v>
      </c>
      <c r="AR1102" s="23">
        <f t="shared" si="374"/>
        <v>1477</v>
      </c>
      <c r="AS1102">
        <f t="shared" si="379"/>
        <v>1472</v>
      </c>
      <c r="AT1102" s="21">
        <f t="shared" si="380"/>
        <v>1477</v>
      </c>
      <c r="AU1102" s="21"/>
      <c r="AV1102" s="21"/>
      <c r="AW1102" s="21"/>
    </row>
    <row r="1103" spans="1:49" x14ac:dyDescent="0.2">
      <c r="A1103">
        <v>598</v>
      </c>
      <c r="E1103">
        <f t="shared" si="375"/>
        <v>2</v>
      </c>
      <c r="J1103" t="str">
        <f t="shared" si="386"/>
        <v>11</v>
      </c>
      <c r="K1103" t="str">
        <f t="shared" si="387"/>
        <v>23</v>
      </c>
      <c r="L1103" t="str">
        <f t="shared" si="384"/>
        <v/>
      </c>
      <c r="M1103" s="6" t="str">
        <f t="shared" si="385"/>
        <v/>
      </c>
      <c r="N1103" t="str">
        <f t="shared" si="381"/>
        <v>Away</v>
      </c>
      <c r="O1103">
        <v>10</v>
      </c>
      <c r="P1103" t="s">
        <v>425</v>
      </c>
      <c r="Y1103" t="str">
        <f t="shared" si="368"/>
        <v/>
      </c>
      <c r="Z1103" t="str">
        <f t="shared" si="369"/>
        <v/>
      </c>
      <c r="AC1103" t="str">
        <f t="shared" si="365"/>
        <v>Pass</v>
      </c>
      <c r="AD1103" t="str">
        <f t="shared" si="366"/>
        <v>Pass_Completed</v>
      </c>
      <c r="AE1103" t="str">
        <f t="shared" si="367"/>
        <v>Pass-Backhand</v>
      </c>
      <c r="AF1103" t="str">
        <f t="shared" si="370"/>
        <v>Defensive</v>
      </c>
      <c r="AG1103">
        <f t="shared" si="376"/>
        <v>18981</v>
      </c>
      <c r="AH1103" t="str">
        <f t="shared" si="377"/>
        <v>Nelson</v>
      </c>
      <c r="AI1103" t="str">
        <f t="shared" si="378"/>
        <v>Velodrome</v>
      </c>
      <c r="AJ1103" s="18">
        <f t="shared" si="371"/>
        <v>0</v>
      </c>
      <c r="AP1103" s="18">
        <f t="shared" si="372"/>
        <v>0</v>
      </c>
      <c r="AQ1103">
        <f t="shared" si="373"/>
        <v>1080</v>
      </c>
      <c r="AR1103" s="23">
        <f t="shared" si="374"/>
        <v>1477</v>
      </c>
      <c r="AS1103">
        <f t="shared" si="379"/>
        <v>1472</v>
      </c>
      <c r="AT1103" s="21">
        <f t="shared" si="380"/>
        <v>1477</v>
      </c>
      <c r="AU1103" s="21"/>
      <c r="AV1103" s="21"/>
      <c r="AW1103" s="21"/>
    </row>
    <row r="1104" spans="1:49" x14ac:dyDescent="0.2">
      <c r="A1104">
        <v>599</v>
      </c>
      <c r="E1104">
        <f t="shared" si="375"/>
        <v>2</v>
      </c>
      <c r="F1104" s="5" t="s">
        <v>486</v>
      </c>
      <c r="G1104" s="5" t="s">
        <v>494</v>
      </c>
      <c r="J1104" t="str">
        <f t="shared" si="382"/>
        <v>11</v>
      </c>
      <c r="K1104" t="str">
        <f t="shared" si="383"/>
        <v>22</v>
      </c>
      <c r="L1104" t="str">
        <f t="shared" si="384"/>
        <v/>
      </c>
      <c r="M1104" s="6" t="str">
        <f t="shared" si="385"/>
        <v/>
      </c>
      <c r="N1104" t="s">
        <v>179</v>
      </c>
      <c r="O1104">
        <v>84</v>
      </c>
      <c r="P1104" t="s">
        <v>424</v>
      </c>
      <c r="Q1104" t="s">
        <v>8</v>
      </c>
      <c r="R1104" t="s">
        <v>189</v>
      </c>
      <c r="S1104" t="s">
        <v>68</v>
      </c>
      <c r="Y1104" t="str">
        <f t="shared" si="368"/>
        <v/>
      </c>
      <c r="Z1104" t="str">
        <f t="shared" si="369"/>
        <v/>
      </c>
      <c r="AC1104" t="str">
        <f t="shared" si="365"/>
        <v>Pass</v>
      </c>
      <c r="AD1104" t="str">
        <f t="shared" si="366"/>
        <v>Pass_Completed</v>
      </c>
      <c r="AE1104" t="str">
        <f t="shared" si="367"/>
        <v>Pass-Rim/Wrap</v>
      </c>
      <c r="AF1104" t="str">
        <f t="shared" si="370"/>
        <v>Offensive</v>
      </c>
      <c r="AG1104">
        <f t="shared" si="376"/>
        <v>18981</v>
      </c>
      <c r="AH1104" t="str">
        <f t="shared" si="377"/>
        <v>Nelson</v>
      </c>
      <c r="AI1104" t="str">
        <f t="shared" si="378"/>
        <v>Velodrome</v>
      </c>
      <c r="AJ1104" s="18">
        <f t="shared" si="371"/>
        <v>0</v>
      </c>
      <c r="AP1104" s="18">
        <f t="shared" si="372"/>
        <v>0</v>
      </c>
      <c r="AQ1104">
        <f t="shared" si="373"/>
        <v>1080</v>
      </c>
      <c r="AR1104" s="23">
        <f t="shared" si="374"/>
        <v>1478</v>
      </c>
      <c r="AS1104">
        <f t="shared" si="379"/>
        <v>1473</v>
      </c>
      <c r="AT1104" s="21">
        <f t="shared" si="380"/>
        <v>1478</v>
      </c>
      <c r="AU1104" s="21"/>
      <c r="AV1104" s="21"/>
      <c r="AW1104" s="21"/>
    </row>
    <row r="1105" spans="1:49" x14ac:dyDescent="0.2">
      <c r="A1105">
        <v>599</v>
      </c>
      <c r="E1105">
        <f t="shared" si="375"/>
        <v>2</v>
      </c>
      <c r="J1105" t="str">
        <f t="shared" si="382"/>
        <v>11</v>
      </c>
      <c r="K1105" t="str">
        <f t="shared" si="383"/>
        <v>22</v>
      </c>
      <c r="L1105" t="str">
        <f t="shared" si="384"/>
        <v/>
      </c>
      <c r="M1105" s="6" t="str">
        <f t="shared" si="385"/>
        <v/>
      </c>
      <c r="N1105" t="str">
        <f t="shared" si="381"/>
        <v>Away</v>
      </c>
      <c r="O1105">
        <v>91</v>
      </c>
      <c r="P1105" t="s">
        <v>424</v>
      </c>
      <c r="Y1105" t="str">
        <f t="shared" si="368"/>
        <v/>
      </c>
      <c r="Z1105" t="str">
        <f t="shared" si="369"/>
        <v/>
      </c>
      <c r="AC1105" t="str">
        <f t="shared" si="365"/>
        <v>Pass</v>
      </c>
      <c r="AD1105" t="str">
        <f t="shared" si="366"/>
        <v>Pass_Completed</v>
      </c>
      <c r="AE1105" t="str">
        <f t="shared" si="367"/>
        <v>Pass-Rim/Wrap</v>
      </c>
      <c r="AF1105" t="str">
        <f t="shared" si="370"/>
        <v>Offensive</v>
      </c>
      <c r="AG1105">
        <f t="shared" si="376"/>
        <v>18981</v>
      </c>
      <c r="AH1105" t="str">
        <f t="shared" si="377"/>
        <v>Nelson</v>
      </c>
      <c r="AI1105" t="str">
        <f t="shared" si="378"/>
        <v>Velodrome</v>
      </c>
      <c r="AJ1105" s="18">
        <f t="shared" si="371"/>
        <v>0</v>
      </c>
      <c r="AP1105" s="18">
        <f t="shared" si="372"/>
        <v>0</v>
      </c>
      <c r="AQ1105">
        <f t="shared" si="373"/>
        <v>1080</v>
      </c>
      <c r="AR1105" s="23">
        <f t="shared" si="374"/>
        <v>1478</v>
      </c>
      <c r="AS1105">
        <f t="shared" si="379"/>
        <v>1473</v>
      </c>
      <c r="AT1105" s="21">
        <f t="shared" si="380"/>
        <v>1478</v>
      </c>
      <c r="AU1105" s="21"/>
      <c r="AV1105" s="21"/>
      <c r="AW1105" s="21"/>
    </row>
    <row r="1106" spans="1:49" x14ac:dyDescent="0.2">
      <c r="A1106">
        <v>599</v>
      </c>
      <c r="E1106">
        <f t="shared" si="375"/>
        <v>2</v>
      </c>
      <c r="J1106" t="str">
        <f t="shared" si="382"/>
        <v>11</v>
      </c>
      <c r="K1106" t="str">
        <f t="shared" si="383"/>
        <v>22</v>
      </c>
      <c r="L1106" t="str">
        <f t="shared" si="384"/>
        <v/>
      </c>
      <c r="M1106" s="6" t="str">
        <f t="shared" si="385"/>
        <v/>
      </c>
      <c r="N1106" t="str">
        <f t="shared" si="381"/>
        <v>Away</v>
      </c>
      <c r="O1106">
        <v>16</v>
      </c>
      <c r="P1106" t="s">
        <v>425</v>
      </c>
      <c r="Y1106" t="str">
        <f t="shared" si="368"/>
        <v/>
      </c>
      <c r="Z1106" t="str">
        <f t="shared" si="369"/>
        <v/>
      </c>
      <c r="AC1106" t="str">
        <f t="shared" si="365"/>
        <v>Pass</v>
      </c>
      <c r="AD1106" t="str">
        <f t="shared" si="366"/>
        <v>Pass_Completed</v>
      </c>
      <c r="AE1106" t="str">
        <f t="shared" si="367"/>
        <v>Pass-Rim/Wrap</v>
      </c>
      <c r="AF1106" t="str">
        <f t="shared" si="370"/>
        <v>Defensive</v>
      </c>
      <c r="AG1106">
        <f t="shared" si="376"/>
        <v>18981</v>
      </c>
      <c r="AH1106" t="str">
        <f t="shared" si="377"/>
        <v>Nelson</v>
      </c>
      <c r="AI1106" t="str">
        <f t="shared" si="378"/>
        <v>Velodrome</v>
      </c>
      <c r="AJ1106" s="18">
        <f t="shared" si="371"/>
        <v>0</v>
      </c>
      <c r="AP1106" s="18">
        <f t="shared" si="372"/>
        <v>0</v>
      </c>
      <c r="AQ1106">
        <f t="shared" si="373"/>
        <v>1080</v>
      </c>
      <c r="AR1106" s="23">
        <f t="shared" si="374"/>
        <v>1478</v>
      </c>
      <c r="AS1106">
        <f t="shared" si="379"/>
        <v>1473</v>
      </c>
      <c r="AT1106" s="21">
        <f t="shared" si="380"/>
        <v>1478</v>
      </c>
      <c r="AU1106" s="21"/>
      <c r="AV1106" s="21"/>
      <c r="AW1106" s="21"/>
    </row>
    <row r="1107" spans="1:49" x14ac:dyDescent="0.2">
      <c r="A1107">
        <v>600</v>
      </c>
      <c r="E1107">
        <f t="shared" si="375"/>
        <v>2</v>
      </c>
      <c r="F1107" s="5" t="s">
        <v>486</v>
      </c>
      <c r="G1107" s="5" t="s">
        <v>492</v>
      </c>
      <c r="H1107" s="5" t="s">
        <v>486</v>
      </c>
      <c r="I1107" s="7" t="s">
        <v>490</v>
      </c>
      <c r="J1107" t="str">
        <f t="shared" si="382"/>
        <v>11</v>
      </c>
      <c r="K1107" t="str">
        <f t="shared" si="383"/>
        <v>20</v>
      </c>
      <c r="L1107" t="str">
        <f t="shared" si="384"/>
        <v>11</v>
      </c>
      <c r="M1107" s="6" t="str">
        <f t="shared" si="385"/>
        <v>18</v>
      </c>
      <c r="N1107" t="s">
        <v>179</v>
      </c>
      <c r="O1107">
        <v>91</v>
      </c>
      <c r="P1107" t="s">
        <v>424</v>
      </c>
      <c r="Q1107" t="s">
        <v>15</v>
      </c>
      <c r="Y1107" t="str">
        <f t="shared" si="368"/>
        <v/>
      </c>
      <c r="Z1107" t="str">
        <f t="shared" si="369"/>
        <v/>
      </c>
      <c r="AC1107" t="str">
        <f t="shared" si="365"/>
        <v>Possession</v>
      </c>
      <c r="AD1107" t="str">
        <f t="shared" si="366"/>
        <v/>
      </c>
      <c r="AE1107" t="str">
        <f t="shared" si="367"/>
        <v/>
      </c>
      <c r="AF1107" t="str">
        <f t="shared" si="370"/>
        <v>Offensive</v>
      </c>
      <c r="AG1107">
        <f t="shared" si="376"/>
        <v>18981</v>
      </c>
      <c r="AH1107" t="str">
        <f t="shared" si="377"/>
        <v>Nelson</v>
      </c>
      <c r="AI1107" t="str">
        <f t="shared" si="378"/>
        <v>Velodrome</v>
      </c>
      <c r="AJ1107" s="18">
        <f t="shared" si="371"/>
        <v>2</v>
      </c>
      <c r="AP1107" s="18">
        <f t="shared" si="372"/>
        <v>0</v>
      </c>
      <c r="AQ1107">
        <f t="shared" si="373"/>
        <v>1080</v>
      </c>
      <c r="AR1107" s="23">
        <f t="shared" si="374"/>
        <v>1480</v>
      </c>
      <c r="AS1107">
        <f t="shared" si="379"/>
        <v>1475</v>
      </c>
      <c r="AT1107" s="21">
        <f t="shared" si="380"/>
        <v>1482</v>
      </c>
      <c r="AU1107" s="21"/>
      <c r="AV1107" s="21"/>
      <c r="AW1107" s="21"/>
    </row>
    <row r="1108" spans="1:49" x14ac:dyDescent="0.2">
      <c r="A1108">
        <v>600</v>
      </c>
      <c r="E1108">
        <f t="shared" si="375"/>
        <v>2</v>
      </c>
      <c r="J1108" t="str">
        <f t="shared" si="382"/>
        <v>11</v>
      </c>
      <c r="K1108" t="str">
        <f t="shared" si="383"/>
        <v>20</v>
      </c>
      <c r="L1108" t="str">
        <f t="shared" si="384"/>
        <v>11</v>
      </c>
      <c r="M1108" s="6" t="str">
        <f t="shared" si="385"/>
        <v>18</v>
      </c>
      <c r="N1108" t="str">
        <f t="shared" si="381"/>
        <v>Away</v>
      </c>
      <c r="O1108">
        <v>8</v>
      </c>
      <c r="P1108" t="s">
        <v>425</v>
      </c>
      <c r="Y1108" t="str">
        <f t="shared" si="368"/>
        <v/>
      </c>
      <c r="Z1108" t="str">
        <f t="shared" si="369"/>
        <v/>
      </c>
      <c r="AC1108" t="str">
        <f t="shared" si="365"/>
        <v>Possession</v>
      </c>
      <c r="AD1108" t="str">
        <f t="shared" si="366"/>
        <v/>
      </c>
      <c r="AE1108" t="str">
        <f t="shared" si="367"/>
        <v/>
      </c>
      <c r="AF1108" t="str">
        <f t="shared" si="370"/>
        <v>Defensive</v>
      </c>
      <c r="AG1108">
        <f t="shared" si="376"/>
        <v>18981</v>
      </c>
      <c r="AH1108" t="str">
        <f t="shared" si="377"/>
        <v>Nelson</v>
      </c>
      <c r="AI1108" t="str">
        <f t="shared" si="378"/>
        <v>Velodrome</v>
      </c>
      <c r="AJ1108" s="18">
        <f t="shared" si="371"/>
        <v>2</v>
      </c>
      <c r="AP1108" s="18">
        <f t="shared" si="372"/>
        <v>0</v>
      </c>
      <c r="AQ1108">
        <f t="shared" si="373"/>
        <v>1080</v>
      </c>
      <c r="AR1108" s="23">
        <f t="shared" si="374"/>
        <v>1480</v>
      </c>
      <c r="AS1108">
        <f t="shared" si="379"/>
        <v>1475</v>
      </c>
      <c r="AT1108" s="21">
        <f t="shared" si="380"/>
        <v>1482</v>
      </c>
      <c r="AU1108" s="21"/>
      <c r="AV1108" s="21"/>
      <c r="AW1108" s="21"/>
    </row>
    <row r="1109" spans="1:49" x14ac:dyDescent="0.2">
      <c r="A1109">
        <v>601</v>
      </c>
      <c r="E1109">
        <f t="shared" si="375"/>
        <v>2</v>
      </c>
      <c r="F1109" s="5" t="s">
        <v>486</v>
      </c>
      <c r="G1109" s="5" t="s">
        <v>490</v>
      </c>
      <c r="J1109" t="str">
        <f t="shared" si="382"/>
        <v>11</v>
      </c>
      <c r="K1109" t="str">
        <f t="shared" si="383"/>
        <v>18</v>
      </c>
      <c r="L1109" t="str">
        <f t="shared" si="384"/>
        <v/>
      </c>
      <c r="M1109" s="6" t="str">
        <f t="shared" si="385"/>
        <v/>
      </c>
      <c r="N1109" t="s">
        <v>179</v>
      </c>
      <c r="O1109">
        <v>91</v>
      </c>
      <c r="P1109" t="s">
        <v>424</v>
      </c>
      <c r="Q1109" t="s">
        <v>7</v>
      </c>
      <c r="R1109" t="s">
        <v>222</v>
      </c>
      <c r="S1109" t="s">
        <v>53</v>
      </c>
      <c r="Y1109" t="str">
        <f t="shared" si="368"/>
        <v/>
      </c>
      <c r="Z1109" t="str">
        <f t="shared" si="369"/>
        <v/>
      </c>
      <c r="AC1109" t="str">
        <f t="shared" si="365"/>
        <v>Shot</v>
      </c>
      <c r="AD1109" t="str">
        <f t="shared" si="366"/>
        <v>Shot_OnNetSaved</v>
      </c>
      <c r="AE1109" t="str">
        <f t="shared" si="367"/>
        <v>Shot-Wrist</v>
      </c>
      <c r="AF1109" t="str">
        <f t="shared" si="370"/>
        <v>Offensive</v>
      </c>
      <c r="AG1109">
        <f t="shared" si="376"/>
        <v>18981</v>
      </c>
      <c r="AH1109" t="str">
        <f t="shared" si="377"/>
        <v>Nelson</v>
      </c>
      <c r="AI1109" t="str">
        <f t="shared" si="378"/>
        <v>Velodrome</v>
      </c>
      <c r="AJ1109" s="18">
        <f t="shared" si="371"/>
        <v>0</v>
      </c>
      <c r="AP1109" s="18">
        <f t="shared" si="372"/>
        <v>0</v>
      </c>
      <c r="AQ1109">
        <f t="shared" si="373"/>
        <v>1080</v>
      </c>
      <c r="AR1109" s="23">
        <f t="shared" si="374"/>
        <v>1482</v>
      </c>
      <c r="AS1109">
        <f t="shared" si="379"/>
        <v>1477</v>
      </c>
      <c r="AT1109" s="21">
        <f t="shared" si="380"/>
        <v>1482</v>
      </c>
      <c r="AU1109" s="21"/>
      <c r="AV1109" s="21"/>
      <c r="AW1109" s="21"/>
    </row>
    <row r="1110" spans="1:49" x14ac:dyDescent="0.2">
      <c r="A1110">
        <v>601</v>
      </c>
      <c r="E1110">
        <f t="shared" si="375"/>
        <v>2</v>
      </c>
      <c r="J1110" t="str">
        <f t="shared" si="382"/>
        <v>11</v>
      </c>
      <c r="K1110" t="str">
        <f t="shared" si="383"/>
        <v>18</v>
      </c>
      <c r="L1110" t="str">
        <f t="shared" si="384"/>
        <v/>
      </c>
      <c r="M1110" s="6" t="str">
        <f t="shared" si="385"/>
        <v/>
      </c>
      <c r="N1110" t="str">
        <f t="shared" si="381"/>
        <v>Away</v>
      </c>
      <c r="O1110">
        <v>70</v>
      </c>
      <c r="P1110" t="s">
        <v>424</v>
      </c>
      <c r="Y1110" t="str">
        <f t="shared" si="368"/>
        <v/>
      </c>
      <c r="Z1110" t="str">
        <f t="shared" si="369"/>
        <v/>
      </c>
      <c r="AC1110" t="str">
        <f t="shared" si="365"/>
        <v>Shot</v>
      </c>
      <c r="AD1110" t="str">
        <f t="shared" si="366"/>
        <v>Shot_OnNetSaved</v>
      </c>
      <c r="AE1110" t="str">
        <f t="shared" si="367"/>
        <v>Shot-Wrist</v>
      </c>
      <c r="AF1110" t="str">
        <f t="shared" si="370"/>
        <v>Offensive</v>
      </c>
      <c r="AG1110">
        <f t="shared" si="376"/>
        <v>18981</v>
      </c>
      <c r="AH1110" t="str">
        <f t="shared" si="377"/>
        <v>Nelson</v>
      </c>
      <c r="AI1110" t="str">
        <f t="shared" si="378"/>
        <v>Velodrome</v>
      </c>
      <c r="AJ1110" s="18">
        <f t="shared" si="371"/>
        <v>0</v>
      </c>
      <c r="AP1110" s="18">
        <f t="shared" si="372"/>
        <v>0</v>
      </c>
      <c r="AQ1110">
        <f t="shared" si="373"/>
        <v>1080</v>
      </c>
      <c r="AR1110" s="23">
        <f t="shared" si="374"/>
        <v>1482</v>
      </c>
      <c r="AS1110">
        <f t="shared" si="379"/>
        <v>1477</v>
      </c>
      <c r="AT1110" s="21">
        <f t="shared" si="380"/>
        <v>1482</v>
      </c>
      <c r="AU1110" s="21"/>
      <c r="AV1110" s="21"/>
      <c r="AW1110" s="21"/>
    </row>
    <row r="1111" spans="1:49" x14ac:dyDescent="0.2">
      <c r="A1111">
        <v>601</v>
      </c>
      <c r="E1111">
        <f t="shared" si="375"/>
        <v>2</v>
      </c>
      <c r="J1111" t="str">
        <f t="shared" si="382"/>
        <v>11</v>
      </c>
      <c r="K1111" t="str">
        <f t="shared" si="383"/>
        <v>18</v>
      </c>
      <c r="L1111" t="str">
        <f t="shared" si="384"/>
        <v/>
      </c>
      <c r="M1111" s="6" t="str">
        <f t="shared" si="385"/>
        <v/>
      </c>
      <c r="N1111" t="str">
        <f t="shared" si="381"/>
        <v>Away</v>
      </c>
      <c r="O1111">
        <v>31</v>
      </c>
      <c r="P1111" t="s">
        <v>425</v>
      </c>
      <c r="Y1111" t="str">
        <f t="shared" si="368"/>
        <v/>
      </c>
      <c r="Z1111" t="str">
        <f t="shared" si="369"/>
        <v/>
      </c>
      <c r="AC1111" t="str">
        <f t="shared" si="365"/>
        <v>Shot</v>
      </c>
      <c r="AD1111" t="str">
        <f t="shared" si="366"/>
        <v>Shot_OnNetSaved</v>
      </c>
      <c r="AE1111" t="str">
        <f t="shared" si="367"/>
        <v>Shot-Wrist</v>
      </c>
      <c r="AF1111" t="str">
        <f t="shared" si="370"/>
        <v>Defensive</v>
      </c>
      <c r="AG1111">
        <f t="shared" si="376"/>
        <v>18981</v>
      </c>
      <c r="AH1111" t="str">
        <f t="shared" si="377"/>
        <v>Nelson</v>
      </c>
      <c r="AI1111" t="str">
        <f t="shared" si="378"/>
        <v>Velodrome</v>
      </c>
      <c r="AJ1111" s="18">
        <f t="shared" si="371"/>
        <v>0</v>
      </c>
      <c r="AP1111" s="18">
        <f t="shared" si="372"/>
        <v>0</v>
      </c>
      <c r="AQ1111">
        <f t="shared" si="373"/>
        <v>1080</v>
      </c>
      <c r="AR1111" s="23">
        <f t="shared" si="374"/>
        <v>1482</v>
      </c>
      <c r="AS1111">
        <f t="shared" si="379"/>
        <v>1477</v>
      </c>
      <c r="AT1111" s="21">
        <f t="shared" si="380"/>
        <v>1482</v>
      </c>
      <c r="AU1111" s="21"/>
      <c r="AV1111" s="21"/>
      <c r="AW1111" s="21"/>
    </row>
    <row r="1112" spans="1:49" x14ac:dyDescent="0.2">
      <c r="A1112">
        <v>601</v>
      </c>
      <c r="E1112">
        <f t="shared" si="375"/>
        <v>2</v>
      </c>
      <c r="J1112" t="str">
        <f t="shared" si="382"/>
        <v>11</v>
      </c>
      <c r="K1112" t="str">
        <f t="shared" si="383"/>
        <v>18</v>
      </c>
      <c r="L1112" t="str">
        <f t="shared" si="384"/>
        <v/>
      </c>
      <c r="M1112" s="6" t="str">
        <f t="shared" si="385"/>
        <v/>
      </c>
      <c r="N1112" t="str">
        <f t="shared" si="381"/>
        <v>Away</v>
      </c>
      <c r="O1112">
        <v>8</v>
      </c>
      <c r="P1112" t="s">
        <v>425</v>
      </c>
      <c r="Y1112" t="str">
        <f t="shared" si="368"/>
        <v/>
      </c>
      <c r="Z1112" t="str">
        <f t="shared" si="369"/>
        <v/>
      </c>
      <c r="AC1112" t="str">
        <f t="shared" si="365"/>
        <v>Shot</v>
      </c>
      <c r="AD1112" t="str">
        <f t="shared" si="366"/>
        <v>Shot_OnNetSaved</v>
      </c>
      <c r="AE1112" t="str">
        <f t="shared" si="367"/>
        <v>Shot-Wrist</v>
      </c>
      <c r="AF1112" t="str">
        <f t="shared" si="370"/>
        <v>Defensive</v>
      </c>
      <c r="AG1112">
        <f t="shared" si="376"/>
        <v>18981</v>
      </c>
      <c r="AH1112" t="str">
        <f t="shared" si="377"/>
        <v>Nelson</v>
      </c>
      <c r="AI1112" t="str">
        <f t="shared" si="378"/>
        <v>Velodrome</v>
      </c>
      <c r="AJ1112" s="18">
        <f t="shared" si="371"/>
        <v>0</v>
      </c>
      <c r="AP1112" s="18">
        <f t="shared" si="372"/>
        <v>0</v>
      </c>
      <c r="AQ1112">
        <f t="shared" si="373"/>
        <v>1080</v>
      </c>
      <c r="AR1112" s="23">
        <f t="shared" si="374"/>
        <v>1482</v>
      </c>
      <c r="AS1112">
        <f t="shared" si="379"/>
        <v>1477</v>
      </c>
      <c r="AT1112" s="21">
        <f t="shared" si="380"/>
        <v>1482</v>
      </c>
      <c r="AU1112" s="21"/>
      <c r="AV1112" s="21"/>
      <c r="AW1112" s="21"/>
    </row>
    <row r="1113" spans="1:49" x14ac:dyDescent="0.2">
      <c r="A1113">
        <v>602</v>
      </c>
      <c r="E1113">
        <f t="shared" si="375"/>
        <v>2</v>
      </c>
      <c r="F1113" s="5" t="s">
        <v>486</v>
      </c>
      <c r="G1113" s="5" t="s">
        <v>490</v>
      </c>
      <c r="J1113" t="str">
        <f t="shared" si="382"/>
        <v>11</v>
      </c>
      <c r="K1113" t="str">
        <f t="shared" si="383"/>
        <v>18</v>
      </c>
      <c r="L1113" t="str">
        <f t="shared" si="384"/>
        <v/>
      </c>
      <c r="M1113" s="6" t="str">
        <f t="shared" si="385"/>
        <v/>
      </c>
      <c r="N1113" t="s">
        <v>178</v>
      </c>
      <c r="O1113">
        <v>31</v>
      </c>
      <c r="P1113" t="s">
        <v>424</v>
      </c>
      <c r="Q1113" t="s">
        <v>17</v>
      </c>
      <c r="R1113" t="s">
        <v>196</v>
      </c>
      <c r="S1113" t="s">
        <v>99</v>
      </c>
      <c r="Y1113" t="str">
        <f t="shared" si="368"/>
        <v/>
      </c>
      <c r="Z1113" t="str">
        <f t="shared" si="369"/>
        <v/>
      </c>
      <c r="AC1113" t="str">
        <f t="shared" si="365"/>
        <v>Save</v>
      </c>
      <c r="AD1113" t="str">
        <f t="shared" si="366"/>
        <v>Save_Rebound</v>
      </c>
      <c r="AE1113" t="str">
        <f t="shared" si="367"/>
        <v>Save-RightPad</v>
      </c>
      <c r="AF1113" t="str">
        <f t="shared" si="370"/>
        <v>Defensive</v>
      </c>
      <c r="AG1113">
        <f t="shared" si="376"/>
        <v>18981</v>
      </c>
      <c r="AH1113" t="str">
        <f t="shared" si="377"/>
        <v>Nelson</v>
      </c>
      <c r="AI1113" t="str">
        <f t="shared" si="378"/>
        <v>Velodrome</v>
      </c>
      <c r="AJ1113" s="18">
        <f t="shared" si="371"/>
        <v>0</v>
      </c>
      <c r="AP1113" s="18">
        <f t="shared" si="372"/>
        <v>0</v>
      </c>
      <c r="AQ1113">
        <f t="shared" si="373"/>
        <v>1080</v>
      </c>
      <c r="AR1113" s="23">
        <f t="shared" si="374"/>
        <v>1482</v>
      </c>
      <c r="AS1113">
        <f t="shared" si="379"/>
        <v>1477</v>
      </c>
      <c r="AT1113" s="21">
        <f t="shared" si="380"/>
        <v>1482</v>
      </c>
      <c r="AU1113" s="21"/>
      <c r="AV1113" s="21"/>
      <c r="AW1113" s="21"/>
    </row>
    <row r="1114" spans="1:49" x14ac:dyDescent="0.2">
      <c r="A1114">
        <v>602</v>
      </c>
      <c r="E1114">
        <f t="shared" si="375"/>
        <v>2</v>
      </c>
      <c r="J1114" t="str">
        <f t="shared" si="382"/>
        <v>11</v>
      </c>
      <c r="K1114" t="str">
        <f t="shared" si="383"/>
        <v>18</v>
      </c>
      <c r="L1114" t="str">
        <f t="shared" si="384"/>
        <v/>
      </c>
      <c r="M1114" s="6" t="str">
        <f t="shared" si="385"/>
        <v/>
      </c>
      <c r="N1114" t="str">
        <f t="shared" si="381"/>
        <v>Home</v>
      </c>
      <c r="O1114">
        <v>8</v>
      </c>
      <c r="P1114" t="s">
        <v>424</v>
      </c>
      <c r="Y1114" t="str">
        <f t="shared" si="368"/>
        <v/>
      </c>
      <c r="Z1114" t="str">
        <f t="shared" si="369"/>
        <v/>
      </c>
      <c r="AC1114" t="str">
        <f t="shared" si="365"/>
        <v>Save</v>
      </c>
      <c r="AD1114" t="str">
        <f t="shared" si="366"/>
        <v>Save_Rebound</v>
      </c>
      <c r="AE1114" t="str">
        <f t="shared" si="367"/>
        <v>Save-RightPad</v>
      </c>
      <c r="AF1114" t="str">
        <f t="shared" si="370"/>
        <v>Defensive</v>
      </c>
      <c r="AG1114">
        <f t="shared" si="376"/>
        <v>18981</v>
      </c>
      <c r="AH1114" t="str">
        <f t="shared" si="377"/>
        <v>Nelson</v>
      </c>
      <c r="AI1114" t="str">
        <f t="shared" si="378"/>
        <v>Velodrome</v>
      </c>
      <c r="AJ1114" s="18">
        <f t="shared" si="371"/>
        <v>0</v>
      </c>
      <c r="AP1114" s="18">
        <f t="shared" si="372"/>
        <v>0</v>
      </c>
      <c r="AQ1114">
        <f t="shared" si="373"/>
        <v>1080</v>
      </c>
      <c r="AR1114" s="23">
        <f t="shared" si="374"/>
        <v>1482</v>
      </c>
      <c r="AS1114">
        <f t="shared" si="379"/>
        <v>1477</v>
      </c>
      <c r="AT1114" s="21">
        <f t="shared" si="380"/>
        <v>1482</v>
      </c>
      <c r="AU1114" s="21"/>
      <c r="AV1114" s="21"/>
      <c r="AW1114" s="21"/>
    </row>
    <row r="1115" spans="1:49" x14ac:dyDescent="0.2">
      <c r="A1115">
        <v>602</v>
      </c>
      <c r="E1115">
        <f t="shared" si="375"/>
        <v>2</v>
      </c>
      <c r="J1115" t="str">
        <f t="shared" si="382"/>
        <v>11</v>
      </c>
      <c r="K1115" t="str">
        <f t="shared" si="383"/>
        <v>18</v>
      </c>
      <c r="L1115" t="str">
        <f t="shared" si="384"/>
        <v/>
      </c>
      <c r="M1115" s="6" t="str">
        <f t="shared" si="385"/>
        <v/>
      </c>
      <c r="N1115" t="str">
        <f t="shared" si="381"/>
        <v>Home</v>
      </c>
      <c r="O1115">
        <v>91</v>
      </c>
      <c r="P1115" t="s">
        <v>425</v>
      </c>
      <c r="Y1115" t="str">
        <f t="shared" si="368"/>
        <v/>
      </c>
      <c r="Z1115" t="str">
        <f t="shared" si="369"/>
        <v/>
      </c>
      <c r="AC1115" t="str">
        <f t="shared" si="365"/>
        <v>Save</v>
      </c>
      <c r="AD1115" t="str">
        <f t="shared" si="366"/>
        <v>Save_Rebound</v>
      </c>
      <c r="AE1115" t="str">
        <f t="shared" si="367"/>
        <v>Save-RightPad</v>
      </c>
      <c r="AF1115" t="str">
        <f t="shared" si="370"/>
        <v>Offensive</v>
      </c>
      <c r="AG1115">
        <f t="shared" si="376"/>
        <v>18981</v>
      </c>
      <c r="AH1115" t="str">
        <f t="shared" si="377"/>
        <v>Nelson</v>
      </c>
      <c r="AI1115" t="str">
        <f t="shared" si="378"/>
        <v>Velodrome</v>
      </c>
      <c r="AJ1115" s="18">
        <f t="shared" si="371"/>
        <v>0</v>
      </c>
      <c r="AP1115" s="18">
        <f t="shared" si="372"/>
        <v>0</v>
      </c>
      <c r="AQ1115">
        <f t="shared" si="373"/>
        <v>1080</v>
      </c>
      <c r="AR1115" s="23">
        <f t="shared" si="374"/>
        <v>1482</v>
      </c>
      <c r="AS1115">
        <f t="shared" si="379"/>
        <v>1477</v>
      </c>
      <c r="AT1115" s="21">
        <f t="shared" si="380"/>
        <v>1482</v>
      </c>
      <c r="AU1115" s="21"/>
      <c r="AV1115" s="21"/>
      <c r="AW1115" s="21"/>
    </row>
    <row r="1116" spans="1:49" x14ac:dyDescent="0.2">
      <c r="A1116">
        <v>602</v>
      </c>
      <c r="E1116">
        <f t="shared" si="375"/>
        <v>2</v>
      </c>
      <c r="J1116" t="str">
        <f t="shared" si="382"/>
        <v>11</v>
      </c>
      <c r="K1116" t="str">
        <f t="shared" si="383"/>
        <v>18</v>
      </c>
      <c r="L1116" t="str">
        <f t="shared" si="384"/>
        <v/>
      </c>
      <c r="M1116" s="6" t="str">
        <f t="shared" si="385"/>
        <v/>
      </c>
      <c r="N1116" t="str">
        <f t="shared" si="381"/>
        <v>Home</v>
      </c>
      <c r="O1116">
        <v>70</v>
      </c>
      <c r="P1116" t="s">
        <v>425</v>
      </c>
      <c r="Y1116" t="str">
        <f t="shared" si="368"/>
        <v/>
      </c>
      <c r="Z1116" t="str">
        <f t="shared" si="369"/>
        <v/>
      </c>
      <c r="AC1116" t="str">
        <f t="shared" si="365"/>
        <v>Save</v>
      </c>
      <c r="AD1116" t="str">
        <f t="shared" si="366"/>
        <v>Save_Rebound</v>
      </c>
      <c r="AE1116" t="str">
        <f t="shared" si="367"/>
        <v>Save-RightPad</v>
      </c>
      <c r="AF1116" t="str">
        <f t="shared" si="370"/>
        <v>Offensive</v>
      </c>
      <c r="AG1116">
        <f t="shared" si="376"/>
        <v>18981</v>
      </c>
      <c r="AH1116" t="str">
        <f t="shared" si="377"/>
        <v>Nelson</v>
      </c>
      <c r="AI1116" t="str">
        <f t="shared" si="378"/>
        <v>Velodrome</v>
      </c>
      <c r="AJ1116" s="18">
        <f t="shared" si="371"/>
        <v>0</v>
      </c>
      <c r="AP1116" s="18">
        <f t="shared" si="372"/>
        <v>0</v>
      </c>
      <c r="AQ1116">
        <f t="shared" si="373"/>
        <v>1080</v>
      </c>
      <c r="AR1116" s="23">
        <f t="shared" si="374"/>
        <v>1482</v>
      </c>
      <c r="AS1116">
        <f t="shared" si="379"/>
        <v>1477</v>
      </c>
      <c r="AT1116" s="21">
        <f t="shared" si="380"/>
        <v>1482</v>
      </c>
      <c r="AU1116" s="21"/>
      <c r="AV1116" s="21"/>
      <c r="AW1116" s="21"/>
    </row>
    <row r="1117" spans="1:49" x14ac:dyDescent="0.2">
      <c r="A1117">
        <v>603</v>
      </c>
      <c r="E1117">
        <f t="shared" si="375"/>
        <v>2</v>
      </c>
      <c r="F1117" s="5" t="s">
        <v>486</v>
      </c>
      <c r="G1117" s="5" t="s">
        <v>490</v>
      </c>
      <c r="J1117" t="str">
        <f t="shared" si="382"/>
        <v>11</v>
      </c>
      <c r="K1117" t="str">
        <f t="shared" si="383"/>
        <v>18</v>
      </c>
      <c r="L1117" t="str">
        <f t="shared" si="384"/>
        <v/>
      </c>
      <c r="M1117" s="6" t="str">
        <f t="shared" si="385"/>
        <v/>
      </c>
      <c r="N1117" t="s">
        <v>178</v>
      </c>
      <c r="O1117">
        <v>31</v>
      </c>
      <c r="P1117" t="s">
        <v>424</v>
      </c>
      <c r="Q1117" t="s">
        <v>270</v>
      </c>
      <c r="R1117" t="s">
        <v>271</v>
      </c>
      <c r="Y1117" t="str">
        <f t="shared" si="368"/>
        <v/>
      </c>
      <c r="Z1117" t="str">
        <f t="shared" si="369"/>
        <v/>
      </c>
      <c r="AC1117" t="str">
        <f t="shared" si="365"/>
        <v>Rebound</v>
      </c>
      <c r="AD1117" t="str">
        <f t="shared" si="366"/>
        <v>Rebound_TeamRecovered</v>
      </c>
      <c r="AE1117" t="str">
        <f t="shared" si="367"/>
        <v/>
      </c>
      <c r="AF1117" t="str">
        <f t="shared" si="370"/>
        <v>Offensive</v>
      </c>
      <c r="AG1117">
        <f t="shared" si="376"/>
        <v>18981</v>
      </c>
      <c r="AH1117" t="str">
        <f t="shared" si="377"/>
        <v>Nelson</v>
      </c>
      <c r="AI1117" t="str">
        <f t="shared" si="378"/>
        <v>Velodrome</v>
      </c>
      <c r="AJ1117" s="18">
        <f t="shared" si="371"/>
        <v>0</v>
      </c>
      <c r="AP1117" s="18">
        <f t="shared" si="372"/>
        <v>0</v>
      </c>
      <c r="AQ1117">
        <f t="shared" si="373"/>
        <v>1080</v>
      </c>
      <c r="AR1117" s="23">
        <f t="shared" si="374"/>
        <v>1482</v>
      </c>
      <c r="AS1117">
        <f t="shared" si="379"/>
        <v>1477</v>
      </c>
      <c r="AT1117" s="21">
        <f t="shared" si="380"/>
        <v>1482</v>
      </c>
      <c r="AU1117" s="21"/>
      <c r="AV1117" s="21"/>
      <c r="AW1117" s="21"/>
    </row>
    <row r="1118" spans="1:49" x14ac:dyDescent="0.2">
      <c r="A1118">
        <v>604</v>
      </c>
      <c r="E1118">
        <f t="shared" si="375"/>
        <v>2</v>
      </c>
      <c r="F1118" s="5" t="s">
        <v>486</v>
      </c>
      <c r="G1118" s="5" t="s">
        <v>477</v>
      </c>
      <c r="J1118" t="str">
        <f t="shared" si="382"/>
        <v>11</v>
      </c>
      <c r="K1118" t="str">
        <f t="shared" si="383"/>
        <v>16</v>
      </c>
      <c r="L1118" t="str">
        <f t="shared" si="384"/>
        <v/>
      </c>
      <c r="M1118" s="6" t="str">
        <f t="shared" si="385"/>
        <v/>
      </c>
      <c r="N1118" t="s">
        <v>178</v>
      </c>
      <c r="O1118">
        <v>80</v>
      </c>
      <c r="P1118" t="s">
        <v>424</v>
      </c>
      <c r="Q1118" t="s">
        <v>8</v>
      </c>
      <c r="R1118" t="s">
        <v>189</v>
      </c>
      <c r="S1118" t="s">
        <v>69</v>
      </c>
      <c r="Y1118" t="str">
        <f t="shared" si="368"/>
        <v/>
      </c>
      <c r="Z1118" t="str">
        <f t="shared" si="369"/>
        <v/>
      </c>
      <c r="AC1118" t="str">
        <f t="shared" si="365"/>
        <v>Pass</v>
      </c>
      <c r="AD1118" t="str">
        <f t="shared" si="366"/>
        <v>Pass_Completed</v>
      </c>
      <c r="AE1118" t="str">
        <f t="shared" si="367"/>
        <v>Pass-Backhand</v>
      </c>
      <c r="AF1118" t="str">
        <f t="shared" si="370"/>
        <v>Offensive</v>
      </c>
      <c r="AG1118">
        <f t="shared" si="376"/>
        <v>18981</v>
      </c>
      <c r="AH1118" t="str">
        <f t="shared" si="377"/>
        <v>Nelson</v>
      </c>
      <c r="AI1118" t="str">
        <f t="shared" si="378"/>
        <v>Velodrome</v>
      </c>
      <c r="AJ1118" s="18">
        <f t="shared" si="371"/>
        <v>0</v>
      </c>
      <c r="AP1118" s="18">
        <f t="shared" si="372"/>
        <v>0</v>
      </c>
      <c r="AQ1118">
        <f t="shared" si="373"/>
        <v>1080</v>
      </c>
      <c r="AR1118" s="23">
        <f t="shared" si="374"/>
        <v>1484</v>
      </c>
      <c r="AS1118">
        <f t="shared" si="379"/>
        <v>1479</v>
      </c>
      <c r="AT1118" s="21">
        <f t="shared" si="380"/>
        <v>1484</v>
      </c>
      <c r="AU1118" s="21"/>
      <c r="AV1118" s="21"/>
      <c r="AW1118" s="21"/>
    </row>
    <row r="1119" spans="1:49" x14ac:dyDescent="0.2">
      <c r="A1119">
        <v>604</v>
      </c>
      <c r="E1119">
        <f t="shared" si="375"/>
        <v>2</v>
      </c>
      <c r="J1119" t="str">
        <f t="shared" si="382"/>
        <v>11</v>
      </c>
      <c r="K1119" t="str">
        <f t="shared" si="383"/>
        <v>16</v>
      </c>
      <c r="L1119" t="str">
        <f t="shared" si="384"/>
        <v/>
      </c>
      <c r="M1119" s="6" t="str">
        <f t="shared" si="385"/>
        <v/>
      </c>
      <c r="N1119" t="str">
        <f t="shared" si="381"/>
        <v>Home</v>
      </c>
      <c r="O1119">
        <v>16</v>
      </c>
      <c r="P1119" t="s">
        <v>424</v>
      </c>
      <c r="Y1119" t="str">
        <f t="shared" si="368"/>
        <v/>
      </c>
      <c r="Z1119" t="str">
        <f t="shared" si="369"/>
        <v/>
      </c>
      <c r="AC1119" t="str">
        <f t="shared" si="365"/>
        <v>Pass</v>
      </c>
      <c r="AD1119" t="str">
        <f t="shared" si="366"/>
        <v>Pass_Completed</v>
      </c>
      <c r="AE1119" t="str">
        <f t="shared" si="367"/>
        <v>Pass-Backhand</v>
      </c>
      <c r="AF1119" t="str">
        <f t="shared" si="370"/>
        <v>Offensive</v>
      </c>
      <c r="AG1119">
        <f t="shared" si="376"/>
        <v>18981</v>
      </c>
      <c r="AH1119" t="str">
        <f t="shared" si="377"/>
        <v>Nelson</v>
      </c>
      <c r="AI1119" t="str">
        <f t="shared" si="378"/>
        <v>Velodrome</v>
      </c>
      <c r="AJ1119" s="18">
        <f t="shared" si="371"/>
        <v>0</v>
      </c>
      <c r="AP1119" s="18">
        <f t="shared" si="372"/>
        <v>0</v>
      </c>
      <c r="AQ1119">
        <f t="shared" si="373"/>
        <v>1080</v>
      </c>
      <c r="AR1119" s="23">
        <f t="shared" si="374"/>
        <v>1484</v>
      </c>
      <c r="AS1119">
        <f t="shared" si="379"/>
        <v>1479</v>
      </c>
      <c r="AT1119" s="21">
        <f t="shared" si="380"/>
        <v>1484</v>
      </c>
      <c r="AU1119" s="21"/>
      <c r="AV1119" s="21"/>
      <c r="AW1119" s="21"/>
    </row>
    <row r="1120" spans="1:49" x14ac:dyDescent="0.2">
      <c r="A1120">
        <v>604</v>
      </c>
      <c r="E1120">
        <f t="shared" si="375"/>
        <v>2</v>
      </c>
      <c r="J1120" t="str">
        <f t="shared" si="382"/>
        <v>11</v>
      </c>
      <c r="K1120" t="str">
        <f t="shared" si="383"/>
        <v>16</v>
      </c>
      <c r="L1120" t="str">
        <f t="shared" si="384"/>
        <v/>
      </c>
      <c r="M1120" s="6" t="str">
        <f t="shared" si="385"/>
        <v/>
      </c>
      <c r="N1120" t="str">
        <f t="shared" si="381"/>
        <v>Home</v>
      </c>
      <c r="O1120">
        <v>91</v>
      </c>
      <c r="P1120" t="s">
        <v>425</v>
      </c>
      <c r="Y1120" t="str">
        <f t="shared" si="368"/>
        <v/>
      </c>
      <c r="Z1120" t="str">
        <f t="shared" si="369"/>
        <v/>
      </c>
      <c r="AC1120" t="str">
        <f t="shared" si="365"/>
        <v>Pass</v>
      </c>
      <c r="AD1120" t="str">
        <f t="shared" si="366"/>
        <v>Pass_Completed</v>
      </c>
      <c r="AE1120" t="str">
        <f t="shared" si="367"/>
        <v>Pass-Backhand</v>
      </c>
      <c r="AF1120" t="str">
        <f t="shared" si="370"/>
        <v>Defensive</v>
      </c>
      <c r="AG1120">
        <f t="shared" si="376"/>
        <v>18981</v>
      </c>
      <c r="AH1120" t="str">
        <f t="shared" si="377"/>
        <v>Nelson</v>
      </c>
      <c r="AI1120" t="str">
        <f t="shared" si="378"/>
        <v>Velodrome</v>
      </c>
      <c r="AJ1120" s="18">
        <f t="shared" si="371"/>
        <v>0</v>
      </c>
      <c r="AP1120" s="18">
        <f t="shared" si="372"/>
        <v>0</v>
      </c>
      <c r="AQ1120">
        <f t="shared" si="373"/>
        <v>1080</v>
      </c>
      <c r="AR1120" s="23">
        <f t="shared" si="374"/>
        <v>1484</v>
      </c>
      <c r="AS1120">
        <f t="shared" si="379"/>
        <v>1479</v>
      </c>
      <c r="AT1120" s="21">
        <f t="shared" si="380"/>
        <v>1484</v>
      </c>
      <c r="AU1120" s="21"/>
      <c r="AV1120" s="21"/>
      <c r="AW1120" s="21"/>
    </row>
    <row r="1121" spans="1:49" x14ac:dyDescent="0.2">
      <c r="A1121">
        <v>604</v>
      </c>
      <c r="E1121">
        <f t="shared" si="375"/>
        <v>2</v>
      </c>
      <c r="J1121" t="str">
        <f t="shared" si="382"/>
        <v>11</v>
      </c>
      <c r="K1121" t="str">
        <f t="shared" si="383"/>
        <v>16</v>
      </c>
      <c r="L1121" t="str">
        <f t="shared" si="384"/>
        <v/>
      </c>
      <c r="M1121" s="6" t="str">
        <f t="shared" si="385"/>
        <v/>
      </c>
      <c r="N1121" t="str">
        <f t="shared" si="381"/>
        <v>Home</v>
      </c>
      <c r="O1121">
        <v>70</v>
      </c>
      <c r="P1121" t="s">
        <v>425</v>
      </c>
      <c r="Y1121" t="str">
        <f t="shared" si="368"/>
        <v/>
      </c>
      <c r="Z1121" t="str">
        <f t="shared" si="369"/>
        <v/>
      </c>
      <c r="AC1121" t="str">
        <f t="shared" si="365"/>
        <v>Pass</v>
      </c>
      <c r="AD1121" t="str">
        <f t="shared" si="366"/>
        <v>Pass_Completed</v>
      </c>
      <c r="AE1121" t="str">
        <f t="shared" si="367"/>
        <v>Pass-Backhand</v>
      </c>
      <c r="AF1121" t="str">
        <f t="shared" si="370"/>
        <v>Defensive</v>
      </c>
      <c r="AG1121">
        <f t="shared" si="376"/>
        <v>18981</v>
      </c>
      <c r="AH1121" t="str">
        <f t="shared" si="377"/>
        <v>Nelson</v>
      </c>
      <c r="AI1121" t="str">
        <f t="shared" si="378"/>
        <v>Velodrome</v>
      </c>
      <c r="AJ1121" s="18">
        <f t="shared" si="371"/>
        <v>0</v>
      </c>
      <c r="AP1121" s="18">
        <f t="shared" si="372"/>
        <v>0</v>
      </c>
      <c r="AQ1121">
        <f t="shared" si="373"/>
        <v>1080</v>
      </c>
      <c r="AR1121" s="23">
        <f t="shared" si="374"/>
        <v>1484</v>
      </c>
      <c r="AS1121">
        <f t="shared" si="379"/>
        <v>1479</v>
      </c>
      <c r="AT1121" s="21">
        <f t="shared" si="380"/>
        <v>1484</v>
      </c>
      <c r="AU1121" s="21"/>
      <c r="AV1121" s="21"/>
      <c r="AW1121" s="21"/>
    </row>
    <row r="1122" spans="1:49" x14ac:dyDescent="0.2">
      <c r="A1122">
        <v>605</v>
      </c>
      <c r="E1122">
        <f t="shared" si="375"/>
        <v>2</v>
      </c>
      <c r="F1122" s="5" t="s">
        <v>486</v>
      </c>
      <c r="G1122" s="5" t="s">
        <v>478</v>
      </c>
      <c r="J1122" t="str">
        <f t="shared" si="382"/>
        <v>11</v>
      </c>
      <c r="K1122" t="str">
        <f t="shared" si="383"/>
        <v>15</v>
      </c>
      <c r="L1122" t="str">
        <f t="shared" si="384"/>
        <v/>
      </c>
      <c r="M1122" s="6" t="str">
        <f t="shared" si="385"/>
        <v/>
      </c>
      <c r="N1122" t="s">
        <v>178</v>
      </c>
      <c r="O1122">
        <v>16</v>
      </c>
      <c r="P1122" t="s">
        <v>424</v>
      </c>
      <c r="Q1122" t="s">
        <v>8</v>
      </c>
      <c r="R1122" t="s">
        <v>189</v>
      </c>
      <c r="S1122" t="s">
        <v>70</v>
      </c>
      <c r="Y1122" t="str">
        <f t="shared" si="368"/>
        <v/>
      </c>
      <c r="Z1122" t="str">
        <f t="shared" si="369"/>
        <v/>
      </c>
      <c r="AC1122" t="str">
        <f t="shared" si="365"/>
        <v>Pass</v>
      </c>
      <c r="AD1122" t="str">
        <f t="shared" si="366"/>
        <v>Pass_Completed</v>
      </c>
      <c r="AE1122" t="str">
        <f t="shared" si="367"/>
        <v>Pass-Forehand</v>
      </c>
      <c r="AF1122" t="str">
        <f t="shared" si="370"/>
        <v>Offensive</v>
      </c>
      <c r="AG1122">
        <f t="shared" si="376"/>
        <v>18981</v>
      </c>
      <c r="AH1122" t="str">
        <f t="shared" si="377"/>
        <v>Nelson</v>
      </c>
      <c r="AI1122" t="str">
        <f t="shared" si="378"/>
        <v>Velodrome</v>
      </c>
      <c r="AJ1122" s="18">
        <f t="shared" si="371"/>
        <v>0</v>
      </c>
      <c r="AP1122" s="18">
        <f t="shared" si="372"/>
        <v>0</v>
      </c>
      <c r="AQ1122">
        <f t="shared" si="373"/>
        <v>1080</v>
      </c>
      <c r="AR1122" s="23">
        <f t="shared" si="374"/>
        <v>1485</v>
      </c>
      <c r="AS1122">
        <f t="shared" si="379"/>
        <v>1480</v>
      </c>
      <c r="AT1122" s="21">
        <f t="shared" si="380"/>
        <v>1485</v>
      </c>
      <c r="AU1122" s="21"/>
      <c r="AV1122" s="21"/>
      <c r="AW1122" s="21"/>
    </row>
    <row r="1123" spans="1:49" x14ac:dyDescent="0.2">
      <c r="A1123">
        <v>605</v>
      </c>
      <c r="E1123">
        <f t="shared" si="375"/>
        <v>2</v>
      </c>
      <c r="J1123" t="str">
        <f t="shared" si="382"/>
        <v>11</v>
      </c>
      <c r="K1123" t="str">
        <f t="shared" si="383"/>
        <v>15</v>
      </c>
      <c r="L1123" t="str">
        <f t="shared" si="384"/>
        <v/>
      </c>
      <c r="M1123" s="6" t="str">
        <f t="shared" si="385"/>
        <v/>
      </c>
      <c r="N1123" t="str">
        <f t="shared" si="381"/>
        <v>Home</v>
      </c>
      <c r="O1123">
        <v>10</v>
      </c>
      <c r="P1123" t="s">
        <v>424</v>
      </c>
      <c r="Y1123" t="str">
        <f t="shared" si="368"/>
        <v/>
      </c>
      <c r="Z1123" t="str">
        <f t="shared" si="369"/>
        <v/>
      </c>
      <c r="AC1123" t="str">
        <f t="shared" si="365"/>
        <v>Pass</v>
      </c>
      <c r="AD1123" t="str">
        <f t="shared" si="366"/>
        <v>Pass_Completed</v>
      </c>
      <c r="AE1123" t="str">
        <f t="shared" si="367"/>
        <v>Pass-Forehand</v>
      </c>
      <c r="AF1123" t="str">
        <f t="shared" si="370"/>
        <v>Offensive</v>
      </c>
      <c r="AG1123">
        <f t="shared" si="376"/>
        <v>18981</v>
      </c>
      <c r="AH1123" t="str">
        <f t="shared" si="377"/>
        <v>Nelson</v>
      </c>
      <c r="AI1123" t="str">
        <f t="shared" si="378"/>
        <v>Velodrome</v>
      </c>
      <c r="AJ1123" s="18">
        <f t="shared" si="371"/>
        <v>0</v>
      </c>
      <c r="AP1123" s="18">
        <f t="shared" si="372"/>
        <v>0</v>
      </c>
      <c r="AQ1123">
        <f t="shared" si="373"/>
        <v>1080</v>
      </c>
      <c r="AR1123" s="23">
        <f t="shared" si="374"/>
        <v>1485</v>
      </c>
      <c r="AS1123">
        <f t="shared" si="379"/>
        <v>1480</v>
      </c>
      <c r="AT1123" s="21">
        <f t="shared" si="380"/>
        <v>1485</v>
      </c>
      <c r="AU1123" s="21"/>
      <c r="AV1123" s="21"/>
      <c r="AW1123" s="21"/>
    </row>
    <row r="1124" spans="1:49" x14ac:dyDescent="0.2">
      <c r="A1124">
        <v>606</v>
      </c>
      <c r="E1124">
        <f t="shared" si="375"/>
        <v>2</v>
      </c>
      <c r="F1124" s="5" t="s">
        <v>486</v>
      </c>
      <c r="G1124" s="5" t="s">
        <v>478</v>
      </c>
      <c r="J1124" t="str">
        <f t="shared" si="382"/>
        <v>11</v>
      </c>
      <c r="K1124" t="str">
        <f t="shared" si="383"/>
        <v>15</v>
      </c>
      <c r="L1124" t="str">
        <f t="shared" si="384"/>
        <v/>
      </c>
      <c r="M1124" s="6" t="str">
        <f t="shared" si="385"/>
        <v/>
      </c>
      <c r="N1124" t="s">
        <v>178</v>
      </c>
      <c r="O1124">
        <v>16</v>
      </c>
      <c r="P1124" t="s">
        <v>424</v>
      </c>
      <c r="Q1124" t="s">
        <v>277</v>
      </c>
      <c r="R1124" t="s">
        <v>201</v>
      </c>
      <c r="S1124" t="s">
        <v>91</v>
      </c>
      <c r="Y1124" t="str">
        <f t="shared" si="368"/>
        <v/>
      </c>
      <c r="Z1124" t="str">
        <f t="shared" si="369"/>
        <v/>
      </c>
      <c r="AC1124" t="str">
        <f t="shared" si="365"/>
        <v>Zone_Entry_Exit</v>
      </c>
      <c r="AD1124" t="str">
        <f t="shared" si="366"/>
        <v>Zone_Exit</v>
      </c>
      <c r="AE1124" t="str">
        <f t="shared" si="367"/>
        <v>ZoneExit-Pass</v>
      </c>
      <c r="AF1124" t="str">
        <f t="shared" si="370"/>
        <v>Offensive</v>
      </c>
      <c r="AG1124">
        <f t="shared" si="376"/>
        <v>18981</v>
      </c>
      <c r="AH1124" t="str">
        <f t="shared" si="377"/>
        <v>Nelson</v>
      </c>
      <c r="AI1124" t="str">
        <f t="shared" si="378"/>
        <v>Velodrome</v>
      </c>
      <c r="AJ1124" s="18">
        <f t="shared" si="371"/>
        <v>0</v>
      </c>
      <c r="AP1124" s="18">
        <f t="shared" si="372"/>
        <v>0</v>
      </c>
      <c r="AQ1124">
        <f t="shared" si="373"/>
        <v>1080</v>
      </c>
      <c r="AR1124" s="23">
        <f t="shared" si="374"/>
        <v>1485</v>
      </c>
      <c r="AS1124">
        <f t="shared" si="379"/>
        <v>1480</v>
      </c>
      <c r="AT1124" s="21">
        <f t="shared" si="380"/>
        <v>1485</v>
      </c>
      <c r="AU1124" s="21"/>
      <c r="AV1124" s="21"/>
      <c r="AW1124" s="21"/>
    </row>
    <row r="1125" spans="1:49" x14ac:dyDescent="0.2">
      <c r="A1125">
        <v>606</v>
      </c>
      <c r="E1125">
        <f t="shared" si="375"/>
        <v>2</v>
      </c>
      <c r="J1125" t="str">
        <f t="shared" si="382"/>
        <v>11</v>
      </c>
      <c r="K1125" t="str">
        <f t="shared" si="383"/>
        <v>15</v>
      </c>
      <c r="L1125" t="str">
        <f t="shared" si="384"/>
        <v/>
      </c>
      <c r="M1125" s="6" t="str">
        <f t="shared" si="385"/>
        <v/>
      </c>
      <c r="N1125" t="str">
        <f t="shared" si="381"/>
        <v>Home</v>
      </c>
      <c r="O1125">
        <v>10</v>
      </c>
      <c r="P1125" t="s">
        <v>424</v>
      </c>
      <c r="Y1125" t="str">
        <f t="shared" si="368"/>
        <v/>
      </c>
      <c r="Z1125" t="str">
        <f t="shared" si="369"/>
        <v/>
      </c>
      <c r="AC1125" t="str">
        <f t="shared" si="365"/>
        <v>Zone_Entry_Exit</v>
      </c>
      <c r="AD1125" t="str">
        <f t="shared" si="366"/>
        <v>Zone_Exit</v>
      </c>
      <c r="AE1125" t="str">
        <f t="shared" si="367"/>
        <v>ZoneExit-Pass</v>
      </c>
      <c r="AF1125" t="str">
        <f t="shared" si="370"/>
        <v>Offensive</v>
      </c>
      <c r="AG1125">
        <f t="shared" si="376"/>
        <v>18981</v>
      </c>
      <c r="AH1125" t="str">
        <f t="shared" si="377"/>
        <v>Nelson</v>
      </c>
      <c r="AI1125" t="str">
        <f t="shared" si="378"/>
        <v>Velodrome</v>
      </c>
      <c r="AJ1125" s="18">
        <f t="shared" si="371"/>
        <v>0</v>
      </c>
      <c r="AP1125" s="18">
        <f t="shared" si="372"/>
        <v>0</v>
      </c>
      <c r="AQ1125">
        <f t="shared" si="373"/>
        <v>1080</v>
      </c>
      <c r="AR1125" s="23">
        <f t="shared" si="374"/>
        <v>1485</v>
      </c>
      <c r="AS1125">
        <f t="shared" si="379"/>
        <v>1480</v>
      </c>
      <c r="AT1125" s="21">
        <f t="shared" si="380"/>
        <v>1485</v>
      </c>
      <c r="AU1125" s="21"/>
      <c r="AV1125" s="21"/>
      <c r="AW1125" s="21"/>
    </row>
    <row r="1126" spans="1:49" x14ac:dyDescent="0.2">
      <c r="A1126">
        <v>607</v>
      </c>
      <c r="E1126">
        <f t="shared" si="375"/>
        <v>2</v>
      </c>
      <c r="F1126" s="5" t="s">
        <v>486</v>
      </c>
      <c r="G1126" s="5" t="s">
        <v>487</v>
      </c>
      <c r="H1126" s="5" t="s">
        <v>486</v>
      </c>
      <c r="I1126" s="7" t="s">
        <v>485</v>
      </c>
      <c r="J1126" t="str">
        <f t="shared" si="382"/>
        <v>11</v>
      </c>
      <c r="K1126" t="str">
        <f t="shared" si="383"/>
        <v>12</v>
      </c>
      <c r="L1126" t="str">
        <f t="shared" si="384"/>
        <v>11</v>
      </c>
      <c r="M1126" s="6" t="str">
        <f t="shared" si="385"/>
        <v>10</v>
      </c>
      <c r="N1126" t="s">
        <v>178</v>
      </c>
      <c r="O1126">
        <v>10</v>
      </c>
      <c r="P1126" t="s">
        <v>424</v>
      </c>
      <c r="Q1126" t="s">
        <v>15</v>
      </c>
      <c r="Y1126" t="str">
        <f t="shared" si="368"/>
        <v/>
      </c>
      <c r="Z1126" t="str">
        <f t="shared" si="369"/>
        <v/>
      </c>
      <c r="AC1126" t="str">
        <f t="shared" si="365"/>
        <v>Possession</v>
      </c>
      <c r="AD1126" t="str">
        <f t="shared" si="366"/>
        <v/>
      </c>
      <c r="AE1126" t="str">
        <f t="shared" si="367"/>
        <v/>
      </c>
      <c r="AF1126" t="str">
        <f t="shared" si="370"/>
        <v>Offensive</v>
      </c>
      <c r="AG1126">
        <f t="shared" si="376"/>
        <v>18981</v>
      </c>
      <c r="AH1126" t="str">
        <f t="shared" si="377"/>
        <v>Nelson</v>
      </c>
      <c r="AI1126" t="str">
        <f t="shared" si="378"/>
        <v>Velodrome</v>
      </c>
      <c r="AJ1126" s="18">
        <f t="shared" si="371"/>
        <v>2</v>
      </c>
      <c r="AP1126" s="18">
        <f t="shared" si="372"/>
        <v>0</v>
      </c>
      <c r="AQ1126">
        <f t="shared" si="373"/>
        <v>1080</v>
      </c>
      <c r="AR1126" s="23">
        <f t="shared" si="374"/>
        <v>1488</v>
      </c>
      <c r="AS1126">
        <f t="shared" si="379"/>
        <v>1483</v>
      </c>
      <c r="AT1126" s="21">
        <f t="shared" si="380"/>
        <v>1490</v>
      </c>
      <c r="AU1126" s="21"/>
      <c r="AV1126" s="21"/>
      <c r="AW1126" s="21"/>
    </row>
    <row r="1127" spans="1:49" x14ac:dyDescent="0.2">
      <c r="A1127">
        <v>607</v>
      </c>
      <c r="E1127">
        <f t="shared" si="375"/>
        <v>2</v>
      </c>
      <c r="J1127" t="str">
        <f t="shared" si="382"/>
        <v>11</v>
      </c>
      <c r="K1127" t="str">
        <f t="shared" si="383"/>
        <v>12</v>
      </c>
      <c r="L1127" t="str">
        <f t="shared" si="384"/>
        <v>11</v>
      </c>
      <c r="M1127" s="6" t="str">
        <f t="shared" si="385"/>
        <v>10</v>
      </c>
      <c r="N1127" t="str">
        <f t="shared" si="381"/>
        <v>Home</v>
      </c>
      <c r="O1127">
        <v>84</v>
      </c>
      <c r="P1127" t="s">
        <v>425</v>
      </c>
      <c r="Y1127" t="str">
        <f t="shared" si="368"/>
        <v/>
      </c>
      <c r="Z1127" t="str">
        <f t="shared" si="369"/>
        <v/>
      </c>
      <c r="AC1127" t="str">
        <f t="shared" si="365"/>
        <v>Possession</v>
      </c>
      <c r="AD1127" t="str">
        <f t="shared" si="366"/>
        <v/>
      </c>
      <c r="AE1127" t="str">
        <f t="shared" si="367"/>
        <v/>
      </c>
      <c r="AF1127" t="str">
        <f t="shared" si="370"/>
        <v>Defensive</v>
      </c>
      <c r="AG1127">
        <f t="shared" si="376"/>
        <v>18981</v>
      </c>
      <c r="AH1127" t="str">
        <f t="shared" si="377"/>
        <v>Nelson</v>
      </c>
      <c r="AI1127" t="str">
        <f t="shared" si="378"/>
        <v>Velodrome</v>
      </c>
      <c r="AJ1127" s="18">
        <f t="shared" si="371"/>
        <v>2</v>
      </c>
      <c r="AP1127" s="18">
        <f t="shared" si="372"/>
        <v>0</v>
      </c>
      <c r="AQ1127">
        <f t="shared" si="373"/>
        <v>1080</v>
      </c>
      <c r="AR1127" s="23">
        <f t="shared" si="374"/>
        <v>1488</v>
      </c>
      <c r="AS1127">
        <f t="shared" si="379"/>
        <v>1483</v>
      </c>
      <c r="AT1127" s="21">
        <f t="shared" si="380"/>
        <v>1490</v>
      </c>
      <c r="AU1127" s="21"/>
      <c r="AV1127" s="21"/>
      <c r="AW1127" s="21"/>
    </row>
    <row r="1128" spans="1:49" x14ac:dyDescent="0.2">
      <c r="A1128">
        <v>608</v>
      </c>
      <c r="E1128">
        <f t="shared" si="375"/>
        <v>2</v>
      </c>
      <c r="F1128" s="5" t="s">
        <v>486</v>
      </c>
      <c r="G1128" s="5" t="s">
        <v>485</v>
      </c>
      <c r="J1128" t="str">
        <f t="shared" si="382"/>
        <v>11</v>
      </c>
      <c r="K1128" t="str">
        <f t="shared" si="383"/>
        <v>10</v>
      </c>
      <c r="L1128" t="str">
        <f t="shared" si="384"/>
        <v/>
      </c>
      <c r="M1128" s="6" t="str">
        <f t="shared" si="385"/>
        <v/>
      </c>
      <c r="N1128" t="s">
        <v>178</v>
      </c>
      <c r="O1128">
        <v>10</v>
      </c>
      <c r="P1128" t="s">
        <v>424</v>
      </c>
      <c r="Q1128" t="s">
        <v>8</v>
      </c>
      <c r="R1128" t="s">
        <v>199</v>
      </c>
      <c r="S1128" t="s">
        <v>70</v>
      </c>
      <c r="Y1128" t="str">
        <f t="shared" si="368"/>
        <v/>
      </c>
      <c r="Z1128" t="str">
        <f t="shared" si="369"/>
        <v/>
      </c>
      <c r="AC1128" t="str">
        <f t="shared" si="365"/>
        <v>Pass</v>
      </c>
      <c r="AD1128" t="str">
        <f t="shared" si="366"/>
        <v>Pass_Missed</v>
      </c>
      <c r="AE1128" t="str">
        <f t="shared" si="367"/>
        <v>Pass-Forehand</v>
      </c>
      <c r="AF1128" t="str">
        <f t="shared" si="370"/>
        <v>Offensive</v>
      </c>
      <c r="AG1128">
        <f t="shared" si="376"/>
        <v>18981</v>
      </c>
      <c r="AH1128" t="str">
        <f t="shared" si="377"/>
        <v>Nelson</v>
      </c>
      <c r="AI1128" t="str">
        <f t="shared" si="378"/>
        <v>Velodrome</v>
      </c>
      <c r="AJ1128" s="18">
        <f t="shared" si="371"/>
        <v>0</v>
      </c>
      <c r="AP1128" s="18">
        <f t="shared" si="372"/>
        <v>0</v>
      </c>
      <c r="AQ1128">
        <f t="shared" si="373"/>
        <v>1080</v>
      </c>
      <c r="AR1128" s="23">
        <f t="shared" si="374"/>
        <v>1490</v>
      </c>
      <c r="AS1128">
        <f t="shared" si="379"/>
        <v>1485</v>
      </c>
      <c r="AT1128" s="21">
        <f t="shared" si="380"/>
        <v>1490</v>
      </c>
      <c r="AU1128" s="21"/>
      <c r="AV1128" s="21"/>
      <c r="AW1128" s="21"/>
    </row>
    <row r="1129" spans="1:49" x14ac:dyDescent="0.2">
      <c r="A1129">
        <v>608</v>
      </c>
      <c r="E1129">
        <f t="shared" si="375"/>
        <v>2</v>
      </c>
      <c r="J1129" t="str">
        <f t="shared" si="382"/>
        <v>11</v>
      </c>
      <c r="K1129" t="str">
        <f t="shared" si="383"/>
        <v>10</v>
      </c>
      <c r="L1129" t="str">
        <f t="shared" si="384"/>
        <v/>
      </c>
      <c r="M1129" s="6" t="str">
        <f t="shared" si="385"/>
        <v/>
      </c>
      <c r="N1129" t="str">
        <f t="shared" si="381"/>
        <v>Home</v>
      </c>
      <c r="O1129">
        <v>16</v>
      </c>
      <c r="P1129" t="s">
        <v>424</v>
      </c>
      <c r="Y1129" t="str">
        <f t="shared" si="368"/>
        <v/>
      </c>
      <c r="Z1129" t="str">
        <f t="shared" si="369"/>
        <v/>
      </c>
      <c r="AC1129" t="str">
        <f t="shared" si="365"/>
        <v>Pass</v>
      </c>
      <c r="AD1129" t="str">
        <f t="shared" si="366"/>
        <v>Pass_Missed</v>
      </c>
      <c r="AE1129" t="str">
        <f t="shared" si="367"/>
        <v>Pass-Forehand</v>
      </c>
      <c r="AF1129" t="str">
        <f t="shared" si="370"/>
        <v>Offensive</v>
      </c>
      <c r="AG1129">
        <f t="shared" si="376"/>
        <v>18981</v>
      </c>
      <c r="AH1129" t="str">
        <f t="shared" si="377"/>
        <v>Nelson</v>
      </c>
      <c r="AI1129" t="str">
        <f t="shared" si="378"/>
        <v>Velodrome</v>
      </c>
      <c r="AJ1129" s="18">
        <f t="shared" si="371"/>
        <v>0</v>
      </c>
      <c r="AP1129" s="18">
        <f t="shared" si="372"/>
        <v>0</v>
      </c>
      <c r="AQ1129">
        <f t="shared" si="373"/>
        <v>1080</v>
      </c>
      <c r="AR1129" s="23">
        <f t="shared" si="374"/>
        <v>1490</v>
      </c>
      <c r="AS1129">
        <f t="shared" si="379"/>
        <v>1485</v>
      </c>
      <c r="AT1129" s="21">
        <f t="shared" si="380"/>
        <v>1490</v>
      </c>
      <c r="AU1129" s="21"/>
      <c r="AV1129" s="21"/>
      <c r="AW1129" s="21"/>
    </row>
    <row r="1130" spans="1:49" x14ac:dyDescent="0.2">
      <c r="A1130">
        <v>609</v>
      </c>
      <c r="E1130">
        <f t="shared" si="375"/>
        <v>2</v>
      </c>
      <c r="F1130" s="5" t="s">
        <v>486</v>
      </c>
      <c r="G1130" s="5" t="s">
        <v>485</v>
      </c>
      <c r="J1130" t="str">
        <f t="shared" si="382"/>
        <v>11</v>
      </c>
      <c r="K1130" t="str">
        <f t="shared" si="383"/>
        <v>10</v>
      </c>
      <c r="L1130" t="str">
        <f t="shared" si="384"/>
        <v/>
      </c>
      <c r="M1130" s="6" t="str">
        <f t="shared" si="385"/>
        <v/>
      </c>
      <c r="N1130" t="s">
        <v>178</v>
      </c>
      <c r="O1130">
        <v>10</v>
      </c>
      <c r="P1130" t="s">
        <v>424</v>
      </c>
      <c r="Q1130" t="s">
        <v>277</v>
      </c>
      <c r="R1130" t="s">
        <v>191</v>
      </c>
      <c r="S1130" t="s">
        <v>447</v>
      </c>
      <c r="Y1130" t="str">
        <f t="shared" si="368"/>
        <v/>
      </c>
      <c r="Z1130" t="str">
        <f t="shared" si="369"/>
        <v/>
      </c>
      <c r="AC1130" t="str">
        <f t="shared" si="365"/>
        <v>Zone_Entry_Exit</v>
      </c>
      <c r="AD1130" t="str">
        <f t="shared" si="366"/>
        <v>Zone_Entry</v>
      </c>
      <c r="AE1130" t="str">
        <f t="shared" si="367"/>
        <v>ZoneEntry-PassMiss/Misplay</v>
      </c>
      <c r="AF1130" t="str">
        <f t="shared" si="370"/>
        <v>Offensive</v>
      </c>
      <c r="AG1130">
        <f t="shared" si="376"/>
        <v>18981</v>
      </c>
      <c r="AH1130" t="str">
        <f t="shared" si="377"/>
        <v>Nelson</v>
      </c>
      <c r="AI1130" t="str">
        <f t="shared" si="378"/>
        <v>Velodrome</v>
      </c>
      <c r="AJ1130" s="18">
        <f t="shared" si="371"/>
        <v>0</v>
      </c>
      <c r="AP1130" s="18">
        <f t="shared" si="372"/>
        <v>0</v>
      </c>
      <c r="AQ1130">
        <f t="shared" si="373"/>
        <v>1080</v>
      </c>
      <c r="AR1130" s="23">
        <f t="shared" si="374"/>
        <v>1490</v>
      </c>
      <c r="AS1130">
        <f t="shared" si="379"/>
        <v>1485</v>
      </c>
      <c r="AT1130" s="21">
        <f t="shared" si="380"/>
        <v>1490</v>
      </c>
      <c r="AU1130" s="21"/>
      <c r="AV1130" s="21"/>
      <c r="AW1130" s="21"/>
    </row>
    <row r="1131" spans="1:49" x14ac:dyDescent="0.2">
      <c r="A1131">
        <v>610</v>
      </c>
      <c r="E1131">
        <f t="shared" si="375"/>
        <v>2</v>
      </c>
      <c r="F1131" s="5" t="s">
        <v>486</v>
      </c>
      <c r="G1131" s="5" t="s">
        <v>485</v>
      </c>
      <c r="J1131" t="str">
        <f t="shared" si="382"/>
        <v>11</v>
      </c>
      <c r="K1131" t="str">
        <f t="shared" si="383"/>
        <v>10</v>
      </c>
      <c r="L1131" t="str">
        <f t="shared" si="384"/>
        <v/>
      </c>
      <c r="M1131" s="6" t="str">
        <f t="shared" si="385"/>
        <v/>
      </c>
      <c r="N1131" t="s">
        <v>178</v>
      </c>
      <c r="O1131">
        <v>10</v>
      </c>
      <c r="P1131" t="s">
        <v>424</v>
      </c>
      <c r="Q1131" t="s">
        <v>10</v>
      </c>
      <c r="R1131" t="s">
        <v>190</v>
      </c>
      <c r="S1131" t="s">
        <v>440</v>
      </c>
      <c r="Y1131" t="str">
        <f t="shared" si="368"/>
        <v/>
      </c>
      <c r="Z1131" t="str">
        <f t="shared" si="369"/>
        <v/>
      </c>
      <c r="AC1131" t="str">
        <f t="shared" si="365"/>
        <v>Turnover</v>
      </c>
      <c r="AD1131" t="str">
        <f t="shared" si="366"/>
        <v>Turnover_Giveaway</v>
      </c>
      <c r="AE1131" t="str">
        <f t="shared" si="367"/>
        <v>Giveaway-ZoneEntry/ExitMisplay</v>
      </c>
      <c r="AF1131" t="str">
        <f t="shared" si="370"/>
        <v>Offensive</v>
      </c>
      <c r="AG1131">
        <f t="shared" si="376"/>
        <v>18981</v>
      </c>
      <c r="AH1131" t="str">
        <f t="shared" si="377"/>
        <v>Nelson</v>
      </c>
      <c r="AI1131" t="str">
        <f t="shared" si="378"/>
        <v>Velodrome</v>
      </c>
      <c r="AJ1131" s="18">
        <f t="shared" si="371"/>
        <v>0</v>
      </c>
      <c r="AP1131" s="18">
        <f t="shared" si="372"/>
        <v>0</v>
      </c>
      <c r="AQ1131">
        <f t="shared" si="373"/>
        <v>1080</v>
      </c>
      <c r="AR1131" s="23">
        <f t="shared" si="374"/>
        <v>1490</v>
      </c>
      <c r="AS1131">
        <f t="shared" si="379"/>
        <v>1485</v>
      </c>
      <c r="AT1131" s="21">
        <f t="shared" si="380"/>
        <v>1490</v>
      </c>
      <c r="AU1131" s="21"/>
      <c r="AV1131" s="21"/>
      <c r="AW1131" s="21"/>
    </row>
    <row r="1132" spans="1:49" x14ac:dyDescent="0.2">
      <c r="A1132">
        <v>611</v>
      </c>
      <c r="E1132">
        <f t="shared" si="375"/>
        <v>2</v>
      </c>
      <c r="F1132" s="5" t="s">
        <v>486</v>
      </c>
      <c r="G1132" s="5" t="s">
        <v>481</v>
      </c>
      <c r="J1132" t="str">
        <f t="shared" si="382"/>
        <v>11</v>
      </c>
      <c r="K1132" t="str">
        <f t="shared" si="383"/>
        <v>05</v>
      </c>
      <c r="L1132" t="str">
        <f t="shared" si="384"/>
        <v/>
      </c>
      <c r="M1132" s="6" t="str">
        <f t="shared" si="385"/>
        <v/>
      </c>
      <c r="N1132" t="s">
        <v>179</v>
      </c>
      <c r="O1132">
        <v>91</v>
      </c>
      <c r="P1132" t="s">
        <v>424</v>
      </c>
      <c r="Q1132" t="s">
        <v>277</v>
      </c>
      <c r="R1132" t="s">
        <v>201</v>
      </c>
      <c r="S1132" t="s">
        <v>431</v>
      </c>
      <c r="Y1132" t="str">
        <f t="shared" si="368"/>
        <v/>
      </c>
      <c r="Z1132" t="str">
        <f t="shared" si="369"/>
        <v/>
      </c>
      <c r="AC1132" t="str">
        <f t="shared" si="365"/>
        <v>Zone_Entry_Exit</v>
      </c>
      <c r="AD1132" t="str">
        <f t="shared" si="366"/>
        <v>Zone_Exit</v>
      </c>
      <c r="AE1132" t="str">
        <f t="shared" si="367"/>
        <v>ZoneExit-Chip</v>
      </c>
      <c r="AF1132" t="str">
        <f t="shared" si="370"/>
        <v>Offensive</v>
      </c>
      <c r="AG1132">
        <f t="shared" si="376"/>
        <v>18981</v>
      </c>
      <c r="AH1132" t="str">
        <f t="shared" si="377"/>
        <v>Nelson</v>
      </c>
      <c r="AI1132" t="str">
        <f t="shared" si="378"/>
        <v>Velodrome</v>
      </c>
      <c r="AJ1132" s="18">
        <f t="shared" si="371"/>
        <v>0</v>
      </c>
      <c r="AP1132" s="18">
        <f t="shared" si="372"/>
        <v>0</v>
      </c>
      <c r="AQ1132">
        <f t="shared" si="373"/>
        <v>1080</v>
      </c>
      <c r="AR1132" s="23">
        <f t="shared" si="374"/>
        <v>1495</v>
      </c>
      <c r="AS1132">
        <f t="shared" si="379"/>
        <v>1490</v>
      </c>
      <c r="AT1132" s="21">
        <f t="shared" si="380"/>
        <v>1495</v>
      </c>
      <c r="AU1132" s="21"/>
      <c r="AV1132" s="21"/>
      <c r="AW1132" s="21"/>
    </row>
    <row r="1133" spans="1:49" x14ac:dyDescent="0.2">
      <c r="A1133">
        <v>612</v>
      </c>
      <c r="E1133">
        <f t="shared" si="375"/>
        <v>2</v>
      </c>
      <c r="F1133" s="5" t="s">
        <v>486</v>
      </c>
      <c r="G1133" s="5" t="s">
        <v>473</v>
      </c>
      <c r="H1133" s="5" t="s">
        <v>486</v>
      </c>
      <c r="I1133" s="7" t="s">
        <v>471</v>
      </c>
      <c r="J1133" t="str">
        <f t="shared" si="382"/>
        <v>11</v>
      </c>
      <c r="K1133" t="str">
        <f t="shared" si="383"/>
        <v>03</v>
      </c>
      <c r="L1133" t="str">
        <f t="shared" si="384"/>
        <v>11</v>
      </c>
      <c r="M1133" s="6" t="str">
        <f t="shared" si="385"/>
        <v>01</v>
      </c>
      <c r="N1133" t="s">
        <v>178</v>
      </c>
      <c r="O1133">
        <v>8</v>
      </c>
      <c r="P1133" t="s">
        <v>424</v>
      </c>
      <c r="Q1133" t="s">
        <v>15</v>
      </c>
      <c r="Y1133" t="str">
        <f t="shared" si="368"/>
        <v/>
      </c>
      <c r="Z1133" t="str">
        <f t="shared" si="369"/>
        <v/>
      </c>
      <c r="AC1133" t="str">
        <f t="shared" si="365"/>
        <v>Possession</v>
      </c>
      <c r="AD1133" t="str">
        <f t="shared" si="366"/>
        <v/>
      </c>
      <c r="AE1133" t="str">
        <f t="shared" si="367"/>
        <v/>
      </c>
      <c r="AF1133" t="str">
        <f t="shared" si="370"/>
        <v>Offensive</v>
      </c>
      <c r="AG1133">
        <f t="shared" si="376"/>
        <v>18981</v>
      </c>
      <c r="AH1133" t="str">
        <f t="shared" si="377"/>
        <v>Nelson</v>
      </c>
      <c r="AI1133" t="str">
        <f t="shared" si="378"/>
        <v>Velodrome</v>
      </c>
      <c r="AJ1133" s="18">
        <f t="shared" si="371"/>
        <v>2</v>
      </c>
      <c r="AP1133" s="18">
        <f t="shared" si="372"/>
        <v>0</v>
      </c>
      <c r="AQ1133">
        <f t="shared" si="373"/>
        <v>1080</v>
      </c>
      <c r="AR1133" s="23">
        <f t="shared" si="374"/>
        <v>1497</v>
      </c>
      <c r="AS1133">
        <f t="shared" si="379"/>
        <v>1492</v>
      </c>
      <c r="AT1133" s="21">
        <f t="shared" si="380"/>
        <v>1499</v>
      </c>
      <c r="AU1133" s="21"/>
      <c r="AV1133" s="21"/>
      <c r="AW1133" s="21"/>
    </row>
    <row r="1134" spans="1:49" x14ac:dyDescent="0.2">
      <c r="A1134">
        <v>613</v>
      </c>
      <c r="E1134">
        <f t="shared" si="375"/>
        <v>2</v>
      </c>
      <c r="F1134" s="5" t="s">
        <v>486</v>
      </c>
      <c r="G1134" s="5" t="s">
        <v>471</v>
      </c>
      <c r="J1134" t="str">
        <f t="shared" si="382"/>
        <v>11</v>
      </c>
      <c r="K1134" t="str">
        <f t="shared" si="383"/>
        <v>01</v>
      </c>
      <c r="L1134" t="str">
        <f t="shared" si="384"/>
        <v/>
      </c>
      <c r="M1134" s="6" t="str">
        <f t="shared" si="385"/>
        <v/>
      </c>
      <c r="N1134" t="s">
        <v>178</v>
      </c>
      <c r="O1134">
        <v>8</v>
      </c>
      <c r="P1134" t="s">
        <v>424</v>
      </c>
      <c r="Q1134" t="s">
        <v>8</v>
      </c>
      <c r="R1134" t="s">
        <v>199</v>
      </c>
      <c r="S1134" t="s">
        <v>70</v>
      </c>
      <c r="Y1134" t="str">
        <f t="shared" si="368"/>
        <v/>
      </c>
      <c r="Z1134" t="str">
        <f t="shared" si="369"/>
        <v/>
      </c>
      <c r="AC1134" t="str">
        <f t="shared" si="365"/>
        <v>Pass</v>
      </c>
      <c r="AD1134" t="str">
        <f t="shared" si="366"/>
        <v>Pass_Missed</v>
      </c>
      <c r="AE1134" t="str">
        <f t="shared" si="367"/>
        <v>Pass-Forehand</v>
      </c>
      <c r="AF1134" t="str">
        <f t="shared" si="370"/>
        <v>Offensive</v>
      </c>
      <c r="AG1134">
        <f t="shared" si="376"/>
        <v>18981</v>
      </c>
      <c r="AH1134" t="str">
        <f t="shared" si="377"/>
        <v>Nelson</v>
      </c>
      <c r="AI1134" t="str">
        <f t="shared" si="378"/>
        <v>Velodrome</v>
      </c>
      <c r="AJ1134" s="18">
        <f t="shared" si="371"/>
        <v>0</v>
      </c>
      <c r="AP1134" s="18">
        <f t="shared" si="372"/>
        <v>0</v>
      </c>
      <c r="AQ1134">
        <f t="shared" si="373"/>
        <v>1080</v>
      </c>
      <c r="AR1134" s="23">
        <f t="shared" si="374"/>
        <v>1499</v>
      </c>
      <c r="AS1134">
        <f t="shared" si="379"/>
        <v>1494</v>
      </c>
      <c r="AT1134" s="21">
        <f t="shared" si="380"/>
        <v>1499</v>
      </c>
      <c r="AU1134" s="21"/>
      <c r="AV1134" s="21"/>
      <c r="AW1134" s="21"/>
    </row>
    <row r="1135" spans="1:49" x14ac:dyDescent="0.2">
      <c r="A1135">
        <v>613</v>
      </c>
      <c r="E1135">
        <f t="shared" si="375"/>
        <v>2</v>
      </c>
      <c r="J1135" t="str">
        <f t="shared" si="382"/>
        <v>11</v>
      </c>
      <c r="K1135" t="str">
        <f t="shared" si="383"/>
        <v>01</v>
      </c>
      <c r="L1135" t="str">
        <f t="shared" si="384"/>
        <v/>
      </c>
      <c r="M1135" s="6" t="str">
        <f t="shared" si="385"/>
        <v/>
      </c>
      <c r="N1135" t="str">
        <f t="shared" si="381"/>
        <v>Home</v>
      </c>
      <c r="O1135">
        <v>10</v>
      </c>
      <c r="P1135" t="s">
        <v>424</v>
      </c>
      <c r="Y1135" t="str">
        <f t="shared" si="368"/>
        <v/>
      </c>
      <c r="Z1135" t="str">
        <f t="shared" si="369"/>
        <v/>
      </c>
      <c r="AC1135" t="str">
        <f t="shared" ref="AC1135:AC1198" si="388">IF(Q1135&lt;&gt;"",Q1135,IF($A1135=$A1134,AC1134,""))</f>
        <v>Pass</v>
      </c>
      <c r="AD1135" t="str">
        <f t="shared" ref="AD1135:AD1198" si="389">IF(R1135&lt;&gt;"",R1135,IF($A1135=$A1134,AD1134,""))</f>
        <v>Pass_Missed</v>
      </c>
      <c r="AE1135" t="str">
        <f t="shared" ref="AE1135:AE1198" si="390">IF(S1135&lt;&gt;"",S1135,IF($A1135=$A1134,AE1134,""))</f>
        <v>Pass-Forehand</v>
      </c>
      <c r="AF1135" t="str">
        <f t="shared" si="370"/>
        <v>Offensive</v>
      </c>
      <c r="AG1135">
        <f t="shared" si="376"/>
        <v>18981</v>
      </c>
      <c r="AH1135" t="str">
        <f t="shared" si="377"/>
        <v>Nelson</v>
      </c>
      <c r="AI1135" t="str">
        <f t="shared" si="378"/>
        <v>Velodrome</v>
      </c>
      <c r="AJ1135" s="18">
        <f t="shared" si="371"/>
        <v>0</v>
      </c>
      <c r="AP1135" s="18">
        <f t="shared" si="372"/>
        <v>0</v>
      </c>
      <c r="AQ1135">
        <f t="shared" si="373"/>
        <v>1080</v>
      </c>
      <c r="AR1135" s="23">
        <f t="shared" si="374"/>
        <v>1499</v>
      </c>
      <c r="AS1135">
        <f t="shared" si="379"/>
        <v>1494</v>
      </c>
      <c r="AT1135" s="21">
        <f t="shared" si="380"/>
        <v>1499</v>
      </c>
      <c r="AU1135" s="21"/>
      <c r="AV1135" s="21"/>
      <c r="AW1135" s="21"/>
    </row>
    <row r="1136" spans="1:49" x14ac:dyDescent="0.2">
      <c r="A1136">
        <v>614</v>
      </c>
      <c r="E1136">
        <f t="shared" si="375"/>
        <v>2</v>
      </c>
      <c r="F1136" s="5" t="s">
        <v>486</v>
      </c>
      <c r="G1136" s="5" t="s">
        <v>471</v>
      </c>
      <c r="J1136" t="str">
        <f t="shared" si="382"/>
        <v>11</v>
      </c>
      <c r="K1136" t="str">
        <f t="shared" si="383"/>
        <v>01</v>
      </c>
      <c r="L1136" t="str">
        <f t="shared" si="384"/>
        <v/>
      </c>
      <c r="M1136" s="6" t="str">
        <f t="shared" si="385"/>
        <v/>
      </c>
      <c r="N1136" t="s">
        <v>178</v>
      </c>
      <c r="O1136">
        <v>8</v>
      </c>
      <c r="P1136" t="s">
        <v>424</v>
      </c>
      <c r="Q1136" t="s">
        <v>277</v>
      </c>
      <c r="R1136" t="s">
        <v>191</v>
      </c>
      <c r="S1136" t="s">
        <v>447</v>
      </c>
      <c r="Y1136" t="str">
        <f t="shared" si="368"/>
        <v/>
      </c>
      <c r="Z1136" t="str">
        <f t="shared" si="369"/>
        <v/>
      </c>
      <c r="AC1136" t="str">
        <f t="shared" si="388"/>
        <v>Zone_Entry_Exit</v>
      </c>
      <c r="AD1136" t="str">
        <f t="shared" si="389"/>
        <v>Zone_Entry</v>
      </c>
      <c r="AE1136" t="str">
        <f t="shared" si="390"/>
        <v>ZoneEntry-PassMiss/Misplay</v>
      </c>
      <c r="AF1136" t="str">
        <f t="shared" si="370"/>
        <v>Offensive</v>
      </c>
      <c r="AG1136">
        <f t="shared" si="376"/>
        <v>18981</v>
      </c>
      <c r="AH1136" t="str">
        <f t="shared" si="377"/>
        <v>Nelson</v>
      </c>
      <c r="AI1136" t="str">
        <f t="shared" si="378"/>
        <v>Velodrome</v>
      </c>
      <c r="AJ1136" s="18">
        <f t="shared" si="371"/>
        <v>0</v>
      </c>
      <c r="AP1136" s="18">
        <f t="shared" si="372"/>
        <v>0</v>
      </c>
      <c r="AQ1136">
        <f t="shared" si="373"/>
        <v>1080</v>
      </c>
      <c r="AR1136" s="23">
        <f t="shared" si="374"/>
        <v>1499</v>
      </c>
      <c r="AS1136">
        <f t="shared" si="379"/>
        <v>1494</v>
      </c>
      <c r="AT1136" s="21">
        <f t="shared" si="380"/>
        <v>1499</v>
      </c>
      <c r="AU1136" s="21"/>
      <c r="AV1136" s="21"/>
      <c r="AW1136" s="21"/>
    </row>
    <row r="1137" spans="1:49" x14ac:dyDescent="0.2">
      <c r="A1137">
        <v>614</v>
      </c>
      <c r="E1137">
        <f t="shared" si="375"/>
        <v>2</v>
      </c>
      <c r="J1137" t="str">
        <f t="shared" si="382"/>
        <v>11</v>
      </c>
      <c r="K1137" t="str">
        <f t="shared" si="383"/>
        <v>01</v>
      </c>
      <c r="L1137" t="str">
        <f t="shared" si="384"/>
        <v/>
      </c>
      <c r="M1137" s="6" t="str">
        <f t="shared" si="385"/>
        <v/>
      </c>
      <c r="N1137" t="str">
        <f t="shared" si="381"/>
        <v>Home</v>
      </c>
      <c r="O1137">
        <v>10</v>
      </c>
      <c r="P1137" t="s">
        <v>424</v>
      </c>
      <c r="Y1137" t="str">
        <f t="shared" si="368"/>
        <v/>
      </c>
      <c r="Z1137" t="str">
        <f t="shared" si="369"/>
        <v/>
      </c>
      <c r="AC1137" t="str">
        <f t="shared" si="388"/>
        <v>Zone_Entry_Exit</v>
      </c>
      <c r="AD1137" t="str">
        <f t="shared" si="389"/>
        <v>Zone_Entry</v>
      </c>
      <c r="AE1137" t="str">
        <f t="shared" si="390"/>
        <v>ZoneEntry-PassMiss/Misplay</v>
      </c>
      <c r="AF1137" t="str">
        <f t="shared" si="370"/>
        <v>Offensive</v>
      </c>
      <c r="AG1137">
        <f t="shared" si="376"/>
        <v>18981</v>
      </c>
      <c r="AH1137" t="str">
        <f t="shared" si="377"/>
        <v>Nelson</v>
      </c>
      <c r="AI1137" t="str">
        <f t="shared" si="378"/>
        <v>Velodrome</v>
      </c>
      <c r="AJ1137" s="18">
        <f t="shared" si="371"/>
        <v>0</v>
      </c>
      <c r="AP1137" s="18">
        <f t="shared" si="372"/>
        <v>0</v>
      </c>
      <c r="AQ1137">
        <f t="shared" si="373"/>
        <v>1080</v>
      </c>
      <c r="AR1137" s="23">
        <f t="shared" si="374"/>
        <v>1499</v>
      </c>
      <c r="AS1137">
        <f t="shared" si="379"/>
        <v>1494</v>
      </c>
      <c r="AT1137" s="21">
        <f t="shared" si="380"/>
        <v>1499</v>
      </c>
      <c r="AU1137" s="21"/>
      <c r="AV1137" s="21"/>
      <c r="AW1137" s="21"/>
    </row>
    <row r="1138" spans="1:49" x14ac:dyDescent="0.2">
      <c r="A1138">
        <v>615</v>
      </c>
      <c r="E1138">
        <f t="shared" si="375"/>
        <v>2</v>
      </c>
      <c r="F1138" s="5" t="s">
        <v>485</v>
      </c>
      <c r="G1138" s="5" t="s">
        <v>529</v>
      </c>
      <c r="H1138" s="5" t="s">
        <v>485</v>
      </c>
      <c r="I1138" s="7" t="s">
        <v>525</v>
      </c>
      <c r="J1138" t="str">
        <f t="shared" si="382"/>
        <v>10</v>
      </c>
      <c r="K1138" t="str">
        <f t="shared" si="383"/>
        <v>57</v>
      </c>
      <c r="L1138" t="str">
        <f t="shared" si="384"/>
        <v>10</v>
      </c>
      <c r="M1138" s="6" t="str">
        <f t="shared" si="385"/>
        <v>53</v>
      </c>
      <c r="N1138" t="s">
        <v>178</v>
      </c>
      <c r="O1138">
        <v>10</v>
      </c>
      <c r="P1138" t="s">
        <v>424</v>
      </c>
      <c r="Q1138" t="s">
        <v>15</v>
      </c>
      <c r="Y1138" t="str">
        <f t="shared" si="368"/>
        <v/>
      </c>
      <c r="Z1138" t="str">
        <f t="shared" si="369"/>
        <v/>
      </c>
      <c r="AC1138" t="str">
        <f t="shared" si="388"/>
        <v>Possession</v>
      </c>
      <c r="AD1138" t="str">
        <f t="shared" si="389"/>
        <v/>
      </c>
      <c r="AE1138" t="str">
        <f t="shared" si="390"/>
        <v/>
      </c>
      <c r="AF1138" t="str">
        <f t="shared" si="370"/>
        <v>Offensive</v>
      </c>
      <c r="AG1138">
        <f t="shared" si="376"/>
        <v>18981</v>
      </c>
      <c r="AH1138" t="str">
        <f t="shared" si="377"/>
        <v>Nelson</v>
      </c>
      <c r="AI1138" t="str">
        <f t="shared" si="378"/>
        <v>Velodrome</v>
      </c>
      <c r="AJ1138" s="18">
        <f t="shared" si="371"/>
        <v>4</v>
      </c>
      <c r="AP1138" s="18">
        <f t="shared" si="372"/>
        <v>0</v>
      </c>
      <c r="AQ1138">
        <f t="shared" si="373"/>
        <v>1080</v>
      </c>
      <c r="AR1138" s="23">
        <f t="shared" si="374"/>
        <v>1503</v>
      </c>
      <c r="AS1138">
        <f t="shared" si="379"/>
        <v>1498</v>
      </c>
      <c r="AT1138" s="21">
        <f t="shared" si="380"/>
        <v>1507</v>
      </c>
      <c r="AU1138" s="21"/>
      <c r="AV1138" s="21"/>
      <c r="AW1138" s="21"/>
    </row>
    <row r="1139" spans="1:49" x14ac:dyDescent="0.2">
      <c r="A1139">
        <v>615</v>
      </c>
      <c r="E1139">
        <f t="shared" si="375"/>
        <v>2</v>
      </c>
      <c r="J1139" t="str">
        <f t="shared" si="382"/>
        <v>10</v>
      </c>
      <c r="K1139" t="str">
        <f t="shared" si="383"/>
        <v>57</v>
      </c>
      <c r="L1139" t="str">
        <f t="shared" si="384"/>
        <v>10</v>
      </c>
      <c r="M1139" s="6" t="str">
        <f t="shared" si="385"/>
        <v>53</v>
      </c>
      <c r="N1139" t="str">
        <f t="shared" si="381"/>
        <v>Home</v>
      </c>
      <c r="O1139">
        <v>84</v>
      </c>
      <c r="P1139" t="s">
        <v>425</v>
      </c>
      <c r="Y1139" t="str">
        <f t="shared" si="368"/>
        <v/>
      </c>
      <c r="Z1139" t="str">
        <f t="shared" si="369"/>
        <v/>
      </c>
      <c r="AC1139" t="str">
        <f t="shared" si="388"/>
        <v>Possession</v>
      </c>
      <c r="AD1139" t="str">
        <f t="shared" si="389"/>
        <v/>
      </c>
      <c r="AE1139" t="str">
        <f t="shared" si="390"/>
        <v/>
      </c>
      <c r="AF1139" t="str">
        <f t="shared" si="370"/>
        <v>Defensive</v>
      </c>
      <c r="AG1139">
        <f t="shared" si="376"/>
        <v>18981</v>
      </c>
      <c r="AH1139" t="str">
        <f t="shared" si="377"/>
        <v>Nelson</v>
      </c>
      <c r="AI1139" t="str">
        <f t="shared" si="378"/>
        <v>Velodrome</v>
      </c>
      <c r="AJ1139" s="18">
        <f t="shared" si="371"/>
        <v>4</v>
      </c>
      <c r="AP1139" s="18">
        <f t="shared" si="372"/>
        <v>0</v>
      </c>
      <c r="AQ1139">
        <f t="shared" si="373"/>
        <v>1080</v>
      </c>
      <c r="AR1139" s="23">
        <f t="shared" si="374"/>
        <v>1503</v>
      </c>
      <c r="AS1139">
        <f t="shared" si="379"/>
        <v>1498</v>
      </c>
      <c r="AT1139" s="21">
        <f t="shared" si="380"/>
        <v>1507</v>
      </c>
      <c r="AU1139" s="21"/>
      <c r="AV1139" s="21"/>
      <c r="AW1139" s="21"/>
    </row>
    <row r="1140" spans="1:49" x14ac:dyDescent="0.2">
      <c r="A1140">
        <v>615</v>
      </c>
      <c r="E1140">
        <f t="shared" si="375"/>
        <v>2</v>
      </c>
      <c r="J1140" t="str">
        <f t="shared" si="382"/>
        <v>10</v>
      </c>
      <c r="K1140" t="str">
        <f t="shared" si="383"/>
        <v>57</v>
      </c>
      <c r="L1140" t="str">
        <f t="shared" si="384"/>
        <v>10</v>
      </c>
      <c r="M1140" s="6" t="str">
        <f t="shared" si="385"/>
        <v>53</v>
      </c>
      <c r="N1140" t="str">
        <f t="shared" si="381"/>
        <v>Home</v>
      </c>
      <c r="O1140">
        <v>24</v>
      </c>
      <c r="P1140" t="s">
        <v>425</v>
      </c>
      <c r="Y1140" t="str">
        <f t="shared" si="368"/>
        <v/>
      </c>
      <c r="Z1140" t="str">
        <f t="shared" si="369"/>
        <v/>
      </c>
      <c r="AC1140" t="str">
        <f t="shared" si="388"/>
        <v>Possession</v>
      </c>
      <c r="AD1140" t="str">
        <f t="shared" si="389"/>
        <v/>
      </c>
      <c r="AE1140" t="str">
        <f t="shared" si="390"/>
        <v/>
      </c>
      <c r="AF1140" t="str">
        <f t="shared" si="370"/>
        <v>Defensive</v>
      </c>
      <c r="AG1140">
        <f t="shared" si="376"/>
        <v>18981</v>
      </c>
      <c r="AH1140" t="str">
        <f t="shared" si="377"/>
        <v>Nelson</v>
      </c>
      <c r="AI1140" t="str">
        <f t="shared" si="378"/>
        <v>Velodrome</v>
      </c>
      <c r="AJ1140" s="18">
        <f t="shared" si="371"/>
        <v>4</v>
      </c>
      <c r="AP1140" s="18">
        <f t="shared" si="372"/>
        <v>0</v>
      </c>
      <c r="AQ1140">
        <f t="shared" si="373"/>
        <v>1080</v>
      </c>
      <c r="AR1140" s="23">
        <f t="shared" si="374"/>
        <v>1503</v>
      </c>
      <c r="AS1140">
        <f t="shared" si="379"/>
        <v>1498</v>
      </c>
      <c r="AT1140" s="21">
        <f t="shared" si="380"/>
        <v>1507</v>
      </c>
      <c r="AU1140" s="21"/>
      <c r="AV1140" s="21"/>
      <c r="AW1140" s="21"/>
    </row>
    <row r="1141" spans="1:49" x14ac:dyDescent="0.2">
      <c r="A1141">
        <v>616</v>
      </c>
      <c r="E1141">
        <f t="shared" si="375"/>
        <v>2</v>
      </c>
      <c r="F1141" s="5" t="s">
        <v>485</v>
      </c>
      <c r="G1141" s="5" t="s">
        <v>525</v>
      </c>
      <c r="J1141" t="str">
        <f t="shared" si="382"/>
        <v>10</v>
      </c>
      <c r="K1141" t="str">
        <f t="shared" si="383"/>
        <v>53</v>
      </c>
      <c r="L1141" t="str">
        <f t="shared" si="384"/>
        <v/>
      </c>
      <c r="M1141" s="6" t="str">
        <f t="shared" si="385"/>
        <v/>
      </c>
      <c r="N1141" t="s">
        <v>179</v>
      </c>
      <c r="O1141">
        <v>84</v>
      </c>
      <c r="P1141" t="s">
        <v>424</v>
      </c>
      <c r="Q1141" t="s">
        <v>10</v>
      </c>
      <c r="R1141" t="s">
        <v>200</v>
      </c>
      <c r="S1141" t="s">
        <v>81</v>
      </c>
      <c r="Y1141" t="str">
        <f t="shared" si="368"/>
        <v/>
      </c>
      <c r="Z1141" t="str">
        <f t="shared" si="369"/>
        <v/>
      </c>
      <c r="AC1141" t="str">
        <f t="shared" si="388"/>
        <v>Turnover</v>
      </c>
      <c r="AD1141" t="str">
        <f t="shared" si="389"/>
        <v>Turnover_Takeaway</v>
      </c>
      <c r="AE1141" t="str">
        <f t="shared" si="390"/>
        <v>Takeaway-BattleWon</v>
      </c>
      <c r="AF1141" t="str">
        <f t="shared" si="370"/>
        <v>Defensive</v>
      </c>
      <c r="AG1141">
        <f t="shared" si="376"/>
        <v>18981</v>
      </c>
      <c r="AH1141" t="str">
        <f t="shared" si="377"/>
        <v>Nelson</v>
      </c>
      <c r="AI1141" t="str">
        <f t="shared" si="378"/>
        <v>Velodrome</v>
      </c>
      <c r="AJ1141" s="18">
        <f t="shared" si="371"/>
        <v>0</v>
      </c>
      <c r="AP1141" s="18">
        <f t="shared" si="372"/>
        <v>0</v>
      </c>
      <c r="AQ1141">
        <f t="shared" si="373"/>
        <v>1080</v>
      </c>
      <c r="AR1141" s="23">
        <f t="shared" si="374"/>
        <v>1507</v>
      </c>
      <c r="AS1141">
        <f t="shared" si="379"/>
        <v>1502</v>
      </c>
      <c r="AT1141" s="21">
        <f t="shared" si="380"/>
        <v>1507</v>
      </c>
      <c r="AU1141" s="21"/>
      <c r="AV1141" s="21"/>
      <c r="AW1141" s="21"/>
    </row>
    <row r="1142" spans="1:49" x14ac:dyDescent="0.2">
      <c r="A1142">
        <v>616</v>
      </c>
      <c r="E1142">
        <f t="shared" si="375"/>
        <v>2</v>
      </c>
      <c r="J1142" t="str">
        <f t="shared" si="382"/>
        <v>10</v>
      </c>
      <c r="K1142" t="str">
        <f t="shared" si="383"/>
        <v>53</v>
      </c>
      <c r="L1142" t="str">
        <f t="shared" si="384"/>
        <v/>
      </c>
      <c r="M1142" s="6" t="str">
        <f t="shared" si="385"/>
        <v/>
      </c>
      <c r="N1142" t="str">
        <f t="shared" si="381"/>
        <v>Away</v>
      </c>
      <c r="O1142">
        <v>10</v>
      </c>
      <c r="P1142" t="s">
        <v>425</v>
      </c>
      <c r="Y1142" t="str">
        <f t="shared" si="368"/>
        <v/>
      </c>
      <c r="Z1142" t="str">
        <f t="shared" si="369"/>
        <v/>
      </c>
      <c r="AC1142" t="str">
        <f t="shared" si="388"/>
        <v>Turnover</v>
      </c>
      <c r="AD1142" t="str">
        <f t="shared" si="389"/>
        <v>Turnover_Takeaway</v>
      </c>
      <c r="AE1142" t="str">
        <f t="shared" si="390"/>
        <v>Takeaway-BattleWon</v>
      </c>
      <c r="AF1142" t="str">
        <f t="shared" si="370"/>
        <v>Offensive</v>
      </c>
      <c r="AG1142">
        <f t="shared" si="376"/>
        <v>18981</v>
      </c>
      <c r="AH1142" t="str">
        <f t="shared" si="377"/>
        <v>Nelson</v>
      </c>
      <c r="AI1142" t="str">
        <f t="shared" si="378"/>
        <v>Velodrome</v>
      </c>
      <c r="AJ1142" s="18">
        <f t="shared" si="371"/>
        <v>0</v>
      </c>
      <c r="AP1142" s="18">
        <f t="shared" si="372"/>
        <v>0</v>
      </c>
      <c r="AQ1142">
        <f t="shared" si="373"/>
        <v>1080</v>
      </c>
      <c r="AR1142" s="23">
        <f t="shared" si="374"/>
        <v>1507</v>
      </c>
      <c r="AS1142">
        <f t="shared" si="379"/>
        <v>1502</v>
      </c>
      <c r="AT1142" s="21">
        <f t="shared" si="380"/>
        <v>1507</v>
      </c>
      <c r="AU1142" s="21"/>
      <c r="AV1142" s="21"/>
      <c r="AW1142" s="21"/>
    </row>
    <row r="1143" spans="1:49" x14ac:dyDescent="0.2">
      <c r="A1143">
        <v>617</v>
      </c>
      <c r="E1143">
        <f t="shared" si="375"/>
        <v>2</v>
      </c>
      <c r="F1143" s="5" t="s">
        <v>485</v>
      </c>
      <c r="G1143" s="5" t="s">
        <v>521</v>
      </c>
      <c r="J1143" t="str">
        <f t="shared" si="382"/>
        <v>10</v>
      </c>
      <c r="K1143" t="str">
        <f t="shared" si="383"/>
        <v>49</v>
      </c>
      <c r="L1143" t="str">
        <f t="shared" si="384"/>
        <v/>
      </c>
      <c r="M1143" s="6" t="str">
        <f t="shared" si="385"/>
        <v/>
      </c>
      <c r="N1143" t="s">
        <v>179</v>
      </c>
      <c r="O1143">
        <v>24</v>
      </c>
      <c r="P1143" t="s">
        <v>424</v>
      </c>
      <c r="Q1143" t="s">
        <v>10</v>
      </c>
      <c r="R1143" t="s">
        <v>190</v>
      </c>
      <c r="S1143" t="s">
        <v>422</v>
      </c>
      <c r="Y1143" t="str">
        <f t="shared" si="368"/>
        <v/>
      </c>
      <c r="Z1143" t="str">
        <f t="shared" si="369"/>
        <v/>
      </c>
      <c r="AC1143" t="str">
        <f t="shared" si="388"/>
        <v>Turnover</v>
      </c>
      <c r="AD1143" t="str">
        <f t="shared" si="389"/>
        <v>Turnover_Giveaway</v>
      </c>
      <c r="AE1143" t="str">
        <f t="shared" si="390"/>
        <v>Giveaway-AttemptedZoneClear/Dump</v>
      </c>
      <c r="AF1143" t="str">
        <f t="shared" si="370"/>
        <v>Offensive</v>
      </c>
      <c r="AG1143">
        <f t="shared" si="376"/>
        <v>18981</v>
      </c>
      <c r="AH1143" t="str">
        <f t="shared" si="377"/>
        <v>Nelson</v>
      </c>
      <c r="AI1143" t="str">
        <f t="shared" si="378"/>
        <v>Velodrome</v>
      </c>
      <c r="AJ1143" s="18">
        <f t="shared" si="371"/>
        <v>0</v>
      </c>
      <c r="AP1143" s="18">
        <f t="shared" si="372"/>
        <v>0</v>
      </c>
      <c r="AQ1143">
        <f t="shared" si="373"/>
        <v>1080</v>
      </c>
      <c r="AR1143" s="23">
        <f t="shared" si="374"/>
        <v>1511</v>
      </c>
      <c r="AS1143">
        <f t="shared" si="379"/>
        <v>1506</v>
      </c>
      <c r="AT1143" s="21">
        <f t="shared" si="380"/>
        <v>1511</v>
      </c>
      <c r="AU1143" s="21"/>
      <c r="AV1143" s="21"/>
      <c r="AW1143" s="21"/>
    </row>
    <row r="1144" spans="1:49" x14ac:dyDescent="0.2">
      <c r="A1144">
        <v>618</v>
      </c>
      <c r="E1144">
        <f t="shared" si="375"/>
        <v>2</v>
      </c>
      <c r="F1144" s="5" t="s">
        <v>485</v>
      </c>
      <c r="G1144" s="5" t="s">
        <v>521</v>
      </c>
      <c r="J1144" t="str">
        <f t="shared" si="382"/>
        <v>10</v>
      </c>
      <c r="K1144" t="str">
        <f t="shared" si="383"/>
        <v>49</v>
      </c>
      <c r="L1144" t="str">
        <f t="shared" si="384"/>
        <v/>
      </c>
      <c r="M1144" s="6" t="str">
        <f t="shared" si="385"/>
        <v/>
      </c>
      <c r="N1144" t="s">
        <v>178</v>
      </c>
      <c r="O1144">
        <v>80</v>
      </c>
      <c r="P1144" t="s">
        <v>424</v>
      </c>
      <c r="Q1144" t="s">
        <v>277</v>
      </c>
      <c r="R1144" t="s">
        <v>210</v>
      </c>
      <c r="S1144" t="s">
        <v>93</v>
      </c>
      <c r="Y1144" t="str">
        <f t="shared" si="368"/>
        <v/>
      </c>
      <c r="Z1144" t="str">
        <f t="shared" si="369"/>
        <v/>
      </c>
      <c r="AC1144" t="str">
        <f t="shared" si="388"/>
        <v>Zone_Entry_Exit</v>
      </c>
      <c r="AD1144" t="str">
        <f t="shared" si="389"/>
        <v>Zone_Keepin</v>
      </c>
      <c r="AE1144" t="str">
        <f t="shared" si="390"/>
        <v>Zone-KeepIn</v>
      </c>
      <c r="AF1144" t="str">
        <f t="shared" si="370"/>
        <v>Offensive</v>
      </c>
      <c r="AG1144">
        <f t="shared" si="376"/>
        <v>18981</v>
      </c>
      <c r="AH1144" t="str">
        <f t="shared" si="377"/>
        <v>Nelson</v>
      </c>
      <c r="AI1144" t="str">
        <f t="shared" si="378"/>
        <v>Velodrome</v>
      </c>
      <c r="AJ1144" s="18">
        <f t="shared" si="371"/>
        <v>0</v>
      </c>
      <c r="AP1144" s="18">
        <f t="shared" si="372"/>
        <v>0</v>
      </c>
      <c r="AQ1144">
        <f t="shared" si="373"/>
        <v>1080</v>
      </c>
      <c r="AR1144" s="23">
        <f t="shared" si="374"/>
        <v>1511</v>
      </c>
      <c r="AS1144">
        <f t="shared" si="379"/>
        <v>1506</v>
      </c>
      <c r="AT1144" s="21">
        <f t="shared" si="380"/>
        <v>1511</v>
      </c>
      <c r="AU1144" s="21"/>
      <c r="AV1144" s="21"/>
      <c r="AW1144" s="21"/>
    </row>
    <row r="1145" spans="1:49" x14ac:dyDescent="0.2">
      <c r="A1145">
        <v>619</v>
      </c>
      <c r="E1145">
        <f t="shared" si="375"/>
        <v>2</v>
      </c>
      <c r="F1145" s="5" t="s">
        <v>485</v>
      </c>
      <c r="G1145" s="5" t="s">
        <v>518</v>
      </c>
      <c r="H1145" s="5" t="s">
        <v>485</v>
      </c>
      <c r="I1145" s="7" t="s">
        <v>514</v>
      </c>
      <c r="J1145" t="str">
        <f t="shared" si="382"/>
        <v>10</v>
      </c>
      <c r="K1145" t="str">
        <f t="shared" si="383"/>
        <v>46</v>
      </c>
      <c r="L1145" t="str">
        <f t="shared" si="384"/>
        <v>10</v>
      </c>
      <c r="M1145" s="6" t="str">
        <f t="shared" si="385"/>
        <v>42</v>
      </c>
      <c r="N1145" t="s">
        <v>178</v>
      </c>
      <c r="O1145">
        <v>80</v>
      </c>
      <c r="P1145" t="s">
        <v>424</v>
      </c>
      <c r="Q1145" t="s">
        <v>15</v>
      </c>
      <c r="Y1145" t="str">
        <f t="shared" si="368"/>
        <v/>
      </c>
      <c r="Z1145" t="str">
        <f t="shared" si="369"/>
        <v/>
      </c>
      <c r="AC1145" t="str">
        <f t="shared" si="388"/>
        <v>Possession</v>
      </c>
      <c r="AD1145" t="str">
        <f t="shared" si="389"/>
        <v/>
      </c>
      <c r="AE1145" t="str">
        <f t="shared" si="390"/>
        <v/>
      </c>
      <c r="AF1145" t="str">
        <f t="shared" si="370"/>
        <v>Offensive</v>
      </c>
      <c r="AG1145">
        <f t="shared" si="376"/>
        <v>18981</v>
      </c>
      <c r="AH1145" t="str">
        <f t="shared" si="377"/>
        <v>Nelson</v>
      </c>
      <c r="AI1145" t="str">
        <f t="shared" si="378"/>
        <v>Velodrome</v>
      </c>
      <c r="AJ1145" s="18">
        <f t="shared" si="371"/>
        <v>4</v>
      </c>
      <c r="AP1145" s="18">
        <f t="shared" si="372"/>
        <v>0</v>
      </c>
      <c r="AQ1145">
        <f t="shared" si="373"/>
        <v>1080</v>
      </c>
      <c r="AR1145" s="23">
        <f t="shared" si="374"/>
        <v>1514</v>
      </c>
      <c r="AS1145">
        <f t="shared" si="379"/>
        <v>1509</v>
      </c>
      <c r="AT1145" s="21">
        <f t="shared" si="380"/>
        <v>1518</v>
      </c>
      <c r="AU1145" s="21"/>
      <c r="AV1145" s="21"/>
      <c r="AW1145" s="21"/>
    </row>
    <row r="1146" spans="1:49" x14ac:dyDescent="0.2">
      <c r="A1146">
        <v>619</v>
      </c>
      <c r="E1146">
        <f t="shared" si="375"/>
        <v>2</v>
      </c>
      <c r="J1146" t="str">
        <f t="shared" si="382"/>
        <v>10</v>
      </c>
      <c r="K1146" t="str">
        <f t="shared" si="383"/>
        <v>46</v>
      </c>
      <c r="L1146" t="str">
        <f t="shared" si="384"/>
        <v>10</v>
      </c>
      <c r="M1146" s="6" t="str">
        <f t="shared" si="385"/>
        <v>42</v>
      </c>
      <c r="N1146" t="str">
        <f t="shared" si="381"/>
        <v>Home</v>
      </c>
      <c r="O1146">
        <v>49</v>
      </c>
      <c r="P1146" t="s">
        <v>425</v>
      </c>
      <c r="Y1146" t="str">
        <f t="shared" si="368"/>
        <v/>
      </c>
      <c r="Z1146" t="str">
        <f t="shared" si="369"/>
        <v/>
      </c>
      <c r="AC1146" t="str">
        <f t="shared" si="388"/>
        <v>Possession</v>
      </c>
      <c r="AD1146" t="str">
        <f t="shared" si="389"/>
        <v/>
      </c>
      <c r="AE1146" t="str">
        <f t="shared" si="390"/>
        <v/>
      </c>
      <c r="AF1146" t="str">
        <f t="shared" si="370"/>
        <v>Defensive</v>
      </c>
      <c r="AG1146">
        <f t="shared" si="376"/>
        <v>18981</v>
      </c>
      <c r="AH1146" t="str">
        <f t="shared" si="377"/>
        <v>Nelson</v>
      </c>
      <c r="AI1146" t="str">
        <f t="shared" si="378"/>
        <v>Velodrome</v>
      </c>
      <c r="AJ1146" s="18">
        <f t="shared" si="371"/>
        <v>4</v>
      </c>
      <c r="AP1146" s="18">
        <f t="shared" si="372"/>
        <v>0</v>
      </c>
      <c r="AQ1146">
        <f t="shared" si="373"/>
        <v>1080</v>
      </c>
      <c r="AR1146" s="23">
        <f t="shared" si="374"/>
        <v>1514</v>
      </c>
      <c r="AS1146">
        <f t="shared" si="379"/>
        <v>1509</v>
      </c>
      <c r="AT1146" s="21">
        <f t="shared" si="380"/>
        <v>1518</v>
      </c>
      <c r="AU1146" s="21"/>
      <c r="AV1146" s="21"/>
      <c r="AW1146" s="21"/>
    </row>
    <row r="1147" spans="1:49" x14ac:dyDescent="0.2">
      <c r="A1147">
        <v>620</v>
      </c>
      <c r="E1147">
        <f t="shared" si="375"/>
        <v>2</v>
      </c>
      <c r="F1147" s="5" t="s">
        <v>485</v>
      </c>
      <c r="G1147" s="5" t="s">
        <v>514</v>
      </c>
      <c r="J1147" t="str">
        <f t="shared" si="382"/>
        <v>10</v>
      </c>
      <c r="K1147" t="str">
        <f t="shared" si="383"/>
        <v>42</v>
      </c>
      <c r="L1147" t="str">
        <f t="shared" si="384"/>
        <v/>
      </c>
      <c r="M1147" s="6" t="str">
        <f t="shared" si="385"/>
        <v/>
      </c>
      <c r="N1147" t="s">
        <v>179</v>
      </c>
      <c r="O1147">
        <v>49</v>
      </c>
      <c r="P1147" t="s">
        <v>424</v>
      </c>
      <c r="Q1147" t="s">
        <v>544</v>
      </c>
      <c r="Y1147" t="str">
        <f t="shared" si="368"/>
        <v/>
      </c>
      <c r="Z1147" t="str">
        <f t="shared" si="369"/>
        <v/>
      </c>
      <c r="AC1147" t="str">
        <f t="shared" si="388"/>
        <v>Penalty_Delayed</v>
      </c>
      <c r="AD1147" t="str">
        <f t="shared" si="389"/>
        <v/>
      </c>
      <c r="AE1147" t="str">
        <f t="shared" si="390"/>
        <v/>
      </c>
      <c r="AF1147" t="str">
        <f t="shared" si="370"/>
        <v>Offensive</v>
      </c>
      <c r="AG1147">
        <f t="shared" si="376"/>
        <v>18981</v>
      </c>
      <c r="AH1147" t="str">
        <f t="shared" si="377"/>
        <v>Nelson</v>
      </c>
      <c r="AI1147" t="str">
        <f t="shared" si="378"/>
        <v>Velodrome</v>
      </c>
      <c r="AJ1147" s="18">
        <f t="shared" si="371"/>
        <v>0</v>
      </c>
      <c r="AP1147" s="18">
        <f t="shared" si="372"/>
        <v>0</v>
      </c>
      <c r="AQ1147">
        <f t="shared" si="373"/>
        <v>1080</v>
      </c>
      <c r="AR1147" s="23">
        <f t="shared" si="374"/>
        <v>1518</v>
      </c>
      <c r="AS1147">
        <f t="shared" si="379"/>
        <v>1513</v>
      </c>
      <c r="AT1147" s="21">
        <f t="shared" si="380"/>
        <v>1518</v>
      </c>
      <c r="AU1147" s="21"/>
      <c r="AV1147" s="21"/>
      <c r="AW1147" s="21"/>
    </row>
    <row r="1148" spans="1:49" x14ac:dyDescent="0.2">
      <c r="A1148">
        <v>620</v>
      </c>
      <c r="E1148">
        <f t="shared" si="375"/>
        <v>2</v>
      </c>
      <c r="J1148" t="str">
        <f t="shared" si="382"/>
        <v>10</v>
      </c>
      <c r="K1148" t="str">
        <f t="shared" si="383"/>
        <v>42</v>
      </c>
      <c r="L1148" t="str">
        <f t="shared" si="384"/>
        <v/>
      </c>
      <c r="M1148" s="6" t="str">
        <f t="shared" si="385"/>
        <v/>
      </c>
      <c r="N1148" t="str">
        <f t="shared" si="381"/>
        <v>Away</v>
      </c>
      <c r="O1148">
        <v>80</v>
      </c>
      <c r="P1148" t="s">
        <v>425</v>
      </c>
      <c r="Y1148" t="str">
        <f t="shared" si="368"/>
        <v/>
      </c>
      <c r="Z1148" t="str">
        <f t="shared" si="369"/>
        <v/>
      </c>
      <c r="AC1148" t="str">
        <f t="shared" si="388"/>
        <v>Penalty_Delayed</v>
      </c>
      <c r="AD1148" t="str">
        <f t="shared" si="389"/>
        <v/>
      </c>
      <c r="AE1148" t="str">
        <f t="shared" si="390"/>
        <v/>
      </c>
      <c r="AF1148" t="str">
        <f t="shared" si="370"/>
        <v>Defensive</v>
      </c>
      <c r="AG1148">
        <f t="shared" si="376"/>
        <v>18981</v>
      </c>
      <c r="AH1148" t="str">
        <f t="shared" si="377"/>
        <v>Nelson</v>
      </c>
      <c r="AI1148" t="str">
        <f t="shared" si="378"/>
        <v>Velodrome</v>
      </c>
      <c r="AJ1148" s="18">
        <f t="shared" si="371"/>
        <v>0</v>
      </c>
      <c r="AP1148" s="18">
        <f t="shared" si="372"/>
        <v>0</v>
      </c>
      <c r="AQ1148">
        <f t="shared" si="373"/>
        <v>1080</v>
      </c>
      <c r="AR1148" s="23">
        <f t="shared" si="374"/>
        <v>1518</v>
      </c>
      <c r="AS1148">
        <f t="shared" si="379"/>
        <v>1513</v>
      </c>
      <c r="AT1148" s="21">
        <f t="shared" si="380"/>
        <v>1518</v>
      </c>
      <c r="AU1148" s="21"/>
      <c r="AV1148" s="21"/>
      <c r="AW1148" s="21"/>
    </row>
    <row r="1149" spans="1:49" x14ac:dyDescent="0.2">
      <c r="A1149">
        <v>621</v>
      </c>
      <c r="E1149">
        <f t="shared" si="375"/>
        <v>2</v>
      </c>
      <c r="F1149" s="5" t="s">
        <v>485</v>
      </c>
      <c r="G1149" s="5" t="s">
        <v>508</v>
      </c>
      <c r="J1149" t="str">
        <f t="shared" si="382"/>
        <v>10</v>
      </c>
      <c r="K1149" t="str">
        <f t="shared" si="383"/>
        <v>36</v>
      </c>
      <c r="L1149" t="str">
        <f t="shared" si="384"/>
        <v/>
      </c>
      <c r="M1149" s="6" t="str">
        <f t="shared" si="385"/>
        <v/>
      </c>
      <c r="N1149" t="s">
        <v>179</v>
      </c>
      <c r="O1149">
        <v>49</v>
      </c>
      <c r="P1149" t="s">
        <v>424</v>
      </c>
      <c r="Q1149" t="s">
        <v>12</v>
      </c>
      <c r="R1149" t="s">
        <v>192</v>
      </c>
      <c r="S1149" t="s">
        <v>141</v>
      </c>
      <c r="Y1149" t="str">
        <f t="shared" si="368"/>
        <v/>
      </c>
      <c r="Z1149" t="str">
        <f t="shared" si="369"/>
        <v/>
      </c>
      <c r="AC1149" t="str">
        <f t="shared" si="388"/>
        <v>Penalty</v>
      </c>
      <c r="AD1149" t="str">
        <f t="shared" si="389"/>
        <v>Penalty_Minor</v>
      </c>
      <c r="AE1149" t="str">
        <f t="shared" si="390"/>
        <v>Penalty-Tripping</v>
      </c>
      <c r="AF1149" t="str">
        <f t="shared" si="370"/>
        <v>Offensive</v>
      </c>
      <c r="AG1149">
        <f t="shared" si="376"/>
        <v>18981</v>
      </c>
      <c r="AH1149" t="str">
        <f t="shared" si="377"/>
        <v>Nelson</v>
      </c>
      <c r="AI1149" t="str">
        <f t="shared" si="378"/>
        <v>Velodrome</v>
      </c>
      <c r="AJ1149" s="18">
        <f t="shared" si="371"/>
        <v>0</v>
      </c>
      <c r="AP1149" s="18">
        <f t="shared" si="372"/>
        <v>0</v>
      </c>
      <c r="AQ1149">
        <f t="shared" si="373"/>
        <v>1080</v>
      </c>
      <c r="AR1149" s="23">
        <f t="shared" si="374"/>
        <v>1524</v>
      </c>
      <c r="AS1149">
        <f t="shared" si="379"/>
        <v>1519</v>
      </c>
      <c r="AT1149" s="21">
        <f t="shared" si="380"/>
        <v>1524</v>
      </c>
      <c r="AU1149" s="21"/>
      <c r="AV1149" s="21"/>
      <c r="AW1149" s="21"/>
    </row>
    <row r="1150" spans="1:49" x14ac:dyDescent="0.2">
      <c r="A1150">
        <v>622</v>
      </c>
      <c r="E1150">
        <f t="shared" si="375"/>
        <v>2</v>
      </c>
      <c r="F1150" s="5" t="s">
        <v>485</v>
      </c>
      <c r="G1150" s="5" t="s">
        <v>508</v>
      </c>
      <c r="J1150" t="str">
        <f t="shared" si="382"/>
        <v>10</v>
      </c>
      <c r="K1150" t="str">
        <f t="shared" si="383"/>
        <v>36</v>
      </c>
      <c r="L1150" t="str">
        <f t="shared" si="384"/>
        <v/>
      </c>
      <c r="M1150" s="6" t="str">
        <f t="shared" si="385"/>
        <v/>
      </c>
      <c r="N1150" t="s">
        <v>179</v>
      </c>
      <c r="O1150">
        <v>49</v>
      </c>
      <c r="P1150" t="s">
        <v>424</v>
      </c>
      <c r="Q1150" t="s">
        <v>13</v>
      </c>
      <c r="R1150" t="s">
        <v>204</v>
      </c>
      <c r="S1150" t="s">
        <v>43</v>
      </c>
      <c r="Y1150" t="str">
        <f t="shared" si="368"/>
        <v/>
      </c>
      <c r="Z1150" t="str">
        <f t="shared" si="369"/>
        <v/>
      </c>
      <c r="AC1150" t="str">
        <f t="shared" si="388"/>
        <v>Stoppage</v>
      </c>
      <c r="AD1150" t="str">
        <f t="shared" si="389"/>
        <v>Stoppage_Play</v>
      </c>
      <c r="AE1150" t="str">
        <f t="shared" si="390"/>
        <v>Stoppage-Penalty</v>
      </c>
      <c r="AF1150" t="str">
        <f t="shared" si="370"/>
        <v/>
      </c>
      <c r="AG1150">
        <f t="shared" si="376"/>
        <v>18981</v>
      </c>
      <c r="AH1150" t="str">
        <f t="shared" si="377"/>
        <v>Nelson</v>
      </c>
      <c r="AI1150" t="str">
        <f t="shared" si="378"/>
        <v>Velodrome</v>
      </c>
      <c r="AJ1150" s="18">
        <f t="shared" si="371"/>
        <v>0</v>
      </c>
      <c r="AP1150" s="18">
        <f t="shared" si="372"/>
        <v>0</v>
      </c>
      <c r="AQ1150">
        <f t="shared" si="373"/>
        <v>1080</v>
      </c>
      <c r="AR1150" s="23">
        <f t="shared" si="374"/>
        <v>1524</v>
      </c>
      <c r="AS1150">
        <f t="shared" si="379"/>
        <v>1519</v>
      </c>
      <c r="AT1150" s="21">
        <f t="shared" si="380"/>
        <v>1524</v>
      </c>
      <c r="AU1150" s="21"/>
      <c r="AV1150" s="21"/>
      <c r="AW1150" s="21"/>
    </row>
    <row r="1151" spans="1:49" x14ac:dyDescent="0.2">
      <c r="A1151">
        <v>623</v>
      </c>
      <c r="E1151">
        <f t="shared" si="375"/>
        <v>2</v>
      </c>
      <c r="F1151" s="5" t="s">
        <v>485</v>
      </c>
      <c r="G1151" s="5" t="s">
        <v>508</v>
      </c>
      <c r="H1151" s="5" t="s">
        <v>485</v>
      </c>
      <c r="I1151" s="7" t="s">
        <v>481</v>
      </c>
      <c r="J1151" t="str">
        <f t="shared" si="382"/>
        <v>10</v>
      </c>
      <c r="K1151" t="str">
        <f t="shared" si="383"/>
        <v>36</v>
      </c>
      <c r="L1151" t="str">
        <f t="shared" si="384"/>
        <v>10</v>
      </c>
      <c r="M1151" s="6" t="str">
        <f t="shared" si="385"/>
        <v>05</v>
      </c>
      <c r="N1151" t="s">
        <v>179</v>
      </c>
      <c r="O1151">
        <v>49</v>
      </c>
      <c r="P1151" t="s">
        <v>424</v>
      </c>
      <c r="Q1151" t="s">
        <v>282</v>
      </c>
      <c r="Y1151" t="str">
        <f t="shared" si="368"/>
        <v/>
      </c>
      <c r="Z1151" t="str">
        <f t="shared" si="369"/>
        <v/>
      </c>
      <c r="AC1151" t="str">
        <f t="shared" si="388"/>
        <v>DeadIce</v>
      </c>
      <c r="AD1151" t="str">
        <f t="shared" si="389"/>
        <v/>
      </c>
      <c r="AE1151" t="str">
        <f t="shared" si="390"/>
        <v/>
      </c>
      <c r="AF1151" t="str">
        <f t="shared" si="370"/>
        <v/>
      </c>
      <c r="AG1151">
        <f t="shared" si="376"/>
        <v>18981</v>
      </c>
      <c r="AH1151" t="str">
        <f t="shared" si="377"/>
        <v>Nelson</v>
      </c>
      <c r="AI1151" t="str">
        <f t="shared" si="378"/>
        <v>Velodrome</v>
      </c>
      <c r="AJ1151" s="18">
        <f t="shared" si="371"/>
        <v>31</v>
      </c>
      <c r="AP1151" s="18">
        <f t="shared" si="372"/>
        <v>0</v>
      </c>
      <c r="AQ1151">
        <f t="shared" si="373"/>
        <v>1080</v>
      </c>
      <c r="AR1151" s="23">
        <f t="shared" si="374"/>
        <v>1524</v>
      </c>
      <c r="AS1151">
        <f t="shared" si="379"/>
        <v>1519</v>
      </c>
      <c r="AT1151" s="21">
        <f t="shared" si="380"/>
        <v>1555</v>
      </c>
      <c r="AU1151" s="21"/>
      <c r="AV1151" s="21"/>
      <c r="AW1151" s="21"/>
    </row>
    <row r="1152" spans="1:49" x14ac:dyDescent="0.2">
      <c r="A1152">
        <v>624</v>
      </c>
      <c r="E1152">
        <f t="shared" si="375"/>
        <v>2</v>
      </c>
      <c r="F1152" s="5" t="s">
        <v>485</v>
      </c>
      <c r="G1152" s="5" t="s">
        <v>481</v>
      </c>
      <c r="J1152" t="str">
        <f t="shared" si="382"/>
        <v>10</v>
      </c>
      <c r="K1152" t="str">
        <f t="shared" si="383"/>
        <v>05</v>
      </c>
      <c r="L1152" t="str">
        <f t="shared" si="384"/>
        <v/>
      </c>
      <c r="M1152" s="6" t="str">
        <f t="shared" si="385"/>
        <v/>
      </c>
      <c r="N1152" t="s">
        <v>178</v>
      </c>
      <c r="O1152">
        <v>79</v>
      </c>
      <c r="P1152" t="s">
        <v>424</v>
      </c>
      <c r="Q1152" t="s">
        <v>6</v>
      </c>
      <c r="R1152" t="s">
        <v>197</v>
      </c>
      <c r="Y1152" t="str">
        <f t="shared" si="368"/>
        <v/>
      </c>
      <c r="Z1152" t="str">
        <f t="shared" si="369"/>
        <v/>
      </c>
      <c r="AC1152" t="str">
        <f t="shared" si="388"/>
        <v>Faceoff</v>
      </c>
      <c r="AD1152" t="str">
        <f t="shared" si="389"/>
        <v>Faceoff_AfterPenalty</v>
      </c>
      <c r="AE1152" t="str">
        <f t="shared" si="390"/>
        <v/>
      </c>
      <c r="AF1152" t="str">
        <f t="shared" si="370"/>
        <v>Offensive</v>
      </c>
      <c r="AG1152">
        <f t="shared" si="376"/>
        <v>18981</v>
      </c>
      <c r="AH1152" t="str">
        <f t="shared" si="377"/>
        <v>Nelson</v>
      </c>
      <c r="AI1152" t="str">
        <f t="shared" si="378"/>
        <v>Velodrome</v>
      </c>
      <c r="AJ1152" s="18">
        <f t="shared" si="371"/>
        <v>0</v>
      </c>
      <c r="AP1152" s="18">
        <f t="shared" si="372"/>
        <v>0</v>
      </c>
      <c r="AQ1152">
        <f t="shared" si="373"/>
        <v>1080</v>
      </c>
      <c r="AR1152" s="23">
        <f t="shared" si="374"/>
        <v>1555</v>
      </c>
      <c r="AS1152">
        <f t="shared" si="379"/>
        <v>1550</v>
      </c>
      <c r="AT1152" s="21">
        <f t="shared" si="380"/>
        <v>1555</v>
      </c>
      <c r="AU1152" s="21"/>
      <c r="AV1152" s="21"/>
      <c r="AW1152" s="21"/>
    </row>
    <row r="1153" spans="1:49" x14ac:dyDescent="0.2">
      <c r="A1153">
        <v>624</v>
      </c>
      <c r="E1153">
        <f t="shared" si="375"/>
        <v>2</v>
      </c>
      <c r="J1153" t="str">
        <f t="shared" si="382"/>
        <v>10</v>
      </c>
      <c r="K1153" t="str">
        <f t="shared" si="383"/>
        <v>05</v>
      </c>
      <c r="L1153" t="str">
        <f t="shared" si="384"/>
        <v/>
      </c>
      <c r="M1153" s="6" t="str">
        <f t="shared" si="385"/>
        <v/>
      </c>
      <c r="N1153" t="str">
        <f t="shared" si="381"/>
        <v>Home</v>
      </c>
      <c r="O1153">
        <v>23</v>
      </c>
      <c r="P1153" t="s">
        <v>424</v>
      </c>
      <c r="Y1153" t="str">
        <f t="shared" si="368"/>
        <v/>
      </c>
      <c r="Z1153" t="str">
        <f t="shared" si="369"/>
        <v/>
      </c>
      <c r="AC1153" t="str">
        <f t="shared" si="388"/>
        <v>Faceoff</v>
      </c>
      <c r="AD1153" t="str">
        <f t="shared" si="389"/>
        <v>Faceoff_AfterPenalty</v>
      </c>
      <c r="AE1153" t="str">
        <f t="shared" si="390"/>
        <v/>
      </c>
      <c r="AF1153" t="str">
        <f t="shared" si="370"/>
        <v>Offensive</v>
      </c>
      <c r="AG1153">
        <f t="shared" si="376"/>
        <v>18981</v>
      </c>
      <c r="AH1153" t="str">
        <f t="shared" si="377"/>
        <v>Nelson</v>
      </c>
      <c r="AI1153" t="str">
        <f t="shared" si="378"/>
        <v>Velodrome</v>
      </c>
      <c r="AJ1153" s="18">
        <f t="shared" si="371"/>
        <v>0</v>
      </c>
      <c r="AP1153" s="18">
        <f t="shared" si="372"/>
        <v>0</v>
      </c>
      <c r="AQ1153">
        <f t="shared" si="373"/>
        <v>1080</v>
      </c>
      <c r="AR1153" s="23">
        <f t="shared" si="374"/>
        <v>1555</v>
      </c>
      <c r="AS1153">
        <f t="shared" si="379"/>
        <v>1550</v>
      </c>
      <c r="AT1153" s="21">
        <f t="shared" si="380"/>
        <v>1555</v>
      </c>
      <c r="AU1153" s="21"/>
      <c r="AV1153" s="21"/>
      <c r="AW1153" s="21"/>
    </row>
    <row r="1154" spans="1:49" x14ac:dyDescent="0.2">
      <c r="A1154">
        <v>624</v>
      </c>
      <c r="E1154">
        <f t="shared" si="375"/>
        <v>2</v>
      </c>
      <c r="J1154" t="str">
        <f t="shared" si="382"/>
        <v>10</v>
      </c>
      <c r="K1154" t="str">
        <f t="shared" si="383"/>
        <v>05</v>
      </c>
      <c r="L1154" t="str">
        <f t="shared" si="384"/>
        <v/>
      </c>
      <c r="M1154" s="6" t="str">
        <f t="shared" si="385"/>
        <v/>
      </c>
      <c r="N1154" t="str">
        <f t="shared" si="381"/>
        <v>Home</v>
      </c>
      <c r="O1154">
        <v>14</v>
      </c>
      <c r="P1154" t="s">
        <v>425</v>
      </c>
      <c r="Y1154" t="str">
        <f t="shared" si="368"/>
        <v/>
      </c>
      <c r="Z1154" t="str">
        <f t="shared" si="369"/>
        <v/>
      </c>
      <c r="AC1154" t="str">
        <f t="shared" si="388"/>
        <v>Faceoff</v>
      </c>
      <c r="AD1154" t="str">
        <f t="shared" si="389"/>
        <v>Faceoff_AfterPenalty</v>
      </c>
      <c r="AE1154" t="str">
        <f t="shared" si="390"/>
        <v/>
      </c>
      <c r="AF1154" t="str">
        <f t="shared" si="370"/>
        <v>Defensive</v>
      </c>
      <c r="AG1154">
        <f t="shared" si="376"/>
        <v>18981</v>
      </c>
      <c r="AH1154" t="str">
        <f t="shared" si="377"/>
        <v>Nelson</v>
      </c>
      <c r="AI1154" t="str">
        <f t="shared" si="378"/>
        <v>Velodrome</v>
      </c>
      <c r="AJ1154" s="18">
        <f t="shared" si="371"/>
        <v>0</v>
      </c>
      <c r="AP1154" s="18">
        <f t="shared" si="372"/>
        <v>0</v>
      </c>
      <c r="AQ1154">
        <f t="shared" si="373"/>
        <v>1080</v>
      </c>
      <c r="AR1154" s="23">
        <f t="shared" si="374"/>
        <v>1555</v>
      </c>
      <c r="AS1154">
        <f t="shared" si="379"/>
        <v>1550</v>
      </c>
      <c r="AT1154" s="21">
        <f t="shared" si="380"/>
        <v>1555</v>
      </c>
      <c r="AU1154" s="21"/>
      <c r="AV1154" s="21"/>
      <c r="AW1154" s="21"/>
    </row>
    <row r="1155" spans="1:49" x14ac:dyDescent="0.2">
      <c r="A1155">
        <v>625</v>
      </c>
      <c r="E1155">
        <f t="shared" si="375"/>
        <v>2</v>
      </c>
      <c r="F1155" s="5" t="s">
        <v>485</v>
      </c>
      <c r="G1155" s="5" t="s">
        <v>473</v>
      </c>
      <c r="J1155" t="str">
        <f t="shared" si="382"/>
        <v>10</v>
      </c>
      <c r="K1155" t="str">
        <f t="shared" si="383"/>
        <v>03</v>
      </c>
      <c r="L1155" t="str">
        <f t="shared" si="384"/>
        <v/>
      </c>
      <c r="M1155" s="6" t="str">
        <f t="shared" si="385"/>
        <v/>
      </c>
      <c r="N1155" t="s">
        <v>178</v>
      </c>
      <c r="O1155">
        <v>23</v>
      </c>
      <c r="P1155" t="s">
        <v>424</v>
      </c>
      <c r="Q1155" t="s">
        <v>7</v>
      </c>
      <c r="R1155" t="s">
        <v>198</v>
      </c>
      <c r="S1155" t="s">
        <v>53</v>
      </c>
      <c r="Y1155" t="str">
        <f t="shared" ref="Y1155:Y1218" si="391">IF($N1155="","",IF(X1155="","",IF($N1155="Home",$X1155,IF($X1155="n","n",IF($X1155="d","o",IF($X1155="o","d",""))))))</f>
        <v/>
      </c>
      <c r="Z1155" t="str">
        <f t="shared" ref="Z1155:Z1218" si="392">IF($N1155="","",IF(X1155="","",IF($N1155="Away",$X1155,IF($X1155="n","n",IF($X1155="d","o",IF($X1155="o","d",""))))))</f>
        <v/>
      </c>
      <c r="AC1155" t="str">
        <f t="shared" si="388"/>
        <v>Shot</v>
      </c>
      <c r="AD1155" t="str">
        <f t="shared" si="389"/>
        <v>Shot_Missed</v>
      </c>
      <c r="AE1155" t="str">
        <f t="shared" si="390"/>
        <v>Shot-Wrist</v>
      </c>
      <c r="AF1155" t="str">
        <f t="shared" ref="AF1155:AF1218" si="393">IF(AND(P1155="e",OR(AC1155="Save",AD1155="Turnover_Takeaway",AD1155="Play_Defensive")),"Defensive",IF(AND(P1155="o",OR(AC1155="Save",AD1155="Turnover_Takeaway",AD1155="Play_Defensive")),"Offensive",IF(OR(AC1155="Deadice",AC1155="Stoppage",AC1155="Intermission"),"",IF(P1155="e","Offensive",IF(P1155="o","Defensive","")))))</f>
        <v>Offensive</v>
      </c>
      <c r="AG1155">
        <f t="shared" si="376"/>
        <v>18981</v>
      </c>
      <c r="AH1155" t="str">
        <f t="shared" si="377"/>
        <v>Nelson</v>
      </c>
      <c r="AI1155" t="str">
        <f t="shared" si="378"/>
        <v>Velodrome</v>
      </c>
      <c r="AJ1155" s="18">
        <f t="shared" ref="AJ1155:AJ1218" si="394">IF(AND(L1155="",M1155=""),0,((J1155*60)+K1155)-((L1155*60)+M1155))</f>
        <v>0</v>
      </c>
      <c r="AP1155" s="18">
        <f t="shared" ref="AP1155:AP1218" si="395">SUMIFS(AJ1155:AJ1155,Q1155:Q1155,"=Intermission")</f>
        <v>0</v>
      </c>
      <c r="AQ1155">
        <f t="shared" ref="AQ1155:AQ1218" si="396">IF(E1155=1,0,IF(E1155=2,1080+AP1155,IF(E1155=3,(1080*2)+AP1155,0)))</f>
        <v>1080</v>
      </c>
      <c r="AR1155" s="23">
        <f t="shared" ref="AR1155:AR1218" si="397">IF(Q1155="Intermission",AR1154,((1080)-((J1155*60)+K1155))+AQ1155)</f>
        <v>1557</v>
      </c>
      <c r="AS1155">
        <f t="shared" si="379"/>
        <v>1552</v>
      </c>
      <c r="AT1155" s="21">
        <f t="shared" si="380"/>
        <v>1557</v>
      </c>
      <c r="AU1155" s="21"/>
      <c r="AV1155" s="21"/>
      <c r="AW1155" s="21"/>
    </row>
    <row r="1156" spans="1:49" x14ac:dyDescent="0.2">
      <c r="A1156">
        <v>625</v>
      </c>
      <c r="E1156">
        <f t="shared" ref="E1156:E1219" si="398">IF(Q1156="Intermission",E1155+1,E1155)</f>
        <v>2</v>
      </c>
      <c r="J1156" t="str">
        <f t="shared" si="382"/>
        <v>10</v>
      </c>
      <c r="K1156" t="str">
        <f t="shared" si="383"/>
        <v>03</v>
      </c>
      <c r="L1156" t="str">
        <f t="shared" si="384"/>
        <v/>
      </c>
      <c r="M1156" s="6" t="str">
        <f t="shared" si="385"/>
        <v/>
      </c>
      <c r="N1156" t="str">
        <f t="shared" si="381"/>
        <v>Home</v>
      </c>
      <c r="O1156">
        <v>61</v>
      </c>
      <c r="P1156" t="s">
        <v>425</v>
      </c>
      <c r="Y1156" t="str">
        <f t="shared" si="391"/>
        <v/>
      </c>
      <c r="Z1156" t="str">
        <f t="shared" si="392"/>
        <v/>
      </c>
      <c r="AC1156" t="str">
        <f t="shared" si="388"/>
        <v>Shot</v>
      </c>
      <c r="AD1156" t="str">
        <f t="shared" si="389"/>
        <v>Shot_Missed</v>
      </c>
      <c r="AE1156" t="str">
        <f t="shared" si="390"/>
        <v>Shot-Wrist</v>
      </c>
      <c r="AF1156" t="str">
        <f t="shared" si="393"/>
        <v>Defensive</v>
      </c>
      <c r="AG1156">
        <f t="shared" ref="AG1156:AG1219" si="399">AG1155</f>
        <v>18981</v>
      </c>
      <c r="AH1156" t="str">
        <f t="shared" ref="AH1156:AH1219" si="400">AH1155</f>
        <v>Nelson</v>
      </c>
      <c r="AI1156" t="str">
        <f t="shared" ref="AI1156:AI1219" si="401">AI1155</f>
        <v>Velodrome</v>
      </c>
      <c r="AJ1156" s="18">
        <f t="shared" si="394"/>
        <v>0</v>
      </c>
      <c r="AP1156" s="18">
        <f t="shared" si="395"/>
        <v>0</v>
      </c>
      <c r="AQ1156">
        <f t="shared" si="396"/>
        <v>1080</v>
      </c>
      <c r="AR1156" s="23">
        <f t="shared" si="397"/>
        <v>1557</v>
      </c>
      <c r="AS1156">
        <f t="shared" ref="AS1156:AS1219" si="402">IF(AR1156&lt;5,0,AR1156-5)</f>
        <v>1552</v>
      </c>
      <c r="AT1156" s="21">
        <f t="shared" ref="AT1156:AT1219" si="403">AS1156+AJ1156+5</f>
        <v>1557</v>
      </c>
      <c r="AU1156" s="21"/>
      <c r="AV1156" s="21"/>
      <c r="AW1156" s="21"/>
    </row>
    <row r="1157" spans="1:49" x14ac:dyDescent="0.2">
      <c r="A1157">
        <v>626</v>
      </c>
      <c r="E1157">
        <f t="shared" si="398"/>
        <v>2</v>
      </c>
      <c r="F1157" s="5" t="s">
        <v>485</v>
      </c>
      <c r="G1157" s="5" t="s">
        <v>471</v>
      </c>
      <c r="J1157" t="str">
        <f t="shared" si="382"/>
        <v>10</v>
      </c>
      <c r="K1157" t="str">
        <f t="shared" si="383"/>
        <v>01</v>
      </c>
      <c r="L1157" t="str">
        <f t="shared" si="384"/>
        <v/>
      </c>
      <c r="M1157" s="6" t="str">
        <f t="shared" si="385"/>
        <v/>
      </c>
      <c r="N1157" t="s">
        <v>179</v>
      </c>
      <c r="O1157">
        <v>39</v>
      </c>
      <c r="P1157" t="s">
        <v>424</v>
      </c>
      <c r="Q1157" t="s">
        <v>13</v>
      </c>
      <c r="R1157" t="s">
        <v>204</v>
      </c>
      <c r="S1157" t="s">
        <v>110</v>
      </c>
      <c r="Y1157" t="str">
        <f t="shared" si="391"/>
        <v/>
      </c>
      <c r="Z1157" t="str">
        <f t="shared" si="392"/>
        <v/>
      </c>
      <c r="AC1157" t="str">
        <f t="shared" si="388"/>
        <v>Stoppage</v>
      </c>
      <c r="AD1157" t="str">
        <f t="shared" si="389"/>
        <v>Stoppage_Play</v>
      </c>
      <c r="AE1157" t="str">
        <f t="shared" si="390"/>
        <v>Stoppage-GoalieStoppage</v>
      </c>
      <c r="AF1157" t="str">
        <f t="shared" si="393"/>
        <v/>
      </c>
      <c r="AG1157">
        <f t="shared" si="399"/>
        <v>18981</v>
      </c>
      <c r="AH1157" t="str">
        <f t="shared" si="400"/>
        <v>Nelson</v>
      </c>
      <c r="AI1157" t="str">
        <f t="shared" si="401"/>
        <v>Velodrome</v>
      </c>
      <c r="AJ1157" s="18">
        <f t="shared" si="394"/>
        <v>0</v>
      </c>
      <c r="AP1157" s="18">
        <f t="shared" si="395"/>
        <v>0</v>
      </c>
      <c r="AQ1157">
        <f t="shared" si="396"/>
        <v>1080</v>
      </c>
      <c r="AR1157" s="23">
        <f t="shared" si="397"/>
        <v>1559</v>
      </c>
      <c r="AS1157">
        <f t="shared" si="402"/>
        <v>1554</v>
      </c>
      <c r="AT1157" s="21">
        <f t="shared" si="403"/>
        <v>1559</v>
      </c>
      <c r="AU1157" s="21"/>
      <c r="AV1157" s="21"/>
      <c r="AW1157" s="21"/>
    </row>
    <row r="1158" spans="1:49" x14ac:dyDescent="0.2">
      <c r="A1158">
        <v>627</v>
      </c>
      <c r="E1158">
        <f t="shared" si="398"/>
        <v>2</v>
      </c>
      <c r="F1158" s="5" t="s">
        <v>485</v>
      </c>
      <c r="G1158" s="5" t="s">
        <v>471</v>
      </c>
      <c r="H1158" s="5" t="s">
        <v>537</v>
      </c>
      <c r="I1158" s="7" t="s">
        <v>519</v>
      </c>
      <c r="J1158" t="str">
        <f t="shared" si="382"/>
        <v>10</v>
      </c>
      <c r="K1158" t="str">
        <f t="shared" si="383"/>
        <v>01</v>
      </c>
      <c r="L1158" t="str">
        <f t="shared" si="384"/>
        <v>9</v>
      </c>
      <c r="M1158" s="6" t="str">
        <f t="shared" si="385"/>
        <v>47</v>
      </c>
      <c r="N1158" t="s">
        <v>179</v>
      </c>
      <c r="O1158">
        <v>39</v>
      </c>
      <c r="P1158" t="s">
        <v>424</v>
      </c>
      <c r="Q1158" t="s">
        <v>282</v>
      </c>
      <c r="Y1158" t="str">
        <f t="shared" si="391"/>
        <v/>
      </c>
      <c r="Z1158" t="str">
        <f t="shared" si="392"/>
        <v/>
      </c>
      <c r="AC1158" t="str">
        <f t="shared" si="388"/>
        <v>DeadIce</v>
      </c>
      <c r="AD1158" t="str">
        <f t="shared" si="389"/>
        <v/>
      </c>
      <c r="AE1158" t="str">
        <f t="shared" si="390"/>
        <v/>
      </c>
      <c r="AF1158" t="str">
        <f t="shared" si="393"/>
        <v/>
      </c>
      <c r="AG1158">
        <f t="shared" si="399"/>
        <v>18981</v>
      </c>
      <c r="AH1158" t="str">
        <f t="shared" si="400"/>
        <v>Nelson</v>
      </c>
      <c r="AI1158" t="str">
        <f t="shared" si="401"/>
        <v>Velodrome</v>
      </c>
      <c r="AJ1158" s="18">
        <f t="shared" si="394"/>
        <v>14</v>
      </c>
      <c r="AP1158" s="18">
        <f t="shared" si="395"/>
        <v>0</v>
      </c>
      <c r="AQ1158">
        <f t="shared" si="396"/>
        <v>1080</v>
      </c>
      <c r="AR1158" s="23">
        <f t="shared" si="397"/>
        <v>1559</v>
      </c>
      <c r="AS1158">
        <f t="shared" si="402"/>
        <v>1554</v>
      </c>
      <c r="AT1158" s="21">
        <f t="shared" si="403"/>
        <v>1573</v>
      </c>
      <c r="AU1158" s="21"/>
      <c r="AV1158" s="21"/>
      <c r="AW1158" s="21"/>
    </row>
    <row r="1159" spans="1:49" x14ac:dyDescent="0.2">
      <c r="A1159">
        <v>628</v>
      </c>
      <c r="E1159">
        <f t="shared" si="398"/>
        <v>2</v>
      </c>
      <c r="F1159" s="5" t="s">
        <v>537</v>
      </c>
      <c r="G1159" s="5" t="s">
        <v>519</v>
      </c>
      <c r="J1159" t="str">
        <f t="shared" si="382"/>
        <v>9</v>
      </c>
      <c r="K1159" t="str">
        <f t="shared" si="383"/>
        <v>47</v>
      </c>
      <c r="L1159" t="str">
        <f t="shared" si="384"/>
        <v/>
      </c>
      <c r="M1159" s="6" t="str">
        <f t="shared" si="385"/>
        <v/>
      </c>
      <c r="N1159" t="s">
        <v>178</v>
      </c>
      <c r="O1159">
        <v>79</v>
      </c>
      <c r="P1159" t="s">
        <v>424</v>
      </c>
      <c r="Q1159" t="s">
        <v>6</v>
      </c>
      <c r="R1159" t="s">
        <v>275</v>
      </c>
      <c r="Y1159" t="str">
        <f t="shared" si="391"/>
        <v/>
      </c>
      <c r="Z1159" t="str">
        <f t="shared" si="392"/>
        <v/>
      </c>
      <c r="AC1159" t="str">
        <f t="shared" si="388"/>
        <v>Faceoff</v>
      </c>
      <c r="AD1159" t="str">
        <f t="shared" si="389"/>
        <v>Faceoff_AfterStoppage</v>
      </c>
      <c r="AE1159" t="str">
        <f t="shared" si="390"/>
        <v/>
      </c>
      <c r="AF1159" t="str">
        <f t="shared" si="393"/>
        <v>Offensive</v>
      </c>
      <c r="AG1159">
        <f t="shared" si="399"/>
        <v>18981</v>
      </c>
      <c r="AH1159" t="str">
        <f t="shared" si="400"/>
        <v>Nelson</v>
      </c>
      <c r="AI1159" t="str">
        <f t="shared" si="401"/>
        <v>Velodrome</v>
      </c>
      <c r="AJ1159" s="18">
        <f t="shared" si="394"/>
        <v>0</v>
      </c>
      <c r="AP1159" s="18">
        <f t="shared" si="395"/>
        <v>0</v>
      </c>
      <c r="AQ1159">
        <f t="shared" si="396"/>
        <v>1080</v>
      </c>
      <c r="AR1159" s="23">
        <f t="shared" si="397"/>
        <v>1573</v>
      </c>
      <c r="AS1159">
        <f t="shared" si="402"/>
        <v>1568</v>
      </c>
      <c r="AT1159" s="21">
        <f t="shared" si="403"/>
        <v>1573</v>
      </c>
      <c r="AU1159" s="21"/>
      <c r="AV1159" s="21"/>
      <c r="AW1159" s="21"/>
    </row>
    <row r="1160" spans="1:49" x14ac:dyDescent="0.2">
      <c r="A1160">
        <v>628</v>
      </c>
      <c r="E1160">
        <f t="shared" si="398"/>
        <v>2</v>
      </c>
      <c r="J1160" t="str">
        <f t="shared" si="382"/>
        <v>9</v>
      </c>
      <c r="K1160" t="str">
        <f t="shared" si="383"/>
        <v>47</v>
      </c>
      <c r="L1160" t="str">
        <f t="shared" si="384"/>
        <v/>
      </c>
      <c r="M1160" s="6" t="str">
        <f t="shared" si="385"/>
        <v/>
      </c>
      <c r="N1160" t="str">
        <f t="shared" ref="N1160:N1221" si="404">IF(A1160=A1159,N1159,"")</f>
        <v>Home</v>
      </c>
      <c r="O1160">
        <v>23</v>
      </c>
      <c r="P1160" t="s">
        <v>424</v>
      </c>
      <c r="Y1160" t="str">
        <f t="shared" si="391"/>
        <v/>
      </c>
      <c r="Z1160" t="str">
        <f t="shared" si="392"/>
        <v/>
      </c>
      <c r="AC1160" t="str">
        <f t="shared" si="388"/>
        <v>Faceoff</v>
      </c>
      <c r="AD1160" t="str">
        <f t="shared" si="389"/>
        <v>Faceoff_AfterStoppage</v>
      </c>
      <c r="AE1160" t="str">
        <f t="shared" si="390"/>
        <v/>
      </c>
      <c r="AF1160" t="str">
        <f t="shared" si="393"/>
        <v>Offensive</v>
      </c>
      <c r="AG1160">
        <f t="shared" si="399"/>
        <v>18981</v>
      </c>
      <c r="AH1160" t="str">
        <f t="shared" si="400"/>
        <v>Nelson</v>
      </c>
      <c r="AI1160" t="str">
        <f t="shared" si="401"/>
        <v>Velodrome</v>
      </c>
      <c r="AJ1160" s="18">
        <f t="shared" si="394"/>
        <v>0</v>
      </c>
      <c r="AP1160" s="18">
        <f t="shared" si="395"/>
        <v>0</v>
      </c>
      <c r="AQ1160">
        <f t="shared" si="396"/>
        <v>1080</v>
      </c>
      <c r="AR1160" s="23">
        <f t="shared" si="397"/>
        <v>1573</v>
      </c>
      <c r="AS1160">
        <f t="shared" si="402"/>
        <v>1568</v>
      </c>
      <c r="AT1160" s="21">
        <f t="shared" si="403"/>
        <v>1573</v>
      </c>
      <c r="AU1160" s="21"/>
      <c r="AV1160" s="21"/>
      <c r="AW1160" s="21"/>
    </row>
    <row r="1161" spans="1:49" x14ac:dyDescent="0.2">
      <c r="A1161">
        <v>628</v>
      </c>
      <c r="E1161">
        <f t="shared" si="398"/>
        <v>2</v>
      </c>
      <c r="J1161" t="str">
        <f t="shared" ref="J1161:J1224" si="405">IF(F1161&lt;&gt;"",F1161,IF($A1161=$A1160,J1160,J1161))</f>
        <v>9</v>
      </c>
      <c r="K1161" t="str">
        <f t="shared" ref="K1161:K1224" si="406">IF($A1161=$A1160,K1160,G1161)</f>
        <v>47</v>
      </c>
      <c r="L1161" t="str">
        <f t="shared" ref="L1161:L1224" si="407">IF(H1161&lt;&gt;"",H1161,IF($A1161=$A1160,L1160,""))</f>
        <v/>
      </c>
      <c r="M1161" s="6" t="str">
        <f t="shared" ref="M1161:M1224" si="408">IF(I1161&lt;&gt;"",I1161,IF($A1161=$A1160,M1160,""))</f>
        <v/>
      </c>
      <c r="N1161" t="str">
        <f t="shared" si="404"/>
        <v>Home</v>
      </c>
      <c r="O1161">
        <v>14</v>
      </c>
      <c r="P1161" t="s">
        <v>425</v>
      </c>
      <c r="Y1161" t="str">
        <f t="shared" si="391"/>
        <v/>
      </c>
      <c r="Z1161" t="str">
        <f t="shared" si="392"/>
        <v/>
      </c>
      <c r="AC1161" t="str">
        <f t="shared" si="388"/>
        <v>Faceoff</v>
      </c>
      <c r="AD1161" t="str">
        <f t="shared" si="389"/>
        <v>Faceoff_AfterStoppage</v>
      </c>
      <c r="AE1161" t="str">
        <f t="shared" si="390"/>
        <v/>
      </c>
      <c r="AF1161" t="str">
        <f t="shared" si="393"/>
        <v>Defensive</v>
      </c>
      <c r="AG1161">
        <f t="shared" si="399"/>
        <v>18981</v>
      </c>
      <c r="AH1161" t="str">
        <f t="shared" si="400"/>
        <v>Nelson</v>
      </c>
      <c r="AI1161" t="str">
        <f t="shared" si="401"/>
        <v>Velodrome</v>
      </c>
      <c r="AJ1161" s="18">
        <f t="shared" si="394"/>
        <v>0</v>
      </c>
      <c r="AP1161" s="18">
        <f t="shared" si="395"/>
        <v>0</v>
      </c>
      <c r="AQ1161">
        <f t="shared" si="396"/>
        <v>1080</v>
      </c>
      <c r="AR1161" s="23">
        <f t="shared" si="397"/>
        <v>1573</v>
      </c>
      <c r="AS1161">
        <f t="shared" si="402"/>
        <v>1568</v>
      </c>
      <c r="AT1161" s="21">
        <f t="shared" si="403"/>
        <v>1573</v>
      </c>
      <c r="AU1161" s="21"/>
      <c r="AV1161" s="21"/>
      <c r="AW1161" s="21"/>
    </row>
    <row r="1162" spans="1:49" x14ac:dyDescent="0.2">
      <c r="A1162">
        <v>629</v>
      </c>
      <c r="E1162">
        <f t="shared" si="398"/>
        <v>2</v>
      </c>
      <c r="F1162" s="5" t="s">
        <v>537</v>
      </c>
      <c r="G1162" s="5" t="s">
        <v>517</v>
      </c>
      <c r="J1162" t="str">
        <f t="shared" si="405"/>
        <v>9</v>
      </c>
      <c r="K1162" t="str">
        <f t="shared" si="406"/>
        <v>45</v>
      </c>
      <c r="L1162" t="str">
        <f t="shared" si="407"/>
        <v/>
      </c>
      <c r="M1162" s="6" t="str">
        <f t="shared" si="408"/>
        <v/>
      </c>
      <c r="N1162" t="s">
        <v>178</v>
      </c>
      <c r="O1162">
        <v>23</v>
      </c>
      <c r="P1162" t="s">
        <v>424</v>
      </c>
      <c r="Q1162" t="s">
        <v>247</v>
      </c>
      <c r="R1162" t="s">
        <v>445</v>
      </c>
      <c r="S1162" t="s">
        <v>558</v>
      </c>
      <c r="Y1162" t="str">
        <f t="shared" si="391"/>
        <v/>
      </c>
      <c r="Z1162" t="str">
        <f t="shared" si="392"/>
        <v/>
      </c>
      <c r="AC1162" t="str">
        <f t="shared" si="388"/>
        <v>Play</v>
      </c>
      <c r="AD1162" t="str">
        <f t="shared" si="389"/>
        <v>Play_Offensive</v>
      </c>
      <c r="AE1162" t="str">
        <f t="shared" si="390"/>
        <v>Play-Dump/RimInZone</v>
      </c>
      <c r="AF1162" t="str">
        <f t="shared" si="393"/>
        <v>Offensive</v>
      </c>
      <c r="AG1162">
        <f t="shared" si="399"/>
        <v>18981</v>
      </c>
      <c r="AH1162" t="str">
        <f t="shared" si="400"/>
        <v>Nelson</v>
      </c>
      <c r="AI1162" t="str">
        <f t="shared" si="401"/>
        <v>Velodrome</v>
      </c>
      <c r="AJ1162" s="18">
        <f t="shared" si="394"/>
        <v>0</v>
      </c>
      <c r="AP1162" s="18">
        <f t="shared" si="395"/>
        <v>0</v>
      </c>
      <c r="AQ1162">
        <f t="shared" si="396"/>
        <v>1080</v>
      </c>
      <c r="AR1162" s="23">
        <f t="shared" si="397"/>
        <v>1575</v>
      </c>
      <c r="AS1162">
        <f t="shared" si="402"/>
        <v>1570</v>
      </c>
      <c r="AT1162" s="21">
        <f t="shared" si="403"/>
        <v>1575</v>
      </c>
      <c r="AU1162" s="21"/>
      <c r="AV1162" s="21"/>
      <c r="AW1162" s="21"/>
    </row>
    <row r="1163" spans="1:49" x14ac:dyDescent="0.2">
      <c r="A1163">
        <v>630</v>
      </c>
      <c r="E1163">
        <f t="shared" si="398"/>
        <v>2</v>
      </c>
      <c r="F1163" s="5" t="s">
        <v>537</v>
      </c>
      <c r="G1163" s="5" t="s">
        <v>511</v>
      </c>
      <c r="H1163" s="5" t="s">
        <v>537</v>
      </c>
      <c r="I1163" s="7" t="s">
        <v>507</v>
      </c>
      <c r="J1163" t="str">
        <f t="shared" si="405"/>
        <v>9</v>
      </c>
      <c r="K1163" t="str">
        <f t="shared" si="406"/>
        <v>39</v>
      </c>
      <c r="L1163" t="str">
        <f t="shared" si="407"/>
        <v>9</v>
      </c>
      <c r="M1163" s="6" t="str">
        <f t="shared" si="408"/>
        <v>35</v>
      </c>
      <c r="N1163" t="s">
        <v>178</v>
      </c>
      <c r="O1163">
        <v>16</v>
      </c>
      <c r="P1163" t="s">
        <v>424</v>
      </c>
      <c r="Q1163" t="s">
        <v>15</v>
      </c>
      <c r="Y1163" t="str">
        <f t="shared" si="391"/>
        <v/>
      </c>
      <c r="Z1163" t="str">
        <f t="shared" si="392"/>
        <v/>
      </c>
      <c r="AC1163" t="str">
        <f t="shared" si="388"/>
        <v>Possession</v>
      </c>
      <c r="AD1163" t="str">
        <f t="shared" si="389"/>
        <v/>
      </c>
      <c r="AE1163" t="str">
        <f t="shared" si="390"/>
        <v/>
      </c>
      <c r="AF1163" t="str">
        <f t="shared" si="393"/>
        <v>Offensive</v>
      </c>
      <c r="AG1163">
        <f t="shared" si="399"/>
        <v>18981</v>
      </c>
      <c r="AH1163" t="str">
        <f t="shared" si="400"/>
        <v>Nelson</v>
      </c>
      <c r="AI1163" t="str">
        <f t="shared" si="401"/>
        <v>Velodrome</v>
      </c>
      <c r="AJ1163" s="18">
        <f t="shared" si="394"/>
        <v>4</v>
      </c>
      <c r="AP1163" s="18">
        <f t="shared" si="395"/>
        <v>0</v>
      </c>
      <c r="AQ1163">
        <f t="shared" si="396"/>
        <v>1080</v>
      </c>
      <c r="AR1163" s="23">
        <f t="shared" si="397"/>
        <v>1581</v>
      </c>
      <c r="AS1163">
        <f t="shared" si="402"/>
        <v>1576</v>
      </c>
      <c r="AT1163" s="21">
        <f t="shared" si="403"/>
        <v>1585</v>
      </c>
      <c r="AU1163" s="21"/>
      <c r="AV1163" s="21"/>
      <c r="AW1163" s="21"/>
    </row>
    <row r="1164" spans="1:49" x14ac:dyDescent="0.2">
      <c r="A1164">
        <v>630</v>
      </c>
      <c r="E1164">
        <f t="shared" si="398"/>
        <v>2</v>
      </c>
      <c r="J1164" t="str">
        <f t="shared" si="405"/>
        <v>9</v>
      </c>
      <c r="K1164" t="str">
        <f t="shared" si="406"/>
        <v>39</v>
      </c>
      <c r="L1164" t="str">
        <f t="shared" si="407"/>
        <v>9</v>
      </c>
      <c r="M1164" s="6" t="str">
        <f t="shared" si="408"/>
        <v>35</v>
      </c>
      <c r="N1164" t="str">
        <f t="shared" si="404"/>
        <v>Home</v>
      </c>
      <c r="O1164">
        <v>52</v>
      </c>
      <c r="P1164" t="s">
        <v>425</v>
      </c>
      <c r="Y1164" t="str">
        <f t="shared" si="391"/>
        <v/>
      </c>
      <c r="Z1164" t="str">
        <f t="shared" si="392"/>
        <v/>
      </c>
      <c r="AC1164" t="str">
        <f t="shared" si="388"/>
        <v>Possession</v>
      </c>
      <c r="AD1164" t="str">
        <f t="shared" si="389"/>
        <v/>
      </c>
      <c r="AE1164" t="str">
        <f t="shared" si="390"/>
        <v/>
      </c>
      <c r="AF1164" t="str">
        <f t="shared" si="393"/>
        <v>Defensive</v>
      </c>
      <c r="AG1164">
        <f t="shared" si="399"/>
        <v>18981</v>
      </c>
      <c r="AH1164" t="str">
        <f t="shared" si="400"/>
        <v>Nelson</v>
      </c>
      <c r="AI1164" t="str">
        <f t="shared" si="401"/>
        <v>Velodrome</v>
      </c>
      <c r="AJ1164" s="18">
        <f t="shared" si="394"/>
        <v>4</v>
      </c>
      <c r="AP1164" s="18">
        <f t="shared" si="395"/>
        <v>0</v>
      </c>
      <c r="AQ1164">
        <f t="shared" si="396"/>
        <v>1080</v>
      </c>
      <c r="AR1164" s="23">
        <f t="shared" si="397"/>
        <v>1581</v>
      </c>
      <c r="AS1164">
        <f t="shared" si="402"/>
        <v>1576</v>
      </c>
      <c r="AT1164" s="21">
        <f t="shared" si="403"/>
        <v>1585</v>
      </c>
      <c r="AU1164" s="21"/>
      <c r="AV1164" s="21"/>
      <c r="AW1164" s="21"/>
    </row>
    <row r="1165" spans="1:49" x14ac:dyDescent="0.2">
      <c r="A1165">
        <v>631</v>
      </c>
      <c r="E1165">
        <f t="shared" si="398"/>
        <v>2</v>
      </c>
      <c r="F1165" s="5" t="s">
        <v>537</v>
      </c>
      <c r="G1165" s="5" t="s">
        <v>507</v>
      </c>
      <c r="J1165" t="str">
        <f t="shared" si="405"/>
        <v>9</v>
      </c>
      <c r="K1165" t="str">
        <f t="shared" si="406"/>
        <v>35</v>
      </c>
      <c r="L1165" t="str">
        <f t="shared" si="407"/>
        <v/>
      </c>
      <c r="M1165" s="6" t="str">
        <f t="shared" si="408"/>
        <v/>
      </c>
      <c r="N1165" t="s">
        <v>178</v>
      </c>
      <c r="O1165">
        <v>16</v>
      </c>
      <c r="P1165" t="s">
        <v>424</v>
      </c>
      <c r="Q1165" t="s">
        <v>7</v>
      </c>
      <c r="R1165" t="s">
        <v>222</v>
      </c>
      <c r="S1165" t="s">
        <v>58</v>
      </c>
      <c r="Y1165" t="str">
        <f t="shared" si="391"/>
        <v/>
      </c>
      <c r="Z1165" t="str">
        <f t="shared" si="392"/>
        <v/>
      </c>
      <c r="AC1165" t="str">
        <f t="shared" si="388"/>
        <v>Shot</v>
      </c>
      <c r="AD1165" t="str">
        <f t="shared" si="389"/>
        <v>Shot_OnNetSaved</v>
      </c>
      <c r="AE1165" t="str">
        <f t="shared" si="390"/>
        <v>Shot-WrapAround</v>
      </c>
      <c r="AF1165" t="str">
        <f t="shared" si="393"/>
        <v>Offensive</v>
      </c>
      <c r="AG1165">
        <f t="shared" si="399"/>
        <v>18981</v>
      </c>
      <c r="AH1165" t="str">
        <f t="shared" si="400"/>
        <v>Nelson</v>
      </c>
      <c r="AI1165" t="str">
        <f t="shared" si="401"/>
        <v>Velodrome</v>
      </c>
      <c r="AJ1165" s="18">
        <f t="shared" si="394"/>
        <v>0</v>
      </c>
      <c r="AP1165" s="18">
        <f t="shared" si="395"/>
        <v>0</v>
      </c>
      <c r="AQ1165">
        <f t="shared" si="396"/>
        <v>1080</v>
      </c>
      <c r="AR1165" s="23">
        <f t="shared" si="397"/>
        <v>1585</v>
      </c>
      <c r="AS1165">
        <f t="shared" si="402"/>
        <v>1580</v>
      </c>
      <c r="AT1165" s="21">
        <f t="shared" si="403"/>
        <v>1585</v>
      </c>
      <c r="AU1165" s="21"/>
      <c r="AV1165" s="21"/>
      <c r="AW1165" s="21"/>
    </row>
    <row r="1166" spans="1:49" x14ac:dyDescent="0.2">
      <c r="A1166">
        <v>631</v>
      </c>
      <c r="E1166">
        <f t="shared" si="398"/>
        <v>2</v>
      </c>
      <c r="J1166" t="str">
        <f t="shared" si="405"/>
        <v>9</v>
      </c>
      <c r="K1166" t="str">
        <f t="shared" si="406"/>
        <v>35</v>
      </c>
      <c r="L1166" t="str">
        <f t="shared" si="407"/>
        <v/>
      </c>
      <c r="M1166" s="6" t="str">
        <f t="shared" si="408"/>
        <v/>
      </c>
      <c r="N1166" t="str">
        <f t="shared" si="404"/>
        <v>Home</v>
      </c>
      <c r="O1166">
        <v>39</v>
      </c>
      <c r="P1166" t="s">
        <v>425</v>
      </c>
      <c r="Y1166" t="str">
        <f t="shared" si="391"/>
        <v/>
      </c>
      <c r="Z1166" t="str">
        <f t="shared" si="392"/>
        <v/>
      </c>
      <c r="AC1166" t="str">
        <f t="shared" si="388"/>
        <v>Shot</v>
      </c>
      <c r="AD1166" t="str">
        <f t="shared" si="389"/>
        <v>Shot_OnNetSaved</v>
      </c>
      <c r="AE1166" t="str">
        <f t="shared" si="390"/>
        <v>Shot-WrapAround</v>
      </c>
      <c r="AF1166" t="str">
        <f t="shared" si="393"/>
        <v>Defensive</v>
      </c>
      <c r="AG1166">
        <f t="shared" si="399"/>
        <v>18981</v>
      </c>
      <c r="AH1166" t="str">
        <f t="shared" si="400"/>
        <v>Nelson</v>
      </c>
      <c r="AI1166" t="str">
        <f t="shared" si="401"/>
        <v>Velodrome</v>
      </c>
      <c r="AJ1166" s="18">
        <f t="shared" si="394"/>
        <v>0</v>
      </c>
      <c r="AP1166" s="18">
        <f t="shared" si="395"/>
        <v>0</v>
      </c>
      <c r="AQ1166">
        <f t="shared" si="396"/>
        <v>1080</v>
      </c>
      <c r="AR1166" s="23">
        <f t="shared" si="397"/>
        <v>1585</v>
      </c>
      <c r="AS1166">
        <f t="shared" si="402"/>
        <v>1580</v>
      </c>
      <c r="AT1166" s="21">
        <f t="shared" si="403"/>
        <v>1585</v>
      </c>
      <c r="AU1166" s="21"/>
      <c r="AV1166" s="21"/>
      <c r="AW1166" s="21"/>
    </row>
    <row r="1167" spans="1:49" x14ac:dyDescent="0.2">
      <c r="A1167">
        <v>631</v>
      </c>
      <c r="E1167">
        <f t="shared" si="398"/>
        <v>2</v>
      </c>
      <c r="F1167" s="5" t="s">
        <v>537</v>
      </c>
      <c r="G1167" s="5" t="s">
        <v>507</v>
      </c>
      <c r="J1167" t="str">
        <f t="shared" si="405"/>
        <v>9</v>
      </c>
      <c r="K1167" t="str">
        <f t="shared" si="406"/>
        <v>35</v>
      </c>
      <c r="L1167" t="str">
        <f t="shared" si="407"/>
        <v/>
      </c>
      <c r="M1167" s="6" t="str">
        <f t="shared" si="408"/>
        <v/>
      </c>
      <c r="N1167" t="s">
        <v>178</v>
      </c>
      <c r="O1167">
        <v>52</v>
      </c>
      <c r="P1167" t="s">
        <v>425</v>
      </c>
      <c r="Y1167" t="str">
        <f t="shared" si="391"/>
        <v/>
      </c>
      <c r="Z1167" t="str">
        <f t="shared" si="392"/>
        <v/>
      </c>
      <c r="AC1167" t="str">
        <f t="shared" si="388"/>
        <v>Shot</v>
      </c>
      <c r="AD1167" t="str">
        <f t="shared" si="389"/>
        <v>Shot_OnNetSaved</v>
      </c>
      <c r="AE1167" t="str">
        <f t="shared" si="390"/>
        <v>Shot-WrapAround</v>
      </c>
      <c r="AF1167" t="str">
        <f t="shared" si="393"/>
        <v>Defensive</v>
      </c>
      <c r="AG1167">
        <f t="shared" si="399"/>
        <v>18981</v>
      </c>
      <c r="AH1167" t="str">
        <f t="shared" si="400"/>
        <v>Nelson</v>
      </c>
      <c r="AI1167" t="str">
        <f t="shared" si="401"/>
        <v>Velodrome</v>
      </c>
      <c r="AJ1167" s="18">
        <f t="shared" si="394"/>
        <v>0</v>
      </c>
      <c r="AP1167" s="18">
        <f t="shared" si="395"/>
        <v>0</v>
      </c>
      <c r="AQ1167">
        <f t="shared" si="396"/>
        <v>1080</v>
      </c>
      <c r="AR1167" s="23">
        <f t="shared" si="397"/>
        <v>1585</v>
      </c>
      <c r="AS1167">
        <f t="shared" si="402"/>
        <v>1580</v>
      </c>
      <c r="AT1167" s="21">
        <f t="shared" si="403"/>
        <v>1585</v>
      </c>
      <c r="AU1167" s="21"/>
      <c r="AV1167" s="21"/>
      <c r="AW1167" s="21"/>
    </row>
    <row r="1168" spans="1:49" x14ac:dyDescent="0.2">
      <c r="A1168">
        <v>632</v>
      </c>
      <c r="E1168">
        <f t="shared" si="398"/>
        <v>2</v>
      </c>
      <c r="F1168" s="5" t="s">
        <v>537</v>
      </c>
      <c r="G1168" s="5" t="s">
        <v>507</v>
      </c>
      <c r="J1168" t="str">
        <f t="shared" si="405"/>
        <v>9</v>
      </c>
      <c r="K1168" t="str">
        <f t="shared" si="406"/>
        <v>35</v>
      </c>
      <c r="L1168" t="str">
        <f t="shared" si="407"/>
        <v/>
      </c>
      <c r="M1168" s="6" t="str">
        <f t="shared" si="408"/>
        <v/>
      </c>
      <c r="N1168" t="s">
        <v>179</v>
      </c>
      <c r="O1168">
        <v>39</v>
      </c>
      <c r="P1168" t="s">
        <v>424</v>
      </c>
      <c r="Q1168" t="s">
        <v>17</v>
      </c>
      <c r="R1168" t="s">
        <v>196</v>
      </c>
      <c r="S1168" t="s">
        <v>570</v>
      </c>
      <c r="Y1168" t="str">
        <f t="shared" si="391"/>
        <v/>
      </c>
      <c r="Z1168" t="str">
        <f t="shared" si="392"/>
        <v/>
      </c>
      <c r="AC1168" t="str">
        <f t="shared" si="388"/>
        <v>Save</v>
      </c>
      <c r="AD1168" t="str">
        <f t="shared" si="389"/>
        <v>Save_Rebound</v>
      </c>
      <c r="AE1168" t="str">
        <f t="shared" si="390"/>
        <v>Save-Skate</v>
      </c>
      <c r="AF1168" t="str">
        <f t="shared" si="393"/>
        <v>Defensive</v>
      </c>
      <c r="AG1168">
        <f t="shared" si="399"/>
        <v>18981</v>
      </c>
      <c r="AH1168" t="str">
        <f t="shared" si="400"/>
        <v>Nelson</v>
      </c>
      <c r="AI1168" t="str">
        <f t="shared" si="401"/>
        <v>Velodrome</v>
      </c>
      <c r="AJ1168" s="18">
        <f t="shared" si="394"/>
        <v>0</v>
      </c>
      <c r="AP1168" s="18">
        <f t="shared" si="395"/>
        <v>0</v>
      </c>
      <c r="AQ1168">
        <f t="shared" si="396"/>
        <v>1080</v>
      </c>
      <c r="AR1168" s="23">
        <f t="shared" si="397"/>
        <v>1585</v>
      </c>
      <c r="AS1168">
        <f t="shared" si="402"/>
        <v>1580</v>
      </c>
      <c r="AT1168" s="21">
        <f t="shared" si="403"/>
        <v>1585</v>
      </c>
      <c r="AU1168" s="21"/>
      <c r="AV1168" s="21"/>
      <c r="AW1168" s="21"/>
    </row>
    <row r="1169" spans="1:49" x14ac:dyDescent="0.2">
      <c r="A1169">
        <v>632</v>
      </c>
      <c r="E1169">
        <f t="shared" si="398"/>
        <v>2</v>
      </c>
      <c r="J1169" t="str">
        <f t="shared" si="405"/>
        <v>9</v>
      </c>
      <c r="K1169" t="str">
        <f t="shared" si="406"/>
        <v>35</v>
      </c>
      <c r="L1169" t="str">
        <f t="shared" si="407"/>
        <v/>
      </c>
      <c r="M1169" s="6" t="str">
        <f t="shared" si="408"/>
        <v/>
      </c>
      <c r="N1169" t="str">
        <f t="shared" si="404"/>
        <v>Away</v>
      </c>
      <c r="O1169">
        <v>52</v>
      </c>
      <c r="P1169" t="s">
        <v>424</v>
      </c>
      <c r="Y1169" t="str">
        <f t="shared" si="391"/>
        <v/>
      </c>
      <c r="Z1169" t="str">
        <f t="shared" si="392"/>
        <v/>
      </c>
      <c r="AC1169" t="str">
        <f t="shared" si="388"/>
        <v>Save</v>
      </c>
      <c r="AD1169" t="str">
        <f t="shared" si="389"/>
        <v>Save_Rebound</v>
      </c>
      <c r="AE1169" t="str">
        <f t="shared" si="390"/>
        <v>Save-Skate</v>
      </c>
      <c r="AF1169" t="str">
        <f t="shared" si="393"/>
        <v>Defensive</v>
      </c>
      <c r="AG1169">
        <f t="shared" si="399"/>
        <v>18981</v>
      </c>
      <c r="AH1169" t="str">
        <f t="shared" si="400"/>
        <v>Nelson</v>
      </c>
      <c r="AI1169" t="str">
        <f t="shared" si="401"/>
        <v>Velodrome</v>
      </c>
      <c r="AJ1169" s="18">
        <f t="shared" si="394"/>
        <v>0</v>
      </c>
      <c r="AP1169" s="18">
        <f t="shared" si="395"/>
        <v>0</v>
      </c>
      <c r="AQ1169">
        <f t="shared" si="396"/>
        <v>1080</v>
      </c>
      <c r="AR1169" s="23">
        <f t="shared" si="397"/>
        <v>1585</v>
      </c>
      <c r="AS1169">
        <f t="shared" si="402"/>
        <v>1580</v>
      </c>
      <c r="AT1169" s="21">
        <f t="shared" si="403"/>
        <v>1585</v>
      </c>
      <c r="AU1169" s="21"/>
      <c r="AV1169" s="21"/>
      <c r="AW1169" s="21"/>
    </row>
    <row r="1170" spans="1:49" x14ac:dyDescent="0.2">
      <c r="A1170">
        <v>632</v>
      </c>
      <c r="E1170">
        <f t="shared" si="398"/>
        <v>2</v>
      </c>
      <c r="F1170" s="5" t="s">
        <v>537</v>
      </c>
      <c r="G1170" s="5" t="s">
        <v>507</v>
      </c>
      <c r="J1170" t="str">
        <f t="shared" si="405"/>
        <v>9</v>
      </c>
      <c r="K1170" t="str">
        <f t="shared" si="406"/>
        <v>35</v>
      </c>
      <c r="L1170" t="str">
        <f t="shared" si="407"/>
        <v/>
      </c>
      <c r="M1170" s="6" t="str">
        <f t="shared" si="408"/>
        <v/>
      </c>
      <c r="N1170" t="str">
        <f t="shared" si="404"/>
        <v>Away</v>
      </c>
      <c r="O1170">
        <v>16</v>
      </c>
      <c r="P1170" t="s">
        <v>425</v>
      </c>
      <c r="Y1170" t="str">
        <f t="shared" si="391"/>
        <v/>
      </c>
      <c r="Z1170" t="str">
        <f t="shared" si="392"/>
        <v/>
      </c>
      <c r="AC1170" t="str">
        <f t="shared" si="388"/>
        <v>Save</v>
      </c>
      <c r="AD1170" t="str">
        <f t="shared" si="389"/>
        <v>Save_Rebound</v>
      </c>
      <c r="AE1170" t="str">
        <f t="shared" si="390"/>
        <v>Save-Skate</v>
      </c>
      <c r="AF1170" t="str">
        <f t="shared" si="393"/>
        <v>Offensive</v>
      </c>
      <c r="AG1170">
        <f t="shared" si="399"/>
        <v>18981</v>
      </c>
      <c r="AH1170" t="str">
        <f t="shared" si="400"/>
        <v>Nelson</v>
      </c>
      <c r="AI1170" t="str">
        <f t="shared" si="401"/>
        <v>Velodrome</v>
      </c>
      <c r="AJ1170" s="18">
        <f t="shared" si="394"/>
        <v>0</v>
      </c>
      <c r="AP1170" s="18">
        <f t="shared" si="395"/>
        <v>0</v>
      </c>
      <c r="AQ1170">
        <f t="shared" si="396"/>
        <v>1080</v>
      </c>
      <c r="AR1170" s="23">
        <f t="shared" si="397"/>
        <v>1585</v>
      </c>
      <c r="AS1170">
        <f t="shared" si="402"/>
        <v>1580</v>
      </c>
      <c r="AT1170" s="21">
        <f t="shared" si="403"/>
        <v>1585</v>
      </c>
      <c r="AU1170" s="21"/>
      <c r="AV1170" s="21"/>
      <c r="AW1170" s="21"/>
    </row>
    <row r="1171" spans="1:49" x14ac:dyDescent="0.2">
      <c r="A1171">
        <v>633</v>
      </c>
      <c r="E1171">
        <f t="shared" si="398"/>
        <v>2</v>
      </c>
      <c r="F1171" s="5" t="s">
        <v>537</v>
      </c>
      <c r="G1171" s="5" t="s">
        <v>507</v>
      </c>
      <c r="J1171" t="str">
        <f t="shared" si="405"/>
        <v>9</v>
      </c>
      <c r="K1171" t="str">
        <f t="shared" si="406"/>
        <v>35</v>
      </c>
      <c r="L1171" t="str">
        <f t="shared" si="407"/>
        <v/>
      </c>
      <c r="M1171" s="6" t="str">
        <f t="shared" si="408"/>
        <v/>
      </c>
      <c r="N1171" t="s">
        <v>179</v>
      </c>
      <c r="O1171">
        <v>39</v>
      </c>
      <c r="P1171" t="s">
        <v>424</v>
      </c>
      <c r="Q1171" t="s">
        <v>270</v>
      </c>
      <c r="R1171" t="s">
        <v>271</v>
      </c>
      <c r="Y1171" t="str">
        <f t="shared" si="391"/>
        <v/>
      </c>
      <c r="Z1171" t="str">
        <f t="shared" si="392"/>
        <v/>
      </c>
      <c r="AC1171" t="str">
        <f t="shared" si="388"/>
        <v>Rebound</v>
      </c>
      <c r="AD1171" t="str">
        <f t="shared" si="389"/>
        <v>Rebound_TeamRecovered</v>
      </c>
      <c r="AE1171" t="str">
        <f t="shared" si="390"/>
        <v/>
      </c>
      <c r="AF1171" t="str">
        <f t="shared" si="393"/>
        <v>Offensive</v>
      </c>
      <c r="AG1171">
        <f t="shared" si="399"/>
        <v>18981</v>
      </c>
      <c r="AH1171" t="str">
        <f t="shared" si="400"/>
        <v>Nelson</v>
      </c>
      <c r="AI1171" t="str">
        <f t="shared" si="401"/>
        <v>Velodrome</v>
      </c>
      <c r="AJ1171" s="18">
        <f t="shared" si="394"/>
        <v>0</v>
      </c>
      <c r="AP1171" s="18">
        <f t="shared" si="395"/>
        <v>0</v>
      </c>
      <c r="AQ1171">
        <f t="shared" si="396"/>
        <v>1080</v>
      </c>
      <c r="AR1171" s="23">
        <f t="shared" si="397"/>
        <v>1585</v>
      </c>
      <c r="AS1171">
        <f t="shared" si="402"/>
        <v>1580</v>
      </c>
      <c r="AT1171" s="21">
        <f t="shared" si="403"/>
        <v>1585</v>
      </c>
      <c r="AU1171" s="21"/>
      <c r="AV1171" s="21"/>
      <c r="AW1171" s="21"/>
    </row>
    <row r="1172" spans="1:49" x14ac:dyDescent="0.2">
      <c r="A1172">
        <v>634</v>
      </c>
      <c r="E1172">
        <f t="shared" si="398"/>
        <v>2</v>
      </c>
      <c r="F1172" s="5" t="s">
        <v>537</v>
      </c>
      <c r="G1172" s="5" t="s">
        <v>501</v>
      </c>
      <c r="J1172" t="str">
        <f t="shared" si="405"/>
        <v>9</v>
      </c>
      <c r="K1172" t="str">
        <f t="shared" si="406"/>
        <v>29</v>
      </c>
      <c r="L1172" t="str">
        <f t="shared" si="407"/>
        <v/>
      </c>
      <c r="M1172" s="6" t="str">
        <f t="shared" si="408"/>
        <v/>
      </c>
      <c r="N1172" t="s">
        <v>178</v>
      </c>
      <c r="O1172">
        <v>37</v>
      </c>
      <c r="P1172" t="s">
        <v>424</v>
      </c>
      <c r="Q1172" t="s">
        <v>277</v>
      </c>
      <c r="R1172" t="s">
        <v>210</v>
      </c>
      <c r="S1172" t="s">
        <v>93</v>
      </c>
      <c r="Y1172" t="str">
        <f t="shared" si="391"/>
        <v/>
      </c>
      <c r="Z1172" t="str">
        <f t="shared" si="392"/>
        <v/>
      </c>
      <c r="AC1172" t="str">
        <f t="shared" si="388"/>
        <v>Zone_Entry_Exit</v>
      </c>
      <c r="AD1172" t="str">
        <f t="shared" si="389"/>
        <v>Zone_Keepin</v>
      </c>
      <c r="AE1172" t="str">
        <f t="shared" si="390"/>
        <v>Zone-KeepIn</v>
      </c>
      <c r="AF1172" t="str">
        <f t="shared" si="393"/>
        <v>Offensive</v>
      </c>
      <c r="AG1172">
        <f t="shared" si="399"/>
        <v>18981</v>
      </c>
      <c r="AH1172" t="str">
        <f t="shared" si="400"/>
        <v>Nelson</v>
      </c>
      <c r="AI1172" t="str">
        <f t="shared" si="401"/>
        <v>Velodrome</v>
      </c>
      <c r="AJ1172" s="18">
        <f t="shared" si="394"/>
        <v>0</v>
      </c>
      <c r="AP1172" s="18">
        <f t="shared" si="395"/>
        <v>0</v>
      </c>
      <c r="AQ1172">
        <f t="shared" si="396"/>
        <v>1080</v>
      </c>
      <c r="AR1172" s="23">
        <f t="shared" si="397"/>
        <v>1591</v>
      </c>
      <c r="AS1172">
        <f t="shared" si="402"/>
        <v>1586</v>
      </c>
      <c r="AT1172" s="21">
        <f t="shared" si="403"/>
        <v>1591</v>
      </c>
      <c r="AU1172" s="21"/>
      <c r="AV1172" s="21"/>
      <c r="AW1172" s="21"/>
    </row>
    <row r="1173" spans="1:49" x14ac:dyDescent="0.2">
      <c r="A1173">
        <v>635</v>
      </c>
      <c r="E1173">
        <f t="shared" si="398"/>
        <v>2</v>
      </c>
      <c r="F1173" s="5" t="s">
        <v>537</v>
      </c>
      <c r="G1173" s="5" t="s">
        <v>501</v>
      </c>
      <c r="J1173" t="str">
        <f t="shared" si="405"/>
        <v>9</v>
      </c>
      <c r="K1173" t="str">
        <f t="shared" si="406"/>
        <v>29</v>
      </c>
      <c r="L1173" t="str">
        <f t="shared" si="407"/>
        <v/>
      </c>
      <c r="M1173" s="6" t="str">
        <f t="shared" si="408"/>
        <v/>
      </c>
      <c r="N1173" t="s">
        <v>178</v>
      </c>
      <c r="O1173">
        <v>37</v>
      </c>
      <c r="P1173" t="s">
        <v>424</v>
      </c>
      <c r="Q1173" t="s">
        <v>7</v>
      </c>
      <c r="R1173" t="s">
        <v>208</v>
      </c>
      <c r="S1173" t="s">
        <v>53</v>
      </c>
      <c r="Y1173" t="str">
        <f t="shared" si="391"/>
        <v/>
      </c>
      <c r="Z1173" t="str">
        <f t="shared" si="392"/>
        <v/>
      </c>
      <c r="AC1173" t="str">
        <f t="shared" si="388"/>
        <v>Shot</v>
      </c>
      <c r="AD1173" t="str">
        <f t="shared" si="389"/>
        <v>Shot_Blocked</v>
      </c>
      <c r="AE1173" t="str">
        <f t="shared" si="390"/>
        <v>Shot-Wrist</v>
      </c>
      <c r="AF1173" t="str">
        <f t="shared" si="393"/>
        <v>Offensive</v>
      </c>
      <c r="AG1173">
        <f t="shared" si="399"/>
        <v>18981</v>
      </c>
      <c r="AH1173" t="str">
        <f t="shared" si="400"/>
        <v>Nelson</v>
      </c>
      <c r="AI1173" t="str">
        <f t="shared" si="401"/>
        <v>Velodrome</v>
      </c>
      <c r="AJ1173" s="18">
        <f t="shared" si="394"/>
        <v>0</v>
      </c>
      <c r="AP1173" s="18">
        <f t="shared" si="395"/>
        <v>0</v>
      </c>
      <c r="AQ1173">
        <f t="shared" si="396"/>
        <v>1080</v>
      </c>
      <c r="AR1173" s="23">
        <f t="shared" si="397"/>
        <v>1591</v>
      </c>
      <c r="AS1173">
        <f t="shared" si="402"/>
        <v>1586</v>
      </c>
      <c r="AT1173" s="21">
        <f t="shared" si="403"/>
        <v>1591</v>
      </c>
      <c r="AU1173" s="21"/>
      <c r="AV1173" s="21"/>
      <c r="AW1173" s="21"/>
    </row>
    <row r="1174" spans="1:49" x14ac:dyDescent="0.2">
      <c r="A1174">
        <v>635</v>
      </c>
      <c r="E1174">
        <f t="shared" si="398"/>
        <v>2</v>
      </c>
      <c r="J1174" t="str">
        <f t="shared" si="405"/>
        <v>9</v>
      </c>
      <c r="K1174" t="str">
        <f t="shared" si="406"/>
        <v>29</v>
      </c>
      <c r="L1174" t="str">
        <f t="shared" si="407"/>
        <v/>
      </c>
      <c r="M1174" s="6" t="str">
        <f t="shared" si="408"/>
        <v/>
      </c>
      <c r="N1174" t="str">
        <f t="shared" si="404"/>
        <v>Home</v>
      </c>
      <c r="O1174">
        <v>61</v>
      </c>
      <c r="P1174" t="s">
        <v>424</v>
      </c>
      <c r="Y1174" t="str">
        <f t="shared" si="391"/>
        <v/>
      </c>
      <c r="Z1174" t="str">
        <f t="shared" si="392"/>
        <v/>
      </c>
      <c r="AC1174" t="str">
        <f t="shared" si="388"/>
        <v>Shot</v>
      </c>
      <c r="AD1174" t="str">
        <f t="shared" si="389"/>
        <v>Shot_Blocked</v>
      </c>
      <c r="AE1174" t="str">
        <f t="shared" si="390"/>
        <v>Shot-Wrist</v>
      </c>
      <c r="AF1174" t="str">
        <f t="shared" si="393"/>
        <v>Offensive</v>
      </c>
      <c r="AG1174">
        <f t="shared" si="399"/>
        <v>18981</v>
      </c>
      <c r="AH1174" t="str">
        <f t="shared" si="400"/>
        <v>Nelson</v>
      </c>
      <c r="AI1174" t="str">
        <f t="shared" si="401"/>
        <v>Velodrome</v>
      </c>
      <c r="AJ1174" s="18">
        <f t="shared" si="394"/>
        <v>0</v>
      </c>
      <c r="AP1174" s="18">
        <f t="shared" si="395"/>
        <v>0</v>
      </c>
      <c r="AQ1174">
        <f t="shared" si="396"/>
        <v>1080</v>
      </c>
      <c r="AR1174" s="23">
        <f t="shared" si="397"/>
        <v>1591</v>
      </c>
      <c r="AS1174">
        <f t="shared" si="402"/>
        <v>1586</v>
      </c>
      <c r="AT1174" s="21">
        <f t="shared" si="403"/>
        <v>1591</v>
      </c>
      <c r="AU1174" s="21"/>
      <c r="AV1174" s="21"/>
      <c r="AW1174" s="21"/>
    </row>
    <row r="1175" spans="1:49" x14ac:dyDescent="0.2">
      <c r="A1175">
        <v>636</v>
      </c>
      <c r="E1175">
        <f t="shared" si="398"/>
        <v>2</v>
      </c>
      <c r="F1175" s="5" t="s">
        <v>537</v>
      </c>
      <c r="G1175" s="5" t="s">
        <v>501</v>
      </c>
      <c r="J1175" t="str">
        <f t="shared" si="405"/>
        <v>9</v>
      </c>
      <c r="K1175" t="str">
        <f t="shared" si="406"/>
        <v>29</v>
      </c>
      <c r="L1175" t="str">
        <f t="shared" si="407"/>
        <v/>
      </c>
      <c r="M1175" s="6" t="str">
        <f t="shared" si="408"/>
        <v/>
      </c>
      <c r="N1175" t="s">
        <v>178</v>
      </c>
      <c r="O1175">
        <v>37</v>
      </c>
      <c r="P1175" t="s">
        <v>424</v>
      </c>
      <c r="Q1175" t="s">
        <v>10</v>
      </c>
      <c r="R1175" t="s">
        <v>190</v>
      </c>
      <c r="S1175" t="s">
        <v>78</v>
      </c>
      <c r="Y1175" t="str">
        <f t="shared" si="391"/>
        <v/>
      </c>
      <c r="Z1175" t="str">
        <f t="shared" si="392"/>
        <v/>
      </c>
      <c r="AC1175" t="str">
        <f t="shared" si="388"/>
        <v>Turnover</v>
      </c>
      <c r="AD1175" t="str">
        <f t="shared" si="389"/>
        <v>Turnover_Giveaway</v>
      </c>
      <c r="AE1175" t="str">
        <f t="shared" si="390"/>
        <v>Giveaway-ShotBlocked</v>
      </c>
      <c r="AF1175" t="str">
        <f t="shared" si="393"/>
        <v>Offensive</v>
      </c>
      <c r="AG1175">
        <f t="shared" si="399"/>
        <v>18981</v>
      </c>
      <c r="AH1175" t="str">
        <f t="shared" si="400"/>
        <v>Nelson</v>
      </c>
      <c r="AI1175" t="str">
        <f t="shared" si="401"/>
        <v>Velodrome</v>
      </c>
      <c r="AJ1175" s="18">
        <f t="shared" si="394"/>
        <v>0</v>
      </c>
      <c r="AP1175" s="18">
        <f t="shared" si="395"/>
        <v>0</v>
      </c>
      <c r="AQ1175">
        <f t="shared" si="396"/>
        <v>1080</v>
      </c>
      <c r="AR1175" s="23">
        <f t="shared" si="397"/>
        <v>1591</v>
      </c>
      <c r="AS1175">
        <f t="shared" si="402"/>
        <v>1586</v>
      </c>
      <c r="AT1175" s="21">
        <f t="shared" si="403"/>
        <v>1591</v>
      </c>
      <c r="AU1175" s="21"/>
      <c r="AV1175" s="21"/>
      <c r="AW1175" s="21"/>
    </row>
    <row r="1176" spans="1:49" x14ac:dyDescent="0.2">
      <c r="A1176">
        <v>636</v>
      </c>
      <c r="E1176">
        <f t="shared" si="398"/>
        <v>2</v>
      </c>
      <c r="F1176" s="5" t="s">
        <v>537</v>
      </c>
      <c r="G1176" s="5" t="s">
        <v>498</v>
      </c>
      <c r="J1176" t="str">
        <f t="shared" si="405"/>
        <v>9</v>
      </c>
      <c r="K1176" t="str">
        <f t="shared" si="406"/>
        <v>29</v>
      </c>
      <c r="L1176" t="str">
        <f t="shared" si="407"/>
        <v/>
      </c>
      <c r="M1176" s="6" t="str">
        <f t="shared" si="408"/>
        <v/>
      </c>
      <c r="N1176" t="s">
        <v>178</v>
      </c>
      <c r="O1176">
        <v>61</v>
      </c>
      <c r="P1176" t="s">
        <v>425</v>
      </c>
      <c r="Y1176" t="str">
        <f t="shared" si="391"/>
        <v/>
      </c>
      <c r="Z1176" t="str">
        <f t="shared" si="392"/>
        <v/>
      </c>
      <c r="AC1176" t="str">
        <f t="shared" si="388"/>
        <v>Turnover</v>
      </c>
      <c r="AD1176" t="str">
        <f t="shared" si="389"/>
        <v>Turnover_Giveaway</v>
      </c>
      <c r="AE1176" t="str">
        <f t="shared" si="390"/>
        <v>Giveaway-ShotBlocked</v>
      </c>
      <c r="AF1176" t="str">
        <f t="shared" si="393"/>
        <v>Defensive</v>
      </c>
      <c r="AG1176">
        <f t="shared" si="399"/>
        <v>18981</v>
      </c>
      <c r="AH1176" t="str">
        <f t="shared" si="400"/>
        <v>Nelson</v>
      </c>
      <c r="AI1176" t="str">
        <f t="shared" si="401"/>
        <v>Velodrome</v>
      </c>
      <c r="AJ1176" s="18">
        <f t="shared" si="394"/>
        <v>0</v>
      </c>
      <c r="AP1176" s="18">
        <f t="shared" si="395"/>
        <v>0</v>
      </c>
      <c r="AQ1176">
        <f t="shared" si="396"/>
        <v>1080</v>
      </c>
      <c r="AR1176" s="23">
        <f t="shared" si="397"/>
        <v>1591</v>
      </c>
      <c r="AS1176">
        <f t="shared" si="402"/>
        <v>1586</v>
      </c>
      <c r="AT1176" s="21">
        <f t="shared" si="403"/>
        <v>1591</v>
      </c>
      <c r="AU1176" s="21"/>
      <c r="AV1176" s="21"/>
      <c r="AW1176" s="21"/>
    </row>
    <row r="1177" spans="1:49" x14ac:dyDescent="0.2">
      <c r="A1177">
        <v>637</v>
      </c>
      <c r="E1177">
        <f t="shared" si="398"/>
        <v>2</v>
      </c>
      <c r="F1177" s="5" t="s">
        <v>537</v>
      </c>
      <c r="G1177" s="5" t="s">
        <v>498</v>
      </c>
      <c r="H1177" s="5" t="s">
        <v>537</v>
      </c>
      <c r="I1177" s="7" t="s">
        <v>496</v>
      </c>
      <c r="J1177" t="str">
        <f t="shared" si="405"/>
        <v>9</v>
      </c>
      <c r="K1177" t="str">
        <f t="shared" si="406"/>
        <v>26</v>
      </c>
      <c r="L1177" t="str">
        <f t="shared" si="407"/>
        <v>9</v>
      </c>
      <c r="M1177" s="6" t="str">
        <f t="shared" si="408"/>
        <v>24</v>
      </c>
      <c r="N1177" t="s">
        <v>179</v>
      </c>
      <c r="O1177">
        <v>84</v>
      </c>
      <c r="P1177" t="s">
        <v>424</v>
      </c>
      <c r="Q1177" t="s">
        <v>15</v>
      </c>
      <c r="Y1177" t="str">
        <f t="shared" si="391"/>
        <v/>
      </c>
      <c r="Z1177" t="str">
        <f t="shared" si="392"/>
        <v/>
      </c>
      <c r="AC1177" t="str">
        <f t="shared" si="388"/>
        <v>Possession</v>
      </c>
      <c r="AD1177" t="str">
        <f t="shared" si="389"/>
        <v/>
      </c>
      <c r="AE1177" t="str">
        <f t="shared" si="390"/>
        <v/>
      </c>
      <c r="AF1177" t="str">
        <f t="shared" si="393"/>
        <v>Offensive</v>
      </c>
      <c r="AG1177">
        <f t="shared" si="399"/>
        <v>18981</v>
      </c>
      <c r="AH1177" t="str">
        <f t="shared" si="400"/>
        <v>Nelson</v>
      </c>
      <c r="AI1177" t="str">
        <f t="shared" si="401"/>
        <v>Velodrome</v>
      </c>
      <c r="AJ1177" s="18">
        <f t="shared" si="394"/>
        <v>2</v>
      </c>
      <c r="AP1177" s="18">
        <f t="shared" si="395"/>
        <v>0</v>
      </c>
      <c r="AQ1177">
        <f t="shared" si="396"/>
        <v>1080</v>
      </c>
      <c r="AR1177" s="23">
        <f t="shared" si="397"/>
        <v>1594</v>
      </c>
      <c r="AS1177">
        <f t="shared" si="402"/>
        <v>1589</v>
      </c>
      <c r="AT1177" s="21">
        <f t="shared" si="403"/>
        <v>1596</v>
      </c>
      <c r="AU1177" s="21"/>
      <c r="AV1177" s="21"/>
      <c r="AW1177" s="21"/>
    </row>
    <row r="1178" spans="1:49" x14ac:dyDescent="0.2">
      <c r="A1178">
        <v>637</v>
      </c>
      <c r="E1178">
        <f t="shared" si="398"/>
        <v>2</v>
      </c>
      <c r="J1178" t="str">
        <f t="shared" si="405"/>
        <v>9</v>
      </c>
      <c r="K1178" t="str">
        <f t="shared" si="406"/>
        <v>26</v>
      </c>
      <c r="L1178" t="str">
        <f t="shared" si="407"/>
        <v>9</v>
      </c>
      <c r="M1178" s="6" t="str">
        <f t="shared" si="408"/>
        <v>24</v>
      </c>
      <c r="N1178" t="str">
        <f t="shared" si="404"/>
        <v>Away</v>
      </c>
      <c r="O1178">
        <v>79</v>
      </c>
      <c r="P1178" t="s">
        <v>425</v>
      </c>
      <c r="Y1178" t="str">
        <f t="shared" si="391"/>
        <v/>
      </c>
      <c r="Z1178" t="str">
        <f t="shared" si="392"/>
        <v/>
      </c>
      <c r="AC1178" t="str">
        <f t="shared" si="388"/>
        <v>Possession</v>
      </c>
      <c r="AD1178" t="str">
        <f t="shared" si="389"/>
        <v/>
      </c>
      <c r="AE1178" t="str">
        <f t="shared" si="390"/>
        <v/>
      </c>
      <c r="AF1178" t="str">
        <f t="shared" si="393"/>
        <v>Defensive</v>
      </c>
      <c r="AG1178">
        <f t="shared" si="399"/>
        <v>18981</v>
      </c>
      <c r="AH1178" t="str">
        <f t="shared" si="400"/>
        <v>Nelson</v>
      </c>
      <c r="AI1178" t="str">
        <f t="shared" si="401"/>
        <v>Velodrome</v>
      </c>
      <c r="AJ1178" s="18">
        <f t="shared" si="394"/>
        <v>2</v>
      </c>
      <c r="AP1178" s="18">
        <f t="shared" si="395"/>
        <v>0</v>
      </c>
      <c r="AQ1178">
        <f t="shared" si="396"/>
        <v>1080</v>
      </c>
      <c r="AR1178" s="23">
        <f t="shared" si="397"/>
        <v>1594</v>
      </c>
      <c r="AS1178">
        <f t="shared" si="402"/>
        <v>1589</v>
      </c>
      <c r="AT1178" s="21">
        <f t="shared" si="403"/>
        <v>1596</v>
      </c>
      <c r="AU1178" s="21"/>
      <c r="AV1178" s="21"/>
      <c r="AW1178" s="21"/>
    </row>
    <row r="1179" spans="1:49" x14ac:dyDescent="0.2">
      <c r="A1179">
        <v>638</v>
      </c>
      <c r="E1179">
        <f t="shared" si="398"/>
        <v>2</v>
      </c>
      <c r="F1179" s="5" t="s">
        <v>537</v>
      </c>
      <c r="G1179" s="5" t="s">
        <v>496</v>
      </c>
      <c r="J1179" t="str">
        <f t="shared" si="405"/>
        <v>9</v>
      </c>
      <c r="K1179" t="str">
        <f t="shared" si="406"/>
        <v>24</v>
      </c>
      <c r="L1179" t="str">
        <f t="shared" si="407"/>
        <v/>
      </c>
      <c r="M1179" s="6" t="str">
        <f t="shared" si="408"/>
        <v/>
      </c>
      <c r="N1179" t="s">
        <v>179</v>
      </c>
      <c r="O1179">
        <v>84</v>
      </c>
      <c r="P1179" t="s">
        <v>424</v>
      </c>
      <c r="Q1179" t="s">
        <v>277</v>
      </c>
      <c r="R1179" t="s">
        <v>201</v>
      </c>
      <c r="S1179" t="s">
        <v>92</v>
      </c>
      <c r="Y1179" t="str">
        <f t="shared" si="391"/>
        <v/>
      </c>
      <c r="Z1179" t="str">
        <f t="shared" si="392"/>
        <v/>
      </c>
      <c r="AC1179" t="str">
        <f t="shared" si="388"/>
        <v>Zone_Entry_Exit</v>
      </c>
      <c r="AD1179" t="str">
        <f t="shared" si="389"/>
        <v>Zone_Exit</v>
      </c>
      <c r="AE1179" t="str">
        <f t="shared" si="390"/>
        <v>ZoneExit-Clear</v>
      </c>
      <c r="AF1179" t="str">
        <f t="shared" si="393"/>
        <v>Offensive</v>
      </c>
      <c r="AG1179">
        <f t="shared" si="399"/>
        <v>18981</v>
      </c>
      <c r="AH1179" t="str">
        <f t="shared" si="400"/>
        <v>Nelson</v>
      </c>
      <c r="AI1179" t="str">
        <f t="shared" si="401"/>
        <v>Velodrome</v>
      </c>
      <c r="AJ1179" s="18">
        <f t="shared" si="394"/>
        <v>0</v>
      </c>
      <c r="AP1179" s="18">
        <f t="shared" si="395"/>
        <v>0</v>
      </c>
      <c r="AQ1179">
        <f t="shared" si="396"/>
        <v>1080</v>
      </c>
      <c r="AR1179" s="23">
        <f t="shared" si="397"/>
        <v>1596</v>
      </c>
      <c r="AS1179">
        <f t="shared" si="402"/>
        <v>1591</v>
      </c>
      <c r="AT1179" s="21">
        <f t="shared" si="403"/>
        <v>1596</v>
      </c>
      <c r="AU1179" s="21"/>
      <c r="AV1179" s="21"/>
      <c r="AW1179" s="21"/>
    </row>
    <row r="1180" spans="1:49" x14ac:dyDescent="0.2">
      <c r="A1180">
        <v>638</v>
      </c>
      <c r="E1180">
        <f t="shared" si="398"/>
        <v>2</v>
      </c>
      <c r="J1180" t="str">
        <f t="shared" si="405"/>
        <v>9</v>
      </c>
      <c r="K1180" t="str">
        <f t="shared" si="406"/>
        <v>24</v>
      </c>
      <c r="L1180" t="str">
        <f t="shared" si="407"/>
        <v/>
      </c>
      <c r="M1180" s="6" t="str">
        <f t="shared" si="408"/>
        <v/>
      </c>
      <c r="N1180" t="str">
        <f t="shared" si="404"/>
        <v>Away</v>
      </c>
      <c r="O1180">
        <v>79</v>
      </c>
      <c r="P1180" t="s">
        <v>425</v>
      </c>
      <c r="Y1180" t="str">
        <f t="shared" si="391"/>
        <v/>
      </c>
      <c r="Z1180" t="str">
        <f t="shared" si="392"/>
        <v/>
      </c>
      <c r="AC1180" t="str">
        <f t="shared" si="388"/>
        <v>Zone_Entry_Exit</v>
      </c>
      <c r="AD1180" t="str">
        <f t="shared" si="389"/>
        <v>Zone_Exit</v>
      </c>
      <c r="AE1180" t="str">
        <f t="shared" si="390"/>
        <v>ZoneExit-Clear</v>
      </c>
      <c r="AF1180" t="str">
        <f t="shared" si="393"/>
        <v>Defensive</v>
      </c>
      <c r="AG1180">
        <f t="shared" si="399"/>
        <v>18981</v>
      </c>
      <c r="AH1180" t="str">
        <f t="shared" si="400"/>
        <v>Nelson</v>
      </c>
      <c r="AI1180" t="str">
        <f t="shared" si="401"/>
        <v>Velodrome</v>
      </c>
      <c r="AJ1180" s="18">
        <f t="shared" si="394"/>
        <v>0</v>
      </c>
      <c r="AP1180" s="18">
        <f t="shared" si="395"/>
        <v>0</v>
      </c>
      <c r="AQ1180">
        <f t="shared" si="396"/>
        <v>1080</v>
      </c>
      <c r="AR1180" s="23">
        <f t="shared" si="397"/>
        <v>1596</v>
      </c>
      <c r="AS1180">
        <f t="shared" si="402"/>
        <v>1591</v>
      </c>
      <c r="AT1180" s="21">
        <f t="shared" si="403"/>
        <v>1596</v>
      </c>
      <c r="AU1180" s="21"/>
      <c r="AV1180" s="21"/>
      <c r="AW1180" s="21"/>
    </row>
    <row r="1181" spans="1:49" x14ac:dyDescent="0.2">
      <c r="A1181">
        <v>639</v>
      </c>
      <c r="E1181">
        <f t="shared" si="398"/>
        <v>2</v>
      </c>
      <c r="F1181" s="5" t="s">
        <v>537</v>
      </c>
      <c r="G1181" s="5" t="s">
        <v>496</v>
      </c>
      <c r="J1181" t="str">
        <f t="shared" si="405"/>
        <v>9</v>
      </c>
      <c r="K1181" t="str">
        <f t="shared" si="406"/>
        <v>24</v>
      </c>
      <c r="L1181" t="str">
        <f t="shared" si="407"/>
        <v/>
      </c>
      <c r="M1181" s="6" t="str">
        <f t="shared" si="408"/>
        <v/>
      </c>
      <c r="N1181" t="s">
        <v>179</v>
      </c>
      <c r="O1181">
        <v>84</v>
      </c>
      <c r="P1181" t="s">
        <v>424</v>
      </c>
      <c r="Q1181" t="s">
        <v>277</v>
      </c>
      <c r="R1181" t="s">
        <v>191</v>
      </c>
      <c r="S1181" t="s">
        <v>432</v>
      </c>
      <c r="Y1181" t="str">
        <f t="shared" si="391"/>
        <v/>
      </c>
      <c r="Z1181" t="str">
        <f t="shared" si="392"/>
        <v/>
      </c>
      <c r="AC1181" t="str">
        <f t="shared" si="388"/>
        <v>Zone_Entry_Exit</v>
      </c>
      <c r="AD1181" t="str">
        <f t="shared" si="389"/>
        <v>Zone_Entry</v>
      </c>
      <c r="AE1181" t="str">
        <f t="shared" si="390"/>
        <v>ZoneEntry-FromExitClear</v>
      </c>
      <c r="AF1181" t="str">
        <f t="shared" si="393"/>
        <v>Offensive</v>
      </c>
      <c r="AG1181">
        <f t="shared" si="399"/>
        <v>18981</v>
      </c>
      <c r="AH1181" t="str">
        <f t="shared" si="400"/>
        <v>Nelson</v>
      </c>
      <c r="AI1181" t="str">
        <f t="shared" si="401"/>
        <v>Velodrome</v>
      </c>
      <c r="AJ1181" s="18">
        <f t="shared" si="394"/>
        <v>0</v>
      </c>
      <c r="AP1181" s="18">
        <f t="shared" si="395"/>
        <v>0</v>
      </c>
      <c r="AQ1181">
        <f t="shared" si="396"/>
        <v>1080</v>
      </c>
      <c r="AR1181" s="23">
        <f t="shared" si="397"/>
        <v>1596</v>
      </c>
      <c r="AS1181">
        <f t="shared" si="402"/>
        <v>1591</v>
      </c>
      <c r="AT1181" s="21">
        <f t="shared" si="403"/>
        <v>1596</v>
      </c>
      <c r="AU1181" s="21"/>
      <c r="AV1181" s="21"/>
      <c r="AW1181" s="21"/>
    </row>
    <row r="1182" spans="1:49" x14ac:dyDescent="0.2">
      <c r="A1182">
        <v>640</v>
      </c>
      <c r="E1182">
        <f t="shared" si="398"/>
        <v>2</v>
      </c>
      <c r="F1182" s="5" t="s">
        <v>537</v>
      </c>
      <c r="G1182" s="5" t="s">
        <v>477</v>
      </c>
      <c r="H1182" s="5" t="s">
        <v>537</v>
      </c>
      <c r="I1182" s="7" t="s">
        <v>487</v>
      </c>
      <c r="J1182" t="str">
        <f t="shared" si="405"/>
        <v>9</v>
      </c>
      <c r="K1182" t="str">
        <f t="shared" si="406"/>
        <v>16</v>
      </c>
      <c r="L1182" t="str">
        <f t="shared" si="407"/>
        <v>9</v>
      </c>
      <c r="M1182" s="6" t="str">
        <f t="shared" si="408"/>
        <v>12</v>
      </c>
      <c r="N1182" t="s">
        <v>178</v>
      </c>
      <c r="O1182">
        <v>37</v>
      </c>
      <c r="P1182" t="s">
        <v>424</v>
      </c>
      <c r="Y1182" t="str">
        <f t="shared" si="391"/>
        <v/>
      </c>
      <c r="Z1182" t="str">
        <f t="shared" si="392"/>
        <v/>
      </c>
      <c r="AC1182" t="str">
        <f t="shared" si="388"/>
        <v/>
      </c>
      <c r="AD1182" t="str">
        <f t="shared" si="389"/>
        <v/>
      </c>
      <c r="AE1182" t="str">
        <f t="shared" si="390"/>
        <v/>
      </c>
      <c r="AF1182" t="str">
        <f t="shared" si="393"/>
        <v>Offensive</v>
      </c>
      <c r="AG1182">
        <f t="shared" si="399"/>
        <v>18981</v>
      </c>
      <c r="AH1182" t="str">
        <f t="shared" si="400"/>
        <v>Nelson</v>
      </c>
      <c r="AI1182" t="str">
        <f t="shared" si="401"/>
        <v>Velodrome</v>
      </c>
      <c r="AJ1182" s="18">
        <f t="shared" si="394"/>
        <v>4</v>
      </c>
      <c r="AP1182" s="18">
        <f t="shared" si="395"/>
        <v>0</v>
      </c>
      <c r="AQ1182">
        <f t="shared" si="396"/>
        <v>1080</v>
      </c>
      <c r="AR1182" s="23">
        <f t="shared" si="397"/>
        <v>1604</v>
      </c>
      <c r="AS1182">
        <f t="shared" si="402"/>
        <v>1599</v>
      </c>
      <c r="AT1182" s="21">
        <f t="shared" si="403"/>
        <v>1608</v>
      </c>
      <c r="AU1182" s="21"/>
      <c r="AV1182" s="21"/>
      <c r="AW1182" s="21"/>
    </row>
    <row r="1183" spans="1:49" x14ac:dyDescent="0.2">
      <c r="A1183">
        <v>640</v>
      </c>
      <c r="E1183">
        <f t="shared" si="398"/>
        <v>2</v>
      </c>
      <c r="J1183" t="str">
        <f t="shared" si="405"/>
        <v>9</v>
      </c>
      <c r="K1183" t="str">
        <f t="shared" si="406"/>
        <v>16</v>
      </c>
      <c r="L1183" t="str">
        <f t="shared" si="407"/>
        <v>9</v>
      </c>
      <c r="M1183" s="6" t="str">
        <f t="shared" si="408"/>
        <v>12</v>
      </c>
      <c r="N1183" t="str">
        <f t="shared" si="404"/>
        <v>Home</v>
      </c>
      <c r="O1183">
        <v>14</v>
      </c>
      <c r="P1183" t="s">
        <v>425</v>
      </c>
      <c r="Q1183" t="s">
        <v>15</v>
      </c>
      <c r="Y1183" t="str">
        <f t="shared" si="391"/>
        <v/>
      </c>
      <c r="Z1183" t="str">
        <f t="shared" si="392"/>
        <v/>
      </c>
      <c r="AC1183" t="str">
        <f t="shared" si="388"/>
        <v>Possession</v>
      </c>
      <c r="AD1183" t="str">
        <f t="shared" si="389"/>
        <v/>
      </c>
      <c r="AE1183" t="str">
        <f t="shared" si="390"/>
        <v/>
      </c>
      <c r="AF1183" t="str">
        <f t="shared" si="393"/>
        <v>Defensive</v>
      </c>
      <c r="AG1183">
        <f t="shared" si="399"/>
        <v>18981</v>
      </c>
      <c r="AH1183" t="str">
        <f t="shared" si="400"/>
        <v>Nelson</v>
      </c>
      <c r="AI1183" t="str">
        <f t="shared" si="401"/>
        <v>Velodrome</v>
      </c>
      <c r="AJ1183" s="18">
        <f t="shared" si="394"/>
        <v>4</v>
      </c>
      <c r="AP1183" s="18">
        <f t="shared" si="395"/>
        <v>0</v>
      </c>
      <c r="AQ1183">
        <f t="shared" si="396"/>
        <v>1080</v>
      </c>
      <c r="AR1183" s="23">
        <f t="shared" si="397"/>
        <v>1604</v>
      </c>
      <c r="AS1183">
        <f t="shared" si="402"/>
        <v>1599</v>
      </c>
      <c r="AT1183" s="21">
        <f t="shared" si="403"/>
        <v>1608</v>
      </c>
      <c r="AU1183" s="21"/>
      <c r="AV1183" s="21"/>
      <c r="AW1183" s="21"/>
    </row>
    <row r="1184" spans="1:49" x14ac:dyDescent="0.2">
      <c r="A1184">
        <v>641</v>
      </c>
      <c r="E1184">
        <f t="shared" si="398"/>
        <v>2</v>
      </c>
      <c r="F1184" s="5" t="s">
        <v>537</v>
      </c>
      <c r="G1184" s="5" t="s">
        <v>487</v>
      </c>
      <c r="J1184" t="str">
        <f t="shared" si="405"/>
        <v>9</v>
      </c>
      <c r="K1184" t="str">
        <f t="shared" si="406"/>
        <v>12</v>
      </c>
      <c r="L1184" t="str">
        <f t="shared" si="407"/>
        <v/>
      </c>
      <c r="M1184" s="6" t="str">
        <f t="shared" si="408"/>
        <v/>
      </c>
      <c r="N1184" t="s">
        <v>178</v>
      </c>
      <c r="O1184">
        <v>37</v>
      </c>
      <c r="P1184" t="s">
        <v>424</v>
      </c>
      <c r="Q1184" t="s">
        <v>8</v>
      </c>
      <c r="R1184" t="s">
        <v>189</v>
      </c>
      <c r="S1184" t="s">
        <v>67</v>
      </c>
      <c r="Y1184" t="str">
        <f t="shared" si="391"/>
        <v/>
      </c>
      <c r="Z1184" t="str">
        <f t="shared" si="392"/>
        <v/>
      </c>
      <c r="AC1184" t="str">
        <f t="shared" si="388"/>
        <v>Pass</v>
      </c>
      <c r="AD1184" t="str">
        <f t="shared" si="389"/>
        <v>Pass_Completed</v>
      </c>
      <c r="AE1184" t="str">
        <f t="shared" si="390"/>
        <v>Pass-Stretch</v>
      </c>
      <c r="AF1184" t="str">
        <f t="shared" si="393"/>
        <v>Offensive</v>
      </c>
      <c r="AG1184">
        <f t="shared" si="399"/>
        <v>18981</v>
      </c>
      <c r="AH1184" t="str">
        <f t="shared" si="400"/>
        <v>Nelson</v>
      </c>
      <c r="AI1184" t="str">
        <f t="shared" si="401"/>
        <v>Velodrome</v>
      </c>
      <c r="AJ1184" s="18">
        <f t="shared" si="394"/>
        <v>0</v>
      </c>
      <c r="AP1184" s="18">
        <f t="shared" si="395"/>
        <v>0</v>
      </c>
      <c r="AQ1184">
        <f t="shared" si="396"/>
        <v>1080</v>
      </c>
      <c r="AR1184" s="23">
        <f t="shared" si="397"/>
        <v>1608</v>
      </c>
      <c r="AS1184">
        <f t="shared" si="402"/>
        <v>1603</v>
      </c>
      <c r="AT1184" s="21">
        <f t="shared" si="403"/>
        <v>1608</v>
      </c>
      <c r="AU1184" s="21"/>
      <c r="AV1184" s="21"/>
      <c r="AW1184" s="21"/>
    </row>
    <row r="1185" spans="1:49" x14ac:dyDescent="0.2">
      <c r="A1185">
        <v>641</v>
      </c>
      <c r="E1185">
        <f t="shared" si="398"/>
        <v>2</v>
      </c>
      <c r="J1185" t="str">
        <f t="shared" si="405"/>
        <v>9</v>
      </c>
      <c r="K1185" t="str">
        <f t="shared" si="406"/>
        <v>12</v>
      </c>
      <c r="L1185" t="str">
        <f t="shared" si="407"/>
        <v/>
      </c>
      <c r="M1185" s="6" t="str">
        <f t="shared" si="408"/>
        <v/>
      </c>
      <c r="N1185" t="str">
        <f t="shared" si="404"/>
        <v>Home</v>
      </c>
      <c r="O1185">
        <v>44</v>
      </c>
      <c r="P1185" t="s">
        <v>424</v>
      </c>
      <c r="Y1185" t="str">
        <f t="shared" si="391"/>
        <v/>
      </c>
      <c r="Z1185" t="str">
        <f t="shared" si="392"/>
        <v/>
      </c>
      <c r="AC1185" t="str">
        <f t="shared" si="388"/>
        <v>Pass</v>
      </c>
      <c r="AD1185" t="str">
        <f t="shared" si="389"/>
        <v>Pass_Completed</v>
      </c>
      <c r="AE1185" t="str">
        <f t="shared" si="390"/>
        <v>Pass-Stretch</v>
      </c>
      <c r="AF1185" t="str">
        <f t="shared" si="393"/>
        <v>Offensive</v>
      </c>
      <c r="AG1185">
        <f t="shared" si="399"/>
        <v>18981</v>
      </c>
      <c r="AH1185" t="str">
        <f t="shared" si="400"/>
        <v>Nelson</v>
      </c>
      <c r="AI1185" t="str">
        <f t="shared" si="401"/>
        <v>Velodrome</v>
      </c>
      <c r="AJ1185" s="18">
        <f t="shared" si="394"/>
        <v>0</v>
      </c>
      <c r="AP1185" s="18">
        <f t="shared" si="395"/>
        <v>0</v>
      </c>
      <c r="AQ1185">
        <f t="shared" si="396"/>
        <v>1080</v>
      </c>
      <c r="AR1185" s="23">
        <f t="shared" si="397"/>
        <v>1608</v>
      </c>
      <c r="AS1185">
        <f t="shared" si="402"/>
        <v>1603</v>
      </c>
      <c r="AT1185" s="21">
        <f t="shared" si="403"/>
        <v>1608</v>
      </c>
      <c r="AU1185" s="21"/>
      <c r="AV1185" s="21"/>
      <c r="AW1185" s="21"/>
    </row>
    <row r="1186" spans="1:49" x14ac:dyDescent="0.2">
      <c r="A1186">
        <v>642</v>
      </c>
      <c r="E1186">
        <f t="shared" si="398"/>
        <v>2</v>
      </c>
      <c r="F1186" s="5" t="s">
        <v>537</v>
      </c>
      <c r="G1186" s="5" t="s">
        <v>487</v>
      </c>
      <c r="J1186" t="str">
        <f t="shared" si="405"/>
        <v>9</v>
      </c>
      <c r="K1186" t="str">
        <f t="shared" si="406"/>
        <v>12</v>
      </c>
      <c r="L1186" t="str">
        <f t="shared" si="407"/>
        <v/>
      </c>
      <c r="M1186" s="6" t="str">
        <f t="shared" si="408"/>
        <v/>
      </c>
      <c r="N1186" t="s">
        <v>178</v>
      </c>
      <c r="O1186">
        <v>37</v>
      </c>
      <c r="P1186" t="s">
        <v>424</v>
      </c>
      <c r="Q1186" t="s">
        <v>277</v>
      </c>
      <c r="R1186" t="s">
        <v>201</v>
      </c>
      <c r="S1186" t="s">
        <v>91</v>
      </c>
      <c r="Y1186" t="str">
        <f t="shared" si="391"/>
        <v/>
      </c>
      <c r="Z1186" t="str">
        <f t="shared" si="392"/>
        <v/>
      </c>
      <c r="AC1186" t="str">
        <f t="shared" si="388"/>
        <v>Zone_Entry_Exit</v>
      </c>
      <c r="AD1186" t="str">
        <f t="shared" si="389"/>
        <v>Zone_Exit</v>
      </c>
      <c r="AE1186" t="str">
        <f t="shared" si="390"/>
        <v>ZoneExit-Pass</v>
      </c>
      <c r="AF1186" t="str">
        <f t="shared" si="393"/>
        <v>Offensive</v>
      </c>
      <c r="AG1186">
        <f t="shared" si="399"/>
        <v>18981</v>
      </c>
      <c r="AH1186" t="str">
        <f t="shared" si="400"/>
        <v>Nelson</v>
      </c>
      <c r="AI1186" t="str">
        <f t="shared" si="401"/>
        <v>Velodrome</v>
      </c>
      <c r="AJ1186" s="18">
        <f t="shared" si="394"/>
        <v>0</v>
      </c>
      <c r="AP1186" s="18">
        <f t="shared" si="395"/>
        <v>0</v>
      </c>
      <c r="AQ1186">
        <f t="shared" si="396"/>
        <v>1080</v>
      </c>
      <c r="AR1186" s="23">
        <f t="shared" si="397"/>
        <v>1608</v>
      </c>
      <c r="AS1186">
        <f t="shared" si="402"/>
        <v>1603</v>
      </c>
      <c r="AT1186" s="21">
        <f t="shared" si="403"/>
        <v>1608</v>
      </c>
      <c r="AU1186" s="21"/>
      <c r="AV1186" s="21"/>
      <c r="AW1186" s="21"/>
    </row>
    <row r="1187" spans="1:49" x14ac:dyDescent="0.2">
      <c r="A1187">
        <v>642</v>
      </c>
      <c r="E1187">
        <f t="shared" si="398"/>
        <v>2</v>
      </c>
      <c r="J1187" t="str">
        <f t="shared" si="405"/>
        <v>9</v>
      </c>
      <c r="K1187" t="str">
        <f t="shared" si="406"/>
        <v>12</v>
      </c>
      <c r="L1187" t="str">
        <f t="shared" si="407"/>
        <v/>
      </c>
      <c r="M1187" s="6" t="str">
        <f t="shared" si="408"/>
        <v/>
      </c>
      <c r="N1187" t="str">
        <f t="shared" si="404"/>
        <v>Home</v>
      </c>
      <c r="O1187">
        <v>44</v>
      </c>
      <c r="P1187" t="s">
        <v>424</v>
      </c>
      <c r="Y1187" t="str">
        <f t="shared" si="391"/>
        <v/>
      </c>
      <c r="Z1187" t="str">
        <f t="shared" si="392"/>
        <v/>
      </c>
      <c r="AC1187" t="str">
        <f t="shared" si="388"/>
        <v>Zone_Entry_Exit</v>
      </c>
      <c r="AD1187" t="str">
        <f t="shared" si="389"/>
        <v>Zone_Exit</v>
      </c>
      <c r="AE1187" t="str">
        <f t="shared" si="390"/>
        <v>ZoneExit-Pass</v>
      </c>
      <c r="AF1187" t="str">
        <f t="shared" si="393"/>
        <v>Offensive</v>
      </c>
      <c r="AG1187">
        <f t="shared" si="399"/>
        <v>18981</v>
      </c>
      <c r="AH1187" t="str">
        <f t="shared" si="400"/>
        <v>Nelson</v>
      </c>
      <c r="AI1187" t="str">
        <f t="shared" si="401"/>
        <v>Velodrome</v>
      </c>
      <c r="AJ1187" s="18">
        <f t="shared" si="394"/>
        <v>0</v>
      </c>
      <c r="AP1187" s="18">
        <f t="shared" si="395"/>
        <v>0</v>
      </c>
      <c r="AQ1187">
        <f t="shared" si="396"/>
        <v>1080</v>
      </c>
      <c r="AR1187" s="23">
        <f t="shared" si="397"/>
        <v>1608</v>
      </c>
      <c r="AS1187">
        <f t="shared" si="402"/>
        <v>1603</v>
      </c>
      <c r="AT1187" s="21">
        <f t="shared" si="403"/>
        <v>1608</v>
      </c>
      <c r="AU1187" s="21"/>
      <c r="AV1187" s="21"/>
      <c r="AW1187" s="21"/>
    </row>
    <row r="1188" spans="1:49" x14ac:dyDescent="0.2">
      <c r="A1188">
        <v>643</v>
      </c>
      <c r="E1188">
        <f t="shared" si="398"/>
        <v>2</v>
      </c>
      <c r="F1188" s="5" t="s">
        <v>537</v>
      </c>
      <c r="G1188" s="5" t="s">
        <v>487</v>
      </c>
      <c r="H1188" s="5" t="s">
        <v>537</v>
      </c>
      <c r="I1188" s="7" t="s">
        <v>483</v>
      </c>
      <c r="J1188" t="str">
        <f t="shared" si="405"/>
        <v>9</v>
      </c>
      <c r="K1188" t="str">
        <f t="shared" si="406"/>
        <v>12</v>
      </c>
      <c r="L1188" t="str">
        <f t="shared" si="407"/>
        <v>9</v>
      </c>
      <c r="M1188" s="6" t="str">
        <f t="shared" si="408"/>
        <v>08</v>
      </c>
      <c r="N1188" t="s">
        <v>178</v>
      </c>
      <c r="O1188">
        <v>44</v>
      </c>
      <c r="P1188" t="s">
        <v>424</v>
      </c>
      <c r="Q1188" t="s">
        <v>15</v>
      </c>
      <c r="Y1188" t="str">
        <f t="shared" si="391"/>
        <v/>
      </c>
      <c r="Z1188" t="str">
        <f t="shared" si="392"/>
        <v/>
      </c>
      <c r="AC1188" t="str">
        <f t="shared" si="388"/>
        <v>Possession</v>
      </c>
      <c r="AD1188" t="str">
        <f t="shared" si="389"/>
        <v/>
      </c>
      <c r="AE1188" t="str">
        <f t="shared" si="390"/>
        <v/>
      </c>
      <c r="AF1188" t="str">
        <f t="shared" si="393"/>
        <v>Offensive</v>
      </c>
      <c r="AG1188">
        <f t="shared" si="399"/>
        <v>18981</v>
      </c>
      <c r="AH1188" t="str">
        <f t="shared" si="400"/>
        <v>Nelson</v>
      </c>
      <c r="AI1188" t="str">
        <f t="shared" si="401"/>
        <v>Velodrome</v>
      </c>
      <c r="AJ1188" s="18">
        <f t="shared" si="394"/>
        <v>4</v>
      </c>
      <c r="AP1188" s="18">
        <f t="shared" si="395"/>
        <v>0</v>
      </c>
      <c r="AQ1188">
        <f t="shared" si="396"/>
        <v>1080</v>
      </c>
      <c r="AR1188" s="23">
        <f t="shared" si="397"/>
        <v>1608</v>
      </c>
      <c r="AS1188">
        <f t="shared" si="402"/>
        <v>1603</v>
      </c>
      <c r="AT1188" s="21">
        <f t="shared" si="403"/>
        <v>1612</v>
      </c>
      <c r="AU1188" s="21"/>
      <c r="AV1188" s="21"/>
      <c r="AW1188" s="21"/>
    </row>
    <row r="1189" spans="1:49" x14ac:dyDescent="0.2">
      <c r="A1189">
        <v>644</v>
      </c>
      <c r="E1189">
        <f t="shared" si="398"/>
        <v>2</v>
      </c>
      <c r="F1189" s="5" t="s">
        <v>537</v>
      </c>
      <c r="G1189" s="5" t="s">
        <v>483</v>
      </c>
      <c r="H1189" s="5" t="s">
        <v>537</v>
      </c>
      <c r="I1189" s="7" t="s">
        <v>481</v>
      </c>
      <c r="J1189" t="str">
        <f t="shared" si="405"/>
        <v>9</v>
      </c>
      <c r="K1189" t="str">
        <f t="shared" si="406"/>
        <v>08</v>
      </c>
      <c r="L1189" t="str">
        <f t="shared" si="407"/>
        <v>9</v>
      </c>
      <c r="M1189" s="6" t="str">
        <f t="shared" si="408"/>
        <v>05</v>
      </c>
      <c r="N1189" t="s">
        <v>178</v>
      </c>
      <c r="O1189">
        <v>44</v>
      </c>
      <c r="P1189" t="s">
        <v>424</v>
      </c>
      <c r="Q1189" t="s">
        <v>277</v>
      </c>
      <c r="R1189" t="s">
        <v>191</v>
      </c>
      <c r="S1189" t="s">
        <v>87</v>
      </c>
      <c r="Y1189" t="str">
        <f t="shared" si="391"/>
        <v/>
      </c>
      <c r="Z1189" t="str">
        <f t="shared" si="392"/>
        <v/>
      </c>
      <c r="AC1189" t="str">
        <f t="shared" si="388"/>
        <v>Zone_Entry_Exit</v>
      </c>
      <c r="AD1189" t="str">
        <f t="shared" si="389"/>
        <v>Zone_Entry</v>
      </c>
      <c r="AE1189" t="str">
        <f t="shared" si="390"/>
        <v>ZoneEntry-Rush</v>
      </c>
      <c r="AF1189" t="str">
        <f t="shared" si="393"/>
        <v>Offensive</v>
      </c>
      <c r="AG1189">
        <f t="shared" si="399"/>
        <v>18981</v>
      </c>
      <c r="AH1189" t="str">
        <f t="shared" si="400"/>
        <v>Nelson</v>
      </c>
      <c r="AI1189" t="str">
        <f t="shared" si="401"/>
        <v>Velodrome</v>
      </c>
      <c r="AJ1189" s="18">
        <f t="shared" si="394"/>
        <v>3</v>
      </c>
      <c r="AP1189" s="18">
        <f t="shared" si="395"/>
        <v>0</v>
      </c>
      <c r="AQ1189">
        <f t="shared" si="396"/>
        <v>1080</v>
      </c>
      <c r="AR1189" s="23">
        <f t="shared" si="397"/>
        <v>1612</v>
      </c>
      <c r="AS1189">
        <f t="shared" si="402"/>
        <v>1607</v>
      </c>
      <c r="AT1189" s="21">
        <f t="shared" si="403"/>
        <v>1615</v>
      </c>
      <c r="AU1189" s="21"/>
      <c r="AV1189" s="21"/>
      <c r="AW1189" s="21"/>
    </row>
    <row r="1190" spans="1:49" x14ac:dyDescent="0.2">
      <c r="A1190">
        <v>644</v>
      </c>
      <c r="E1190">
        <f t="shared" si="398"/>
        <v>2</v>
      </c>
      <c r="J1190" t="str">
        <f t="shared" si="405"/>
        <v>9</v>
      </c>
      <c r="K1190" t="str">
        <f t="shared" si="406"/>
        <v>08</v>
      </c>
      <c r="L1190" t="str">
        <f t="shared" si="407"/>
        <v>9</v>
      </c>
      <c r="M1190" s="6" t="str">
        <f t="shared" si="408"/>
        <v>05</v>
      </c>
      <c r="N1190" t="str">
        <f t="shared" si="404"/>
        <v>Home</v>
      </c>
      <c r="O1190">
        <v>79</v>
      </c>
      <c r="P1190" t="s">
        <v>424</v>
      </c>
      <c r="Y1190" t="str">
        <f t="shared" si="391"/>
        <v/>
      </c>
      <c r="Z1190" t="str">
        <f t="shared" si="392"/>
        <v/>
      </c>
      <c r="AC1190" t="str">
        <f t="shared" si="388"/>
        <v>Zone_Entry_Exit</v>
      </c>
      <c r="AD1190" t="str">
        <f t="shared" si="389"/>
        <v>Zone_Entry</v>
      </c>
      <c r="AE1190" t="str">
        <f t="shared" si="390"/>
        <v>ZoneEntry-Rush</v>
      </c>
      <c r="AF1190" t="str">
        <f t="shared" si="393"/>
        <v>Offensive</v>
      </c>
      <c r="AG1190">
        <f t="shared" si="399"/>
        <v>18981</v>
      </c>
      <c r="AH1190" t="str">
        <f t="shared" si="400"/>
        <v>Nelson</v>
      </c>
      <c r="AI1190" t="str">
        <f t="shared" si="401"/>
        <v>Velodrome</v>
      </c>
      <c r="AJ1190" s="18">
        <f t="shared" si="394"/>
        <v>3</v>
      </c>
      <c r="AP1190" s="18">
        <f t="shared" si="395"/>
        <v>0</v>
      </c>
      <c r="AQ1190">
        <f t="shared" si="396"/>
        <v>1080</v>
      </c>
      <c r="AR1190" s="23">
        <f t="shared" si="397"/>
        <v>1612</v>
      </c>
      <c r="AS1190">
        <f t="shared" si="402"/>
        <v>1607</v>
      </c>
      <c r="AT1190" s="21">
        <f t="shared" si="403"/>
        <v>1615</v>
      </c>
      <c r="AU1190" s="21"/>
      <c r="AV1190" s="21"/>
      <c r="AW1190" s="21"/>
    </row>
    <row r="1191" spans="1:49" x14ac:dyDescent="0.2">
      <c r="A1191">
        <v>644</v>
      </c>
      <c r="E1191">
        <f t="shared" si="398"/>
        <v>2</v>
      </c>
      <c r="J1191" t="str">
        <f t="shared" si="405"/>
        <v>9</v>
      </c>
      <c r="K1191" t="str">
        <f t="shared" si="406"/>
        <v>08</v>
      </c>
      <c r="L1191" t="str">
        <f t="shared" si="407"/>
        <v>9</v>
      </c>
      <c r="M1191" s="6" t="str">
        <f t="shared" si="408"/>
        <v>05</v>
      </c>
      <c r="N1191" t="str">
        <f t="shared" si="404"/>
        <v>Home</v>
      </c>
      <c r="O1191">
        <v>22</v>
      </c>
      <c r="P1191" t="s">
        <v>425</v>
      </c>
      <c r="Y1191" t="str">
        <f t="shared" si="391"/>
        <v/>
      </c>
      <c r="Z1191" t="str">
        <f t="shared" si="392"/>
        <v/>
      </c>
      <c r="AC1191" t="str">
        <f t="shared" si="388"/>
        <v>Zone_Entry_Exit</v>
      </c>
      <c r="AD1191" t="str">
        <f t="shared" si="389"/>
        <v>Zone_Entry</v>
      </c>
      <c r="AE1191" t="str">
        <f t="shared" si="390"/>
        <v>ZoneEntry-Rush</v>
      </c>
      <c r="AF1191" t="str">
        <f t="shared" si="393"/>
        <v>Defensive</v>
      </c>
      <c r="AG1191">
        <f t="shared" si="399"/>
        <v>18981</v>
      </c>
      <c r="AH1191" t="str">
        <f t="shared" si="400"/>
        <v>Nelson</v>
      </c>
      <c r="AI1191" t="str">
        <f t="shared" si="401"/>
        <v>Velodrome</v>
      </c>
      <c r="AJ1191" s="18">
        <f t="shared" si="394"/>
        <v>3</v>
      </c>
      <c r="AP1191" s="18">
        <f t="shared" si="395"/>
        <v>0</v>
      </c>
      <c r="AQ1191">
        <f t="shared" si="396"/>
        <v>1080</v>
      </c>
      <c r="AR1191" s="23">
        <f t="shared" si="397"/>
        <v>1612</v>
      </c>
      <c r="AS1191">
        <f t="shared" si="402"/>
        <v>1607</v>
      </c>
      <c r="AT1191" s="21">
        <f t="shared" si="403"/>
        <v>1615</v>
      </c>
      <c r="AU1191" s="21"/>
      <c r="AV1191" s="21"/>
      <c r="AW1191" s="21"/>
    </row>
    <row r="1192" spans="1:49" x14ac:dyDescent="0.2">
      <c r="A1192">
        <v>644</v>
      </c>
      <c r="E1192">
        <f t="shared" si="398"/>
        <v>2</v>
      </c>
      <c r="J1192" t="str">
        <f t="shared" si="405"/>
        <v>9</v>
      </c>
      <c r="K1192" t="str">
        <f t="shared" si="406"/>
        <v>08</v>
      </c>
      <c r="L1192" t="str">
        <f t="shared" si="407"/>
        <v>9</v>
      </c>
      <c r="M1192" s="6" t="str">
        <f t="shared" si="408"/>
        <v>05</v>
      </c>
      <c r="N1192" t="str">
        <f t="shared" si="404"/>
        <v>Home</v>
      </c>
      <c r="O1192">
        <v>52</v>
      </c>
      <c r="P1192" t="s">
        <v>425</v>
      </c>
      <c r="Y1192" t="str">
        <f t="shared" si="391"/>
        <v/>
      </c>
      <c r="Z1192" t="str">
        <f t="shared" si="392"/>
        <v/>
      </c>
      <c r="AC1192" t="str">
        <f t="shared" si="388"/>
        <v>Zone_Entry_Exit</v>
      </c>
      <c r="AD1192" t="str">
        <f t="shared" si="389"/>
        <v>Zone_Entry</v>
      </c>
      <c r="AE1192" t="str">
        <f t="shared" si="390"/>
        <v>ZoneEntry-Rush</v>
      </c>
      <c r="AF1192" t="str">
        <f t="shared" si="393"/>
        <v>Defensive</v>
      </c>
      <c r="AG1192">
        <f t="shared" si="399"/>
        <v>18981</v>
      </c>
      <c r="AH1192" t="str">
        <f t="shared" si="400"/>
        <v>Nelson</v>
      </c>
      <c r="AI1192" t="str">
        <f t="shared" si="401"/>
        <v>Velodrome</v>
      </c>
      <c r="AJ1192" s="18">
        <f t="shared" si="394"/>
        <v>3</v>
      </c>
      <c r="AP1192" s="18">
        <f t="shared" si="395"/>
        <v>0</v>
      </c>
      <c r="AQ1192">
        <f t="shared" si="396"/>
        <v>1080</v>
      </c>
      <c r="AR1192" s="23">
        <f t="shared" si="397"/>
        <v>1612</v>
      </c>
      <c r="AS1192">
        <f t="shared" si="402"/>
        <v>1607</v>
      </c>
      <c r="AT1192" s="21">
        <f t="shared" si="403"/>
        <v>1615</v>
      </c>
      <c r="AU1192" s="21"/>
      <c r="AV1192" s="21"/>
      <c r="AW1192" s="21"/>
    </row>
    <row r="1193" spans="1:49" x14ac:dyDescent="0.2">
      <c r="A1193">
        <v>645</v>
      </c>
      <c r="E1193">
        <f t="shared" si="398"/>
        <v>2</v>
      </c>
      <c r="F1193" s="5" t="s">
        <v>537</v>
      </c>
      <c r="G1193" s="5" t="s">
        <v>481</v>
      </c>
      <c r="H1193" s="5" t="s">
        <v>537</v>
      </c>
      <c r="I1193" s="7" t="s">
        <v>473</v>
      </c>
      <c r="J1193" t="str">
        <f t="shared" si="405"/>
        <v>9</v>
      </c>
      <c r="K1193" t="str">
        <f t="shared" si="406"/>
        <v>05</v>
      </c>
      <c r="L1193" t="str">
        <f t="shared" si="407"/>
        <v>9</v>
      </c>
      <c r="M1193" s="6" t="str">
        <f t="shared" si="408"/>
        <v>03</v>
      </c>
      <c r="N1193" t="s">
        <v>178</v>
      </c>
      <c r="O1193">
        <v>44</v>
      </c>
      <c r="P1193" t="s">
        <v>424</v>
      </c>
      <c r="Q1193" t="s">
        <v>15</v>
      </c>
      <c r="Y1193" t="str">
        <f t="shared" si="391"/>
        <v/>
      </c>
      <c r="Z1193" t="str">
        <f t="shared" si="392"/>
        <v/>
      </c>
      <c r="AC1193" t="str">
        <f t="shared" si="388"/>
        <v>Possession</v>
      </c>
      <c r="AD1193" t="str">
        <f t="shared" si="389"/>
        <v/>
      </c>
      <c r="AE1193" t="str">
        <f t="shared" si="390"/>
        <v/>
      </c>
      <c r="AF1193" t="str">
        <f t="shared" si="393"/>
        <v>Offensive</v>
      </c>
      <c r="AG1193">
        <f t="shared" si="399"/>
        <v>18981</v>
      </c>
      <c r="AH1193" t="str">
        <f t="shared" si="400"/>
        <v>Nelson</v>
      </c>
      <c r="AI1193" t="str">
        <f t="shared" si="401"/>
        <v>Velodrome</v>
      </c>
      <c r="AJ1193" s="18">
        <f t="shared" si="394"/>
        <v>2</v>
      </c>
      <c r="AP1193" s="18">
        <f t="shared" si="395"/>
        <v>0</v>
      </c>
      <c r="AQ1193">
        <f t="shared" si="396"/>
        <v>1080</v>
      </c>
      <c r="AR1193" s="23">
        <f t="shared" si="397"/>
        <v>1615</v>
      </c>
      <c r="AS1193">
        <f t="shared" si="402"/>
        <v>1610</v>
      </c>
      <c r="AT1193" s="21">
        <f t="shared" si="403"/>
        <v>1617</v>
      </c>
      <c r="AU1193" s="21"/>
      <c r="AV1193" s="21"/>
      <c r="AW1193" s="21"/>
    </row>
    <row r="1194" spans="1:49" x14ac:dyDescent="0.2">
      <c r="A1194">
        <v>645</v>
      </c>
      <c r="E1194">
        <f t="shared" si="398"/>
        <v>2</v>
      </c>
      <c r="J1194" t="str">
        <f t="shared" si="405"/>
        <v>9</v>
      </c>
      <c r="K1194" t="str">
        <f t="shared" si="406"/>
        <v>05</v>
      </c>
      <c r="L1194" t="str">
        <f t="shared" si="407"/>
        <v>9</v>
      </c>
      <c r="M1194" s="6" t="str">
        <f t="shared" si="408"/>
        <v>03</v>
      </c>
      <c r="N1194" t="str">
        <f t="shared" si="404"/>
        <v>Home</v>
      </c>
      <c r="O1194">
        <v>22</v>
      </c>
      <c r="P1194" t="s">
        <v>425</v>
      </c>
      <c r="Y1194" t="str">
        <f t="shared" si="391"/>
        <v/>
      </c>
      <c r="Z1194" t="str">
        <f t="shared" si="392"/>
        <v/>
      </c>
      <c r="AC1194" t="str">
        <f t="shared" si="388"/>
        <v>Possession</v>
      </c>
      <c r="AD1194" t="str">
        <f t="shared" si="389"/>
        <v/>
      </c>
      <c r="AE1194" t="str">
        <f t="shared" si="390"/>
        <v/>
      </c>
      <c r="AF1194" t="str">
        <f t="shared" si="393"/>
        <v>Defensive</v>
      </c>
      <c r="AG1194">
        <f t="shared" si="399"/>
        <v>18981</v>
      </c>
      <c r="AH1194" t="str">
        <f t="shared" si="400"/>
        <v>Nelson</v>
      </c>
      <c r="AI1194" t="str">
        <f t="shared" si="401"/>
        <v>Velodrome</v>
      </c>
      <c r="AJ1194" s="18">
        <f t="shared" si="394"/>
        <v>2</v>
      </c>
      <c r="AP1194" s="18">
        <f t="shared" si="395"/>
        <v>0</v>
      </c>
      <c r="AQ1194">
        <f t="shared" si="396"/>
        <v>1080</v>
      </c>
      <c r="AR1194" s="23">
        <f t="shared" si="397"/>
        <v>1615</v>
      </c>
      <c r="AS1194">
        <f t="shared" si="402"/>
        <v>1610</v>
      </c>
      <c r="AT1194" s="21">
        <f t="shared" si="403"/>
        <v>1617</v>
      </c>
      <c r="AU1194" s="21"/>
      <c r="AV1194" s="21"/>
      <c r="AW1194" s="21"/>
    </row>
    <row r="1195" spans="1:49" x14ac:dyDescent="0.2">
      <c r="A1195">
        <v>646</v>
      </c>
      <c r="E1195">
        <f t="shared" si="398"/>
        <v>2</v>
      </c>
      <c r="F1195" s="5" t="s">
        <v>537</v>
      </c>
      <c r="G1195" s="5" t="s">
        <v>473</v>
      </c>
      <c r="J1195" t="str">
        <f t="shared" si="405"/>
        <v>9</v>
      </c>
      <c r="K1195" t="str">
        <f t="shared" si="406"/>
        <v>03</v>
      </c>
      <c r="L1195" t="str">
        <f t="shared" si="407"/>
        <v/>
      </c>
      <c r="M1195" s="6" t="str">
        <f t="shared" si="408"/>
        <v/>
      </c>
      <c r="N1195" t="s">
        <v>178</v>
      </c>
      <c r="O1195">
        <v>44</v>
      </c>
      <c r="P1195" t="s">
        <v>424</v>
      </c>
      <c r="Q1195" t="s">
        <v>7</v>
      </c>
      <c r="R1195" t="s">
        <v>222</v>
      </c>
      <c r="S1195" t="s">
        <v>55</v>
      </c>
      <c r="Y1195" t="str">
        <f t="shared" si="391"/>
        <v/>
      </c>
      <c r="Z1195" t="str">
        <f t="shared" si="392"/>
        <v/>
      </c>
      <c r="AC1195" t="str">
        <f t="shared" si="388"/>
        <v>Shot</v>
      </c>
      <c r="AD1195" t="str">
        <f t="shared" si="389"/>
        <v>Shot_OnNetSaved</v>
      </c>
      <c r="AE1195" t="str">
        <f t="shared" si="390"/>
        <v>Shot-Backhand</v>
      </c>
      <c r="AF1195" t="str">
        <f t="shared" si="393"/>
        <v>Offensive</v>
      </c>
      <c r="AG1195">
        <f t="shared" si="399"/>
        <v>18981</v>
      </c>
      <c r="AH1195" t="str">
        <f t="shared" si="400"/>
        <v>Nelson</v>
      </c>
      <c r="AI1195" t="str">
        <f t="shared" si="401"/>
        <v>Velodrome</v>
      </c>
      <c r="AJ1195" s="18">
        <f t="shared" si="394"/>
        <v>0</v>
      </c>
      <c r="AP1195" s="18">
        <f t="shared" si="395"/>
        <v>0</v>
      </c>
      <c r="AQ1195">
        <f t="shared" si="396"/>
        <v>1080</v>
      </c>
      <c r="AR1195" s="23">
        <f t="shared" si="397"/>
        <v>1617</v>
      </c>
      <c r="AS1195">
        <f t="shared" si="402"/>
        <v>1612</v>
      </c>
      <c r="AT1195" s="21">
        <f t="shared" si="403"/>
        <v>1617</v>
      </c>
      <c r="AU1195" s="21"/>
      <c r="AV1195" s="21"/>
      <c r="AW1195" s="21"/>
    </row>
    <row r="1196" spans="1:49" x14ac:dyDescent="0.2">
      <c r="A1196">
        <v>646</v>
      </c>
      <c r="E1196">
        <f t="shared" si="398"/>
        <v>2</v>
      </c>
      <c r="J1196" t="str">
        <f t="shared" si="405"/>
        <v>9</v>
      </c>
      <c r="K1196" t="str">
        <f t="shared" si="406"/>
        <v>03</v>
      </c>
      <c r="L1196" t="str">
        <f t="shared" si="407"/>
        <v/>
      </c>
      <c r="M1196" s="6" t="str">
        <f t="shared" si="408"/>
        <v/>
      </c>
      <c r="N1196" t="str">
        <f t="shared" si="404"/>
        <v>Home</v>
      </c>
      <c r="O1196">
        <v>39</v>
      </c>
      <c r="P1196" t="s">
        <v>425</v>
      </c>
      <c r="Y1196" t="str">
        <f t="shared" si="391"/>
        <v/>
      </c>
      <c r="Z1196" t="str">
        <f t="shared" si="392"/>
        <v/>
      </c>
      <c r="AC1196" t="str">
        <f t="shared" si="388"/>
        <v>Shot</v>
      </c>
      <c r="AD1196" t="str">
        <f t="shared" si="389"/>
        <v>Shot_OnNetSaved</v>
      </c>
      <c r="AE1196" t="str">
        <f t="shared" si="390"/>
        <v>Shot-Backhand</v>
      </c>
      <c r="AF1196" t="str">
        <f t="shared" si="393"/>
        <v>Defensive</v>
      </c>
      <c r="AG1196">
        <f t="shared" si="399"/>
        <v>18981</v>
      </c>
      <c r="AH1196" t="str">
        <f t="shared" si="400"/>
        <v>Nelson</v>
      </c>
      <c r="AI1196" t="str">
        <f t="shared" si="401"/>
        <v>Velodrome</v>
      </c>
      <c r="AJ1196" s="18">
        <f t="shared" si="394"/>
        <v>0</v>
      </c>
      <c r="AP1196" s="18">
        <f t="shared" si="395"/>
        <v>0</v>
      </c>
      <c r="AQ1196">
        <f t="shared" si="396"/>
        <v>1080</v>
      </c>
      <c r="AR1196" s="23">
        <f t="shared" si="397"/>
        <v>1617</v>
      </c>
      <c r="AS1196">
        <f t="shared" si="402"/>
        <v>1612</v>
      </c>
      <c r="AT1196" s="21">
        <f t="shared" si="403"/>
        <v>1617</v>
      </c>
      <c r="AU1196" s="21"/>
      <c r="AV1196" s="21"/>
      <c r="AW1196" s="21"/>
    </row>
    <row r="1197" spans="1:49" x14ac:dyDescent="0.2">
      <c r="A1197">
        <v>647</v>
      </c>
      <c r="E1197">
        <f t="shared" si="398"/>
        <v>2</v>
      </c>
      <c r="F1197" s="5" t="s">
        <v>537</v>
      </c>
      <c r="G1197" s="5" t="s">
        <v>473</v>
      </c>
      <c r="J1197" t="str">
        <f t="shared" si="405"/>
        <v>9</v>
      </c>
      <c r="K1197" t="str">
        <f t="shared" si="406"/>
        <v>03</v>
      </c>
      <c r="L1197" t="str">
        <f t="shared" si="407"/>
        <v/>
      </c>
      <c r="M1197" s="6" t="str">
        <f t="shared" si="408"/>
        <v/>
      </c>
      <c r="N1197" t="s">
        <v>179</v>
      </c>
      <c r="O1197">
        <v>39</v>
      </c>
      <c r="P1197" t="s">
        <v>424</v>
      </c>
      <c r="Q1197" t="s">
        <v>17</v>
      </c>
      <c r="R1197" t="s">
        <v>196</v>
      </c>
      <c r="S1197" t="s">
        <v>102</v>
      </c>
      <c r="Y1197" t="str">
        <f t="shared" si="391"/>
        <v/>
      </c>
      <c r="Z1197" t="str">
        <f t="shared" si="392"/>
        <v/>
      </c>
      <c r="AC1197" t="str">
        <f t="shared" si="388"/>
        <v>Save</v>
      </c>
      <c r="AD1197" t="str">
        <f t="shared" si="389"/>
        <v>Save_Rebound</v>
      </c>
      <c r="AE1197" t="str">
        <f t="shared" si="390"/>
        <v>Save-Butterfly</v>
      </c>
      <c r="AF1197" t="str">
        <f t="shared" si="393"/>
        <v>Defensive</v>
      </c>
      <c r="AG1197">
        <f t="shared" si="399"/>
        <v>18981</v>
      </c>
      <c r="AH1197" t="str">
        <f t="shared" si="400"/>
        <v>Nelson</v>
      </c>
      <c r="AI1197" t="str">
        <f t="shared" si="401"/>
        <v>Velodrome</v>
      </c>
      <c r="AJ1197" s="18">
        <f t="shared" si="394"/>
        <v>0</v>
      </c>
      <c r="AP1197" s="18">
        <f t="shared" si="395"/>
        <v>0</v>
      </c>
      <c r="AQ1197">
        <f t="shared" si="396"/>
        <v>1080</v>
      </c>
      <c r="AR1197" s="23">
        <f t="shared" si="397"/>
        <v>1617</v>
      </c>
      <c r="AS1197">
        <f t="shared" si="402"/>
        <v>1612</v>
      </c>
      <c r="AT1197" s="21">
        <f t="shared" si="403"/>
        <v>1617</v>
      </c>
      <c r="AU1197" s="21"/>
      <c r="AV1197" s="21"/>
      <c r="AW1197" s="21"/>
    </row>
    <row r="1198" spans="1:49" x14ac:dyDescent="0.2">
      <c r="A1198">
        <v>647</v>
      </c>
      <c r="E1198">
        <f t="shared" si="398"/>
        <v>2</v>
      </c>
      <c r="J1198" t="str">
        <f t="shared" si="405"/>
        <v>9</v>
      </c>
      <c r="K1198" t="str">
        <f t="shared" si="406"/>
        <v>03</v>
      </c>
      <c r="L1198" t="str">
        <f t="shared" si="407"/>
        <v/>
      </c>
      <c r="M1198" s="6" t="str">
        <f t="shared" si="408"/>
        <v/>
      </c>
      <c r="N1198" t="s">
        <v>179</v>
      </c>
      <c r="O1198">
        <v>44</v>
      </c>
      <c r="P1198" t="s">
        <v>425</v>
      </c>
      <c r="Y1198" t="str">
        <f t="shared" si="391"/>
        <v/>
      </c>
      <c r="Z1198" t="str">
        <f t="shared" si="392"/>
        <v/>
      </c>
      <c r="AC1198" t="str">
        <f t="shared" si="388"/>
        <v>Save</v>
      </c>
      <c r="AD1198" t="str">
        <f t="shared" si="389"/>
        <v>Save_Rebound</v>
      </c>
      <c r="AE1198" t="str">
        <f t="shared" si="390"/>
        <v>Save-Butterfly</v>
      </c>
      <c r="AF1198" t="str">
        <f t="shared" si="393"/>
        <v>Offensive</v>
      </c>
      <c r="AG1198">
        <f t="shared" si="399"/>
        <v>18981</v>
      </c>
      <c r="AH1198" t="str">
        <f t="shared" si="400"/>
        <v>Nelson</v>
      </c>
      <c r="AI1198" t="str">
        <f t="shared" si="401"/>
        <v>Velodrome</v>
      </c>
      <c r="AJ1198" s="18">
        <f t="shared" si="394"/>
        <v>0</v>
      </c>
      <c r="AP1198" s="18">
        <f t="shared" si="395"/>
        <v>0</v>
      </c>
      <c r="AQ1198">
        <f t="shared" si="396"/>
        <v>1080</v>
      </c>
      <c r="AR1198" s="23">
        <f t="shared" si="397"/>
        <v>1617</v>
      </c>
      <c r="AS1198">
        <f t="shared" si="402"/>
        <v>1612</v>
      </c>
      <c r="AT1198" s="21">
        <f t="shared" si="403"/>
        <v>1617</v>
      </c>
      <c r="AU1198" s="21"/>
      <c r="AV1198" s="21"/>
      <c r="AW1198" s="21"/>
    </row>
    <row r="1199" spans="1:49" x14ac:dyDescent="0.2">
      <c r="A1199">
        <v>648</v>
      </c>
      <c r="E1199">
        <f t="shared" si="398"/>
        <v>2</v>
      </c>
      <c r="F1199" s="5" t="s">
        <v>537</v>
      </c>
      <c r="G1199" s="5" t="s">
        <v>473</v>
      </c>
      <c r="J1199" t="str">
        <f t="shared" si="405"/>
        <v>9</v>
      </c>
      <c r="K1199" t="str">
        <f t="shared" si="406"/>
        <v>03</v>
      </c>
      <c r="L1199" t="str">
        <f t="shared" si="407"/>
        <v/>
      </c>
      <c r="M1199" s="6" t="str">
        <f t="shared" si="408"/>
        <v/>
      </c>
      <c r="N1199" t="s">
        <v>179</v>
      </c>
      <c r="O1199">
        <v>39</v>
      </c>
      <c r="P1199" t="s">
        <v>424</v>
      </c>
      <c r="Q1199" t="s">
        <v>270</v>
      </c>
      <c r="R1199" t="s">
        <v>271</v>
      </c>
      <c r="Y1199" t="str">
        <f t="shared" si="391"/>
        <v/>
      </c>
      <c r="Z1199" t="str">
        <f t="shared" si="392"/>
        <v/>
      </c>
      <c r="AC1199" t="str">
        <f t="shared" ref="AC1199:AC1262" si="409">IF(Q1199&lt;&gt;"",Q1199,IF($A1199=$A1198,AC1198,""))</f>
        <v>Rebound</v>
      </c>
      <c r="AD1199" t="str">
        <f t="shared" ref="AD1199:AD1262" si="410">IF(R1199&lt;&gt;"",R1199,IF($A1199=$A1198,AD1198,""))</f>
        <v>Rebound_TeamRecovered</v>
      </c>
      <c r="AE1199" t="str">
        <f t="shared" ref="AE1199:AE1262" si="411">IF(S1199&lt;&gt;"",S1199,IF($A1199=$A1198,AE1198,""))</f>
        <v/>
      </c>
      <c r="AF1199" t="str">
        <f t="shared" si="393"/>
        <v>Offensive</v>
      </c>
      <c r="AG1199">
        <f t="shared" si="399"/>
        <v>18981</v>
      </c>
      <c r="AH1199" t="str">
        <f t="shared" si="400"/>
        <v>Nelson</v>
      </c>
      <c r="AI1199" t="str">
        <f t="shared" si="401"/>
        <v>Velodrome</v>
      </c>
      <c r="AJ1199" s="18">
        <f t="shared" si="394"/>
        <v>0</v>
      </c>
      <c r="AP1199" s="18">
        <f t="shared" si="395"/>
        <v>0</v>
      </c>
      <c r="AQ1199">
        <f t="shared" si="396"/>
        <v>1080</v>
      </c>
      <c r="AR1199" s="23">
        <f t="shared" si="397"/>
        <v>1617</v>
      </c>
      <c r="AS1199">
        <f t="shared" si="402"/>
        <v>1612</v>
      </c>
      <c r="AT1199" s="21">
        <f t="shared" si="403"/>
        <v>1617</v>
      </c>
      <c r="AU1199" s="21"/>
      <c r="AV1199" s="21"/>
      <c r="AW1199" s="21"/>
    </row>
    <row r="1200" spans="1:49" x14ac:dyDescent="0.2">
      <c r="A1200">
        <v>649</v>
      </c>
      <c r="E1200">
        <f t="shared" si="398"/>
        <v>2</v>
      </c>
      <c r="F1200" s="5" t="s">
        <v>537</v>
      </c>
      <c r="G1200" s="5" t="s">
        <v>474</v>
      </c>
      <c r="J1200" t="str">
        <f t="shared" si="405"/>
        <v>9</v>
      </c>
      <c r="K1200" t="str">
        <f t="shared" si="406"/>
        <v>02</v>
      </c>
      <c r="L1200" t="str">
        <f t="shared" si="407"/>
        <v/>
      </c>
      <c r="M1200" s="6" t="str">
        <f t="shared" si="408"/>
        <v/>
      </c>
      <c r="N1200" t="s">
        <v>179</v>
      </c>
      <c r="O1200">
        <v>22</v>
      </c>
      <c r="P1200" t="s">
        <v>424</v>
      </c>
      <c r="Q1200" t="s">
        <v>10</v>
      </c>
      <c r="R1200" t="s">
        <v>190</v>
      </c>
      <c r="S1200" t="s">
        <v>422</v>
      </c>
      <c r="Y1200" t="str">
        <f t="shared" si="391"/>
        <v/>
      </c>
      <c r="Z1200" t="str">
        <f t="shared" si="392"/>
        <v/>
      </c>
      <c r="AC1200" t="str">
        <f t="shared" si="409"/>
        <v>Turnover</v>
      </c>
      <c r="AD1200" t="str">
        <f t="shared" si="410"/>
        <v>Turnover_Giveaway</v>
      </c>
      <c r="AE1200" t="str">
        <f t="shared" si="411"/>
        <v>Giveaway-AttemptedZoneClear/Dump</v>
      </c>
      <c r="AF1200" t="str">
        <f t="shared" si="393"/>
        <v>Offensive</v>
      </c>
      <c r="AG1200">
        <f t="shared" si="399"/>
        <v>18981</v>
      </c>
      <c r="AH1200" t="str">
        <f t="shared" si="400"/>
        <v>Nelson</v>
      </c>
      <c r="AI1200" t="str">
        <f t="shared" si="401"/>
        <v>Velodrome</v>
      </c>
      <c r="AJ1200" s="18">
        <f t="shared" si="394"/>
        <v>0</v>
      </c>
      <c r="AP1200" s="18">
        <f t="shared" si="395"/>
        <v>0</v>
      </c>
      <c r="AQ1200">
        <f t="shared" si="396"/>
        <v>1080</v>
      </c>
      <c r="AR1200" s="23">
        <f t="shared" si="397"/>
        <v>1618</v>
      </c>
      <c r="AS1200">
        <f t="shared" si="402"/>
        <v>1613</v>
      </c>
      <c r="AT1200" s="21">
        <f t="shared" si="403"/>
        <v>1618</v>
      </c>
      <c r="AU1200" s="21"/>
      <c r="AV1200" s="21"/>
      <c r="AW1200" s="21"/>
    </row>
    <row r="1201" spans="1:49" x14ac:dyDescent="0.2">
      <c r="A1201">
        <v>650</v>
      </c>
      <c r="E1201">
        <f t="shared" si="398"/>
        <v>2</v>
      </c>
      <c r="F1201" s="5" t="s">
        <v>537</v>
      </c>
      <c r="G1201" s="5" t="s">
        <v>475</v>
      </c>
      <c r="J1201" t="str">
        <f t="shared" si="405"/>
        <v>9</v>
      </c>
      <c r="K1201" t="str">
        <f t="shared" si="406"/>
        <v>00</v>
      </c>
      <c r="L1201" t="str">
        <f t="shared" si="407"/>
        <v/>
      </c>
      <c r="M1201" s="6" t="str">
        <f t="shared" si="408"/>
        <v/>
      </c>
      <c r="N1201" t="s">
        <v>178</v>
      </c>
      <c r="O1201">
        <v>37</v>
      </c>
      <c r="P1201" t="s">
        <v>424</v>
      </c>
      <c r="Q1201" t="s">
        <v>277</v>
      </c>
      <c r="R1201" t="s">
        <v>210</v>
      </c>
      <c r="S1201" t="s">
        <v>93</v>
      </c>
      <c r="Y1201" t="str">
        <f t="shared" si="391"/>
        <v/>
      </c>
      <c r="Z1201" t="str">
        <f t="shared" si="392"/>
        <v/>
      </c>
      <c r="AC1201" t="str">
        <f t="shared" si="409"/>
        <v>Zone_Entry_Exit</v>
      </c>
      <c r="AD1201" t="str">
        <f t="shared" si="410"/>
        <v>Zone_Keepin</v>
      </c>
      <c r="AE1201" t="str">
        <f t="shared" si="411"/>
        <v>Zone-KeepIn</v>
      </c>
      <c r="AF1201" t="str">
        <f t="shared" si="393"/>
        <v>Offensive</v>
      </c>
      <c r="AG1201">
        <f t="shared" si="399"/>
        <v>18981</v>
      </c>
      <c r="AH1201" t="str">
        <f t="shared" si="400"/>
        <v>Nelson</v>
      </c>
      <c r="AI1201" t="str">
        <f t="shared" si="401"/>
        <v>Velodrome</v>
      </c>
      <c r="AJ1201" s="18">
        <f t="shared" si="394"/>
        <v>0</v>
      </c>
      <c r="AP1201" s="18">
        <f t="shared" si="395"/>
        <v>0</v>
      </c>
      <c r="AQ1201">
        <f t="shared" si="396"/>
        <v>1080</v>
      </c>
      <c r="AR1201" s="23">
        <f t="shared" si="397"/>
        <v>1620</v>
      </c>
      <c r="AS1201">
        <f t="shared" si="402"/>
        <v>1615</v>
      </c>
      <c r="AT1201" s="21">
        <f t="shared" si="403"/>
        <v>1620</v>
      </c>
      <c r="AU1201" s="21"/>
      <c r="AV1201" s="21"/>
      <c r="AW1201" s="21"/>
    </row>
    <row r="1202" spans="1:49" x14ac:dyDescent="0.2">
      <c r="A1202">
        <v>651</v>
      </c>
      <c r="E1202">
        <f t="shared" si="398"/>
        <v>2</v>
      </c>
      <c r="F1202" s="5" t="s">
        <v>537</v>
      </c>
      <c r="G1202" s="5" t="s">
        <v>475</v>
      </c>
      <c r="H1202" s="5" t="s">
        <v>538</v>
      </c>
      <c r="I1202" s="7" t="s">
        <v>530</v>
      </c>
      <c r="J1202" t="str">
        <f t="shared" si="405"/>
        <v>9</v>
      </c>
      <c r="K1202" t="str">
        <f t="shared" si="406"/>
        <v>00</v>
      </c>
      <c r="L1202" t="str">
        <f t="shared" si="407"/>
        <v>8</v>
      </c>
      <c r="M1202" s="6" t="str">
        <f t="shared" si="408"/>
        <v>58</v>
      </c>
      <c r="N1202" t="s">
        <v>178</v>
      </c>
      <c r="O1202">
        <v>37</v>
      </c>
      <c r="P1202" t="s">
        <v>424</v>
      </c>
      <c r="Q1202" t="s">
        <v>15</v>
      </c>
      <c r="Y1202" t="str">
        <f t="shared" si="391"/>
        <v/>
      </c>
      <c r="Z1202" t="str">
        <f t="shared" si="392"/>
        <v/>
      </c>
      <c r="AC1202" t="str">
        <f t="shared" si="409"/>
        <v>Possession</v>
      </c>
      <c r="AD1202" t="str">
        <f t="shared" si="410"/>
        <v/>
      </c>
      <c r="AE1202" t="str">
        <f t="shared" si="411"/>
        <v/>
      </c>
      <c r="AF1202" t="str">
        <f t="shared" si="393"/>
        <v>Offensive</v>
      </c>
      <c r="AG1202">
        <f t="shared" si="399"/>
        <v>18981</v>
      </c>
      <c r="AH1202" t="str">
        <f t="shared" si="400"/>
        <v>Nelson</v>
      </c>
      <c r="AI1202" t="str">
        <f t="shared" si="401"/>
        <v>Velodrome</v>
      </c>
      <c r="AJ1202" s="18">
        <f t="shared" si="394"/>
        <v>2</v>
      </c>
      <c r="AP1202" s="18">
        <f t="shared" si="395"/>
        <v>0</v>
      </c>
      <c r="AQ1202">
        <f t="shared" si="396"/>
        <v>1080</v>
      </c>
      <c r="AR1202" s="23">
        <f t="shared" si="397"/>
        <v>1620</v>
      </c>
      <c r="AS1202">
        <f t="shared" si="402"/>
        <v>1615</v>
      </c>
      <c r="AT1202" s="21">
        <f t="shared" si="403"/>
        <v>1622</v>
      </c>
      <c r="AU1202" s="21"/>
      <c r="AV1202" s="21"/>
      <c r="AW1202" s="21"/>
    </row>
    <row r="1203" spans="1:49" x14ac:dyDescent="0.2">
      <c r="A1203">
        <v>652</v>
      </c>
      <c r="E1203">
        <f t="shared" si="398"/>
        <v>2</v>
      </c>
      <c r="F1203" s="5" t="s">
        <v>538</v>
      </c>
      <c r="G1203" s="5" t="s">
        <v>530</v>
      </c>
      <c r="J1203" t="str">
        <f t="shared" si="405"/>
        <v>8</v>
      </c>
      <c r="K1203" t="str">
        <f t="shared" si="406"/>
        <v>58</v>
      </c>
      <c r="L1203" t="str">
        <f t="shared" si="407"/>
        <v/>
      </c>
      <c r="M1203" s="6" t="str">
        <f t="shared" si="408"/>
        <v/>
      </c>
      <c r="N1203" t="s">
        <v>178</v>
      </c>
      <c r="O1203">
        <v>37</v>
      </c>
      <c r="P1203" t="s">
        <v>424</v>
      </c>
      <c r="Q1203" t="s">
        <v>7</v>
      </c>
      <c r="R1203" t="s">
        <v>222</v>
      </c>
      <c r="S1203" t="s">
        <v>53</v>
      </c>
      <c r="Y1203" t="str">
        <f t="shared" si="391"/>
        <v/>
      </c>
      <c r="Z1203" t="str">
        <f t="shared" si="392"/>
        <v/>
      </c>
      <c r="AC1203" t="str">
        <f t="shared" si="409"/>
        <v>Shot</v>
      </c>
      <c r="AD1203" t="str">
        <f t="shared" si="410"/>
        <v>Shot_OnNetSaved</v>
      </c>
      <c r="AE1203" t="str">
        <f t="shared" si="411"/>
        <v>Shot-Wrist</v>
      </c>
      <c r="AF1203" t="str">
        <f t="shared" si="393"/>
        <v>Offensive</v>
      </c>
      <c r="AG1203">
        <f t="shared" si="399"/>
        <v>18981</v>
      </c>
      <c r="AH1203" t="str">
        <f t="shared" si="400"/>
        <v>Nelson</v>
      </c>
      <c r="AI1203" t="str">
        <f t="shared" si="401"/>
        <v>Velodrome</v>
      </c>
      <c r="AJ1203" s="18">
        <f t="shared" si="394"/>
        <v>0</v>
      </c>
      <c r="AP1203" s="18">
        <f t="shared" si="395"/>
        <v>0</v>
      </c>
      <c r="AQ1203">
        <f t="shared" si="396"/>
        <v>1080</v>
      </c>
      <c r="AR1203" s="23">
        <f t="shared" si="397"/>
        <v>1622</v>
      </c>
      <c r="AS1203">
        <f t="shared" si="402"/>
        <v>1617</v>
      </c>
      <c r="AT1203" s="21">
        <f t="shared" si="403"/>
        <v>1622</v>
      </c>
      <c r="AU1203" s="21"/>
      <c r="AV1203" s="21"/>
      <c r="AW1203" s="21"/>
    </row>
    <row r="1204" spans="1:49" x14ac:dyDescent="0.2">
      <c r="A1204">
        <v>652</v>
      </c>
      <c r="E1204">
        <f t="shared" si="398"/>
        <v>2</v>
      </c>
      <c r="J1204" t="str">
        <f t="shared" si="405"/>
        <v>8</v>
      </c>
      <c r="K1204" t="str">
        <f t="shared" si="406"/>
        <v>58</v>
      </c>
      <c r="L1204" t="str">
        <f t="shared" si="407"/>
        <v/>
      </c>
      <c r="M1204" s="6" t="str">
        <f t="shared" si="408"/>
        <v/>
      </c>
      <c r="N1204" t="str">
        <f t="shared" si="404"/>
        <v>Home</v>
      </c>
      <c r="O1204">
        <v>15</v>
      </c>
      <c r="P1204" t="s">
        <v>424</v>
      </c>
      <c r="Y1204" t="str">
        <f t="shared" si="391"/>
        <v/>
      </c>
      <c r="Z1204" t="str">
        <f t="shared" si="392"/>
        <v/>
      </c>
      <c r="AC1204" t="str">
        <f t="shared" si="409"/>
        <v>Shot</v>
      </c>
      <c r="AD1204" t="str">
        <f t="shared" si="410"/>
        <v>Shot_OnNetSaved</v>
      </c>
      <c r="AE1204" t="str">
        <f t="shared" si="411"/>
        <v>Shot-Wrist</v>
      </c>
      <c r="AF1204" t="str">
        <f t="shared" si="393"/>
        <v>Offensive</v>
      </c>
      <c r="AG1204">
        <f t="shared" si="399"/>
        <v>18981</v>
      </c>
      <c r="AH1204" t="str">
        <f t="shared" si="400"/>
        <v>Nelson</v>
      </c>
      <c r="AI1204" t="str">
        <f t="shared" si="401"/>
        <v>Velodrome</v>
      </c>
      <c r="AJ1204" s="18">
        <f t="shared" si="394"/>
        <v>0</v>
      </c>
      <c r="AP1204" s="18">
        <f t="shared" si="395"/>
        <v>0</v>
      </c>
      <c r="AQ1204">
        <f t="shared" si="396"/>
        <v>1080</v>
      </c>
      <c r="AR1204" s="23">
        <f t="shared" si="397"/>
        <v>1622</v>
      </c>
      <c r="AS1204">
        <f t="shared" si="402"/>
        <v>1617</v>
      </c>
      <c r="AT1204" s="21">
        <f t="shared" si="403"/>
        <v>1622</v>
      </c>
      <c r="AU1204" s="21"/>
      <c r="AV1204" s="21"/>
      <c r="AW1204" s="21"/>
    </row>
    <row r="1205" spans="1:49" x14ac:dyDescent="0.2">
      <c r="A1205">
        <v>652</v>
      </c>
      <c r="E1205">
        <f t="shared" si="398"/>
        <v>2</v>
      </c>
      <c r="J1205" t="str">
        <f t="shared" si="405"/>
        <v>8</v>
      </c>
      <c r="K1205" t="str">
        <f t="shared" si="406"/>
        <v>58</v>
      </c>
      <c r="L1205" t="str">
        <f t="shared" si="407"/>
        <v/>
      </c>
      <c r="M1205" s="6" t="str">
        <f t="shared" si="408"/>
        <v/>
      </c>
      <c r="N1205" t="str">
        <f t="shared" si="404"/>
        <v>Home</v>
      </c>
      <c r="O1205">
        <v>39</v>
      </c>
      <c r="P1205" t="s">
        <v>425</v>
      </c>
      <c r="Y1205" t="str">
        <f t="shared" si="391"/>
        <v/>
      </c>
      <c r="Z1205" t="str">
        <f t="shared" si="392"/>
        <v/>
      </c>
      <c r="AC1205" t="str">
        <f t="shared" si="409"/>
        <v>Shot</v>
      </c>
      <c r="AD1205" t="str">
        <f t="shared" si="410"/>
        <v>Shot_OnNetSaved</v>
      </c>
      <c r="AE1205" t="str">
        <f t="shared" si="411"/>
        <v>Shot-Wrist</v>
      </c>
      <c r="AF1205" t="str">
        <f t="shared" si="393"/>
        <v>Defensive</v>
      </c>
      <c r="AG1205">
        <f t="shared" si="399"/>
        <v>18981</v>
      </c>
      <c r="AH1205" t="str">
        <f t="shared" si="400"/>
        <v>Nelson</v>
      </c>
      <c r="AI1205" t="str">
        <f t="shared" si="401"/>
        <v>Velodrome</v>
      </c>
      <c r="AJ1205" s="18">
        <f t="shared" si="394"/>
        <v>0</v>
      </c>
      <c r="AP1205" s="18">
        <f t="shared" si="395"/>
        <v>0</v>
      </c>
      <c r="AQ1205">
        <f t="shared" si="396"/>
        <v>1080</v>
      </c>
      <c r="AR1205" s="23">
        <f t="shared" si="397"/>
        <v>1622</v>
      </c>
      <c r="AS1205">
        <f t="shared" si="402"/>
        <v>1617</v>
      </c>
      <c r="AT1205" s="21">
        <f t="shared" si="403"/>
        <v>1622</v>
      </c>
      <c r="AU1205" s="21"/>
      <c r="AV1205" s="21"/>
      <c r="AW1205" s="21"/>
    </row>
    <row r="1206" spans="1:49" x14ac:dyDescent="0.2">
      <c r="A1206">
        <v>653</v>
      </c>
      <c r="E1206">
        <f t="shared" si="398"/>
        <v>2</v>
      </c>
      <c r="F1206" s="5" t="s">
        <v>538</v>
      </c>
      <c r="G1206" s="5" t="s">
        <v>530</v>
      </c>
      <c r="J1206" t="str">
        <f t="shared" si="405"/>
        <v>8</v>
      </c>
      <c r="K1206" t="str">
        <f t="shared" si="406"/>
        <v>58</v>
      </c>
      <c r="L1206" t="str">
        <f t="shared" si="407"/>
        <v/>
      </c>
      <c r="M1206" s="6" t="str">
        <f t="shared" si="408"/>
        <v/>
      </c>
      <c r="N1206" t="s">
        <v>179</v>
      </c>
      <c r="O1206">
        <v>39</v>
      </c>
      <c r="P1206" t="s">
        <v>424</v>
      </c>
      <c r="Q1206" t="s">
        <v>17</v>
      </c>
      <c r="R1206" t="s">
        <v>196</v>
      </c>
      <c r="S1206" t="s">
        <v>102</v>
      </c>
      <c r="Y1206" t="str">
        <f t="shared" si="391"/>
        <v/>
      </c>
      <c r="Z1206" t="str">
        <f t="shared" si="392"/>
        <v/>
      </c>
      <c r="AC1206" t="str">
        <f t="shared" si="409"/>
        <v>Save</v>
      </c>
      <c r="AD1206" t="str">
        <f t="shared" si="410"/>
        <v>Save_Rebound</v>
      </c>
      <c r="AE1206" t="str">
        <f t="shared" si="411"/>
        <v>Save-Butterfly</v>
      </c>
      <c r="AF1206" t="str">
        <f t="shared" si="393"/>
        <v>Defensive</v>
      </c>
      <c r="AG1206">
        <f t="shared" si="399"/>
        <v>18981</v>
      </c>
      <c r="AH1206" t="str">
        <f t="shared" si="400"/>
        <v>Nelson</v>
      </c>
      <c r="AI1206" t="str">
        <f t="shared" si="401"/>
        <v>Velodrome</v>
      </c>
      <c r="AJ1206" s="18">
        <f t="shared" si="394"/>
        <v>0</v>
      </c>
      <c r="AP1206" s="18">
        <f t="shared" si="395"/>
        <v>0</v>
      </c>
      <c r="AQ1206">
        <f t="shared" si="396"/>
        <v>1080</v>
      </c>
      <c r="AR1206" s="23">
        <f t="shared" si="397"/>
        <v>1622</v>
      </c>
      <c r="AS1206">
        <f t="shared" si="402"/>
        <v>1617</v>
      </c>
      <c r="AT1206" s="21">
        <f t="shared" si="403"/>
        <v>1622</v>
      </c>
      <c r="AU1206" s="21"/>
      <c r="AV1206" s="21"/>
      <c r="AW1206" s="21"/>
    </row>
    <row r="1207" spans="1:49" x14ac:dyDescent="0.2">
      <c r="A1207">
        <v>653</v>
      </c>
      <c r="E1207">
        <f t="shared" si="398"/>
        <v>2</v>
      </c>
      <c r="J1207" t="str">
        <f t="shared" si="405"/>
        <v>8</v>
      </c>
      <c r="K1207" t="str">
        <f t="shared" si="406"/>
        <v>58</v>
      </c>
      <c r="L1207" t="str">
        <f t="shared" si="407"/>
        <v/>
      </c>
      <c r="M1207" s="6" t="str">
        <f t="shared" si="408"/>
        <v/>
      </c>
      <c r="N1207" t="str">
        <f t="shared" si="404"/>
        <v>Away</v>
      </c>
      <c r="O1207">
        <v>37</v>
      </c>
      <c r="P1207" t="s">
        <v>425</v>
      </c>
      <c r="Y1207" t="str">
        <f t="shared" si="391"/>
        <v/>
      </c>
      <c r="Z1207" t="str">
        <f t="shared" si="392"/>
        <v/>
      </c>
      <c r="AC1207" t="str">
        <f t="shared" si="409"/>
        <v>Save</v>
      </c>
      <c r="AD1207" t="str">
        <f t="shared" si="410"/>
        <v>Save_Rebound</v>
      </c>
      <c r="AE1207" t="str">
        <f t="shared" si="411"/>
        <v>Save-Butterfly</v>
      </c>
      <c r="AF1207" t="str">
        <f t="shared" si="393"/>
        <v>Offensive</v>
      </c>
      <c r="AG1207">
        <f t="shared" si="399"/>
        <v>18981</v>
      </c>
      <c r="AH1207" t="str">
        <f t="shared" si="400"/>
        <v>Nelson</v>
      </c>
      <c r="AI1207" t="str">
        <f t="shared" si="401"/>
        <v>Velodrome</v>
      </c>
      <c r="AJ1207" s="18">
        <f t="shared" si="394"/>
        <v>0</v>
      </c>
      <c r="AP1207" s="18">
        <f t="shared" si="395"/>
        <v>0</v>
      </c>
      <c r="AQ1207">
        <f t="shared" si="396"/>
        <v>1080</v>
      </c>
      <c r="AR1207" s="23">
        <f t="shared" si="397"/>
        <v>1622</v>
      </c>
      <c r="AS1207">
        <f t="shared" si="402"/>
        <v>1617</v>
      </c>
      <c r="AT1207" s="21">
        <f t="shared" si="403"/>
        <v>1622</v>
      </c>
      <c r="AU1207" s="21"/>
      <c r="AV1207" s="21"/>
      <c r="AW1207" s="21"/>
    </row>
    <row r="1208" spans="1:49" x14ac:dyDescent="0.2">
      <c r="A1208">
        <v>653</v>
      </c>
      <c r="E1208">
        <f t="shared" si="398"/>
        <v>2</v>
      </c>
      <c r="J1208" t="str">
        <f t="shared" si="405"/>
        <v>8</v>
      </c>
      <c r="K1208" t="str">
        <f t="shared" si="406"/>
        <v>58</v>
      </c>
      <c r="L1208" t="str">
        <f t="shared" si="407"/>
        <v/>
      </c>
      <c r="M1208" s="6" t="str">
        <f t="shared" si="408"/>
        <v/>
      </c>
      <c r="N1208" t="str">
        <f t="shared" si="404"/>
        <v>Away</v>
      </c>
      <c r="O1208">
        <v>15</v>
      </c>
      <c r="P1208" t="s">
        <v>425</v>
      </c>
      <c r="Y1208" t="str">
        <f t="shared" si="391"/>
        <v/>
      </c>
      <c r="Z1208" t="str">
        <f t="shared" si="392"/>
        <v/>
      </c>
      <c r="AC1208" t="str">
        <f t="shared" si="409"/>
        <v>Save</v>
      </c>
      <c r="AD1208" t="str">
        <f t="shared" si="410"/>
        <v>Save_Rebound</v>
      </c>
      <c r="AE1208" t="str">
        <f t="shared" si="411"/>
        <v>Save-Butterfly</v>
      </c>
      <c r="AF1208" t="str">
        <f t="shared" si="393"/>
        <v>Offensive</v>
      </c>
      <c r="AG1208">
        <f t="shared" si="399"/>
        <v>18981</v>
      </c>
      <c r="AH1208" t="str">
        <f t="shared" si="400"/>
        <v>Nelson</v>
      </c>
      <c r="AI1208" t="str">
        <f t="shared" si="401"/>
        <v>Velodrome</v>
      </c>
      <c r="AJ1208" s="18">
        <f t="shared" si="394"/>
        <v>0</v>
      </c>
      <c r="AP1208" s="18">
        <f t="shared" si="395"/>
        <v>0</v>
      </c>
      <c r="AQ1208">
        <f t="shared" si="396"/>
        <v>1080</v>
      </c>
      <c r="AR1208" s="23">
        <f t="shared" si="397"/>
        <v>1622</v>
      </c>
      <c r="AS1208">
        <f t="shared" si="402"/>
        <v>1617</v>
      </c>
      <c r="AT1208" s="21">
        <f t="shared" si="403"/>
        <v>1622</v>
      </c>
      <c r="AU1208" s="21"/>
      <c r="AV1208" s="21"/>
      <c r="AW1208" s="21"/>
    </row>
    <row r="1209" spans="1:49" x14ac:dyDescent="0.2">
      <c r="A1209">
        <v>654</v>
      </c>
      <c r="E1209">
        <f t="shared" si="398"/>
        <v>2</v>
      </c>
      <c r="F1209" s="5" t="s">
        <v>538</v>
      </c>
      <c r="G1209" s="5" t="s">
        <v>530</v>
      </c>
      <c r="J1209" t="str">
        <f t="shared" si="405"/>
        <v>8</v>
      </c>
      <c r="K1209" t="str">
        <f t="shared" si="406"/>
        <v>58</v>
      </c>
      <c r="L1209" t="str">
        <f t="shared" si="407"/>
        <v/>
      </c>
      <c r="M1209" s="6" t="str">
        <f t="shared" si="408"/>
        <v/>
      </c>
      <c r="N1209" t="s">
        <v>179</v>
      </c>
      <c r="O1209">
        <v>39</v>
      </c>
      <c r="P1209" t="s">
        <v>424</v>
      </c>
      <c r="Q1209" t="s">
        <v>270</v>
      </c>
      <c r="R1209" t="s">
        <v>272</v>
      </c>
      <c r="Y1209" t="str">
        <f t="shared" si="391"/>
        <v/>
      </c>
      <c r="Z1209" t="str">
        <f t="shared" si="392"/>
        <v/>
      </c>
      <c r="AC1209" t="str">
        <f t="shared" si="409"/>
        <v>Rebound</v>
      </c>
      <c r="AD1209" t="str">
        <f t="shared" si="410"/>
        <v>Rebound_OppTeamRecovered</v>
      </c>
      <c r="AE1209" t="str">
        <f t="shared" si="411"/>
        <v/>
      </c>
      <c r="AF1209" t="str">
        <f t="shared" si="393"/>
        <v>Offensive</v>
      </c>
      <c r="AG1209">
        <f t="shared" si="399"/>
        <v>18981</v>
      </c>
      <c r="AH1209" t="str">
        <f t="shared" si="400"/>
        <v>Nelson</v>
      </c>
      <c r="AI1209" t="str">
        <f t="shared" si="401"/>
        <v>Velodrome</v>
      </c>
      <c r="AJ1209" s="18">
        <f t="shared" si="394"/>
        <v>0</v>
      </c>
      <c r="AP1209" s="18">
        <f t="shared" si="395"/>
        <v>0</v>
      </c>
      <c r="AQ1209">
        <f t="shared" si="396"/>
        <v>1080</v>
      </c>
      <c r="AR1209" s="23">
        <f t="shared" si="397"/>
        <v>1622</v>
      </c>
      <c r="AS1209">
        <f t="shared" si="402"/>
        <v>1617</v>
      </c>
      <c r="AT1209" s="21">
        <f t="shared" si="403"/>
        <v>1622</v>
      </c>
      <c r="AU1209" s="21"/>
      <c r="AV1209" s="21"/>
      <c r="AW1209" s="21"/>
    </row>
    <row r="1210" spans="1:49" x14ac:dyDescent="0.2">
      <c r="A1210">
        <v>655</v>
      </c>
      <c r="E1210">
        <f t="shared" si="398"/>
        <v>2</v>
      </c>
      <c r="F1210" s="5" t="s">
        <v>538</v>
      </c>
      <c r="G1210" s="5" t="s">
        <v>528</v>
      </c>
      <c r="H1210" s="5" t="s">
        <v>538</v>
      </c>
      <c r="I1210" s="7" t="s">
        <v>525</v>
      </c>
      <c r="J1210" t="str">
        <f t="shared" si="405"/>
        <v>8</v>
      </c>
      <c r="K1210" t="str">
        <f t="shared" si="406"/>
        <v>56</v>
      </c>
      <c r="L1210" t="str">
        <f t="shared" si="407"/>
        <v>8</v>
      </c>
      <c r="M1210" s="6" t="str">
        <f t="shared" si="408"/>
        <v>53</v>
      </c>
      <c r="N1210" t="s">
        <v>178</v>
      </c>
      <c r="O1210">
        <v>79</v>
      </c>
      <c r="P1210" t="s">
        <v>424</v>
      </c>
      <c r="Q1210" t="s">
        <v>15</v>
      </c>
      <c r="Y1210" t="str">
        <f t="shared" si="391"/>
        <v/>
      </c>
      <c r="Z1210" t="str">
        <f t="shared" si="392"/>
        <v/>
      </c>
      <c r="AC1210" t="str">
        <f t="shared" si="409"/>
        <v>Possession</v>
      </c>
      <c r="AD1210" t="str">
        <f t="shared" si="410"/>
        <v/>
      </c>
      <c r="AE1210" t="str">
        <f t="shared" si="411"/>
        <v/>
      </c>
      <c r="AF1210" t="str">
        <f t="shared" si="393"/>
        <v>Offensive</v>
      </c>
      <c r="AG1210">
        <f t="shared" si="399"/>
        <v>18981</v>
      </c>
      <c r="AH1210" t="str">
        <f t="shared" si="400"/>
        <v>Nelson</v>
      </c>
      <c r="AI1210" t="str">
        <f t="shared" si="401"/>
        <v>Velodrome</v>
      </c>
      <c r="AJ1210" s="18">
        <f t="shared" si="394"/>
        <v>3</v>
      </c>
      <c r="AP1210" s="18">
        <f t="shared" si="395"/>
        <v>0</v>
      </c>
      <c r="AQ1210">
        <f t="shared" si="396"/>
        <v>1080</v>
      </c>
      <c r="AR1210" s="23">
        <f t="shared" si="397"/>
        <v>1624</v>
      </c>
      <c r="AS1210">
        <f t="shared" si="402"/>
        <v>1619</v>
      </c>
      <c r="AT1210" s="21">
        <f t="shared" si="403"/>
        <v>1627</v>
      </c>
      <c r="AU1210" s="21"/>
      <c r="AV1210" s="21"/>
      <c r="AW1210" s="21"/>
    </row>
    <row r="1211" spans="1:49" x14ac:dyDescent="0.2">
      <c r="A1211">
        <v>656</v>
      </c>
      <c r="E1211">
        <f t="shared" si="398"/>
        <v>2</v>
      </c>
      <c r="F1211" s="5" t="s">
        <v>538</v>
      </c>
      <c r="G1211" s="5" t="s">
        <v>525</v>
      </c>
      <c r="J1211" t="str">
        <f t="shared" si="405"/>
        <v>8</v>
      </c>
      <c r="K1211" t="str">
        <f t="shared" si="406"/>
        <v>53</v>
      </c>
      <c r="L1211" t="str">
        <f t="shared" si="407"/>
        <v/>
      </c>
      <c r="M1211" s="6" t="str">
        <f t="shared" si="408"/>
        <v/>
      </c>
      <c r="N1211" t="s">
        <v>178</v>
      </c>
      <c r="O1211">
        <v>79</v>
      </c>
      <c r="P1211" t="s">
        <v>424</v>
      </c>
      <c r="Q1211" t="s">
        <v>8</v>
      </c>
      <c r="R1211" t="s">
        <v>209</v>
      </c>
      <c r="S1211" t="s">
        <v>70</v>
      </c>
      <c r="Y1211" t="str">
        <f t="shared" si="391"/>
        <v/>
      </c>
      <c r="Z1211" t="str">
        <f t="shared" si="392"/>
        <v/>
      </c>
      <c r="AC1211" t="str">
        <f t="shared" si="409"/>
        <v>Pass</v>
      </c>
      <c r="AD1211" t="str">
        <f t="shared" si="410"/>
        <v>Pass_Deflected</v>
      </c>
      <c r="AE1211" t="str">
        <f t="shared" si="411"/>
        <v>Pass-Forehand</v>
      </c>
      <c r="AF1211" t="str">
        <f t="shared" si="393"/>
        <v>Offensive</v>
      </c>
      <c r="AG1211">
        <f t="shared" si="399"/>
        <v>18981</v>
      </c>
      <c r="AH1211" t="str">
        <f t="shared" si="400"/>
        <v>Nelson</v>
      </c>
      <c r="AI1211" t="str">
        <f t="shared" si="401"/>
        <v>Velodrome</v>
      </c>
      <c r="AJ1211" s="18">
        <f t="shared" si="394"/>
        <v>0</v>
      </c>
      <c r="AP1211" s="18">
        <f t="shared" si="395"/>
        <v>0</v>
      </c>
      <c r="AQ1211">
        <f t="shared" si="396"/>
        <v>1080</v>
      </c>
      <c r="AR1211" s="23">
        <f t="shared" si="397"/>
        <v>1627</v>
      </c>
      <c r="AS1211">
        <f t="shared" si="402"/>
        <v>1622</v>
      </c>
      <c r="AT1211" s="21">
        <f t="shared" si="403"/>
        <v>1627</v>
      </c>
      <c r="AU1211" s="21"/>
      <c r="AV1211" s="21"/>
      <c r="AW1211" s="21"/>
    </row>
    <row r="1212" spans="1:49" x14ac:dyDescent="0.2">
      <c r="A1212">
        <v>656</v>
      </c>
      <c r="E1212">
        <f t="shared" si="398"/>
        <v>2</v>
      </c>
      <c r="J1212" t="str">
        <f t="shared" si="405"/>
        <v>8</v>
      </c>
      <c r="K1212" t="str">
        <f t="shared" si="406"/>
        <v>53</v>
      </c>
      <c r="L1212" t="str">
        <f t="shared" si="407"/>
        <v/>
      </c>
      <c r="M1212" s="6" t="str">
        <f t="shared" si="408"/>
        <v/>
      </c>
      <c r="N1212" t="str">
        <f t="shared" si="404"/>
        <v>Home</v>
      </c>
      <c r="O1212">
        <v>23</v>
      </c>
      <c r="P1212" t="s">
        <v>424</v>
      </c>
      <c r="Y1212" t="str">
        <f t="shared" si="391"/>
        <v/>
      </c>
      <c r="Z1212" t="str">
        <f t="shared" si="392"/>
        <v/>
      </c>
      <c r="AC1212" t="str">
        <f t="shared" si="409"/>
        <v>Pass</v>
      </c>
      <c r="AD1212" t="str">
        <f t="shared" si="410"/>
        <v>Pass_Deflected</v>
      </c>
      <c r="AE1212" t="str">
        <f t="shared" si="411"/>
        <v>Pass-Forehand</v>
      </c>
      <c r="AF1212" t="str">
        <f t="shared" si="393"/>
        <v>Offensive</v>
      </c>
      <c r="AG1212">
        <f t="shared" si="399"/>
        <v>18981</v>
      </c>
      <c r="AH1212" t="str">
        <f t="shared" si="400"/>
        <v>Nelson</v>
      </c>
      <c r="AI1212" t="str">
        <f t="shared" si="401"/>
        <v>Velodrome</v>
      </c>
      <c r="AJ1212" s="18">
        <f t="shared" si="394"/>
        <v>0</v>
      </c>
      <c r="AP1212" s="18">
        <f t="shared" si="395"/>
        <v>0</v>
      </c>
      <c r="AQ1212">
        <f t="shared" si="396"/>
        <v>1080</v>
      </c>
      <c r="AR1212" s="23">
        <f t="shared" si="397"/>
        <v>1627</v>
      </c>
      <c r="AS1212">
        <f t="shared" si="402"/>
        <v>1622</v>
      </c>
      <c r="AT1212" s="21">
        <f t="shared" si="403"/>
        <v>1627</v>
      </c>
      <c r="AU1212" s="21"/>
      <c r="AV1212" s="21"/>
      <c r="AW1212" s="21"/>
    </row>
    <row r="1213" spans="1:49" x14ac:dyDescent="0.2">
      <c r="A1213">
        <v>656</v>
      </c>
      <c r="E1213">
        <f t="shared" si="398"/>
        <v>2</v>
      </c>
      <c r="J1213" t="str">
        <f t="shared" si="405"/>
        <v>8</v>
      </c>
      <c r="K1213" t="str">
        <f t="shared" si="406"/>
        <v>53</v>
      </c>
      <c r="L1213" t="str">
        <f t="shared" si="407"/>
        <v/>
      </c>
      <c r="M1213" s="6" t="str">
        <f t="shared" si="408"/>
        <v/>
      </c>
      <c r="N1213" t="str">
        <f t="shared" si="404"/>
        <v>Home</v>
      </c>
      <c r="O1213">
        <v>61</v>
      </c>
      <c r="P1213" t="s">
        <v>425</v>
      </c>
      <c r="Y1213" t="str">
        <f t="shared" si="391"/>
        <v/>
      </c>
      <c r="Z1213" t="str">
        <f t="shared" si="392"/>
        <v/>
      </c>
      <c r="AC1213" t="str">
        <f t="shared" si="409"/>
        <v>Pass</v>
      </c>
      <c r="AD1213" t="str">
        <f t="shared" si="410"/>
        <v>Pass_Deflected</v>
      </c>
      <c r="AE1213" t="str">
        <f t="shared" si="411"/>
        <v>Pass-Forehand</v>
      </c>
      <c r="AF1213" t="str">
        <f t="shared" si="393"/>
        <v>Defensive</v>
      </c>
      <c r="AG1213">
        <f t="shared" si="399"/>
        <v>18981</v>
      </c>
      <c r="AH1213" t="str">
        <f t="shared" si="400"/>
        <v>Nelson</v>
      </c>
      <c r="AI1213" t="str">
        <f t="shared" si="401"/>
        <v>Velodrome</v>
      </c>
      <c r="AJ1213" s="18">
        <f t="shared" si="394"/>
        <v>0</v>
      </c>
      <c r="AP1213" s="18">
        <f t="shared" si="395"/>
        <v>0</v>
      </c>
      <c r="AQ1213">
        <f t="shared" si="396"/>
        <v>1080</v>
      </c>
      <c r="AR1213" s="23">
        <f t="shared" si="397"/>
        <v>1627</v>
      </c>
      <c r="AS1213">
        <f t="shared" si="402"/>
        <v>1622</v>
      </c>
      <c r="AT1213" s="21">
        <f t="shared" si="403"/>
        <v>1627</v>
      </c>
      <c r="AU1213" s="21"/>
      <c r="AV1213" s="21"/>
      <c r="AW1213" s="21"/>
    </row>
    <row r="1214" spans="1:49" x14ac:dyDescent="0.2">
      <c r="A1214">
        <v>657</v>
      </c>
      <c r="E1214">
        <f t="shared" si="398"/>
        <v>2</v>
      </c>
      <c r="F1214" s="5" t="s">
        <v>538</v>
      </c>
      <c r="G1214" s="5" t="s">
        <v>522</v>
      </c>
      <c r="J1214" t="str">
        <f t="shared" si="405"/>
        <v>8</v>
      </c>
      <c r="K1214" t="str">
        <f t="shared" si="406"/>
        <v>50</v>
      </c>
      <c r="L1214" t="str">
        <f t="shared" si="407"/>
        <v/>
      </c>
      <c r="M1214" s="6" t="str">
        <f t="shared" si="408"/>
        <v/>
      </c>
      <c r="N1214" t="s">
        <v>178</v>
      </c>
      <c r="O1214">
        <v>79</v>
      </c>
      <c r="P1214" t="s">
        <v>424</v>
      </c>
      <c r="Q1214" t="s">
        <v>277</v>
      </c>
      <c r="R1214" t="s">
        <v>210</v>
      </c>
      <c r="S1214" t="s">
        <v>93</v>
      </c>
      <c r="Y1214" t="str">
        <f t="shared" si="391"/>
        <v/>
      </c>
      <c r="Z1214" t="str">
        <f t="shared" si="392"/>
        <v/>
      </c>
      <c r="AC1214" t="str">
        <f t="shared" si="409"/>
        <v>Zone_Entry_Exit</v>
      </c>
      <c r="AD1214" t="str">
        <f t="shared" si="410"/>
        <v>Zone_Keepin</v>
      </c>
      <c r="AE1214" t="str">
        <f t="shared" si="411"/>
        <v>Zone-KeepIn</v>
      </c>
      <c r="AF1214" t="str">
        <f t="shared" si="393"/>
        <v>Offensive</v>
      </c>
      <c r="AG1214">
        <f t="shared" si="399"/>
        <v>18981</v>
      </c>
      <c r="AH1214" t="str">
        <f t="shared" si="400"/>
        <v>Nelson</v>
      </c>
      <c r="AI1214" t="str">
        <f t="shared" si="401"/>
        <v>Velodrome</v>
      </c>
      <c r="AJ1214" s="18">
        <f t="shared" si="394"/>
        <v>0</v>
      </c>
      <c r="AP1214" s="18">
        <f t="shared" si="395"/>
        <v>0</v>
      </c>
      <c r="AQ1214">
        <f t="shared" si="396"/>
        <v>1080</v>
      </c>
      <c r="AR1214" s="23">
        <f t="shared" si="397"/>
        <v>1630</v>
      </c>
      <c r="AS1214">
        <f t="shared" si="402"/>
        <v>1625</v>
      </c>
      <c r="AT1214" s="21">
        <f t="shared" si="403"/>
        <v>1630</v>
      </c>
      <c r="AU1214" s="21"/>
      <c r="AV1214" s="21"/>
      <c r="AW1214" s="21"/>
    </row>
    <row r="1215" spans="1:49" x14ac:dyDescent="0.2">
      <c r="A1215">
        <v>657</v>
      </c>
      <c r="E1215">
        <f t="shared" si="398"/>
        <v>2</v>
      </c>
      <c r="J1215" t="str">
        <f t="shared" si="405"/>
        <v>8</v>
      </c>
      <c r="K1215" t="str">
        <f t="shared" si="406"/>
        <v>50</v>
      </c>
      <c r="L1215" t="str">
        <f t="shared" si="407"/>
        <v/>
      </c>
      <c r="M1215" s="6" t="str">
        <f t="shared" si="408"/>
        <v/>
      </c>
      <c r="N1215" t="str">
        <f t="shared" si="404"/>
        <v>Home</v>
      </c>
      <c r="O1215">
        <v>14</v>
      </c>
      <c r="P1215" t="s">
        <v>425</v>
      </c>
      <c r="Y1215" t="str">
        <f t="shared" si="391"/>
        <v/>
      </c>
      <c r="Z1215" t="str">
        <f t="shared" si="392"/>
        <v/>
      </c>
      <c r="AC1215" t="str">
        <f t="shared" si="409"/>
        <v>Zone_Entry_Exit</v>
      </c>
      <c r="AD1215" t="str">
        <f t="shared" si="410"/>
        <v>Zone_Keepin</v>
      </c>
      <c r="AE1215" t="str">
        <f t="shared" si="411"/>
        <v>Zone-KeepIn</v>
      </c>
      <c r="AF1215" t="str">
        <f t="shared" si="393"/>
        <v>Defensive</v>
      </c>
      <c r="AG1215">
        <f t="shared" si="399"/>
        <v>18981</v>
      </c>
      <c r="AH1215" t="str">
        <f t="shared" si="400"/>
        <v>Nelson</v>
      </c>
      <c r="AI1215" t="str">
        <f t="shared" si="401"/>
        <v>Velodrome</v>
      </c>
      <c r="AJ1215" s="18">
        <f t="shared" si="394"/>
        <v>0</v>
      </c>
      <c r="AP1215" s="18">
        <f t="shared" si="395"/>
        <v>0</v>
      </c>
      <c r="AQ1215">
        <f t="shared" si="396"/>
        <v>1080</v>
      </c>
      <c r="AR1215" s="23">
        <f t="shared" si="397"/>
        <v>1630</v>
      </c>
      <c r="AS1215">
        <f t="shared" si="402"/>
        <v>1625</v>
      </c>
      <c r="AT1215" s="21">
        <f t="shared" si="403"/>
        <v>1630</v>
      </c>
      <c r="AU1215" s="21"/>
      <c r="AV1215" s="21"/>
      <c r="AW1215" s="21"/>
    </row>
    <row r="1216" spans="1:49" x14ac:dyDescent="0.2">
      <c r="A1216">
        <v>658</v>
      </c>
      <c r="E1216">
        <f t="shared" si="398"/>
        <v>2</v>
      </c>
      <c r="F1216" s="5" t="s">
        <v>538</v>
      </c>
      <c r="G1216" s="5" t="s">
        <v>522</v>
      </c>
      <c r="H1216" s="5" t="s">
        <v>538</v>
      </c>
      <c r="I1216" s="7" t="s">
        <v>520</v>
      </c>
      <c r="J1216" t="str">
        <f t="shared" si="405"/>
        <v>8</v>
      </c>
      <c r="K1216" t="str">
        <f t="shared" si="406"/>
        <v>50</v>
      </c>
      <c r="L1216" t="str">
        <f t="shared" si="407"/>
        <v>8</v>
      </c>
      <c r="M1216" s="6" t="str">
        <f t="shared" si="408"/>
        <v>48</v>
      </c>
      <c r="N1216" t="s">
        <v>178</v>
      </c>
      <c r="O1216">
        <v>79</v>
      </c>
      <c r="P1216" t="s">
        <v>424</v>
      </c>
      <c r="Q1216" t="s">
        <v>15</v>
      </c>
      <c r="Y1216" t="str">
        <f t="shared" si="391"/>
        <v/>
      </c>
      <c r="Z1216" t="str">
        <f t="shared" si="392"/>
        <v/>
      </c>
      <c r="AC1216" t="str">
        <f t="shared" si="409"/>
        <v>Possession</v>
      </c>
      <c r="AD1216" t="str">
        <f t="shared" si="410"/>
        <v/>
      </c>
      <c r="AE1216" t="str">
        <f t="shared" si="411"/>
        <v/>
      </c>
      <c r="AF1216" t="str">
        <f t="shared" si="393"/>
        <v>Offensive</v>
      </c>
      <c r="AG1216">
        <f t="shared" si="399"/>
        <v>18981</v>
      </c>
      <c r="AH1216" t="str">
        <f t="shared" si="400"/>
        <v>Nelson</v>
      </c>
      <c r="AI1216" t="str">
        <f t="shared" si="401"/>
        <v>Velodrome</v>
      </c>
      <c r="AJ1216" s="18">
        <f t="shared" si="394"/>
        <v>2</v>
      </c>
      <c r="AP1216" s="18">
        <f t="shared" si="395"/>
        <v>0</v>
      </c>
      <c r="AQ1216">
        <f t="shared" si="396"/>
        <v>1080</v>
      </c>
      <c r="AR1216" s="23">
        <f t="shared" si="397"/>
        <v>1630</v>
      </c>
      <c r="AS1216">
        <f t="shared" si="402"/>
        <v>1625</v>
      </c>
      <c r="AT1216" s="21">
        <f t="shared" si="403"/>
        <v>1632</v>
      </c>
      <c r="AU1216" s="21"/>
      <c r="AV1216" s="21"/>
      <c r="AW1216" s="21"/>
    </row>
    <row r="1217" spans="1:49" x14ac:dyDescent="0.2">
      <c r="A1217">
        <v>658</v>
      </c>
      <c r="E1217">
        <f t="shared" si="398"/>
        <v>2</v>
      </c>
      <c r="J1217" t="str">
        <f t="shared" si="405"/>
        <v>8</v>
      </c>
      <c r="K1217" t="str">
        <f t="shared" si="406"/>
        <v>50</v>
      </c>
      <c r="L1217" t="str">
        <f t="shared" si="407"/>
        <v>8</v>
      </c>
      <c r="M1217" s="6" t="str">
        <f t="shared" si="408"/>
        <v>48</v>
      </c>
      <c r="N1217" t="str">
        <f t="shared" si="404"/>
        <v>Home</v>
      </c>
      <c r="O1217">
        <v>22</v>
      </c>
      <c r="P1217" t="s">
        <v>425</v>
      </c>
      <c r="Y1217" t="str">
        <f t="shared" si="391"/>
        <v/>
      </c>
      <c r="Z1217" t="str">
        <f t="shared" si="392"/>
        <v/>
      </c>
      <c r="AC1217" t="str">
        <f t="shared" si="409"/>
        <v>Possession</v>
      </c>
      <c r="AD1217" t="str">
        <f t="shared" si="410"/>
        <v/>
      </c>
      <c r="AE1217" t="str">
        <f t="shared" si="411"/>
        <v/>
      </c>
      <c r="AF1217" t="str">
        <f t="shared" si="393"/>
        <v>Defensive</v>
      </c>
      <c r="AG1217">
        <f t="shared" si="399"/>
        <v>18981</v>
      </c>
      <c r="AH1217" t="str">
        <f t="shared" si="400"/>
        <v>Nelson</v>
      </c>
      <c r="AI1217" t="str">
        <f t="shared" si="401"/>
        <v>Velodrome</v>
      </c>
      <c r="AJ1217" s="18">
        <f t="shared" si="394"/>
        <v>2</v>
      </c>
      <c r="AP1217" s="18">
        <f t="shared" si="395"/>
        <v>0</v>
      </c>
      <c r="AQ1217">
        <f t="shared" si="396"/>
        <v>1080</v>
      </c>
      <c r="AR1217" s="23">
        <f t="shared" si="397"/>
        <v>1630</v>
      </c>
      <c r="AS1217">
        <f t="shared" si="402"/>
        <v>1625</v>
      </c>
      <c r="AT1217" s="21">
        <f t="shared" si="403"/>
        <v>1632</v>
      </c>
      <c r="AU1217" s="21"/>
      <c r="AV1217" s="21"/>
      <c r="AW1217" s="21"/>
    </row>
    <row r="1218" spans="1:49" x14ac:dyDescent="0.2">
      <c r="A1218">
        <v>659</v>
      </c>
      <c r="E1218">
        <f t="shared" si="398"/>
        <v>2</v>
      </c>
      <c r="F1218" s="5" t="s">
        <v>538</v>
      </c>
      <c r="G1218" s="5" t="s">
        <v>520</v>
      </c>
      <c r="J1218" t="str">
        <f t="shared" si="405"/>
        <v>8</v>
      </c>
      <c r="K1218" t="str">
        <f t="shared" si="406"/>
        <v>48</v>
      </c>
      <c r="L1218" t="str">
        <f t="shared" si="407"/>
        <v/>
      </c>
      <c r="M1218" s="6" t="str">
        <f t="shared" si="408"/>
        <v/>
      </c>
      <c r="N1218" t="s">
        <v>178</v>
      </c>
      <c r="O1218">
        <v>79</v>
      </c>
      <c r="P1218" t="s">
        <v>424</v>
      </c>
      <c r="Q1218" t="s">
        <v>247</v>
      </c>
      <c r="R1218" t="s">
        <v>445</v>
      </c>
      <c r="S1218" t="s">
        <v>555</v>
      </c>
      <c r="Y1218" t="str">
        <f t="shared" si="391"/>
        <v/>
      </c>
      <c r="Z1218" t="str">
        <f t="shared" si="392"/>
        <v/>
      </c>
      <c r="AC1218" t="str">
        <f t="shared" si="409"/>
        <v>Play</v>
      </c>
      <c r="AD1218" t="str">
        <f t="shared" si="410"/>
        <v>Play_Offensive</v>
      </c>
      <c r="AE1218" t="str">
        <f t="shared" si="411"/>
        <v>Play-DumpChase</v>
      </c>
      <c r="AF1218" t="str">
        <f t="shared" si="393"/>
        <v>Offensive</v>
      </c>
      <c r="AG1218">
        <f t="shared" si="399"/>
        <v>18981</v>
      </c>
      <c r="AH1218" t="str">
        <f t="shared" si="400"/>
        <v>Nelson</v>
      </c>
      <c r="AI1218" t="str">
        <f t="shared" si="401"/>
        <v>Velodrome</v>
      </c>
      <c r="AJ1218" s="18">
        <f t="shared" si="394"/>
        <v>0</v>
      </c>
      <c r="AP1218" s="18">
        <f t="shared" si="395"/>
        <v>0</v>
      </c>
      <c r="AQ1218">
        <f t="shared" si="396"/>
        <v>1080</v>
      </c>
      <c r="AR1218" s="23">
        <f t="shared" si="397"/>
        <v>1632</v>
      </c>
      <c r="AS1218">
        <f t="shared" si="402"/>
        <v>1627</v>
      </c>
      <c r="AT1218" s="21">
        <f t="shared" si="403"/>
        <v>1632</v>
      </c>
      <c r="AU1218" s="21"/>
      <c r="AV1218" s="21"/>
      <c r="AW1218" s="21"/>
    </row>
    <row r="1219" spans="1:49" x14ac:dyDescent="0.2">
      <c r="A1219">
        <v>659</v>
      </c>
      <c r="E1219">
        <f t="shared" si="398"/>
        <v>2</v>
      </c>
      <c r="J1219" t="str">
        <f t="shared" si="405"/>
        <v>8</v>
      </c>
      <c r="K1219" t="str">
        <f t="shared" si="406"/>
        <v>48</v>
      </c>
      <c r="L1219" t="str">
        <f t="shared" si="407"/>
        <v/>
      </c>
      <c r="M1219" s="6" t="str">
        <f t="shared" si="408"/>
        <v/>
      </c>
      <c r="N1219" t="str">
        <f t="shared" si="404"/>
        <v>Home</v>
      </c>
      <c r="O1219">
        <v>22</v>
      </c>
      <c r="P1219" t="s">
        <v>425</v>
      </c>
      <c r="Y1219" t="str">
        <f t="shared" ref="Y1219:Y1282" si="412">IF($N1219="","",IF(X1219="","",IF($N1219="Home",$X1219,IF($X1219="n","n",IF($X1219="d","o",IF($X1219="o","d",""))))))</f>
        <v/>
      </c>
      <c r="Z1219" t="str">
        <f t="shared" ref="Z1219:Z1282" si="413">IF($N1219="","",IF(X1219="","",IF($N1219="Away",$X1219,IF($X1219="n","n",IF($X1219="d","o",IF($X1219="o","d",""))))))</f>
        <v/>
      </c>
      <c r="AC1219" t="str">
        <f t="shared" si="409"/>
        <v>Play</v>
      </c>
      <c r="AD1219" t="str">
        <f t="shared" si="410"/>
        <v>Play_Offensive</v>
      </c>
      <c r="AE1219" t="str">
        <f t="shared" si="411"/>
        <v>Play-DumpChase</v>
      </c>
      <c r="AF1219" t="str">
        <f t="shared" ref="AF1219:AF1282" si="414">IF(AND(P1219="e",OR(AC1219="Save",AD1219="Turnover_Takeaway",AD1219="Play_Defensive")),"Defensive",IF(AND(P1219="o",OR(AC1219="Save",AD1219="Turnover_Takeaway",AD1219="Play_Defensive")),"Offensive",IF(OR(AC1219="Deadice",AC1219="Stoppage",AC1219="Intermission"),"",IF(P1219="e","Offensive",IF(P1219="o","Defensive","")))))</f>
        <v>Defensive</v>
      </c>
      <c r="AG1219">
        <f t="shared" si="399"/>
        <v>18981</v>
      </c>
      <c r="AH1219" t="str">
        <f t="shared" si="400"/>
        <v>Nelson</v>
      </c>
      <c r="AI1219" t="str">
        <f t="shared" si="401"/>
        <v>Velodrome</v>
      </c>
      <c r="AJ1219" s="18">
        <f t="shared" ref="AJ1219:AJ1282" si="415">IF(AND(L1219="",M1219=""),0,((J1219*60)+K1219)-((L1219*60)+M1219))</f>
        <v>0</v>
      </c>
      <c r="AP1219" s="18">
        <f t="shared" ref="AP1219:AP1282" si="416">SUMIFS(AJ1219:AJ1219,Q1219:Q1219,"=Intermission")</f>
        <v>0</v>
      </c>
      <c r="AQ1219">
        <f t="shared" ref="AQ1219:AQ1282" si="417">IF(E1219=1,0,IF(E1219=2,1080+AP1219,IF(E1219=3,(1080*2)+AP1219,0)))</f>
        <v>1080</v>
      </c>
      <c r="AR1219" s="23">
        <f t="shared" ref="AR1219:AR1282" si="418">IF(Q1219="Intermission",AR1218,((1080)-((J1219*60)+K1219))+AQ1219)</f>
        <v>1632</v>
      </c>
      <c r="AS1219">
        <f t="shared" si="402"/>
        <v>1627</v>
      </c>
      <c r="AT1219" s="21">
        <f t="shared" si="403"/>
        <v>1632</v>
      </c>
      <c r="AU1219" s="21"/>
      <c r="AV1219" s="21"/>
      <c r="AW1219" s="21"/>
    </row>
    <row r="1220" spans="1:49" x14ac:dyDescent="0.2">
      <c r="A1220">
        <v>660</v>
      </c>
      <c r="E1220">
        <f t="shared" ref="E1220:E1283" si="419">IF(Q1220="Intermission",E1219+1,E1219)</f>
        <v>2</v>
      </c>
      <c r="F1220" s="5" t="s">
        <v>538</v>
      </c>
      <c r="G1220" s="5" t="s">
        <v>520</v>
      </c>
      <c r="J1220" t="str">
        <f t="shared" si="405"/>
        <v>8</v>
      </c>
      <c r="K1220" t="str">
        <f t="shared" si="406"/>
        <v>48</v>
      </c>
      <c r="L1220" t="str">
        <f t="shared" si="407"/>
        <v/>
      </c>
      <c r="M1220" s="6" t="str">
        <f t="shared" si="408"/>
        <v/>
      </c>
      <c r="N1220" t="s">
        <v>178</v>
      </c>
      <c r="O1220">
        <v>79</v>
      </c>
      <c r="P1220" t="s">
        <v>424</v>
      </c>
      <c r="Q1220" t="s">
        <v>10</v>
      </c>
      <c r="R1220" t="s">
        <v>190</v>
      </c>
      <c r="S1220" t="s">
        <v>448</v>
      </c>
      <c r="Y1220" t="str">
        <f t="shared" si="412"/>
        <v/>
      </c>
      <c r="Z1220" t="str">
        <f t="shared" si="413"/>
        <v/>
      </c>
      <c r="AC1220" t="str">
        <f t="shared" si="409"/>
        <v>Turnover</v>
      </c>
      <c r="AD1220" t="str">
        <f t="shared" si="410"/>
        <v>Turnover_Giveaway</v>
      </c>
      <c r="AE1220" t="str">
        <f t="shared" si="411"/>
        <v>Giveaway-DumpInZone</v>
      </c>
      <c r="AF1220" t="str">
        <f t="shared" si="414"/>
        <v>Offensive</v>
      </c>
      <c r="AG1220">
        <f t="shared" ref="AG1220:AG1283" si="420">AG1219</f>
        <v>18981</v>
      </c>
      <c r="AH1220" t="str">
        <f t="shared" ref="AH1220:AH1283" si="421">AH1219</f>
        <v>Nelson</v>
      </c>
      <c r="AI1220" t="str">
        <f t="shared" ref="AI1220:AI1283" si="422">AI1219</f>
        <v>Velodrome</v>
      </c>
      <c r="AJ1220" s="18">
        <f t="shared" si="415"/>
        <v>0</v>
      </c>
      <c r="AP1220" s="18">
        <f t="shared" si="416"/>
        <v>0</v>
      </c>
      <c r="AQ1220">
        <f t="shared" si="417"/>
        <v>1080</v>
      </c>
      <c r="AR1220" s="23">
        <f t="shared" si="418"/>
        <v>1632</v>
      </c>
      <c r="AS1220">
        <f t="shared" ref="AS1220:AS1283" si="423">IF(AR1220&lt;5,0,AR1220-5)</f>
        <v>1627</v>
      </c>
      <c r="AT1220" s="21">
        <f t="shared" ref="AT1220:AT1283" si="424">AS1220+AJ1220+5</f>
        <v>1632</v>
      </c>
      <c r="AU1220" s="21"/>
      <c r="AV1220" s="21"/>
      <c r="AW1220" s="21"/>
    </row>
    <row r="1221" spans="1:49" x14ac:dyDescent="0.2">
      <c r="A1221">
        <v>660</v>
      </c>
      <c r="E1221">
        <f t="shared" si="419"/>
        <v>2</v>
      </c>
      <c r="J1221" t="str">
        <f t="shared" si="405"/>
        <v>8</v>
      </c>
      <c r="K1221" t="str">
        <f t="shared" si="406"/>
        <v>48</v>
      </c>
      <c r="L1221" t="str">
        <f t="shared" si="407"/>
        <v/>
      </c>
      <c r="M1221" s="6" t="str">
        <f t="shared" si="408"/>
        <v/>
      </c>
      <c r="N1221" t="str">
        <f t="shared" si="404"/>
        <v>Home</v>
      </c>
      <c r="O1221">
        <v>22</v>
      </c>
      <c r="P1221" t="s">
        <v>425</v>
      </c>
      <c r="Y1221" t="str">
        <f t="shared" si="412"/>
        <v/>
      </c>
      <c r="Z1221" t="str">
        <f t="shared" si="413"/>
        <v/>
      </c>
      <c r="AC1221" t="str">
        <f t="shared" si="409"/>
        <v>Turnover</v>
      </c>
      <c r="AD1221" t="str">
        <f t="shared" si="410"/>
        <v>Turnover_Giveaway</v>
      </c>
      <c r="AE1221" t="str">
        <f t="shared" si="411"/>
        <v>Giveaway-DumpInZone</v>
      </c>
      <c r="AF1221" t="str">
        <f t="shared" si="414"/>
        <v>Defensive</v>
      </c>
      <c r="AG1221">
        <f t="shared" si="420"/>
        <v>18981</v>
      </c>
      <c r="AH1221" t="str">
        <f t="shared" si="421"/>
        <v>Nelson</v>
      </c>
      <c r="AI1221" t="str">
        <f t="shared" si="422"/>
        <v>Velodrome</v>
      </c>
      <c r="AJ1221" s="18">
        <f t="shared" si="415"/>
        <v>0</v>
      </c>
      <c r="AP1221" s="18">
        <f t="shared" si="416"/>
        <v>0</v>
      </c>
      <c r="AQ1221">
        <f t="shared" si="417"/>
        <v>1080</v>
      </c>
      <c r="AR1221" s="23">
        <f t="shared" si="418"/>
        <v>1632</v>
      </c>
      <c r="AS1221">
        <f t="shared" si="423"/>
        <v>1627</v>
      </c>
      <c r="AT1221" s="21">
        <f t="shared" si="424"/>
        <v>1632</v>
      </c>
      <c r="AU1221" s="21"/>
      <c r="AV1221" s="21"/>
      <c r="AW1221" s="21"/>
    </row>
    <row r="1222" spans="1:49" x14ac:dyDescent="0.2">
      <c r="A1222">
        <v>661</v>
      </c>
      <c r="E1222">
        <f t="shared" si="419"/>
        <v>2</v>
      </c>
      <c r="F1222" s="5" t="s">
        <v>538</v>
      </c>
      <c r="G1222" s="5" t="s">
        <v>514</v>
      </c>
      <c r="J1222" t="str">
        <f t="shared" si="405"/>
        <v>8</v>
      </c>
      <c r="K1222" t="str">
        <f t="shared" si="406"/>
        <v>42</v>
      </c>
      <c r="L1222" t="str">
        <f t="shared" si="407"/>
        <v/>
      </c>
      <c r="M1222" s="6" t="str">
        <f t="shared" si="408"/>
        <v/>
      </c>
      <c r="N1222" t="s">
        <v>179</v>
      </c>
      <c r="O1222">
        <v>52</v>
      </c>
      <c r="P1222" t="s">
        <v>424</v>
      </c>
      <c r="Q1222" t="s">
        <v>10</v>
      </c>
      <c r="R1222" t="s">
        <v>190</v>
      </c>
      <c r="S1222" t="s">
        <v>422</v>
      </c>
      <c r="Y1222" t="str">
        <f t="shared" si="412"/>
        <v/>
      </c>
      <c r="Z1222" t="str">
        <f t="shared" si="413"/>
        <v/>
      </c>
      <c r="AC1222" t="str">
        <f t="shared" si="409"/>
        <v>Turnover</v>
      </c>
      <c r="AD1222" t="str">
        <f t="shared" si="410"/>
        <v>Turnover_Giveaway</v>
      </c>
      <c r="AE1222" t="str">
        <f t="shared" si="411"/>
        <v>Giveaway-AttemptedZoneClear/Dump</v>
      </c>
      <c r="AF1222" t="str">
        <f t="shared" si="414"/>
        <v>Offensive</v>
      </c>
      <c r="AG1222">
        <f t="shared" si="420"/>
        <v>18981</v>
      </c>
      <c r="AH1222" t="str">
        <f t="shared" si="421"/>
        <v>Nelson</v>
      </c>
      <c r="AI1222" t="str">
        <f t="shared" si="422"/>
        <v>Velodrome</v>
      </c>
      <c r="AJ1222" s="18">
        <f t="shared" si="415"/>
        <v>0</v>
      </c>
      <c r="AP1222" s="18">
        <f t="shared" si="416"/>
        <v>0</v>
      </c>
      <c r="AQ1222">
        <f t="shared" si="417"/>
        <v>1080</v>
      </c>
      <c r="AR1222" s="23">
        <f t="shared" si="418"/>
        <v>1638</v>
      </c>
      <c r="AS1222">
        <f t="shared" si="423"/>
        <v>1633</v>
      </c>
      <c r="AT1222" s="21">
        <f t="shared" si="424"/>
        <v>1638</v>
      </c>
      <c r="AU1222" s="21"/>
      <c r="AV1222" s="21"/>
      <c r="AW1222" s="21"/>
    </row>
    <row r="1223" spans="1:49" x14ac:dyDescent="0.2">
      <c r="A1223">
        <v>662</v>
      </c>
      <c r="E1223">
        <f t="shared" si="419"/>
        <v>2</v>
      </c>
      <c r="F1223" s="5" t="s">
        <v>538</v>
      </c>
      <c r="G1223" s="5" t="s">
        <v>513</v>
      </c>
      <c r="J1223" t="str">
        <f t="shared" si="405"/>
        <v>8</v>
      </c>
      <c r="K1223" t="str">
        <f t="shared" si="406"/>
        <v>41</v>
      </c>
      <c r="L1223" t="str">
        <f t="shared" si="407"/>
        <v/>
      </c>
      <c r="M1223" s="6" t="str">
        <f t="shared" si="408"/>
        <v/>
      </c>
      <c r="N1223" t="s">
        <v>178</v>
      </c>
      <c r="O1223">
        <v>37</v>
      </c>
      <c r="P1223" t="s">
        <v>424</v>
      </c>
      <c r="Q1223" t="s">
        <v>277</v>
      </c>
      <c r="R1223" t="s">
        <v>210</v>
      </c>
      <c r="S1223" t="s">
        <v>93</v>
      </c>
      <c r="Y1223" t="str">
        <f t="shared" si="412"/>
        <v/>
      </c>
      <c r="Z1223" t="str">
        <f t="shared" si="413"/>
        <v/>
      </c>
      <c r="AC1223" t="str">
        <f t="shared" si="409"/>
        <v>Zone_Entry_Exit</v>
      </c>
      <c r="AD1223" t="str">
        <f t="shared" si="410"/>
        <v>Zone_Keepin</v>
      </c>
      <c r="AE1223" t="str">
        <f t="shared" si="411"/>
        <v>Zone-KeepIn</v>
      </c>
      <c r="AF1223" t="str">
        <f t="shared" si="414"/>
        <v>Offensive</v>
      </c>
      <c r="AG1223">
        <f t="shared" si="420"/>
        <v>18981</v>
      </c>
      <c r="AH1223" t="str">
        <f t="shared" si="421"/>
        <v>Nelson</v>
      </c>
      <c r="AI1223" t="str">
        <f t="shared" si="422"/>
        <v>Velodrome</v>
      </c>
      <c r="AJ1223" s="18">
        <f t="shared" si="415"/>
        <v>0</v>
      </c>
      <c r="AP1223" s="18">
        <f t="shared" si="416"/>
        <v>0</v>
      </c>
      <c r="AQ1223">
        <f t="shared" si="417"/>
        <v>1080</v>
      </c>
      <c r="AR1223" s="23">
        <f t="shared" si="418"/>
        <v>1639</v>
      </c>
      <c r="AS1223">
        <f t="shared" si="423"/>
        <v>1634</v>
      </c>
      <c r="AT1223" s="21">
        <f t="shared" si="424"/>
        <v>1639</v>
      </c>
      <c r="AU1223" s="21"/>
      <c r="AV1223" s="21"/>
      <c r="AW1223" s="21"/>
    </row>
    <row r="1224" spans="1:49" x14ac:dyDescent="0.2">
      <c r="A1224">
        <v>662</v>
      </c>
      <c r="E1224">
        <f t="shared" si="419"/>
        <v>2</v>
      </c>
      <c r="J1224" t="str">
        <f t="shared" si="405"/>
        <v>8</v>
      </c>
      <c r="K1224" t="str">
        <f t="shared" si="406"/>
        <v>41</v>
      </c>
      <c r="L1224" t="str">
        <f t="shared" si="407"/>
        <v/>
      </c>
      <c r="M1224" s="6" t="str">
        <f t="shared" si="408"/>
        <v/>
      </c>
      <c r="N1224" t="str">
        <f t="shared" ref="N1224:N1284" si="425">IF(A1224=A1223,N1223,"")</f>
        <v>Home</v>
      </c>
      <c r="O1224">
        <v>61</v>
      </c>
      <c r="P1224" t="s">
        <v>425</v>
      </c>
      <c r="Y1224" t="str">
        <f t="shared" si="412"/>
        <v/>
      </c>
      <c r="Z1224" t="str">
        <f t="shared" si="413"/>
        <v/>
      </c>
      <c r="AC1224" t="str">
        <f t="shared" si="409"/>
        <v>Zone_Entry_Exit</v>
      </c>
      <c r="AD1224" t="str">
        <f t="shared" si="410"/>
        <v>Zone_Keepin</v>
      </c>
      <c r="AE1224" t="str">
        <f t="shared" si="411"/>
        <v>Zone-KeepIn</v>
      </c>
      <c r="AF1224" t="str">
        <f t="shared" si="414"/>
        <v>Defensive</v>
      </c>
      <c r="AG1224">
        <f t="shared" si="420"/>
        <v>18981</v>
      </c>
      <c r="AH1224" t="str">
        <f t="shared" si="421"/>
        <v>Nelson</v>
      </c>
      <c r="AI1224" t="str">
        <f t="shared" si="422"/>
        <v>Velodrome</v>
      </c>
      <c r="AJ1224" s="18">
        <f t="shared" si="415"/>
        <v>0</v>
      </c>
      <c r="AP1224" s="18">
        <f t="shared" si="416"/>
        <v>0</v>
      </c>
      <c r="AQ1224">
        <f t="shared" si="417"/>
        <v>1080</v>
      </c>
      <c r="AR1224" s="23">
        <f t="shared" si="418"/>
        <v>1639</v>
      </c>
      <c r="AS1224">
        <f t="shared" si="423"/>
        <v>1634</v>
      </c>
      <c r="AT1224" s="21">
        <f t="shared" si="424"/>
        <v>1639</v>
      </c>
      <c r="AU1224" s="21"/>
      <c r="AV1224" s="21"/>
      <c r="AW1224" s="21"/>
    </row>
    <row r="1225" spans="1:49" x14ac:dyDescent="0.2">
      <c r="A1225">
        <v>663</v>
      </c>
      <c r="E1225">
        <f t="shared" si="419"/>
        <v>2</v>
      </c>
      <c r="F1225" s="5" t="s">
        <v>538</v>
      </c>
      <c r="G1225" s="5" t="s">
        <v>513</v>
      </c>
      <c r="H1225" s="5" t="s">
        <v>538</v>
      </c>
      <c r="I1225" s="7" t="s">
        <v>508</v>
      </c>
      <c r="J1225" t="str">
        <f t="shared" ref="J1225:J1288" si="426">IF(F1225&lt;&gt;"",F1225,IF($A1225=$A1224,J1224,J1225))</f>
        <v>8</v>
      </c>
      <c r="K1225" t="str">
        <f t="shared" ref="K1225:K1288" si="427">IF($A1225=$A1224,K1224,G1225)</f>
        <v>41</v>
      </c>
      <c r="L1225" t="str">
        <f t="shared" ref="L1225:L1288" si="428">IF(H1225&lt;&gt;"",H1225,IF($A1225=$A1224,L1224,""))</f>
        <v>8</v>
      </c>
      <c r="M1225" s="6" t="str">
        <f t="shared" ref="M1225:M1288" si="429">IF(I1225&lt;&gt;"",I1225,IF($A1225=$A1224,M1224,""))</f>
        <v>36</v>
      </c>
      <c r="N1225" t="s">
        <v>178</v>
      </c>
      <c r="O1225">
        <v>37</v>
      </c>
      <c r="P1225" t="s">
        <v>424</v>
      </c>
      <c r="Q1225" t="s">
        <v>15</v>
      </c>
      <c r="Y1225" t="str">
        <f t="shared" si="412"/>
        <v/>
      </c>
      <c r="Z1225" t="str">
        <f t="shared" si="413"/>
        <v/>
      </c>
      <c r="AC1225" t="str">
        <f t="shared" si="409"/>
        <v>Possession</v>
      </c>
      <c r="AD1225" t="str">
        <f t="shared" si="410"/>
        <v/>
      </c>
      <c r="AE1225" t="str">
        <f t="shared" si="411"/>
        <v/>
      </c>
      <c r="AF1225" t="str">
        <f t="shared" si="414"/>
        <v>Offensive</v>
      </c>
      <c r="AG1225">
        <f t="shared" si="420"/>
        <v>18981</v>
      </c>
      <c r="AH1225" t="str">
        <f t="shared" si="421"/>
        <v>Nelson</v>
      </c>
      <c r="AI1225" t="str">
        <f t="shared" si="422"/>
        <v>Velodrome</v>
      </c>
      <c r="AJ1225" s="18">
        <f t="shared" si="415"/>
        <v>5</v>
      </c>
      <c r="AP1225" s="18">
        <f t="shared" si="416"/>
        <v>0</v>
      </c>
      <c r="AQ1225">
        <f t="shared" si="417"/>
        <v>1080</v>
      </c>
      <c r="AR1225" s="23">
        <f t="shared" si="418"/>
        <v>1639</v>
      </c>
      <c r="AS1225">
        <f t="shared" si="423"/>
        <v>1634</v>
      </c>
      <c r="AT1225" s="21">
        <f t="shared" si="424"/>
        <v>1644</v>
      </c>
      <c r="AU1225" s="21"/>
      <c r="AV1225" s="21"/>
      <c r="AW1225" s="21"/>
    </row>
    <row r="1226" spans="1:49" x14ac:dyDescent="0.2">
      <c r="A1226">
        <v>663</v>
      </c>
      <c r="E1226">
        <f t="shared" si="419"/>
        <v>2</v>
      </c>
      <c r="J1226" t="str">
        <f t="shared" si="426"/>
        <v>8</v>
      </c>
      <c r="K1226" t="str">
        <f t="shared" si="427"/>
        <v>41</v>
      </c>
      <c r="L1226" t="str">
        <f t="shared" si="428"/>
        <v>8</v>
      </c>
      <c r="M1226" s="6" t="str">
        <f t="shared" si="429"/>
        <v>36</v>
      </c>
      <c r="N1226" t="str">
        <f t="shared" si="425"/>
        <v>Home</v>
      </c>
      <c r="O1226">
        <v>61</v>
      </c>
      <c r="P1226" t="s">
        <v>425</v>
      </c>
      <c r="Y1226" t="str">
        <f t="shared" si="412"/>
        <v/>
      </c>
      <c r="Z1226" t="str">
        <f t="shared" si="413"/>
        <v/>
      </c>
      <c r="AC1226" t="str">
        <f t="shared" si="409"/>
        <v>Possession</v>
      </c>
      <c r="AD1226" t="str">
        <f t="shared" si="410"/>
        <v/>
      </c>
      <c r="AE1226" t="str">
        <f t="shared" si="411"/>
        <v/>
      </c>
      <c r="AF1226" t="str">
        <f t="shared" si="414"/>
        <v>Defensive</v>
      </c>
      <c r="AG1226">
        <f t="shared" si="420"/>
        <v>18981</v>
      </c>
      <c r="AH1226" t="str">
        <f t="shared" si="421"/>
        <v>Nelson</v>
      </c>
      <c r="AI1226" t="str">
        <f t="shared" si="422"/>
        <v>Velodrome</v>
      </c>
      <c r="AJ1226" s="18">
        <f t="shared" si="415"/>
        <v>5</v>
      </c>
      <c r="AP1226" s="18">
        <f t="shared" si="416"/>
        <v>0</v>
      </c>
      <c r="AQ1226">
        <f t="shared" si="417"/>
        <v>1080</v>
      </c>
      <c r="AR1226" s="23">
        <f t="shared" si="418"/>
        <v>1639</v>
      </c>
      <c r="AS1226">
        <f t="shared" si="423"/>
        <v>1634</v>
      </c>
      <c r="AT1226" s="21">
        <f t="shared" si="424"/>
        <v>1644</v>
      </c>
      <c r="AU1226" s="21"/>
      <c r="AV1226" s="21"/>
      <c r="AW1226" s="21"/>
    </row>
    <row r="1227" spans="1:49" x14ac:dyDescent="0.2">
      <c r="A1227">
        <v>664</v>
      </c>
      <c r="E1227">
        <f t="shared" si="419"/>
        <v>2</v>
      </c>
      <c r="F1227" s="5" t="s">
        <v>538</v>
      </c>
      <c r="G1227" s="5" t="s">
        <v>507</v>
      </c>
      <c r="J1227" t="str">
        <f t="shared" si="426"/>
        <v>8</v>
      </c>
      <c r="K1227" t="str">
        <f t="shared" si="427"/>
        <v>35</v>
      </c>
      <c r="L1227" t="str">
        <f t="shared" si="428"/>
        <v/>
      </c>
      <c r="M1227" s="6" t="str">
        <f t="shared" si="429"/>
        <v/>
      </c>
      <c r="N1227" t="s">
        <v>178</v>
      </c>
      <c r="O1227">
        <v>37</v>
      </c>
      <c r="P1227" t="s">
        <v>424</v>
      </c>
      <c r="Q1227" t="s">
        <v>8</v>
      </c>
      <c r="R1227" t="s">
        <v>189</v>
      </c>
      <c r="S1227" t="s">
        <v>69</v>
      </c>
      <c r="Y1227" t="str">
        <f t="shared" si="412"/>
        <v/>
      </c>
      <c r="Z1227" t="str">
        <f t="shared" si="413"/>
        <v/>
      </c>
      <c r="AC1227" t="str">
        <f t="shared" si="409"/>
        <v>Pass</v>
      </c>
      <c r="AD1227" t="str">
        <f t="shared" si="410"/>
        <v>Pass_Completed</v>
      </c>
      <c r="AE1227" t="str">
        <f t="shared" si="411"/>
        <v>Pass-Backhand</v>
      </c>
      <c r="AF1227" t="str">
        <f t="shared" si="414"/>
        <v>Offensive</v>
      </c>
      <c r="AG1227">
        <f t="shared" si="420"/>
        <v>18981</v>
      </c>
      <c r="AH1227" t="str">
        <f t="shared" si="421"/>
        <v>Nelson</v>
      </c>
      <c r="AI1227" t="str">
        <f t="shared" si="422"/>
        <v>Velodrome</v>
      </c>
      <c r="AJ1227" s="18">
        <f t="shared" si="415"/>
        <v>0</v>
      </c>
      <c r="AP1227" s="18">
        <f t="shared" si="416"/>
        <v>0</v>
      </c>
      <c r="AQ1227">
        <f t="shared" si="417"/>
        <v>1080</v>
      </c>
      <c r="AR1227" s="23">
        <f t="shared" si="418"/>
        <v>1645</v>
      </c>
      <c r="AS1227">
        <f t="shared" si="423"/>
        <v>1640</v>
      </c>
      <c r="AT1227" s="21">
        <f t="shared" si="424"/>
        <v>1645</v>
      </c>
      <c r="AU1227" s="21"/>
      <c r="AV1227" s="21"/>
      <c r="AW1227" s="21"/>
    </row>
    <row r="1228" spans="1:49" x14ac:dyDescent="0.2">
      <c r="A1228">
        <v>664</v>
      </c>
      <c r="E1228">
        <f t="shared" si="419"/>
        <v>2</v>
      </c>
      <c r="J1228" t="str">
        <f t="shared" si="426"/>
        <v>8</v>
      </c>
      <c r="K1228" t="str">
        <f t="shared" si="427"/>
        <v>35</v>
      </c>
      <c r="L1228" t="str">
        <f t="shared" si="428"/>
        <v/>
      </c>
      <c r="M1228" s="6" t="str">
        <f t="shared" si="429"/>
        <v/>
      </c>
      <c r="N1228" t="str">
        <f t="shared" si="425"/>
        <v>Home</v>
      </c>
      <c r="O1228">
        <v>15</v>
      </c>
      <c r="P1228" t="s">
        <v>425</v>
      </c>
      <c r="Y1228" t="str">
        <f t="shared" si="412"/>
        <v/>
      </c>
      <c r="Z1228" t="str">
        <f t="shared" si="413"/>
        <v/>
      </c>
      <c r="AC1228" t="str">
        <f t="shared" si="409"/>
        <v>Pass</v>
      </c>
      <c r="AD1228" t="str">
        <f t="shared" si="410"/>
        <v>Pass_Completed</v>
      </c>
      <c r="AE1228" t="str">
        <f t="shared" si="411"/>
        <v>Pass-Backhand</v>
      </c>
      <c r="AF1228" t="str">
        <f t="shared" si="414"/>
        <v>Defensive</v>
      </c>
      <c r="AG1228">
        <f t="shared" si="420"/>
        <v>18981</v>
      </c>
      <c r="AH1228" t="str">
        <f t="shared" si="421"/>
        <v>Nelson</v>
      </c>
      <c r="AI1228" t="str">
        <f t="shared" si="422"/>
        <v>Velodrome</v>
      </c>
      <c r="AJ1228" s="18">
        <f t="shared" si="415"/>
        <v>0</v>
      </c>
      <c r="AP1228" s="18">
        <f t="shared" si="416"/>
        <v>0</v>
      </c>
      <c r="AQ1228">
        <f t="shared" si="417"/>
        <v>1080</v>
      </c>
      <c r="AR1228" s="23">
        <f t="shared" si="418"/>
        <v>1645</v>
      </c>
      <c r="AS1228">
        <f t="shared" si="423"/>
        <v>1640</v>
      </c>
      <c r="AT1228" s="21">
        <f t="shared" si="424"/>
        <v>1645</v>
      </c>
      <c r="AU1228" s="21"/>
      <c r="AV1228" s="21"/>
      <c r="AW1228" s="21"/>
    </row>
    <row r="1229" spans="1:49" x14ac:dyDescent="0.2">
      <c r="A1229">
        <v>665</v>
      </c>
      <c r="E1229">
        <f t="shared" si="419"/>
        <v>2</v>
      </c>
      <c r="F1229" s="5" t="s">
        <v>538</v>
      </c>
      <c r="G1229" s="5" t="s">
        <v>506</v>
      </c>
      <c r="J1229" t="str">
        <f t="shared" si="426"/>
        <v>8</v>
      </c>
      <c r="K1229" t="str">
        <f t="shared" si="427"/>
        <v>34</v>
      </c>
      <c r="L1229" t="str">
        <f t="shared" si="428"/>
        <v/>
      </c>
      <c r="M1229" s="6" t="str">
        <f t="shared" si="429"/>
        <v/>
      </c>
      <c r="N1229" t="s">
        <v>178</v>
      </c>
      <c r="O1229">
        <v>15</v>
      </c>
      <c r="P1229" t="s">
        <v>424</v>
      </c>
      <c r="Q1229" t="s">
        <v>7</v>
      </c>
      <c r="R1229" t="s">
        <v>222</v>
      </c>
      <c r="S1229" t="s">
        <v>55</v>
      </c>
      <c r="Y1229" t="str">
        <f t="shared" si="412"/>
        <v/>
      </c>
      <c r="Z1229" t="str">
        <f t="shared" si="413"/>
        <v/>
      </c>
      <c r="AC1229" t="str">
        <f t="shared" si="409"/>
        <v>Shot</v>
      </c>
      <c r="AD1229" t="str">
        <f t="shared" si="410"/>
        <v>Shot_OnNetSaved</v>
      </c>
      <c r="AE1229" t="str">
        <f t="shared" si="411"/>
        <v>Shot-Backhand</v>
      </c>
      <c r="AF1229" t="str">
        <f t="shared" si="414"/>
        <v>Offensive</v>
      </c>
      <c r="AG1229">
        <f t="shared" si="420"/>
        <v>18981</v>
      </c>
      <c r="AH1229" t="str">
        <f t="shared" si="421"/>
        <v>Nelson</v>
      </c>
      <c r="AI1229" t="str">
        <f t="shared" si="422"/>
        <v>Velodrome</v>
      </c>
      <c r="AJ1229" s="18">
        <f t="shared" si="415"/>
        <v>0</v>
      </c>
      <c r="AP1229" s="18">
        <f t="shared" si="416"/>
        <v>0</v>
      </c>
      <c r="AQ1229">
        <f t="shared" si="417"/>
        <v>1080</v>
      </c>
      <c r="AR1229" s="23">
        <f t="shared" si="418"/>
        <v>1646</v>
      </c>
      <c r="AS1229">
        <f t="shared" si="423"/>
        <v>1641</v>
      </c>
      <c r="AT1229" s="21">
        <f t="shared" si="424"/>
        <v>1646</v>
      </c>
      <c r="AU1229" s="21"/>
      <c r="AV1229" s="21"/>
      <c r="AW1229" s="21"/>
    </row>
    <row r="1230" spans="1:49" x14ac:dyDescent="0.2">
      <c r="A1230">
        <v>665</v>
      </c>
      <c r="E1230">
        <f t="shared" si="419"/>
        <v>2</v>
      </c>
      <c r="J1230" t="str">
        <f t="shared" si="426"/>
        <v>8</v>
      </c>
      <c r="K1230" t="str">
        <f t="shared" si="427"/>
        <v>34</v>
      </c>
      <c r="L1230" t="str">
        <f t="shared" si="428"/>
        <v/>
      </c>
      <c r="M1230" s="6" t="str">
        <f t="shared" si="429"/>
        <v/>
      </c>
      <c r="N1230" t="str">
        <f t="shared" si="425"/>
        <v>Home</v>
      </c>
      <c r="O1230">
        <v>39</v>
      </c>
      <c r="P1230" t="s">
        <v>425</v>
      </c>
      <c r="Y1230" t="str">
        <f t="shared" si="412"/>
        <v/>
      </c>
      <c r="Z1230" t="str">
        <f t="shared" si="413"/>
        <v/>
      </c>
      <c r="AC1230" t="str">
        <f t="shared" si="409"/>
        <v>Shot</v>
      </c>
      <c r="AD1230" t="str">
        <f t="shared" si="410"/>
        <v>Shot_OnNetSaved</v>
      </c>
      <c r="AE1230" t="str">
        <f t="shared" si="411"/>
        <v>Shot-Backhand</v>
      </c>
      <c r="AF1230" t="str">
        <f t="shared" si="414"/>
        <v>Defensive</v>
      </c>
      <c r="AG1230">
        <f t="shared" si="420"/>
        <v>18981</v>
      </c>
      <c r="AH1230" t="str">
        <f t="shared" si="421"/>
        <v>Nelson</v>
      </c>
      <c r="AI1230" t="str">
        <f t="shared" si="422"/>
        <v>Velodrome</v>
      </c>
      <c r="AJ1230" s="18">
        <f t="shared" si="415"/>
        <v>0</v>
      </c>
      <c r="AP1230" s="18">
        <f t="shared" si="416"/>
        <v>0</v>
      </c>
      <c r="AQ1230">
        <f t="shared" si="417"/>
        <v>1080</v>
      </c>
      <c r="AR1230" s="23">
        <f t="shared" si="418"/>
        <v>1646</v>
      </c>
      <c r="AS1230">
        <f t="shared" si="423"/>
        <v>1641</v>
      </c>
      <c r="AT1230" s="21">
        <f t="shared" si="424"/>
        <v>1646</v>
      </c>
      <c r="AU1230" s="21"/>
      <c r="AV1230" s="21"/>
      <c r="AW1230" s="21"/>
    </row>
    <row r="1231" spans="1:49" x14ac:dyDescent="0.2">
      <c r="A1231">
        <v>666</v>
      </c>
      <c r="E1231">
        <f t="shared" si="419"/>
        <v>2</v>
      </c>
      <c r="F1231" s="5" t="s">
        <v>538</v>
      </c>
      <c r="G1231" s="5" t="s">
        <v>506</v>
      </c>
      <c r="J1231" t="str">
        <f t="shared" si="426"/>
        <v>8</v>
      </c>
      <c r="K1231" t="str">
        <f t="shared" si="427"/>
        <v>34</v>
      </c>
      <c r="L1231" t="str">
        <f t="shared" si="428"/>
        <v/>
      </c>
      <c r="M1231" s="6" t="str">
        <f t="shared" si="429"/>
        <v/>
      </c>
      <c r="N1231" t="s">
        <v>179</v>
      </c>
      <c r="O1231">
        <v>39</v>
      </c>
      <c r="P1231" t="s">
        <v>424</v>
      </c>
      <c r="Q1231" t="s">
        <v>17</v>
      </c>
      <c r="R1231" t="s">
        <v>206</v>
      </c>
      <c r="S1231" t="s">
        <v>102</v>
      </c>
      <c r="Y1231" t="str">
        <f t="shared" si="412"/>
        <v/>
      </c>
      <c r="Z1231" t="str">
        <f t="shared" si="413"/>
        <v/>
      </c>
      <c r="AC1231" t="str">
        <f t="shared" si="409"/>
        <v>Save</v>
      </c>
      <c r="AD1231" t="str">
        <f t="shared" si="410"/>
        <v>Save_Freeze</v>
      </c>
      <c r="AE1231" t="str">
        <f t="shared" si="411"/>
        <v>Save-Butterfly</v>
      </c>
      <c r="AF1231" t="str">
        <f t="shared" si="414"/>
        <v>Defensive</v>
      </c>
      <c r="AG1231">
        <f t="shared" si="420"/>
        <v>18981</v>
      </c>
      <c r="AH1231" t="str">
        <f t="shared" si="421"/>
        <v>Nelson</v>
      </c>
      <c r="AI1231" t="str">
        <f t="shared" si="422"/>
        <v>Velodrome</v>
      </c>
      <c r="AJ1231" s="18">
        <f t="shared" si="415"/>
        <v>0</v>
      </c>
      <c r="AP1231" s="18">
        <f t="shared" si="416"/>
        <v>0</v>
      </c>
      <c r="AQ1231">
        <f t="shared" si="417"/>
        <v>1080</v>
      </c>
      <c r="AR1231" s="23">
        <f t="shared" si="418"/>
        <v>1646</v>
      </c>
      <c r="AS1231">
        <f t="shared" si="423"/>
        <v>1641</v>
      </c>
      <c r="AT1231" s="21">
        <f t="shared" si="424"/>
        <v>1646</v>
      </c>
      <c r="AU1231" s="21"/>
      <c r="AV1231" s="21"/>
      <c r="AW1231" s="21"/>
    </row>
    <row r="1232" spans="1:49" x14ac:dyDescent="0.2">
      <c r="A1232">
        <v>666</v>
      </c>
      <c r="E1232">
        <f t="shared" si="419"/>
        <v>2</v>
      </c>
      <c r="J1232" t="str">
        <f t="shared" si="426"/>
        <v>8</v>
      </c>
      <c r="K1232" t="str">
        <f t="shared" si="427"/>
        <v>34</v>
      </c>
      <c r="L1232" t="str">
        <f t="shared" si="428"/>
        <v/>
      </c>
      <c r="M1232" s="6" t="str">
        <f t="shared" si="429"/>
        <v/>
      </c>
      <c r="N1232" t="str">
        <f t="shared" si="425"/>
        <v>Away</v>
      </c>
      <c r="O1232">
        <v>15</v>
      </c>
      <c r="P1232" t="s">
        <v>425</v>
      </c>
      <c r="Y1232" t="str">
        <f t="shared" si="412"/>
        <v/>
      </c>
      <c r="Z1232" t="str">
        <f t="shared" si="413"/>
        <v/>
      </c>
      <c r="AC1232" t="str">
        <f t="shared" si="409"/>
        <v>Save</v>
      </c>
      <c r="AD1232" t="str">
        <f t="shared" si="410"/>
        <v>Save_Freeze</v>
      </c>
      <c r="AE1232" t="str">
        <f t="shared" si="411"/>
        <v>Save-Butterfly</v>
      </c>
      <c r="AF1232" t="str">
        <f t="shared" si="414"/>
        <v>Offensive</v>
      </c>
      <c r="AG1232">
        <f t="shared" si="420"/>
        <v>18981</v>
      </c>
      <c r="AH1232" t="str">
        <f t="shared" si="421"/>
        <v>Nelson</v>
      </c>
      <c r="AI1232" t="str">
        <f t="shared" si="422"/>
        <v>Velodrome</v>
      </c>
      <c r="AJ1232" s="18">
        <f t="shared" si="415"/>
        <v>0</v>
      </c>
      <c r="AP1232" s="18">
        <f t="shared" si="416"/>
        <v>0</v>
      </c>
      <c r="AQ1232">
        <f t="shared" si="417"/>
        <v>1080</v>
      </c>
      <c r="AR1232" s="23">
        <f t="shared" si="418"/>
        <v>1646</v>
      </c>
      <c r="AS1232">
        <f t="shared" si="423"/>
        <v>1641</v>
      </c>
      <c r="AT1232" s="21">
        <f t="shared" si="424"/>
        <v>1646</v>
      </c>
      <c r="AU1232" s="21"/>
      <c r="AV1232" s="21"/>
      <c r="AW1232" s="21"/>
    </row>
    <row r="1233" spans="1:49" x14ac:dyDescent="0.2">
      <c r="A1233">
        <v>667</v>
      </c>
      <c r="E1233">
        <f t="shared" si="419"/>
        <v>2</v>
      </c>
      <c r="F1233" s="5" t="s">
        <v>538</v>
      </c>
      <c r="G1233" s="5" t="s">
        <v>506</v>
      </c>
      <c r="J1233" t="str">
        <f t="shared" si="426"/>
        <v>8</v>
      </c>
      <c r="K1233" t="str">
        <f t="shared" si="427"/>
        <v>34</v>
      </c>
      <c r="L1233" t="str">
        <f t="shared" si="428"/>
        <v/>
      </c>
      <c r="M1233" s="6" t="str">
        <f t="shared" si="429"/>
        <v/>
      </c>
      <c r="N1233" t="s">
        <v>179</v>
      </c>
      <c r="O1233">
        <v>39</v>
      </c>
      <c r="P1233" t="s">
        <v>424</v>
      </c>
      <c r="Q1233" t="s">
        <v>13</v>
      </c>
      <c r="R1233" t="s">
        <v>204</v>
      </c>
      <c r="S1233" t="s">
        <v>110</v>
      </c>
      <c r="Y1233" t="str">
        <f t="shared" si="412"/>
        <v/>
      </c>
      <c r="Z1233" t="str">
        <f t="shared" si="413"/>
        <v/>
      </c>
      <c r="AC1233" t="str">
        <f t="shared" si="409"/>
        <v>Stoppage</v>
      </c>
      <c r="AD1233" t="str">
        <f t="shared" si="410"/>
        <v>Stoppage_Play</v>
      </c>
      <c r="AE1233" t="str">
        <f t="shared" si="411"/>
        <v>Stoppage-GoalieStoppage</v>
      </c>
      <c r="AF1233" t="str">
        <f t="shared" si="414"/>
        <v/>
      </c>
      <c r="AG1233">
        <f t="shared" si="420"/>
        <v>18981</v>
      </c>
      <c r="AH1233" t="str">
        <f t="shared" si="421"/>
        <v>Nelson</v>
      </c>
      <c r="AI1233" t="str">
        <f t="shared" si="422"/>
        <v>Velodrome</v>
      </c>
      <c r="AJ1233" s="18">
        <f t="shared" si="415"/>
        <v>0</v>
      </c>
      <c r="AP1233" s="18">
        <f t="shared" si="416"/>
        <v>0</v>
      </c>
      <c r="AQ1233">
        <f t="shared" si="417"/>
        <v>1080</v>
      </c>
      <c r="AR1233" s="23">
        <f t="shared" si="418"/>
        <v>1646</v>
      </c>
      <c r="AS1233">
        <f t="shared" si="423"/>
        <v>1641</v>
      </c>
      <c r="AT1233" s="21">
        <f t="shared" si="424"/>
        <v>1646</v>
      </c>
      <c r="AU1233" s="21"/>
      <c r="AV1233" s="21"/>
      <c r="AW1233" s="21"/>
    </row>
    <row r="1234" spans="1:49" x14ac:dyDescent="0.2">
      <c r="A1234">
        <v>668</v>
      </c>
      <c r="E1234">
        <f t="shared" si="419"/>
        <v>2</v>
      </c>
      <c r="F1234" s="5" t="s">
        <v>538</v>
      </c>
      <c r="G1234" s="5" t="s">
        <v>506</v>
      </c>
      <c r="H1234" s="5" t="s">
        <v>538</v>
      </c>
      <c r="I1234" s="7" t="s">
        <v>484</v>
      </c>
      <c r="J1234" t="str">
        <f t="shared" si="426"/>
        <v>8</v>
      </c>
      <c r="K1234" t="str">
        <f t="shared" si="427"/>
        <v>34</v>
      </c>
      <c r="L1234" t="str">
        <f t="shared" si="428"/>
        <v>8</v>
      </c>
      <c r="M1234" s="6" t="str">
        <f t="shared" si="429"/>
        <v>09</v>
      </c>
      <c r="N1234" t="s">
        <v>179</v>
      </c>
      <c r="O1234">
        <v>39</v>
      </c>
      <c r="P1234" t="s">
        <v>424</v>
      </c>
      <c r="Q1234" t="s">
        <v>282</v>
      </c>
      <c r="Y1234" t="str">
        <f t="shared" si="412"/>
        <v/>
      </c>
      <c r="Z1234" t="str">
        <f t="shared" si="413"/>
        <v/>
      </c>
      <c r="AC1234" t="str">
        <f t="shared" si="409"/>
        <v>DeadIce</v>
      </c>
      <c r="AD1234" t="str">
        <f t="shared" si="410"/>
        <v/>
      </c>
      <c r="AE1234" t="str">
        <f t="shared" si="411"/>
        <v/>
      </c>
      <c r="AF1234" t="str">
        <f t="shared" si="414"/>
        <v/>
      </c>
      <c r="AG1234">
        <f t="shared" si="420"/>
        <v>18981</v>
      </c>
      <c r="AH1234" t="str">
        <f t="shared" si="421"/>
        <v>Nelson</v>
      </c>
      <c r="AI1234" t="str">
        <f t="shared" si="422"/>
        <v>Velodrome</v>
      </c>
      <c r="AJ1234" s="18">
        <f t="shared" si="415"/>
        <v>25</v>
      </c>
      <c r="AP1234" s="18">
        <f t="shared" si="416"/>
        <v>0</v>
      </c>
      <c r="AQ1234">
        <f t="shared" si="417"/>
        <v>1080</v>
      </c>
      <c r="AR1234" s="23">
        <f t="shared" si="418"/>
        <v>1646</v>
      </c>
      <c r="AS1234">
        <f t="shared" si="423"/>
        <v>1641</v>
      </c>
      <c r="AT1234" s="21">
        <f t="shared" si="424"/>
        <v>1671</v>
      </c>
      <c r="AU1234" s="21"/>
      <c r="AV1234" s="21"/>
      <c r="AW1234" s="21"/>
    </row>
    <row r="1235" spans="1:49" x14ac:dyDescent="0.2">
      <c r="A1235">
        <v>669</v>
      </c>
      <c r="E1235">
        <f t="shared" si="419"/>
        <v>2</v>
      </c>
      <c r="F1235" s="5" t="s">
        <v>538</v>
      </c>
      <c r="G1235" s="5" t="s">
        <v>484</v>
      </c>
      <c r="J1235" t="str">
        <f t="shared" si="426"/>
        <v>8</v>
      </c>
      <c r="K1235" t="str">
        <f t="shared" si="427"/>
        <v>09</v>
      </c>
      <c r="L1235" t="str">
        <f t="shared" si="428"/>
        <v/>
      </c>
      <c r="M1235" s="6" t="str">
        <f t="shared" si="429"/>
        <v/>
      </c>
      <c r="N1235" t="s">
        <v>178</v>
      </c>
      <c r="O1235">
        <v>79</v>
      </c>
      <c r="P1235" t="s">
        <v>424</v>
      </c>
      <c r="Q1235" t="s">
        <v>6</v>
      </c>
      <c r="R1235" t="s">
        <v>275</v>
      </c>
      <c r="Y1235" t="str">
        <f t="shared" si="412"/>
        <v/>
      </c>
      <c r="Z1235" t="str">
        <f t="shared" si="413"/>
        <v/>
      </c>
      <c r="AC1235" t="str">
        <f t="shared" si="409"/>
        <v>Faceoff</v>
      </c>
      <c r="AD1235" t="str">
        <f t="shared" si="410"/>
        <v>Faceoff_AfterStoppage</v>
      </c>
      <c r="AE1235" t="str">
        <f t="shared" si="411"/>
        <v/>
      </c>
      <c r="AF1235" t="str">
        <f t="shared" si="414"/>
        <v>Offensive</v>
      </c>
      <c r="AG1235">
        <f t="shared" si="420"/>
        <v>18981</v>
      </c>
      <c r="AH1235" t="str">
        <f t="shared" si="421"/>
        <v>Nelson</v>
      </c>
      <c r="AI1235" t="str">
        <f t="shared" si="422"/>
        <v>Velodrome</v>
      </c>
      <c r="AJ1235" s="18">
        <f t="shared" si="415"/>
        <v>0</v>
      </c>
      <c r="AP1235" s="18">
        <f t="shared" si="416"/>
        <v>0</v>
      </c>
      <c r="AQ1235">
        <f t="shared" si="417"/>
        <v>1080</v>
      </c>
      <c r="AR1235" s="23">
        <f t="shared" si="418"/>
        <v>1671</v>
      </c>
      <c r="AS1235">
        <f t="shared" si="423"/>
        <v>1666</v>
      </c>
      <c r="AT1235" s="21">
        <f t="shared" si="424"/>
        <v>1671</v>
      </c>
      <c r="AU1235" s="21"/>
      <c r="AV1235" s="21"/>
      <c r="AW1235" s="21"/>
    </row>
    <row r="1236" spans="1:49" x14ac:dyDescent="0.2">
      <c r="A1236">
        <v>669</v>
      </c>
      <c r="E1236">
        <f t="shared" si="419"/>
        <v>2</v>
      </c>
      <c r="J1236" t="str">
        <f t="shared" si="426"/>
        <v>8</v>
      </c>
      <c r="K1236" t="str">
        <f t="shared" si="427"/>
        <v>09</v>
      </c>
      <c r="L1236" t="str">
        <f t="shared" si="428"/>
        <v/>
      </c>
      <c r="M1236" s="6" t="str">
        <f t="shared" si="429"/>
        <v/>
      </c>
      <c r="N1236" t="str">
        <f t="shared" si="425"/>
        <v>Home</v>
      </c>
      <c r="O1236">
        <v>23</v>
      </c>
      <c r="P1236" t="s">
        <v>424</v>
      </c>
      <c r="Y1236" t="str">
        <f t="shared" si="412"/>
        <v/>
      </c>
      <c r="Z1236" t="str">
        <f t="shared" si="413"/>
        <v/>
      </c>
      <c r="AC1236" t="str">
        <f t="shared" si="409"/>
        <v>Faceoff</v>
      </c>
      <c r="AD1236" t="str">
        <f t="shared" si="410"/>
        <v>Faceoff_AfterStoppage</v>
      </c>
      <c r="AE1236" t="str">
        <f t="shared" si="411"/>
        <v/>
      </c>
      <c r="AF1236" t="str">
        <f t="shared" si="414"/>
        <v>Offensive</v>
      </c>
      <c r="AG1236">
        <f t="shared" si="420"/>
        <v>18981</v>
      </c>
      <c r="AH1236" t="str">
        <f t="shared" si="421"/>
        <v>Nelson</v>
      </c>
      <c r="AI1236" t="str">
        <f t="shared" si="422"/>
        <v>Velodrome</v>
      </c>
      <c r="AJ1236" s="18">
        <f t="shared" si="415"/>
        <v>0</v>
      </c>
      <c r="AP1236" s="18">
        <f t="shared" si="416"/>
        <v>0</v>
      </c>
      <c r="AQ1236">
        <f t="shared" si="417"/>
        <v>1080</v>
      </c>
      <c r="AR1236" s="23">
        <f t="shared" si="418"/>
        <v>1671</v>
      </c>
      <c r="AS1236">
        <f t="shared" si="423"/>
        <v>1666</v>
      </c>
      <c r="AT1236" s="21">
        <f t="shared" si="424"/>
        <v>1671</v>
      </c>
      <c r="AU1236" s="21"/>
      <c r="AV1236" s="21"/>
      <c r="AW1236" s="21"/>
    </row>
    <row r="1237" spans="1:49" x14ac:dyDescent="0.2">
      <c r="A1237">
        <v>669</v>
      </c>
      <c r="E1237">
        <f t="shared" si="419"/>
        <v>2</v>
      </c>
      <c r="J1237" t="str">
        <f t="shared" si="426"/>
        <v>8</v>
      </c>
      <c r="K1237" t="str">
        <f t="shared" si="427"/>
        <v>09</v>
      </c>
      <c r="L1237" t="str">
        <f t="shared" si="428"/>
        <v/>
      </c>
      <c r="M1237" s="6" t="str">
        <f t="shared" si="429"/>
        <v/>
      </c>
      <c r="N1237" t="str">
        <f t="shared" si="425"/>
        <v>Home</v>
      </c>
      <c r="O1237">
        <v>87</v>
      </c>
      <c r="P1237" t="s">
        <v>425</v>
      </c>
      <c r="Y1237" t="str">
        <f t="shared" si="412"/>
        <v/>
      </c>
      <c r="Z1237" t="str">
        <f t="shared" si="413"/>
        <v/>
      </c>
      <c r="AC1237" t="str">
        <f t="shared" si="409"/>
        <v>Faceoff</v>
      </c>
      <c r="AD1237" t="str">
        <f t="shared" si="410"/>
        <v>Faceoff_AfterStoppage</v>
      </c>
      <c r="AE1237" t="str">
        <f t="shared" si="411"/>
        <v/>
      </c>
      <c r="AF1237" t="str">
        <f t="shared" si="414"/>
        <v>Defensive</v>
      </c>
      <c r="AG1237">
        <f t="shared" si="420"/>
        <v>18981</v>
      </c>
      <c r="AH1237" t="str">
        <f t="shared" si="421"/>
        <v>Nelson</v>
      </c>
      <c r="AI1237" t="str">
        <f t="shared" si="422"/>
        <v>Velodrome</v>
      </c>
      <c r="AJ1237" s="18">
        <f t="shared" si="415"/>
        <v>0</v>
      </c>
      <c r="AP1237" s="18">
        <f t="shared" si="416"/>
        <v>0</v>
      </c>
      <c r="AQ1237">
        <f t="shared" si="417"/>
        <v>1080</v>
      </c>
      <c r="AR1237" s="23">
        <f t="shared" si="418"/>
        <v>1671</v>
      </c>
      <c r="AS1237">
        <f t="shared" si="423"/>
        <v>1666</v>
      </c>
      <c r="AT1237" s="21">
        <f t="shared" si="424"/>
        <v>1671</v>
      </c>
      <c r="AU1237" s="21"/>
      <c r="AV1237" s="21"/>
      <c r="AW1237" s="21"/>
    </row>
    <row r="1238" spans="1:49" x14ac:dyDescent="0.2">
      <c r="A1238">
        <v>670</v>
      </c>
      <c r="E1238">
        <f t="shared" si="419"/>
        <v>2</v>
      </c>
      <c r="F1238" s="5" t="s">
        <v>538</v>
      </c>
      <c r="G1238" s="5" t="s">
        <v>483</v>
      </c>
      <c r="H1238" s="5" t="s">
        <v>538</v>
      </c>
      <c r="I1238" s="7" t="s">
        <v>476</v>
      </c>
      <c r="J1238" t="str">
        <f t="shared" si="426"/>
        <v>8</v>
      </c>
      <c r="K1238" t="str">
        <f t="shared" si="427"/>
        <v>08</v>
      </c>
      <c r="L1238" t="str">
        <f t="shared" si="428"/>
        <v>8</v>
      </c>
      <c r="M1238" s="6" t="str">
        <f t="shared" si="429"/>
        <v>06</v>
      </c>
      <c r="N1238" t="s">
        <v>178</v>
      </c>
      <c r="O1238">
        <v>23</v>
      </c>
      <c r="P1238" t="s">
        <v>424</v>
      </c>
      <c r="Q1238" t="s">
        <v>15</v>
      </c>
      <c r="Y1238" t="str">
        <f t="shared" si="412"/>
        <v/>
      </c>
      <c r="Z1238" t="str">
        <f t="shared" si="413"/>
        <v/>
      </c>
      <c r="AC1238" t="str">
        <f t="shared" si="409"/>
        <v>Possession</v>
      </c>
      <c r="AD1238" t="str">
        <f t="shared" si="410"/>
        <v/>
      </c>
      <c r="AE1238" t="str">
        <f t="shared" si="411"/>
        <v/>
      </c>
      <c r="AF1238" t="str">
        <f t="shared" si="414"/>
        <v>Offensive</v>
      </c>
      <c r="AG1238">
        <f t="shared" si="420"/>
        <v>18981</v>
      </c>
      <c r="AH1238" t="str">
        <f t="shared" si="421"/>
        <v>Nelson</v>
      </c>
      <c r="AI1238" t="str">
        <f t="shared" si="422"/>
        <v>Velodrome</v>
      </c>
      <c r="AJ1238" s="18">
        <f t="shared" si="415"/>
        <v>2</v>
      </c>
      <c r="AP1238" s="18">
        <f t="shared" si="416"/>
        <v>0</v>
      </c>
      <c r="AQ1238">
        <f t="shared" si="417"/>
        <v>1080</v>
      </c>
      <c r="AR1238" s="23">
        <f t="shared" si="418"/>
        <v>1672</v>
      </c>
      <c r="AS1238">
        <f t="shared" si="423"/>
        <v>1667</v>
      </c>
      <c r="AT1238" s="21">
        <f t="shared" si="424"/>
        <v>1674</v>
      </c>
      <c r="AU1238" s="21"/>
      <c r="AV1238" s="21"/>
      <c r="AW1238" s="21"/>
    </row>
    <row r="1239" spans="1:49" x14ac:dyDescent="0.2">
      <c r="A1239">
        <v>671</v>
      </c>
      <c r="E1239">
        <f t="shared" si="419"/>
        <v>2</v>
      </c>
      <c r="F1239" s="5" t="s">
        <v>538</v>
      </c>
      <c r="G1239" s="5" t="s">
        <v>476</v>
      </c>
      <c r="J1239" t="str">
        <f t="shared" si="426"/>
        <v>8</v>
      </c>
      <c r="K1239" t="str">
        <f t="shared" si="427"/>
        <v>06</v>
      </c>
      <c r="L1239" t="str">
        <f t="shared" si="428"/>
        <v/>
      </c>
      <c r="M1239" s="6" t="str">
        <f t="shared" si="429"/>
        <v/>
      </c>
      <c r="N1239" t="s">
        <v>178</v>
      </c>
      <c r="O1239">
        <v>23</v>
      </c>
      <c r="P1239" t="s">
        <v>424</v>
      </c>
      <c r="Q1239" t="s">
        <v>8</v>
      </c>
      <c r="R1239" t="s">
        <v>189</v>
      </c>
      <c r="S1239" t="s">
        <v>571</v>
      </c>
      <c r="Y1239" t="str">
        <f t="shared" si="412"/>
        <v/>
      </c>
      <c r="Z1239" t="str">
        <f t="shared" si="413"/>
        <v/>
      </c>
      <c r="AC1239" t="str">
        <f t="shared" si="409"/>
        <v>Pass</v>
      </c>
      <c r="AD1239" t="str">
        <f t="shared" si="410"/>
        <v>Pass_Completed</v>
      </c>
      <c r="AE1239" t="str">
        <f t="shared" si="411"/>
        <v>Pass-Deflected/TippedShot</v>
      </c>
      <c r="AF1239" t="str">
        <f t="shared" si="414"/>
        <v>Offensive</v>
      </c>
      <c r="AG1239">
        <f t="shared" si="420"/>
        <v>18981</v>
      </c>
      <c r="AH1239" t="str">
        <f t="shared" si="421"/>
        <v>Nelson</v>
      </c>
      <c r="AI1239" t="str">
        <f t="shared" si="422"/>
        <v>Velodrome</v>
      </c>
      <c r="AJ1239" s="18">
        <f t="shared" si="415"/>
        <v>0</v>
      </c>
      <c r="AP1239" s="18">
        <f t="shared" si="416"/>
        <v>0</v>
      </c>
      <c r="AQ1239">
        <f t="shared" si="417"/>
        <v>1080</v>
      </c>
      <c r="AR1239" s="23">
        <f t="shared" si="418"/>
        <v>1674</v>
      </c>
      <c r="AS1239">
        <f t="shared" si="423"/>
        <v>1669</v>
      </c>
      <c r="AT1239" s="21">
        <f t="shared" si="424"/>
        <v>1674</v>
      </c>
      <c r="AU1239" s="21"/>
      <c r="AV1239" s="21"/>
      <c r="AW1239" s="21"/>
    </row>
    <row r="1240" spans="1:49" x14ac:dyDescent="0.2">
      <c r="A1240">
        <v>671</v>
      </c>
      <c r="E1240">
        <f t="shared" si="419"/>
        <v>2</v>
      </c>
      <c r="J1240" t="str">
        <f t="shared" si="426"/>
        <v>8</v>
      </c>
      <c r="K1240" t="str">
        <f t="shared" si="427"/>
        <v>06</v>
      </c>
      <c r="L1240" t="str">
        <f t="shared" si="428"/>
        <v/>
      </c>
      <c r="M1240" s="6" t="str">
        <f t="shared" si="429"/>
        <v/>
      </c>
      <c r="N1240" t="str">
        <f t="shared" si="425"/>
        <v>Home</v>
      </c>
      <c r="O1240">
        <v>79</v>
      </c>
      <c r="P1240" t="s">
        <v>424</v>
      </c>
      <c r="Y1240" t="str">
        <f t="shared" si="412"/>
        <v/>
      </c>
      <c r="Z1240" t="str">
        <f t="shared" si="413"/>
        <v/>
      </c>
      <c r="AC1240" t="str">
        <f t="shared" si="409"/>
        <v>Pass</v>
      </c>
      <c r="AD1240" t="str">
        <f t="shared" si="410"/>
        <v>Pass_Completed</v>
      </c>
      <c r="AE1240" t="str">
        <f t="shared" si="411"/>
        <v>Pass-Deflected/TippedShot</v>
      </c>
      <c r="AF1240" t="str">
        <f t="shared" si="414"/>
        <v>Offensive</v>
      </c>
      <c r="AG1240">
        <f t="shared" si="420"/>
        <v>18981</v>
      </c>
      <c r="AH1240" t="str">
        <f t="shared" si="421"/>
        <v>Nelson</v>
      </c>
      <c r="AI1240" t="str">
        <f t="shared" si="422"/>
        <v>Velodrome</v>
      </c>
      <c r="AJ1240" s="18">
        <f t="shared" si="415"/>
        <v>0</v>
      </c>
      <c r="AP1240" s="18">
        <f t="shared" si="416"/>
        <v>0</v>
      </c>
      <c r="AQ1240">
        <f t="shared" si="417"/>
        <v>1080</v>
      </c>
      <c r="AR1240" s="23">
        <f t="shared" si="418"/>
        <v>1674</v>
      </c>
      <c r="AS1240">
        <f t="shared" si="423"/>
        <v>1669</v>
      </c>
      <c r="AT1240" s="21">
        <f t="shared" si="424"/>
        <v>1674</v>
      </c>
      <c r="AU1240" s="21"/>
      <c r="AV1240" s="21"/>
      <c r="AW1240" s="21"/>
    </row>
    <row r="1241" spans="1:49" x14ac:dyDescent="0.2">
      <c r="A1241">
        <v>671</v>
      </c>
      <c r="E1241">
        <f t="shared" si="419"/>
        <v>2</v>
      </c>
      <c r="J1241" t="str">
        <f t="shared" si="426"/>
        <v>8</v>
      </c>
      <c r="K1241" t="str">
        <f t="shared" si="427"/>
        <v>06</v>
      </c>
      <c r="L1241" t="str">
        <f t="shared" si="428"/>
        <v/>
      </c>
      <c r="M1241" s="6" t="str">
        <f t="shared" si="429"/>
        <v/>
      </c>
      <c r="N1241" t="str">
        <f t="shared" si="425"/>
        <v>Home</v>
      </c>
      <c r="O1241">
        <v>22</v>
      </c>
      <c r="P1241" t="s">
        <v>425</v>
      </c>
      <c r="Y1241" t="str">
        <f t="shared" si="412"/>
        <v/>
      </c>
      <c r="Z1241" t="str">
        <f t="shared" si="413"/>
        <v/>
      </c>
      <c r="AC1241" t="str">
        <f t="shared" si="409"/>
        <v>Pass</v>
      </c>
      <c r="AD1241" t="str">
        <f t="shared" si="410"/>
        <v>Pass_Completed</v>
      </c>
      <c r="AE1241" t="str">
        <f t="shared" si="411"/>
        <v>Pass-Deflected/TippedShot</v>
      </c>
      <c r="AF1241" t="str">
        <f t="shared" si="414"/>
        <v>Defensive</v>
      </c>
      <c r="AG1241">
        <f t="shared" si="420"/>
        <v>18981</v>
      </c>
      <c r="AH1241" t="str">
        <f t="shared" si="421"/>
        <v>Nelson</v>
      </c>
      <c r="AI1241" t="str">
        <f t="shared" si="422"/>
        <v>Velodrome</v>
      </c>
      <c r="AJ1241" s="18">
        <f t="shared" si="415"/>
        <v>0</v>
      </c>
      <c r="AP1241" s="18">
        <f t="shared" si="416"/>
        <v>0</v>
      </c>
      <c r="AQ1241">
        <f t="shared" si="417"/>
        <v>1080</v>
      </c>
      <c r="AR1241" s="23">
        <f t="shared" si="418"/>
        <v>1674</v>
      </c>
      <c r="AS1241">
        <f t="shared" si="423"/>
        <v>1669</v>
      </c>
      <c r="AT1241" s="21">
        <f t="shared" si="424"/>
        <v>1674</v>
      </c>
      <c r="AU1241" s="21"/>
      <c r="AV1241" s="21"/>
      <c r="AW1241" s="21"/>
    </row>
    <row r="1242" spans="1:49" x14ac:dyDescent="0.2">
      <c r="A1242">
        <v>672</v>
      </c>
      <c r="E1242">
        <f t="shared" si="419"/>
        <v>2</v>
      </c>
      <c r="F1242" s="5" t="s">
        <v>538</v>
      </c>
      <c r="G1242" s="5" t="s">
        <v>476</v>
      </c>
      <c r="J1242" t="str">
        <f t="shared" si="426"/>
        <v>8</v>
      </c>
      <c r="K1242" t="str">
        <f t="shared" si="427"/>
        <v>06</v>
      </c>
      <c r="L1242" t="str">
        <f t="shared" si="428"/>
        <v/>
      </c>
      <c r="M1242" s="6" t="str">
        <f t="shared" si="429"/>
        <v/>
      </c>
      <c r="N1242" t="s">
        <v>178</v>
      </c>
      <c r="O1242">
        <v>79</v>
      </c>
      <c r="P1242" t="s">
        <v>424</v>
      </c>
      <c r="Q1242" t="s">
        <v>7</v>
      </c>
      <c r="R1242" t="s">
        <v>224</v>
      </c>
      <c r="S1242" t="s">
        <v>56</v>
      </c>
      <c r="Y1242" t="str">
        <f t="shared" si="412"/>
        <v/>
      </c>
      <c r="Z1242" t="str">
        <f t="shared" si="413"/>
        <v/>
      </c>
      <c r="AC1242" t="str">
        <f t="shared" si="409"/>
        <v>Shot</v>
      </c>
      <c r="AD1242" t="str">
        <f t="shared" si="410"/>
        <v>Shot_TippedOnNetSaved</v>
      </c>
      <c r="AE1242" t="str">
        <f t="shared" si="411"/>
        <v>Shot-Tip</v>
      </c>
      <c r="AF1242" t="str">
        <f t="shared" si="414"/>
        <v>Offensive</v>
      </c>
      <c r="AG1242">
        <f t="shared" si="420"/>
        <v>18981</v>
      </c>
      <c r="AH1242" t="str">
        <f t="shared" si="421"/>
        <v>Nelson</v>
      </c>
      <c r="AI1242" t="str">
        <f t="shared" si="422"/>
        <v>Velodrome</v>
      </c>
      <c r="AJ1242" s="18">
        <f t="shared" si="415"/>
        <v>0</v>
      </c>
      <c r="AP1242" s="18">
        <f t="shared" si="416"/>
        <v>0</v>
      </c>
      <c r="AQ1242">
        <f t="shared" si="417"/>
        <v>1080</v>
      </c>
      <c r="AR1242" s="23">
        <f t="shared" si="418"/>
        <v>1674</v>
      </c>
      <c r="AS1242">
        <f t="shared" si="423"/>
        <v>1669</v>
      </c>
      <c r="AT1242" s="21">
        <f t="shared" si="424"/>
        <v>1674</v>
      </c>
      <c r="AU1242" s="21"/>
      <c r="AV1242" s="21"/>
      <c r="AW1242" s="21"/>
    </row>
    <row r="1243" spans="1:49" x14ac:dyDescent="0.2">
      <c r="A1243">
        <v>672</v>
      </c>
      <c r="E1243">
        <f t="shared" si="419"/>
        <v>2</v>
      </c>
      <c r="J1243" t="str">
        <f t="shared" si="426"/>
        <v>8</v>
      </c>
      <c r="K1243" t="str">
        <f t="shared" si="427"/>
        <v>06</v>
      </c>
      <c r="L1243" t="str">
        <f t="shared" si="428"/>
        <v/>
      </c>
      <c r="M1243" s="6" t="str">
        <f t="shared" si="429"/>
        <v/>
      </c>
      <c r="N1243" t="str">
        <f t="shared" si="425"/>
        <v>Home</v>
      </c>
      <c r="O1243">
        <v>39</v>
      </c>
      <c r="P1243" t="s">
        <v>425</v>
      </c>
      <c r="Y1243" t="str">
        <f t="shared" si="412"/>
        <v/>
      </c>
      <c r="Z1243" t="str">
        <f t="shared" si="413"/>
        <v/>
      </c>
      <c r="AC1243" t="str">
        <f t="shared" si="409"/>
        <v>Shot</v>
      </c>
      <c r="AD1243" t="str">
        <f t="shared" si="410"/>
        <v>Shot_TippedOnNetSaved</v>
      </c>
      <c r="AE1243" t="str">
        <f t="shared" si="411"/>
        <v>Shot-Tip</v>
      </c>
      <c r="AF1243" t="str">
        <f t="shared" si="414"/>
        <v>Defensive</v>
      </c>
      <c r="AG1243">
        <f t="shared" si="420"/>
        <v>18981</v>
      </c>
      <c r="AH1243" t="str">
        <f t="shared" si="421"/>
        <v>Nelson</v>
      </c>
      <c r="AI1243" t="str">
        <f t="shared" si="422"/>
        <v>Velodrome</v>
      </c>
      <c r="AJ1243" s="18">
        <f t="shared" si="415"/>
        <v>0</v>
      </c>
      <c r="AP1243" s="18">
        <f t="shared" si="416"/>
        <v>0</v>
      </c>
      <c r="AQ1243">
        <f t="shared" si="417"/>
        <v>1080</v>
      </c>
      <c r="AR1243" s="23">
        <f t="shared" si="418"/>
        <v>1674</v>
      </c>
      <c r="AS1243">
        <f t="shared" si="423"/>
        <v>1669</v>
      </c>
      <c r="AT1243" s="21">
        <f t="shared" si="424"/>
        <v>1674</v>
      </c>
      <c r="AU1243" s="21"/>
      <c r="AV1243" s="21"/>
      <c r="AW1243" s="21"/>
    </row>
    <row r="1244" spans="1:49" x14ac:dyDescent="0.2">
      <c r="A1244">
        <v>672</v>
      </c>
      <c r="E1244">
        <f t="shared" si="419"/>
        <v>2</v>
      </c>
      <c r="J1244" t="str">
        <f t="shared" si="426"/>
        <v>8</v>
      </c>
      <c r="K1244" t="str">
        <f t="shared" si="427"/>
        <v>06</v>
      </c>
      <c r="L1244" t="str">
        <f t="shared" si="428"/>
        <v/>
      </c>
      <c r="M1244" s="6" t="str">
        <f t="shared" si="429"/>
        <v/>
      </c>
      <c r="N1244" t="str">
        <f t="shared" si="425"/>
        <v>Home</v>
      </c>
      <c r="O1244">
        <v>22</v>
      </c>
      <c r="P1244" t="s">
        <v>425</v>
      </c>
      <c r="Y1244" t="str">
        <f t="shared" si="412"/>
        <v/>
      </c>
      <c r="Z1244" t="str">
        <f t="shared" si="413"/>
        <v/>
      </c>
      <c r="AC1244" t="str">
        <f t="shared" si="409"/>
        <v>Shot</v>
      </c>
      <c r="AD1244" t="str">
        <f t="shared" si="410"/>
        <v>Shot_TippedOnNetSaved</v>
      </c>
      <c r="AE1244" t="str">
        <f t="shared" si="411"/>
        <v>Shot-Tip</v>
      </c>
      <c r="AF1244" t="str">
        <f t="shared" si="414"/>
        <v>Defensive</v>
      </c>
      <c r="AG1244">
        <f t="shared" si="420"/>
        <v>18981</v>
      </c>
      <c r="AH1244" t="str">
        <f t="shared" si="421"/>
        <v>Nelson</v>
      </c>
      <c r="AI1244" t="str">
        <f t="shared" si="422"/>
        <v>Velodrome</v>
      </c>
      <c r="AJ1244" s="18">
        <f t="shared" si="415"/>
        <v>0</v>
      </c>
      <c r="AP1244" s="18">
        <f t="shared" si="416"/>
        <v>0</v>
      </c>
      <c r="AQ1244">
        <f t="shared" si="417"/>
        <v>1080</v>
      </c>
      <c r="AR1244" s="23">
        <f t="shared" si="418"/>
        <v>1674</v>
      </c>
      <c r="AS1244">
        <f t="shared" si="423"/>
        <v>1669</v>
      </c>
      <c r="AT1244" s="21">
        <f t="shared" si="424"/>
        <v>1674</v>
      </c>
      <c r="AU1244" s="21"/>
      <c r="AV1244" s="21"/>
      <c r="AW1244" s="21"/>
    </row>
    <row r="1245" spans="1:49" x14ac:dyDescent="0.2">
      <c r="A1245">
        <v>673</v>
      </c>
      <c r="E1245">
        <f t="shared" si="419"/>
        <v>2</v>
      </c>
      <c r="F1245" s="5" t="s">
        <v>538</v>
      </c>
      <c r="G1245" s="5" t="s">
        <v>476</v>
      </c>
      <c r="J1245" t="str">
        <f t="shared" si="426"/>
        <v>8</v>
      </c>
      <c r="K1245" t="str">
        <f t="shared" si="427"/>
        <v>06</v>
      </c>
      <c r="L1245" t="str">
        <f t="shared" si="428"/>
        <v/>
      </c>
      <c r="M1245" s="6" t="str">
        <f t="shared" si="429"/>
        <v/>
      </c>
      <c r="N1245" t="s">
        <v>179</v>
      </c>
      <c r="O1245">
        <v>39</v>
      </c>
      <c r="P1245" t="s">
        <v>424</v>
      </c>
      <c r="Q1245" t="s">
        <v>17</v>
      </c>
      <c r="R1245" t="s">
        <v>196</v>
      </c>
      <c r="S1245" t="s">
        <v>99</v>
      </c>
      <c r="Y1245" t="str">
        <f t="shared" si="412"/>
        <v/>
      </c>
      <c r="Z1245" t="str">
        <f t="shared" si="413"/>
        <v/>
      </c>
      <c r="AC1245" t="str">
        <f t="shared" si="409"/>
        <v>Save</v>
      </c>
      <c r="AD1245" t="str">
        <f t="shared" si="410"/>
        <v>Save_Rebound</v>
      </c>
      <c r="AE1245" t="str">
        <f t="shared" si="411"/>
        <v>Save-RightPad</v>
      </c>
      <c r="AF1245" t="str">
        <f t="shared" si="414"/>
        <v>Defensive</v>
      </c>
      <c r="AG1245">
        <f t="shared" si="420"/>
        <v>18981</v>
      </c>
      <c r="AH1245" t="str">
        <f t="shared" si="421"/>
        <v>Nelson</v>
      </c>
      <c r="AI1245" t="str">
        <f t="shared" si="422"/>
        <v>Velodrome</v>
      </c>
      <c r="AJ1245" s="18">
        <f t="shared" si="415"/>
        <v>0</v>
      </c>
      <c r="AP1245" s="18">
        <f t="shared" si="416"/>
        <v>0</v>
      </c>
      <c r="AQ1245">
        <f t="shared" si="417"/>
        <v>1080</v>
      </c>
      <c r="AR1245" s="23">
        <f t="shared" si="418"/>
        <v>1674</v>
      </c>
      <c r="AS1245">
        <f t="shared" si="423"/>
        <v>1669</v>
      </c>
      <c r="AT1245" s="21">
        <f t="shared" si="424"/>
        <v>1674</v>
      </c>
      <c r="AU1245" s="21"/>
      <c r="AV1245" s="21"/>
      <c r="AW1245" s="21"/>
    </row>
    <row r="1246" spans="1:49" x14ac:dyDescent="0.2">
      <c r="A1246">
        <v>673</v>
      </c>
      <c r="E1246">
        <f t="shared" si="419"/>
        <v>2</v>
      </c>
      <c r="J1246" t="str">
        <f t="shared" si="426"/>
        <v>8</v>
      </c>
      <c r="K1246" t="str">
        <f t="shared" si="427"/>
        <v>06</v>
      </c>
      <c r="L1246" t="str">
        <f t="shared" si="428"/>
        <v/>
      </c>
      <c r="M1246" s="6" t="str">
        <f t="shared" si="429"/>
        <v/>
      </c>
      <c r="N1246" t="str">
        <f t="shared" si="425"/>
        <v>Away</v>
      </c>
      <c r="O1246">
        <v>22</v>
      </c>
      <c r="P1246" t="s">
        <v>424</v>
      </c>
      <c r="Y1246" t="str">
        <f t="shared" si="412"/>
        <v/>
      </c>
      <c r="Z1246" t="str">
        <f t="shared" si="413"/>
        <v/>
      </c>
      <c r="AC1246" t="str">
        <f t="shared" si="409"/>
        <v>Save</v>
      </c>
      <c r="AD1246" t="str">
        <f t="shared" si="410"/>
        <v>Save_Rebound</v>
      </c>
      <c r="AE1246" t="str">
        <f t="shared" si="411"/>
        <v>Save-RightPad</v>
      </c>
      <c r="AF1246" t="str">
        <f t="shared" si="414"/>
        <v>Defensive</v>
      </c>
      <c r="AG1246">
        <f t="shared" si="420"/>
        <v>18981</v>
      </c>
      <c r="AH1246" t="str">
        <f t="shared" si="421"/>
        <v>Nelson</v>
      </c>
      <c r="AI1246" t="str">
        <f t="shared" si="422"/>
        <v>Velodrome</v>
      </c>
      <c r="AJ1246" s="18">
        <f t="shared" si="415"/>
        <v>0</v>
      </c>
      <c r="AP1246" s="18">
        <f t="shared" si="416"/>
        <v>0</v>
      </c>
      <c r="AQ1246">
        <f t="shared" si="417"/>
        <v>1080</v>
      </c>
      <c r="AR1246" s="23">
        <f t="shared" si="418"/>
        <v>1674</v>
      </c>
      <c r="AS1246">
        <f t="shared" si="423"/>
        <v>1669</v>
      </c>
      <c r="AT1246" s="21">
        <f t="shared" si="424"/>
        <v>1674</v>
      </c>
      <c r="AU1246" s="21"/>
      <c r="AV1246" s="21"/>
      <c r="AW1246" s="21"/>
    </row>
    <row r="1247" spans="1:49" x14ac:dyDescent="0.2">
      <c r="A1247">
        <v>673</v>
      </c>
      <c r="E1247">
        <f t="shared" si="419"/>
        <v>2</v>
      </c>
      <c r="J1247" t="str">
        <f t="shared" si="426"/>
        <v>8</v>
      </c>
      <c r="K1247" t="str">
        <f t="shared" si="427"/>
        <v>06</v>
      </c>
      <c r="L1247" t="str">
        <f t="shared" si="428"/>
        <v/>
      </c>
      <c r="M1247" s="6" t="str">
        <f t="shared" si="429"/>
        <v/>
      </c>
      <c r="N1247" t="str">
        <f t="shared" si="425"/>
        <v>Away</v>
      </c>
      <c r="O1247">
        <v>79</v>
      </c>
      <c r="P1247" t="s">
        <v>425</v>
      </c>
      <c r="Y1247" t="str">
        <f t="shared" si="412"/>
        <v/>
      </c>
      <c r="Z1247" t="str">
        <f t="shared" si="413"/>
        <v/>
      </c>
      <c r="AC1247" t="str">
        <f t="shared" si="409"/>
        <v>Save</v>
      </c>
      <c r="AD1247" t="str">
        <f t="shared" si="410"/>
        <v>Save_Rebound</v>
      </c>
      <c r="AE1247" t="str">
        <f t="shared" si="411"/>
        <v>Save-RightPad</v>
      </c>
      <c r="AF1247" t="str">
        <f t="shared" si="414"/>
        <v>Offensive</v>
      </c>
      <c r="AG1247">
        <f t="shared" si="420"/>
        <v>18981</v>
      </c>
      <c r="AH1247" t="str">
        <f t="shared" si="421"/>
        <v>Nelson</v>
      </c>
      <c r="AI1247" t="str">
        <f t="shared" si="422"/>
        <v>Velodrome</v>
      </c>
      <c r="AJ1247" s="18">
        <f t="shared" si="415"/>
        <v>0</v>
      </c>
      <c r="AP1247" s="18">
        <f t="shared" si="416"/>
        <v>0</v>
      </c>
      <c r="AQ1247">
        <f t="shared" si="417"/>
        <v>1080</v>
      </c>
      <c r="AR1247" s="23">
        <f t="shared" si="418"/>
        <v>1674</v>
      </c>
      <c r="AS1247">
        <f t="shared" si="423"/>
        <v>1669</v>
      </c>
      <c r="AT1247" s="21">
        <f t="shared" si="424"/>
        <v>1674</v>
      </c>
      <c r="AU1247" s="21"/>
      <c r="AV1247" s="21"/>
      <c r="AW1247" s="21"/>
    </row>
    <row r="1248" spans="1:49" x14ac:dyDescent="0.2">
      <c r="A1248">
        <v>674</v>
      </c>
      <c r="E1248">
        <f t="shared" si="419"/>
        <v>2</v>
      </c>
      <c r="F1248" s="5" t="s">
        <v>538</v>
      </c>
      <c r="G1248" s="5" t="s">
        <v>476</v>
      </c>
      <c r="J1248" t="str">
        <f t="shared" si="426"/>
        <v>8</v>
      </c>
      <c r="K1248" t="str">
        <f t="shared" si="427"/>
        <v>06</v>
      </c>
      <c r="L1248" t="str">
        <f t="shared" si="428"/>
        <v/>
      </c>
      <c r="M1248" s="6" t="str">
        <f t="shared" si="429"/>
        <v/>
      </c>
      <c r="N1248" t="s">
        <v>179</v>
      </c>
      <c r="O1248">
        <v>39</v>
      </c>
      <c r="P1248" t="s">
        <v>424</v>
      </c>
      <c r="Q1248" t="s">
        <v>270</v>
      </c>
      <c r="R1248" t="s">
        <v>272</v>
      </c>
      <c r="Y1248" t="str">
        <f t="shared" si="412"/>
        <v/>
      </c>
      <c r="Z1248" t="str">
        <f t="shared" si="413"/>
        <v/>
      </c>
      <c r="AC1248" t="str">
        <f t="shared" si="409"/>
        <v>Rebound</v>
      </c>
      <c r="AD1248" t="str">
        <f t="shared" si="410"/>
        <v>Rebound_OppTeamRecovered</v>
      </c>
      <c r="AE1248" t="str">
        <f t="shared" si="411"/>
        <v/>
      </c>
      <c r="AF1248" t="str">
        <f t="shared" si="414"/>
        <v>Offensive</v>
      </c>
      <c r="AG1248">
        <f t="shared" si="420"/>
        <v>18981</v>
      </c>
      <c r="AH1248" t="str">
        <f t="shared" si="421"/>
        <v>Nelson</v>
      </c>
      <c r="AI1248" t="str">
        <f t="shared" si="422"/>
        <v>Velodrome</v>
      </c>
      <c r="AJ1248" s="18">
        <f t="shared" si="415"/>
        <v>0</v>
      </c>
      <c r="AP1248" s="18">
        <f t="shared" si="416"/>
        <v>0</v>
      </c>
      <c r="AQ1248">
        <f t="shared" si="417"/>
        <v>1080</v>
      </c>
      <c r="AR1248" s="23">
        <f t="shared" si="418"/>
        <v>1674</v>
      </c>
      <c r="AS1248">
        <f t="shared" si="423"/>
        <v>1669</v>
      </c>
      <c r="AT1248" s="21">
        <f t="shared" si="424"/>
        <v>1674</v>
      </c>
      <c r="AU1248" s="21"/>
      <c r="AV1248" s="21"/>
      <c r="AW1248" s="21"/>
    </row>
    <row r="1249" spans="1:49" x14ac:dyDescent="0.2">
      <c r="A1249">
        <v>675</v>
      </c>
      <c r="E1249">
        <f t="shared" si="419"/>
        <v>2</v>
      </c>
      <c r="F1249" s="5" t="s">
        <v>538</v>
      </c>
      <c r="G1249" s="5" t="s">
        <v>474</v>
      </c>
      <c r="H1249" s="5" t="s">
        <v>538</v>
      </c>
      <c r="I1249" s="7" t="s">
        <v>475</v>
      </c>
      <c r="J1249" t="str">
        <f t="shared" si="426"/>
        <v>8</v>
      </c>
      <c r="K1249" t="str">
        <f t="shared" si="427"/>
        <v>02</v>
      </c>
      <c r="L1249" t="str">
        <f t="shared" si="428"/>
        <v>8</v>
      </c>
      <c r="M1249" s="6" t="str">
        <f t="shared" si="429"/>
        <v>00</v>
      </c>
      <c r="N1249" t="s">
        <v>178</v>
      </c>
      <c r="O1249">
        <v>79</v>
      </c>
      <c r="P1249" t="s">
        <v>424</v>
      </c>
      <c r="Q1249" t="s">
        <v>15</v>
      </c>
      <c r="Y1249" t="str">
        <f t="shared" si="412"/>
        <v/>
      </c>
      <c r="Z1249" t="str">
        <f t="shared" si="413"/>
        <v/>
      </c>
      <c r="AC1249" t="str">
        <f t="shared" si="409"/>
        <v>Possession</v>
      </c>
      <c r="AD1249" t="str">
        <f t="shared" si="410"/>
        <v/>
      </c>
      <c r="AE1249" t="str">
        <f t="shared" si="411"/>
        <v/>
      </c>
      <c r="AF1249" t="str">
        <f t="shared" si="414"/>
        <v>Offensive</v>
      </c>
      <c r="AG1249">
        <f t="shared" si="420"/>
        <v>18981</v>
      </c>
      <c r="AH1249" t="str">
        <f t="shared" si="421"/>
        <v>Nelson</v>
      </c>
      <c r="AI1249" t="str">
        <f t="shared" si="422"/>
        <v>Velodrome</v>
      </c>
      <c r="AJ1249" s="18">
        <f t="shared" si="415"/>
        <v>2</v>
      </c>
      <c r="AP1249" s="18">
        <f t="shared" si="416"/>
        <v>0</v>
      </c>
      <c r="AQ1249">
        <f t="shared" si="417"/>
        <v>1080</v>
      </c>
      <c r="AR1249" s="23">
        <f t="shared" si="418"/>
        <v>1678</v>
      </c>
      <c r="AS1249">
        <f t="shared" si="423"/>
        <v>1673</v>
      </c>
      <c r="AT1249" s="21">
        <f t="shared" si="424"/>
        <v>1680</v>
      </c>
      <c r="AU1249" s="21"/>
      <c r="AV1249" s="21"/>
      <c r="AW1249" s="21"/>
    </row>
    <row r="1250" spans="1:49" x14ac:dyDescent="0.2">
      <c r="A1250">
        <v>675</v>
      </c>
      <c r="E1250">
        <f t="shared" si="419"/>
        <v>2</v>
      </c>
      <c r="J1250" t="str">
        <f t="shared" si="426"/>
        <v>8</v>
      </c>
      <c r="K1250" t="str">
        <f t="shared" si="427"/>
        <v>02</v>
      </c>
      <c r="L1250" t="str">
        <f t="shared" si="428"/>
        <v>8</v>
      </c>
      <c r="M1250" s="6" t="str">
        <f t="shared" si="429"/>
        <v>00</v>
      </c>
      <c r="N1250" t="str">
        <f t="shared" si="425"/>
        <v>Home</v>
      </c>
      <c r="O1250">
        <v>22</v>
      </c>
      <c r="P1250" t="s">
        <v>425</v>
      </c>
      <c r="Y1250" t="str">
        <f t="shared" si="412"/>
        <v/>
      </c>
      <c r="Z1250" t="str">
        <f t="shared" si="413"/>
        <v/>
      </c>
      <c r="AC1250" t="str">
        <f t="shared" si="409"/>
        <v>Possession</v>
      </c>
      <c r="AD1250" t="str">
        <f t="shared" si="410"/>
        <v/>
      </c>
      <c r="AE1250" t="str">
        <f t="shared" si="411"/>
        <v/>
      </c>
      <c r="AF1250" t="str">
        <f t="shared" si="414"/>
        <v>Defensive</v>
      </c>
      <c r="AG1250">
        <f t="shared" si="420"/>
        <v>18981</v>
      </c>
      <c r="AH1250" t="str">
        <f t="shared" si="421"/>
        <v>Nelson</v>
      </c>
      <c r="AI1250" t="str">
        <f t="shared" si="422"/>
        <v>Velodrome</v>
      </c>
      <c r="AJ1250" s="18">
        <f t="shared" si="415"/>
        <v>2</v>
      </c>
      <c r="AP1250" s="18">
        <f t="shared" si="416"/>
        <v>0</v>
      </c>
      <c r="AQ1250">
        <f t="shared" si="417"/>
        <v>1080</v>
      </c>
      <c r="AR1250" s="23">
        <f t="shared" si="418"/>
        <v>1678</v>
      </c>
      <c r="AS1250">
        <f t="shared" si="423"/>
        <v>1673</v>
      </c>
      <c r="AT1250" s="21">
        <f t="shared" si="424"/>
        <v>1680</v>
      </c>
      <c r="AU1250" s="21"/>
      <c r="AV1250" s="21"/>
      <c r="AW1250" s="21"/>
    </row>
    <row r="1251" spans="1:49" x14ac:dyDescent="0.2">
      <c r="A1251">
        <v>676</v>
      </c>
      <c r="E1251">
        <f t="shared" si="419"/>
        <v>2</v>
      </c>
      <c r="F1251" s="5" t="s">
        <v>538</v>
      </c>
      <c r="G1251" s="5" t="s">
        <v>475</v>
      </c>
      <c r="J1251" t="str">
        <f t="shared" si="426"/>
        <v>8</v>
      </c>
      <c r="K1251" t="str">
        <f t="shared" si="427"/>
        <v>00</v>
      </c>
      <c r="L1251" t="str">
        <f t="shared" si="428"/>
        <v/>
      </c>
      <c r="M1251" s="6" t="str">
        <f t="shared" si="429"/>
        <v/>
      </c>
      <c r="N1251" t="s">
        <v>178</v>
      </c>
      <c r="O1251">
        <v>79</v>
      </c>
      <c r="P1251" t="s">
        <v>424</v>
      </c>
      <c r="Q1251" t="s">
        <v>8</v>
      </c>
      <c r="R1251" t="s">
        <v>189</v>
      </c>
      <c r="S1251" t="s">
        <v>70</v>
      </c>
      <c r="Y1251" t="str">
        <f t="shared" si="412"/>
        <v/>
      </c>
      <c r="Z1251" t="str">
        <f t="shared" si="413"/>
        <v/>
      </c>
      <c r="AC1251" t="str">
        <f t="shared" si="409"/>
        <v>Pass</v>
      </c>
      <c r="AD1251" t="str">
        <f t="shared" si="410"/>
        <v>Pass_Completed</v>
      </c>
      <c r="AE1251" t="str">
        <f t="shared" si="411"/>
        <v>Pass-Forehand</v>
      </c>
      <c r="AF1251" t="str">
        <f t="shared" si="414"/>
        <v>Offensive</v>
      </c>
      <c r="AG1251">
        <f t="shared" si="420"/>
        <v>18981</v>
      </c>
      <c r="AH1251" t="str">
        <f t="shared" si="421"/>
        <v>Nelson</v>
      </c>
      <c r="AI1251" t="str">
        <f t="shared" si="422"/>
        <v>Velodrome</v>
      </c>
      <c r="AJ1251" s="18">
        <f t="shared" si="415"/>
        <v>0</v>
      </c>
      <c r="AP1251" s="18">
        <f t="shared" si="416"/>
        <v>0</v>
      </c>
      <c r="AQ1251">
        <f t="shared" si="417"/>
        <v>1080</v>
      </c>
      <c r="AR1251" s="23">
        <f t="shared" si="418"/>
        <v>1680</v>
      </c>
      <c r="AS1251">
        <f t="shared" si="423"/>
        <v>1675</v>
      </c>
      <c r="AT1251" s="21">
        <f t="shared" si="424"/>
        <v>1680</v>
      </c>
      <c r="AU1251" s="21"/>
      <c r="AV1251" s="21"/>
      <c r="AW1251" s="21"/>
    </row>
    <row r="1252" spans="1:49" x14ac:dyDescent="0.2">
      <c r="A1252">
        <v>676</v>
      </c>
      <c r="E1252">
        <f t="shared" si="419"/>
        <v>2</v>
      </c>
      <c r="J1252" t="str">
        <f t="shared" si="426"/>
        <v>8</v>
      </c>
      <c r="K1252" t="str">
        <f t="shared" si="427"/>
        <v>00</v>
      </c>
      <c r="L1252" t="str">
        <f t="shared" si="428"/>
        <v/>
      </c>
      <c r="M1252" s="6" t="str">
        <f t="shared" si="429"/>
        <v/>
      </c>
      <c r="N1252" t="str">
        <f t="shared" si="425"/>
        <v>Home</v>
      </c>
      <c r="O1252">
        <v>23</v>
      </c>
      <c r="P1252" t="s">
        <v>424</v>
      </c>
      <c r="Y1252" t="str">
        <f t="shared" si="412"/>
        <v/>
      </c>
      <c r="Z1252" t="str">
        <f t="shared" si="413"/>
        <v/>
      </c>
      <c r="AC1252" t="str">
        <f t="shared" si="409"/>
        <v>Pass</v>
      </c>
      <c r="AD1252" t="str">
        <f t="shared" si="410"/>
        <v>Pass_Completed</v>
      </c>
      <c r="AE1252" t="str">
        <f t="shared" si="411"/>
        <v>Pass-Forehand</v>
      </c>
      <c r="AF1252" t="str">
        <f t="shared" si="414"/>
        <v>Offensive</v>
      </c>
      <c r="AG1252">
        <f t="shared" si="420"/>
        <v>18981</v>
      </c>
      <c r="AH1252" t="str">
        <f t="shared" si="421"/>
        <v>Nelson</v>
      </c>
      <c r="AI1252" t="str">
        <f t="shared" si="422"/>
        <v>Velodrome</v>
      </c>
      <c r="AJ1252" s="18">
        <f t="shared" si="415"/>
        <v>0</v>
      </c>
      <c r="AP1252" s="18">
        <f t="shared" si="416"/>
        <v>0</v>
      </c>
      <c r="AQ1252">
        <f t="shared" si="417"/>
        <v>1080</v>
      </c>
      <c r="AR1252" s="23">
        <f t="shared" si="418"/>
        <v>1680</v>
      </c>
      <c r="AS1252">
        <f t="shared" si="423"/>
        <v>1675</v>
      </c>
      <c r="AT1252" s="21">
        <f t="shared" si="424"/>
        <v>1680</v>
      </c>
      <c r="AU1252" s="21"/>
      <c r="AV1252" s="21"/>
      <c r="AW1252" s="21"/>
    </row>
    <row r="1253" spans="1:49" x14ac:dyDescent="0.2">
      <c r="A1253">
        <v>677</v>
      </c>
      <c r="E1253">
        <f t="shared" si="419"/>
        <v>2</v>
      </c>
      <c r="F1253" s="5" t="s">
        <v>539</v>
      </c>
      <c r="G1253" s="5" t="s">
        <v>479</v>
      </c>
      <c r="H1253" s="5" t="s">
        <v>539</v>
      </c>
      <c r="I1253" s="7" t="s">
        <v>529</v>
      </c>
      <c r="J1253" t="str">
        <f t="shared" si="426"/>
        <v>7</v>
      </c>
      <c r="K1253" t="str">
        <f t="shared" si="427"/>
        <v>59</v>
      </c>
      <c r="L1253" t="str">
        <f t="shared" si="428"/>
        <v>7</v>
      </c>
      <c r="M1253" s="6" t="str">
        <f t="shared" si="429"/>
        <v>57</v>
      </c>
      <c r="N1253" t="s">
        <v>178</v>
      </c>
      <c r="O1253">
        <v>23</v>
      </c>
      <c r="P1253" t="s">
        <v>424</v>
      </c>
      <c r="Q1253" t="s">
        <v>15</v>
      </c>
      <c r="Y1253" t="str">
        <f t="shared" si="412"/>
        <v/>
      </c>
      <c r="Z1253" t="str">
        <f t="shared" si="413"/>
        <v/>
      </c>
      <c r="AC1253" t="str">
        <f t="shared" si="409"/>
        <v>Possession</v>
      </c>
      <c r="AD1253" t="str">
        <f t="shared" si="410"/>
        <v/>
      </c>
      <c r="AE1253" t="str">
        <f t="shared" si="411"/>
        <v/>
      </c>
      <c r="AF1253" t="str">
        <f t="shared" si="414"/>
        <v>Offensive</v>
      </c>
      <c r="AG1253">
        <f t="shared" si="420"/>
        <v>18981</v>
      </c>
      <c r="AH1253" t="str">
        <f t="shared" si="421"/>
        <v>Nelson</v>
      </c>
      <c r="AI1253" t="str">
        <f t="shared" si="422"/>
        <v>Velodrome</v>
      </c>
      <c r="AJ1253" s="18">
        <f t="shared" si="415"/>
        <v>2</v>
      </c>
      <c r="AP1253" s="18">
        <f t="shared" si="416"/>
        <v>0</v>
      </c>
      <c r="AQ1253">
        <f t="shared" si="417"/>
        <v>1080</v>
      </c>
      <c r="AR1253" s="23">
        <f t="shared" si="418"/>
        <v>1681</v>
      </c>
      <c r="AS1253">
        <f t="shared" si="423"/>
        <v>1676</v>
      </c>
      <c r="AT1253" s="21">
        <f t="shared" si="424"/>
        <v>1683</v>
      </c>
      <c r="AU1253" s="21"/>
      <c r="AV1253" s="21"/>
      <c r="AW1253" s="21"/>
    </row>
    <row r="1254" spans="1:49" x14ac:dyDescent="0.2">
      <c r="A1254">
        <v>678</v>
      </c>
      <c r="E1254">
        <f t="shared" si="419"/>
        <v>2</v>
      </c>
      <c r="F1254" s="5" t="s">
        <v>539</v>
      </c>
      <c r="G1254" s="5" t="s">
        <v>529</v>
      </c>
      <c r="J1254" t="str">
        <f t="shared" si="426"/>
        <v>7</v>
      </c>
      <c r="K1254" t="str">
        <f t="shared" si="427"/>
        <v>57</v>
      </c>
      <c r="L1254" t="str">
        <f t="shared" si="428"/>
        <v/>
      </c>
      <c r="M1254" s="6" t="str">
        <f t="shared" si="429"/>
        <v/>
      </c>
      <c r="N1254" t="s">
        <v>178</v>
      </c>
      <c r="O1254">
        <v>23</v>
      </c>
      <c r="P1254" t="s">
        <v>424</v>
      </c>
      <c r="Q1254" t="s">
        <v>8</v>
      </c>
      <c r="R1254" t="s">
        <v>199</v>
      </c>
      <c r="S1254" t="s">
        <v>572</v>
      </c>
      <c r="Y1254" t="str">
        <f t="shared" si="412"/>
        <v/>
      </c>
      <c r="Z1254" t="str">
        <f t="shared" si="413"/>
        <v/>
      </c>
      <c r="AC1254" t="str">
        <f t="shared" si="409"/>
        <v>Pass</v>
      </c>
      <c r="AD1254" t="str">
        <f t="shared" si="410"/>
        <v>Pass_Missed</v>
      </c>
      <c r="AE1254" t="str">
        <f t="shared" si="411"/>
        <v>Pass-ReceiverMissed</v>
      </c>
      <c r="AF1254" t="str">
        <f t="shared" si="414"/>
        <v>Offensive</v>
      </c>
      <c r="AG1254">
        <f t="shared" si="420"/>
        <v>18981</v>
      </c>
      <c r="AH1254" t="str">
        <f t="shared" si="421"/>
        <v>Nelson</v>
      </c>
      <c r="AI1254" t="str">
        <f t="shared" si="422"/>
        <v>Velodrome</v>
      </c>
      <c r="AJ1254" s="18">
        <f t="shared" si="415"/>
        <v>0</v>
      </c>
      <c r="AP1254" s="18">
        <f t="shared" si="416"/>
        <v>0</v>
      </c>
      <c r="AQ1254">
        <f t="shared" si="417"/>
        <v>1080</v>
      </c>
      <c r="AR1254" s="23">
        <f t="shared" si="418"/>
        <v>1683</v>
      </c>
      <c r="AS1254">
        <f t="shared" si="423"/>
        <v>1678</v>
      </c>
      <c r="AT1254" s="21">
        <f t="shared" si="424"/>
        <v>1683</v>
      </c>
      <c r="AU1254" s="21"/>
      <c r="AV1254" s="21"/>
      <c r="AW1254" s="21"/>
    </row>
    <row r="1255" spans="1:49" x14ac:dyDescent="0.2">
      <c r="A1255">
        <v>678</v>
      </c>
      <c r="E1255">
        <f t="shared" si="419"/>
        <v>2</v>
      </c>
      <c r="J1255" t="str">
        <f t="shared" si="426"/>
        <v>7</v>
      </c>
      <c r="K1255" t="str">
        <f t="shared" si="427"/>
        <v>57</v>
      </c>
      <c r="L1255" t="str">
        <f t="shared" si="428"/>
        <v/>
      </c>
      <c r="M1255" s="6" t="str">
        <f t="shared" si="429"/>
        <v/>
      </c>
      <c r="N1255" t="str">
        <f t="shared" si="425"/>
        <v>Home</v>
      </c>
      <c r="O1255">
        <v>44</v>
      </c>
      <c r="P1255" t="s">
        <v>424</v>
      </c>
      <c r="Y1255" t="str">
        <f t="shared" si="412"/>
        <v/>
      </c>
      <c r="Z1255" t="str">
        <f t="shared" si="413"/>
        <v/>
      </c>
      <c r="AC1255" t="str">
        <f t="shared" si="409"/>
        <v>Pass</v>
      </c>
      <c r="AD1255" t="str">
        <f t="shared" si="410"/>
        <v>Pass_Missed</v>
      </c>
      <c r="AE1255" t="str">
        <f t="shared" si="411"/>
        <v>Pass-ReceiverMissed</v>
      </c>
      <c r="AF1255" t="str">
        <f t="shared" si="414"/>
        <v>Offensive</v>
      </c>
      <c r="AG1255">
        <f t="shared" si="420"/>
        <v>18981</v>
      </c>
      <c r="AH1255" t="str">
        <f t="shared" si="421"/>
        <v>Nelson</v>
      </c>
      <c r="AI1255" t="str">
        <f t="shared" si="422"/>
        <v>Velodrome</v>
      </c>
      <c r="AJ1255" s="18">
        <f t="shared" si="415"/>
        <v>0</v>
      </c>
      <c r="AP1255" s="18">
        <f t="shared" si="416"/>
        <v>0</v>
      </c>
      <c r="AQ1255">
        <f t="shared" si="417"/>
        <v>1080</v>
      </c>
      <c r="AR1255" s="23">
        <f t="shared" si="418"/>
        <v>1683</v>
      </c>
      <c r="AS1255">
        <f t="shared" si="423"/>
        <v>1678</v>
      </c>
      <c r="AT1255" s="21">
        <f t="shared" si="424"/>
        <v>1683</v>
      </c>
      <c r="AU1255" s="21"/>
      <c r="AV1255" s="21"/>
      <c r="AW1255" s="21"/>
    </row>
    <row r="1256" spans="1:49" x14ac:dyDescent="0.2">
      <c r="A1256">
        <v>679</v>
      </c>
      <c r="E1256">
        <f t="shared" si="419"/>
        <v>2</v>
      </c>
      <c r="F1256" s="5" t="s">
        <v>539</v>
      </c>
      <c r="G1256" s="5" t="s">
        <v>528</v>
      </c>
      <c r="H1256" s="5" t="s">
        <v>539</v>
      </c>
      <c r="I1256" s="7" t="s">
        <v>524</v>
      </c>
      <c r="J1256" t="str">
        <f t="shared" si="426"/>
        <v>7</v>
      </c>
      <c r="K1256" t="str">
        <f t="shared" si="427"/>
        <v>56</v>
      </c>
      <c r="L1256" t="str">
        <f t="shared" si="428"/>
        <v>7</v>
      </c>
      <c r="M1256" s="6" t="str">
        <f t="shared" si="429"/>
        <v>52</v>
      </c>
      <c r="N1256" t="s">
        <v>178</v>
      </c>
      <c r="O1256">
        <v>44</v>
      </c>
      <c r="P1256" t="s">
        <v>424</v>
      </c>
      <c r="Q1256" t="s">
        <v>15</v>
      </c>
      <c r="Y1256" t="str">
        <f t="shared" si="412"/>
        <v/>
      </c>
      <c r="Z1256" t="str">
        <f t="shared" si="413"/>
        <v/>
      </c>
      <c r="AC1256" t="str">
        <f t="shared" si="409"/>
        <v>Possession</v>
      </c>
      <c r="AD1256" t="str">
        <f t="shared" si="410"/>
        <v/>
      </c>
      <c r="AE1256" t="str">
        <f t="shared" si="411"/>
        <v/>
      </c>
      <c r="AF1256" t="str">
        <f t="shared" si="414"/>
        <v>Offensive</v>
      </c>
      <c r="AG1256">
        <f t="shared" si="420"/>
        <v>18981</v>
      </c>
      <c r="AH1256" t="str">
        <f t="shared" si="421"/>
        <v>Nelson</v>
      </c>
      <c r="AI1256" t="str">
        <f t="shared" si="422"/>
        <v>Velodrome</v>
      </c>
      <c r="AJ1256" s="18">
        <f t="shared" si="415"/>
        <v>4</v>
      </c>
      <c r="AP1256" s="18">
        <f t="shared" si="416"/>
        <v>0</v>
      </c>
      <c r="AQ1256">
        <f t="shared" si="417"/>
        <v>1080</v>
      </c>
      <c r="AR1256" s="23">
        <f t="shared" si="418"/>
        <v>1684</v>
      </c>
      <c r="AS1256">
        <f t="shared" si="423"/>
        <v>1679</v>
      </c>
      <c r="AT1256" s="21">
        <f t="shared" si="424"/>
        <v>1688</v>
      </c>
      <c r="AU1256" s="21"/>
      <c r="AV1256" s="21"/>
      <c r="AW1256" s="21"/>
    </row>
    <row r="1257" spans="1:49" x14ac:dyDescent="0.2">
      <c r="A1257">
        <v>680</v>
      </c>
      <c r="E1257">
        <f t="shared" si="419"/>
        <v>2</v>
      </c>
      <c r="F1257" s="5" t="s">
        <v>539</v>
      </c>
      <c r="G1257" s="5" t="s">
        <v>524</v>
      </c>
      <c r="J1257" t="str">
        <f t="shared" si="426"/>
        <v>7</v>
      </c>
      <c r="K1257" t="str">
        <f t="shared" si="427"/>
        <v>52</v>
      </c>
      <c r="L1257" t="str">
        <f t="shared" si="428"/>
        <v/>
      </c>
      <c r="M1257" s="6" t="str">
        <f t="shared" si="429"/>
        <v/>
      </c>
      <c r="N1257" t="s">
        <v>178</v>
      </c>
      <c r="O1257">
        <v>44</v>
      </c>
      <c r="P1257" t="s">
        <v>424</v>
      </c>
      <c r="Q1257" t="s">
        <v>8</v>
      </c>
      <c r="R1257" t="s">
        <v>189</v>
      </c>
      <c r="S1257" t="s">
        <v>70</v>
      </c>
      <c r="Y1257" t="str">
        <f t="shared" si="412"/>
        <v/>
      </c>
      <c r="Z1257" t="str">
        <f t="shared" si="413"/>
        <v/>
      </c>
      <c r="AC1257" t="str">
        <f t="shared" si="409"/>
        <v>Pass</v>
      </c>
      <c r="AD1257" t="str">
        <f t="shared" si="410"/>
        <v>Pass_Completed</v>
      </c>
      <c r="AE1257" t="str">
        <f t="shared" si="411"/>
        <v>Pass-Forehand</v>
      </c>
      <c r="AF1257" t="str">
        <f t="shared" si="414"/>
        <v>Offensive</v>
      </c>
      <c r="AG1257">
        <f t="shared" si="420"/>
        <v>18981</v>
      </c>
      <c r="AH1257" t="str">
        <f t="shared" si="421"/>
        <v>Nelson</v>
      </c>
      <c r="AI1257" t="str">
        <f t="shared" si="422"/>
        <v>Velodrome</v>
      </c>
      <c r="AJ1257" s="18">
        <f t="shared" si="415"/>
        <v>0</v>
      </c>
      <c r="AP1257" s="18">
        <f t="shared" si="416"/>
        <v>0</v>
      </c>
      <c r="AQ1257">
        <f t="shared" si="417"/>
        <v>1080</v>
      </c>
      <c r="AR1257" s="23">
        <f t="shared" si="418"/>
        <v>1688</v>
      </c>
      <c r="AS1257">
        <f t="shared" si="423"/>
        <v>1683</v>
      </c>
      <c r="AT1257" s="21">
        <f t="shared" si="424"/>
        <v>1688</v>
      </c>
      <c r="AU1257" s="21"/>
      <c r="AV1257" s="21"/>
      <c r="AW1257" s="21"/>
    </row>
    <row r="1258" spans="1:49" x14ac:dyDescent="0.2">
      <c r="A1258">
        <v>680</v>
      </c>
      <c r="E1258">
        <f t="shared" si="419"/>
        <v>2</v>
      </c>
      <c r="J1258" t="str">
        <f t="shared" si="426"/>
        <v>7</v>
      </c>
      <c r="K1258" t="str">
        <f t="shared" si="427"/>
        <v>52</v>
      </c>
      <c r="L1258" t="str">
        <f t="shared" si="428"/>
        <v/>
      </c>
      <c r="M1258" s="6" t="str">
        <f t="shared" si="429"/>
        <v/>
      </c>
      <c r="N1258" t="str">
        <f t="shared" si="425"/>
        <v>Home</v>
      </c>
      <c r="O1258">
        <v>37</v>
      </c>
      <c r="P1258" t="s">
        <v>424</v>
      </c>
      <c r="Y1258" t="str">
        <f t="shared" si="412"/>
        <v/>
      </c>
      <c r="Z1258" t="str">
        <f t="shared" si="413"/>
        <v/>
      </c>
      <c r="AC1258" t="str">
        <f t="shared" si="409"/>
        <v>Pass</v>
      </c>
      <c r="AD1258" t="str">
        <f t="shared" si="410"/>
        <v>Pass_Completed</v>
      </c>
      <c r="AE1258" t="str">
        <f t="shared" si="411"/>
        <v>Pass-Forehand</v>
      </c>
      <c r="AF1258" t="str">
        <f t="shared" si="414"/>
        <v>Offensive</v>
      </c>
      <c r="AG1258">
        <f t="shared" si="420"/>
        <v>18981</v>
      </c>
      <c r="AH1258" t="str">
        <f t="shared" si="421"/>
        <v>Nelson</v>
      </c>
      <c r="AI1258" t="str">
        <f t="shared" si="422"/>
        <v>Velodrome</v>
      </c>
      <c r="AJ1258" s="18">
        <f t="shared" si="415"/>
        <v>0</v>
      </c>
      <c r="AP1258" s="18">
        <f t="shared" si="416"/>
        <v>0</v>
      </c>
      <c r="AQ1258">
        <f t="shared" si="417"/>
        <v>1080</v>
      </c>
      <c r="AR1258" s="23">
        <f t="shared" si="418"/>
        <v>1688</v>
      </c>
      <c r="AS1258">
        <f t="shared" si="423"/>
        <v>1683</v>
      </c>
      <c r="AT1258" s="21">
        <f t="shared" si="424"/>
        <v>1688</v>
      </c>
      <c r="AU1258" s="21"/>
      <c r="AV1258" s="21"/>
      <c r="AW1258" s="21"/>
    </row>
    <row r="1259" spans="1:49" x14ac:dyDescent="0.2">
      <c r="A1259">
        <v>680</v>
      </c>
      <c r="E1259">
        <f t="shared" si="419"/>
        <v>2</v>
      </c>
      <c r="J1259" t="str">
        <f t="shared" si="426"/>
        <v>7</v>
      </c>
      <c r="K1259" t="str">
        <f t="shared" si="427"/>
        <v>52</v>
      </c>
      <c r="L1259" t="str">
        <f t="shared" si="428"/>
        <v/>
      </c>
      <c r="M1259" s="6" t="str">
        <f t="shared" si="429"/>
        <v/>
      </c>
      <c r="N1259" t="str">
        <f t="shared" si="425"/>
        <v>Home</v>
      </c>
      <c r="O1259">
        <v>75</v>
      </c>
      <c r="P1259" t="s">
        <v>425</v>
      </c>
      <c r="Y1259" t="str">
        <f t="shared" si="412"/>
        <v/>
      </c>
      <c r="Z1259" t="str">
        <f t="shared" si="413"/>
        <v/>
      </c>
      <c r="AC1259" t="str">
        <f t="shared" si="409"/>
        <v>Pass</v>
      </c>
      <c r="AD1259" t="str">
        <f t="shared" si="410"/>
        <v>Pass_Completed</v>
      </c>
      <c r="AE1259" t="str">
        <f t="shared" si="411"/>
        <v>Pass-Forehand</v>
      </c>
      <c r="AF1259" t="str">
        <f t="shared" si="414"/>
        <v>Defensive</v>
      </c>
      <c r="AG1259">
        <f t="shared" si="420"/>
        <v>18981</v>
      </c>
      <c r="AH1259" t="str">
        <f t="shared" si="421"/>
        <v>Nelson</v>
      </c>
      <c r="AI1259" t="str">
        <f t="shared" si="422"/>
        <v>Velodrome</v>
      </c>
      <c r="AJ1259" s="18">
        <f t="shared" si="415"/>
        <v>0</v>
      </c>
      <c r="AP1259" s="18">
        <f t="shared" si="416"/>
        <v>0</v>
      </c>
      <c r="AQ1259">
        <f t="shared" si="417"/>
        <v>1080</v>
      </c>
      <c r="AR1259" s="23">
        <f t="shared" si="418"/>
        <v>1688</v>
      </c>
      <c r="AS1259">
        <f t="shared" si="423"/>
        <v>1683</v>
      </c>
      <c r="AT1259" s="21">
        <f t="shared" si="424"/>
        <v>1688</v>
      </c>
      <c r="AU1259" s="21"/>
      <c r="AV1259" s="21"/>
      <c r="AW1259" s="21"/>
    </row>
    <row r="1260" spans="1:49" x14ac:dyDescent="0.2">
      <c r="A1260">
        <v>681</v>
      </c>
      <c r="E1260">
        <f t="shared" si="419"/>
        <v>2</v>
      </c>
      <c r="F1260" s="5" t="s">
        <v>539</v>
      </c>
      <c r="G1260" s="5" t="s">
        <v>523</v>
      </c>
      <c r="H1260" s="5" t="s">
        <v>539</v>
      </c>
      <c r="I1260" s="7" t="s">
        <v>521</v>
      </c>
      <c r="J1260" t="str">
        <f t="shared" si="426"/>
        <v>7</v>
      </c>
      <c r="K1260" t="str">
        <f t="shared" si="427"/>
        <v>51</v>
      </c>
      <c r="L1260" t="str">
        <f t="shared" si="428"/>
        <v>7</v>
      </c>
      <c r="M1260" s="6" t="str">
        <f t="shared" si="429"/>
        <v>49</v>
      </c>
      <c r="N1260" t="s">
        <v>178</v>
      </c>
      <c r="O1260">
        <v>37</v>
      </c>
      <c r="P1260" t="s">
        <v>424</v>
      </c>
      <c r="Q1260" t="s">
        <v>15</v>
      </c>
      <c r="Y1260" t="str">
        <f t="shared" si="412"/>
        <v/>
      </c>
      <c r="Z1260" t="str">
        <f t="shared" si="413"/>
        <v/>
      </c>
      <c r="AC1260" t="str">
        <f t="shared" si="409"/>
        <v>Possession</v>
      </c>
      <c r="AD1260" t="str">
        <f t="shared" si="410"/>
        <v/>
      </c>
      <c r="AE1260" t="str">
        <f t="shared" si="411"/>
        <v/>
      </c>
      <c r="AF1260" t="str">
        <f t="shared" si="414"/>
        <v>Offensive</v>
      </c>
      <c r="AG1260">
        <f t="shared" si="420"/>
        <v>18981</v>
      </c>
      <c r="AH1260" t="str">
        <f t="shared" si="421"/>
        <v>Nelson</v>
      </c>
      <c r="AI1260" t="str">
        <f t="shared" si="422"/>
        <v>Velodrome</v>
      </c>
      <c r="AJ1260" s="18">
        <f t="shared" si="415"/>
        <v>2</v>
      </c>
      <c r="AP1260" s="18">
        <f t="shared" si="416"/>
        <v>0</v>
      </c>
      <c r="AQ1260">
        <f t="shared" si="417"/>
        <v>1080</v>
      </c>
      <c r="AR1260" s="23">
        <f t="shared" si="418"/>
        <v>1689</v>
      </c>
      <c r="AS1260">
        <f t="shared" si="423"/>
        <v>1684</v>
      </c>
      <c r="AT1260" s="21">
        <f t="shared" si="424"/>
        <v>1691</v>
      </c>
      <c r="AU1260" s="21"/>
      <c r="AV1260" s="21"/>
      <c r="AW1260" s="21"/>
    </row>
    <row r="1261" spans="1:49" x14ac:dyDescent="0.2">
      <c r="A1261">
        <v>682</v>
      </c>
      <c r="E1261">
        <f t="shared" si="419"/>
        <v>2</v>
      </c>
      <c r="F1261" s="5" t="s">
        <v>539</v>
      </c>
      <c r="G1261" s="5" t="s">
        <v>522</v>
      </c>
      <c r="J1261" t="str">
        <f t="shared" si="426"/>
        <v>7</v>
      </c>
      <c r="K1261" t="str">
        <f t="shared" si="427"/>
        <v>50</v>
      </c>
      <c r="L1261" t="str">
        <f t="shared" si="428"/>
        <v/>
      </c>
      <c r="M1261" s="6" t="str">
        <f t="shared" si="429"/>
        <v/>
      </c>
      <c r="N1261" t="s">
        <v>178</v>
      </c>
      <c r="O1261">
        <v>37</v>
      </c>
      <c r="P1261" t="s">
        <v>424</v>
      </c>
      <c r="Q1261" t="s">
        <v>7</v>
      </c>
      <c r="R1261" t="s">
        <v>208</v>
      </c>
      <c r="S1261" t="s">
        <v>53</v>
      </c>
      <c r="Y1261" t="str">
        <f t="shared" si="412"/>
        <v/>
      </c>
      <c r="Z1261" t="str">
        <f t="shared" si="413"/>
        <v/>
      </c>
      <c r="AC1261" t="str">
        <f t="shared" si="409"/>
        <v>Shot</v>
      </c>
      <c r="AD1261" t="str">
        <f t="shared" si="410"/>
        <v>Shot_Blocked</v>
      </c>
      <c r="AE1261" t="str">
        <f t="shared" si="411"/>
        <v>Shot-Wrist</v>
      </c>
      <c r="AF1261" t="str">
        <f t="shared" si="414"/>
        <v>Offensive</v>
      </c>
      <c r="AG1261">
        <f t="shared" si="420"/>
        <v>18981</v>
      </c>
      <c r="AH1261" t="str">
        <f t="shared" si="421"/>
        <v>Nelson</v>
      </c>
      <c r="AI1261" t="str">
        <f t="shared" si="422"/>
        <v>Velodrome</v>
      </c>
      <c r="AJ1261" s="18">
        <f t="shared" si="415"/>
        <v>0</v>
      </c>
      <c r="AP1261" s="18">
        <f t="shared" si="416"/>
        <v>0</v>
      </c>
      <c r="AQ1261">
        <f t="shared" si="417"/>
        <v>1080</v>
      </c>
      <c r="AR1261" s="23">
        <f t="shared" si="418"/>
        <v>1690</v>
      </c>
      <c r="AS1261">
        <f t="shared" si="423"/>
        <v>1685</v>
      </c>
      <c r="AT1261" s="21">
        <f t="shared" si="424"/>
        <v>1690</v>
      </c>
      <c r="AU1261" s="21"/>
      <c r="AV1261" s="21"/>
      <c r="AW1261" s="21"/>
    </row>
    <row r="1262" spans="1:49" x14ac:dyDescent="0.2">
      <c r="A1262">
        <v>682</v>
      </c>
      <c r="E1262">
        <f t="shared" si="419"/>
        <v>2</v>
      </c>
      <c r="J1262" t="str">
        <f t="shared" si="426"/>
        <v>7</v>
      </c>
      <c r="K1262" t="str">
        <f t="shared" si="427"/>
        <v>50</v>
      </c>
      <c r="L1262" t="str">
        <f t="shared" si="428"/>
        <v/>
      </c>
      <c r="M1262" s="6" t="str">
        <f t="shared" si="429"/>
        <v/>
      </c>
      <c r="N1262" t="str">
        <f t="shared" si="425"/>
        <v>Home</v>
      </c>
      <c r="O1262">
        <v>3</v>
      </c>
      <c r="P1262" t="s">
        <v>424</v>
      </c>
      <c r="Y1262" t="str">
        <f t="shared" si="412"/>
        <v/>
      </c>
      <c r="Z1262" t="str">
        <f t="shared" si="413"/>
        <v/>
      </c>
      <c r="AC1262" t="str">
        <f t="shared" si="409"/>
        <v>Shot</v>
      </c>
      <c r="AD1262" t="str">
        <f t="shared" si="410"/>
        <v>Shot_Blocked</v>
      </c>
      <c r="AE1262" t="str">
        <f t="shared" si="411"/>
        <v>Shot-Wrist</v>
      </c>
      <c r="AF1262" t="str">
        <f t="shared" si="414"/>
        <v>Offensive</v>
      </c>
      <c r="AG1262">
        <f t="shared" si="420"/>
        <v>18981</v>
      </c>
      <c r="AH1262" t="str">
        <f t="shared" si="421"/>
        <v>Nelson</v>
      </c>
      <c r="AI1262" t="str">
        <f t="shared" si="422"/>
        <v>Velodrome</v>
      </c>
      <c r="AJ1262" s="18">
        <f t="shared" si="415"/>
        <v>0</v>
      </c>
      <c r="AP1262" s="18">
        <f t="shared" si="416"/>
        <v>0</v>
      </c>
      <c r="AQ1262">
        <f t="shared" si="417"/>
        <v>1080</v>
      </c>
      <c r="AR1262" s="23">
        <f t="shared" si="418"/>
        <v>1690</v>
      </c>
      <c r="AS1262">
        <f t="shared" si="423"/>
        <v>1685</v>
      </c>
      <c r="AT1262" s="21">
        <f t="shared" si="424"/>
        <v>1690</v>
      </c>
      <c r="AU1262" s="21"/>
      <c r="AV1262" s="21"/>
      <c r="AW1262" s="21"/>
    </row>
    <row r="1263" spans="1:49" x14ac:dyDescent="0.2">
      <c r="A1263">
        <v>682</v>
      </c>
      <c r="E1263">
        <f t="shared" si="419"/>
        <v>2</v>
      </c>
      <c r="J1263" t="str">
        <f t="shared" si="426"/>
        <v>7</v>
      </c>
      <c r="K1263" t="str">
        <f t="shared" si="427"/>
        <v>50</v>
      </c>
      <c r="L1263" t="str">
        <f t="shared" si="428"/>
        <v/>
      </c>
      <c r="M1263" s="6" t="str">
        <f t="shared" si="429"/>
        <v/>
      </c>
      <c r="N1263" t="str">
        <f t="shared" si="425"/>
        <v>Home</v>
      </c>
      <c r="O1263">
        <v>22</v>
      </c>
      <c r="P1263" t="s">
        <v>425</v>
      </c>
      <c r="Y1263" t="str">
        <f t="shared" si="412"/>
        <v/>
      </c>
      <c r="Z1263" t="str">
        <f t="shared" si="413"/>
        <v/>
      </c>
      <c r="AC1263" t="str">
        <f t="shared" ref="AC1263:AC1326" si="430">IF(Q1263&lt;&gt;"",Q1263,IF($A1263=$A1262,AC1262,""))</f>
        <v>Shot</v>
      </c>
      <c r="AD1263" t="str">
        <f t="shared" ref="AD1263:AD1326" si="431">IF(R1263&lt;&gt;"",R1263,IF($A1263=$A1262,AD1262,""))</f>
        <v>Shot_Blocked</v>
      </c>
      <c r="AE1263" t="str">
        <f t="shared" ref="AE1263:AE1326" si="432">IF(S1263&lt;&gt;"",S1263,IF($A1263=$A1262,AE1262,""))</f>
        <v>Shot-Wrist</v>
      </c>
      <c r="AF1263" t="str">
        <f t="shared" si="414"/>
        <v>Defensive</v>
      </c>
      <c r="AG1263">
        <f t="shared" si="420"/>
        <v>18981</v>
      </c>
      <c r="AH1263" t="str">
        <f t="shared" si="421"/>
        <v>Nelson</v>
      </c>
      <c r="AI1263" t="str">
        <f t="shared" si="422"/>
        <v>Velodrome</v>
      </c>
      <c r="AJ1263" s="18">
        <f t="shared" si="415"/>
        <v>0</v>
      </c>
      <c r="AP1263" s="18">
        <f t="shared" si="416"/>
        <v>0</v>
      </c>
      <c r="AQ1263">
        <f t="shared" si="417"/>
        <v>1080</v>
      </c>
      <c r="AR1263" s="23">
        <f t="shared" si="418"/>
        <v>1690</v>
      </c>
      <c r="AS1263">
        <f t="shared" si="423"/>
        <v>1685</v>
      </c>
      <c r="AT1263" s="21">
        <f t="shared" si="424"/>
        <v>1690</v>
      </c>
      <c r="AU1263" s="21"/>
      <c r="AV1263" s="21"/>
      <c r="AW1263" s="21"/>
    </row>
    <row r="1264" spans="1:49" x14ac:dyDescent="0.2">
      <c r="A1264">
        <v>683</v>
      </c>
      <c r="E1264">
        <f t="shared" si="419"/>
        <v>2</v>
      </c>
      <c r="F1264" s="5" t="s">
        <v>539</v>
      </c>
      <c r="G1264" s="5" t="s">
        <v>513</v>
      </c>
      <c r="J1264" t="str">
        <f t="shared" si="426"/>
        <v>7</v>
      </c>
      <c r="K1264" t="str">
        <f t="shared" si="427"/>
        <v>41</v>
      </c>
      <c r="L1264" t="str">
        <f t="shared" si="428"/>
        <v/>
      </c>
      <c r="M1264" s="6" t="str">
        <f t="shared" si="429"/>
        <v/>
      </c>
      <c r="N1264" t="s">
        <v>178</v>
      </c>
      <c r="O1264">
        <v>44</v>
      </c>
      <c r="P1264" t="s">
        <v>424</v>
      </c>
      <c r="Q1264" t="s">
        <v>8</v>
      </c>
      <c r="R1264" t="s">
        <v>189</v>
      </c>
      <c r="S1264" t="s">
        <v>69</v>
      </c>
      <c r="Y1264" t="str">
        <f t="shared" si="412"/>
        <v/>
      </c>
      <c r="Z1264" t="str">
        <f t="shared" si="413"/>
        <v/>
      </c>
      <c r="AC1264" t="str">
        <f t="shared" si="430"/>
        <v>Pass</v>
      </c>
      <c r="AD1264" t="str">
        <f t="shared" si="431"/>
        <v>Pass_Completed</v>
      </c>
      <c r="AE1264" t="str">
        <f t="shared" si="432"/>
        <v>Pass-Backhand</v>
      </c>
      <c r="AF1264" t="str">
        <f t="shared" si="414"/>
        <v>Offensive</v>
      </c>
      <c r="AG1264">
        <f t="shared" si="420"/>
        <v>18981</v>
      </c>
      <c r="AH1264" t="str">
        <f t="shared" si="421"/>
        <v>Nelson</v>
      </c>
      <c r="AI1264" t="str">
        <f t="shared" si="422"/>
        <v>Velodrome</v>
      </c>
      <c r="AJ1264" s="18">
        <f t="shared" si="415"/>
        <v>0</v>
      </c>
      <c r="AP1264" s="18">
        <f t="shared" si="416"/>
        <v>0</v>
      </c>
      <c r="AQ1264">
        <f t="shared" si="417"/>
        <v>1080</v>
      </c>
      <c r="AR1264" s="23">
        <f t="shared" si="418"/>
        <v>1699</v>
      </c>
      <c r="AS1264">
        <f t="shared" si="423"/>
        <v>1694</v>
      </c>
      <c r="AT1264" s="21">
        <f t="shared" si="424"/>
        <v>1699</v>
      </c>
      <c r="AU1264" s="21"/>
      <c r="AV1264" s="21"/>
      <c r="AW1264" s="21"/>
    </row>
    <row r="1265" spans="1:49" x14ac:dyDescent="0.2">
      <c r="A1265">
        <v>683</v>
      </c>
      <c r="E1265">
        <f t="shared" si="419"/>
        <v>2</v>
      </c>
      <c r="J1265" t="str">
        <f t="shared" si="426"/>
        <v>7</v>
      </c>
      <c r="K1265" t="str">
        <f t="shared" si="427"/>
        <v>41</v>
      </c>
      <c r="L1265" t="str">
        <f t="shared" si="428"/>
        <v/>
      </c>
      <c r="M1265" s="6" t="str">
        <f t="shared" si="429"/>
        <v/>
      </c>
      <c r="N1265" t="str">
        <f t="shared" si="425"/>
        <v>Home</v>
      </c>
      <c r="O1265">
        <v>37</v>
      </c>
      <c r="P1265" t="s">
        <v>424</v>
      </c>
      <c r="Y1265" t="str">
        <f t="shared" si="412"/>
        <v/>
      </c>
      <c r="Z1265" t="str">
        <f t="shared" si="413"/>
        <v/>
      </c>
      <c r="AC1265" t="str">
        <f t="shared" si="430"/>
        <v>Pass</v>
      </c>
      <c r="AD1265" t="str">
        <f t="shared" si="431"/>
        <v>Pass_Completed</v>
      </c>
      <c r="AE1265" t="str">
        <f t="shared" si="432"/>
        <v>Pass-Backhand</v>
      </c>
      <c r="AF1265" t="str">
        <f t="shared" si="414"/>
        <v>Offensive</v>
      </c>
      <c r="AG1265">
        <f t="shared" si="420"/>
        <v>18981</v>
      </c>
      <c r="AH1265" t="str">
        <f t="shared" si="421"/>
        <v>Nelson</v>
      </c>
      <c r="AI1265" t="str">
        <f t="shared" si="422"/>
        <v>Velodrome</v>
      </c>
      <c r="AJ1265" s="18">
        <f t="shared" si="415"/>
        <v>0</v>
      </c>
      <c r="AP1265" s="18">
        <f t="shared" si="416"/>
        <v>0</v>
      </c>
      <c r="AQ1265">
        <f t="shared" si="417"/>
        <v>1080</v>
      </c>
      <c r="AR1265" s="23">
        <f t="shared" si="418"/>
        <v>1699</v>
      </c>
      <c r="AS1265">
        <f t="shared" si="423"/>
        <v>1694</v>
      </c>
      <c r="AT1265" s="21">
        <f t="shared" si="424"/>
        <v>1699</v>
      </c>
      <c r="AU1265" s="21"/>
      <c r="AV1265" s="21"/>
      <c r="AW1265" s="21"/>
    </row>
    <row r="1266" spans="1:49" x14ac:dyDescent="0.2">
      <c r="A1266">
        <v>683</v>
      </c>
      <c r="E1266">
        <f t="shared" si="419"/>
        <v>2</v>
      </c>
      <c r="J1266" t="str">
        <f t="shared" si="426"/>
        <v>7</v>
      </c>
      <c r="K1266" t="str">
        <f t="shared" si="427"/>
        <v>41</v>
      </c>
      <c r="L1266" t="str">
        <f t="shared" si="428"/>
        <v/>
      </c>
      <c r="M1266" s="6" t="str">
        <f t="shared" si="429"/>
        <v/>
      </c>
      <c r="N1266" t="str">
        <f t="shared" si="425"/>
        <v>Home</v>
      </c>
      <c r="O1266">
        <v>75</v>
      </c>
      <c r="P1266" t="s">
        <v>425</v>
      </c>
      <c r="Y1266" t="str">
        <f t="shared" si="412"/>
        <v/>
      </c>
      <c r="Z1266" t="str">
        <f t="shared" si="413"/>
        <v/>
      </c>
      <c r="AC1266" t="str">
        <f t="shared" si="430"/>
        <v>Pass</v>
      </c>
      <c r="AD1266" t="str">
        <f t="shared" si="431"/>
        <v>Pass_Completed</v>
      </c>
      <c r="AE1266" t="str">
        <f t="shared" si="432"/>
        <v>Pass-Backhand</v>
      </c>
      <c r="AF1266" t="str">
        <f t="shared" si="414"/>
        <v>Defensive</v>
      </c>
      <c r="AG1266">
        <f t="shared" si="420"/>
        <v>18981</v>
      </c>
      <c r="AH1266" t="str">
        <f t="shared" si="421"/>
        <v>Nelson</v>
      </c>
      <c r="AI1266" t="str">
        <f t="shared" si="422"/>
        <v>Velodrome</v>
      </c>
      <c r="AJ1266" s="18">
        <f t="shared" si="415"/>
        <v>0</v>
      </c>
      <c r="AP1266" s="18">
        <f t="shared" si="416"/>
        <v>0</v>
      </c>
      <c r="AQ1266">
        <f t="shared" si="417"/>
        <v>1080</v>
      </c>
      <c r="AR1266" s="23">
        <f t="shared" si="418"/>
        <v>1699</v>
      </c>
      <c r="AS1266">
        <f t="shared" si="423"/>
        <v>1694</v>
      </c>
      <c r="AT1266" s="21">
        <f t="shared" si="424"/>
        <v>1699</v>
      </c>
      <c r="AU1266" s="21"/>
      <c r="AV1266" s="21"/>
      <c r="AW1266" s="21"/>
    </row>
    <row r="1267" spans="1:49" x14ac:dyDescent="0.2">
      <c r="A1267">
        <v>684</v>
      </c>
      <c r="E1267">
        <f t="shared" si="419"/>
        <v>2</v>
      </c>
      <c r="F1267" s="5" t="s">
        <v>539</v>
      </c>
      <c r="G1267" s="5" t="s">
        <v>512</v>
      </c>
      <c r="J1267" t="str">
        <f t="shared" si="426"/>
        <v>7</v>
      </c>
      <c r="K1267" t="str">
        <f t="shared" si="427"/>
        <v>40</v>
      </c>
      <c r="L1267" t="str">
        <f t="shared" si="428"/>
        <v/>
      </c>
      <c r="M1267" s="6" t="str">
        <f t="shared" si="429"/>
        <v/>
      </c>
      <c r="N1267" t="s">
        <v>178</v>
      </c>
      <c r="O1267">
        <v>37</v>
      </c>
      <c r="P1267" t="s">
        <v>424</v>
      </c>
      <c r="Q1267" t="s">
        <v>7</v>
      </c>
      <c r="R1267" t="s">
        <v>208</v>
      </c>
      <c r="S1267" t="s">
        <v>53</v>
      </c>
      <c r="Y1267" t="str">
        <f t="shared" si="412"/>
        <v/>
      </c>
      <c r="Z1267" t="str">
        <f t="shared" si="413"/>
        <v/>
      </c>
      <c r="AC1267" t="str">
        <f t="shared" si="430"/>
        <v>Shot</v>
      </c>
      <c r="AD1267" t="str">
        <f t="shared" si="431"/>
        <v>Shot_Blocked</v>
      </c>
      <c r="AE1267" t="str">
        <f t="shared" si="432"/>
        <v>Shot-Wrist</v>
      </c>
      <c r="AF1267" t="str">
        <f t="shared" si="414"/>
        <v>Offensive</v>
      </c>
      <c r="AG1267">
        <f t="shared" si="420"/>
        <v>18981</v>
      </c>
      <c r="AH1267" t="str">
        <f t="shared" si="421"/>
        <v>Nelson</v>
      </c>
      <c r="AI1267" t="str">
        <f t="shared" si="422"/>
        <v>Velodrome</v>
      </c>
      <c r="AJ1267" s="18">
        <f t="shared" si="415"/>
        <v>0</v>
      </c>
      <c r="AP1267" s="18">
        <f t="shared" si="416"/>
        <v>0</v>
      </c>
      <c r="AQ1267">
        <f t="shared" si="417"/>
        <v>1080</v>
      </c>
      <c r="AR1267" s="23">
        <f t="shared" si="418"/>
        <v>1700</v>
      </c>
      <c r="AS1267">
        <f t="shared" si="423"/>
        <v>1695</v>
      </c>
      <c r="AT1267" s="21">
        <f t="shared" si="424"/>
        <v>1700</v>
      </c>
      <c r="AU1267" s="21"/>
      <c r="AV1267" s="21"/>
      <c r="AW1267" s="21"/>
    </row>
    <row r="1268" spans="1:49" x14ac:dyDescent="0.2">
      <c r="A1268">
        <v>684</v>
      </c>
      <c r="E1268">
        <f t="shared" si="419"/>
        <v>2</v>
      </c>
      <c r="J1268" t="str">
        <f t="shared" si="426"/>
        <v>7</v>
      </c>
      <c r="K1268" t="str">
        <f t="shared" si="427"/>
        <v>40</v>
      </c>
      <c r="L1268" t="str">
        <f t="shared" si="428"/>
        <v/>
      </c>
      <c r="M1268" s="6" t="str">
        <f t="shared" si="429"/>
        <v/>
      </c>
      <c r="N1268" t="str">
        <f t="shared" si="425"/>
        <v>Home</v>
      </c>
      <c r="O1268">
        <v>22</v>
      </c>
      <c r="P1268" t="s">
        <v>425</v>
      </c>
      <c r="Y1268" t="str">
        <f t="shared" si="412"/>
        <v/>
      </c>
      <c r="Z1268" t="str">
        <f t="shared" si="413"/>
        <v/>
      </c>
      <c r="AC1268" t="str">
        <f t="shared" si="430"/>
        <v>Shot</v>
      </c>
      <c r="AD1268" t="str">
        <f t="shared" si="431"/>
        <v>Shot_Blocked</v>
      </c>
      <c r="AE1268" t="str">
        <f t="shared" si="432"/>
        <v>Shot-Wrist</v>
      </c>
      <c r="AF1268" t="str">
        <f t="shared" si="414"/>
        <v>Defensive</v>
      </c>
      <c r="AG1268">
        <f t="shared" si="420"/>
        <v>18981</v>
      </c>
      <c r="AH1268" t="str">
        <f t="shared" si="421"/>
        <v>Nelson</v>
      </c>
      <c r="AI1268" t="str">
        <f t="shared" si="422"/>
        <v>Velodrome</v>
      </c>
      <c r="AJ1268" s="18">
        <f t="shared" si="415"/>
        <v>0</v>
      </c>
      <c r="AP1268" s="18">
        <f t="shared" si="416"/>
        <v>0</v>
      </c>
      <c r="AQ1268">
        <f t="shared" si="417"/>
        <v>1080</v>
      </c>
      <c r="AR1268" s="23">
        <f t="shared" si="418"/>
        <v>1700</v>
      </c>
      <c r="AS1268">
        <f t="shared" si="423"/>
        <v>1695</v>
      </c>
      <c r="AT1268" s="21">
        <f t="shared" si="424"/>
        <v>1700</v>
      </c>
      <c r="AU1268" s="21"/>
      <c r="AV1268" s="21"/>
      <c r="AW1268" s="21"/>
    </row>
    <row r="1269" spans="1:49" x14ac:dyDescent="0.2">
      <c r="A1269">
        <v>685</v>
      </c>
      <c r="E1269">
        <f t="shared" si="419"/>
        <v>2</v>
      </c>
      <c r="F1269" s="5" t="s">
        <v>539</v>
      </c>
      <c r="G1269" s="5" t="s">
        <v>510</v>
      </c>
      <c r="J1269" t="str">
        <f t="shared" si="426"/>
        <v>7</v>
      </c>
      <c r="K1269" t="str">
        <f t="shared" si="427"/>
        <v>38</v>
      </c>
      <c r="L1269" t="str">
        <f t="shared" si="428"/>
        <v/>
      </c>
      <c r="M1269" s="6" t="str">
        <f t="shared" si="429"/>
        <v/>
      </c>
      <c r="N1269" t="s">
        <v>178</v>
      </c>
      <c r="O1269">
        <v>23</v>
      </c>
      <c r="P1269" t="s">
        <v>424</v>
      </c>
      <c r="Q1269" t="s">
        <v>277</v>
      </c>
      <c r="R1269" t="s">
        <v>210</v>
      </c>
      <c r="S1269" t="s">
        <v>93</v>
      </c>
      <c r="Y1269" t="str">
        <f t="shared" si="412"/>
        <v/>
      </c>
      <c r="Z1269" t="str">
        <f t="shared" si="413"/>
        <v/>
      </c>
      <c r="AC1269" t="str">
        <f t="shared" si="430"/>
        <v>Zone_Entry_Exit</v>
      </c>
      <c r="AD1269" t="str">
        <f t="shared" si="431"/>
        <v>Zone_Keepin</v>
      </c>
      <c r="AE1269" t="str">
        <f t="shared" si="432"/>
        <v>Zone-KeepIn</v>
      </c>
      <c r="AF1269" t="str">
        <f t="shared" si="414"/>
        <v>Offensive</v>
      </c>
      <c r="AG1269">
        <f t="shared" si="420"/>
        <v>18981</v>
      </c>
      <c r="AH1269" t="str">
        <f t="shared" si="421"/>
        <v>Nelson</v>
      </c>
      <c r="AI1269" t="str">
        <f t="shared" si="422"/>
        <v>Velodrome</v>
      </c>
      <c r="AJ1269" s="18">
        <f t="shared" si="415"/>
        <v>0</v>
      </c>
      <c r="AP1269" s="18">
        <f t="shared" si="416"/>
        <v>0</v>
      </c>
      <c r="AQ1269">
        <f t="shared" si="417"/>
        <v>1080</v>
      </c>
      <c r="AR1269" s="23">
        <f t="shared" si="418"/>
        <v>1702</v>
      </c>
      <c r="AS1269">
        <f t="shared" si="423"/>
        <v>1697</v>
      </c>
      <c r="AT1269" s="21">
        <f t="shared" si="424"/>
        <v>1702</v>
      </c>
      <c r="AU1269" s="21"/>
      <c r="AV1269" s="21"/>
      <c r="AW1269" s="21"/>
    </row>
    <row r="1270" spans="1:49" x14ac:dyDescent="0.2">
      <c r="A1270">
        <v>686</v>
      </c>
      <c r="E1270">
        <f t="shared" si="419"/>
        <v>2</v>
      </c>
      <c r="F1270" s="5" t="s">
        <v>539</v>
      </c>
      <c r="G1270" s="5" t="s">
        <v>510</v>
      </c>
      <c r="J1270" t="str">
        <f t="shared" si="426"/>
        <v>7</v>
      </c>
      <c r="K1270" t="str">
        <f t="shared" si="427"/>
        <v>38</v>
      </c>
      <c r="L1270" t="str">
        <f t="shared" si="428"/>
        <v/>
      </c>
      <c r="M1270" s="6" t="str">
        <f t="shared" si="429"/>
        <v/>
      </c>
      <c r="N1270" t="s">
        <v>178</v>
      </c>
      <c r="O1270">
        <v>23</v>
      </c>
      <c r="P1270" t="s">
        <v>424</v>
      </c>
      <c r="Q1270" t="s">
        <v>10</v>
      </c>
      <c r="R1270" t="s">
        <v>190</v>
      </c>
      <c r="S1270" t="s">
        <v>73</v>
      </c>
      <c r="Y1270" t="str">
        <f t="shared" si="412"/>
        <v/>
      </c>
      <c r="Z1270" t="str">
        <f t="shared" si="413"/>
        <v/>
      </c>
      <c r="AC1270" t="str">
        <f t="shared" si="430"/>
        <v>Turnover</v>
      </c>
      <c r="AD1270" t="str">
        <f t="shared" si="431"/>
        <v>Turnover_Giveaway</v>
      </c>
      <c r="AE1270" t="str">
        <f t="shared" si="432"/>
        <v>Giveaway-Misplayed</v>
      </c>
      <c r="AF1270" t="str">
        <f t="shared" si="414"/>
        <v>Offensive</v>
      </c>
      <c r="AG1270">
        <f t="shared" si="420"/>
        <v>18981</v>
      </c>
      <c r="AH1270" t="str">
        <f t="shared" si="421"/>
        <v>Nelson</v>
      </c>
      <c r="AI1270" t="str">
        <f t="shared" si="422"/>
        <v>Velodrome</v>
      </c>
      <c r="AJ1270" s="18">
        <f t="shared" si="415"/>
        <v>0</v>
      </c>
      <c r="AP1270" s="18">
        <f t="shared" si="416"/>
        <v>0</v>
      </c>
      <c r="AQ1270">
        <f t="shared" si="417"/>
        <v>1080</v>
      </c>
      <c r="AR1270" s="23">
        <f t="shared" si="418"/>
        <v>1702</v>
      </c>
      <c r="AS1270">
        <f t="shared" si="423"/>
        <v>1697</v>
      </c>
      <c r="AT1270" s="21">
        <f t="shared" si="424"/>
        <v>1702</v>
      </c>
      <c r="AU1270" s="21"/>
      <c r="AV1270" s="21"/>
      <c r="AW1270" s="21"/>
    </row>
    <row r="1271" spans="1:49" x14ac:dyDescent="0.2">
      <c r="A1271">
        <v>686</v>
      </c>
      <c r="E1271">
        <f t="shared" si="419"/>
        <v>2</v>
      </c>
      <c r="J1271" t="str">
        <f t="shared" si="426"/>
        <v>7</v>
      </c>
      <c r="K1271" t="str">
        <f t="shared" si="427"/>
        <v>38</v>
      </c>
      <c r="L1271" t="str">
        <f t="shared" si="428"/>
        <v/>
      </c>
      <c r="M1271" s="6" t="str">
        <f t="shared" si="429"/>
        <v/>
      </c>
      <c r="N1271" t="str">
        <f t="shared" si="425"/>
        <v>Home</v>
      </c>
      <c r="O1271">
        <v>87</v>
      </c>
      <c r="P1271" t="s">
        <v>425</v>
      </c>
      <c r="Y1271" t="str">
        <f t="shared" si="412"/>
        <v/>
      </c>
      <c r="Z1271" t="str">
        <f t="shared" si="413"/>
        <v/>
      </c>
      <c r="AC1271" t="str">
        <f t="shared" si="430"/>
        <v>Turnover</v>
      </c>
      <c r="AD1271" t="str">
        <f t="shared" si="431"/>
        <v>Turnover_Giveaway</v>
      </c>
      <c r="AE1271" t="str">
        <f t="shared" si="432"/>
        <v>Giveaway-Misplayed</v>
      </c>
      <c r="AF1271" t="str">
        <f t="shared" si="414"/>
        <v>Defensive</v>
      </c>
      <c r="AG1271">
        <f t="shared" si="420"/>
        <v>18981</v>
      </c>
      <c r="AH1271" t="str">
        <f t="shared" si="421"/>
        <v>Nelson</v>
      </c>
      <c r="AI1271" t="str">
        <f t="shared" si="422"/>
        <v>Velodrome</v>
      </c>
      <c r="AJ1271" s="18">
        <f t="shared" si="415"/>
        <v>0</v>
      </c>
      <c r="AP1271" s="18">
        <f t="shared" si="416"/>
        <v>0</v>
      </c>
      <c r="AQ1271">
        <f t="shared" si="417"/>
        <v>1080</v>
      </c>
      <c r="AR1271" s="23">
        <f t="shared" si="418"/>
        <v>1702</v>
      </c>
      <c r="AS1271">
        <f t="shared" si="423"/>
        <v>1697</v>
      </c>
      <c r="AT1271" s="21">
        <f t="shared" si="424"/>
        <v>1702</v>
      </c>
      <c r="AU1271" s="21"/>
      <c r="AV1271" s="21"/>
      <c r="AW1271" s="21"/>
    </row>
    <row r="1272" spans="1:49" x14ac:dyDescent="0.2">
      <c r="A1272">
        <v>687</v>
      </c>
      <c r="E1272">
        <f t="shared" si="419"/>
        <v>2</v>
      </c>
      <c r="F1272" s="5" t="s">
        <v>539</v>
      </c>
      <c r="G1272" s="5" t="s">
        <v>509</v>
      </c>
      <c r="J1272" t="str">
        <f t="shared" si="426"/>
        <v>7</v>
      </c>
      <c r="K1272" t="str">
        <f t="shared" si="427"/>
        <v>37</v>
      </c>
      <c r="L1272" t="str">
        <f t="shared" si="428"/>
        <v/>
      </c>
      <c r="M1272" s="6" t="str">
        <f t="shared" si="429"/>
        <v/>
      </c>
      <c r="N1272" t="s">
        <v>179</v>
      </c>
      <c r="O1272">
        <v>87</v>
      </c>
      <c r="P1272" t="s">
        <v>424</v>
      </c>
      <c r="Q1272" t="s">
        <v>277</v>
      </c>
      <c r="R1272" t="s">
        <v>201</v>
      </c>
      <c r="S1272" t="s">
        <v>536</v>
      </c>
      <c r="Y1272" t="str">
        <f t="shared" si="412"/>
        <v/>
      </c>
      <c r="Z1272" t="str">
        <f t="shared" si="413"/>
        <v/>
      </c>
      <c r="AC1272" t="str">
        <f t="shared" si="430"/>
        <v>Zone_Entry_Exit</v>
      </c>
      <c r="AD1272" t="str">
        <f t="shared" si="431"/>
        <v>Zone_Exit</v>
      </c>
      <c r="AE1272" t="str">
        <f t="shared" si="432"/>
        <v>ZoneExit-CausedTurnover</v>
      </c>
      <c r="AF1272" t="str">
        <f t="shared" si="414"/>
        <v>Offensive</v>
      </c>
      <c r="AG1272">
        <f t="shared" si="420"/>
        <v>18981</v>
      </c>
      <c r="AH1272" t="str">
        <f t="shared" si="421"/>
        <v>Nelson</v>
      </c>
      <c r="AI1272" t="str">
        <f t="shared" si="422"/>
        <v>Velodrome</v>
      </c>
      <c r="AJ1272" s="18">
        <f t="shared" si="415"/>
        <v>0</v>
      </c>
      <c r="AP1272" s="18">
        <f t="shared" si="416"/>
        <v>0</v>
      </c>
      <c r="AQ1272">
        <f t="shared" si="417"/>
        <v>1080</v>
      </c>
      <c r="AR1272" s="23">
        <f t="shared" si="418"/>
        <v>1703</v>
      </c>
      <c r="AS1272">
        <f t="shared" si="423"/>
        <v>1698</v>
      </c>
      <c r="AT1272" s="21">
        <f t="shared" si="424"/>
        <v>1703</v>
      </c>
      <c r="AU1272" s="21"/>
      <c r="AV1272" s="21"/>
      <c r="AW1272" s="21"/>
    </row>
    <row r="1273" spans="1:49" x14ac:dyDescent="0.2">
      <c r="A1273">
        <v>687</v>
      </c>
      <c r="E1273">
        <f t="shared" si="419"/>
        <v>2</v>
      </c>
      <c r="J1273" t="str">
        <f t="shared" si="426"/>
        <v>7</v>
      </c>
      <c r="K1273" t="str">
        <f t="shared" si="427"/>
        <v>37</v>
      </c>
      <c r="L1273" t="str">
        <f t="shared" si="428"/>
        <v/>
      </c>
      <c r="M1273" s="6" t="str">
        <f t="shared" si="429"/>
        <v/>
      </c>
      <c r="N1273" t="str">
        <f t="shared" si="425"/>
        <v>Away</v>
      </c>
      <c r="O1273">
        <v>23</v>
      </c>
      <c r="P1273" t="s">
        <v>425</v>
      </c>
      <c r="Y1273" t="str">
        <f t="shared" si="412"/>
        <v/>
      </c>
      <c r="Z1273" t="str">
        <f t="shared" si="413"/>
        <v/>
      </c>
      <c r="AC1273" t="str">
        <f t="shared" si="430"/>
        <v>Zone_Entry_Exit</v>
      </c>
      <c r="AD1273" t="str">
        <f t="shared" si="431"/>
        <v>Zone_Exit</v>
      </c>
      <c r="AE1273" t="str">
        <f t="shared" si="432"/>
        <v>ZoneExit-CausedTurnover</v>
      </c>
      <c r="AF1273" t="str">
        <f t="shared" si="414"/>
        <v>Defensive</v>
      </c>
      <c r="AG1273">
        <f t="shared" si="420"/>
        <v>18981</v>
      </c>
      <c r="AH1273" t="str">
        <f t="shared" si="421"/>
        <v>Nelson</v>
      </c>
      <c r="AI1273" t="str">
        <f t="shared" si="422"/>
        <v>Velodrome</v>
      </c>
      <c r="AJ1273" s="18">
        <f t="shared" si="415"/>
        <v>0</v>
      </c>
      <c r="AP1273" s="18">
        <f t="shared" si="416"/>
        <v>0</v>
      </c>
      <c r="AQ1273">
        <f t="shared" si="417"/>
        <v>1080</v>
      </c>
      <c r="AR1273" s="23">
        <f t="shared" si="418"/>
        <v>1703</v>
      </c>
      <c r="AS1273">
        <f t="shared" si="423"/>
        <v>1698</v>
      </c>
      <c r="AT1273" s="21">
        <f t="shared" si="424"/>
        <v>1703</v>
      </c>
      <c r="AU1273" s="21"/>
      <c r="AV1273" s="21"/>
      <c r="AW1273" s="21"/>
    </row>
    <row r="1274" spans="1:49" x14ac:dyDescent="0.2">
      <c r="A1274">
        <v>688</v>
      </c>
      <c r="E1274">
        <f t="shared" si="419"/>
        <v>2</v>
      </c>
      <c r="F1274" s="5" t="s">
        <v>539</v>
      </c>
      <c r="G1274" s="5" t="s">
        <v>503</v>
      </c>
      <c r="H1274" s="5" t="s">
        <v>539</v>
      </c>
      <c r="I1274" s="7" t="s">
        <v>502</v>
      </c>
      <c r="J1274" t="str">
        <f t="shared" si="426"/>
        <v>7</v>
      </c>
      <c r="K1274" t="str">
        <f t="shared" si="427"/>
        <v>31</v>
      </c>
      <c r="L1274" t="str">
        <f t="shared" si="428"/>
        <v>7</v>
      </c>
      <c r="M1274" s="6" t="str">
        <f t="shared" si="429"/>
        <v>30</v>
      </c>
      <c r="N1274" t="s">
        <v>178</v>
      </c>
      <c r="O1274">
        <v>37</v>
      </c>
      <c r="P1274" t="s">
        <v>424</v>
      </c>
      <c r="Q1274" t="s">
        <v>15</v>
      </c>
      <c r="Y1274" t="str">
        <f t="shared" si="412"/>
        <v/>
      </c>
      <c r="Z1274" t="str">
        <f t="shared" si="413"/>
        <v/>
      </c>
      <c r="AC1274" t="str">
        <f t="shared" si="430"/>
        <v>Possession</v>
      </c>
      <c r="AD1274" t="str">
        <f t="shared" si="431"/>
        <v/>
      </c>
      <c r="AE1274" t="str">
        <f t="shared" si="432"/>
        <v/>
      </c>
      <c r="AF1274" t="str">
        <f t="shared" si="414"/>
        <v>Offensive</v>
      </c>
      <c r="AG1274">
        <f t="shared" si="420"/>
        <v>18981</v>
      </c>
      <c r="AH1274" t="str">
        <f t="shared" si="421"/>
        <v>Nelson</v>
      </c>
      <c r="AI1274" t="str">
        <f t="shared" si="422"/>
        <v>Velodrome</v>
      </c>
      <c r="AJ1274" s="18">
        <f t="shared" si="415"/>
        <v>1</v>
      </c>
      <c r="AP1274" s="18">
        <f t="shared" si="416"/>
        <v>0</v>
      </c>
      <c r="AQ1274">
        <f t="shared" si="417"/>
        <v>1080</v>
      </c>
      <c r="AR1274" s="23">
        <f t="shared" si="418"/>
        <v>1709</v>
      </c>
      <c r="AS1274">
        <f t="shared" si="423"/>
        <v>1704</v>
      </c>
      <c r="AT1274" s="21">
        <f t="shared" si="424"/>
        <v>1710</v>
      </c>
      <c r="AU1274" s="21"/>
      <c r="AV1274" s="21"/>
      <c r="AW1274" s="21"/>
    </row>
    <row r="1275" spans="1:49" x14ac:dyDescent="0.2">
      <c r="A1275">
        <v>688</v>
      </c>
      <c r="E1275">
        <f t="shared" si="419"/>
        <v>2</v>
      </c>
      <c r="J1275" t="str">
        <f t="shared" si="426"/>
        <v>7</v>
      </c>
      <c r="K1275" t="str">
        <f t="shared" si="427"/>
        <v>31</v>
      </c>
      <c r="L1275" t="str">
        <f t="shared" si="428"/>
        <v>7</v>
      </c>
      <c r="M1275" s="6" t="str">
        <f t="shared" si="429"/>
        <v>30</v>
      </c>
      <c r="N1275" t="str">
        <f t="shared" si="425"/>
        <v>Home</v>
      </c>
      <c r="O1275">
        <v>75</v>
      </c>
      <c r="P1275" t="s">
        <v>425</v>
      </c>
      <c r="Y1275" t="str">
        <f t="shared" si="412"/>
        <v/>
      </c>
      <c r="Z1275" t="str">
        <f t="shared" si="413"/>
        <v/>
      </c>
      <c r="AC1275" t="str">
        <f t="shared" si="430"/>
        <v>Possession</v>
      </c>
      <c r="AD1275" t="str">
        <f t="shared" si="431"/>
        <v/>
      </c>
      <c r="AE1275" t="str">
        <f t="shared" si="432"/>
        <v/>
      </c>
      <c r="AF1275" t="str">
        <f t="shared" si="414"/>
        <v>Defensive</v>
      </c>
      <c r="AG1275">
        <f t="shared" si="420"/>
        <v>18981</v>
      </c>
      <c r="AH1275" t="str">
        <f t="shared" si="421"/>
        <v>Nelson</v>
      </c>
      <c r="AI1275" t="str">
        <f t="shared" si="422"/>
        <v>Velodrome</v>
      </c>
      <c r="AJ1275" s="18">
        <f t="shared" si="415"/>
        <v>1</v>
      </c>
      <c r="AP1275" s="18">
        <f t="shared" si="416"/>
        <v>0</v>
      </c>
      <c r="AQ1275">
        <f t="shared" si="417"/>
        <v>1080</v>
      </c>
      <c r="AR1275" s="23">
        <f t="shared" si="418"/>
        <v>1709</v>
      </c>
      <c r="AS1275">
        <f t="shared" si="423"/>
        <v>1704</v>
      </c>
      <c r="AT1275" s="21">
        <f t="shared" si="424"/>
        <v>1710</v>
      </c>
      <c r="AU1275" s="21"/>
      <c r="AV1275" s="21"/>
      <c r="AW1275" s="21"/>
    </row>
    <row r="1276" spans="1:49" x14ac:dyDescent="0.2">
      <c r="A1276">
        <v>689</v>
      </c>
      <c r="E1276">
        <f t="shared" si="419"/>
        <v>2</v>
      </c>
      <c r="F1276" s="5" t="s">
        <v>539</v>
      </c>
      <c r="G1276" s="5" t="s">
        <v>502</v>
      </c>
      <c r="J1276" t="str">
        <f t="shared" si="426"/>
        <v>7</v>
      </c>
      <c r="K1276" t="str">
        <f t="shared" si="427"/>
        <v>30</v>
      </c>
      <c r="L1276" t="str">
        <f t="shared" si="428"/>
        <v/>
      </c>
      <c r="M1276" s="6" t="str">
        <f t="shared" si="429"/>
        <v/>
      </c>
      <c r="N1276" t="s">
        <v>178</v>
      </c>
      <c r="O1276">
        <v>37</v>
      </c>
      <c r="P1276" t="s">
        <v>424</v>
      </c>
      <c r="Q1276" t="s">
        <v>277</v>
      </c>
      <c r="R1276" t="s">
        <v>191</v>
      </c>
      <c r="S1276" t="s">
        <v>430</v>
      </c>
      <c r="Y1276" t="str">
        <f t="shared" si="412"/>
        <v/>
      </c>
      <c r="Z1276" t="str">
        <f t="shared" si="413"/>
        <v/>
      </c>
      <c r="AC1276" t="str">
        <f t="shared" si="430"/>
        <v>Zone_Entry_Exit</v>
      </c>
      <c r="AD1276" t="str">
        <f t="shared" si="431"/>
        <v>Zone_Entry</v>
      </c>
      <c r="AE1276" t="str">
        <f t="shared" si="432"/>
        <v>ZoneEntry-Chip</v>
      </c>
      <c r="AF1276" t="str">
        <f t="shared" si="414"/>
        <v>Offensive</v>
      </c>
      <c r="AG1276">
        <f t="shared" si="420"/>
        <v>18981</v>
      </c>
      <c r="AH1276" t="str">
        <f t="shared" si="421"/>
        <v>Nelson</v>
      </c>
      <c r="AI1276" t="str">
        <f t="shared" si="422"/>
        <v>Velodrome</v>
      </c>
      <c r="AJ1276" s="18">
        <f t="shared" si="415"/>
        <v>0</v>
      </c>
      <c r="AP1276" s="18">
        <f t="shared" si="416"/>
        <v>0</v>
      </c>
      <c r="AQ1276">
        <f t="shared" si="417"/>
        <v>1080</v>
      </c>
      <c r="AR1276" s="23">
        <f t="shared" si="418"/>
        <v>1710</v>
      </c>
      <c r="AS1276">
        <f t="shared" si="423"/>
        <v>1705</v>
      </c>
      <c r="AT1276" s="21">
        <f t="shared" si="424"/>
        <v>1710</v>
      </c>
      <c r="AU1276" s="21"/>
      <c r="AV1276" s="21"/>
      <c r="AW1276" s="21"/>
    </row>
    <row r="1277" spans="1:49" x14ac:dyDescent="0.2">
      <c r="A1277">
        <v>689</v>
      </c>
      <c r="E1277">
        <f t="shared" si="419"/>
        <v>2</v>
      </c>
      <c r="J1277" t="str">
        <f t="shared" si="426"/>
        <v>7</v>
      </c>
      <c r="K1277" t="str">
        <f t="shared" si="427"/>
        <v>30</v>
      </c>
      <c r="L1277" t="str">
        <f t="shared" si="428"/>
        <v/>
      </c>
      <c r="M1277" s="6" t="str">
        <f t="shared" si="429"/>
        <v/>
      </c>
      <c r="N1277" t="str">
        <f t="shared" si="425"/>
        <v>Home</v>
      </c>
      <c r="O1277">
        <v>75</v>
      </c>
      <c r="P1277" t="s">
        <v>425</v>
      </c>
      <c r="Y1277" t="str">
        <f t="shared" si="412"/>
        <v/>
      </c>
      <c r="Z1277" t="str">
        <f t="shared" si="413"/>
        <v/>
      </c>
      <c r="AC1277" t="str">
        <f t="shared" si="430"/>
        <v>Zone_Entry_Exit</v>
      </c>
      <c r="AD1277" t="str">
        <f t="shared" si="431"/>
        <v>Zone_Entry</v>
      </c>
      <c r="AE1277" t="str">
        <f t="shared" si="432"/>
        <v>ZoneEntry-Chip</v>
      </c>
      <c r="AF1277" t="str">
        <f t="shared" si="414"/>
        <v>Defensive</v>
      </c>
      <c r="AG1277">
        <f t="shared" si="420"/>
        <v>18981</v>
      </c>
      <c r="AH1277" t="str">
        <f t="shared" si="421"/>
        <v>Nelson</v>
      </c>
      <c r="AI1277" t="str">
        <f t="shared" si="422"/>
        <v>Velodrome</v>
      </c>
      <c r="AJ1277" s="18">
        <f t="shared" si="415"/>
        <v>0</v>
      </c>
      <c r="AP1277" s="18">
        <f t="shared" si="416"/>
        <v>0</v>
      </c>
      <c r="AQ1277">
        <f t="shared" si="417"/>
        <v>1080</v>
      </c>
      <c r="AR1277" s="23">
        <f t="shared" si="418"/>
        <v>1710</v>
      </c>
      <c r="AS1277">
        <f t="shared" si="423"/>
        <v>1705</v>
      </c>
      <c r="AT1277" s="21">
        <f t="shared" si="424"/>
        <v>1710</v>
      </c>
      <c r="AU1277" s="21"/>
      <c r="AV1277" s="21"/>
      <c r="AW1277" s="21"/>
    </row>
    <row r="1278" spans="1:49" x14ac:dyDescent="0.2">
      <c r="A1278">
        <v>689</v>
      </c>
      <c r="E1278">
        <f t="shared" si="419"/>
        <v>2</v>
      </c>
      <c r="J1278" t="str">
        <f t="shared" si="426"/>
        <v>7</v>
      </c>
      <c r="K1278" t="str">
        <f t="shared" si="427"/>
        <v>30</v>
      </c>
      <c r="L1278" t="str">
        <f t="shared" si="428"/>
        <v/>
      </c>
      <c r="M1278" s="6" t="str">
        <f t="shared" si="429"/>
        <v/>
      </c>
      <c r="N1278" t="str">
        <f t="shared" si="425"/>
        <v>Home</v>
      </c>
      <c r="O1278">
        <v>93</v>
      </c>
      <c r="P1278" t="s">
        <v>425</v>
      </c>
      <c r="Y1278" t="str">
        <f t="shared" si="412"/>
        <v/>
      </c>
      <c r="Z1278" t="str">
        <f t="shared" si="413"/>
        <v/>
      </c>
      <c r="AC1278" t="str">
        <f t="shared" si="430"/>
        <v>Zone_Entry_Exit</v>
      </c>
      <c r="AD1278" t="str">
        <f t="shared" si="431"/>
        <v>Zone_Entry</v>
      </c>
      <c r="AE1278" t="str">
        <f t="shared" si="432"/>
        <v>ZoneEntry-Chip</v>
      </c>
      <c r="AF1278" t="str">
        <f t="shared" si="414"/>
        <v>Defensive</v>
      </c>
      <c r="AG1278">
        <f t="shared" si="420"/>
        <v>18981</v>
      </c>
      <c r="AH1278" t="str">
        <f t="shared" si="421"/>
        <v>Nelson</v>
      </c>
      <c r="AI1278" t="str">
        <f t="shared" si="422"/>
        <v>Velodrome</v>
      </c>
      <c r="AJ1278" s="18">
        <f t="shared" si="415"/>
        <v>0</v>
      </c>
      <c r="AP1278" s="18">
        <f t="shared" si="416"/>
        <v>0</v>
      </c>
      <c r="AQ1278">
        <f t="shared" si="417"/>
        <v>1080</v>
      </c>
      <c r="AR1278" s="23">
        <f t="shared" si="418"/>
        <v>1710</v>
      </c>
      <c r="AS1278">
        <f t="shared" si="423"/>
        <v>1705</v>
      </c>
      <c r="AT1278" s="21">
        <f t="shared" si="424"/>
        <v>1710</v>
      </c>
      <c r="AU1278" s="21"/>
      <c r="AV1278" s="21"/>
      <c r="AW1278" s="21"/>
    </row>
    <row r="1279" spans="1:49" x14ac:dyDescent="0.2">
      <c r="A1279">
        <v>690</v>
      </c>
      <c r="E1279">
        <f t="shared" si="419"/>
        <v>2</v>
      </c>
      <c r="F1279" s="5" t="s">
        <v>539</v>
      </c>
      <c r="G1279" s="5" t="s">
        <v>497</v>
      </c>
      <c r="J1279" t="str">
        <f t="shared" si="426"/>
        <v>7</v>
      </c>
      <c r="K1279" t="str">
        <f t="shared" si="427"/>
        <v>25</v>
      </c>
      <c r="L1279" t="str">
        <f t="shared" si="428"/>
        <v/>
      </c>
      <c r="M1279" s="6" t="str">
        <f t="shared" si="429"/>
        <v/>
      </c>
      <c r="N1279" t="s">
        <v>178</v>
      </c>
      <c r="O1279">
        <v>37</v>
      </c>
      <c r="P1279" t="s">
        <v>424</v>
      </c>
      <c r="Q1279" t="s">
        <v>8</v>
      </c>
      <c r="R1279" t="s">
        <v>189</v>
      </c>
      <c r="S1279" t="s">
        <v>70</v>
      </c>
      <c r="Y1279" t="str">
        <f t="shared" si="412"/>
        <v/>
      </c>
      <c r="Z1279" t="str">
        <f t="shared" si="413"/>
        <v/>
      </c>
      <c r="AC1279" t="str">
        <f t="shared" si="430"/>
        <v>Pass</v>
      </c>
      <c r="AD1279" t="str">
        <f t="shared" si="431"/>
        <v>Pass_Completed</v>
      </c>
      <c r="AE1279" t="str">
        <f t="shared" si="432"/>
        <v>Pass-Forehand</v>
      </c>
      <c r="AF1279" t="str">
        <f t="shared" si="414"/>
        <v>Offensive</v>
      </c>
      <c r="AG1279">
        <f t="shared" si="420"/>
        <v>18981</v>
      </c>
      <c r="AH1279" t="str">
        <f t="shared" si="421"/>
        <v>Nelson</v>
      </c>
      <c r="AI1279" t="str">
        <f t="shared" si="422"/>
        <v>Velodrome</v>
      </c>
      <c r="AJ1279" s="18">
        <f t="shared" si="415"/>
        <v>0</v>
      </c>
      <c r="AP1279" s="18">
        <f t="shared" si="416"/>
        <v>0</v>
      </c>
      <c r="AQ1279">
        <f t="shared" si="417"/>
        <v>1080</v>
      </c>
      <c r="AR1279" s="23">
        <f t="shared" si="418"/>
        <v>1715</v>
      </c>
      <c r="AS1279">
        <f t="shared" si="423"/>
        <v>1710</v>
      </c>
      <c r="AT1279" s="21">
        <f t="shared" si="424"/>
        <v>1715</v>
      </c>
      <c r="AU1279" s="21"/>
      <c r="AV1279" s="21"/>
      <c r="AW1279" s="21"/>
    </row>
    <row r="1280" spans="1:49" x14ac:dyDescent="0.2">
      <c r="A1280">
        <v>690</v>
      </c>
      <c r="E1280">
        <f t="shared" si="419"/>
        <v>2</v>
      </c>
      <c r="J1280" t="str">
        <f t="shared" si="426"/>
        <v>7</v>
      </c>
      <c r="K1280" t="str">
        <f t="shared" si="427"/>
        <v>25</v>
      </c>
      <c r="L1280" t="str">
        <f t="shared" si="428"/>
        <v/>
      </c>
      <c r="M1280" s="6" t="str">
        <f t="shared" si="429"/>
        <v/>
      </c>
      <c r="N1280" t="str">
        <f t="shared" si="425"/>
        <v>Home</v>
      </c>
      <c r="O1280">
        <v>3</v>
      </c>
      <c r="P1280" t="s">
        <v>424</v>
      </c>
      <c r="Y1280" t="str">
        <f t="shared" si="412"/>
        <v/>
      </c>
      <c r="Z1280" t="str">
        <f t="shared" si="413"/>
        <v/>
      </c>
      <c r="AC1280" t="str">
        <f t="shared" si="430"/>
        <v>Pass</v>
      </c>
      <c r="AD1280" t="str">
        <f t="shared" si="431"/>
        <v>Pass_Completed</v>
      </c>
      <c r="AE1280" t="str">
        <f t="shared" si="432"/>
        <v>Pass-Forehand</v>
      </c>
      <c r="AF1280" t="str">
        <f t="shared" si="414"/>
        <v>Offensive</v>
      </c>
      <c r="AG1280">
        <f t="shared" si="420"/>
        <v>18981</v>
      </c>
      <c r="AH1280" t="str">
        <f t="shared" si="421"/>
        <v>Nelson</v>
      </c>
      <c r="AI1280" t="str">
        <f t="shared" si="422"/>
        <v>Velodrome</v>
      </c>
      <c r="AJ1280" s="18">
        <f t="shared" si="415"/>
        <v>0</v>
      </c>
      <c r="AP1280" s="18">
        <f t="shared" si="416"/>
        <v>0</v>
      </c>
      <c r="AQ1280">
        <f t="shared" si="417"/>
        <v>1080</v>
      </c>
      <c r="AR1280" s="23">
        <f t="shared" si="418"/>
        <v>1715</v>
      </c>
      <c r="AS1280">
        <f t="shared" si="423"/>
        <v>1710</v>
      </c>
      <c r="AT1280" s="21">
        <f t="shared" si="424"/>
        <v>1715</v>
      </c>
      <c r="AU1280" s="21"/>
      <c r="AV1280" s="21"/>
      <c r="AW1280" s="21"/>
    </row>
    <row r="1281" spans="1:49" x14ac:dyDescent="0.2">
      <c r="A1281">
        <v>690</v>
      </c>
      <c r="E1281">
        <f t="shared" si="419"/>
        <v>2</v>
      </c>
      <c r="J1281" t="str">
        <f t="shared" si="426"/>
        <v>7</v>
      </c>
      <c r="K1281" t="str">
        <f t="shared" si="427"/>
        <v>25</v>
      </c>
      <c r="L1281" t="str">
        <f t="shared" si="428"/>
        <v/>
      </c>
      <c r="M1281" s="6" t="str">
        <f t="shared" si="429"/>
        <v/>
      </c>
      <c r="N1281" t="str">
        <f t="shared" si="425"/>
        <v>Home</v>
      </c>
      <c r="O1281">
        <v>93</v>
      </c>
      <c r="P1281" t="s">
        <v>425</v>
      </c>
      <c r="Y1281" t="str">
        <f t="shared" si="412"/>
        <v/>
      </c>
      <c r="Z1281" t="str">
        <f t="shared" si="413"/>
        <v/>
      </c>
      <c r="AC1281" t="str">
        <f t="shared" si="430"/>
        <v>Pass</v>
      </c>
      <c r="AD1281" t="str">
        <f t="shared" si="431"/>
        <v>Pass_Completed</v>
      </c>
      <c r="AE1281" t="str">
        <f t="shared" si="432"/>
        <v>Pass-Forehand</v>
      </c>
      <c r="AF1281" t="str">
        <f t="shared" si="414"/>
        <v>Defensive</v>
      </c>
      <c r="AG1281">
        <f t="shared" si="420"/>
        <v>18981</v>
      </c>
      <c r="AH1281" t="str">
        <f t="shared" si="421"/>
        <v>Nelson</v>
      </c>
      <c r="AI1281" t="str">
        <f t="shared" si="422"/>
        <v>Velodrome</v>
      </c>
      <c r="AJ1281" s="18">
        <f t="shared" si="415"/>
        <v>0</v>
      </c>
      <c r="AP1281" s="18">
        <f t="shared" si="416"/>
        <v>0</v>
      </c>
      <c r="AQ1281">
        <f t="shared" si="417"/>
        <v>1080</v>
      </c>
      <c r="AR1281" s="23">
        <f t="shared" si="418"/>
        <v>1715</v>
      </c>
      <c r="AS1281">
        <f t="shared" si="423"/>
        <v>1710</v>
      </c>
      <c r="AT1281" s="21">
        <f t="shared" si="424"/>
        <v>1715</v>
      </c>
      <c r="AU1281" s="21"/>
      <c r="AV1281" s="21"/>
      <c r="AW1281" s="21"/>
    </row>
    <row r="1282" spans="1:49" x14ac:dyDescent="0.2">
      <c r="A1282">
        <v>690</v>
      </c>
      <c r="E1282">
        <f t="shared" si="419"/>
        <v>2</v>
      </c>
      <c r="J1282" t="str">
        <f t="shared" si="426"/>
        <v>7</v>
      </c>
      <c r="K1282" t="str">
        <f t="shared" si="427"/>
        <v>25</v>
      </c>
      <c r="L1282" t="str">
        <f t="shared" si="428"/>
        <v/>
      </c>
      <c r="M1282" s="6" t="str">
        <f t="shared" si="429"/>
        <v/>
      </c>
      <c r="N1282" t="str">
        <f t="shared" si="425"/>
        <v>Home</v>
      </c>
      <c r="O1282">
        <v>22</v>
      </c>
      <c r="P1282" t="s">
        <v>425</v>
      </c>
      <c r="Y1282" t="str">
        <f t="shared" si="412"/>
        <v/>
      </c>
      <c r="Z1282" t="str">
        <f t="shared" si="413"/>
        <v/>
      </c>
      <c r="AC1282" t="str">
        <f t="shared" si="430"/>
        <v>Pass</v>
      </c>
      <c r="AD1282" t="str">
        <f t="shared" si="431"/>
        <v>Pass_Completed</v>
      </c>
      <c r="AE1282" t="str">
        <f t="shared" si="432"/>
        <v>Pass-Forehand</v>
      </c>
      <c r="AF1282" t="str">
        <f t="shared" si="414"/>
        <v>Defensive</v>
      </c>
      <c r="AG1282">
        <f t="shared" si="420"/>
        <v>18981</v>
      </c>
      <c r="AH1282" t="str">
        <f t="shared" si="421"/>
        <v>Nelson</v>
      </c>
      <c r="AI1282" t="str">
        <f t="shared" si="422"/>
        <v>Velodrome</v>
      </c>
      <c r="AJ1282" s="18">
        <f t="shared" si="415"/>
        <v>0</v>
      </c>
      <c r="AP1282" s="18">
        <f t="shared" si="416"/>
        <v>0</v>
      </c>
      <c r="AQ1282">
        <f t="shared" si="417"/>
        <v>1080</v>
      </c>
      <c r="AR1282" s="23">
        <f t="shared" si="418"/>
        <v>1715</v>
      </c>
      <c r="AS1282">
        <f t="shared" si="423"/>
        <v>1710</v>
      </c>
      <c r="AT1282" s="21">
        <f t="shared" si="424"/>
        <v>1715</v>
      </c>
      <c r="AU1282" s="21"/>
      <c r="AV1282" s="21"/>
      <c r="AW1282" s="21"/>
    </row>
    <row r="1283" spans="1:49" x14ac:dyDescent="0.2">
      <c r="A1283">
        <v>691</v>
      </c>
      <c r="E1283">
        <f t="shared" si="419"/>
        <v>2</v>
      </c>
      <c r="F1283" s="5" t="s">
        <v>539</v>
      </c>
      <c r="G1283" s="5" t="s">
        <v>496</v>
      </c>
      <c r="J1283" t="str">
        <f t="shared" si="426"/>
        <v>7</v>
      </c>
      <c r="K1283" t="str">
        <f t="shared" si="427"/>
        <v>24</v>
      </c>
      <c r="L1283" t="str">
        <f t="shared" si="428"/>
        <v/>
      </c>
      <c r="M1283" s="6" t="str">
        <f t="shared" si="429"/>
        <v/>
      </c>
      <c r="N1283" t="s">
        <v>178</v>
      </c>
      <c r="O1283">
        <v>3</v>
      </c>
      <c r="P1283" t="s">
        <v>424</v>
      </c>
      <c r="Q1283" t="s">
        <v>7</v>
      </c>
      <c r="R1283" t="s">
        <v>222</v>
      </c>
      <c r="S1283" t="s">
        <v>56</v>
      </c>
      <c r="Y1283" t="str">
        <f t="shared" ref="Y1283:Y1346" si="433">IF($N1283="","",IF(X1283="","",IF($N1283="Home",$X1283,IF($X1283="n","n",IF($X1283="d","o",IF($X1283="o","d",""))))))</f>
        <v/>
      </c>
      <c r="Z1283" t="str">
        <f t="shared" ref="Z1283:Z1346" si="434">IF($N1283="","",IF(X1283="","",IF($N1283="Away",$X1283,IF($X1283="n","n",IF($X1283="d","o",IF($X1283="o","d",""))))))</f>
        <v/>
      </c>
      <c r="AC1283" t="str">
        <f t="shared" si="430"/>
        <v>Shot</v>
      </c>
      <c r="AD1283" t="str">
        <f t="shared" si="431"/>
        <v>Shot_OnNetSaved</v>
      </c>
      <c r="AE1283" t="str">
        <f t="shared" si="432"/>
        <v>Shot-Tip</v>
      </c>
      <c r="AF1283" t="str">
        <f t="shared" ref="AF1283:AF1346" si="435">IF(AND(P1283="e",OR(AC1283="Save",AD1283="Turnover_Takeaway",AD1283="Play_Defensive")),"Defensive",IF(AND(P1283="o",OR(AC1283="Save",AD1283="Turnover_Takeaway",AD1283="Play_Defensive")),"Offensive",IF(OR(AC1283="Deadice",AC1283="Stoppage",AC1283="Intermission"),"",IF(P1283="e","Offensive",IF(P1283="o","Defensive","")))))</f>
        <v>Offensive</v>
      </c>
      <c r="AG1283">
        <f t="shared" si="420"/>
        <v>18981</v>
      </c>
      <c r="AH1283" t="str">
        <f t="shared" si="421"/>
        <v>Nelson</v>
      </c>
      <c r="AI1283" t="str">
        <f t="shared" si="422"/>
        <v>Velodrome</v>
      </c>
      <c r="AJ1283" s="18">
        <f t="shared" ref="AJ1283:AJ1346" si="436">IF(AND(L1283="",M1283=""),0,((J1283*60)+K1283)-((L1283*60)+M1283))</f>
        <v>0</v>
      </c>
      <c r="AP1283" s="18">
        <f t="shared" ref="AP1283:AP1346" si="437">SUMIFS(AJ1283:AJ1283,Q1283:Q1283,"=Intermission")</f>
        <v>0</v>
      </c>
      <c r="AQ1283">
        <f t="shared" ref="AQ1283:AQ1346" si="438">IF(E1283=1,0,IF(E1283=2,1080+AP1283,IF(E1283=3,(1080*2)+AP1283,0)))</f>
        <v>1080</v>
      </c>
      <c r="AR1283" s="23">
        <f t="shared" ref="AR1283:AR1346" si="439">IF(Q1283="Intermission",AR1282,((1080)-((J1283*60)+K1283))+AQ1283)</f>
        <v>1716</v>
      </c>
      <c r="AS1283">
        <f t="shared" si="423"/>
        <v>1711</v>
      </c>
      <c r="AT1283" s="21">
        <f t="shared" si="424"/>
        <v>1716</v>
      </c>
      <c r="AU1283" s="21"/>
      <c r="AV1283" s="21"/>
      <c r="AW1283" s="21"/>
    </row>
    <row r="1284" spans="1:49" x14ac:dyDescent="0.2">
      <c r="A1284">
        <v>691</v>
      </c>
      <c r="E1284">
        <f t="shared" ref="E1284:E1347" si="440">IF(Q1284="Intermission",E1283+1,E1283)</f>
        <v>2</v>
      </c>
      <c r="J1284" t="str">
        <f t="shared" si="426"/>
        <v>7</v>
      </c>
      <c r="K1284" t="str">
        <f t="shared" si="427"/>
        <v>24</v>
      </c>
      <c r="L1284" t="str">
        <f t="shared" si="428"/>
        <v/>
      </c>
      <c r="M1284" s="6" t="str">
        <f t="shared" si="429"/>
        <v/>
      </c>
      <c r="N1284" t="str">
        <f t="shared" si="425"/>
        <v>Home</v>
      </c>
      <c r="O1284">
        <v>39</v>
      </c>
      <c r="P1284" t="s">
        <v>425</v>
      </c>
      <c r="Y1284" t="str">
        <f t="shared" si="433"/>
        <v/>
      </c>
      <c r="Z1284" t="str">
        <f t="shared" si="434"/>
        <v/>
      </c>
      <c r="AC1284" t="str">
        <f t="shared" si="430"/>
        <v>Shot</v>
      </c>
      <c r="AD1284" t="str">
        <f t="shared" si="431"/>
        <v>Shot_OnNetSaved</v>
      </c>
      <c r="AE1284" t="str">
        <f t="shared" si="432"/>
        <v>Shot-Tip</v>
      </c>
      <c r="AF1284" t="str">
        <f t="shared" si="435"/>
        <v>Defensive</v>
      </c>
      <c r="AG1284">
        <f t="shared" ref="AG1284:AG1347" si="441">AG1283</f>
        <v>18981</v>
      </c>
      <c r="AH1284" t="str">
        <f t="shared" ref="AH1284:AH1347" si="442">AH1283</f>
        <v>Nelson</v>
      </c>
      <c r="AI1284" t="str">
        <f t="shared" ref="AI1284:AI1347" si="443">AI1283</f>
        <v>Velodrome</v>
      </c>
      <c r="AJ1284" s="18">
        <f t="shared" si="436"/>
        <v>0</v>
      </c>
      <c r="AP1284" s="18">
        <f t="shared" si="437"/>
        <v>0</v>
      </c>
      <c r="AQ1284">
        <f t="shared" si="438"/>
        <v>1080</v>
      </c>
      <c r="AR1284" s="23">
        <f t="shared" si="439"/>
        <v>1716</v>
      </c>
      <c r="AS1284">
        <f t="shared" ref="AS1284:AS1347" si="444">IF(AR1284&lt;5,0,AR1284-5)</f>
        <v>1711</v>
      </c>
      <c r="AT1284" s="21">
        <f t="shared" ref="AT1284:AT1347" si="445">AS1284+AJ1284+5</f>
        <v>1716</v>
      </c>
      <c r="AU1284" s="21"/>
      <c r="AV1284" s="21"/>
      <c r="AW1284" s="21"/>
    </row>
    <row r="1285" spans="1:49" x14ac:dyDescent="0.2">
      <c r="A1285">
        <v>692</v>
      </c>
      <c r="E1285">
        <f t="shared" si="440"/>
        <v>2</v>
      </c>
      <c r="F1285" s="5" t="s">
        <v>539</v>
      </c>
      <c r="G1285" s="5" t="s">
        <v>496</v>
      </c>
      <c r="J1285" t="str">
        <f t="shared" si="426"/>
        <v>7</v>
      </c>
      <c r="K1285" t="str">
        <f t="shared" si="427"/>
        <v>24</v>
      </c>
      <c r="L1285" t="str">
        <f t="shared" si="428"/>
        <v/>
      </c>
      <c r="M1285" s="6" t="str">
        <f t="shared" si="429"/>
        <v/>
      </c>
      <c r="N1285" t="s">
        <v>179</v>
      </c>
      <c r="O1285">
        <v>39</v>
      </c>
      <c r="P1285" t="s">
        <v>424</v>
      </c>
      <c r="Q1285" t="s">
        <v>17</v>
      </c>
      <c r="R1285" t="s">
        <v>206</v>
      </c>
      <c r="S1285" t="s">
        <v>98</v>
      </c>
      <c r="Y1285" t="str">
        <f t="shared" si="433"/>
        <v/>
      </c>
      <c r="Z1285" t="str">
        <f t="shared" si="434"/>
        <v/>
      </c>
      <c r="AC1285" t="str">
        <f t="shared" si="430"/>
        <v>Save</v>
      </c>
      <c r="AD1285" t="str">
        <f t="shared" si="431"/>
        <v>Save_Freeze</v>
      </c>
      <c r="AE1285" t="str">
        <f t="shared" si="432"/>
        <v>Save-LeftPad</v>
      </c>
      <c r="AF1285" t="str">
        <f t="shared" si="435"/>
        <v>Defensive</v>
      </c>
      <c r="AG1285">
        <f t="shared" si="441"/>
        <v>18981</v>
      </c>
      <c r="AH1285" t="str">
        <f t="shared" si="442"/>
        <v>Nelson</v>
      </c>
      <c r="AI1285" t="str">
        <f t="shared" si="443"/>
        <v>Velodrome</v>
      </c>
      <c r="AJ1285" s="18">
        <f t="shared" si="436"/>
        <v>0</v>
      </c>
      <c r="AP1285" s="18">
        <f t="shared" si="437"/>
        <v>0</v>
      </c>
      <c r="AQ1285">
        <f t="shared" si="438"/>
        <v>1080</v>
      </c>
      <c r="AR1285" s="23">
        <f t="shared" si="439"/>
        <v>1716</v>
      </c>
      <c r="AS1285">
        <f t="shared" si="444"/>
        <v>1711</v>
      </c>
      <c r="AT1285" s="21">
        <f t="shared" si="445"/>
        <v>1716</v>
      </c>
      <c r="AU1285" s="21"/>
      <c r="AV1285" s="21"/>
      <c r="AW1285" s="21"/>
    </row>
    <row r="1286" spans="1:49" x14ac:dyDescent="0.2">
      <c r="A1286">
        <v>692</v>
      </c>
      <c r="E1286">
        <f t="shared" si="440"/>
        <v>2</v>
      </c>
      <c r="J1286" t="str">
        <f t="shared" si="426"/>
        <v>7</v>
      </c>
      <c r="K1286" t="str">
        <f t="shared" si="427"/>
        <v>24</v>
      </c>
      <c r="L1286" t="str">
        <f t="shared" si="428"/>
        <v/>
      </c>
      <c r="M1286" s="6" t="str">
        <f t="shared" si="429"/>
        <v/>
      </c>
      <c r="N1286" t="str">
        <f t="shared" ref="N1286:N1349" si="446">IF(A1286=A1285,N1285,"")</f>
        <v>Away</v>
      </c>
      <c r="O1286">
        <v>3</v>
      </c>
      <c r="P1286" t="s">
        <v>425</v>
      </c>
      <c r="Y1286" t="str">
        <f t="shared" si="433"/>
        <v/>
      </c>
      <c r="Z1286" t="str">
        <f t="shared" si="434"/>
        <v/>
      </c>
      <c r="AC1286" t="str">
        <f t="shared" si="430"/>
        <v>Save</v>
      </c>
      <c r="AD1286" t="str">
        <f t="shared" si="431"/>
        <v>Save_Freeze</v>
      </c>
      <c r="AE1286" t="str">
        <f t="shared" si="432"/>
        <v>Save-LeftPad</v>
      </c>
      <c r="AF1286" t="str">
        <f t="shared" si="435"/>
        <v>Offensive</v>
      </c>
      <c r="AG1286">
        <f t="shared" si="441"/>
        <v>18981</v>
      </c>
      <c r="AH1286" t="str">
        <f t="shared" si="442"/>
        <v>Nelson</v>
      </c>
      <c r="AI1286" t="str">
        <f t="shared" si="443"/>
        <v>Velodrome</v>
      </c>
      <c r="AJ1286" s="18">
        <f t="shared" si="436"/>
        <v>0</v>
      </c>
      <c r="AP1286" s="18">
        <f t="shared" si="437"/>
        <v>0</v>
      </c>
      <c r="AQ1286">
        <f t="shared" si="438"/>
        <v>1080</v>
      </c>
      <c r="AR1286" s="23">
        <f t="shared" si="439"/>
        <v>1716</v>
      </c>
      <c r="AS1286">
        <f t="shared" si="444"/>
        <v>1711</v>
      </c>
      <c r="AT1286" s="21">
        <f t="shared" si="445"/>
        <v>1716</v>
      </c>
      <c r="AU1286" s="21"/>
      <c r="AV1286" s="21"/>
      <c r="AW1286" s="21"/>
    </row>
    <row r="1287" spans="1:49" x14ac:dyDescent="0.2">
      <c r="A1287">
        <v>693</v>
      </c>
      <c r="E1287">
        <f t="shared" si="440"/>
        <v>2</v>
      </c>
      <c r="F1287" s="5" t="s">
        <v>539</v>
      </c>
      <c r="G1287" s="5" t="s">
        <v>496</v>
      </c>
      <c r="J1287" t="str">
        <f t="shared" si="426"/>
        <v>7</v>
      </c>
      <c r="K1287" t="str">
        <f t="shared" si="427"/>
        <v>24</v>
      </c>
      <c r="L1287" t="str">
        <f t="shared" si="428"/>
        <v/>
      </c>
      <c r="M1287" s="6" t="str">
        <f t="shared" si="429"/>
        <v/>
      </c>
      <c r="N1287" t="s">
        <v>179</v>
      </c>
      <c r="O1287">
        <v>39</v>
      </c>
      <c r="P1287" t="s">
        <v>424</v>
      </c>
      <c r="Q1287" t="s">
        <v>13</v>
      </c>
      <c r="R1287" t="s">
        <v>204</v>
      </c>
      <c r="S1287" t="s">
        <v>110</v>
      </c>
      <c r="Y1287" t="str">
        <f t="shared" si="433"/>
        <v/>
      </c>
      <c r="Z1287" t="str">
        <f t="shared" si="434"/>
        <v/>
      </c>
      <c r="AC1287" t="str">
        <f t="shared" si="430"/>
        <v>Stoppage</v>
      </c>
      <c r="AD1287" t="str">
        <f t="shared" si="431"/>
        <v>Stoppage_Play</v>
      </c>
      <c r="AE1287" t="str">
        <f t="shared" si="432"/>
        <v>Stoppage-GoalieStoppage</v>
      </c>
      <c r="AF1287" t="str">
        <f t="shared" si="435"/>
        <v/>
      </c>
      <c r="AG1287">
        <f t="shared" si="441"/>
        <v>18981</v>
      </c>
      <c r="AH1287" t="str">
        <f t="shared" si="442"/>
        <v>Nelson</v>
      </c>
      <c r="AI1287" t="str">
        <f t="shared" si="443"/>
        <v>Velodrome</v>
      </c>
      <c r="AJ1287" s="18">
        <f t="shared" si="436"/>
        <v>0</v>
      </c>
      <c r="AP1287" s="18">
        <f t="shared" si="437"/>
        <v>0</v>
      </c>
      <c r="AQ1287">
        <f t="shared" si="438"/>
        <v>1080</v>
      </c>
      <c r="AR1287" s="23">
        <f t="shared" si="439"/>
        <v>1716</v>
      </c>
      <c r="AS1287">
        <f t="shared" si="444"/>
        <v>1711</v>
      </c>
      <c r="AT1287" s="21">
        <f t="shared" si="445"/>
        <v>1716</v>
      </c>
      <c r="AU1287" s="21"/>
      <c r="AV1287" s="21"/>
      <c r="AW1287" s="21"/>
    </row>
    <row r="1288" spans="1:49" x14ac:dyDescent="0.2">
      <c r="A1288">
        <v>694</v>
      </c>
      <c r="E1288">
        <f t="shared" si="440"/>
        <v>2</v>
      </c>
      <c r="F1288" s="5" t="s">
        <v>539</v>
      </c>
      <c r="G1288" s="5" t="s">
        <v>496</v>
      </c>
      <c r="H1288" s="5" t="s">
        <v>539</v>
      </c>
      <c r="I1288" s="7" t="s">
        <v>474</v>
      </c>
      <c r="J1288" t="str">
        <f t="shared" si="426"/>
        <v>7</v>
      </c>
      <c r="K1288" t="str">
        <f t="shared" si="427"/>
        <v>24</v>
      </c>
      <c r="L1288" t="str">
        <f t="shared" si="428"/>
        <v>7</v>
      </c>
      <c r="M1288" s="6" t="str">
        <f t="shared" si="429"/>
        <v>02</v>
      </c>
      <c r="N1288" t="s">
        <v>179</v>
      </c>
      <c r="O1288">
        <v>39</v>
      </c>
      <c r="P1288" t="s">
        <v>424</v>
      </c>
      <c r="Q1288" t="s">
        <v>282</v>
      </c>
      <c r="Y1288" t="str">
        <f t="shared" si="433"/>
        <v/>
      </c>
      <c r="Z1288" t="str">
        <f t="shared" si="434"/>
        <v/>
      </c>
      <c r="AC1288" t="str">
        <f t="shared" si="430"/>
        <v>DeadIce</v>
      </c>
      <c r="AD1288" t="str">
        <f t="shared" si="431"/>
        <v/>
      </c>
      <c r="AE1288" t="str">
        <f t="shared" si="432"/>
        <v/>
      </c>
      <c r="AF1288" t="str">
        <f t="shared" si="435"/>
        <v/>
      </c>
      <c r="AG1288">
        <f t="shared" si="441"/>
        <v>18981</v>
      </c>
      <c r="AH1288" t="str">
        <f t="shared" si="442"/>
        <v>Nelson</v>
      </c>
      <c r="AI1288" t="str">
        <f t="shared" si="443"/>
        <v>Velodrome</v>
      </c>
      <c r="AJ1288" s="18">
        <f t="shared" si="436"/>
        <v>22</v>
      </c>
      <c r="AP1288" s="18">
        <f t="shared" si="437"/>
        <v>0</v>
      </c>
      <c r="AQ1288">
        <f t="shared" si="438"/>
        <v>1080</v>
      </c>
      <c r="AR1288" s="23">
        <f t="shared" si="439"/>
        <v>1716</v>
      </c>
      <c r="AS1288">
        <f t="shared" si="444"/>
        <v>1711</v>
      </c>
      <c r="AT1288" s="21">
        <f t="shared" si="445"/>
        <v>1738</v>
      </c>
      <c r="AU1288" s="21"/>
      <c r="AV1288" s="21"/>
      <c r="AW1288" s="21"/>
    </row>
    <row r="1289" spans="1:49" x14ac:dyDescent="0.2">
      <c r="A1289">
        <v>695</v>
      </c>
      <c r="E1289">
        <f t="shared" si="440"/>
        <v>2</v>
      </c>
      <c r="F1289" s="5" t="s">
        <v>539</v>
      </c>
      <c r="G1289" s="5" t="s">
        <v>474</v>
      </c>
      <c r="J1289" t="str">
        <f t="shared" ref="J1289:J1352" si="447">IF(F1289&lt;&gt;"",F1289,IF($A1289=$A1288,J1288,J1289))</f>
        <v>7</v>
      </c>
      <c r="K1289" t="str">
        <f t="shared" ref="K1289:K1352" si="448">IF($A1289=$A1288,K1288,G1289)</f>
        <v>02</v>
      </c>
      <c r="L1289" t="str">
        <f t="shared" ref="L1289:L1352" si="449">IF(H1289&lt;&gt;"",H1289,IF($A1289=$A1288,L1288,""))</f>
        <v/>
      </c>
      <c r="M1289" s="6" t="str">
        <f t="shared" ref="M1289:M1352" si="450">IF(I1289&lt;&gt;"",I1289,IF($A1289=$A1288,M1288,""))</f>
        <v/>
      </c>
      <c r="N1289" t="s">
        <v>178</v>
      </c>
      <c r="O1289">
        <v>10</v>
      </c>
      <c r="P1289" t="s">
        <v>424</v>
      </c>
      <c r="Q1289" t="s">
        <v>6</v>
      </c>
      <c r="R1289" t="s">
        <v>275</v>
      </c>
      <c r="Y1289" t="str">
        <f t="shared" si="433"/>
        <v/>
      </c>
      <c r="Z1289" t="str">
        <f t="shared" si="434"/>
        <v/>
      </c>
      <c r="AC1289" t="str">
        <f t="shared" si="430"/>
        <v>Faceoff</v>
      </c>
      <c r="AD1289" t="str">
        <f t="shared" si="431"/>
        <v>Faceoff_AfterStoppage</v>
      </c>
      <c r="AE1289" t="str">
        <f t="shared" si="432"/>
        <v/>
      </c>
      <c r="AF1289" t="str">
        <f t="shared" si="435"/>
        <v>Offensive</v>
      </c>
      <c r="AG1289">
        <f t="shared" si="441"/>
        <v>18981</v>
      </c>
      <c r="AH1289" t="str">
        <f t="shared" si="442"/>
        <v>Nelson</v>
      </c>
      <c r="AI1289" t="str">
        <f t="shared" si="443"/>
        <v>Velodrome</v>
      </c>
      <c r="AJ1289" s="18">
        <f t="shared" si="436"/>
        <v>0</v>
      </c>
      <c r="AP1289" s="18">
        <f t="shared" si="437"/>
        <v>0</v>
      </c>
      <c r="AQ1289">
        <f t="shared" si="438"/>
        <v>1080</v>
      </c>
      <c r="AR1289" s="23">
        <f t="shared" si="439"/>
        <v>1738</v>
      </c>
      <c r="AS1289">
        <f t="shared" si="444"/>
        <v>1733</v>
      </c>
      <c r="AT1289" s="21">
        <f t="shared" si="445"/>
        <v>1738</v>
      </c>
      <c r="AU1289" s="21"/>
      <c r="AV1289" s="21"/>
      <c r="AW1289" s="21"/>
    </row>
    <row r="1290" spans="1:49" x14ac:dyDescent="0.2">
      <c r="A1290">
        <v>695</v>
      </c>
      <c r="E1290">
        <f t="shared" si="440"/>
        <v>2</v>
      </c>
      <c r="J1290" t="str">
        <f t="shared" si="447"/>
        <v>7</v>
      </c>
      <c r="K1290" t="str">
        <f t="shared" si="448"/>
        <v>02</v>
      </c>
      <c r="L1290" t="str">
        <f t="shared" si="449"/>
        <v/>
      </c>
      <c r="M1290" s="6" t="str">
        <f t="shared" si="450"/>
        <v/>
      </c>
      <c r="N1290" t="str">
        <f t="shared" si="446"/>
        <v>Home</v>
      </c>
      <c r="O1290">
        <v>8</v>
      </c>
      <c r="P1290" t="s">
        <v>424</v>
      </c>
      <c r="Y1290" t="str">
        <f t="shared" si="433"/>
        <v/>
      </c>
      <c r="Z1290" t="str">
        <f t="shared" si="434"/>
        <v/>
      </c>
      <c r="AC1290" t="str">
        <f t="shared" si="430"/>
        <v>Faceoff</v>
      </c>
      <c r="AD1290" t="str">
        <f t="shared" si="431"/>
        <v>Faceoff_AfterStoppage</v>
      </c>
      <c r="AE1290" t="str">
        <f t="shared" si="432"/>
        <v/>
      </c>
      <c r="AF1290" t="str">
        <f t="shared" si="435"/>
        <v>Offensive</v>
      </c>
      <c r="AG1290">
        <f t="shared" si="441"/>
        <v>18981</v>
      </c>
      <c r="AH1290" t="str">
        <f t="shared" si="442"/>
        <v>Nelson</v>
      </c>
      <c r="AI1290" t="str">
        <f t="shared" si="443"/>
        <v>Velodrome</v>
      </c>
      <c r="AJ1290" s="18">
        <f t="shared" si="436"/>
        <v>0</v>
      </c>
      <c r="AP1290" s="18">
        <f t="shared" si="437"/>
        <v>0</v>
      </c>
      <c r="AQ1290">
        <f t="shared" si="438"/>
        <v>1080</v>
      </c>
      <c r="AR1290" s="23">
        <f t="shared" si="439"/>
        <v>1738</v>
      </c>
      <c r="AS1290">
        <f t="shared" si="444"/>
        <v>1733</v>
      </c>
      <c r="AT1290" s="21">
        <f t="shared" si="445"/>
        <v>1738</v>
      </c>
      <c r="AU1290" s="21"/>
      <c r="AV1290" s="21"/>
      <c r="AW1290" s="21"/>
    </row>
    <row r="1291" spans="1:49" x14ac:dyDescent="0.2">
      <c r="A1291">
        <v>695</v>
      </c>
      <c r="E1291">
        <f t="shared" si="440"/>
        <v>2</v>
      </c>
      <c r="J1291" t="str">
        <f t="shared" si="447"/>
        <v>7</v>
      </c>
      <c r="K1291" t="str">
        <f t="shared" si="448"/>
        <v>02</v>
      </c>
      <c r="L1291" t="str">
        <f t="shared" si="449"/>
        <v/>
      </c>
      <c r="M1291" s="6" t="str">
        <f t="shared" si="450"/>
        <v/>
      </c>
      <c r="N1291" t="str">
        <f t="shared" si="446"/>
        <v>Home</v>
      </c>
      <c r="O1291">
        <v>87</v>
      </c>
      <c r="P1291" t="s">
        <v>425</v>
      </c>
      <c r="Y1291" t="str">
        <f t="shared" si="433"/>
        <v/>
      </c>
      <c r="Z1291" t="str">
        <f t="shared" si="434"/>
        <v/>
      </c>
      <c r="AC1291" t="str">
        <f t="shared" si="430"/>
        <v>Faceoff</v>
      </c>
      <c r="AD1291" t="str">
        <f t="shared" si="431"/>
        <v>Faceoff_AfterStoppage</v>
      </c>
      <c r="AE1291" t="str">
        <f t="shared" si="432"/>
        <v/>
      </c>
      <c r="AF1291" t="str">
        <f t="shared" si="435"/>
        <v>Defensive</v>
      </c>
      <c r="AG1291">
        <f t="shared" si="441"/>
        <v>18981</v>
      </c>
      <c r="AH1291" t="str">
        <f t="shared" si="442"/>
        <v>Nelson</v>
      </c>
      <c r="AI1291" t="str">
        <f t="shared" si="443"/>
        <v>Velodrome</v>
      </c>
      <c r="AJ1291" s="18">
        <f t="shared" si="436"/>
        <v>0</v>
      </c>
      <c r="AP1291" s="18">
        <f t="shared" si="437"/>
        <v>0</v>
      </c>
      <c r="AQ1291">
        <f t="shared" si="438"/>
        <v>1080</v>
      </c>
      <c r="AR1291" s="23">
        <f t="shared" si="439"/>
        <v>1738</v>
      </c>
      <c r="AS1291">
        <f t="shared" si="444"/>
        <v>1733</v>
      </c>
      <c r="AT1291" s="21">
        <f t="shared" si="445"/>
        <v>1738</v>
      </c>
      <c r="AU1291" s="21"/>
      <c r="AV1291" s="21"/>
      <c r="AW1291" s="21"/>
    </row>
    <row r="1292" spans="1:49" x14ac:dyDescent="0.2">
      <c r="A1292">
        <v>696</v>
      </c>
      <c r="E1292">
        <f t="shared" si="440"/>
        <v>2</v>
      </c>
      <c r="F1292" s="5" t="s">
        <v>539</v>
      </c>
      <c r="G1292" s="5" t="s">
        <v>471</v>
      </c>
      <c r="J1292" t="str">
        <f t="shared" si="447"/>
        <v>7</v>
      </c>
      <c r="K1292" t="str">
        <f t="shared" si="448"/>
        <v>01</v>
      </c>
      <c r="L1292" t="str">
        <f t="shared" si="449"/>
        <v/>
      </c>
      <c r="M1292" s="6" t="str">
        <f t="shared" si="450"/>
        <v/>
      </c>
      <c r="N1292" t="s">
        <v>178</v>
      </c>
      <c r="O1292">
        <v>8</v>
      </c>
      <c r="P1292" t="s">
        <v>424</v>
      </c>
      <c r="Q1292" t="s">
        <v>7</v>
      </c>
      <c r="R1292" t="s">
        <v>215</v>
      </c>
      <c r="S1292" t="s">
        <v>53</v>
      </c>
      <c r="Y1292" t="str">
        <f t="shared" si="433"/>
        <v/>
      </c>
      <c r="Z1292" t="str">
        <f t="shared" si="434"/>
        <v/>
      </c>
      <c r="AC1292" t="str">
        <f t="shared" si="430"/>
        <v>Shot</v>
      </c>
      <c r="AD1292" t="str">
        <f t="shared" si="431"/>
        <v>Shot_BlockedSameTeam</v>
      </c>
      <c r="AE1292" t="str">
        <f t="shared" si="432"/>
        <v>Shot-Wrist</v>
      </c>
      <c r="AF1292" t="str">
        <f t="shared" si="435"/>
        <v>Offensive</v>
      </c>
      <c r="AG1292">
        <f t="shared" si="441"/>
        <v>18981</v>
      </c>
      <c r="AH1292" t="str">
        <f t="shared" si="442"/>
        <v>Nelson</v>
      </c>
      <c r="AI1292" t="str">
        <f t="shared" si="443"/>
        <v>Velodrome</v>
      </c>
      <c r="AJ1292" s="18">
        <f t="shared" si="436"/>
        <v>0</v>
      </c>
      <c r="AP1292" s="18">
        <f t="shared" si="437"/>
        <v>0</v>
      </c>
      <c r="AQ1292">
        <f t="shared" si="438"/>
        <v>1080</v>
      </c>
      <c r="AR1292" s="23">
        <f t="shared" si="439"/>
        <v>1739</v>
      </c>
      <c r="AS1292">
        <f t="shared" si="444"/>
        <v>1734</v>
      </c>
      <c r="AT1292" s="21">
        <f t="shared" si="445"/>
        <v>1739</v>
      </c>
      <c r="AU1292" s="21"/>
      <c r="AV1292" s="21"/>
      <c r="AW1292" s="21"/>
    </row>
    <row r="1293" spans="1:49" x14ac:dyDescent="0.2">
      <c r="A1293">
        <v>696</v>
      </c>
      <c r="E1293">
        <f t="shared" si="440"/>
        <v>2</v>
      </c>
      <c r="J1293" t="str">
        <f t="shared" si="447"/>
        <v>7</v>
      </c>
      <c r="K1293" t="str">
        <f t="shared" si="448"/>
        <v>01</v>
      </c>
      <c r="L1293" t="str">
        <f t="shared" si="449"/>
        <v/>
      </c>
      <c r="M1293" s="6" t="str">
        <f t="shared" si="450"/>
        <v/>
      </c>
      <c r="N1293" t="str">
        <f t="shared" si="446"/>
        <v>Home</v>
      </c>
      <c r="O1293">
        <v>10</v>
      </c>
      <c r="P1293" t="s">
        <v>424</v>
      </c>
      <c r="Y1293" t="str">
        <f t="shared" si="433"/>
        <v/>
      </c>
      <c r="Z1293" t="str">
        <f t="shared" si="434"/>
        <v/>
      </c>
      <c r="AC1293" t="str">
        <f t="shared" si="430"/>
        <v>Shot</v>
      </c>
      <c r="AD1293" t="str">
        <f t="shared" si="431"/>
        <v>Shot_BlockedSameTeam</v>
      </c>
      <c r="AE1293" t="str">
        <f t="shared" si="432"/>
        <v>Shot-Wrist</v>
      </c>
      <c r="AF1293" t="str">
        <f t="shared" si="435"/>
        <v>Offensive</v>
      </c>
      <c r="AG1293">
        <f t="shared" si="441"/>
        <v>18981</v>
      </c>
      <c r="AH1293" t="str">
        <f t="shared" si="442"/>
        <v>Nelson</v>
      </c>
      <c r="AI1293" t="str">
        <f t="shared" si="443"/>
        <v>Velodrome</v>
      </c>
      <c r="AJ1293" s="18">
        <f t="shared" si="436"/>
        <v>0</v>
      </c>
      <c r="AP1293" s="18">
        <f t="shared" si="437"/>
        <v>0</v>
      </c>
      <c r="AQ1293">
        <f t="shared" si="438"/>
        <v>1080</v>
      </c>
      <c r="AR1293" s="23">
        <f t="shared" si="439"/>
        <v>1739</v>
      </c>
      <c r="AS1293">
        <f t="shared" si="444"/>
        <v>1734</v>
      </c>
      <c r="AT1293" s="21">
        <f t="shared" si="445"/>
        <v>1739</v>
      </c>
      <c r="AU1293" s="21"/>
      <c r="AV1293" s="21"/>
      <c r="AW1293" s="21"/>
    </row>
    <row r="1294" spans="1:49" x14ac:dyDescent="0.2">
      <c r="A1294">
        <v>696</v>
      </c>
      <c r="E1294">
        <f t="shared" si="440"/>
        <v>2</v>
      </c>
      <c r="J1294" t="str">
        <f t="shared" si="447"/>
        <v>7</v>
      </c>
      <c r="K1294" t="str">
        <f t="shared" si="448"/>
        <v>01</v>
      </c>
      <c r="L1294" t="str">
        <f t="shared" si="449"/>
        <v/>
      </c>
      <c r="M1294" s="6" t="str">
        <f t="shared" si="450"/>
        <v/>
      </c>
      <c r="N1294" t="str">
        <f t="shared" si="446"/>
        <v>Home</v>
      </c>
      <c r="O1294">
        <v>93</v>
      </c>
      <c r="P1294" t="s">
        <v>425</v>
      </c>
      <c r="Y1294" t="str">
        <f t="shared" si="433"/>
        <v/>
      </c>
      <c r="Z1294" t="str">
        <f t="shared" si="434"/>
        <v/>
      </c>
      <c r="AC1294" t="str">
        <f t="shared" si="430"/>
        <v>Shot</v>
      </c>
      <c r="AD1294" t="str">
        <f t="shared" si="431"/>
        <v>Shot_BlockedSameTeam</v>
      </c>
      <c r="AE1294" t="str">
        <f t="shared" si="432"/>
        <v>Shot-Wrist</v>
      </c>
      <c r="AF1294" t="str">
        <f t="shared" si="435"/>
        <v>Defensive</v>
      </c>
      <c r="AG1294">
        <f t="shared" si="441"/>
        <v>18981</v>
      </c>
      <c r="AH1294" t="str">
        <f t="shared" si="442"/>
        <v>Nelson</v>
      </c>
      <c r="AI1294" t="str">
        <f t="shared" si="443"/>
        <v>Velodrome</v>
      </c>
      <c r="AJ1294" s="18">
        <f t="shared" si="436"/>
        <v>0</v>
      </c>
      <c r="AP1294" s="18">
        <f t="shared" si="437"/>
        <v>0</v>
      </c>
      <c r="AQ1294">
        <f t="shared" si="438"/>
        <v>1080</v>
      </c>
      <c r="AR1294" s="23">
        <f t="shared" si="439"/>
        <v>1739</v>
      </c>
      <c r="AS1294">
        <f t="shared" si="444"/>
        <v>1734</v>
      </c>
      <c r="AT1294" s="21">
        <f t="shared" si="445"/>
        <v>1739</v>
      </c>
      <c r="AU1294" s="21"/>
      <c r="AV1294" s="21"/>
      <c r="AW1294" s="21"/>
    </row>
    <row r="1295" spans="1:49" x14ac:dyDescent="0.2">
      <c r="A1295">
        <v>697</v>
      </c>
      <c r="E1295">
        <f t="shared" si="440"/>
        <v>2</v>
      </c>
      <c r="F1295" s="5" t="s">
        <v>541</v>
      </c>
      <c r="G1295" s="5" t="s">
        <v>528</v>
      </c>
      <c r="H1295" s="5" t="s">
        <v>541</v>
      </c>
      <c r="I1295" s="7" t="s">
        <v>526</v>
      </c>
      <c r="J1295" t="str">
        <f t="shared" si="447"/>
        <v>6</v>
      </c>
      <c r="K1295" t="str">
        <f t="shared" si="448"/>
        <v>56</v>
      </c>
      <c r="L1295" t="str">
        <f t="shared" si="449"/>
        <v>6</v>
      </c>
      <c r="M1295" s="6" t="str">
        <f t="shared" si="450"/>
        <v>54</v>
      </c>
      <c r="N1295" t="s">
        <v>178</v>
      </c>
      <c r="O1295">
        <v>3</v>
      </c>
      <c r="P1295" t="s">
        <v>424</v>
      </c>
      <c r="Q1295" t="s">
        <v>15</v>
      </c>
      <c r="Y1295" t="str">
        <f t="shared" si="433"/>
        <v/>
      </c>
      <c r="Z1295" t="str">
        <f t="shared" si="434"/>
        <v/>
      </c>
      <c r="AC1295" t="str">
        <f t="shared" si="430"/>
        <v>Possession</v>
      </c>
      <c r="AD1295" t="str">
        <f t="shared" si="431"/>
        <v/>
      </c>
      <c r="AE1295" t="str">
        <f t="shared" si="432"/>
        <v/>
      </c>
      <c r="AF1295" t="str">
        <f t="shared" si="435"/>
        <v>Offensive</v>
      </c>
      <c r="AG1295">
        <f t="shared" si="441"/>
        <v>18981</v>
      </c>
      <c r="AH1295" t="str">
        <f t="shared" si="442"/>
        <v>Nelson</v>
      </c>
      <c r="AI1295" t="str">
        <f t="shared" si="443"/>
        <v>Velodrome</v>
      </c>
      <c r="AJ1295" s="18">
        <f t="shared" si="436"/>
        <v>2</v>
      </c>
      <c r="AP1295" s="18">
        <f t="shared" si="437"/>
        <v>0</v>
      </c>
      <c r="AQ1295">
        <f t="shared" si="438"/>
        <v>1080</v>
      </c>
      <c r="AR1295" s="23">
        <f t="shared" si="439"/>
        <v>1744</v>
      </c>
      <c r="AS1295">
        <f t="shared" si="444"/>
        <v>1739</v>
      </c>
      <c r="AT1295" s="21">
        <f t="shared" si="445"/>
        <v>1746</v>
      </c>
      <c r="AU1295" s="21"/>
      <c r="AV1295" s="21"/>
      <c r="AW1295" s="21"/>
    </row>
    <row r="1296" spans="1:49" x14ac:dyDescent="0.2">
      <c r="A1296">
        <v>698</v>
      </c>
      <c r="E1296">
        <f t="shared" si="440"/>
        <v>2</v>
      </c>
      <c r="F1296" s="5" t="s">
        <v>541</v>
      </c>
      <c r="G1296" s="5" t="s">
        <v>526</v>
      </c>
      <c r="J1296" t="str">
        <f t="shared" si="447"/>
        <v>6</v>
      </c>
      <c r="K1296" t="str">
        <f t="shared" si="448"/>
        <v>54</v>
      </c>
      <c r="L1296" t="str">
        <f t="shared" si="449"/>
        <v/>
      </c>
      <c r="M1296" s="6" t="str">
        <f t="shared" si="450"/>
        <v/>
      </c>
      <c r="N1296" t="s">
        <v>178</v>
      </c>
      <c r="O1296">
        <v>3</v>
      </c>
      <c r="P1296" t="s">
        <v>424</v>
      </c>
      <c r="Q1296" t="s">
        <v>8</v>
      </c>
      <c r="R1296" t="s">
        <v>199</v>
      </c>
      <c r="S1296" t="s">
        <v>70</v>
      </c>
      <c r="Y1296" t="str">
        <f t="shared" si="433"/>
        <v/>
      </c>
      <c r="Z1296" t="str">
        <f t="shared" si="434"/>
        <v/>
      </c>
      <c r="AC1296" t="str">
        <f t="shared" si="430"/>
        <v>Pass</v>
      </c>
      <c r="AD1296" t="str">
        <f t="shared" si="431"/>
        <v>Pass_Missed</v>
      </c>
      <c r="AE1296" t="str">
        <f t="shared" si="432"/>
        <v>Pass-Forehand</v>
      </c>
      <c r="AF1296" t="str">
        <f t="shared" si="435"/>
        <v>Offensive</v>
      </c>
      <c r="AG1296">
        <f t="shared" si="441"/>
        <v>18981</v>
      </c>
      <c r="AH1296" t="str">
        <f t="shared" si="442"/>
        <v>Nelson</v>
      </c>
      <c r="AI1296" t="str">
        <f t="shared" si="443"/>
        <v>Velodrome</v>
      </c>
      <c r="AJ1296" s="18">
        <f t="shared" si="436"/>
        <v>0</v>
      </c>
      <c r="AP1296" s="18">
        <f t="shared" si="437"/>
        <v>0</v>
      </c>
      <c r="AQ1296">
        <f t="shared" si="438"/>
        <v>1080</v>
      </c>
      <c r="AR1296" s="23">
        <f t="shared" si="439"/>
        <v>1746</v>
      </c>
      <c r="AS1296">
        <f t="shared" si="444"/>
        <v>1741</v>
      </c>
      <c r="AT1296" s="21">
        <f t="shared" si="445"/>
        <v>1746</v>
      </c>
      <c r="AU1296" s="21"/>
      <c r="AV1296" s="21"/>
      <c r="AW1296" s="21"/>
    </row>
    <row r="1297" spans="1:49" x14ac:dyDescent="0.2">
      <c r="A1297">
        <v>698</v>
      </c>
      <c r="E1297">
        <f t="shared" si="440"/>
        <v>2</v>
      </c>
      <c r="J1297" t="str">
        <f t="shared" si="447"/>
        <v>6</v>
      </c>
      <c r="K1297" t="str">
        <f t="shared" si="448"/>
        <v>54</v>
      </c>
      <c r="L1297" t="str">
        <f t="shared" si="449"/>
        <v/>
      </c>
      <c r="M1297" s="6" t="str">
        <f t="shared" si="450"/>
        <v/>
      </c>
      <c r="N1297" t="str">
        <f t="shared" si="446"/>
        <v>Home</v>
      </c>
      <c r="O1297">
        <v>10</v>
      </c>
      <c r="P1297" t="s">
        <v>424</v>
      </c>
      <c r="Y1297" t="str">
        <f t="shared" si="433"/>
        <v/>
      </c>
      <c r="Z1297" t="str">
        <f t="shared" si="434"/>
        <v/>
      </c>
      <c r="AC1297" t="str">
        <f t="shared" si="430"/>
        <v>Pass</v>
      </c>
      <c r="AD1297" t="str">
        <f t="shared" si="431"/>
        <v>Pass_Missed</v>
      </c>
      <c r="AE1297" t="str">
        <f t="shared" si="432"/>
        <v>Pass-Forehand</v>
      </c>
      <c r="AF1297" t="str">
        <f t="shared" si="435"/>
        <v>Offensive</v>
      </c>
      <c r="AG1297">
        <f t="shared" si="441"/>
        <v>18981</v>
      </c>
      <c r="AH1297" t="str">
        <f t="shared" si="442"/>
        <v>Nelson</v>
      </c>
      <c r="AI1297" t="str">
        <f t="shared" si="443"/>
        <v>Velodrome</v>
      </c>
      <c r="AJ1297" s="18">
        <f t="shared" si="436"/>
        <v>0</v>
      </c>
      <c r="AP1297" s="18">
        <f t="shared" si="437"/>
        <v>0</v>
      </c>
      <c r="AQ1297">
        <f t="shared" si="438"/>
        <v>1080</v>
      </c>
      <c r="AR1297" s="23">
        <f t="shared" si="439"/>
        <v>1746</v>
      </c>
      <c r="AS1297">
        <f t="shared" si="444"/>
        <v>1741</v>
      </c>
      <c r="AT1297" s="21">
        <f t="shared" si="445"/>
        <v>1746</v>
      </c>
      <c r="AU1297" s="21"/>
      <c r="AV1297" s="21"/>
      <c r="AW1297" s="21"/>
    </row>
    <row r="1298" spans="1:49" x14ac:dyDescent="0.2">
      <c r="A1298">
        <v>698</v>
      </c>
      <c r="E1298">
        <f t="shared" si="440"/>
        <v>2</v>
      </c>
      <c r="J1298" t="str">
        <f t="shared" si="447"/>
        <v>6</v>
      </c>
      <c r="K1298" t="str">
        <f t="shared" si="448"/>
        <v>54</v>
      </c>
      <c r="L1298" t="str">
        <f t="shared" si="449"/>
        <v/>
      </c>
      <c r="M1298" s="6" t="str">
        <f t="shared" si="450"/>
        <v/>
      </c>
      <c r="N1298" t="str">
        <f t="shared" si="446"/>
        <v>Home</v>
      </c>
      <c r="O1298">
        <v>93</v>
      </c>
      <c r="P1298" t="s">
        <v>425</v>
      </c>
      <c r="Y1298" t="str">
        <f t="shared" si="433"/>
        <v/>
      </c>
      <c r="Z1298" t="str">
        <f t="shared" si="434"/>
        <v/>
      </c>
      <c r="AC1298" t="str">
        <f t="shared" si="430"/>
        <v>Pass</v>
      </c>
      <c r="AD1298" t="str">
        <f t="shared" si="431"/>
        <v>Pass_Missed</v>
      </c>
      <c r="AE1298" t="str">
        <f t="shared" si="432"/>
        <v>Pass-Forehand</v>
      </c>
      <c r="AF1298" t="str">
        <f t="shared" si="435"/>
        <v>Defensive</v>
      </c>
      <c r="AG1298">
        <f t="shared" si="441"/>
        <v>18981</v>
      </c>
      <c r="AH1298" t="str">
        <f t="shared" si="442"/>
        <v>Nelson</v>
      </c>
      <c r="AI1298" t="str">
        <f t="shared" si="443"/>
        <v>Velodrome</v>
      </c>
      <c r="AJ1298" s="18">
        <f t="shared" si="436"/>
        <v>0</v>
      </c>
      <c r="AP1298" s="18">
        <f t="shared" si="437"/>
        <v>0</v>
      </c>
      <c r="AQ1298">
        <f t="shared" si="438"/>
        <v>1080</v>
      </c>
      <c r="AR1298" s="23">
        <f t="shared" si="439"/>
        <v>1746</v>
      </c>
      <c r="AS1298">
        <f t="shared" si="444"/>
        <v>1741</v>
      </c>
      <c r="AT1298" s="21">
        <f t="shared" si="445"/>
        <v>1746</v>
      </c>
      <c r="AU1298" s="21"/>
      <c r="AV1298" s="21"/>
      <c r="AW1298" s="21"/>
    </row>
    <row r="1299" spans="1:49" x14ac:dyDescent="0.2">
      <c r="A1299">
        <v>699</v>
      </c>
      <c r="E1299">
        <f t="shared" si="440"/>
        <v>2</v>
      </c>
      <c r="F1299" s="5" t="s">
        <v>541</v>
      </c>
      <c r="G1299" s="5" t="s">
        <v>523</v>
      </c>
      <c r="J1299" t="str">
        <f t="shared" si="447"/>
        <v>6</v>
      </c>
      <c r="K1299" t="str">
        <f t="shared" si="448"/>
        <v>51</v>
      </c>
      <c r="L1299" t="str">
        <f t="shared" si="449"/>
        <v/>
      </c>
      <c r="M1299" s="6" t="str">
        <f t="shared" si="450"/>
        <v/>
      </c>
      <c r="N1299" t="s">
        <v>178</v>
      </c>
      <c r="O1299">
        <v>44</v>
      </c>
      <c r="P1299" t="s">
        <v>424</v>
      </c>
      <c r="Q1299" t="s">
        <v>8</v>
      </c>
      <c r="R1299" t="s">
        <v>216</v>
      </c>
      <c r="S1299" t="s">
        <v>70</v>
      </c>
      <c r="Y1299" t="str">
        <f t="shared" si="433"/>
        <v/>
      </c>
      <c r="Z1299" t="str">
        <f t="shared" si="434"/>
        <v/>
      </c>
      <c r="AC1299" t="str">
        <f t="shared" si="430"/>
        <v>Pass</v>
      </c>
      <c r="AD1299" t="str">
        <f t="shared" si="431"/>
        <v>Pass_Intercepted</v>
      </c>
      <c r="AE1299" t="str">
        <f t="shared" si="432"/>
        <v>Pass-Forehand</v>
      </c>
      <c r="AF1299" t="str">
        <f t="shared" si="435"/>
        <v>Offensive</v>
      </c>
      <c r="AG1299">
        <f t="shared" si="441"/>
        <v>18981</v>
      </c>
      <c r="AH1299" t="str">
        <f t="shared" si="442"/>
        <v>Nelson</v>
      </c>
      <c r="AI1299" t="str">
        <f t="shared" si="443"/>
        <v>Velodrome</v>
      </c>
      <c r="AJ1299" s="18">
        <f t="shared" si="436"/>
        <v>0</v>
      </c>
      <c r="AP1299" s="18">
        <f t="shared" si="437"/>
        <v>0</v>
      </c>
      <c r="AQ1299">
        <f t="shared" si="438"/>
        <v>1080</v>
      </c>
      <c r="AR1299" s="23">
        <f t="shared" si="439"/>
        <v>1749</v>
      </c>
      <c r="AS1299">
        <f t="shared" si="444"/>
        <v>1744</v>
      </c>
      <c r="AT1299" s="21">
        <f t="shared" si="445"/>
        <v>1749</v>
      </c>
      <c r="AU1299" s="21"/>
      <c r="AV1299" s="21"/>
      <c r="AW1299" s="21"/>
    </row>
    <row r="1300" spans="1:49" x14ac:dyDescent="0.2">
      <c r="A1300">
        <v>699</v>
      </c>
      <c r="E1300">
        <f t="shared" si="440"/>
        <v>2</v>
      </c>
      <c r="J1300" t="str">
        <f t="shared" si="447"/>
        <v>6</v>
      </c>
      <c r="K1300" t="str">
        <f t="shared" si="448"/>
        <v>51</v>
      </c>
      <c r="L1300" t="str">
        <f t="shared" si="449"/>
        <v/>
      </c>
      <c r="M1300" s="6" t="str">
        <f t="shared" si="450"/>
        <v/>
      </c>
      <c r="N1300" t="str">
        <f t="shared" si="446"/>
        <v>Home</v>
      </c>
      <c r="O1300">
        <v>87</v>
      </c>
      <c r="P1300" t="s">
        <v>425</v>
      </c>
      <c r="Y1300" t="str">
        <f t="shared" si="433"/>
        <v/>
      </c>
      <c r="Z1300" t="str">
        <f t="shared" si="434"/>
        <v/>
      </c>
      <c r="AC1300" t="str">
        <f t="shared" si="430"/>
        <v>Pass</v>
      </c>
      <c r="AD1300" t="str">
        <f t="shared" si="431"/>
        <v>Pass_Intercepted</v>
      </c>
      <c r="AE1300" t="str">
        <f t="shared" si="432"/>
        <v>Pass-Forehand</v>
      </c>
      <c r="AF1300" t="str">
        <f t="shared" si="435"/>
        <v>Defensive</v>
      </c>
      <c r="AG1300">
        <f t="shared" si="441"/>
        <v>18981</v>
      </c>
      <c r="AH1300" t="str">
        <f t="shared" si="442"/>
        <v>Nelson</v>
      </c>
      <c r="AI1300" t="str">
        <f t="shared" si="443"/>
        <v>Velodrome</v>
      </c>
      <c r="AJ1300" s="18">
        <f t="shared" si="436"/>
        <v>0</v>
      </c>
      <c r="AP1300" s="18">
        <f t="shared" si="437"/>
        <v>0</v>
      </c>
      <c r="AQ1300">
        <f t="shared" si="438"/>
        <v>1080</v>
      </c>
      <c r="AR1300" s="23">
        <f t="shared" si="439"/>
        <v>1749</v>
      </c>
      <c r="AS1300">
        <f t="shared" si="444"/>
        <v>1744</v>
      </c>
      <c r="AT1300" s="21">
        <f t="shared" si="445"/>
        <v>1749</v>
      </c>
      <c r="AU1300" s="21"/>
      <c r="AV1300" s="21"/>
      <c r="AW1300" s="21"/>
    </row>
    <row r="1301" spans="1:49" x14ac:dyDescent="0.2">
      <c r="A1301">
        <v>699</v>
      </c>
      <c r="E1301">
        <f t="shared" si="440"/>
        <v>2</v>
      </c>
      <c r="J1301" t="str">
        <f t="shared" si="447"/>
        <v>6</v>
      </c>
      <c r="K1301" t="str">
        <f t="shared" si="448"/>
        <v>51</v>
      </c>
      <c r="L1301" t="str">
        <f t="shared" si="449"/>
        <v/>
      </c>
      <c r="M1301" s="6" t="str">
        <f t="shared" si="450"/>
        <v/>
      </c>
      <c r="N1301" t="str">
        <f t="shared" si="446"/>
        <v>Home</v>
      </c>
      <c r="O1301">
        <v>9</v>
      </c>
      <c r="P1301" t="s">
        <v>425</v>
      </c>
      <c r="Y1301" t="str">
        <f t="shared" si="433"/>
        <v/>
      </c>
      <c r="Z1301" t="str">
        <f t="shared" si="434"/>
        <v/>
      </c>
      <c r="AC1301" t="str">
        <f t="shared" si="430"/>
        <v>Pass</v>
      </c>
      <c r="AD1301" t="str">
        <f t="shared" si="431"/>
        <v>Pass_Intercepted</v>
      </c>
      <c r="AE1301" t="str">
        <f t="shared" si="432"/>
        <v>Pass-Forehand</v>
      </c>
      <c r="AF1301" t="str">
        <f t="shared" si="435"/>
        <v>Defensive</v>
      </c>
      <c r="AG1301">
        <f t="shared" si="441"/>
        <v>18981</v>
      </c>
      <c r="AH1301" t="str">
        <f t="shared" si="442"/>
        <v>Nelson</v>
      </c>
      <c r="AI1301" t="str">
        <f t="shared" si="443"/>
        <v>Velodrome</v>
      </c>
      <c r="AJ1301" s="18">
        <f t="shared" si="436"/>
        <v>0</v>
      </c>
      <c r="AP1301" s="18">
        <f t="shared" si="437"/>
        <v>0</v>
      </c>
      <c r="AQ1301">
        <f t="shared" si="438"/>
        <v>1080</v>
      </c>
      <c r="AR1301" s="23">
        <f t="shared" si="439"/>
        <v>1749</v>
      </c>
      <c r="AS1301">
        <f t="shared" si="444"/>
        <v>1744</v>
      </c>
      <c r="AT1301" s="21">
        <f t="shared" si="445"/>
        <v>1749</v>
      </c>
      <c r="AU1301" s="21"/>
      <c r="AV1301" s="21"/>
      <c r="AW1301" s="21"/>
    </row>
    <row r="1302" spans="1:49" x14ac:dyDescent="0.2">
      <c r="A1302">
        <v>700</v>
      </c>
      <c r="E1302">
        <f t="shared" si="440"/>
        <v>2</v>
      </c>
      <c r="F1302" s="5" t="s">
        <v>541</v>
      </c>
      <c r="G1302" s="5" t="s">
        <v>523</v>
      </c>
      <c r="J1302" t="str">
        <f t="shared" si="447"/>
        <v>6</v>
      </c>
      <c r="K1302" t="str">
        <f t="shared" si="448"/>
        <v>51</v>
      </c>
      <c r="L1302" t="str">
        <f t="shared" si="449"/>
        <v/>
      </c>
      <c r="M1302" s="6" t="str">
        <f t="shared" si="450"/>
        <v/>
      </c>
      <c r="N1302" t="s">
        <v>178</v>
      </c>
      <c r="O1302">
        <v>44</v>
      </c>
      <c r="P1302" t="s">
        <v>424</v>
      </c>
      <c r="Q1302" t="s">
        <v>10</v>
      </c>
      <c r="R1302" t="s">
        <v>190</v>
      </c>
      <c r="S1302" t="s">
        <v>75</v>
      </c>
      <c r="Y1302" t="str">
        <f t="shared" si="433"/>
        <v/>
      </c>
      <c r="Z1302" t="str">
        <f t="shared" si="434"/>
        <v/>
      </c>
      <c r="AC1302" t="str">
        <f t="shared" si="430"/>
        <v>Turnover</v>
      </c>
      <c r="AD1302" t="str">
        <f t="shared" si="431"/>
        <v>Turnover_Giveaway</v>
      </c>
      <c r="AE1302" t="str">
        <f t="shared" si="432"/>
        <v>Giveaway-PassIntercepted</v>
      </c>
      <c r="AF1302" t="str">
        <f t="shared" si="435"/>
        <v>Offensive</v>
      </c>
      <c r="AG1302">
        <f t="shared" si="441"/>
        <v>18981</v>
      </c>
      <c r="AH1302" t="str">
        <f t="shared" si="442"/>
        <v>Nelson</v>
      </c>
      <c r="AI1302" t="str">
        <f t="shared" si="443"/>
        <v>Velodrome</v>
      </c>
      <c r="AJ1302" s="18">
        <f t="shared" si="436"/>
        <v>0</v>
      </c>
      <c r="AP1302" s="18">
        <f t="shared" si="437"/>
        <v>0</v>
      </c>
      <c r="AQ1302">
        <f t="shared" si="438"/>
        <v>1080</v>
      </c>
      <c r="AR1302" s="23">
        <f t="shared" si="439"/>
        <v>1749</v>
      </c>
      <c r="AS1302">
        <f t="shared" si="444"/>
        <v>1744</v>
      </c>
      <c r="AT1302" s="21">
        <f t="shared" si="445"/>
        <v>1749</v>
      </c>
      <c r="AU1302" s="21"/>
      <c r="AV1302" s="21"/>
      <c r="AW1302" s="21"/>
    </row>
    <row r="1303" spans="1:49" x14ac:dyDescent="0.2">
      <c r="A1303">
        <v>700</v>
      </c>
      <c r="E1303">
        <f t="shared" si="440"/>
        <v>2</v>
      </c>
      <c r="J1303" t="str">
        <f t="shared" si="447"/>
        <v>6</v>
      </c>
      <c r="K1303" t="str">
        <f t="shared" si="448"/>
        <v>51</v>
      </c>
      <c r="L1303" t="str">
        <f t="shared" si="449"/>
        <v/>
      </c>
      <c r="M1303" s="6" t="str">
        <f t="shared" si="450"/>
        <v/>
      </c>
      <c r="N1303" t="str">
        <f t="shared" si="446"/>
        <v>Home</v>
      </c>
      <c r="O1303">
        <v>87</v>
      </c>
      <c r="P1303" t="s">
        <v>425</v>
      </c>
      <c r="Y1303" t="str">
        <f t="shared" si="433"/>
        <v/>
      </c>
      <c r="Z1303" t="str">
        <f t="shared" si="434"/>
        <v/>
      </c>
      <c r="AC1303" t="str">
        <f t="shared" si="430"/>
        <v>Turnover</v>
      </c>
      <c r="AD1303" t="str">
        <f t="shared" si="431"/>
        <v>Turnover_Giveaway</v>
      </c>
      <c r="AE1303" t="str">
        <f t="shared" si="432"/>
        <v>Giveaway-PassIntercepted</v>
      </c>
      <c r="AF1303" t="str">
        <f t="shared" si="435"/>
        <v>Defensive</v>
      </c>
      <c r="AG1303">
        <f t="shared" si="441"/>
        <v>18981</v>
      </c>
      <c r="AH1303" t="str">
        <f t="shared" si="442"/>
        <v>Nelson</v>
      </c>
      <c r="AI1303" t="str">
        <f t="shared" si="443"/>
        <v>Velodrome</v>
      </c>
      <c r="AJ1303" s="18">
        <f t="shared" si="436"/>
        <v>0</v>
      </c>
      <c r="AP1303" s="18">
        <f t="shared" si="437"/>
        <v>0</v>
      </c>
      <c r="AQ1303">
        <f t="shared" si="438"/>
        <v>1080</v>
      </c>
      <c r="AR1303" s="23">
        <f t="shared" si="439"/>
        <v>1749</v>
      </c>
      <c r="AS1303">
        <f t="shared" si="444"/>
        <v>1744</v>
      </c>
      <c r="AT1303" s="21">
        <f t="shared" si="445"/>
        <v>1749</v>
      </c>
      <c r="AU1303" s="21"/>
      <c r="AV1303" s="21"/>
      <c r="AW1303" s="21"/>
    </row>
    <row r="1304" spans="1:49" x14ac:dyDescent="0.2">
      <c r="A1304">
        <v>700</v>
      </c>
      <c r="E1304">
        <f t="shared" si="440"/>
        <v>2</v>
      </c>
      <c r="J1304" t="str">
        <f t="shared" si="447"/>
        <v>6</v>
      </c>
      <c r="K1304" t="str">
        <f t="shared" si="448"/>
        <v>51</v>
      </c>
      <c r="L1304" t="str">
        <f t="shared" si="449"/>
        <v/>
      </c>
      <c r="M1304" s="6" t="str">
        <f t="shared" si="450"/>
        <v/>
      </c>
      <c r="N1304" t="str">
        <f t="shared" si="446"/>
        <v>Home</v>
      </c>
      <c r="O1304">
        <v>9</v>
      </c>
      <c r="P1304" t="s">
        <v>425</v>
      </c>
      <c r="Y1304" t="str">
        <f t="shared" si="433"/>
        <v/>
      </c>
      <c r="Z1304" t="str">
        <f t="shared" si="434"/>
        <v/>
      </c>
      <c r="AC1304" t="str">
        <f t="shared" si="430"/>
        <v>Turnover</v>
      </c>
      <c r="AD1304" t="str">
        <f t="shared" si="431"/>
        <v>Turnover_Giveaway</v>
      </c>
      <c r="AE1304" t="str">
        <f t="shared" si="432"/>
        <v>Giveaway-PassIntercepted</v>
      </c>
      <c r="AF1304" t="str">
        <f t="shared" si="435"/>
        <v>Defensive</v>
      </c>
      <c r="AG1304">
        <f t="shared" si="441"/>
        <v>18981</v>
      </c>
      <c r="AH1304" t="str">
        <f t="shared" si="442"/>
        <v>Nelson</v>
      </c>
      <c r="AI1304" t="str">
        <f t="shared" si="443"/>
        <v>Velodrome</v>
      </c>
      <c r="AJ1304" s="18">
        <f t="shared" si="436"/>
        <v>0</v>
      </c>
      <c r="AP1304" s="18">
        <f t="shared" si="437"/>
        <v>0</v>
      </c>
      <c r="AQ1304">
        <f t="shared" si="438"/>
        <v>1080</v>
      </c>
      <c r="AR1304" s="23">
        <f t="shared" si="439"/>
        <v>1749</v>
      </c>
      <c r="AS1304">
        <f t="shared" si="444"/>
        <v>1744</v>
      </c>
      <c r="AT1304" s="21">
        <f t="shared" si="445"/>
        <v>1749</v>
      </c>
      <c r="AU1304" s="21"/>
      <c r="AV1304" s="21"/>
      <c r="AW1304" s="21"/>
    </row>
    <row r="1305" spans="1:49" x14ac:dyDescent="0.2">
      <c r="A1305">
        <v>701</v>
      </c>
      <c r="E1305">
        <f t="shared" si="440"/>
        <v>2</v>
      </c>
      <c r="F1305" s="5" t="s">
        <v>541</v>
      </c>
      <c r="G1305" s="5" t="s">
        <v>522</v>
      </c>
      <c r="H1305" s="5" t="s">
        <v>541</v>
      </c>
      <c r="I1305" s="7" t="s">
        <v>520</v>
      </c>
      <c r="J1305" t="str">
        <f t="shared" si="447"/>
        <v>6</v>
      </c>
      <c r="K1305" t="str">
        <f t="shared" si="448"/>
        <v>50</v>
      </c>
      <c r="L1305" t="str">
        <f t="shared" si="449"/>
        <v>6</v>
      </c>
      <c r="M1305" s="6" t="str">
        <f t="shared" si="450"/>
        <v>48</v>
      </c>
      <c r="N1305" t="s">
        <v>179</v>
      </c>
      <c r="O1305">
        <v>87</v>
      </c>
      <c r="P1305" t="s">
        <v>424</v>
      </c>
      <c r="Q1305" t="s">
        <v>15</v>
      </c>
      <c r="Y1305" t="str">
        <f t="shared" si="433"/>
        <v/>
      </c>
      <c r="Z1305" t="str">
        <f t="shared" si="434"/>
        <v/>
      </c>
      <c r="AC1305" t="str">
        <f t="shared" si="430"/>
        <v>Possession</v>
      </c>
      <c r="AD1305" t="str">
        <f t="shared" si="431"/>
        <v/>
      </c>
      <c r="AE1305" t="str">
        <f t="shared" si="432"/>
        <v/>
      </c>
      <c r="AF1305" t="str">
        <f t="shared" si="435"/>
        <v>Offensive</v>
      </c>
      <c r="AG1305">
        <f t="shared" si="441"/>
        <v>18981</v>
      </c>
      <c r="AH1305" t="str">
        <f t="shared" si="442"/>
        <v>Nelson</v>
      </c>
      <c r="AI1305" t="str">
        <f t="shared" si="443"/>
        <v>Velodrome</v>
      </c>
      <c r="AJ1305" s="18">
        <f t="shared" si="436"/>
        <v>2</v>
      </c>
      <c r="AP1305" s="18">
        <f t="shared" si="437"/>
        <v>0</v>
      </c>
      <c r="AQ1305">
        <f t="shared" si="438"/>
        <v>1080</v>
      </c>
      <c r="AR1305" s="23">
        <f t="shared" si="439"/>
        <v>1750</v>
      </c>
      <c r="AS1305">
        <f t="shared" si="444"/>
        <v>1745</v>
      </c>
      <c r="AT1305" s="21">
        <f t="shared" si="445"/>
        <v>1752</v>
      </c>
      <c r="AU1305" s="21"/>
      <c r="AV1305" s="21"/>
      <c r="AW1305" s="21"/>
    </row>
    <row r="1306" spans="1:49" x14ac:dyDescent="0.2">
      <c r="A1306">
        <v>701</v>
      </c>
      <c r="E1306">
        <f t="shared" si="440"/>
        <v>2</v>
      </c>
      <c r="J1306" t="str">
        <f t="shared" si="447"/>
        <v>6</v>
      </c>
      <c r="K1306" t="str">
        <f t="shared" si="448"/>
        <v>50</v>
      </c>
      <c r="L1306" t="str">
        <f t="shared" si="449"/>
        <v>6</v>
      </c>
      <c r="M1306" s="6" t="str">
        <f t="shared" si="450"/>
        <v>48</v>
      </c>
      <c r="N1306" t="str">
        <f t="shared" si="446"/>
        <v>Away</v>
      </c>
      <c r="O1306">
        <v>44</v>
      </c>
      <c r="P1306" t="s">
        <v>425</v>
      </c>
      <c r="Y1306" t="str">
        <f t="shared" si="433"/>
        <v/>
      </c>
      <c r="Z1306" t="str">
        <f t="shared" si="434"/>
        <v/>
      </c>
      <c r="AC1306" t="str">
        <f t="shared" si="430"/>
        <v>Possession</v>
      </c>
      <c r="AD1306" t="str">
        <f t="shared" si="431"/>
        <v/>
      </c>
      <c r="AE1306" t="str">
        <f t="shared" si="432"/>
        <v/>
      </c>
      <c r="AF1306" t="str">
        <f t="shared" si="435"/>
        <v>Defensive</v>
      </c>
      <c r="AG1306">
        <f t="shared" si="441"/>
        <v>18981</v>
      </c>
      <c r="AH1306" t="str">
        <f t="shared" si="442"/>
        <v>Nelson</v>
      </c>
      <c r="AI1306" t="str">
        <f t="shared" si="443"/>
        <v>Velodrome</v>
      </c>
      <c r="AJ1306" s="18">
        <f t="shared" si="436"/>
        <v>2</v>
      </c>
      <c r="AP1306" s="18">
        <f t="shared" si="437"/>
        <v>0</v>
      </c>
      <c r="AQ1306">
        <f t="shared" si="438"/>
        <v>1080</v>
      </c>
      <c r="AR1306" s="23">
        <f t="shared" si="439"/>
        <v>1750</v>
      </c>
      <c r="AS1306">
        <f t="shared" si="444"/>
        <v>1745</v>
      </c>
      <c r="AT1306" s="21">
        <f t="shared" si="445"/>
        <v>1752</v>
      </c>
      <c r="AU1306" s="21"/>
      <c r="AV1306" s="21"/>
      <c r="AW1306" s="21"/>
    </row>
    <row r="1307" spans="1:49" x14ac:dyDescent="0.2">
      <c r="A1307">
        <v>702</v>
      </c>
      <c r="E1307">
        <f t="shared" si="440"/>
        <v>2</v>
      </c>
      <c r="F1307" s="5" t="s">
        <v>541</v>
      </c>
      <c r="G1307" s="5" t="s">
        <v>521</v>
      </c>
      <c r="H1307" s="5" t="s">
        <v>541</v>
      </c>
      <c r="I1307" s="7" t="s">
        <v>518</v>
      </c>
      <c r="J1307" t="str">
        <f t="shared" si="447"/>
        <v>6</v>
      </c>
      <c r="K1307" t="str">
        <f t="shared" si="448"/>
        <v>49</v>
      </c>
      <c r="L1307" t="str">
        <f t="shared" si="449"/>
        <v>6</v>
      </c>
      <c r="M1307" s="6" t="str">
        <f t="shared" si="450"/>
        <v>46</v>
      </c>
      <c r="N1307" t="s">
        <v>179</v>
      </c>
      <c r="O1307">
        <v>87</v>
      </c>
      <c r="P1307" t="s">
        <v>424</v>
      </c>
      <c r="Q1307" t="s">
        <v>277</v>
      </c>
      <c r="R1307" t="s">
        <v>201</v>
      </c>
      <c r="S1307" t="s">
        <v>90</v>
      </c>
      <c r="Y1307" t="str">
        <f t="shared" si="433"/>
        <v/>
      </c>
      <c r="Z1307" t="str">
        <f t="shared" si="434"/>
        <v/>
      </c>
      <c r="AC1307" t="str">
        <f t="shared" si="430"/>
        <v>Zone_Entry_Exit</v>
      </c>
      <c r="AD1307" t="str">
        <f t="shared" si="431"/>
        <v>Zone_Exit</v>
      </c>
      <c r="AE1307" t="str">
        <f t="shared" si="432"/>
        <v>ZoneExit-Rush</v>
      </c>
      <c r="AF1307" t="str">
        <f t="shared" si="435"/>
        <v>Offensive</v>
      </c>
      <c r="AG1307">
        <f t="shared" si="441"/>
        <v>18981</v>
      </c>
      <c r="AH1307" t="str">
        <f t="shared" si="442"/>
        <v>Nelson</v>
      </c>
      <c r="AI1307" t="str">
        <f t="shared" si="443"/>
        <v>Velodrome</v>
      </c>
      <c r="AJ1307" s="18">
        <f t="shared" si="436"/>
        <v>3</v>
      </c>
      <c r="AP1307" s="18">
        <f t="shared" si="437"/>
        <v>0</v>
      </c>
      <c r="AQ1307">
        <f t="shared" si="438"/>
        <v>1080</v>
      </c>
      <c r="AR1307" s="23">
        <f t="shared" si="439"/>
        <v>1751</v>
      </c>
      <c r="AS1307">
        <f t="shared" si="444"/>
        <v>1746</v>
      </c>
      <c r="AT1307" s="21">
        <f t="shared" si="445"/>
        <v>1754</v>
      </c>
      <c r="AU1307" s="21"/>
      <c r="AV1307" s="21"/>
      <c r="AW1307" s="21"/>
    </row>
    <row r="1308" spans="1:49" x14ac:dyDescent="0.2">
      <c r="A1308">
        <v>703</v>
      </c>
      <c r="E1308">
        <f t="shared" si="440"/>
        <v>2</v>
      </c>
      <c r="F1308" s="5" t="s">
        <v>541</v>
      </c>
      <c r="G1308" s="5" t="s">
        <v>518</v>
      </c>
      <c r="J1308" t="str">
        <f t="shared" si="447"/>
        <v>6</v>
      </c>
      <c r="K1308" t="str">
        <f t="shared" si="448"/>
        <v>46</v>
      </c>
      <c r="L1308" t="str">
        <f t="shared" si="449"/>
        <v/>
      </c>
      <c r="M1308" s="6" t="str">
        <f t="shared" si="450"/>
        <v/>
      </c>
      <c r="N1308" t="s">
        <v>179</v>
      </c>
      <c r="O1308">
        <v>87</v>
      </c>
      <c r="P1308" t="s">
        <v>424</v>
      </c>
      <c r="Q1308" t="s">
        <v>8</v>
      </c>
      <c r="R1308" t="s">
        <v>199</v>
      </c>
      <c r="S1308" t="s">
        <v>572</v>
      </c>
      <c r="Y1308" t="str">
        <f t="shared" si="433"/>
        <v/>
      </c>
      <c r="Z1308" t="str">
        <f t="shared" si="434"/>
        <v/>
      </c>
      <c r="AC1308" t="str">
        <f t="shared" si="430"/>
        <v>Pass</v>
      </c>
      <c r="AD1308" t="str">
        <f t="shared" si="431"/>
        <v>Pass_Missed</v>
      </c>
      <c r="AE1308" t="str">
        <f t="shared" si="432"/>
        <v>Pass-ReceiverMissed</v>
      </c>
      <c r="AF1308" t="str">
        <f t="shared" si="435"/>
        <v>Offensive</v>
      </c>
      <c r="AG1308">
        <f t="shared" si="441"/>
        <v>18981</v>
      </c>
      <c r="AH1308" t="str">
        <f t="shared" si="442"/>
        <v>Nelson</v>
      </c>
      <c r="AI1308" t="str">
        <f t="shared" si="443"/>
        <v>Velodrome</v>
      </c>
      <c r="AJ1308" s="18">
        <f t="shared" si="436"/>
        <v>0</v>
      </c>
      <c r="AP1308" s="18">
        <f t="shared" si="437"/>
        <v>0</v>
      </c>
      <c r="AQ1308">
        <f t="shared" si="438"/>
        <v>1080</v>
      </c>
      <c r="AR1308" s="23">
        <f t="shared" si="439"/>
        <v>1754</v>
      </c>
      <c r="AS1308">
        <f t="shared" si="444"/>
        <v>1749</v>
      </c>
      <c r="AT1308" s="21">
        <f t="shared" si="445"/>
        <v>1754</v>
      </c>
      <c r="AU1308" s="21"/>
      <c r="AV1308" s="21"/>
      <c r="AW1308" s="21"/>
    </row>
    <row r="1309" spans="1:49" x14ac:dyDescent="0.2">
      <c r="A1309">
        <v>703</v>
      </c>
      <c r="E1309">
        <f t="shared" si="440"/>
        <v>2</v>
      </c>
      <c r="J1309" t="str">
        <f t="shared" si="447"/>
        <v>6</v>
      </c>
      <c r="K1309" t="str">
        <f t="shared" si="448"/>
        <v>46</v>
      </c>
      <c r="L1309" t="str">
        <f t="shared" si="449"/>
        <v/>
      </c>
      <c r="M1309" s="6" t="str">
        <f t="shared" si="450"/>
        <v/>
      </c>
      <c r="N1309" t="str">
        <f t="shared" si="446"/>
        <v>Away</v>
      </c>
      <c r="O1309">
        <v>49</v>
      </c>
      <c r="P1309" t="s">
        <v>425</v>
      </c>
      <c r="Y1309" t="str">
        <f t="shared" si="433"/>
        <v/>
      </c>
      <c r="Z1309" t="str">
        <f t="shared" si="434"/>
        <v/>
      </c>
      <c r="AC1309" t="str">
        <f t="shared" si="430"/>
        <v>Pass</v>
      </c>
      <c r="AD1309" t="str">
        <f t="shared" si="431"/>
        <v>Pass_Missed</v>
      </c>
      <c r="AE1309" t="str">
        <f t="shared" si="432"/>
        <v>Pass-ReceiverMissed</v>
      </c>
      <c r="AF1309" t="str">
        <f t="shared" si="435"/>
        <v>Defensive</v>
      </c>
      <c r="AG1309">
        <f t="shared" si="441"/>
        <v>18981</v>
      </c>
      <c r="AH1309" t="str">
        <f t="shared" si="442"/>
        <v>Nelson</v>
      </c>
      <c r="AI1309" t="str">
        <f t="shared" si="443"/>
        <v>Velodrome</v>
      </c>
      <c r="AJ1309" s="18">
        <f t="shared" si="436"/>
        <v>0</v>
      </c>
      <c r="AP1309" s="18">
        <f t="shared" si="437"/>
        <v>0</v>
      </c>
      <c r="AQ1309">
        <f t="shared" si="438"/>
        <v>1080</v>
      </c>
      <c r="AR1309" s="23">
        <f t="shared" si="439"/>
        <v>1754</v>
      </c>
      <c r="AS1309">
        <f t="shared" si="444"/>
        <v>1749</v>
      </c>
      <c r="AT1309" s="21">
        <f t="shared" si="445"/>
        <v>1754</v>
      </c>
      <c r="AU1309" s="21"/>
      <c r="AV1309" s="21"/>
      <c r="AW1309" s="21"/>
    </row>
    <row r="1310" spans="1:49" x14ac:dyDescent="0.2">
      <c r="A1310">
        <v>704</v>
      </c>
      <c r="E1310">
        <f t="shared" si="440"/>
        <v>2</v>
      </c>
      <c r="F1310" s="5" t="s">
        <v>541</v>
      </c>
      <c r="G1310" s="5" t="s">
        <v>518</v>
      </c>
      <c r="J1310" t="str">
        <f t="shared" si="447"/>
        <v>6</v>
      </c>
      <c r="K1310" t="str">
        <f t="shared" si="448"/>
        <v>46</v>
      </c>
      <c r="L1310" t="str">
        <f t="shared" si="449"/>
        <v/>
      </c>
      <c r="M1310" s="6" t="str">
        <f t="shared" si="450"/>
        <v/>
      </c>
      <c r="N1310" t="s">
        <v>179</v>
      </c>
      <c r="O1310">
        <v>87</v>
      </c>
      <c r="P1310" t="s">
        <v>424</v>
      </c>
      <c r="Q1310" t="s">
        <v>277</v>
      </c>
      <c r="R1310" t="s">
        <v>191</v>
      </c>
      <c r="S1310" t="s">
        <v>447</v>
      </c>
      <c r="Y1310" t="str">
        <f t="shared" si="433"/>
        <v/>
      </c>
      <c r="Z1310" t="str">
        <f t="shared" si="434"/>
        <v/>
      </c>
      <c r="AC1310" t="str">
        <f t="shared" si="430"/>
        <v>Zone_Entry_Exit</v>
      </c>
      <c r="AD1310" t="str">
        <f t="shared" si="431"/>
        <v>Zone_Entry</v>
      </c>
      <c r="AE1310" t="str">
        <f t="shared" si="432"/>
        <v>ZoneEntry-PassMiss/Misplay</v>
      </c>
      <c r="AF1310" t="str">
        <f t="shared" si="435"/>
        <v>Offensive</v>
      </c>
      <c r="AG1310">
        <f t="shared" si="441"/>
        <v>18981</v>
      </c>
      <c r="AH1310" t="str">
        <f t="shared" si="442"/>
        <v>Nelson</v>
      </c>
      <c r="AI1310" t="str">
        <f t="shared" si="443"/>
        <v>Velodrome</v>
      </c>
      <c r="AJ1310" s="18">
        <f t="shared" si="436"/>
        <v>0</v>
      </c>
      <c r="AP1310" s="18">
        <f t="shared" si="437"/>
        <v>0</v>
      </c>
      <c r="AQ1310">
        <f t="shared" si="438"/>
        <v>1080</v>
      </c>
      <c r="AR1310" s="23">
        <f t="shared" si="439"/>
        <v>1754</v>
      </c>
      <c r="AS1310">
        <f t="shared" si="444"/>
        <v>1749</v>
      </c>
      <c r="AT1310" s="21">
        <f t="shared" si="445"/>
        <v>1754</v>
      </c>
      <c r="AU1310" s="21"/>
      <c r="AV1310" s="21"/>
      <c r="AW1310" s="21"/>
    </row>
    <row r="1311" spans="1:49" x14ac:dyDescent="0.2">
      <c r="A1311">
        <v>704</v>
      </c>
      <c r="E1311">
        <f t="shared" si="440"/>
        <v>2</v>
      </c>
      <c r="J1311" t="str">
        <f t="shared" si="447"/>
        <v>6</v>
      </c>
      <c r="K1311" t="str">
        <f t="shared" si="448"/>
        <v>46</v>
      </c>
      <c r="L1311" t="str">
        <f t="shared" si="449"/>
        <v/>
      </c>
      <c r="M1311" s="6" t="str">
        <f t="shared" si="450"/>
        <v/>
      </c>
      <c r="N1311" t="str">
        <f t="shared" si="446"/>
        <v>Away</v>
      </c>
      <c r="O1311">
        <v>49</v>
      </c>
      <c r="P1311" t="s">
        <v>425</v>
      </c>
      <c r="Y1311" t="str">
        <f t="shared" si="433"/>
        <v/>
      </c>
      <c r="Z1311" t="str">
        <f t="shared" si="434"/>
        <v/>
      </c>
      <c r="AC1311" t="str">
        <f t="shared" si="430"/>
        <v>Zone_Entry_Exit</v>
      </c>
      <c r="AD1311" t="str">
        <f t="shared" si="431"/>
        <v>Zone_Entry</v>
      </c>
      <c r="AE1311" t="str">
        <f t="shared" si="432"/>
        <v>ZoneEntry-PassMiss/Misplay</v>
      </c>
      <c r="AF1311" t="str">
        <f t="shared" si="435"/>
        <v>Defensive</v>
      </c>
      <c r="AG1311">
        <f t="shared" si="441"/>
        <v>18981</v>
      </c>
      <c r="AH1311" t="str">
        <f t="shared" si="442"/>
        <v>Nelson</v>
      </c>
      <c r="AI1311" t="str">
        <f t="shared" si="443"/>
        <v>Velodrome</v>
      </c>
      <c r="AJ1311" s="18">
        <f t="shared" si="436"/>
        <v>0</v>
      </c>
      <c r="AP1311" s="18">
        <f t="shared" si="437"/>
        <v>0</v>
      </c>
      <c r="AQ1311">
        <f t="shared" si="438"/>
        <v>1080</v>
      </c>
      <c r="AR1311" s="23">
        <f t="shared" si="439"/>
        <v>1754</v>
      </c>
      <c r="AS1311">
        <f t="shared" si="444"/>
        <v>1749</v>
      </c>
      <c r="AT1311" s="21">
        <f t="shared" si="445"/>
        <v>1754</v>
      </c>
      <c r="AU1311" s="21"/>
      <c r="AV1311" s="21"/>
      <c r="AW1311" s="21"/>
    </row>
    <row r="1312" spans="1:49" x14ac:dyDescent="0.2">
      <c r="A1312">
        <v>705</v>
      </c>
      <c r="E1312">
        <f t="shared" si="440"/>
        <v>2</v>
      </c>
      <c r="F1312" s="5" t="s">
        <v>541</v>
      </c>
      <c r="G1312" s="5" t="s">
        <v>518</v>
      </c>
      <c r="J1312" t="str">
        <f t="shared" si="447"/>
        <v>6</v>
      </c>
      <c r="K1312" t="str">
        <f t="shared" si="448"/>
        <v>46</v>
      </c>
      <c r="L1312" t="str">
        <f t="shared" si="449"/>
        <v/>
      </c>
      <c r="M1312" s="6" t="str">
        <f t="shared" si="450"/>
        <v/>
      </c>
      <c r="N1312" t="s">
        <v>179</v>
      </c>
      <c r="O1312">
        <v>87</v>
      </c>
      <c r="P1312" t="s">
        <v>424</v>
      </c>
      <c r="Q1312" t="s">
        <v>10</v>
      </c>
      <c r="R1312" t="s">
        <v>190</v>
      </c>
      <c r="S1312" t="s">
        <v>440</v>
      </c>
      <c r="Y1312" t="str">
        <f t="shared" si="433"/>
        <v/>
      </c>
      <c r="Z1312" t="str">
        <f t="shared" si="434"/>
        <v/>
      </c>
      <c r="AC1312" t="str">
        <f t="shared" si="430"/>
        <v>Turnover</v>
      </c>
      <c r="AD1312" t="str">
        <f t="shared" si="431"/>
        <v>Turnover_Giveaway</v>
      </c>
      <c r="AE1312" t="str">
        <f t="shared" si="432"/>
        <v>Giveaway-ZoneEntry/ExitMisplay</v>
      </c>
      <c r="AF1312" t="str">
        <f t="shared" si="435"/>
        <v>Offensive</v>
      </c>
      <c r="AG1312">
        <f t="shared" si="441"/>
        <v>18981</v>
      </c>
      <c r="AH1312" t="str">
        <f t="shared" si="442"/>
        <v>Nelson</v>
      </c>
      <c r="AI1312" t="str">
        <f t="shared" si="443"/>
        <v>Velodrome</v>
      </c>
      <c r="AJ1312" s="18">
        <f t="shared" si="436"/>
        <v>0</v>
      </c>
      <c r="AP1312" s="18">
        <f t="shared" si="437"/>
        <v>0</v>
      </c>
      <c r="AQ1312">
        <f t="shared" si="438"/>
        <v>1080</v>
      </c>
      <c r="AR1312" s="23">
        <f t="shared" si="439"/>
        <v>1754</v>
      </c>
      <c r="AS1312">
        <f t="shared" si="444"/>
        <v>1749</v>
      </c>
      <c r="AT1312" s="21">
        <f t="shared" si="445"/>
        <v>1754</v>
      </c>
      <c r="AU1312" s="21"/>
      <c r="AV1312" s="21"/>
      <c r="AW1312" s="21"/>
    </row>
    <row r="1313" spans="1:49" x14ac:dyDescent="0.2">
      <c r="A1313">
        <v>706</v>
      </c>
      <c r="E1313">
        <f t="shared" si="440"/>
        <v>2</v>
      </c>
      <c r="F1313" s="5" t="s">
        <v>541</v>
      </c>
      <c r="G1313" s="5" t="s">
        <v>510</v>
      </c>
      <c r="J1313" t="str">
        <f t="shared" si="447"/>
        <v>6</v>
      </c>
      <c r="K1313" t="str">
        <f t="shared" si="448"/>
        <v>38</v>
      </c>
      <c r="L1313" t="str">
        <f t="shared" si="449"/>
        <v/>
      </c>
      <c r="M1313" s="6" t="str">
        <f t="shared" si="450"/>
        <v/>
      </c>
      <c r="N1313" t="s">
        <v>178</v>
      </c>
      <c r="O1313">
        <v>8</v>
      </c>
      <c r="P1313" t="s">
        <v>424</v>
      </c>
      <c r="Q1313" t="s">
        <v>8</v>
      </c>
      <c r="R1313" t="s">
        <v>189</v>
      </c>
      <c r="S1313" t="s">
        <v>68</v>
      </c>
      <c r="Y1313" t="str">
        <f t="shared" si="433"/>
        <v/>
      </c>
      <c r="Z1313" t="str">
        <f t="shared" si="434"/>
        <v/>
      </c>
      <c r="AC1313" t="str">
        <f t="shared" si="430"/>
        <v>Pass</v>
      </c>
      <c r="AD1313" t="str">
        <f t="shared" si="431"/>
        <v>Pass_Completed</v>
      </c>
      <c r="AE1313" t="str">
        <f t="shared" si="432"/>
        <v>Pass-Rim/Wrap</v>
      </c>
      <c r="AF1313" t="str">
        <f t="shared" si="435"/>
        <v>Offensive</v>
      </c>
      <c r="AG1313">
        <f t="shared" si="441"/>
        <v>18981</v>
      </c>
      <c r="AH1313" t="str">
        <f t="shared" si="442"/>
        <v>Nelson</v>
      </c>
      <c r="AI1313" t="str">
        <f t="shared" si="443"/>
        <v>Velodrome</v>
      </c>
      <c r="AJ1313" s="18">
        <f t="shared" si="436"/>
        <v>0</v>
      </c>
      <c r="AP1313" s="18">
        <f t="shared" si="437"/>
        <v>0</v>
      </c>
      <c r="AQ1313">
        <f t="shared" si="438"/>
        <v>1080</v>
      </c>
      <c r="AR1313" s="23">
        <f t="shared" si="439"/>
        <v>1762</v>
      </c>
      <c r="AS1313">
        <f t="shared" si="444"/>
        <v>1757</v>
      </c>
      <c r="AT1313" s="21">
        <f t="shared" si="445"/>
        <v>1762</v>
      </c>
      <c r="AU1313" s="21"/>
      <c r="AV1313" s="21"/>
      <c r="AW1313" s="21"/>
    </row>
    <row r="1314" spans="1:49" x14ac:dyDescent="0.2">
      <c r="A1314">
        <v>706</v>
      </c>
      <c r="E1314">
        <f t="shared" si="440"/>
        <v>2</v>
      </c>
      <c r="J1314" t="str">
        <f t="shared" si="447"/>
        <v>6</v>
      </c>
      <c r="K1314" t="str">
        <f t="shared" si="448"/>
        <v>38</v>
      </c>
      <c r="L1314" t="str">
        <f t="shared" si="449"/>
        <v/>
      </c>
      <c r="M1314" s="6" t="str">
        <f t="shared" si="450"/>
        <v/>
      </c>
      <c r="N1314" t="str">
        <f t="shared" si="446"/>
        <v>Home</v>
      </c>
      <c r="O1314">
        <v>44</v>
      </c>
      <c r="P1314" t="s">
        <v>424</v>
      </c>
      <c r="Y1314" t="str">
        <f t="shared" si="433"/>
        <v/>
      </c>
      <c r="Z1314" t="str">
        <f t="shared" si="434"/>
        <v/>
      </c>
      <c r="AC1314" t="str">
        <f t="shared" si="430"/>
        <v>Pass</v>
      </c>
      <c r="AD1314" t="str">
        <f t="shared" si="431"/>
        <v>Pass_Completed</v>
      </c>
      <c r="AE1314" t="str">
        <f t="shared" si="432"/>
        <v>Pass-Rim/Wrap</v>
      </c>
      <c r="AF1314" t="str">
        <f t="shared" si="435"/>
        <v>Offensive</v>
      </c>
      <c r="AG1314">
        <f t="shared" si="441"/>
        <v>18981</v>
      </c>
      <c r="AH1314" t="str">
        <f t="shared" si="442"/>
        <v>Nelson</v>
      </c>
      <c r="AI1314" t="str">
        <f t="shared" si="443"/>
        <v>Velodrome</v>
      </c>
      <c r="AJ1314" s="18">
        <f t="shared" si="436"/>
        <v>0</v>
      </c>
      <c r="AP1314" s="18">
        <f t="shared" si="437"/>
        <v>0</v>
      </c>
      <c r="AQ1314">
        <f t="shared" si="438"/>
        <v>1080</v>
      </c>
      <c r="AR1314" s="23">
        <f t="shared" si="439"/>
        <v>1762</v>
      </c>
      <c r="AS1314">
        <f t="shared" si="444"/>
        <v>1757</v>
      </c>
      <c r="AT1314" s="21">
        <f t="shared" si="445"/>
        <v>1762</v>
      </c>
      <c r="AU1314" s="21"/>
      <c r="AV1314" s="21"/>
      <c r="AW1314" s="21"/>
    </row>
    <row r="1315" spans="1:49" x14ac:dyDescent="0.2">
      <c r="A1315">
        <v>706</v>
      </c>
      <c r="E1315">
        <f t="shared" si="440"/>
        <v>2</v>
      </c>
      <c r="J1315" t="str">
        <f t="shared" si="447"/>
        <v>6</v>
      </c>
      <c r="K1315" t="str">
        <f t="shared" si="448"/>
        <v>38</v>
      </c>
      <c r="L1315" t="str">
        <f t="shared" si="449"/>
        <v/>
      </c>
      <c r="M1315" s="6" t="str">
        <f t="shared" si="450"/>
        <v/>
      </c>
      <c r="N1315" t="str">
        <f t="shared" si="446"/>
        <v>Home</v>
      </c>
      <c r="O1315">
        <v>75</v>
      </c>
      <c r="P1315" t="s">
        <v>425</v>
      </c>
      <c r="Y1315" t="str">
        <f t="shared" si="433"/>
        <v/>
      </c>
      <c r="Z1315" t="str">
        <f t="shared" si="434"/>
        <v/>
      </c>
      <c r="AC1315" t="str">
        <f t="shared" si="430"/>
        <v>Pass</v>
      </c>
      <c r="AD1315" t="str">
        <f t="shared" si="431"/>
        <v>Pass_Completed</v>
      </c>
      <c r="AE1315" t="str">
        <f t="shared" si="432"/>
        <v>Pass-Rim/Wrap</v>
      </c>
      <c r="AF1315" t="str">
        <f t="shared" si="435"/>
        <v>Defensive</v>
      </c>
      <c r="AG1315">
        <f t="shared" si="441"/>
        <v>18981</v>
      </c>
      <c r="AH1315" t="str">
        <f t="shared" si="442"/>
        <v>Nelson</v>
      </c>
      <c r="AI1315" t="str">
        <f t="shared" si="443"/>
        <v>Velodrome</v>
      </c>
      <c r="AJ1315" s="18">
        <f t="shared" si="436"/>
        <v>0</v>
      </c>
      <c r="AP1315" s="18">
        <f t="shared" si="437"/>
        <v>0</v>
      </c>
      <c r="AQ1315">
        <f t="shared" si="438"/>
        <v>1080</v>
      </c>
      <c r="AR1315" s="23">
        <f t="shared" si="439"/>
        <v>1762</v>
      </c>
      <c r="AS1315">
        <f t="shared" si="444"/>
        <v>1757</v>
      </c>
      <c r="AT1315" s="21">
        <f t="shared" si="445"/>
        <v>1762</v>
      </c>
      <c r="AU1315" s="21"/>
      <c r="AV1315" s="21"/>
      <c r="AW1315" s="21"/>
    </row>
    <row r="1316" spans="1:49" x14ac:dyDescent="0.2">
      <c r="A1316">
        <v>707</v>
      </c>
      <c r="E1316">
        <f t="shared" si="440"/>
        <v>2</v>
      </c>
      <c r="F1316" s="5" t="s">
        <v>541</v>
      </c>
      <c r="G1316" s="5" t="s">
        <v>510</v>
      </c>
      <c r="H1316" s="5" t="s">
        <v>541</v>
      </c>
      <c r="I1316" s="7" t="s">
        <v>506</v>
      </c>
      <c r="J1316" t="str">
        <f t="shared" si="447"/>
        <v>6</v>
      </c>
      <c r="K1316" t="str">
        <f t="shared" si="448"/>
        <v>38</v>
      </c>
      <c r="L1316" t="str">
        <f t="shared" si="449"/>
        <v>6</v>
      </c>
      <c r="M1316" s="6" t="str">
        <f t="shared" si="450"/>
        <v>34</v>
      </c>
      <c r="N1316" t="s">
        <v>178</v>
      </c>
      <c r="O1316">
        <v>44</v>
      </c>
      <c r="P1316" t="s">
        <v>424</v>
      </c>
      <c r="Q1316" t="s">
        <v>15</v>
      </c>
      <c r="Y1316" t="str">
        <f t="shared" si="433"/>
        <v/>
      </c>
      <c r="Z1316" t="str">
        <f t="shared" si="434"/>
        <v/>
      </c>
      <c r="AC1316" t="str">
        <f t="shared" si="430"/>
        <v>Possession</v>
      </c>
      <c r="AD1316" t="str">
        <f t="shared" si="431"/>
        <v/>
      </c>
      <c r="AE1316" t="str">
        <f t="shared" si="432"/>
        <v/>
      </c>
      <c r="AF1316" t="str">
        <f t="shared" si="435"/>
        <v>Offensive</v>
      </c>
      <c r="AG1316">
        <f t="shared" si="441"/>
        <v>18981</v>
      </c>
      <c r="AH1316" t="str">
        <f t="shared" si="442"/>
        <v>Nelson</v>
      </c>
      <c r="AI1316" t="str">
        <f t="shared" si="443"/>
        <v>Velodrome</v>
      </c>
      <c r="AJ1316" s="18">
        <f t="shared" si="436"/>
        <v>4</v>
      </c>
      <c r="AP1316" s="18">
        <f t="shared" si="437"/>
        <v>0</v>
      </c>
      <c r="AQ1316">
        <f t="shared" si="438"/>
        <v>1080</v>
      </c>
      <c r="AR1316" s="23">
        <f t="shared" si="439"/>
        <v>1762</v>
      </c>
      <c r="AS1316">
        <f t="shared" si="444"/>
        <v>1757</v>
      </c>
      <c r="AT1316" s="21">
        <f t="shared" si="445"/>
        <v>1766</v>
      </c>
      <c r="AU1316" s="21"/>
      <c r="AV1316" s="21"/>
      <c r="AW1316" s="21"/>
    </row>
    <row r="1317" spans="1:49" x14ac:dyDescent="0.2">
      <c r="A1317">
        <v>708</v>
      </c>
      <c r="E1317">
        <f t="shared" si="440"/>
        <v>2</v>
      </c>
      <c r="F1317" s="5" t="s">
        <v>541</v>
      </c>
      <c r="G1317" s="5" t="s">
        <v>506</v>
      </c>
      <c r="J1317" t="str">
        <f t="shared" si="447"/>
        <v>6</v>
      </c>
      <c r="K1317" t="str">
        <f t="shared" si="448"/>
        <v>34</v>
      </c>
      <c r="L1317" t="str">
        <f t="shared" si="449"/>
        <v/>
      </c>
      <c r="M1317" s="6" t="str">
        <f t="shared" si="450"/>
        <v/>
      </c>
      <c r="N1317" t="s">
        <v>178</v>
      </c>
      <c r="O1317">
        <v>44</v>
      </c>
      <c r="P1317" t="s">
        <v>424</v>
      </c>
      <c r="Q1317" t="s">
        <v>277</v>
      </c>
      <c r="R1317" t="s">
        <v>201</v>
      </c>
      <c r="S1317" t="s">
        <v>91</v>
      </c>
      <c r="Y1317" t="str">
        <f t="shared" si="433"/>
        <v/>
      </c>
      <c r="Z1317" t="str">
        <f t="shared" si="434"/>
        <v/>
      </c>
      <c r="AC1317" t="str">
        <f t="shared" si="430"/>
        <v>Zone_Entry_Exit</v>
      </c>
      <c r="AD1317" t="str">
        <f t="shared" si="431"/>
        <v>Zone_Exit</v>
      </c>
      <c r="AE1317" t="str">
        <f t="shared" si="432"/>
        <v>ZoneExit-Pass</v>
      </c>
      <c r="AF1317" t="str">
        <f t="shared" si="435"/>
        <v>Offensive</v>
      </c>
      <c r="AG1317">
        <f t="shared" si="441"/>
        <v>18981</v>
      </c>
      <c r="AH1317" t="str">
        <f t="shared" si="442"/>
        <v>Nelson</v>
      </c>
      <c r="AI1317" t="str">
        <f t="shared" si="443"/>
        <v>Velodrome</v>
      </c>
      <c r="AJ1317" s="18">
        <f t="shared" si="436"/>
        <v>0</v>
      </c>
      <c r="AP1317" s="18">
        <f t="shared" si="437"/>
        <v>0</v>
      </c>
      <c r="AQ1317">
        <f t="shared" si="438"/>
        <v>1080</v>
      </c>
      <c r="AR1317" s="23">
        <f t="shared" si="439"/>
        <v>1766</v>
      </c>
      <c r="AS1317">
        <f t="shared" si="444"/>
        <v>1761</v>
      </c>
      <c r="AT1317" s="21">
        <f t="shared" si="445"/>
        <v>1766</v>
      </c>
      <c r="AU1317" s="21"/>
      <c r="AV1317" s="21"/>
      <c r="AW1317" s="21"/>
    </row>
    <row r="1318" spans="1:49" x14ac:dyDescent="0.2">
      <c r="A1318">
        <v>708</v>
      </c>
      <c r="E1318">
        <f t="shared" si="440"/>
        <v>2</v>
      </c>
      <c r="J1318" t="str">
        <f t="shared" si="447"/>
        <v>6</v>
      </c>
      <c r="K1318" t="str">
        <f t="shared" si="448"/>
        <v>34</v>
      </c>
      <c r="L1318" t="str">
        <f t="shared" si="449"/>
        <v/>
      </c>
      <c r="M1318" s="6" t="str">
        <f t="shared" si="450"/>
        <v/>
      </c>
      <c r="N1318" t="str">
        <f t="shared" si="446"/>
        <v>Home</v>
      </c>
      <c r="O1318">
        <v>10</v>
      </c>
      <c r="P1318" t="s">
        <v>424</v>
      </c>
      <c r="Y1318" t="str">
        <f t="shared" si="433"/>
        <v/>
      </c>
      <c r="Z1318" t="str">
        <f t="shared" si="434"/>
        <v/>
      </c>
      <c r="AC1318" t="str">
        <f t="shared" si="430"/>
        <v>Zone_Entry_Exit</v>
      </c>
      <c r="AD1318" t="str">
        <f t="shared" si="431"/>
        <v>Zone_Exit</v>
      </c>
      <c r="AE1318" t="str">
        <f t="shared" si="432"/>
        <v>ZoneExit-Pass</v>
      </c>
      <c r="AF1318" t="str">
        <f t="shared" si="435"/>
        <v>Offensive</v>
      </c>
      <c r="AG1318">
        <f t="shared" si="441"/>
        <v>18981</v>
      </c>
      <c r="AH1318" t="str">
        <f t="shared" si="442"/>
        <v>Nelson</v>
      </c>
      <c r="AI1318" t="str">
        <f t="shared" si="443"/>
        <v>Velodrome</v>
      </c>
      <c r="AJ1318" s="18">
        <f t="shared" si="436"/>
        <v>0</v>
      </c>
      <c r="AP1318" s="18">
        <f t="shared" si="437"/>
        <v>0</v>
      </c>
      <c r="AQ1318">
        <f t="shared" si="438"/>
        <v>1080</v>
      </c>
      <c r="AR1318" s="23">
        <f t="shared" si="439"/>
        <v>1766</v>
      </c>
      <c r="AS1318">
        <f t="shared" si="444"/>
        <v>1761</v>
      </c>
      <c r="AT1318" s="21">
        <f t="shared" si="445"/>
        <v>1766</v>
      </c>
      <c r="AU1318" s="21"/>
      <c r="AV1318" s="21"/>
      <c r="AW1318" s="21"/>
    </row>
    <row r="1319" spans="1:49" x14ac:dyDescent="0.2">
      <c r="A1319">
        <v>708</v>
      </c>
      <c r="E1319">
        <f t="shared" si="440"/>
        <v>2</v>
      </c>
      <c r="J1319" t="str">
        <f t="shared" si="447"/>
        <v>6</v>
      </c>
      <c r="K1319" t="str">
        <f t="shared" si="448"/>
        <v>34</v>
      </c>
      <c r="L1319" t="str">
        <f t="shared" si="449"/>
        <v/>
      </c>
      <c r="M1319" s="6" t="str">
        <f t="shared" si="450"/>
        <v/>
      </c>
      <c r="N1319" t="str">
        <f t="shared" si="446"/>
        <v>Home</v>
      </c>
      <c r="O1319">
        <v>93</v>
      </c>
      <c r="P1319" t="s">
        <v>425</v>
      </c>
      <c r="Y1319" t="str">
        <f t="shared" si="433"/>
        <v/>
      </c>
      <c r="Z1319" t="str">
        <f t="shared" si="434"/>
        <v/>
      </c>
      <c r="AC1319" t="str">
        <f t="shared" si="430"/>
        <v>Zone_Entry_Exit</v>
      </c>
      <c r="AD1319" t="str">
        <f t="shared" si="431"/>
        <v>Zone_Exit</v>
      </c>
      <c r="AE1319" t="str">
        <f t="shared" si="432"/>
        <v>ZoneExit-Pass</v>
      </c>
      <c r="AF1319" t="str">
        <f t="shared" si="435"/>
        <v>Defensive</v>
      </c>
      <c r="AG1319">
        <f t="shared" si="441"/>
        <v>18981</v>
      </c>
      <c r="AH1319" t="str">
        <f t="shared" si="442"/>
        <v>Nelson</v>
      </c>
      <c r="AI1319" t="str">
        <f t="shared" si="443"/>
        <v>Velodrome</v>
      </c>
      <c r="AJ1319" s="18">
        <f t="shared" si="436"/>
        <v>0</v>
      </c>
      <c r="AP1319" s="18">
        <f t="shared" si="437"/>
        <v>0</v>
      </c>
      <c r="AQ1319">
        <f t="shared" si="438"/>
        <v>1080</v>
      </c>
      <c r="AR1319" s="23">
        <f t="shared" si="439"/>
        <v>1766</v>
      </c>
      <c r="AS1319">
        <f t="shared" si="444"/>
        <v>1761</v>
      </c>
      <c r="AT1319" s="21">
        <f t="shared" si="445"/>
        <v>1766</v>
      </c>
      <c r="AU1319" s="21"/>
      <c r="AV1319" s="21"/>
      <c r="AW1319" s="21"/>
    </row>
    <row r="1320" spans="1:49" x14ac:dyDescent="0.2">
      <c r="A1320">
        <v>709</v>
      </c>
      <c r="E1320">
        <f t="shared" si="440"/>
        <v>2</v>
      </c>
      <c r="F1320" s="5" t="s">
        <v>541</v>
      </c>
      <c r="G1320" s="5" t="s">
        <v>506</v>
      </c>
      <c r="J1320" t="str">
        <f t="shared" si="447"/>
        <v>6</v>
      </c>
      <c r="K1320" t="str">
        <f t="shared" si="448"/>
        <v>34</v>
      </c>
      <c r="L1320" t="str">
        <f t="shared" si="449"/>
        <v/>
      </c>
      <c r="M1320" s="6" t="str">
        <f t="shared" si="450"/>
        <v/>
      </c>
      <c r="N1320" t="s">
        <v>178</v>
      </c>
      <c r="O1320">
        <v>44</v>
      </c>
      <c r="P1320" t="s">
        <v>424</v>
      </c>
      <c r="Q1320" t="s">
        <v>8</v>
      </c>
      <c r="R1320" t="s">
        <v>209</v>
      </c>
      <c r="S1320" t="s">
        <v>67</v>
      </c>
      <c r="Y1320" t="str">
        <f t="shared" si="433"/>
        <v/>
      </c>
      <c r="Z1320" t="str">
        <f t="shared" si="434"/>
        <v/>
      </c>
      <c r="AC1320" t="str">
        <f t="shared" si="430"/>
        <v>Pass</v>
      </c>
      <c r="AD1320" t="str">
        <f t="shared" si="431"/>
        <v>Pass_Deflected</v>
      </c>
      <c r="AE1320" t="str">
        <f t="shared" si="432"/>
        <v>Pass-Stretch</v>
      </c>
      <c r="AF1320" t="str">
        <f t="shared" si="435"/>
        <v>Offensive</v>
      </c>
      <c r="AG1320">
        <f t="shared" si="441"/>
        <v>18981</v>
      </c>
      <c r="AH1320" t="str">
        <f t="shared" si="442"/>
        <v>Nelson</v>
      </c>
      <c r="AI1320" t="str">
        <f t="shared" si="443"/>
        <v>Velodrome</v>
      </c>
      <c r="AJ1320" s="18">
        <f t="shared" si="436"/>
        <v>0</v>
      </c>
      <c r="AP1320" s="18">
        <f t="shared" si="437"/>
        <v>0</v>
      </c>
      <c r="AQ1320">
        <f t="shared" si="438"/>
        <v>1080</v>
      </c>
      <c r="AR1320" s="23">
        <f t="shared" si="439"/>
        <v>1766</v>
      </c>
      <c r="AS1320">
        <f t="shared" si="444"/>
        <v>1761</v>
      </c>
      <c r="AT1320" s="21">
        <f t="shared" si="445"/>
        <v>1766</v>
      </c>
      <c r="AU1320" s="21"/>
      <c r="AV1320" s="21"/>
      <c r="AW1320" s="21"/>
    </row>
    <row r="1321" spans="1:49" x14ac:dyDescent="0.2">
      <c r="A1321">
        <v>709</v>
      </c>
      <c r="E1321">
        <f t="shared" si="440"/>
        <v>2</v>
      </c>
      <c r="J1321" t="str">
        <f t="shared" si="447"/>
        <v>6</v>
      </c>
      <c r="K1321" t="str">
        <f t="shared" si="448"/>
        <v>34</v>
      </c>
      <c r="L1321" t="str">
        <f t="shared" si="449"/>
        <v/>
      </c>
      <c r="M1321" s="6" t="str">
        <f t="shared" si="450"/>
        <v/>
      </c>
      <c r="N1321" t="str">
        <f t="shared" si="446"/>
        <v>Home</v>
      </c>
      <c r="O1321">
        <v>10</v>
      </c>
      <c r="P1321" t="s">
        <v>424</v>
      </c>
      <c r="Y1321" t="str">
        <f t="shared" si="433"/>
        <v/>
      </c>
      <c r="Z1321" t="str">
        <f t="shared" si="434"/>
        <v/>
      </c>
      <c r="AC1321" t="str">
        <f t="shared" si="430"/>
        <v>Pass</v>
      </c>
      <c r="AD1321" t="str">
        <f t="shared" si="431"/>
        <v>Pass_Deflected</v>
      </c>
      <c r="AE1321" t="str">
        <f t="shared" si="432"/>
        <v>Pass-Stretch</v>
      </c>
      <c r="AF1321" t="str">
        <f t="shared" si="435"/>
        <v>Offensive</v>
      </c>
      <c r="AG1321">
        <f t="shared" si="441"/>
        <v>18981</v>
      </c>
      <c r="AH1321" t="str">
        <f t="shared" si="442"/>
        <v>Nelson</v>
      </c>
      <c r="AI1321" t="str">
        <f t="shared" si="443"/>
        <v>Velodrome</v>
      </c>
      <c r="AJ1321" s="18">
        <f t="shared" si="436"/>
        <v>0</v>
      </c>
      <c r="AP1321" s="18">
        <f t="shared" si="437"/>
        <v>0</v>
      </c>
      <c r="AQ1321">
        <f t="shared" si="438"/>
        <v>1080</v>
      </c>
      <c r="AR1321" s="23">
        <f t="shared" si="439"/>
        <v>1766</v>
      </c>
      <c r="AS1321">
        <f t="shared" si="444"/>
        <v>1761</v>
      </c>
      <c r="AT1321" s="21">
        <f t="shared" si="445"/>
        <v>1766</v>
      </c>
      <c r="AU1321" s="21"/>
      <c r="AV1321" s="21"/>
      <c r="AW1321" s="21"/>
    </row>
    <row r="1322" spans="1:49" x14ac:dyDescent="0.2">
      <c r="A1322">
        <v>709</v>
      </c>
      <c r="E1322">
        <f t="shared" si="440"/>
        <v>2</v>
      </c>
      <c r="J1322" t="str">
        <f t="shared" si="447"/>
        <v>6</v>
      </c>
      <c r="K1322" t="str">
        <f t="shared" si="448"/>
        <v>34</v>
      </c>
      <c r="L1322" t="str">
        <f t="shared" si="449"/>
        <v/>
      </c>
      <c r="M1322" s="6" t="str">
        <f t="shared" si="450"/>
        <v/>
      </c>
      <c r="N1322" t="str">
        <f t="shared" si="446"/>
        <v>Home</v>
      </c>
      <c r="O1322">
        <v>93</v>
      </c>
      <c r="P1322" t="s">
        <v>425</v>
      </c>
      <c r="Y1322" t="str">
        <f t="shared" si="433"/>
        <v/>
      </c>
      <c r="Z1322" t="str">
        <f t="shared" si="434"/>
        <v/>
      </c>
      <c r="AC1322" t="str">
        <f t="shared" si="430"/>
        <v>Pass</v>
      </c>
      <c r="AD1322" t="str">
        <f t="shared" si="431"/>
        <v>Pass_Deflected</v>
      </c>
      <c r="AE1322" t="str">
        <f t="shared" si="432"/>
        <v>Pass-Stretch</v>
      </c>
      <c r="AF1322" t="str">
        <f t="shared" si="435"/>
        <v>Defensive</v>
      </c>
      <c r="AG1322">
        <f t="shared" si="441"/>
        <v>18981</v>
      </c>
      <c r="AH1322" t="str">
        <f t="shared" si="442"/>
        <v>Nelson</v>
      </c>
      <c r="AI1322" t="str">
        <f t="shared" si="443"/>
        <v>Velodrome</v>
      </c>
      <c r="AJ1322" s="18">
        <f t="shared" si="436"/>
        <v>0</v>
      </c>
      <c r="AP1322" s="18">
        <f t="shared" si="437"/>
        <v>0</v>
      </c>
      <c r="AQ1322">
        <f t="shared" si="438"/>
        <v>1080</v>
      </c>
      <c r="AR1322" s="23">
        <f t="shared" si="439"/>
        <v>1766</v>
      </c>
      <c r="AS1322">
        <f t="shared" si="444"/>
        <v>1761</v>
      </c>
      <c r="AT1322" s="21">
        <f t="shared" si="445"/>
        <v>1766</v>
      </c>
      <c r="AU1322" s="21"/>
      <c r="AV1322" s="21"/>
      <c r="AW1322" s="21"/>
    </row>
    <row r="1323" spans="1:49" x14ac:dyDescent="0.2">
      <c r="A1323">
        <v>710</v>
      </c>
      <c r="E1323">
        <f t="shared" si="440"/>
        <v>2</v>
      </c>
      <c r="F1323" s="5" t="s">
        <v>541</v>
      </c>
      <c r="G1323" s="5" t="s">
        <v>504</v>
      </c>
      <c r="J1323" t="str">
        <f t="shared" si="447"/>
        <v>6</v>
      </c>
      <c r="K1323" t="str">
        <f t="shared" si="448"/>
        <v>32</v>
      </c>
      <c r="L1323" t="str">
        <f t="shared" si="449"/>
        <v/>
      </c>
      <c r="M1323" s="6" t="str">
        <f t="shared" si="450"/>
        <v/>
      </c>
      <c r="N1323" t="s">
        <v>178</v>
      </c>
      <c r="O1323">
        <v>44</v>
      </c>
      <c r="P1323" t="s">
        <v>424</v>
      </c>
      <c r="Q1323" t="s">
        <v>277</v>
      </c>
      <c r="R1323" t="s">
        <v>191</v>
      </c>
      <c r="S1323" t="s">
        <v>447</v>
      </c>
      <c r="Y1323" t="str">
        <f t="shared" si="433"/>
        <v/>
      </c>
      <c r="Z1323" t="str">
        <f t="shared" si="434"/>
        <v/>
      </c>
      <c r="AC1323" t="str">
        <f t="shared" si="430"/>
        <v>Zone_Entry_Exit</v>
      </c>
      <c r="AD1323" t="str">
        <f t="shared" si="431"/>
        <v>Zone_Entry</v>
      </c>
      <c r="AE1323" t="str">
        <f t="shared" si="432"/>
        <v>ZoneEntry-PassMiss/Misplay</v>
      </c>
      <c r="AF1323" t="str">
        <f t="shared" si="435"/>
        <v>Offensive</v>
      </c>
      <c r="AG1323">
        <f t="shared" si="441"/>
        <v>18981</v>
      </c>
      <c r="AH1323" t="str">
        <f t="shared" si="442"/>
        <v>Nelson</v>
      </c>
      <c r="AI1323" t="str">
        <f t="shared" si="443"/>
        <v>Velodrome</v>
      </c>
      <c r="AJ1323" s="18">
        <f t="shared" si="436"/>
        <v>0</v>
      </c>
      <c r="AP1323" s="18">
        <f t="shared" si="437"/>
        <v>0</v>
      </c>
      <c r="AQ1323">
        <f t="shared" si="438"/>
        <v>1080</v>
      </c>
      <c r="AR1323" s="23">
        <f t="shared" si="439"/>
        <v>1768</v>
      </c>
      <c r="AS1323">
        <f t="shared" si="444"/>
        <v>1763</v>
      </c>
      <c r="AT1323" s="21">
        <f t="shared" si="445"/>
        <v>1768</v>
      </c>
      <c r="AU1323" s="21"/>
      <c r="AV1323" s="21"/>
      <c r="AW1323" s="21"/>
    </row>
    <row r="1324" spans="1:49" x14ac:dyDescent="0.2">
      <c r="A1324">
        <v>711</v>
      </c>
      <c r="E1324">
        <f t="shared" si="440"/>
        <v>2</v>
      </c>
      <c r="F1324" s="5" t="s">
        <v>541</v>
      </c>
      <c r="G1324" s="5" t="s">
        <v>503</v>
      </c>
      <c r="J1324" t="str">
        <f t="shared" si="447"/>
        <v>6</v>
      </c>
      <c r="K1324" t="str">
        <f t="shared" si="448"/>
        <v>31</v>
      </c>
      <c r="L1324" t="str">
        <f t="shared" si="449"/>
        <v/>
      </c>
      <c r="M1324" s="6" t="str">
        <f t="shared" si="450"/>
        <v/>
      </c>
      <c r="N1324" t="s">
        <v>178</v>
      </c>
      <c r="O1324">
        <v>10</v>
      </c>
      <c r="P1324" t="s">
        <v>424</v>
      </c>
      <c r="Q1324" t="s">
        <v>8</v>
      </c>
      <c r="R1324" t="s">
        <v>189</v>
      </c>
      <c r="S1324" t="s">
        <v>442</v>
      </c>
      <c r="Y1324" t="str">
        <f t="shared" si="433"/>
        <v/>
      </c>
      <c r="Z1324" t="str">
        <f t="shared" si="434"/>
        <v/>
      </c>
      <c r="AC1324" t="str">
        <f t="shared" si="430"/>
        <v>Pass</v>
      </c>
      <c r="AD1324" t="str">
        <f t="shared" si="431"/>
        <v>Pass_Completed</v>
      </c>
      <c r="AE1324" t="str">
        <f t="shared" si="432"/>
        <v>Pass-Drop</v>
      </c>
      <c r="AF1324" t="str">
        <f t="shared" si="435"/>
        <v>Offensive</v>
      </c>
      <c r="AG1324">
        <f t="shared" si="441"/>
        <v>18981</v>
      </c>
      <c r="AH1324" t="str">
        <f t="shared" si="442"/>
        <v>Nelson</v>
      </c>
      <c r="AI1324" t="str">
        <f t="shared" si="443"/>
        <v>Velodrome</v>
      </c>
      <c r="AJ1324" s="18">
        <f t="shared" si="436"/>
        <v>0</v>
      </c>
      <c r="AP1324" s="18">
        <f t="shared" si="437"/>
        <v>0</v>
      </c>
      <c r="AQ1324">
        <f t="shared" si="438"/>
        <v>1080</v>
      </c>
      <c r="AR1324" s="23">
        <f t="shared" si="439"/>
        <v>1769</v>
      </c>
      <c r="AS1324">
        <f t="shared" si="444"/>
        <v>1764</v>
      </c>
      <c r="AT1324" s="21">
        <f t="shared" si="445"/>
        <v>1769</v>
      </c>
      <c r="AU1324" s="21"/>
      <c r="AV1324" s="21"/>
      <c r="AW1324" s="21"/>
    </row>
    <row r="1325" spans="1:49" x14ac:dyDescent="0.2">
      <c r="A1325">
        <v>711</v>
      </c>
      <c r="E1325">
        <f t="shared" si="440"/>
        <v>2</v>
      </c>
      <c r="J1325" t="str">
        <f t="shared" si="447"/>
        <v>6</v>
      </c>
      <c r="K1325" t="str">
        <f t="shared" si="448"/>
        <v>31</v>
      </c>
      <c r="L1325" t="str">
        <f t="shared" si="449"/>
        <v/>
      </c>
      <c r="M1325" s="6" t="str">
        <f t="shared" si="450"/>
        <v/>
      </c>
      <c r="N1325" t="str">
        <f t="shared" si="446"/>
        <v>Home</v>
      </c>
      <c r="O1325">
        <v>80</v>
      </c>
      <c r="P1325" t="s">
        <v>424</v>
      </c>
      <c r="Y1325" t="str">
        <f t="shared" si="433"/>
        <v/>
      </c>
      <c r="Z1325" t="str">
        <f t="shared" si="434"/>
        <v/>
      </c>
      <c r="AC1325" t="str">
        <f t="shared" si="430"/>
        <v>Pass</v>
      </c>
      <c r="AD1325" t="str">
        <f t="shared" si="431"/>
        <v>Pass_Completed</v>
      </c>
      <c r="AE1325" t="str">
        <f t="shared" si="432"/>
        <v>Pass-Drop</v>
      </c>
      <c r="AF1325" t="str">
        <f t="shared" si="435"/>
        <v>Offensive</v>
      </c>
      <c r="AG1325">
        <f t="shared" si="441"/>
        <v>18981</v>
      </c>
      <c r="AH1325" t="str">
        <f t="shared" si="442"/>
        <v>Nelson</v>
      </c>
      <c r="AI1325" t="str">
        <f t="shared" si="443"/>
        <v>Velodrome</v>
      </c>
      <c r="AJ1325" s="18">
        <f t="shared" si="436"/>
        <v>0</v>
      </c>
      <c r="AP1325" s="18">
        <f t="shared" si="437"/>
        <v>0</v>
      </c>
      <c r="AQ1325">
        <f t="shared" si="438"/>
        <v>1080</v>
      </c>
      <c r="AR1325" s="23">
        <f t="shared" si="439"/>
        <v>1769</v>
      </c>
      <c r="AS1325">
        <f t="shared" si="444"/>
        <v>1764</v>
      </c>
      <c r="AT1325" s="21">
        <f t="shared" si="445"/>
        <v>1769</v>
      </c>
      <c r="AU1325" s="21"/>
      <c r="AV1325" s="21"/>
      <c r="AW1325" s="21"/>
    </row>
    <row r="1326" spans="1:49" x14ac:dyDescent="0.2">
      <c r="A1326">
        <v>712</v>
      </c>
      <c r="E1326">
        <f t="shared" si="440"/>
        <v>2</v>
      </c>
      <c r="F1326" s="5" t="s">
        <v>541</v>
      </c>
      <c r="G1326" s="5" t="s">
        <v>503</v>
      </c>
      <c r="H1326" s="5" t="s">
        <v>541</v>
      </c>
      <c r="I1326" s="7" t="s">
        <v>498</v>
      </c>
      <c r="J1326" t="str">
        <f t="shared" si="447"/>
        <v>6</v>
      </c>
      <c r="K1326" t="str">
        <f t="shared" si="448"/>
        <v>31</v>
      </c>
      <c r="L1326" t="str">
        <f t="shared" si="449"/>
        <v>6</v>
      </c>
      <c r="M1326" s="6" t="str">
        <f t="shared" si="450"/>
        <v>26</v>
      </c>
      <c r="N1326" t="s">
        <v>178</v>
      </c>
      <c r="O1326">
        <v>80</v>
      </c>
      <c r="P1326" t="s">
        <v>424</v>
      </c>
      <c r="Q1326" t="s">
        <v>15</v>
      </c>
      <c r="Y1326" t="str">
        <f t="shared" si="433"/>
        <v/>
      </c>
      <c r="Z1326" t="str">
        <f t="shared" si="434"/>
        <v/>
      </c>
      <c r="AC1326" t="str">
        <f t="shared" si="430"/>
        <v>Possession</v>
      </c>
      <c r="AD1326" t="str">
        <f t="shared" si="431"/>
        <v/>
      </c>
      <c r="AE1326" t="str">
        <f t="shared" si="432"/>
        <v/>
      </c>
      <c r="AF1326" t="str">
        <f t="shared" si="435"/>
        <v>Offensive</v>
      </c>
      <c r="AG1326">
        <f t="shared" si="441"/>
        <v>18981</v>
      </c>
      <c r="AH1326" t="str">
        <f t="shared" si="442"/>
        <v>Nelson</v>
      </c>
      <c r="AI1326" t="str">
        <f t="shared" si="443"/>
        <v>Velodrome</v>
      </c>
      <c r="AJ1326" s="18">
        <f t="shared" si="436"/>
        <v>5</v>
      </c>
      <c r="AP1326" s="18">
        <f t="shared" si="437"/>
        <v>0</v>
      </c>
      <c r="AQ1326">
        <f t="shared" si="438"/>
        <v>1080</v>
      </c>
      <c r="AR1326" s="23">
        <f t="shared" si="439"/>
        <v>1769</v>
      </c>
      <c r="AS1326">
        <f t="shared" si="444"/>
        <v>1764</v>
      </c>
      <c r="AT1326" s="21">
        <f t="shared" si="445"/>
        <v>1774</v>
      </c>
      <c r="AU1326" s="21"/>
      <c r="AV1326" s="21"/>
      <c r="AW1326" s="21"/>
    </row>
    <row r="1327" spans="1:49" x14ac:dyDescent="0.2">
      <c r="A1327">
        <v>712</v>
      </c>
      <c r="E1327">
        <f t="shared" si="440"/>
        <v>2</v>
      </c>
      <c r="J1327" t="str">
        <f t="shared" si="447"/>
        <v>6</v>
      </c>
      <c r="K1327" t="str">
        <f t="shared" si="448"/>
        <v>31</v>
      </c>
      <c r="L1327" t="str">
        <f t="shared" si="449"/>
        <v>6</v>
      </c>
      <c r="M1327" s="6" t="str">
        <f t="shared" si="450"/>
        <v>26</v>
      </c>
      <c r="N1327" t="str">
        <f t="shared" si="446"/>
        <v>Home</v>
      </c>
      <c r="O1327">
        <v>70</v>
      </c>
      <c r="P1327" t="s">
        <v>425</v>
      </c>
      <c r="Y1327" t="str">
        <f t="shared" si="433"/>
        <v/>
      </c>
      <c r="Z1327" t="str">
        <f t="shared" si="434"/>
        <v/>
      </c>
      <c r="AC1327" t="str">
        <f t="shared" ref="AC1327:AC1390" si="451">IF(Q1327&lt;&gt;"",Q1327,IF($A1327=$A1326,AC1326,""))</f>
        <v>Possession</v>
      </c>
      <c r="AD1327" t="str">
        <f t="shared" ref="AD1327:AD1390" si="452">IF(R1327&lt;&gt;"",R1327,IF($A1327=$A1326,AD1326,""))</f>
        <v/>
      </c>
      <c r="AE1327" t="str">
        <f t="shared" ref="AE1327:AE1390" si="453">IF(S1327&lt;&gt;"",S1327,IF($A1327=$A1326,AE1326,""))</f>
        <v/>
      </c>
      <c r="AF1327" t="str">
        <f t="shared" si="435"/>
        <v>Defensive</v>
      </c>
      <c r="AG1327">
        <f t="shared" si="441"/>
        <v>18981</v>
      </c>
      <c r="AH1327" t="str">
        <f t="shared" si="442"/>
        <v>Nelson</v>
      </c>
      <c r="AI1327" t="str">
        <f t="shared" si="443"/>
        <v>Velodrome</v>
      </c>
      <c r="AJ1327" s="18">
        <f t="shared" si="436"/>
        <v>5</v>
      </c>
      <c r="AP1327" s="18">
        <f t="shared" si="437"/>
        <v>0</v>
      </c>
      <c r="AQ1327">
        <f t="shared" si="438"/>
        <v>1080</v>
      </c>
      <c r="AR1327" s="23">
        <f t="shared" si="439"/>
        <v>1769</v>
      </c>
      <c r="AS1327">
        <f t="shared" si="444"/>
        <v>1764</v>
      </c>
      <c r="AT1327" s="21">
        <f t="shared" si="445"/>
        <v>1774</v>
      </c>
      <c r="AU1327" s="21"/>
      <c r="AV1327" s="21"/>
      <c r="AW1327" s="21"/>
    </row>
    <row r="1328" spans="1:49" x14ac:dyDescent="0.2">
      <c r="A1328">
        <v>713</v>
      </c>
      <c r="E1328">
        <f t="shared" si="440"/>
        <v>2</v>
      </c>
      <c r="F1328" s="5" t="s">
        <v>541</v>
      </c>
      <c r="G1328" s="5" t="s">
        <v>498</v>
      </c>
      <c r="J1328" t="str">
        <f t="shared" si="447"/>
        <v>6</v>
      </c>
      <c r="K1328" t="str">
        <f t="shared" si="448"/>
        <v>26</v>
      </c>
      <c r="L1328" t="str">
        <f t="shared" si="449"/>
        <v/>
      </c>
      <c r="M1328" s="6" t="str">
        <f t="shared" si="450"/>
        <v/>
      </c>
      <c r="N1328" t="s">
        <v>178</v>
      </c>
      <c r="O1328">
        <v>80</v>
      </c>
      <c r="P1328" t="s">
        <v>424</v>
      </c>
      <c r="Q1328" t="s">
        <v>247</v>
      </c>
      <c r="R1328" t="s">
        <v>445</v>
      </c>
      <c r="S1328" t="s">
        <v>558</v>
      </c>
      <c r="Y1328" t="str">
        <f t="shared" si="433"/>
        <v/>
      </c>
      <c r="Z1328" t="str">
        <f t="shared" si="434"/>
        <v/>
      </c>
      <c r="AC1328" t="str">
        <f t="shared" si="451"/>
        <v>Play</v>
      </c>
      <c r="AD1328" t="str">
        <f t="shared" si="452"/>
        <v>Play_Offensive</v>
      </c>
      <c r="AE1328" t="str">
        <f t="shared" si="453"/>
        <v>Play-Dump/RimInZone</v>
      </c>
      <c r="AF1328" t="str">
        <f t="shared" si="435"/>
        <v>Offensive</v>
      </c>
      <c r="AG1328">
        <f t="shared" si="441"/>
        <v>18981</v>
      </c>
      <c r="AH1328" t="str">
        <f t="shared" si="442"/>
        <v>Nelson</v>
      </c>
      <c r="AI1328" t="str">
        <f t="shared" si="443"/>
        <v>Velodrome</v>
      </c>
      <c r="AJ1328" s="18">
        <f t="shared" si="436"/>
        <v>0</v>
      </c>
      <c r="AP1328" s="18">
        <f t="shared" si="437"/>
        <v>0</v>
      </c>
      <c r="AQ1328">
        <f t="shared" si="438"/>
        <v>1080</v>
      </c>
      <c r="AR1328" s="23">
        <f t="shared" si="439"/>
        <v>1774</v>
      </c>
      <c r="AS1328">
        <f t="shared" si="444"/>
        <v>1769</v>
      </c>
      <c r="AT1328" s="21">
        <f t="shared" si="445"/>
        <v>1774</v>
      </c>
      <c r="AU1328" s="21"/>
      <c r="AV1328" s="21"/>
      <c r="AW1328" s="21"/>
    </row>
    <row r="1329" spans="1:49" x14ac:dyDescent="0.2">
      <c r="A1329">
        <v>714</v>
      </c>
      <c r="E1329">
        <f t="shared" si="440"/>
        <v>2</v>
      </c>
      <c r="F1329" s="5" t="s">
        <v>541</v>
      </c>
      <c r="G1329" s="5" t="s">
        <v>494</v>
      </c>
      <c r="J1329" t="str">
        <f t="shared" si="447"/>
        <v>6</v>
      </c>
      <c r="K1329" t="str">
        <f t="shared" si="448"/>
        <v>22</v>
      </c>
      <c r="L1329" t="str">
        <f t="shared" si="449"/>
        <v/>
      </c>
      <c r="M1329" s="6" t="str">
        <f t="shared" si="450"/>
        <v/>
      </c>
      <c r="N1329" t="s">
        <v>178</v>
      </c>
      <c r="O1329">
        <v>10</v>
      </c>
      <c r="P1329" t="s">
        <v>424</v>
      </c>
      <c r="Q1329" t="s">
        <v>8</v>
      </c>
      <c r="R1329" t="s">
        <v>189</v>
      </c>
      <c r="S1329" t="s">
        <v>70</v>
      </c>
      <c r="Y1329" t="str">
        <f t="shared" si="433"/>
        <v/>
      </c>
      <c r="Z1329" t="str">
        <f t="shared" si="434"/>
        <v/>
      </c>
      <c r="AC1329" t="str">
        <f t="shared" si="451"/>
        <v>Pass</v>
      </c>
      <c r="AD1329" t="str">
        <f t="shared" si="452"/>
        <v>Pass_Completed</v>
      </c>
      <c r="AE1329" t="str">
        <f t="shared" si="453"/>
        <v>Pass-Forehand</v>
      </c>
      <c r="AF1329" t="str">
        <f t="shared" si="435"/>
        <v>Offensive</v>
      </c>
      <c r="AG1329">
        <f t="shared" si="441"/>
        <v>18981</v>
      </c>
      <c r="AH1329" t="str">
        <f t="shared" si="442"/>
        <v>Nelson</v>
      </c>
      <c r="AI1329" t="str">
        <f t="shared" si="443"/>
        <v>Velodrome</v>
      </c>
      <c r="AJ1329" s="18">
        <f t="shared" si="436"/>
        <v>0</v>
      </c>
      <c r="AP1329" s="18">
        <f t="shared" si="437"/>
        <v>0</v>
      </c>
      <c r="AQ1329">
        <f t="shared" si="438"/>
        <v>1080</v>
      </c>
      <c r="AR1329" s="23">
        <f t="shared" si="439"/>
        <v>1778</v>
      </c>
      <c r="AS1329">
        <f t="shared" si="444"/>
        <v>1773</v>
      </c>
      <c r="AT1329" s="21">
        <f t="shared" si="445"/>
        <v>1778</v>
      </c>
      <c r="AU1329" s="21"/>
      <c r="AV1329" s="21"/>
      <c r="AW1329" s="21"/>
    </row>
    <row r="1330" spans="1:49" x14ac:dyDescent="0.2">
      <c r="A1330">
        <v>714</v>
      </c>
      <c r="E1330">
        <f t="shared" si="440"/>
        <v>2</v>
      </c>
      <c r="J1330" t="str">
        <f t="shared" si="447"/>
        <v>6</v>
      </c>
      <c r="K1330" t="str">
        <f t="shared" si="448"/>
        <v>22</v>
      </c>
      <c r="L1330" t="str">
        <f t="shared" si="449"/>
        <v/>
      </c>
      <c r="M1330" s="6" t="str">
        <f t="shared" si="450"/>
        <v/>
      </c>
      <c r="N1330" t="str">
        <f t="shared" si="446"/>
        <v>Home</v>
      </c>
      <c r="O1330">
        <v>44</v>
      </c>
      <c r="P1330" t="s">
        <v>424</v>
      </c>
      <c r="Y1330" t="str">
        <f t="shared" si="433"/>
        <v/>
      </c>
      <c r="Z1330" t="str">
        <f t="shared" si="434"/>
        <v/>
      </c>
      <c r="AC1330" t="str">
        <f t="shared" si="451"/>
        <v>Pass</v>
      </c>
      <c r="AD1330" t="str">
        <f t="shared" si="452"/>
        <v>Pass_Completed</v>
      </c>
      <c r="AE1330" t="str">
        <f t="shared" si="453"/>
        <v>Pass-Forehand</v>
      </c>
      <c r="AF1330" t="str">
        <f t="shared" si="435"/>
        <v>Offensive</v>
      </c>
      <c r="AG1330">
        <f t="shared" si="441"/>
        <v>18981</v>
      </c>
      <c r="AH1330" t="str">
        <f t="shared" si="442"/>
        <v>Nelson</v>
      </c>
      <c r="AI1330" t="str">
        <f t="shared" si="443"/>
        <v>Velodrome</v>
      </c>
      <c r="AJ1330" s="18">
        <f t="shared" si="436"/>
        <v>0</v>
      </c>
      <c r="AP1330" s="18">
        <f t="shared" si="437"/>
        <v>0</v>
      </c>
      <c r="AQ1330">
        <f t="shared" si="438"/>
        <v>1080</v>
      </c>
      <c r="AR1330" s="23">
        <f t="shared" si="439"/>
        <v>1778</v>
      </c>
      <c r="AS1330">
        <f t="shared" si="444"/>
        <v>1773</v>
      </c>
      <c r="AT1330" s="21">
        <f t="shared" si="445"/>
        <v>1778</v>
      </c>
      <c r="AU1330" s="21"/>
      <c r="AV1330" s="21"/>
      <c r="AW1330" s="21"/>
    </row>
    <row r="1331" spans="1:49" x14ac:dyDescent="0.2">
      <c r="A1331">
        <v>715</v>
      </c>
      <c r="E1331">
        <f t="shared" si="440"/>
        <v>2</v>
      </c>
      <c r="F1331" s="5" t="s">
        <v>541</v>
      </c>
      <c r="G1331" s="5" t="s">
        <v>494</v>
      </c>
      <c r="H1331" s="5" t="s">
        <v>541</v>
      </c>
      <c r="I1331" s="7" t="s">
        <v>492</v>
      </c>
      <c r="J1331" t="str">
        <f t="shared" si="447"/>
        <v>6</v>
      </c>
      <c r="K1331" t="str">
        <f t="shared" si="448"/>
        <v>22</v>
      </c>
      <c r="L1331" t="str">
        <f t="shared" si="449"/>
        <v>6</v>
      </c>
      <c r="M1331" s="6" t="str">
        <f t="shared" si="450"/>
        <v>20</v>
      </c>
      <c r="N1331" t="s">
        <v>178</v>
      </c>
      <c r="O1331">
        <v>44</v>
      </c>
      <c r="P1331" t="s">
        <v>424</v>
      </c>
      <c r="Q1331" t="s">
        <v>15</v>
      </c>
      <c r="Y1331" t="str">
        <f t="shared" si="433"/>
        <v/>
      </c>
      <c r="Z1331" t="str">
        <f t="shared" si="434"/>
        <v/>
      </c>
      <c r="AC1331" t="str">
        <f t="shared" si="451"/>
        <v>Possession</v>
      </c>
      <c r="AD1331" t="str">
        <f t="shared" si="452"/>
        <v/>
      </c>
      <c r="AE1331" t="str">
        <f t="shared" si="453"/>
        <v/>
      </c>
      <c r="AF1331" t="str">
        <f t="shared" si="435"/>
        <v>Offensive</v>
      </c>
      <c r="AG1331">
        <f t="shared" si="441"/>
        <v>18981</v>
      </c>
      <c r="AH1331" t="str">
        <f t="shared" si="442"/>
        <v>Nelson</v>
      </c>
      <c r="AI1331" t="str">
        <f t="shared" si="443"/>
        <v>Velodrome</v>
      </c>
      <c r="AJ1331" s="18">
        <f t="shared" si="436"/>
        <v>2</v>
      </c>
      <c r="AP1331" s="18">
        <f t="shared" si="437"/>
        <v>0</v>
      </c>
      <c r="AQ1331">
        <f t="shared" si="438"/>
        <v>1080</v>
      </c>
      <c r="AR1331" s="23">
        <f t="shared" si="439"/>
        <v>1778</v>
      </c>
      <c r="AS1331">
        <f t="shared" si="444"/>
        <v>1773</v>
      </c>
      <c r="AT1331" s="21">
        <f t="shared" si="445"/>
        <v>1780</v>
      </c>
      <c r="AU1331" s="21"/>
      <c r="AV1331" s="21"/>
      <c r="AW1331" s="21"/>
    </row>
    <row r="1332" spans="1:49" x14ac:dyDescent="0.2">
      <c r="A1332">
        <v>716</v>
      </c>
      <c r="E1332">
        <f t="shared" si="440"/>
        <v>2</v>
      </c>
      <c r="F1332" s="5" t="s">
        <v>541</v>
      </c>
      <c r="G1332" s="5" t="s">
        <v>492</v>
      </c>
      <c r="J1332" t="str">
        <f t="shared" si="447"/>
        <v>6</v>
      </c>
      <c r="K1332" t="str">
        <f t="shared" si="448"/>
        <v>20</v>
      </c>
      <c r="L1332" t="str">
        <f t="shared" si="449"/>
        <v/>
      </c>
      <c r="M1332" s="6" t="str">
        <f t="shared" si="450"/>
        <v/>
      </c>
      <c r="N1332" t="s">
        <v>178</v>
      </c>
      <c r="O1332">
        <v>44</v>
      </c>
      <c r="P1332" t="s">
        <v>424</v>
      </c>
      <c r="Q1332" t="s">
        <v>8</v>
      </c>
      <c r="R1332" t="s">
        <v>216</v>
      </c>
      <c r="S1332" t="s">
        <v>70</v>
      </c>
      <c r="Y1332" t="str">
        <f t="shared" si="433"/>
        <v/>
      </c>
      <c r="Z1332" t="str">
        <f t="shared" si="434"/>
        <v/>
      </c>
      <c r="AC1332" t="str">
        <f t="shared" si="451"/>
        <v>Pass</v>
      </c>
      <c r="AD1332" t="str">
        <f t="shared" si="452"/>
        <v>Pass_Intercepted</v>
      </c>
      <c r="AE1332" t="str">
        <f t="shared" si="453"/>
        <v>Pass-Forehand</v>
      </c>
      <c r="AF1332" t="str">
        <f t="shared" si="435"/>
        <v>Offensive</v>
      </c>
      <c r="AG1332">
        <f t="shared" si="441"/>
        <v>18981</v>
      </c>
      <c r="AH1332" t="str">
        <f t="shared" si="442"/>
        <v>Nelson</v>
      </c>
      <c r="AI1332" t="str">
        <f t="shared" si="443"/>
        <v>Velodrome</v>
      </c>
      <c r="AJ1332" s="18">
        <f t="shared" si="436"/>
        <v>0</v>
      </c>
      <c r="AP1332" s="18">
        <f t="shared" si="437"/>
        <v>0</v>
      </c>
      <c r="AQ1332">
        <f t="shared" si="438"/>
        <v>1080</v>
      </c>
      <c r="AR1332" s="23">
        <f t="shared" si="439"/>
        <v>1780</v>
      </c>
      <c r="AS1332">
        <f t="shared" si="444"/>
        <v>1775</v>
      </c>
      <c r="AT1332" s="21">
        <f t="shared" si="445"/>
        <v>1780</v>
      </c>
      <c r="AU1332" s="21"/>
      <c r="AV1332" s="21"/>
      <c r="AW1332" s="21"/>
    </row>
    <row r="1333" spans="1:49" x14ac:dyDescent="0.2">
      <c r="A1333">
        <v>716</v>
      </c>
      <c r="E1333">
        <f t="shared" si="440"/>
        <v>2</v>
      </c>
      <c r="J1333" t="str">
        <f t="shared" si="447"/>
        <v>6</v>
      </c>
      <c r="K1333" t="str">
        <f t="shared" si="448"/>
        <v>20</v>
      </c>
      <c r="L1333" t="str">
        <f t="shared" si="449"/>
        <v/>
      </c>
      <c r="M1333" s="6" t="str">
        <f t="shared" si="450"/>
        <v/>
      </c>
      <c r="N1333" t="str">
        <f t="shared" si="446"/>
        <v>Home</v>
      </c>
      <c r="O1333">
        <v>3</v>
      </c>
      <c r="P1333" t="s">
        <v>424</v>
      </c>
      <c r="Y1333" t="str">
        <f t="shared" si="433"/>
        <v/>
      </c>
      <c r="Z1333" t="str">
        <f t="shared" si="434"/>
        <v/>
      </c>
      <c r="AC1333" t="str">
        <f t="shared" si="451"/>
        <v>Pass</v>
      </c>
      <c r="AD1333" t="str">
        <f t="shared" si="452"/>
        <v>Pass_Intercepted</v>
      </c>
      <c r="AE1333" t="str">
        <f t="shared" si="453"/>
        <v>Pass-Forehand</v>
      </c>
      <c r="AF1333" t="str">
        <f t="shared" si="435"/>
        <v>Offensive</v>
      </c>
      <c r="AG1333">
        <f t="shared" si="441"/>
        <v>18981</v>
      </c>
      <c r="AH1333" t="str">
        <f t="shared" si="442"/>
        <v>Nelson</v>
      </c>
      <c r="AI1333" t="str">
        <f t="shared" si="443"/>
        <v>Velodrome</v>
      </c>
      <c r="AJ1333" s="18">
        <f t="shared" si="436"/>
        <v>0</v>
      </c>
      <c r="AP1333" s="18">
        <f t="shared" si="437"/>
        <v>0</v>
      </c>
      <c r="AQ1333">
        <f t="shared" si="438"/>
        <v>1080</v>
      </c>
      <c r="AR1333" s="23">
        <f t="shared" si="439"/>
        <v>1780</v>
      </c>
      <c r="AS1333">
        <f t="shared" si="444"/>
        <v>1775</v>
      </c>
      <c r="AT1333" s="21">
        <f t="shared" si="445"/>
        <v>1780</v>
      </c>
      <c r="AU1333" s="21"/>
      <c r="AV1333" s="21"/>
      <c r="AW1333" s="21"/>
    </row>
    <row r="1334" spans="1:49" x14ac:dyDescent="0.2">
      <c r="A1334">
        <v>716</v>
      </c>
      <c r="E1334">
        <f t="shared" si="440"/>
        <v>2</v>
      </c>
      <c r="J1334" t="str">
        <f t="shared" si="447"/>
        <v>6</v>
      </c>
      <c r="K1334" t="str">
        <f t="shared" si="448"/>
        <v>20</v>
      </c>
      <c r="L1334" t="str">
        <f t="shared" si="449"/>
        <v/>
      </c>
      <c r="M1334" s="6" t="str">
        <f t="shared" si="450"/>
        <v/>
      </c>
      <c r="N1334" t="str">
        <f t="shared" si="446"/>
        <v>Home</v>
      </c>
      <c r="O1334">
        <v>93</v>
      </c>
      <c r="P1334" t="s">
        <v>425</v>
      </c>
      <c r="Y1334" t="str">
        <f t="shared" si="433"/>
        <v/>
      </c>
      <c r="Z1334" t="str">
        <f t="shared" si="434"/>
        <v/>
      </c>
      <c r="AC1334" t="str">
        <f t="shared" si="451"/>
        <v>Pass</v>
      </c>
      <c r="AD1334" t="str">
        <f t="shared" si="452"/>
        <v>Pass_Intercepted</v>
      </c>
      <c r="AE1334" t="str">
        <f t="shared" si="453"/>
        <v>Pass-Forehand</v>
      </c>
      <c r="AF1334" t="str">
        <f t="shared" si="435"/>
        <v>Defensive</v>
      </c>
      <c r="AG1334">
        <f t="shared" si="441"/>
        <v>18981</v>
      </c>
      <c r="AH1334" t="str">
        <f t="shared" si="442"/>
        <v>Nelson</v>
      </c>
      <c r="AI1334" t="str">
        <f t="shared" si="443"/>
        <v>Velodrome</v>
      </c>
      <c r="AJ1334" s="18">
        <f t="shared" si="436"/>
        <v>0</v>
      </c>
      <c r="AP1334" s="18">
        <f t="shared" si="437"/>
        <v>0</v>
      </c>
      <c r="AQ1334">
        <f t="shared" si="438"/>
        <v>1080</v>
      </c>
      <c r="AR1334" s="23">
        <f t="shared" si="439"/>
        <v>1780</v>
      </c>
      <c r="AS1334">
        <f t="shared" si="444"/>
        <v>1775</v>
      </c>
      <c r="AT1334" s="21">
        <f t="shared" si="445"/>
        <v>1780</v>
      </c>
      <c r="AU1334" s="21"/>
      <c r="AV1334" s="21"/>
      <c r="AW1334" s="21"/>
    </row>
    <row r="1335" spans="1:49" x14ac:dyDescent="0.2">
      <c r="A1335">
        <v>717</v>
      </c>
      <c r="E1335">
        <f t="shared" si="440"/>
        <v>2</v>
      </c>
      <c r="F1335" s="5" t="s">
        <v>541</v>
      </c>
      <c r="G1335" s="5" t="s">
        <v>492</v>
      </c>
      <c r="J1335" t="str">
        <f t="shared" si="447"/>
        <v>6</v>
      </c>
      <c r="K1335" t="str">
        <f t="shared" si="448"/>
        <v>20</v>
      </c>
      <c r="L1335" t="str">
        <f t="shared" si="449"/>
        <v/>
      </c>
      <c r="M1335" s="6" t="str">
        <f t="shared" si="450"/>
        <v/>
      </c>
      <c r="N1335" t="s">
        <v>178</v>
      </c>
      <c r="O1335">
        <v>44</v>
      </c>
      <c r="P1335" t="s">
        <v>424</v>
      </c>
      <c r="Q1335" t="s">
        <v>10</v>
      </c>
      <c r="R1335" t="s">
        <v>190</v>
      </c>
      <c r="S1335" t="s">
        <v>75</v>
      </c>
      <c r="Y1335" t="str">
        <f t="shared" si="433"/>
        <v/>
      </c>
      <c r="Z1335" t="str">
        <f t="shared" si="434"/>
        <v/>
      </c>
      <c r="AC1335" t="str">
        <f t="shared" si="451"/>
        <v>Turnover</v>
      </c>
      <c r="AD1335" t="str">
        <f t="shared" si="452"/>
        <v>Turnover_Giveaway</v>
      </c>
      <c r="AE1335" t="str">
        <f t="shared" si="453"/>
        <v>Giveaway-PassIntercepted</v>
      </c>
      <c r="AF1335" t="str">
        <f t="shared" si="435"/>
        <v>Offensive</v>
      </c>
      <c r="AG1335">
        <f t="shared" si="441"/>
        <v>18981</v>
      </c>
      <c r="AH1335" t="str">
        <f t="shared" si="442"/>
        <v>Nelson</v>
      </c>
      <c r="AI1335" t="str">
        <f t="shared" si="443"/>
        <v>Velodrome</v>
      </c>
      <c r="AJ1335" s="18">
        <f t="shared" si="436"/>
        <v>0</v>
      </c>
      <c r="AP1335" s="18">
        <f t="shared" si="437"/>
        <v>0</v>
      </c>
      <c r="AQ1335">
        <f t="shared" si="438"/>
        <v>1080</v>
      </c>
      <c r="AR1335" s="23">
        <f t="shared" si="439"/>
        <v>1780</v>
      </c>
      <c r="AS1335">
        <f t="shared" si="444"/>
        <v>1775</v>
      </c>
      <c r="AT1335" s="21">
        <f t="shared" si="445"/>
        <v>1780</v>
      </c>
      <c r="AU1335" s="21"/>
      <c r="AV1335" s="21"/>
      <c r="AW1335" s="21"/>
    </row>
    <row r="1336" spans="1:49" x14ac:dyDescent="0.2">
      <c r="A1336">
        <v>717</v>
      </c>
      <c r="E1336">
        <f t="shared" si="440"/>
        <v>2</v>
      </c>
      <c r="J1336" t="str">
        <f t="shared" si="447"/>
        <v>6</v>
      </c>
      <c r="K1336" t="str">
        <f t="shared" si="448"/>
        <v>20</v>
      </c>
      <c r="L1336" t="str">
        <f t="shared" si="449"/>
        <v/>
      </c>
      <c r="M1336" s="6" t="str">
        <f t="shared" si="450"/>
        <v/>
      </c>
      <c r="N1336" t="str">
        <f t="shared" si="446"/>
        <v>Home</v>
      </c>
      <c r="O1336">
        <v>3</v>
      </c>
      <c r="P1336" t="s">
        <v>424</v>
      </c>
      <c r="Y1336" t="str">
        <f t="shared" si="433"/>
        <v/>
      </c>
      <c r="Z1336" t="str">
        <f t="shared" si="434"/>
        <v/>
      </c>
      <c r="AC1336" t="str">
        <f t="shared" si="451"/>
        <v>Turnover</v>
      </c>
      <c r="AD1336" t="str">
        <f t="shared" si="452"/>
        <v>Turnover_Giveaway</v>
      </c>
      <c r="AE1336" t="str">
        <f t="shared" si="453"/>
        <v>Giveaway-PassIntercepted</v>
      </c>
      <c r="AF1336" t="str">
        <f t="shared" si="435"/>
        <v>Offensive</v>
      </c>
      <c r="AG1336">
        <f t="shared" si="441"/>
        <v>18981</v>
      </c>
      <c r="AH1336" t="str">
        <f t="shared" si="442"/>
        <v>Nelson</v>
      </c>
      <c r="AI1336" t="str">
        <f t="shared" si="443"/>
        <v>Velodrome</v>
      </c>
      <c r="AJ1336" s="18">
        <f t="shared" si="436"/>
        <v>0</v>
      </c>
      <c r="AP1336" s="18">
        <f t="shared" si="437"/>
        <v>0</v>
      </c>
      <c r="AQ1336">
        <f t="shared" si="438"/>
        <v>1080</v>
      </c>
      <c r="AR1336" s="23">
        <f t="shared" si="439"/>
        <v>1780</v>
      </c>
      <c r="AS1336">
        <f t="shared" si="444"/>
        <v>1775</v>
      </c>
      <c r="AT1336" s="21">
        <f t="shared" si="445"/>
        <v>1780</v>
      </c>
      <c r="AU1336" s="21"/>
      <c r="AV1336" s="21"/>
      <c r="AW1336" s="21"/>
    </row>
    <row r="1337" spans="1:49" x14ac:dyDescent="0.2">
      <c r="A1337">
        <v>717</v>
      </c>
      <c r="E1337">
        <f t="shared" si="440"/>
        <v>2</v>
      </c>
      <c r="J1337" t="str">
        <f t="shared" si="447"/>
        <v>6</v>
      </c>
      <c r="K1337" t="str">
        <f t="shared" si="448"/>
        <v>20</v>
      </c>
      <c r="L1337" t="str">
        <f t="shared" si="449"/>
        <v/>
      </c>
      <c r="M1337" s="6" t="str">
        <f t="shared" si="450"/>
        <v/>
      </c>
      <c r="N1337" t="str">
        <f t="shared" si="446"/>
        <v>Home</v>
      </c>
      <c r="O1337">
        <v>93</v>
      </c>
      <c r="P1337" t="s">
        <v>425</v>
      </c>
      <c r="Y1337" t="str">
        <f t="shared" si="433"/>
        <v/>
      </c>
      <c r="Z1337" t="str">
        <f t="shared" si="434"/>
        <v/>
      </c>
      <c r="AC1337" t="str">
        <f t="shared" si="451"/>
        <v>Turnover</v>
      </c>
      <c r="AD1337" t="str">
        <f t="shared" si="452"/>
        <v>Turnover_Giveaway</v>
      </c>
      <c r="AE1337" t="str">
        <f t="shared" si="453"/>
        <v>Giveaway-PassIntercepted</v>
      </c>
      <c r="AF1337" t="str">
        <f t="shared" si="435"/>
        <v>Defensive</v>
      </c>
      <c r="AG1337">
        <f t="shared" si="441"/>
        <v>18981</v>
      </c>
      <c r="AH1337" t="str">
        <f t="shared" si="442"/>
        <v>Nelson</v>
      </c>
      <c r="AI1337" t="str">
        <f t="shared" si="443"/>
        <v>Velodrome</v>
      </c>
      <c r="AJ1337" s="18">
        <f t="shared" si="436"/>
        <v>0</v>
      </c>
      <c r="AP1337" s="18">
        <f t="shared" si="437"/>
        <v>0</v>
      </c>
      <c r="AQ1337">
        <f t="shared" si="438"/>
        <v>1080</v>
      </c>
      <c r="AR1337" s="23">
        <f t="shared" si="439"/>
        <v>1780</v>
      </c>
      <c r="AS1337">
        <f t="shared" si="444"/>
        <v>1775</v>
      </c>
      <c r="AT1337" s="21">
        <f t="shared" si="445"/>
        <v>1780</v>
      </c>
      <c r="AU1337" s="21"/>
      <c r="AV1337" s="21"/>
      <c r="AW1337" s="21"/>
    </row>
    <row r="1338" spans="1:49" x14ac:dyDescent="0.2">
      <c r="A1338">
        <v>718</v>
      </c>
      <c r="E1338">
        <f t="shared" si="440"/>
        <v>2</v>
      </c>
      <c r="F1338" s="5" t="s">
        <v>541</v>
      </c>
      <c r="G1338" s="5" t="s">
        <v>491</v>
      </c>
      <c r="H1338" s="5" t="s">
        <v>541</v>
      </c>
      <c r="I1338" s="7" t="s">
        <v>477</v>
      </c>
      <c r="J1338" t="str">
        <f t="shared" si="447"/>
        <v>6</v>
      </c>
      <c r="K1338" t="str">
        <f t="shared" si="448"/>
        <v>19</v>
      </c>
      <c r="L1338" t="str">
        <f t="shared" si="449"/>
        <v>6</v>
      </c>
      <c r="M1338" s="6" t="str">
        <f t="shared" si="450"/>
        <v>16</v>
      </c>
      <c r="N1338" t="s">
        <v>179</v>
      </c>
      <c r="O1338">
        <v>93</v>
      </c>
      <c r="P1338" t="s">
        <v>424</v>
      </c>
      <c r="Q1338" t="s">
        <v>277</v>
      </c>
      <c r="R1338" t="s">
        <v>201</v>
      </c>
      <c r="S1338" t="s">
        <v>90</v>
      </c>
      <c r="Y1338" t="str">
        <f t="shared" si="433"/>
        <v/>
      </c>
      <c r="Z1338" t="str">
        <f t="shared" si="434"/>
        <v/>
      </c>
      <c r="AC1338" t="str">
        <f t="shared" si="451"/>
        <v>Zone_Entry_Exit</v>
      </c>
      <c r="AD1338" t="str">
        <f t="shared" si="452"/>
        <v>Zone_Exit</v>
      </c>
      <c r="AE1338" t="str">
        <f t="shared" si="453"/>
        <v>ZoneExit-Rush</v>
      </c>
      <c r="AF1338" t="str">
        <f t="shared" si="435"/>
        <v>Offensive</v>
      </c>
      <c r="AG1338">
        <f t="shared" si="441"/>
        <v>18981</v>
      </c>
      <c r="AH1338" t="str">
        <f t="shared" si="442"/>
        <v>Nelson</v>
      </c>
      <c r="AI1338" t="str">
        <f t="shared" si="443"/>
        <v>Velodrome</v>
      </c>
      <c r="AJ1338" s="18">
        <f t="shared" si="436"/>
        <v>3</v>
      </c>
      <c r="AP1338" s="18">
        <f t="shared" si="437"/>
        <v>0</v>
      </c>
      <c r="AQ1338">
        <f t="shared" si="438"/>
        <v>1080</v>
      </c>
      <c r="AR1338" s="23">
        <f t="shared" si="439"/>
        <v>1781</v>
      </c>
      <c r="AS1338">
        <f t="shared" si="444"/>
        <v>1776</v>
      </c>
      <c r="AT1338" s="21">
        <f t="shared" si="445"/>
        <v>1784</v>
      </c>
      <c r="AU1338" s="21"/>
      <c r="AV1338" s="21"/>
      <c r="AW1338" s="21"/>
    </row>
    <row r="1339" spans="1:49" x14ac:dyDescent="0.2">
      <c r="A1339">
        <v>719</v>
      </c>
      <c r="E1339">
        <f t="shared" si="440"/>
        <v>2</v>
      </c>
      <c r="F1339" s="5" t="s">
        <v>541</v>
      </c>
      <c r="G1339" s="5" t="s">
        <v>477</v>
      </c>
      <c r="H1339" s="5" t="s">
        <v>541</v>
      </c>
      <c r="I1339" s="7" t="s">
        <v>489</v>
      </c>
      <c r="J1339" t="str">
        <f t="shared" si="447"/>
        <v>6</v>
      </c>
      <c r="K1339" t="str">
        <f t="shared" si="448"/>
        <v>16</v>
      </c>
      <c r="L1339" t="str">
        <f t="shared" si="449"/>
        <v>6</v>
      </c>
      <c r="M1339" s="6" t="str">
        <f t="shared" si="450"/>
        <v>14</v>
      </c>
      <c r="N1339" t="s">
        <v>179</v>
      </c>
      <c r="O1339">
        <v>93</v>
      </c>
      <c r="P1339" t="s">
        <v>424</v>
      </c>
      <c r="Q1339" t="s">
        <v>15</v>
      </c>
      <c r="Y1339" t="str">
        <f t="shared" si="433"/>
        <v/>
      </c>
      <c r="Z1339" t="str">
        <f t="shared" si="434"/>
        <v/>
      </c>
      <c r="AC1339" t="str">
        <f t="shared" si="451"/>
        <v>Possession</v>
      </c>
      <c r="AD1339" t="str">
        <f t="shared" si="452"/>
        <v/>
      </c>
      <c r="AE1339" t="str">
        <f t="shared" si="453"/>
        <v/>
      </c>
      <c r="AF1339" t="str">
        <f t="shared" si="435"/>
        <v>Offensive</v>
      </c>
      <c r="AG1339">
        <f t="shared" si="441"/>
        <v>18981</v>
      </c>
      <c r="AH1339" t="str">
        <f t="shared" si="442"/>
        <v>Nelson</v>
      </c>
      <c r="AI1339" t="str">
        <f t="shared" si="443"/>
        <v>Velodrome</v>
      </c>
      <c r="AJ1339" s="18">
        <f t="shared" si="436"/>
        <v>2</v>
      </c>
      <c r="AP1339" s="18">
        <f t="shared" si="437"/>
        <v>0</v>
      </c>
      <c r="AQ1339">
        <f t="shared" si="438"/>
        <v>1080</v>
      </c>
      <c r="AR1339" s="23">
        <f t="shared" si="439"/>
        <v>1784</v>
      </c>
      <c r="AS1339">
        <f t="shared" si="444"/>
        <v>1779</v>
      </c>
      <c r="AT1339" s="21">
        <f t="shared" si="445"/>
        <v>1786</v>
      </c>
      <c r="AU1339" s="21"/>
      <c r="AV1339" s="21"/>
      <c r="AW1339" s="21"/>
    </row>
    <row r="1340" spans="1:49" x14ac:dyDescent="0.2">
      <c r="A1340">
        <v>720</v>
      </c>
      <c r="E1340">
        <f t="shared" si="440"/>
        <v>2</v>
      </c>
      <c r="F1340" s="5" t="s">
        <v>541</v>
      </c>
      <c r="G1340" s="5" t="s">
        <v>489</v>
      </c>
      <c r="H1340" s="5" t="s">
        <v>541</v>
      </c>
      <c r="I1340" s="7" t="s">
        <v>488</v>
      </c>
      <c r="J1340" t="str">
        <f t="shared" si="447"/>
        <v>6</v>
      </c>
      <c r="K1340" t="str">
        <f t="shared" si="448"/>
        <v>14</v>
      </c>
      <c r="L1340" t="str">
        <f t="shared" si="449"/>
        <v>6</v>
      </c>
      <c r="M1340" s="6" t="str">
        <f t="shared" si="450"/>
        <v>13</v>
      </c>
      <c r="N1340" t="s">
        <v>179</v>
      </c>
      <c r="O1340">
        <v>93</v>
      </c>
      <c r="P1340" t="s">
        <v>424</v>
      </c>
      <c r="Q1340" t="s">
        <v>277</v>
      </c>
      <c r="R1340" t="s">
        <v>191</v>
      </c>
      <c r="S1340" t="s">
        <v>87</v>
      </c>
      <c r="Y1340" t="str">
        <f t="shared" si="433"/>
        <v/>
      </c>
      <c r="Z1340" t="str">
        <f t="shared" si="434"/>
        <v/>
      </c>
      <c r="AC1340" t="str">
        <f t="shared" si="451"/>
        <v>Zone_Entry_Exit</v>
      </c>
      <c r="AD1340" t="str">
        <f t="shared" si="452"/>
        <v>Zone_Entry</v>
      </c>
      <c r="AE1340" t="str">
        <f t="shared" si="453"/>
        <v>ZoneEntry-Rush</v>
      </c>
      <c r="AF1340" t="str">
        <f t="shared" si="435"/>
        <v>Offensive</v>
      </c>
      <c r="AG1340">
        <f t="shared" si="441"/>
        <v>18981</v>
      </c>
      <c r="AH1340" t="str">
        <f t="shared" si="442"/>
        <v>Nelson</v>
      </c>
      <c r="AI1340" t="str">
        <f t="shared" si="443"/>
        <v>Velodrome</v>
      </c>
      <c r="AJ1340" s="18">
        <f t="shared" si="436"/>
        <v>1</v>
      </c>
      <c r="AP1340" s="18">
        <f t="shared" si="437"/>
        <v>0</v>
      </c>
      <c r="AQ1340">
        <f t="shared" si="438"/>
        <v>1080</v>
      </c>
      <c r="AR1340" s="23">
        <f t="shared" si="439"/>
        <v>1786</v>
      </c>
      <c r="AS1340">
        <f t="shared" si="444"/>
        <v>1781</v>
      </c>
      <c r="AT1340" s="21">
        <f t="shared" si="445"/>
        <v>1787</v>
      </c>
      <c r="AU1340" s="21"/>
      <c r="AV1340" s="21"/>
      <c r="AW1340" s="21"/>
    </row>
    <row r="1341" spans="1:49" x14ac:dyDescent="0.2">
      <c r="A1341">
        <v>720</v>
      </c>
      <c r="E1341">
        <f t="shared" si="440"/>
        <v>2</v>
      </c>
      <c r="J1341" t="str">
        <f t="shared" si="447"/>
        <v>6</v>
      </c>
      <c r="K1341" t="str">
        <f t="shared" si="448"/>
        <v>14</v>
      </c>
      <c r="L1341" t="str">
        <f t="shared" si="449"/>
        <v>6</v>
      </c>
      <c r="M1341" s="6" t="str">
        <f t="shared" si="450"/>
        <v>13</v>
      </c>
      <c r="N1341" t="str">
        <f t="shared" si="446"/>
        <v>Away</v>
      </c>
      <c r="O1341">
        <v>8</v>
      </c>
      <c r="P1341" t="s">
        <v>425</v>
      </c>
      <c r="Y1341" t="str">
        <f t="shared" si="433"/>
        <v/>
      </c>
      <c r="Z1341" t="str">
        <f t="shared" si="434"/>
        <v/>
      </c>
      <c r="AC1341" t="str">
        <f t="shared" si="451"/>
        <v>Zone_Entry_Exit</v>
      </c>
      <c r="AD1341" t="str">
        <f t="shared" si="452"/>
        <v>Zone_Entry</v>
      </c>
      <c r="AE1341" t="str">
        <f t="shared" si="453"/>
        <v>ZoneEntry-Rush</v>
      </c>
      <c r="AF1341" t="str">
        <f t="shared" si="435"/>
        <v>Defensive</v>
      </c>
      <c r="AG1341">
        <f t="shared" si="441"/>
        <v>18981</v>
      </c>
      <c r="AH1341" t="str">
        <f t="shared" si="442"/>
        <v>Nelson</v>
      </c>
      <c r="AI1341" t="str">
        <f t="shared" si="443"/>
        <v>Velodrome</v>
      </c>
      <c r="AJ1341" s="18">
        <f t="shared" si="436"/>
        <v>1</v>
      </c>
      <c r="AP1341" s="18">
        <f t="shared" si="437"/>
        <v>0</v>
      </c>
      <c r="AQ1341">
        <f t="shared" si="438"/>
        <v>1080</v>
      </c>
      <c r="AR1341" s="23">
        <f t="shared" si="439"/>
        <v>1786</v>
      </c>
      <c r="AS1341">
        <f t="shared" si="444"/>
        <v>1781</v>
      </c>
      <c r="AT1341" s="21">
        <f t="shared" si="445"/>
        <v>1787</v>
      </c>
      <c r="AU1341" s="21"/>
      <c r="AV1341" s="21"/>
      <c r="AW1341" s="21"/>
    </row>
    <row r="1342" spans="1:49" x14ac:dyDescent="0.2">
      <c r="A1342">
        <v>721</v>
      </c>
      <c r="E1342">
        <f t="shared" si="440"/>
        <v>2</v>
      </c>
      <c r="F1342" s="5" t="s">
        <v>541</v>
      </c>
      <c r="G1342" s="5" t="s">
        <v>488</v>
      </c>
      <c r="J1342" t="str">
        <f t="shared" si="447"/>
        <v>6</v>
      </c>
      <c r="K1342" t="str">
        <f t="shared" si="448"/>
        <v>13</v>
      </c>
      <c r="L1342" t="str">
        <f t="shared" si="449"/>
        <v/>
      </c>
      <c r="M1342" s="6" t="str">
        <f t="shared" si="450"/>
        <v/>
      </c>
      <c r="N1342" t="s">
        <v>179</v>
      </c>
      <c r="O1342">
        <v>93</v>
      </c>
      <c r="P1342" t="s">
        <v>424</v>
      </c>
      <c r="Q1342" t="s">
        <v>7</v>
      </c>
      <c r="R1342" t="s">
        <v>198</v>
      </c>
      <c r="S1342" t="s">
        <v>53</v>
      </c>
      <c r="Y1342" t="str">
        <f t="shared" si="433"/>
        <v/>
      </c>
      <c r="Z1342" t="str">
        <f t="shared" si="434"/>
        <v/>
      </c>
      <c r="AC1342" t="str">
        <f t="shared" si="451"/>
        <v>Shot</v>
      </c>
      <c r="AD1342" t="str">
        <f t="shared" si="452"/>
        <v>Shot_Missed</v>
      </c>
      <c r="AE1342" t="str">
        <f t="shared" si="453"/>
        <v>Shot-Wrist</v>
      </c>
      <c r="AF1342" t="str">
        <f t="shared" si="435"/>
        <v>Offensive</v>
      </c>
      <c r="AG1342">
        <f t="shared" si="441"/>
        <v>18981</v>
      </c>
      <c r="AH1342" t="str">
        <f t="shared" si="442"/>
        <v>Nelson</v>
      </c>
      <c r="AI1342" t="str">
        <f t="shared" si="443"/>
        <v>Velodrome</v>
      </c>
      <c r="AJ1342" s="18">
        <f t="shared" si="436"/>
        <v>0</v>
      </c>
      <c r="AP1342" s="18">
        <f t="shared" si="437"/>
        <v>0</v>
      </c>
      <c r="AQ1342">
        <f t="shared" si="438"/>
        <v>1080</v>
      </c>
      <c r="AR1342" s="23">
        <f t="shared" si="439"/>
        <v>1787</v>
      </c>
      <c r="AS1342">
        <f t="shared" si="444"/>
        <v>1782</v>
      </c>
      <c r="AT1342" s="21">
        <f t="shared" si="445"/>
        <v>1787</v>
      </c>
      <c r="AU1342" s="21"/>
      <c r="AV1342" s="21"/>
      <c r="AW1342" s="21"/>
    </row>
    <row r="1343" spans="1:49" x14ac:dyDescent="0.2">
      <c r="A1343">
        <v>722</v>
      </c>
      <c r="E1343">
        <f t="shared" si="440"/>
        <v>2</v>
      </c>
      <c r="F1343" s="5" t="s">
        <v>541</v>
      </c>
      <c r="G1343" s="5" t="s">
        <v>476</v>
      </c>
      <c r="H1343" s="5" t="s">
        <v>541</v>
      </c>
      <c r="I1343" s="7" t="s">
        <v>480</v>
      </c>
      <c r="J1343" t="str">
        <f t="shared" si="447"/>
        <v>6</v>
      </c>
      <c r="K1343" t="str">
        <f t="shared" si="448"/>
        <v>06</v>
      </c>
      <c r="L1343" t="str">
        <f t="shared" si="449"/>
        <v>6</v>
      </c>
      <c r="M1343" s="6" t="str">
        <f t="shared" si="450"/>
        <v>04</v>
      </c>
      <c r="N1343" t="s">
        <v>178</v>
      </c>
      <c r="O1343">
        <v>80</v>
      </c>
      <c r="P1343" t="s">
        <v>424</v>
      </c>
      <c r="Q1343" t="s">
        <v>15</v>
      </c>
      <c r="Y1343" t="str">
        <f t="shared" si="433"/>
        <v/>
      </c>
      <c r="Z1343" t="str">
        <f t="shared" si="434"/>
        <v/>
      </c>
      <c r="AC1343" t="str">
        <f t="shared" si="451"/>
        <v>Possession</v>
      </c>
      <c r="AD1343" t="str">
        <f t="shared" si="452"/>
        <v/>
      </c>
      <c r="AE1343" t="str">
        <f t="shared" si="453"/>
        <v/>
      </c>
      <c r="AF1343" t="str">
        <f t="shared" si="435"/>
        <v>Offensive</v>
      </c>
      <c r="AG1343">
        <f t="shared" si="441"/>
        <v>18981</v>
      </c>
      <c r="AH1343" t="str">
        <f t="shared" si="442"/>
        <v>Nelson</v>
      </c>
      <c r="AI1343" t="str">
        <f t="shared" si="443"/>
        <v>Velodrome</v>
      </c>
      <c r="AJ1343" s="18">
        <f t="shared" si="436"/>
        <v>2</v>
      </c>
      <c r="AP1343" s="18">
        <f t="shared" si="437"/>
        <v>0</v>
      </c>
      <c r="AQ1343">
        <f t="shared" si="438"/>
        <v>1080</v>
      </c>
      <c r="AR1343" s="23">
        <f t="shared" si="439"/>
        <v>1794</v>
      </c>
      <c r="AS1343">
        <f t="shared" si="444"/>
        <v>1789</v>
      </c>
      <c r="AT1343" s="21">
        <f t="shared" si="445"/>
        <v>1796</v>
      </c>
      <c r="AU1343" s="21"/>
      <c r="AV1343" s="21"/>
      <c r="AW1343" s="21"/>
    </row>
    <row r="1344" spans="1:49" x14ac:dyDescent="0.2">
      <c r="A1344">
        <v>723</v>
      </c>
      <c r="E1344">
        <f t="shared" si="440"/>
        <v>2</v>
      </c>
      <c r="F1344" s="5" t="s">
        <v>541</v>
      </c>
      <c r="G1344" s="5" t="s">
        <v>480</v>
      </c>
      <c r="J1344" t="str">
        <f t="shared" si="447"/>
        <v>6</v>
      </c>
      <c r="K1344" t="str">
        <f t="shared" si="448"/>
        <v>04</v>
      </c>
      <c r="L1344" t="str">
        <f t="shared" si="449"/>
        <v/>
      </c>
      <c r="M1344" s="6" t="str">
        <f t="shared" si="450"/>
        <v/>
      </c>
      <c r="N1344" t="s">
        <v>178</v>
      </c>
      <c r="O1344">
        <v>80</v>
      </c>
      <c r="P1344" t="s">
        <v>424</v>
      </c>
      <c r="Q1344" t="s">
        <v>8</v>
      </c>
      <c r="R1344" t="s">
        <v>199</v>
      </c>
      <c r="S1344" t="s">
        <v>67</v>
      </c>
      <c r="Y1344" t="str">
        <f t="shared" si="433"/>
        <v/>
      </c>
      <c r="Z1344" t="str">
        <f t="shared" si="434"/>
        <v/>
      </c>
      <c r="AC1344" t="str">
        <f t="shared" si="451"/>
        <v>Pass</v>
      </c>
      <c r="AD1344" t="str">
        <f t="shared" si="452"/>
        <v>Pass_Missed</v>
      </c>
      <c r="AE1344" t="str">
        <f t="shared" si="453"/>
        <v>Pass-Stretch</v>
      </c>
      <c r="AF1344" t="str">
        <f t="shared" si="435"/>
        <v>Offensive</v>
      </c>
      <c r="AG1344">
        <f t="shared" si="441"/>
        <v>18981</v>
      </c>
      <c r="AH1344" t="str">
        <f t="shared" si="442"/>
        <v>Nelson</v>
      </c>
      <c r="AI1344" t="str">
        <f t="shared" si="443"/>
        <v>Velodrome</v>
      </c>
      <c r="AJ1344" s="18">
        <f t="shared" si="436"/>
        <v>0</v>
      </c>
      <c r="AP1344" s="18">
        <f t="shared" si="437"/>
        <v>0</v>
      </c>
      <c r="AQ1344">
        <f t="shared" si="438"/>
        <v>1080</v>
      </c>
      <c r="AR1344" s="23">
        <f t="shared" si="439"/>
        <v>1796</v>
      </c>
      <c r="AS1344">
        <f t="shared" si="444"/>
        <v>1791</v>
      </c>
      <c r="AT1344" s="21">
        <f t="shared" si="445"/>
        <v>1796</v>
      </c>
      <c r="AU1344" s="21"/>
      <c r="AV1344" s="21"/>
      <c r="AW1344" s="21"/>
    </row>
    <row r="1345" spans="1:49" x14ac:dyDescent="0.2">
      <c r="A1345">
        <v>723</v>
      </c>
      <c r="E1345">
        <f t="shared" si="440"/>
        <v>2</v>
      </c>
      <c r="J1345" t="str">
        <f t="shared" si="447"/>
        <v>6</v>
      </c>
      <c r="K1345" t="str">
        <f t="shared" si="448"/>
        <v>04</v>
      </c>
      <c r="L1345" t="str">
        <f t="shared" si="449"/>
        <v/>
      </c>
      <c r="M1345" s="6" t="str">
        <f t="shared" si="450"/>
        <v/>
      </c>
      <c r="N1345" t="str">
        <f t="shared" si="446"/>
        <v>Home</v>
      </c>
      <c r="O1345">
        <v>7</v>
      </c>
      <c r="P1345" t="s">
        <v>424</v>
      </c>
      <c r="Y1345" t="str">
        <f t="shared" si="433"/>
        <v/>
      </c>
      <c r="Z1345" t="str">
        <f t="shared" si="434"/>
        <v/>
      </c>
      <c r="AC1345" t="str">
        <f t="shared" si="451"/>
        <v>Pass</v>
      </c>
      <c r="AD1345" t="str">
        <f t="shared" si="452"/>
        <v>Pass_Missed</v>
      </c>
      <c r="AE1345" t="str">
        <f t="shared" si="453"/>
        <v>Pass-Stretch</v>
      </c>
      <c r="AF1345" t="str">
        <f t="shared" si="435"/>
        <v>Offensive</v>
      </c>
      <c r="AG1345">
        <f t="shared" si="441"/>
        <v>18981</v>
      </c>
      <c r="AH1345" t="str">
        <f t="shared" si="442"/>
        <v>Nelson</v>
      </c>
      <c r="AI1345" t="str">
        <f t="shared" si="443"/>
        <v>Velodrome</v>
      </c>
      <c r="AJ1345" s="18">
        <f t="shared" si="436"/>
        <v>0</v>
      </c>
      <c r="AP1345" s="18">
        <f t="shared" si="437"/>
        <v>0</v>
      </c>
      <c r="AQ1345">
        <f t="shared" si="438"/>
        <v>1080</v>
      </c>
      <c r="AR1345" s="23">
        <f t="shared" si="439"/>
        <v>1796</v>
      </c>
      <c r="AS1345">
        <f t="shared" si="444"/>
        <v>1791</v>
      </c>
      <c r="AT1345" s="21">
        <f t="shared" si="445"/>
        <v>1796</v>
      </c>
      <c r="AU1345" s="21"/>
      <c r="AV1345" s="21"/>
      <c r="AW1345" s="21"/>
    </row>
    <row r="1346" spans="1:49" x14ac:dyDescent="0.2">
      <c r="A1346">
        <v>723</v>
      </c>
      <c r="E1346">
        <f t="shared" si="440"/>
        <v>2</v>
      </c>
      <c r="J1346" t="str">
        <f t="shared" si="447"/>
        <v>6</v>
      </c>
      <c r="K1346" t="str">
        <f t="shared" si="448"/>
        <v>04</v>
      </c>
      <c r="L1346" t="str">
        <f t="shared" si="449"/>
        <v/>
      </c>
      <c r="M1346" s="6" t="str">
        <f t="shared" si="450"/>
        <v/>
      </c>
      <c r="N1346" t="str">
        <f t="shared" si="446"/>
        <v>Home</v>
      </c>
      <c r="O1346">
        <v>70</v>
      </c>
      <c r="P1346" t="s">
        <v>425</v>
      </c>
      <c r="Y1346" t="str">
        <f t="shared" si="433"/>
        <v/>
      </c>
      <c r="Z1346" t="str">
        <f t="shared" si="434"/>
        <v/>
      </c>
      <c r="AC1346" t="str">
        <f t="shared" si="451"/>
        <v>Pass</v>
      </c>
      <c r="AD1346" t="str">
        <f t="shared" si="452"/>
        <v>Pass_Missed</v>
      </c>
      <c r="AE1346" t="str">
        <f t="shared" si="453"/>
        <v>Pass-Stretch</v>
      </c>
      <c r="AF1346" t="str">
        <f t="shared" si="435"/>
        <v>Defensive</v>
      </c>
      <c r="AG1346">
        <f t="shared" si="441"/>
        <v>18981</v>
      </c>
      <c r="AH1346" t="str">
        <f t="shared" si="442"/>
        <v>Nelson</v>
      </c>
      <c r="AI1346" t="str">
        <f t="shared" si="443"/>
        <v>Velodrome</v>
      </c>
      <c r="AJ1346" s="18">
        <f t="shared" si="436"/>
        <v>0</v>
      </c>
      <c r="AP1346" s="18">
        <f t="shared" si="437"/>
        <v>0</v>
      </c>
      <c r="AQ1346">
        <f t="shared" si="438"/>
        <v>1080</v>
      </c>
      <c r="AR1346" s="23">
        <f t="shared" si="439"/>
        <v>1796</v>
      </c>
      <c r="AS1346">
        <f t="shared" si="444"/>
        <v>1791</v>
      </c>
      <c r="AT1346" s="21">
        <f t="shared" si="445"/>
        <v>1796</v>
      </c>
      <c r="AU1346" s="21"/>
      <c r="AV1346" s="21"/>
      <c r="AW1346" s="21"/>
    </row>
    <row r="1347" spans="1:49" x14ac:dyDescent="0.2">
      <c r="A1347">
        <v>724</v>
      </c>
      <c r="E1347">
        <f t="shared" si="440"/>
        <v>2</v>
      </c>
      <c r="F1347" s="5" t="s">
        <v>541</v>
      </c>
      <c r="G1347" s="5" t="s">
        <v>480</v>
      </c>
      <c r="J1347" t="str">
        <f t="shared" si="447"/>
        <v>6</v>
      </c>
      <c r="K1347" t="str">
        <f t="shared" si="448"/>
        <v>04</v>
      </c>
      <c r="L1347" t="str">
        <f t="shared" si="449"/>
        <v/>
      </c>
      <c r="M1347" s="6" t="str">
        <f t="shared" si="450"/>
        <v/>
      </c>
      <c r="N1347" t="s">
        <v>178</v>
      </c>
      <c r="O1347">
        <v>80</v>
      </c>
      <c r="P1347" t="s">
        <v>424</v>
      </c>
      <c r="Q1347" t="s">
        <v>277</v>
      </c>
      <c r="R1347" t="s">
        <v>201</v>
      </c>
      <c r="S1347" t="s">
        <v>91</v>
      </c>
      <c r="Y1347" t="str">
        <f t="shared" ref="Y1347:Y1410" si="454">IF($N1347="","",IF(X1347="","",IF($N1347="Home",$X1347,IF($X1347="n","n",IF($X1347="d","o",IF($X1347="o","d",""))))))</f>
        <v/>
      </c>
      <c r="Z1347" t="str">
        <f t="shared" ref="Z1347:Z1410" si="455">IF($N1347="","",IF(X1347="","",IF($N1347="Away",$X1347,IF($X1347="n","n",IF($X1347="d","o",IF($X1347="o","d",""))))))</f>
        <v/>
      </c>
      <c r="AC1347" t="str">
        <f t="shared" si="451"/>
        <v>Zone_Entry_Exit</v>
      </c>
      <c r="AD1347" t="str">
        <f t="shared" si="452"/>
        <v>Zone_Exit</v>
      </c>
      <c r="AE1347" t="str">
        <f t="shared" si="453"/>
        <v>ZoneExit-Pass</v>
      </c>
      <c r="AF1347" t="str">
        <f t="shared" ref="AF1347:AF1410" si="456">IF(AND(P1347="e",OR(AC1347="Save",AD1347="Turnover_Takeaway",AD1347="Play_Defensive")),"Defensive",IF(AND(P1347="o",OR(AC1347="Save",AD1347="Turnover_Takeaway",AD1347="Play_Defensive")),"Offensive",IF(OR(AC1347="Deadice",AC1347="Stoppage",AC1347="Intermission"),"",IF(P1347="e","Offensive",IF(P1347="o","Defensive","")))))</f>
        <v>Offensive</v>
      </c>
      <c r="AG1347">
        <f t="shared" si="441"/>
        <v>18981</v>
      </c>
      <c r="AH1347" t="str">
        <f t="shared" si="442"/>
        <v>Nelson</v>
      </c>
      <c r="AI1347" t="str">
        <f t="shared" si="443"/>
        <v>Velodrome</v>
      </c>
      <c r="AJ1347" s="18">
        <f t="shared" ref="AJ1347:AJ1410" si="457">IF(AND(L1347="",M1347=""),0,((J1347*60)+K1347)-((L1347*60)+M1347))</f>
        <v>0</v>
      </c>
      <c r="AP1347" s="18">
        <f t="shared" ref="AP1347:AP1410" si="458">SUMIFS(AJ1347:AJ1347,Q1347:Q1347,"=Intermission")</f>
        <v>0</v>
      </c>
      <c r="AQ1347">
        <f t="shared" ref="AQ1347:AQ1410" si="459">IF(E1347=1,0,IF(E1347=2,1080+AP1347,IF(E1347=3,(1080*2)+AP1347,0)))</f>
        <v>1080</v>
      </c>
      <c r="AR1347" s="23">
        <f t="shared" ref="AR1347:AR1410" si="460">IF(Q1347="Intermission",AR1346,((1080)-((J1347*60)+K1347))+AQ1347)</f>
        <v>1796</v>
      </c>
      <c r="AS1347">
        <f t="shared" si="444"/>
        <v>1791</v>
      </c>
      <c r="AT1347" s="21">
        <f t="shared" si="445"/>
        <v>1796</v>
      </c>
      <c r="AU1347" s="21"/>
      <c r="AV1347" s="21"/>
      <c r="AW1347" s="21"/>
    </row>
    <row r="1348" spans="1:49" x14ac:dyDescent="0.2">
      <c r="A1348">
        <v>724</v>
      </c>
      <c r="E1348">
        <f t="shared" ref="E1348:E1411" si="461">IF(Q1348="Intermission",E1347+1,E1347)</f>
        <v>2</v>
      </c>
      <c r="J1348" t="str">
        <f t="shared" si="447"/>
        <v>6</v>
      </c>
      <c r="K1348" t="str">
        <f t="shared" si="448"/>
        <v>04</v>
      </c>
      <c r="L1348" t="str">
        <f t="shared" si="449"/>
        <v/>
      </c>
      <c r="M1348" s="6" t="str">
        <f t="shared" si="450"/>
        <v/>
      </c>
      <c r="N1348" t="str">
        <f t="shared" si="446"/>
        <v>Home</v>
      </c>
      <c r="O1348">
        <v>7</v>
      </c>
      <c r="P1348" t="s">
        <v>424</v>
      </c>
      <c r="Y1348" t="str">
        <f t="shared" si="454"/>
        <v/>
      </c>
      <c r="Z1348" t="str">
        <f t="shared" si="455"/>
        <v/>
      </c>
      <c r="AC1348" t="str">
        <f t="shared" si="451"/>
        <v>Zone_Entry_Exit</v>
      </c>
      <c r="AD1348" t="str">
        <f t="shared" si="452"/>
        <v>Zone_Exit</v>
      </c>
      <c r="AE1348" t="str">
        <f t="shared" si="453"/>
        <v>ZoneExit-Pass</v>
      </c>
      <c r="AF1348" t="str">
        <f t="shared" si="456"/>
        <v>Offensive</v>
      </c>
      <c r="AG1348">
        <f t="shared" ref="AG1348:AG1411" si="462">AG1347</f>
        <v>18981</v>
      </c>
      <c r="AH1348" t="str">
        <f t="shared" ref="AH1348:AH1411" si="463">AH1347</f>
        <v>Nelson</v>
      </c>
      <c r="AI1348" t="str">
        <f t="shared" ref="AI1348:AI1411" si="464">AI1347</f>
        <v>Velodrome</v>
      </c>
      <c r="AJ1348" s="18">
        <f t="shared" si="457"/>
        <v>0</v>
      </c>
      <c r="AP1348" s="18">
        <f t="shared" si="458"/>
        <v>0</v>
      </c>
      <c r="AQ1348">
        <f t="shared" si="459"/>
        <v>1080</v>
      </c>
      <c r="AR1348" s="23">
        <f t="shared" si="460"/>
        <v>1796</v>
      </c>
      <c r="AS1348">
        <f t="shared" ref="AS1348:AS1411" si="465">IF(AR1348&lt;5,0,AR1348-5)</f>
        <v>1791</v>
      </c>
      <c r="AT1348" s="21">
        <f t="shared" ref="AT1348:AT1411" si="466">AS1348+AJ1348+5</f>
        <v>1796</v>
      </c>
      <c r="AU1348" s="21"/>
      <c r="AV1348" s="21"/>
      <c r="AW1348" s="21"/>
    </row>
    <row r="1349" spans="1:49" x14ac:dyDescent="0.2">
      <c r="A1349">
        <v>724</v>
      </c>
      <c r="E1349">
        <f t="shared" si="461"/>
        <v>2</v>
      </c>
      <c r="J1349" t="str">
        <f t="shared" si="447"/>
        <v>6</v>
      </c>
      <c r="K1349" t="str">
        <f t="shared" si="448"/>
        <v>04</v>
      </c>
      <c r="L1349" t="str">
        <f t="shared" si="449"/>
        <v/>
      </c>
      <c r="M1349" s="6" t="str">
        <f t="shared" si="450"/>
        <v/>
      </c>
      <c r="N1349" t="str">
        <f t="shared" si="446"/>
        <v>Home</v>
      </c>
      <c r="O1349">
        <v>70</v>
      </c>
      <c r="P1349" t="s">
        <v>425</v>
      </c>
      <c r="Y1349" t="str">
        <f t="shared" si="454"/>
        <v/>
      </c>
      <c r="Z1349" t="str">
        <f t="shared" si="455"/>
        <v/>
      </c>
      <c r="AC1349" t="str">
        <f t="shared" si="451"/>
        <v>Zone_Entry_Exit</v>
      </c>
      <c r="AD1349" t="str">
        <f t="shared" si="452"/>
        <v>Zone_Exit</v>
      </c>
      <c r="AE1349" t="str">
        <f t="shared" si="453"/>
        <v>ZoneExit-Pass</v>
      </c>
      <c r="AF1349" t="str">
        <f t="shared" si="456"/>
        <v>Defensive</v>
      </c>
      <c r="AG1349">
        <f t="shared" si="462"/>
        <v>18981</v>
      </c>
      <c r="AH1349" t="str">
        <f t="shared" si="463"/>
        <v>Nelson</v>
      </c>
      <c r="AI1349" t="str">
        <f t="shared" si="464"/>
        <v>Velodrome</v>
      </c>
      <c r="AJ1349" s="18">
        <f t="shared" si="457"/>
        <v>0</v>
      </c>
      <c r="AP1349" s="18">
        <f t="shared" si="458"/>
        <v>0</v>
      </c>
      <c r="AQ1349">
        <f t="shared" si="459"/>
        <v>1080</v>
      </c>
      <c r="AR1349" s="23">
        <f t="shared" si="460"/>
        <v>1796</v>
      </c>
      <c r="AS1349">
        <f t="shared" si="465"/>
        <v>1791</v>
      </c>
      <c r="AT1349" s="21">
        <f t="shared" si="466"/>
        <v>1796</v>
      </c>
      <c r="AU1349" s="21"/>
      <c r="AV1349" s="21"/>
      <c r="AW1349" s="21"/>
    </row>
    <row r="1350" spans="1:49" x14ac:dyDescent="0.2">
      <c r="A1350">
        <v>725</v>
      </c>
      <c r="E1350">
        <f t="shared" si="461"/>
        <v>2</v>
      </c>
      <c r="F1350" s="5" t="s">
        <v>541</v>
      </c>
      <c r="G1350" s="5" t="s">
        <v>480</v>
      </c>
      <c r="J1350" t="str">
        <f t="shared" si="447"/>
        <v>6</v>
      </c>
      <c r="K1350" t="str">
        <f t="shared" si="448"/>
        <v>04</v>
      </c>
      <c r="L1350" t="str">
        <f t="shared" si="449"/>
        <v/>
      </c>
      <c r="M1350" s="6" t="str">
        <f t="shared" si="450"/>
        <v/>
      </c>
      <c r="N1350" t="s">
        <v>178</v>
      </c>
      <c r="O1350">
        <v>80</v>
      </c>
      <c r="P1350" t="s">
        <v>424</v>
      </c>
      <c r="Q1350" t="s">
        <v>277</v>
      </c>
      <c r="R1350" t="s">
        <v>191</v>
      </c>
      <c r="S1350" t="s">
        <v>447</v>
      </c>
      <c r="Y1350" t="str">
        <f t="shared" si="454"/>
        <v/>
      </c>
      <c r="Z1350" t="str">
        <f t="shared" si="455"/>
        <v/>
      </c>
      <c r="AC1350" t="str">
        <f t="shared" si="451"/>
        <v>Zone_Entry_Exit</v>
      </c>
      <c r="AD1350" t="str">
        <f t="shared" si="452"/>
        <v>Zone_Entry</v>
      </c>
      <c r="AE1350" t="str">
        <f t="shared" si="453"/>
        <v>ZoneEntry-PassMiss/Misplay</v>
      </c>
      <c r="AF1350" t="str">
        <f t="shared" si="456"/>
        <v>Offensive</v>
      </c>
      <c r="AG1350">
        <f t="shared" si="462"/>
        <v>18981</v>
      </c>
      <c r="AH1350" t="str">
        <f t="shared" si="463"/>
        <v>Nelson</v>
      </c>
      <c r="AI1350" t="str">
        <f t="shared" si="464"/>
        <v>Velodrome</v>
      </c>
      <c r="AJ1350" s="18">
        <f t="shared" si="457"/>
        <v>0</v>
      </c>
      <c r="AP1350" s="18">
        <f t="shared" si="458"/>
        <v>0</v>
      </c>
      <c r="AQ1350">
        <f t="shared" si="459"/>
        <v>1080</v>
      </c>
      <c r="AR1350" s="23">
        <f t="shared" si="460"/>
        <v>1796</v>
      </c>
      <c r="AS1350">
        <f t="shared" si="465"/>
        <v>1791</v>
      </c>
      <c r="AT1350" s="21">
        <f t="shared" si="466"/>
        <v>1796</v>
      </c>
      <c r="AU1350" s="21"/>
      <c r="AV1350" s="21"/>
      <c r="AW1350" s="21"/>
    </row>
    <row r="1351" spans="1:49" x14ac:dyDescent="0.2">
      <c r="A1351">
        <v>726</v>
      </c>
      <c r="E1351">
        <f t="shared" si="461"/>
        <v>2</v>
      </c>
      <c r="F1351" s="5" t="s">
        <v>541</v>
      </c>
      <c r="G1351" s="5" t="s">
        <v>480</v>
      </c>
      <c r="J1351" t="str">
        <f t="shared" si="447"/>
        <v>6</v>
      </c>
      <c r="K1351" t="str">
        <f t="shared" si="448"/>
        <v>04</v>
      </c>
      <c r="L1351" t="str">
        <f t="shared" si="449"/>
        <v/>
      </c>
      <c r="M1351" s="6" t="str">
        <f t="shared" si="450"/>
        <v/>
      </c>
      <c r="N1351" t="s">
        <v>178</v>
      </c>
      <c r="O1351">
        <v>80</v>
      </c>
      <c r="P1351" t="s">
        <v>424</v>
      </c>
      <c r="Q1351" t="s">
        <v>10</v>
      </c>
      <c r="R1351" t="s">
        <v>190</v>
      </c>
      <c r="S1351" t="s">
        <v>440</v>
      </c>
      <c r="Y1351" t="str">
        <f t="shared" si="454"/>
        <v/>
      </c>
      <c r="Z1351" t="str">
        <f t="shared" si="455"/>
        <v/>
      </c>
      <c r="AC1351" t="str">
        <f t="shared" si="451"/>
        <v>Turnover</v>
      </c>
      <c r="AD1351" t="str">
        <f t="shared" si="452"/>
        <v>Turnover_Giveaway</v>
      </c>
      <c r="AE1351" t="str">
        <f t="shared" si="453"/>
        <v>Giveaway-ZoneEntry/ExitMisplay</v>
      </c>
      <c r="AF1351" t="str">
        <f t="shared" si="456"/>
        <v>Offensive</v>
      </c>
      <c r="AG1351">
        <f t="shared" si="462"/>
        <v>18981</v>
      </c>
      <c r="AH1351" t="str">
        <f t="shared" si="463"/>
        <v>Nelson</v>
      </c>
      <c r="AI1351" t="str">
        <f t="shared" si="464"/>
        <v>Velodrome</v>
      </c>
      <c r="AJ1351" s="18">
        <f t="shared" si="457"/>
        <v>0</v>
      </c>
      <c r="AP1351" s="18">
        <f t="shared" si="458"/>
        <v>0</v>
      </c>
      <c r="AQ1351">
        <f t="shared" si="459"/>
        <v>1080</v>
      </c>
      <c r="AR1351" s="23">
        <f t="shared" si="460"/>
        <v>1796</v>
      </c>
      <c r="AS1351">
        <f t="shared" si="465"/>
        <v>1791</v>
      </c>
      <c r="AT1351" s="21">
        <f t="shared" si="466"/>
        <v>1796</v>
      </c>
      <c r="AU1351" s="21"/>
      <c r="AV1351" s="21"/>
      <c r="AW1351" s="21"/>
    </row>
    <row r="1352" spans="1:49" x14ac:dyDescent="0.2">
      <c r="A1352">
        <v>727</v>
      </c>
      <c r="E1352">
        <f t="shared" si="461"/>
        <v>2</v>
      </c>
      <c r="F1352" s="5" t="s">
        <v>540</v>
      </c>
      <c r="G1352" s="5" t="s">
        <v>529</v>
      </c>
      <c r="J1352" t="str">
        <f t="shared" si="447"/>
        <v>5</v>
      </c>
      <c r="K1352" t="str">
        <f t="shared" si="448"/>
        <v>57</v>
      </c>
      <c r="L1352" t="str">
        <f t="shared" si="449"/>
        <v/>
      </c>
      <c r="M1352" s="6" t="str">
        <f t="shared" si="450"/>
        <v/>
      </c>
      <c r="N1352" t="s">
        <v>179</v>
      </c>
      <c r="O1352">
        <v>9</v>
      </c>
      <c r="P1352" t="s">
        <v>424</v>
      </c>
      <c r="Q1352" t="s">
        <v>10</v>
      </c>
      <c r="R1352" t="s">
        <v>190</v>
      </c>
      <c r="S1352" t="s">
        <v>422</v>
      </c>
      <c r="Y1352" t="str">
        <f t="shared" si="454"/>
        <v/>
      </c>
      <c r="Z1352" t="str">
        <f t="shared" si="455"/>
        <v/>
      </c>
      <c r="AC1352" t="str">
        <f t="shared" si="451"/>
        <v>Turnover</v>
      </c>
      <c r="AD1352" t="str">
        <f t="shared" si="452"/>
        <v>Turnover_Giveaway</v>
      </c>
      <c r="AE1352" t="str">
        <f t="shared" si="453"/>
        <v>Giveaway-AttemptedZoneClear/Dump</v>
      </c>
      <c r="AF1352" t="str">
        <f t="shared" si="456"/>
        <v>Offensive</v>
      </c>
      <c r="AG1352">
        <f t="shared" si="462"/>
        <v>18981</v>
      </c>
      <c r="AH1352" t="str">
        <f t="shared" si="463"/>
        <v>Nelson</v>
      </c>
      <c r="AI1352" t="str">
        <f t="shared" si="464"/>
        <v>Velodrome</v>
      </c>
      <c r="AJ1352" s="18">
        <f t="shared" si="457"/>
        <v>0</v>
      </c>
      <c r="AP1352" s="18">
        <f t="shared" si="458"/>
        <v>0</v>
      </c>
      <c r="AQ1352">
        <f t="shared" si="459"/>
        <v>1080</v>
      </c>
      <c r="AR1352" s="23">
        <f t="shared" si="460"/>
        <v>1803</v>
      </c>
      <c r="AS1352">
        <f t="shared" si="465"/>
        <v>1798</v>
      </c>
      <c r="AT1352" s="21">
        <f t="shared" si="466"/>
        <v>1803</v>
      </c>
      <c r="AU1352" s="21"/>
      <c r="AV1352" s="21"/>
      <c r="AW1352" s="21"/>
    </row>
    <row r="1353" spans="1:49" x14ac:dyDescent="0.2">
      <c r="A1353">
        <v>728</v>
      </c>
      <c r="E1353">
        <f t="shared" si="461"/>
        <v>2</v>
      </c>
      <c r="F1353" s="5" t="s">
        <v>540</v>
      </c>
      <c r="G1353" s="5" t="s">
        <v>527</v>
      </c>
      <c r="J1353" t="str">
        <f t="shared" ref="J1353:J1416" si="467">IF(F1353&lt;&gt;"",F1353,IF($A1353=$A1352,J1352,J1353))</f>
        <v>5</v>
      </c>
      <c r="K1353" t="str">
        <f t="shared" ref="K1353:K1416" si="468">IF($A1353=$A1352,K1352,G1353)</f>
        <v>55</v>
      </c>
      <c r="L1353" t="str">
        <f t="shared" ref="L1353:L1416" si="469">IF(H1353&lt;&gt;"",H1353,IF($A1353=$A1352,L1352,""))</f>
        <v/>
      </c>
      <c r="M1353" s="6" t="str">
        <f t="shared" ref="M1353:M1416" si="470">IF(I1353&lt;&gt;"",I1353,IF($A1353=$A1352,M1352,""))</f>
        <v/>
      </c>
      <c r="N1353" t="s">
        <v>178</v>
      </c>
      <c r="O1353">
        <v>80</v>
      </c>
      <c r="P1353" t="s">
        <v>424</v>
      </c>
      <c r="Q1353" t="s">
        <v>277</v>
      </c>
      <c r="R1353" t="s">
        <v>210</v>
      </c>
      <c r="S1353" t="s">
        <v>93</v>
      </c>
      <c r="Y1353" t="str">
        <f t="shared" si="454"/>
        <v/>
      </c>
      <c r="Z1353" t="str">
        <f t="shared" si="455"/>
        <v/>
      </c>
      <c r="AC1353" t="str">
        <f t="shared" si="451"/>
        <v>Zone_Entry_Exit</v>
      </c>
      <c r="AD1353" t="str">
        <f t="shared" si="452"/>
        <v>Zone_Keepin</v>
      </c>
      <c r="AE1353" t="str">
        <f t="shared" si="453"/>
        <v>Zone-KeepIn</v>
      </c>
      <c r="AF1353" t="str">
        <f t="shared" si="456"/>
        <v>Offensive</v>
      </c>
      <c r="AG1353">
        <f t="shared" si="462"/>
        <v>18981</v>
      </c>
      <c r="AH1353" t="str">
        <f t="shared" si="463"/>
        <v>Nelson</v>
      </c>
      <c r="AI1353" t="str">
        <f t="shared" si="464"/>
        <v>Velodrome</v>
      </c>
      <c r="AJ1353" s="18">
        <f t="shared" si="457"/>
        <v>0</v>
      </c>
      <c r="AP1353" s="18">
        <f t="shared" si="458"/>
        <v>0</v>
      </c>
      <c r="AQ1353">
        <f t="shared" si="459"/>
        <v>1080</v>
      </c>
      <c r="AR1353" s="23">
        <f t="shared" si="460"/>
        <v>1805</v>
      </c>
      <c r="AS1353">
        <f t="shared" si="465"/>
        <v>1800</v>
      </c>
      <c r="AT1353" s="21">
        <f t="shared" si="466"/>
        <v>1805</v>
      </c>
      <c r="AU1353" s="21"/>
      <c r="AV1353" s="21"/>
      <c r="AW1353" s="21"/>
    </row>
    <row r="1354" spans="1:49" x14ac:dyDescent="0.2">
      <c r="A1354">
        <v>729</v>
      </c>
      <c r="E1354">
        <f t="shared" si="461"/>
        <v>2</v>
      </c>
      <c r="F1354" s="5" t="s">
        <v>540</v>
      </c>
      <c r="G1354" s="5" t="s">
        <v>527</v>
      </c>
      <c r="H1354" s="5" t="s">
        <v>540</v>
      </c>
      <c r="I1354" s="7" t="s">
        <v>525</v>
      </c>
      <c r="J1354" t="str">
        <f t="shared" si="467"/>
        <v>5</v>
      </c>
      <c r="K1354" t="str">
        <f t="shared" si="468"/>
        <v>55</v>
      </c>
      <c r="L1354" t="str">
        <f t="shared" si="469"/>
        <v>5</v>
      </c>
      <c r="M1354" s="6" t="str">
        <f t="shared" si="470"/>
        <v>53</v>
      </c>
      <c r="N1354" t="s">
        <v>178</v>
      </c>
      <c r="O1354">
        <v>80</v>
      </c>
      <c r="P1354" t="s">
        <v>424</v>
      </c>
      <c r="Q1354" t="s">
        <v>15</v>
      </c>
      <c r="Y1354" t="str">
        <f t="shared" si="454"/>
        <v/>
      </c>
      <c r="Z1354" t="str">
        <f t="shared" si="455"/>
        <v/>
      </c>
      <c r="AC1354" t="str">
        <f t="shared" si="451"/>
        <v>Possession</v>
      </c>
      <c r="AD1354" t="str">
        <f t="shared" si="452"/>
        <v/>
      </c>
      <c r="AE1354" t="str">
        <f t="shared" si="453"/>
        <v/>
      </c>
      <c r="AF1354" t="str">
        <f t="shared" si="456"/>
        <v>Offensive</v>
      </c>
      <c r="AG1354">
        <f t="shared" si="462"/>
        <v>18981</v>
      </c>
      <c r="AH1354" t="str">
        <f t="shared" si="463"/>
        <v>Nelson</v>
      </c>
      <c r="AI1354" t="str">
        <f t="shared" si="464"/>
        <v>Velodrome</v>
      </c>
      <c r="AJ1354" s="18">
        <f t="shared" si="457"/>
        <v>2</v>
      </c>
      <c r="AP1354" s="18">
        <f t="shared" si="458"/>
        <v>0</v>
      </c>
      <c r="AQ1354">
        <f t="shared" si="459"/>
        <v>1080</v>
      </c>
      <c r="AR1354" s="23">
        <f t="shared" si="460"/>
        <v>1805</v>
      </c>
      <c r="AS1354">
        <f t="shared" si="465"/>
        <v>1800</v>
      </c>
      <c r="AT1354" s="21">
        <f t="shared" si="466"/>
        <v>1807</v>
      </c>
      <c r="AU1354" s="21"/>
      <c r="AV1354" s="21"/>
      <c r="AW1354" s="21"/>
    </row>
    <row r="1355" spans="1:49" x14ac:dyDescent="0.2">
      <c r="A1355">
        <v>729</v>
      </c>
      <c r="E1355">
        <f t="shared" si="461"/>
        <v>2</v>
      </c>
      <c r="J1355" t="str">
        <f t="shared" si="467"/>
        <v>5</v>
      </c>
      <c r="K1355" t="str">
        <f t="shared" si="468"/>
        <v>55</v>
      </c>
      <c r="L1355" t="str">
        <f t="shared" si="469"/>
        <v>5</v>
      </c>
      <c r="M1355" s="6" t="str">
        <f t="shared" si="470"/>
        <v>53</v>
      </c>
      <c r="N1355" t="str">
        <f t="shared" ref="N1355:N1413" si="471">IF(A1355=A1354,N1354,"")</f>
        <v>Home</v>
      </c>
      <c r="O1355">
        <v>93</v>
      </c>
      <c r="P1355" t="s">
        <v>425</v>
      </c>
      <c r="Y1355" t="str">
        <f t="shared" si="454"/>
        <v/>
      </c>
      <c r="Z1355" t="str">
        <f t="shared" si="455"/>
        <v/>
      </c>
      <c r="AC1355" t="str">
        <f t="shared" si="451"/>
        <v>Possession</v>
      </c>
      <c r="AD1355" t="str">
        <f t="shared" si="452"/>
        <v/>
      </c>
      <c r="AE1355" t="str">
        <f t="shared" si="453"/>
        <v/>
      </c>
      <c r="AF1355" t="str">
        <f t="shared" si="456"/>
        <v>Defensive</v>
      </c>
      <c r="AG1355">
        <f t="shared" si="462"/>
        <v>18981</v>
      </c>
      <c r="AH1355" t="str">
        <f t="shared" si="463"/>
        <v>Nelson</v>
      </c>
      <c r="AI1355" t="str">
        <f t="shared" si="464"/>
        <v>Velodrome</v>
      </c>
      <c r="AJ1355" s="18">
        <f t="shared" si="457"/>
        <v>2</v>
      </c>
      <c r="AP1355" s="18">
        <f t="shared" si="458"/>
        <v>0</v>
      </c>
      <c r="AQ1355">
        <f t="shared" si="459"/>
        <v>1080</v>
      </c>
      <c r="AR1355" s="23">
        <f t="shared" si="460"/>
        <v>1805</v>
      </c>
      <c r="AS1355">
        <f t="shared" si="465"/>
        <v>1800</v>
      </c>
      <c r="AT1355" s="21">
        <f t="shared" si="466"/>
        <v>1807</v>
      </c>
      <c r="AU1355" s="21"/>
      <c r="AV1355" s="21"/>
      <c r="AW1355" s="21"/>
    </row>
    <row r="1356" spans="1:49" x14ac:dyDescent="0.2">
      <c r="A1356">
        <v>730</v>
      </c>
      <c r="E1356">
        <f t="shared" si="461"/>
        <v>2</v>
      </c>
      <c r="F1356" s="5" t="s">
        <v>540</v>
      </c>
      <c r="G1356" s="5" t="s">
        <v>525</v>
      </c>
      <c r="J1356" t="str">
        <f t="shared" si="467"/>
        <v>5</v>
      </c>
      <c r="K1356" t="str">
        <f t="shared" si="468"/>
        <v>53</v>
      </c>
      <c r="L1356" t="str">
        <f t="shared" si="469"/>
        <v/>
      </c>
      <c r="M1356" s="6" t="str">
        <f t="shared" si="470"/>
        <v/>
      </c>
      <c r="N1356" t="s">
        <v>178</v>
      </c>
      <c r="O1356">
        <v>80</v>
      </c>
      <c r="P1356" t="s">
        <v>424</v>
      </c>
      <c r="Q1356" t="s">
        <v>8</v>
      </c>
      <c r="R1356" t="s">
        <v>209</v>
      </c>
      <c r="S1356" t="s">
        <v>69</v>
      </c>
      <c r="Y1356" t="str">
        <f t="shared" si="454"/>
        <v/>
      </c>
      <c r="Z1356" t="str">
        <f t="shared" si="455"/>
        <v/>
      </c>
      <c r="AC1356" t="str">
        <f t="shared" si="451"/>
        <v>Pass</v>
      </c>
      <c r="AD1356" t="str">
        <f t="shared" si="452"/>
        <v>Pass_Deflected</v>
      </c>
      <c r="AE1356" t="str">
        <f t="shared" si="453"/>
        <v>Pass-Backhand</v>
      </c>
      <c r="AF1356" t="str">
        <f t="shared" si="456"/>
        <v>Offensive</v>
      </c>
      <c r="AG1356">
        <f t="shared" si="462"/>
        <v>18981</v>
      </c>
      <c r="AH1356" t="str">
        <f t="shared" si="463"/>
        <v>Nelson</v>
      </c>
      <c r="AI1356" t="str">
        <f t="shared" si="464"/>
        <v>Velodrome</v>
      </c>
      <c r="AJ1356" s="18">
        <f t="shared" si="457"/>
        <v>0</v>
      </c>
      <c r="AP1356" s="18">
        <f t="shared" si="458"/>
        <v>0</v>
      </c>
      <c r="AQ1356">
        <f t="shared" si="459"/>
        <v>1080</v>
      </c>
      <c r="AR1356" s="23">
        <f t="shared" si="460"/>
        <v>1807</v>
      </c>
      <c r="AS1356">
        <f t="shared" si="465"/>
        <v>1802</v>
      </c>
      <c r="AT1356" s="21">
        <f t="shared" si="466"/>
        <v>1807</v>
      </c>
      <c r="AU1356" s="21"/>
      <c r="AV1356" s="21"/>
      <c r="AW1356" s="21"/>
    </row>
    <row r="1357" spans="1:49" x14ac:dyDescent="0.2">
      <c r="A1357">
        <v>730</v>
      </c>
      <c r="E1357">
        <f t="shared" si="461"/>
        <v>2</v>
      </c>
      <c r="J1357" t="str">
        <f t="shared" si="467"/>
        <v>5</v>
      </c>
      <c r="K1357" t="str">
        <f t="shared" si="468"/>
        <v>53</v>
      </c>
      <c r="L1357" t="str">
        <f t="shared" si="469"/>
        <v/>
      </c>
      <c r="M1357" s="6" t="str">
        <f t="shared" si="470"/>
        <v/>
      </c>
      <c r="N1357" t="str">
        <f t="shared" si="471"/>
        <v>Home</v>
      </c>
      <c r="O1357">
        <v>7</v>
      </c>
      <c r="P1357" t="s">
        <v>424</v>
      </c>
      <c r="Y1357" t="str">
        <f t="shared" si="454"/>
        <v/>
      </c>
      <c r="Z1357" t="str">
        <f t="shared" si="455"/>
        <v/>
      </c>
      <c r="AC1357" t="str">
        <f t="shared" si="451"/>
        <v>Pass</v>
      </c>
      <c r="AD1357" t="str">
        <f t="shared" si="452"/>
        <v>Pass_Deflected</v>
      </c>
      <c r="AE1357" t="str">
        <f t="shared" si="453"/>
        <v>Pass-Backhand</v>
      </c>
      <c r="AF1357" t="str">
        <f t="shared" si="456"/>
        <v>Offensive</v>
      </c>
      <c r="AG1357">
        <f t="shared" si="462"/>
        <v>18981</v>
      </c>
      <c r="AH1357" t="str">
        <f t="shared" si="463"/>
        <v>Nelson</v>
      </c>
      <c r="AI1357" t="str">
        <f t="shared" si="464"/>
        <v>Velodrome</v>
      </c>
      <c r="AJ1357" s="18">
        <f t="shared" si="457"/>
        <v>0</v>
      </c>
      <c r="AP1357" s="18">
        <f t="shared" si="458"/>
        <v>0</v>
      </c>
      <c r="AQ1357">
        <f t="shared" si="459"/>
        <v>1080</v>
      </c>
      <c r="AR1357" s="23">
        <f t="shared" si="460"/>
        <v>1807</v>
      </c>
      <c r="AS1357">
        <f t="shared" si="465"/>
        <v>1802</v>
      </c>
      <c r="AT1357" s="21">
        <f t="shared" si="466"/>
        <v>1807</v>
      </c>
      <c r="AU1357" s="21"/>
      <c r="AV1357" s="21"/>
      <c r="AW1357" s="21"/>
    </row>
    <row r="1358" spans="1:49" x14ac:dyDescent="0.2">
      <c r="A1358">
        <v>730</v>
      </c>
      <c r="E1358">
        <f t="shared" si="461"/>
        <v>2</v>
      </c>
      <c r="J1358" t="str">
        <f t="shared" si="467"/>
        <v>5</v>
      </c>
      <c r="K1358" t="str">
        <f t="shared" si="468"/>
        <v>53</v>
      </c>
      <c r="L1358" t="str">
        <f t="shared" si="469"/>
        <v/>
      </c>
      <c r="M1358" s="6" t="str">
        <f t="shared" si="470"/>
        <v/>
      </c>
      <c r="N1358" t="str">
        <f t="shared" si="471"/>
        <v>Home</v>
      </c>
      <c r="O1358">
        <v>9</v>
      </c>
      <c r="P1358" t="s">
        <v>425</v>
      </c>
      <c r="Y1358" t="str">
        <f t="shared" si="454"/>
        <v/>
      </c>
      <c r="Z1358" t="str">
        <f t="shared" si="455"/>
        <v/>
      </c>
      <c r="AC1358" t="str">
        <f t="shared" si="451"/>
        <v>Pass</v>
      </c>
      <c r="AD1358" t="str">
        <f t="shared" si="452"/>
        <v>Pass_Deflected</v>
      </c>
      <c r="AE1358" t="str">
        <f t="shared" si="453"/>
        <v>Pass-Backhand</v>
      </c>
      <c r="AF1358" t="str">
        <f t="shared" si="456"/>
        <v>Defensive</v>
      </c>
      <c r="AG1358">
        <f t="shared" si="462"/>
        <v>18981</v>
      </c>
      <c r="AH1358" t="str">
        <f t="shared" si="463"/>
        <v>Nelson</v>
      </c>
      <c r="AI1358" t="str">
        <f t="shared" si="464"/>
        <v>Velodrome</v>
      </c>
      <c r="AJ1358" s="18">
        <f t="shared" si="457"/>
        <v>0</v>
      </c>
      <c r="AP1358" s="18">
        <f t="shared" si="458"/>
        <v>0</v>
      </c>
      <c r="AQ1358">
        <f t="shared" si="459"/>
        <v>1080</v>
      </c>
      <c r="AR1358" s="23">
        <f t="shared" si="460"/>
        <v>1807</v>
      </c>
      <c r="AS1358">
        <f t="shared" si="465"/>
        <v>1802</v>
      </c>
      <c r="AT1358" s="21">
        <f t="shared" si="466"/>
        <v>1807</v>
      </c>
      <c r="AU1358" s="21"/>
      <c r="AV1358" s="21"/>
      <c r="AW1358" s="21"/>
    </row>
    <row r="1359" spans="1:49" x14ac:dyDescent="0.2">
      <c r="A1359">
        <v>731</v>
      </c>
      <c r="E1359">
        <f t="shared" si="461"/>
        <v>2</v>
      </c>
      <c r="F1359" s="5" t="s">
        <v>540</v>
      </c>
      <c r="G1359" s="5" t="s">
        <v>521</v>
      </c>
      <c r="J1359" t="str">
        <f t="shared" si="467"/>
        <v>5</v>
      </c>
      <c r="K1359" t="str">
        <f t="shared" si="468"/>
        <v>49</v>
      </c>
      <c r="L1359" t="str">
        <f t="shared" si="469"/>
        <v/>
      </c>
      <c r="M1359" s="6" t="str">
        <f t="shared" si="470"/>
        <v/>
      </c>
      <c r="N1359" t="s">
        <v>178</v>
      </c>
      <c r="O1359">
        <v>44</v>
      </c>
      <c r="P1359" t="s">
        <v>424</v>
      </c>
      <c r="Q1359" t="s">
        <v>277</v>
      </c>
      <c r="R1359" t="s">
        <v>210</v>
      </c>
      <c r="S1359" t="s">
        <v>93</v>
      </c>
      <c r="Y1359" t="str">
        <f t="shared" si="454"/>
        <v/>
      </c>
      <c r="Z1359" t="str">
        <f t="shared" si="455"/>
        <v/>
      </c>
      <c r="AC1359" t="str">
        <f t="shared" si="451"/>
        <v>Zone_Entry_Exit</v>
      </c>
      <c r="AD1359" t="str">
        <f t="shared" si="452"/>
        <v>Zone_Keepin</v>
      </c>
      <c r="AE1359" t="str">
        <f t="shared" si="453"/>
        <v>Zone-KeepIn</v>
      </c>
      <c r="AF1359" t="str">
        <f t="shared" si="456"/>
        <v>Offensive</v>
      </c>
      <c r="AG1359">
        <f t="shared" si="462"/>
        <v>18981</v>
      </c>
      <c r="AH1359" t="str">
        <f t="shared" si="463"/>
        <v>Nelson</v>
      </c>
      <c r="AI1359" t="str">
        <f t="shared" si="464"/>
        <v>Velodrome</v>
      </c>
      <c r="AJ1359" s="18">
        <f t="shared" si="457"/>
        <v>0</v>
      </c>
      <c r="AP1359" s="18">
        <f t="shared" si="458"/>
        <v>0</v>
      </c>
      <c r="AQ1359">
        <f t="shared" si="459"/>
        <v>1080</v>
      </c>
      <c r="AR1359" s="23">
        <f t="shared" si="460"/>
        <v>1811</v>
      </c>
      <c r="AS1359">
        <f t="shared" si="465"/>
        <v>1806</v>
      </c>
      <c r="AT1359" s="21">
        <f t="shared" si="466"/>
        <v>1811</v>
      </c>
      <c r="AU1359" s="21"/>
      <c r="AV1359" s="21"/>
      <c r="AW1359" s="21"/>
    </row>
    <row r="1360" spans="1:49" x14ac:dyDescent="0.2">
      <c r="A1360">
        <v>732</v>
      </c>
      <c r="E1360">
        <f t="shared" si="461"/>
        <v>2</v>
      </c>
      <c r="F1360" s="5" t="s">
        <v>540</v>
      </c>
      <c r="G1360" s="5" t="s">
        <v>521</v>
      </c>
      <c r="H1360" s="5" t="s">
        <v>540</v>
      </c>
      <c r="I1360" s="7" t="s">
        <v>518</v>
      </c>
      <c r="J1360" t="str">
        <f t="shared" si="467"/>
        <v>5</v>
      </c>
      <c r="K1360" t="str">
        <f t="shared" si="468"/>
        <v>49</v>
      </c>
      <c r="L1360" t="str">
        <f t="shared" si="469"/>
        <v>5</v>
      </c>
      <c r="M1360" s="6" t="str">
        <f t="shared" si="470"/>
        <v>46</v>
      </c>
      <c r="N1360" t="s">
        <v>178</v>
      </c>
      <c r="O1360">
        <v>44</v>
      </c>
      <c r="P1360" t="s">
        <v>424</v>
      </c>
      <c r="Q1360" t="s">
        <v>15</v>
      </c>
      <c r="Y1360" t="str">
        <f t="shared" si="454"/>
        <v/>
      </c>
      <c r="Z1360" t="str">
        <f t="shared" si="455"/>
        <v/>
      </c>
      <c r="AC1360" t="str">
        <f t="shared" si="451"/>
        <v>Possession</v>
      </c>
      <c r="AD1360" t="str">
        <f t="shared" si="452"/>
        <v/>
      </c>
      <c r="AE1360" t="str">
        <f t="shared" si="453"/>
        <v/>
      </c>
      <c r="AF1360" t="str">
        <f t="shared" si="456"/>
        <v>Offensive</v>
      </c>
      <c r="AG1360">
        <f t="shared" si="462"/>
        <v>18981</v>
      </c>
      <c r="AH1360" t="str">
        <f t="shared" si="463"/>
        <v>Nelson</v>
      </c>
      <c r="AI1360" t="str">
        <f t="shared" si="464"/>
        <v>Velodrome</v>
      </c>
      <c r="AJ1360" s="18">
        <f t="shared" si="457"/>
        <v>3</v>
      </c>
      <c r="AP1360" s="18">
        <f t="shared" si="458"/>
        <v>0</v>
      </c>
      <c r="AQ1360">
        <f t="shared" si="459"/>
        <v>1080</v>
      </c>
      <c r="AR1360" s="23">
        <f t="shared" si="460"/>
        <v>1811</v>
      </c>
      <c r="AS1360">
        <f t="shared" si="465"/>
        <v>1806</v>
      </c>
      <c r="AT1360" s="21">
        <f t="shared" si="466"/>
        <v>1814</v>
      </c>
      <c r="AU1360" s="21"/>
      <c r="AV1360" s="21"/>
      <c r="AW1360" s="21"/>
    </row>
    <row r="1361" spans="1:49" x14ac:dyDescent="0.2">
      <c r="A1361">
        <v>732</v>
      </c>
      <c r="E1361">
        <f t="shared" si="461"/>
        <v>2</v>
      </c>
      <c r="J1361" t="str">
        <f t="shared" si="467"/>
        <v>5</v>
      </c>
      <c r="K1361" t="str">
        <f t="shared" si="468"/>
        <v>49</v>
      </c>
      <c r="L1361" t="str">
        <f t="shared" si="469"/>
        <v>5</v>
      </c>
      <c r="M1361" s="6" t="str">
        <f t="shared" si="470"/>
        <v>46</v>
      </c>
      <c r="N1361" t="str">
        <f t="shared" si="471"/>
        <v>Home</v>
      </c>
      <c r="O1361">
        <v>70</v>
      </c>
      <c r="P1361" t="s">
        <v>425</v>
      </c>
      <c r="Y1361" t="str">
        <f t="shared" si="454"/>
        <v/>
      </c>
      <c r="Z1361" t="str">
        <f t="shared" si="455"/>
        <v/>
      </c>
      <c r="AC1361" t="str">
        <f t="shared" si="451"/>
        <v>Possession</v>
      </c>
      <c r="AD1361" t="str">
        <f t="shared" si="452"/>
        <v/>
      </c>
      <c r="AE1361" t="str">
        <f t="shared" si="453"/>
        <v/>
      </c>
      <c r="AF1361" t="str">
        <f t="shared" si="456"/>
        <v>Defensive</v>
      </c>
      <c r="AG1361">
        <f t="shared" si="462"/>
        <v>18981</v>
      </c>
      <c r="AH1361" t="str">
        <f t="shared" si="463"/>
        <v>Nelson</v>
      </c>
      <c r="AI1361" t="str">
        <f t="shared" si="464"/>
        <v>Velodrome</v>
      </c>
      <c r="AJ1361" s="18">
        <f t="shared" si="457"/>
        <v>3</v>
      </c>
      <c r="AP1361" s="18">
        <f t="shared" si="458"/>
        <v>0</v>
      </c>
      <c r="AQ1361">
        <f t="shared" si="459"/>
        <v>1080</v>
      </c>
      <c r="AR1361" s="23">
        <f t="shared" si="460"/>
        <v>1811</v>
      </c>
      <c r="AS1361">
        <f t="shared" si="465"/>
        <v>1806</v>
      </c>
      <c r="AT1361" s="21">
        <f t="shared" si="466"/>
        <v>1814</v>
      </c>
      <c r="AU1361" s="21"/>
      <c r="AV1361" s="21"/>
      <c r="AW1361" s="21"/>
    </row>
    <row r="1362" spans="1:49" x14ac:dyDescent="0.2">
      <c r="A1362">
        <v>733</v>
      </c>
      <c r="E1362">
        <f t="shared" si="461"/>
        <v>2</v>
      </c>
      <c r="F1362" s="5" t="s">
        <v>540</v>
      </c>
      <c r="G1362" s="5" t="s">
        <v>518</v>
      </c>
      <c r="J1362" t="str">
        <f t="shared" si="467"/>
        <v>5</v>
      </c>
      <c r="K1362" t="str">
        <f t="shared" si="468"/>
        <v>46</v>
      </c>
      <c r="L1362" t="str">
        <f t="shared" si="469"/>
        <v/>
      </c>
      <c r="M1362" s="6" t="str">
        <f t="shared" si="470"/>
        <v/>
      </c>
      <c r="N1362" t="s">
        <v>178</v>
      </c>
      <c r="O1362">
        <v>44</v>
      </c>
      <c r="P1362" t="s">
        <v>424</v>
      </c>
      <c r="Q1362" t="s">
        <v>7</v>
      </c>
      <c r="R1362" t="s">
        <v>222</v>
      </c>
      <c r="S1362" t="s">
        <v>53</v>
      </c>
      <c r="Y1362" t="str">
        <f t="shared" si="454"/>
        <v/>
      </c>
      <c r="Z1362" t="str">
        <f t="shared" si="455"/>
        <v/>
      </c>
      <c r="AC1362" t="str">
        <f t="shared" si="451"/>
        <v>Shot</v>
      </c>
      <c r="AD1362" t="str">
        <f t="shared" si="452"/>
        <v>Shot_OnNetSaved</v>
      </c>
      <c r="AE1362" t="str">
        <f t="shared" si="453"/>
        <v>Shot-Wrist</v>
      </c>
      <c r="AF1362" t="str">
        <f t="shared" si="456"/>
        <v>Offensive</v>
      </c>
      <c r="AG1362">
        <f t="shared" si="462"/>
        <v>18981</v>
      </c>
      <c r="AH1362" t="str">
        <f t="shared" si="463"/>
        <v>Nelson</v>
      </c>
      <c r="AI1362" t="str">
        <f t="shared" si="464"/>
        <v>Velodrome</v>
      </c>
      <c r="AJ1362" s="18">
        <f t="shared" si="457"/>
        <v>0</v>
      </c>
      <c r="AP1362" s="18">
        <f t="shared" si="458"/>
        <v>0</v>
      </c>
      <c r="AQ1362">
        <f t="shared" si="459"/>
        <v>1080</v>
      </c>
      <c r="AR1362" s="23">
        <f t="shared" si="460"/>
        <v>1814</v>
      </c>
      <c r="AS1362">
        <f t="shared" si="465"/>
        <v>1809</v>
      </c>
      <c r="AT1362" s="21">
        <f t="shared" si="466"/>
        <v>1814</v>
      </c>
      <c r="AU1362" s="21"/>
      <c r="AV1362" s="21"/>
      <c r="AW1362" s="21"/>
    </row>
    <row r="1363" spans="1:49" x14ac:dyDescent="0.2">
      <c r="A1363">
        <v>733</v>
      </c>
      <c r="E1363">
        <f t="shared" si="461"/>
        <v>2</v>
      </c>
      <c r="J1363" t="str">
        <f t="shared" si="467"/>
        <v>5</v>
      </c>
      <c r="K1363" t="str">
        <f t="shared" si="468"/>
        <v>46</v>
      </c>
      <c r="L1363" t="str">
        <f t="shared" si="469"/>
        <v/>
      </c>
      <c r="M1363" s="6" t="str">
        <f t="shared" si="470"/>
        <v/>
      </c>
      <c r="N1363" t="str">
        <f t="shared" si="471"/>
        <v>Home</v>
      </c>
      <c r="O1363">
        <v>39</v>
      </c>
      <c r="P1363" t="s">
        <v>425</v>
      </c>
      <c r="Y1363" t="str">
        <f t="shared" si="454"/>
        <v/>
      </c>
      <c r="Z1363" t="str">
        <f t="shared" si="455"/>
        <v/>
      </c>
      <c r="AC1363" t="str">
        <f t="shared" si="451"/>
        <v>Shot</v>
      </c>
      <c r="AD1363" t="str">
        <f t="shared" si="452"/>
        <v>Shot_OnNetSaved</v>
      </c>
      <c r="AE1363" t="str">
        <f t="shared" si="453"/>
        <v>Shot-Wrist</v>
      </c>
      <c r="AF1363" t="str">
        <f t="shared" si="456"/>
        <v>Defensive</v>
      </c>
      <c r="AG1363">
        <f t="shared" si="462"/>
        <v>18981</v>
      </c>
      <c r="AH1363" t="str">
        <f t="shared" si="463"/>
        <v>Nelson</v>
      </c>
      <c r="AI1363" t="str">
        <f t="shared" si="464"/>
        <v>Velodrome</v>
      </c>
      <c r="AJ1363" s="18">
        <f t="shared" si="457"/>
        <v>0</v>
      </c>
      <c r="AP1363" s="18">
        <f t="shared" si="458"/>
        <v>0</v>
      </c>
      <c r="AQ1363">
        <f t="shared" si="459"/>
        <v>1080</v>
      </c>
      <c r="AR1363" s="23">
        <f t="shared" si="460"/>
        <v>1814</v>
      </c>
      <c r="AS1363">
        <f t="shared" si="465"/>
        <v>1809</v>
      </c>
      <c r="AT1363" s="21">
        <f t="shared" si="466"/>
        <v>1814</v>
      </c>
      <c r="AU1363" s="21"/>
      <c r="AV1363" s="21"/>
      <c r="AW1363" s="21"/>
    </row>
    <row r="1364" spans="1:49" x14ac:dyDescent="0.2">
      <c r="A1364">
        <v>733</v>
      </c>
      <c r="E1364">
        <f t="shared" si="461"/>
        <v>2</v>
      </c>
      <c r="J1364" t="str">
        <f t="shared" si="467"/>
        <v>5</v>
      </c>
      <c r="K1364" t="str">
        <f t="shared" si="468"/>
        <v>46</v>
      </c>
      <c r="L1364" t="str">
        <f t="shared" si="469"/>
        <v/>
      </c>
      <c r="M1364" s="6" t="str">
        <f t="shared" si="470"/>
        <v/>
      </c>
      <c r="N1364" t="str">
        <f t="shared" si="471"/>
        <v>Home</v>
      </c>
      <c r="O1364">
        <v>9</v>
      </c>
      <c r="P1364" t="s">
        <v>425</v>
      </c>
      <c r="Y1364" t="str">
        <f t="shared" si="454"/>
        <v/>
      </c>
      <c r="Z1364" t="str">
        <f t="shared" si="455"/>
        <v/>
      </c>
      <c r="AC1364" t="str">
        <f t="shared" si="451"/>
        <v>Shot</v>
      </c>
      <c r="AD1364" t="str">
        <f t="shared" si="452"/>
        <v>Shot_OnNetSaved</v>
      </c>
      <c r="AE1364" t="str">
        <f t="shared" si="453"/>
        <v>Shot-Wrist</v>
      </c>
      <c r="AF1364" t="str">
        <f t="shared" si="456"/>
        <v>Defensive</v>
      </c>
      <c r="AG1364">
        <f t="shared" si="462"/>
        <v>18981</v>
      </c>
      <c r="AH1364" t="str">
        <f t="shared" si="463"/>
        <v>Nelson</v>
      </c>
      <c r="AI1364" t="str">
        <f t="shared" si="464"/>
        <v>Velodrome</v>
      </c>
      <c r="AJ1364" s="18">
        <f t="shared" si="457"/>
        <v>0</v>
      </c>
      <c r="AP1364" s="18">
        <f t="shared" si="458"/>
        <v>0</v>
      </c>
      <c r="AQ1364">
        <f t="shared" si="459"/>
        <v>1080</v>
      </c>
      <c r="AR1364" s="23">
        <f t="shared" si="460"/>
        <v>1814</v>
      </c>
      <c r="AS1364">
        <f t="shared" si="465"/>
        <v>1809</v>
      </c>
      <c r="AT1364" s="21">
        <f t="shared" si="466"/>
        <v>1814</v>
      </c>
      <c r="AU1364" s="21"/>
      <c r="AV1364" s="21"/>
      <c r="AW1364" s="21"/>
    </row>
    <row r="1365" spans="1:49" x14ac:dyDescent="0.2">
      <c r="A1365">
        <v>734</v>
      </c>
      <c r="E1365">
        <f t="shared" si="461"/>
        <v>2</v>
      </c>
      <c r="F1365" s="5" t="s">
        <v>540</v>
      </c>
      <c r="G1365" s="5" t="s">
        <v>518</v>
      </c>
      <c r="J1365" t="str">
        <f t="shared" si="467"/>
        <v>5</v>
      </c>
      <c r="K1365" t="str">
        <f t="shared" si="468"/>
        <v>46</v>
      </c>
      <c r="L1365" t="str">
        <f t="shared" si="469"/>
        <v/>
      </c>
      <c r="M1365" s="6" t="str">
        <f t="shared" si="470"/>
        <v/>
      </c>
      <c r="N1365" t="s">
        <v>179</v>
      </c>
      <c r="O1365">
        <v>39</v>
      </c>
      <c r="P1365" t="s">
        <v>424</v>
      </c>
      <c r="Q1365" t="s">
        <v>17</v>
      </c>
      <c r="R1365" t="s">
        <v>196</v>
      </c>
      <c r="S1365" t="s">
        <v>103</v>
      </c>
      <c r="Y1365" t="str">
        <f t="shared" si="454"/>
        <v/>
      </c>
      <c r="Z1365" t="str">
        <f t="shared" si="455"/>
        <v/>
      </c>
      <c r="AC1365" t="str">
        <f t="shared" si="451"/>
        <v>Save</v>
      </c>
      <c r="AD1365" t="str">
        <f t="shared" si="452"/>
        <v>Save_Rebound</v>
      </c>
      <c r="AE1365" t="str">
        <f t="shared" si="453"/>
        <v>Save-Chest</v>
      </c>
      <c r="AF1365" t="str">
        <f t="shared" si="456"/>
        <v>Defensive</v>
      </c>
      <c r="AG1365">
        <f t="shared" si="462"/>
        <v>18981</v>
      </c>
      <c r="AH1365" t="str">
        <f t="shared" si="463"/>
        <v>Nelson</v>
      </c>
      <c r="AI1365" t="str">
        <f t="shared" si="464"/>
        <v>Velodrome</v>
      </c>
      <c r="AJ1365" s="18">
        <f t="shared" si="457"/>
        <v>0</v>
      </c>
      <c r="AP1365" s="18">
        <f t="shared" si="458"/>
        <v>0</v>
      </c>
      <c r="AQ1365">
        <f t="shared" si="459"/>
        <v>1080</v>
      </c>
      <c r="AR1365" s="23">
        <f t="shared" si="460"/>
        <v>1814</v>
      </c>
      <c r="AS1365">
        <f t="shared" si="465"/>
        <v>1809</v>
      </c>
      <c r="AT1365" s="21">
        <f t="shared" si="466"/>
        <v>1814</v>
      </c>
      <c r="AU1365" s="21"/>
      <c r="AV1365" s="21"/>
      <c r="AW1365" s="21"/>
    </row>
    <row r="1366" spans="1:49" x14ac:dyDescent="0.2">
      <c r="A1366">
        <v>734</v>
      </c>
      <c r="E1366">
        <f t="shared" si="461"/>
        <v>2</v>
      </c>
      <c r="J1366" t="str">
        <f t="shared" si="467"/>
        <v>5</v>
      </c>
      <c r="K1366" t="str">
        <f t="shared" si="468"/>
        <v>46</v>
      </c>
      <c r="L1366" t="str">
        <f t="shared" si="469"/>
        <v/>
      </c>
      <c r="M1366" s="6" t="str">
        <f t="shared" si="470"/>
        <v/>
      </c>
      <c r="N1366" t="str">
        <f t="shared" si="471"/>
        <v>Away</v>
      </c>
      <c r="O1366">
        <v>9</v>
      </c>
      <c r="P1366" t="s">
        <v>424</v>
      </c>
      <c r="Y1366" t="str">
        <f t="shared" si="454"/>
        <v/>
      </c>
      <c r="Z1366" t="str">
        <f t="shared" si="455"/>
        <v/>
      </c>
      <c r="AC1366" t="str">
        <f t="shared" si="451"/>
        <v>Save</v>
      </c>
      <c r="AD1366" t="str">
        <f t="shared" si="452"/>
        <v>Save_Rebound</v>
      </c>
      <c r="AE1366" t="str">
        <f t="shared" si="453"/>
        <v>Save-Chest</v>
      </c>
      <c r="AF1366" t="str">
        <f t="shared" si="456"/>
        <v>Defensive</v>
      </c>
      <c r="AG1366">
        <f t="shared" si="462"/>
        <v>18981</v>
      </c>
      <c r="AH1366" t="str">
        <f t="shared" si="463"/>
        <v>Nelson</v>
      </c>
      <c r="AI1366" t="str">
        <f t="shared" si="464"/>
        <v>Velodrome</v>
      </c>
      <c r="AJ1366" s="18">
        <f t="shared" si="457"/>
        <v>0</v>
      </c>
      <c r="AP1366" s="18">
        <f t="shared" si="458"/>
        <v>0</v>
      </c>
      <c r="AQ1366">
        <f t="shared" si="459"/>
        <v>1080</v>
      </c>
      <c r="AR1366" s="23">
        <f t="shared" si="460"/>
        <v>1814</v>
      </c>
      <c r="AS1366">
        <f t="shared" si="465"/>
        <v>1809</v>
      </c>
      <c r="AT1366" s="21">
        <f t="shared" si="466"/>
        <v>1814</v>
      </c>
      <c r="AU1366" s="21"/>
      <c r="AV1366" s="21"/>
      <c r="AW1366" s="21"/>
    </row>
    <row r="1367" spans="1:49" x14ac:dyDescent="0.2">
      <c r="A1367">
        <v>734</v>
      </c>
      <c r="E1367">
        <f t="shared" si="461"/>
        <v>2</v>
      </c>
      <c r="J1367" t="str">
        <f t="shared" si="467"/>
        <v>5</v>
      </c>
      <c r="K1367" t="str">
        <f t="shared" si="468"/>
        <v>46</v>
      </c>
      <c r="L1367" t="str">
        <f t="shared" si="469"/>
        <v/>
      </c>
      <c r="M1367" s="6" t="str">
        <f t="shared" si="470"/>
        <v/>
      </c>
      <c r="N1367" t="str">
        <f t="shared" si="471"/>
        <v>Away</v>
      </c>
      <c r="O1367">
        <v>44</v>
      </c>
      <c r="P1367" t="s">
        <v>425</v>
      </c>
      <c r="Y1367" t="str">
        <f t="shared" si="454"/>
        <v/>
      </c>
      <c r="Z1367" t="str">
        <f t="shared" si="455"/>
        <v/>
      </c>
      <c r="AC1367" t="str">
        <f t="shared" si="451"/>
        <v>Save</v>
      </c>
      <c r="AD1367" t="str">
        <f t="shared" si="452"/>
        <v>Save_Rebound</v>
      </c>
      <c r="AE1367" t="str">
        <f t="shared" si="453"/>
        <v>Save-Chest</v>
      </c>
      <c r="AF1367" t="str">
        <f t="shared" si="456"/>
        <v>Offensive</v>
      </c>
      <c r="AG1367">
        <f t="shared" si="462"/>
        <v>18981</v>
      </c>
      <c r="AH1367" t="str">
        <f t="shared" si="463"/>
        <v>Nelson</v>
      </c>
      <c r="AI1367" t="str">
        <f t="shared" si="464"/>
        <v>Velodrome</v>
      </c>
      <c r="AJ1367" s="18">
        <f t="shared" si="457"/>
        <v>0</v>
      </c>
      <c r="AP1367" s="18">
        <f t="shared" si="458"/>
        <v>0</v>
      </c>
      <c r="AQ1367">
        <f t="shared" si="459"/>
        <v>1080</v>
      </c>
      <c r="AR1367" s="23">
        <f t="shared" si="460"/>
        <v>1814</v>
      </c>
      <c r="AS1367">
        <f t="shared" si="465"/>
        <v>1809</v>
      </c>
      <c r="AT1367" s="21">
        <f t="shared" si="466"/>
        <v>1814</v>
      </c>
      <c r="AU1367" s="21"/>
      <c r="AV1367" s="21"/>
      <c r="AW1367" s="21"/>
    </row>
    <row r="1368" spans="1:49" x14ac:dyDescent="0.2">
      <c r="A1368">
        <v>735</v>
      </c>
      <c r="E1368">
        <f t="shared" si="461"/>
        <v>2</v>
      </c>
      <c r="F1368" s="5" t="s">
        <v>540</v>
      </c>
      <c r="G1368" s="5" t="s">
        <v>518</v>
      </c>
      <c r="J1368" t="str">
        <f t="shared" si="467"/>
        <v>5</v>
      </c>
      <c r="K1368" t="str">
        <f t="shared" si="468"/>
        <v>46</v>
      </c>
      <c r="L1368" t="str">
        <f t="shared" si="469"/>
        <v/>
      </c>
      <c r="M1368" s="6" t="str">
        <f t="shared" si="470"/>
        <v/>
      </c>
      <c r="N1368" t="s">
        <v>179</v>
      </c>
      <c r="O1368">
        <v>39</v>
      </c>
      <c r="P1368" t="s">
        <v>424</v>
      </c>
      <c r="Q1368" t="s">
        <v>270</v>
      </c>
      <c r="R1368" t="s">
        <v>271</v>
      </c>
      <c r="Y1368" t="str">
        <f t="shared" si="454"/>
        <v/>
      </c>
      <c r="Z1368" t="str">
        <f t="shared" si="455"/>
        <v/>
      </c>
      <c r="AC1368" t="str">
        <f t="shared" si="451"/>
        <v>Rebound</v>
      </c>
      <c r="AD1368" t="str">
        <f t="shared" si="452"/>
        <v>Rebound_TeamRecovered</v>
      </c>
      <c r="AE1368" t="str">
        <f t="shared" si="453"/>
        <v/>
      </c>
      <c r="AF1368" t="str">
        <f t="shared" si="456"/>
        <v>Offensive</v>
      </c>
      <c r="AG1368">
        <f t="shared" si="462"/>
        <v>18981</v>
      </c>
      <c r="AH1368" t="str">
        <f t="shared" si="463"/>
        <v>Nelson</v>
      </c>
      <c r="AI1368" t="str">
        <f t="shared" si="464"/>
        <v>Velodrome</v>
      </c>
      <c r="AJ1368" s="18">
        <f t="shared" si="457"/>
        <v>0</v>
      </c>
      <c r="AP1368" s="18">
        <f t="shared" si="458"/>
        <v>0</v>
      </c>
      <c r="AQ1368">
        <f t="shared" si="459"/>
        <v>1080</v>
      </c>
      <c r="AR1368" s="23">
        <f t="shared" si="460"/>
        <v>1814</v>
      </c>
      <c r="AS1368">
        <f t="shared" si="465"/>
        <v>1809</v>
      </c>
      <c r="AT1368" s="21">
        <f t="shared" si="466"/>
        <v>1814</v>
      </c>
      <c r="AU1368" s="21"/>
      <c r="AV1368" s="21"/>
      <c r="AW1368" s="21"/>
    </row>
    <row r="1369" spans="1:49" x14ac:dyDescent="0.2">
      <c r="A1369">
        <v>736</v>
      </c>
      <c r="E1369">
        <f t="shared" si="461"/>
        <v>2</v>
      </c>
      <c r="F1369" s="5" t="s">
        <v>540</v>
      </c>
      <c r="G1369" s="5" t="s">
        <v>516</v>
      </c>
      <c r="J1369" t="str">
        <f t="shared" si="467"/>
        <v>5</v>
      </c>
      <c r="K1369" t="str">
        <f t="shared" si="468"/>
        <v>44</v>
      </c>
      <c r="L1369" t="str">
        <f t="shared" si="469"/>
        <v/>
      </c>
      <c r="M1369" s="6" t="str">
        <f t="shared" si="470"/>
        <v/>
      </c>
      <c r="N1369" t="s">
        <v>179</v>
      </c>
      <c r="O1369">
        <v>9</v>
      </c>
      <c r="P1369" t="s">
        <v>424</v>
      </c>
      <c r="Q1369" t="s">
        <v>10</v>
      </c>
      <c r="R1369" t="s">
        <v>190</v>
      </c>
      <c r="S1369" t="s">
        <v>422</v>
      </c>
      <c r="Y1369" t="str">
        <f t="shared" si="454"/>
        <v/>
      </c>
      <c r="Z1369" t="str">
        <f t="shared" si="455"/>
        <v/>
      </c>
      <c r="AC1369" t="str">
        <f t="shared" si="451"/>
        <v>Turnover</v>
      </c>
      <c r="AD1369" t="str">
        <f t="shared" si="452"/>
        <v>Turnover_Giveaway</v>
      </c>
      <c r="AE1369" t="str">
        <f t="shared" si="453"/>
        <v>Giveaway-AttemptedZoneClear/Dump</v>
      </c>
      <c r="AF1369" t="str">
        <f t="shared" si="456"/>
        <v>Offensive</v>
      </c>
      <c r="AG1369">
        <f t="shared" si="462"/>
        <v>18981</v>
      </c>
      <c r="AH1369" t="str">
        <f t="shared" si="463"/>
        <v>Nelson</v>
      </c>
      <c r="AI1369" t="str">
        <f t="shared" si="464"/>
        <v>Velodrome</v>
      </c>
      <c r="AJ1369" s="18">
        <f t="shared" si="457"/>
        <v>0</v>
      </c>
      <c r="AP1369" s="18">
        <f t="shared" si="458"/>
        <v>0</v>
      </c>
      <c r="AQ1369">
        <f t="shared" si="459"/>
        <v>1080</v>
      </c>
      <c r="AR1369" s="23">
        <f t="shared" si="460"/>
        <v>1816</v>
      </c>
      <c r="AS1369">
        <f t="shared" si="465"/>
        <v>1811</v>
      </c>
      <c r="AT1369" s="21">
        <f t="shared" si="466"/>
        <v>1816</v>
      </c>
      <c r="AU1369" s="21"/>
      <c r="AV1369" s="21"/>
      <c r="AW1369" s="21"/>
    </row>
    <row r="1370" spans="1:49" x14ac:dyDescent="0.2">
      <c r="A1370">
        <v>737</v>
      </c>
      <c r="E1370">
        <f t="shared" si="461"/>
        <v>2</v>
      </c>
      <c r="F1370" s="5" t="s">
        <v>540</v>
      </c>
      <c r="G1370" s="5" t="s">
        <v>515</v>
      </c>
      <c r="J1370" t="str">
        <f t="shared" si="467"/>
        <v>5</v>
      </c>
      <c r="K1370" t="str">
        <f t="shared" si="468"/>
        <v>43</v>
      </c>
      <c r="L1370" t="str">
        <f t="shared" si="469"/>
        <v/>
      </c>
      <c r="M1370" s="6" t="str">
        <f t="shared" si="470"/>
        <v/>
      </c>
      <c r="N1370" t="s">
        <v>178</v>
      </c>
      <c r="O1370">
        <v>80</v>
      </c>
      <c r="P1370" t="s">
        <v>424</v>
      </c>
      <c r="Q1370" t="s">
        <v>277</v>
      </c>
      <c r="R1370" t="s">
        <v>210</v>
      </c>
      <c r="S1370" t="s">
        <v>93</v>
      </c>
      <c r="Y1370" t="str">
        <f t="shared" si="454"/>
        <v/>
      </c>
      <c r="Z1370" t="str">
        <f t="shared" si="455"/>
        <v/>
      </c>
      <c r="AC1370" t="str">
        <f t="shared" si="451"/>
        <v>Zone_Entry_Exit</v>
      </c>
      <c r="AD1370" t="str">
        <f t="shared" si="452"/>
        <v>Zone_Keepin</v>
      </c>
      <c r="AE1370" t="str">
        <f t="shared" si="453"/>
        <v>Zone-KeepIn</v>
      </c>
      <c r="AF1370" t="str">
        <f t="shared" si="456"/>
        <v>Offensive</v>
      </c>
      <c r="AG1370">
        <f t="shared" si="462"/>
        <v>18981</v>
      </c>
      <c r="AH1370" t="str">
        <f t="shared" si="463"/>
        <v>Nelson</v>
      </c>
      <c r="AI1370" t="str">
        <f t="shared" si="464"/>
        <v>Velodrome</v>
      </c>
      <c r="AJ1370" s="18">
        <f t="shared" si="457"/>
        <v>0</v>
      </c>
      <c r="AP1370" s="18">
        <f t="shared" si="458"/>
        <v>0</v>
      </c>
      <c r="AQ1370">
        <f t="shared" si="459"/>
        <v>1080</v>
      </c>
      <c r="AR1370" s="23">
        <f t="shared" si="460"/>
        <v>1817</v>
      </c>
      <c r="AS1370">
        <f t="shared" si="465"/>
        <v>1812</v>
      </c>
      <c r="AT1370" s="21">
        <f t="shared" si="466"/>
        <v>1817</v>
      </c>
      <c r="AU1370" s="21"/>
      <c r="AV1370" s="21"/>
      <c r="AW1370" s="21"/>
    </row>
    <row r="1371" spans="1:49" x14ac:dyDescent="0.2">
      <c r="A1371">
        <v>738</v>
      </c>
      <c r="E1371">
        <f t="shared" si="461"/>
        <v>2</v>
      </c>
      <c r="F1371" s="5" t="s">
        <v>540</v>
      </c>
      <c r="G1371" s="5" t="s">
        <v>515</v>
      </c>
      <c r="H1371" s="5" t="s">
        <v>540</v>
      </c>
      <c r="I1371" s="7" t="s">
        <v>512</v>
      </c>
      <c r="J1371" t="str">
        <f t="shared" si="467"/>
        <v>5</v>
      </c>
      <c r="K1371" t="str">
        <f t="shared" si="468"/>
        <v>43</v>
      </c>
      <c r="L1371" t="str">
        <f t="shared" si="469"/>
        <v>5</v>
      </c>
      <c r="M1371" s="6" t="str">
        <f t="shared" si="470"/>
        <v>40</v>
      </c>
      <c r="N1371" t="s">
        <v>178</v>
      </c>
      <c r="O1371">
        <v>80</v>
      </c>
      <c r="P1371" t="s">
        <v>424</v>
      </c>
      <c r="Q1371" t="s">
        <v>15</v>
      </c>
      <c r="Y1371" t="str">
        <f t="shared" si="454"/>
        <v/>
      </c>
      <c r="Z1371" t="str">
        <f t="shared" si="455"/>
        <v/>
      </c>
      <c r="AC1371" t="str">
        <f t="shared" si="451"/>
        <v>Possession</v>
      </c>
      <c r="AD1371" t="str">
        <f t="shared" si="452"/>
        <v/>
      </c>
      <c r="AE1371" t="str">
        <f t="shared" si="453"/>
        <v/>
      </c>
      <c r="AF1371" t="str">
        <f t="shared" si="456"/>
        <v>Offensive</v>
      </c>
      <c r="AG1371">
        <f t="shared" si="462"/>
        <v>18981</v>
      </c>
      <c r="AH1371" t="str">
        <f t="shared" si="463"/>
        <v>Nelson</v>
      </c>
      <c r="AI1371" t="str">
        <f t="shared" si="464"/>
        <v>Velodrome</v>
      </c>
      <c r="AJ1371" s="18">
        <f t="shared" si="457"/>
        <v>3</v>
      </c>
      <c r="AP1371" s="18">
        <f t="shared" si="458"/>
        <v>0</v>
      </c>
      <c r="AQ1371">
        <f t="shared" si="459"/>
        <v>1080</v>
      </c>
      <c r="AR1371" s="23">
        <f t="shared" si="460"/>
        <v>1817</v>
      </c>
      <c r="AS1371">
        <f t="shared" si="465"/>
        <v>1812</v>
      </c>
      <c r="AT1371" s="21">
        <f t="shared" si="466"/>
        <v>1820</v>
      </c>
      <c r="AU1371" s="21"/>
      <c r="AV1371" s="21"/>
      <c r="AW1371" s="21"/>
    </row>
    <row r="1372" spans="1:49" x14ac:dyDescent="0.2">
      <c r="A1372">
        <v>738</v>
      </c>
      <c r="E1372">
        <f t="shared" si="461"/>
        <v>2</v>
      </c>
      <c r="J1372" t="str">
        <f t="shared" si="467"/>
        <v>5</v>
      </c>
      <c r="K1372" t="str">
        <f t="shared" si="468"/>
        <v>43</v>
      </c>
      <c r="L1372" t="str">
        <f t="shared" si="469"/>
        <v>5</v>
      </c>
      <c r="M1372" s="6" t="str">
        <f t="shared" si="470"/>
        <v>40</v>
      </c>
      <c r="N1372" t="str">
        <f t="shared" si="471"/>
        <v>Home</v>
      </c>
      <c r="O1372">
        <v>70</v>
      </c>
      <c r="P1372" t="s">
        <v>425</v>
      </c>
      <c r="Y1372" t="str">
        <f t="shared" si="454"/>
        <v/>
      </c>
      <c r="Z1372" t="str">
        <f t="shared" si="455"/>
        <v/>
      </c>
      <c r="AC1372" t="str">
        <f t="shared" si="451"/>
        <v>Possession</v>
      </c>
      <c r="AD1372" t="str">
        <f t="shared" si="452"/>
        <v/>
      </c>
      <c r="AE1372" t="str">
        <f t="shared" si="453"/>
        <v/>
      </c>
      <c r="AF1372" t="str">
        <f t="shared" si="456"/>
        <v>Defensive</v>
      </c>
      <c r="AG1372">
        <f t="shared" si="462"/>
        <v>18981</v>
      </c>
      <c r="AH1372" t="str">
        <f t="shared" si="463"/>
        <v>Nelson</v>
      </c>
      <c r="AI1372" t="str">
        <f t="shared" si="464"/>
        <v>Velodrome</v>
      </c>
      <c r="AJ1372" s="18">
        <f t="shared" si="457"/>
        <v>3</v>
      </c>
      <c r="AP1372" s="18">
        <f t="shared" si="458"/>
        <v>0</v>
      </c>
      <c r="AQ1372">
        <f t="shared" si="459"/>
        <v>1080</v>
      </c>
      <c r="AR1372" s="23">
        <f t="shared" si="460"/>
        <v>1817</v>
      </c>
      <c r="AS1372">
        <f t="shared" si="465"/>
        <v>1812</v>
      </c>
      <c r="AT1372" s="21">
        <f t="shared" si="466"/>
        <v>1820</v>
      </c>
      <c r="AU1372" s="21"/>
      <c r="AV1372" s="21"/>
      <c r="AW1372" s="21"/>
    </row>
    <row r="1373" spans="1:49" x14ac:dyDescent="0.2">
      <c r="A1373">
        <v>739</v>
      </c>
      <c r="E1373">
        <f t="shared" si="461"/>
        <v>2</v>
      </c>
      <c r="F1373" s="5" t="s">
        <v>540</v>
      </c>
      <c r="G1373" s="5" t="s">
        <v>512</v>
      </c>
      <c r="J1373" t="str">
        <f t="shared" si="467"/>
        <v>5</v>
      </c>
      <c r="K1373" t="str">
        <f t="shared" si="468"/>
        <v>40</v>
      </c>
      <c r="L1373" t="str">
        <f t="shared" si="469"/>
        <v/>
      </c>
      <c r="M1373" s="6" t="str">
        <f t="shared" si="470"/>
        <v/>
      </c>
      <c r="N1373" t="s">
        <v>179</v>
      </c>
      <c r="O1373">
        <v>70</v>
      </c>
      <c r="P1373" t="s">
        <v>424</v>
      </c>
      <c r="Q1373" t="s">
        <v>247</v>
      </c>
      <c r="R1373" t="s">
        <v>446</v>
      </c>
      <c r="S1373" t="s">
        <v>559</v>
      </c>
      <c r="Y1373" t="str">
        <f t="shared" si="454"/>
        <v/>
      </c>
      <c r="Z1373" t="str">
        <f t="shared" si="455"/>
        <v/>
      </c>
      <c r="AC1373" t="str">
        <f t="shared" si="451"/>
        <v>Play</v>
      </c>
      <c r="AD1373" t="str">
        <f t="shared" si="452"/>
        <v>Play_Defensive</v>
      </c>
      <c r="AE1373" t="str">
        <f t="shared" si="453"/>
        <v>Play-PokeCheck</v>
      </c>
      <c r="AF1373" t="str">
        <f t="shared" si="456"/>
        <v>Defensive</v>
      </c>
      <c r="AG1373">
        <f t="shared" si="462"/>
        <v>18981</v>
      </c>
      <c r="AH1373" t="str">
        <f t="shared" si="463"/>
        <v>Nelson</v>
      </c>
      <c r="AI1373" t="str">
        <f t="shared" si="464"/>
        <v>Velodrome</v>
      </c>
      <c r="AJ1373" s="18">
        <f t="shared" si="457"/>
        <v>0</v>
      </c>
      <c r="AP1373" s="18">
        <f t="shared" si="458"/>
        <v>0</v>
      </c>
      <c r="AQ1373">
        <f t="shared" si="459"/>
        <v>1080</v>
      </c>
      <c r="AR1373" s="23">
        <f t="shared" si="460"/>
        <v>1820</v>
      </c>
      <c r="AS1373">
        <f t="shared" si="465"/>
        <v>1815</v>
      </c>
      <c r="AT1373" s="21">
        <f t="shared" si="466"/>
        <v>1820</v>
      </c>
      <c r="AU1373" s="21"/>
      <c r="AV1373" s="21"/>
      <c r="AW1373" s="21"/>
    </row>
    <row r="1374" spans="1:49" x14ac:dyDescent="0.2">
      <c r="A1374">
        <v>739</v>
      </c>
      <c r="E1374">
        <f t="shared" si="461"/>
        <v>2</v>
      </c>
      <c r="J1374" t="str">
        <f t="shared" si="467"/>
        <v>5</v>
      </c>
      <c r="K1374" t="str">
        <f t="shared" si="468"/>
        <v>40</v>
      </c>
      <c r="L1374" t="str">
        <f t="shared" si="469"/>
        <v/>
      </c>
      <c r="M1374" s="6" t="str">
        <f t="shared" si="470"/>
        <v/>
      </c>
      <c r="N1374" t="str">
        <f t="shared" si="471"/>
        <v>Away</v>
      </c>
      <c r="O1374">
        <v>80</v>
      </c>
      <c r="P1374" t="s">
        <v>425</v>
      </c>
      <c r="Y1374" t="str">
        <f t="shared" si="454"/>
        <v/>
      </c>
      <c r="Z1374" t="str">
        <f t="shared" si="455"/>
        <v/>
      </c>
      <c r="AC1374" t="str">
        <f t="shared" si="451"/>
        <v>Play</v>
      </c>
      <c r="AD1374" t="str">
        <f t="shared" si="452"/>
        <v>Play_Defensive</v>
      </c>
      <c r="AE1374" t="str">
        <f t="shared" si="453"/>
        <v>Play-PokeCheck</v>
      </c>
      <c r="AF1374" t="str">
        <f t="shared" si="456"/>
        <v>Offensive</v>
      </c>
      <c r="AG1374">
        <f t="shared" si="462"/>
        <v>18981</v>
      </c>
      <c r="AH1374" t="str">
        <f t="shared" si="463"/>
        <v>Nelson</v>
      </c>
      <c r="AI1374" t="str">
        <f t="shared" si="464"/>
        <v>Velodrome</v>
      </c>
      <c r="AJ1374" s="18">
        <f t="shared" si="457"/>
        <v>0</v>
      </c>
      <c r="AP1374" s="18">
        <f t="shared" si="458"/>
        <v>0</v>
      </c>
      <c r="AQ1374">
        <f t="shared" si="459"/>
        <v>1080</v>
      </c>
      <c r="AR1374" s="23">
        <f t="shared" si="460"/>
        <v>1820</v>
      </c>
      <c r="AS1374">
        <f t="shared" si="465"/>
        <v>1815</v>
      </c>
      <c r="AT1374" s="21">
        <f t="shared" si="466"/>
        <v>1820</v>
      </c>
      <c r="AU1374" s="21"/>
      <c r="AV1374" s="21"/>
      <c r="AW1374" s="21"/>
    </row>
    <row r="1375" spans="1:49" x14ac:dyDescent="0.2">
      <c r="A1375">
        <v>740</v>
      </c>
      <c r="E1375">
        <f t="shared" si="461"/>
        <v>2</v>
      </c>
      <c r="F1375" s="5" t="s">
        <v>540</v>
      </c>
      <c r="G1375" s="5" t="s">
        <v>511</v>
      </c>
      <c r="J1375" t="str">
        <f t="shared" si="467"/>
        <v>5</v>
      </c>
      <c r="K1375" t="str">
        <f t="shared" si="468"/>
        <v>39</v>
      </c>
      <c r="L1375" t="str">
        <f t="shared" si="469"/>
        <v/>
      </c>
      <c r="M1375" s="6" t="str">
        <f t="shared" si="470"/>
        <v/>
      </c>
      <c r="N1375" t="s">
        <v>178</v>
      </c>
      <c r="O1375">
        <v>44</v>
      </c>
      <c r="P1375" t="s">
        <v>424</v>
      </c>
      <c r="Q1375" t="s">
        <v>7</v>
      </c>
      <c r="R1375" t="s">
        <v>208</v>
      </c>
      <c r="S1375" t="s">
        <v>53</v>
      </c>
      <c r="Y1375" t="str">
        <f t="shared" si="454"/>
        <v/>
      </c>
      <c r="Z1375" t="str">
        <f t="shared" si="455"/>
        <v/>
      </c>
      <c r="AC1375" t="str">
        <f t="shared" si="451"/>
        <v>Shot</v>
      </c>
      <c r="AD1375" t="str">
        <f t="shared" si="452"/>
        <v>Shot_Blocked</v>
      </c>
      <c r="AE1375" t="str">
        <f t="shared" si="453"/>
        <v>Shot-Wrist</v>
      </c>
      <c r="AF1375" t="str">
        <f t="shared" si="456"/>
        <v>Offensive</v>
      </c>
      <c r="AG1375">
        <f t="shared" si="462"/>
        <v>18981</v>
      </c>
      <c r="AH1375" t="str">
        <f t="shared" si="463"/>
        <v>Nelson</v>
      </c>
      <c r="AI1375" t="str">
        <f t="shared" si="464"/>
        <v>Velodrome</v>
      </c>
      <c r="AJ1375" s="18">
        <f t="shared" si="457"/>
        <v>0</v>
      </c>
      <c r="AP1375" s="18">
        <f t="shared" si="458"/>
        <v>0</v>
      </c>
      <c r="AQ1375">
        <f t="shared" si="459"/>
        <v>1080</v>
      </c>
      <c r="AR1375" s="23">
        <f t="shared" si="460"/>
        <v>1821</v>
      </c>
      <c r="AS1375">
        <f t="shared" si="465"/>
        <v>1816</v>
      </c>
      <c r="AT1375" s="21">
        <f t="shared" si="466"/>
        <v>1821</v>
      </c>
      <c r="AU1375" s="21"/>
      <c r="AV1375" s="21"/>
      <c r="AW1375" s="21"/>
    </row>
    <row r="1376" spans="1:49" x14ac:dyDescent="0.2">
      <c r="A1376">
        <v>740</v>
      </c>
      <c r="E1376">
        <f t="shared" si="461"/>
        <v>2</v>
      </c>
      <c r="J1376" t="str">
        <f t="shared" si="467"/>
        <v>5</v>
      </c>
      <c r="K1376" t="str">
        <f t="shared" si="468"/>
        <v>39</v>
      </c>
      <c r="L1376" t="str">
        <f t="shared" si="469"/>
        <v/>
      </c>
      <c r="M1376" s="6" t="str">
        <f t="shared" si="470"/>
        <v/>
      </c>
      <c r="N1376" t="str">
        <f t="shared" si="471"/>
        <v>Home</v>
      </c>
      <c r="O1376">
        <v>70</v>
      </c>
      <c r="P1376" t="s">
        <v>425</v>
      </c>
      <c r="Y1376" t="str">
        <f t="shared" si="454"/>
        <v/>
      </c>
      <c r="Z1376" t="str">
        <f t="shared" si="455"/>
        <v/>
      </c>
      <c r="AC1376" t="str">
        <f t="shared" si="451"/>
        <v>Shot</v>
      </c>
      <c r="AD1376" t="str">
        <f t="shared" si="452"/>
        <v>Shot_Blocked</v>
      </c>
      <c r="AE1376" t="str">
        <f t="shared" si="453"/>
        <v>Shot-Wrist</v>
      </c>
      <c r="AF1376" t="str">
        <f t="shared" si="456"/>
        <v>Defensive</v>
      </c>
      <c r="AG1376">
        <f t="shared" si="462"/>
        <v>18981</v>
      </c>
      <c r="AH1376" t="str">
        <f t="shared" si="463"/>
        <v>Nelson</v>
      </c>
      <c r="AI1376" t="str">
        <f t="shared" si="464"/>
        <v>Velodrome</v>
      </c>
      <c r="AJ1376" s="18">
        <f t="shared" si="457"/>
        <v>0</v>
      </c>
      <c r="AP1376" s="18">
        <f t="shared" si="458"/>
        <v>0</v>
      </c>
      <c r="AQ1376">
        <f t="shared" si="459"/>
        <v>1080</v>
      </c>
      <c r="AR1376" s="23">
        <f t="shared" si="460"/>
        <v>1821</v>
      </c>
      <c r="AS1376">
        <f t="shared" si="465"/>
        <v>1816</v>
      </c>
      <c r="AT1376" s="21">
        <f t="shared" si="466"/>
        <v>1821</v>
      </c>
      <c r="AU1376" s="21"/>
      <c r="AV1376" s="21"/>
      <c r="AW1376" s="21"/>
    </row>
    <row r="1377" spans="1:49" x14ac:dyDescent="0.2">
      <c r="A1377">
        <v>741</v>
      </c>
      <c r="E1377">
        <f t="shared" si="461"/>
        <v>2</v>
      </c>
      <c r="F1377" s="5" t="s">
        <v>540</v>
      </c>
      <c r="G1377" s="5" t="s">
        <v>511</v>
      </c>
      <c r="J1377" t="str">
        <f t="shared" si="467"/>
        <v>5</v>
      </c>
      <c r="K1377" t="str">
        <f t="shared" si="468"/>
        <v>39</v>
      </c>
      <c r="L1377" t="str">
        <f t="shared" si="469"/>
        <v/>
      </c>
      <c r="M1377" s="6" t="str">
        <f t="shared" si="470"/>
        <v/>
      </c>
      <c r="N1377" t="s">
        <v>178</v>
      </c>
      <c r="O1377">
        <v>44</v>
      </c>
      <c r="P1377" t="s">
        <v>424</v>
      </c>
      <c r="Q1377" t="s">
        <v>10</v>
      </c>
      <c r="R1377" t="s">
        <v>190</v>
      </c>
      <c r="S1377" t="s">
        <v>78</v>
      </c>
      <c r="Y1377" t="str">
        <f t="shared" si="454"/>
        <v/>
      </c>
      <c r="Z1377" t="str">
        <f t="shared" si="455"/>
        <v/>
      </c>
      <c r="AC1377" t="str">
        <f t="shared" si="451"/>
        <v>Turnover</v>
      </c>
      <c r="AD1377" t="str">
        <f t="shared" si="452"/>
        <v>Turnover_Giveaway</v>
      </c>
      <c r="AE1377" t="str">
        <f t="shared" si="453"/>
        <v>Giveaway-ShotBlocked</v>
      </c>
      <c r="AF1377" t="str">
        <f t="shared" si="456"/>
        <v>Offensive</v>
      </c>
      <c r="AG1377">
        <f t="shared" si="462"/>
        <v>18981</v>
      </c>
      <c r="AH1377" t="str">
        <f t="shared" si="463"/>
        <v>Nelson</v>
      </c>
      <c r="AI1377" t="str">
        <f t="shared" si="464"/>
        <v>Velodrome</v>
      </c>
      <c r="AJ1377" s="18">
        <f t="shared" si="457"/>
        <v>0</v>
      </c>
      <c r="AP1377" s="18">
        <f t="shared" si="458"/>
        <v>0</v>
      </c>
      <c r="AQ1377">
        <f t="shared" si="459"/>
        <v>1080</v>
      </c>
      <c r="AR1377" s="23">
        <f t="shared" si="460"/>
        <v>1821</v>
      </c>
      <c r="AS1377">
        <f t="shared" si="465"/>
        <v>1816</v>
      </c>
      <c r="AT1377" s="21">
        <f t="shared" si="466"/>
        <v>1821</v>
      </c>
      <c r="AU1377" s="21"/>
      <c r="AV1377" s="21"/>
      <c r="AW1377" s="21"/>
    </row>
    <row r="1378" spans="1:49" x14ac:dyDescent="0.2">
      <c r="A1378">
        <v>742</v>
      </c>
      <c r="E1378">
        <f t="shared" si="461"/>
        <v>2</v>
      </c>
      <c r="F1378" s="5" t="s">
        <v>540</v>
      </c>
      <c r="G1378" s="5" t="s">
        <v>507</v>
      </c>
      <c r="J1378" t="str">
        <f t="shared" si="467"/>
        <v>5</v>
      </c>
      <c r="K1378" t="str">
        <f t="shared" si="468"/>
        <v>35</v>
      </c>
      <c r="L1378" t="str">
        <f t="shared" si="469"/>
        <v/>
      </c>
      <c r="M1378" s="6" t="str">
        <f t="shared" si="470"/>
        <v/>
      </c>
      <c r="N1378" t="s">
        <v>179</v>
      </c>
      <c r="O1378">
        <v>70</v>
      </c>
      <c r="P1378" t="s">
        <v>424</v>
      </c>
      <c r="Q1378" t="s">
        <v>277</v>
      </c>
      <c r="R1378" t="s">
        <v>201</v>
      </c>
      <c r="S1378" t="s">
        <v>92</v>
      </c>
      <c r="Y1378" t="str">
        <f t="shared" si="454"/>
        <v/>
      </c>
      <c r="Z1378" t="str">
        <f t="shared" si="455"/>
        <v/>
      </c>
      <c r="AC1378" t="str">
        <f t="shared" si="451"/>
        <v>Zone_Entry_Exit</v>
      </c>
      <c r="AD1378" t="str">
        <f t="shared" si="452"/>
        <v>Zone_Exit</v>
      </c>
      <c r="AE1378" t="str">
        <f t="shared" si="453"/>
        <v>ZoneExit-Clear</v>
      </c>
      <c r="AF1378" t="str">
        <f t="shared" si="456"/>
        <v>Offensive</v>
      </c>
      <c r="AG1378">
        <f t="shared" si="462"/>
        <v>18981</v>
      </c>
      <c r="AH1378" t="str">
        <f t="shared" si="463"/>
        <v>Nelson</v>
      </c>
      <c r="AI1378" t="str">
        <f t="shared" si="464"/>
        <v>Velodrome</v>
      </c>
      <c r="AJ1378" s="18">
        <f t="shared" si="457"/>
        <v>0</v>
      </c>
      <c r="AP1378" s="18">
        <f t="shared" si="458"/>
        <v>0</v>
      </c>
      <c r="AQ1378">
        <f t="shared" si="459"/>
        <v>1080</v>
      </c>
      <c r="AR1378" s="23">
        <f t="shared" si="460"/>
        <v>1825</v>
      </c>
      <c r="AS1378">
        <f t="shared" si="465"/>
        <v>1820</v>
      </c>
      <c r="AT1378" s="21">
        <f t="shared" si="466"/>
        <v>1825</v>
      </c>
      <c r="AU1378" s="21"/>
      <c r="AV1378" s="21"/>
      <c r="AW1378" s="21"/>
    </row>
    <row r="1379" spans="1:49" x14ac:dyDescent="0.2">
      <c r="A1379">
        <v>743</v>
      </c>
      <c r="E1379">
        <f t="shared" si="461"/>
        <v>2</v>
      </c>
      <c r="F1379" s="5" t="s">
        <v>540</v>
      </c>
      <c r="G1379" s="5" t="s">
        <v>507</v>
      </c>
      <c r="J1379" t="str">
        <f t="shared" si="467"/>
        <v>5</v>
      </c>
      <c r="K1379" t="str">
        <f t="shared" si="468"/>
        <v>35</v>
      </c>
      <c r="L1379" t="str">
        <f t="shared" si="469"/>
        <v/>
      </c>
      <c r="M1379" s="6" t="str">
        <f t="shared" si="470"/>
        <v/>
      </c>
      <c r="N1379" t="s">
        <v>179</v>
      </c>
      <c r="O1379">
        <v>70</v>
      </c>
      <c r="P1379" t="s">
        <v>424</v>
      </c>
      <c r="Q1379" t="s">
        <v>10</v>
      </c>
      <c r="R1379" t="s">
        <v>190</v>
      </c>
      <c r="S1379" t="s">
        <v>422</v>
      </c>
      <c r="Y1379" t="str">
        <f t="shared" si="454"/>
        <v/>
      </c>
      <c r="Z1379" t="str">
        <f t="shared" si="455"/>
        <v/>
      </c>
      <c r="AC1379" t="str">
        <f t="shared" si="451"/>
        <v>Turnover</v>
      </c>
      <c r="AD1379" t="str">
        <f t="shared" si="452"/>
        <v>Turnover_Giveaway</v>
      </c>
      <c r="AE1379" t="str">
        <f t="shared" si="453"/>
        <v>Giveaway-AttemptedZoneClear/Dump</v>
      </c>
      <c r="AF1379" t="str">
        <f t="shared" si="456"/>
        <v>Offensive</v>
      </c>
      <c r="AG1379">
        <f t="shared" si="462"/>
        <v>18981</v>
      </c>
      <c r="AH1379" t="str">
        <f t="shared" si="463"/>
        <v>Nelson</v>
      </c>
      <c r="AI1379" t="str">
        <f t="shared" si="464"/>
        <v>Velodrome</v>
      </c>
      <c r="AJ1379" s="18">
        <f t="shared" si="457"/>
        <v>0</v>
      </c>
      <c r="AP1379" s="18">
        <f t="shared" si="458"/>
        <v>0</v>
      </c>
      <c r="AQ1379">
        <f t="shared" si="459"/>
        <v>1080</v>
      </c>
      <c r="AR1379" s="23">
        <f t="shared" si="460"/>
        <v>1825</v>
      </c>
      <c r="AS1379">
        <f t="shared" si="465"/>
        <v>1820</v>
      </c>
      <c r="AT1379" s="21">
        <f t="shared" si="466"/>
        <v>1825</v>
      </c>
      <c r="AU1379" s="21"/>
      <c r="AV1379" s="21"/>
      <c r="AW1379" s="21"/>
    </row>
    <row r="1380" spans="1:49" x14ac:dyDescent="0.2">
      <c r="A1380">
        <v>744</v>
      </c>
      <c r="E1380">
        <f t="shared" si="461"/>
        <v>2</v>
      </c>
      <c r="F1380" s="5" t="s">
        <v>540</v>
      </c>
      <c r="G1380" s="5" t="s">
        <v>504</v>
      </c>
      <c r="H1380" s="5" t="s">
        <v>540</v>
      </c>
      <c r="I1380" s="7" t="s">
        <v>500</v>
      </c>
      <c r="J1380" t="str">
        <f t="shared" si="467"/>
        <v>5</v>
      </c>
      <c r="K1380" t="str">
        <f t="shared" si="468"/>
        <v>32</v>
      </c>
      <c r="L1380" t="str">
        <f t="shared" si="469"/>
        <v>5</v>
      </c>
      <c r="M1380" s="6" t="str">
        <f t="shared" si="470"/>
        <v>28</v>
      </c>
      <c r="N1380" t="s">
        <v>178</v>
      </c>
      <c r="O1380">
        <v>80</v>
      </c>
      <c r="P1380" t="s">
        <v>424</v>
      </c>
      <c r="Q1380" t="s">
        <v>15</v>
      </c>
      <c r="Y1380" t="str">
        <f t="shared" si="454"/>
        <v/>
      </c>
      <c r="Z1380" t="str">
        <f t="shared" si="455"/>
        <v/>
      </c>
      <c r="AC1380" t="str">
        <f t="shared" si="451"/>
        <v>Possession</v>
      </c>
      <c r="AD1380" t="str">
        <f t="shared" si="452"/>
        <v/>
      </c>
      <c r="AE1380" t="str">
        <f t="shared" si="453"/>
        <v/>
      </c>
      <c r="AF1380" t="str">
        <f t="shared" si="456"/>
        <v>Offensive</v>
      </c>
      <c r="AG1380">
        <f t="shared" si="462"/>
        <v>18981</v>
      </c>
      <c r="AH1380" t="str">
        <f t="shared" si="463"/>
        <v>Nelson</v>
      </c>
      <c r="AI1380" t="str">
        <f t="shared" si="464"/>
        <v>Velodrome</v>
      </c>
      <c r="AJ1380" s="18">
        <f t="shared" si="457"/>
        <v>4</v>
      </c>
      <c r="AP1380" s="18">
        <f t="shared" si="458"/>
        <v>0</v>
      </c>
      <c r="AQ1380">
        <f t="shared" si="459"/>
        <v>1080</v>
      </c>
      <c r="AR1380" s="23">
        <f t="shared" si="460"/>
        <v>1828</v>
      </c>
      <c r="AS1380">
        <f t="shared" si="465"/>
        <v>1823</v>
      </c>
      <c r="AT1380" s="21">
        <f t="shared" si="466"/>
        <v>1832</v>
      </c>
      <c r="AU1380" s="21"/>
      <c r="AV1380" s="21"/>
      <c r="AW1380" s="21"/>
    </row>
    <row r="1381" spans="1:49" x14ac:dyDescent="0.2">
      <c r="A1381">
        <v>745</v>
      </c>
      <c r="E1381">
        <f t="shared" si="461"/>
        <v>2</v>
      </c>
      <c r="F1381" s="5" t="s">
        <v>540</v>
      </c>
      <c r="G1381" s="5" t="s">
        <v>500</v>
      </c>
      <c r="J1381" t="str">
        <f t="shared" si="467"/>
        <v>5</v>
      </c>
      <c r="K1381" t="str">
        <f t="shared" si="468"/>
        <v>28</v>
      </c>
      <c r="L1381" t="str">
        <f t="shared" si="469"/>
        <v/>
      </c>
      <c r="M1381" s="6" t="str">
        <f t="shared" si="470"/>
        <v/>
      </c>
      <c r="N1381" t="s">
        <v>178</v>
      </c>
      <c r="O1381">
        <v>80</v>
      </c>
      <c r="P1381" t="s">
        <v>424</v>
      </c>
      <c r="Q1381" t="s">
        <v>13</v>
      </c>
      <c r="R1381" t="s">
        <v>204</v>
      </c>
      <c r="S1381" t="s">
        <v>109</v>
      </c>
      <c r="Y1381" t="str">
        <f t="shared" si="454"/>
        <v/>
      </c>
      <c r="Z1381" t="str">
        <f t="shared" si="455"/>
        <v/>
      </c>
      <c r="AC1381" t="str">
        <f t="shared" si="451"/>
        <v>Stoppage</v>
      </c>
      <c r="AD1381" t="str">
        <f t="shared" si="452"/>
        <v>Stoppage_Play</v>
      </c>
      <c r="AE1381" t="str">
        <f t="shared" si="453"/>
        <v>Stoppage-Offsides</v>
      </c>
      <c r="AF1381" t="str">
        <f t="shared" si="456"/>
        <v/>
      </c>
      <c r="AG1381">
        <f t="shared" si="462"/>
        <v>18981</v>
      </c>
      <c r="AH1381" t="str">
        <f t="shared" si="463"/>
        <v>Nelson</v>
      </c>
      <c r="AI1381" t="str">
        <f t="shared" si="464"/>
        <v>Velodrome</v>
      </c>
      <c r="AJ1381" s="18">
        <f t="shared" si="457"/>
        <v>0</v>
      </c>
      <c r="AP1381" s="18">
        <f t="shared" si="458"/>
        <v>0</v>
      </c>
      <c r="AQ1381">
        <f t="shared" si="459"/>
        <v>1080</v>
      </c>
      <c r="AR1381" s="23">
        <f t="shared" si="460"/>
        <v>1832</v>
      </c>
      <c r="AS1381">
        <f t="shared" si="465"/>
        <v>1827</v>
      </c>
      <c r="AT1381" s="21">
        <f t="shared" si="466"/>
        <v>1832</v>
      </c>
      <c r="AU1381" s="21"/>
      <c r="AV1381" s="21"/>
      <c r="AW1381" s="21"/>
    </row>
    <row r="1382" spans="1:49" x14ac:dyDescent="0.2">
      <c r="A1382">
        <v>746</v>
      </c>
      <c r="E1382">
        <f t="shared" si="461"/>
        <v>2</v>
      </c>
      <c r="F1382" s="5" t="s">
        <v>540</v>
      </c>
      <c r="G1382" s="5" t="s">
        <v>500</v>
      </c>
      <c r="H1382" s="5" t="s">
        <v>533</v>
      </c>
      <c r="I1382" s="7" t="s">
        <v>479</v>
      </c>
      <c r="J1382" t="str">
        <f t="shared" si="467"/>
        <v>5</v>
      </c>
      <c r="K1382" t="str">
        <f t="shared" si="468"/>
        <v>28</v>
      </c>
      <c r="L1382" t="str">
        <f t="shared" si="469"/>
        <v>4</v>
      </c>
      <c r="M1382" s="6" t="str">
        <f t="shared" si="470"/>
        <v>59</v>
      </c>
      <c r="N1382" t="s">
        <v>178</v>
      </c>
      <c r="O1382">
        <v>80</v>
      </c>
      <c r="P1382" t="s">
        <v>424</v>
      </c>
      <c r="Q1382" t="s">
        <v>282</v>
      </c>
      <c r="Y1382" t="str">
        <f t="shared" si="454"/>
        <v/>
      </c>
      <c r="Z1382" t="str">
        <f t="shared" si="455"/>
        <v/>
      </c>
      <c r="AC1382" t="str">
        <f t="shared" si="451"/>
        <v>DeadIce</v>
      </c>
      <c r="AD1382" t="str">
        <f t="shared" si="452"/>
        <v/>
      </c>
      <c r="AE1382" t="str">
        <f t="shared" si="453"/>
        <v/>
      </c>
      <c r="AF1382" t="str">
        <f t="shared" si="456"/>
        <v/>
      </c>
      <c r="AG1382">
        <f t="shared" si="462"/>
        <v>18981</v>
      </c>
      <c r="AH1382" t="str">
        <f t="shared" si="463"/>
        <v>Nelson</v>
      </c>
      <c r="AI1382" t="str">
        <f t="shared" si="464"/>
        <v>Velodrome</v>
      </c>
      <c r="AJ1382" s="18">
        <f t="shared" si="457"/>
        <v>29</v>
      </c>
      <c r="AP1382" s="18">
        <f t="shared" si="458"/>
        <v>0</v>
      </c>
      <c r="AQ1382">
        <f t="shared" si="459"/>
        <v>1080</v>
      </c>
      <c r="AR1382" s="23">
        <f t="shared" si="460"/>
        <v>1832</v>
      </c>
      <c r="AS1382">
        <f t="shared" si="465"/>
        <v>1827</v>
      </c>
      <c r="AT1382" s="21">
        <f t="shared" si="466"/>
        <v>1861</v>
      </c>
      <c r="AU1382" s="21"/>
      <c r="AV1382" s="21"/>
      <c r="AW1382" s="21"/>
    </row>
    <row r="1383" spans="1:49" x14ac:dyDescent="0.2">
      <c r="A1383">
        <v>747</v>
      </c>
      <c r="E1383">
        <f t="shared" si="461"/>
        <v>2</v>
      </c>
      <c r="F1383" s="5" t="s">
        <v>533</v>
      </c>
      <c r="G1383" s="5" t="s">
        <v>479</v>
      </c>
      <c r="J1383" t="str">
        <f t="shared" si="467"/>
        <v>4</v>
      </c>
      <c r="K1383" t="str">
        <f t="shared" si="468"/>
        <v>59</v>
      </c>
      <c r="L1383" t="str">
        <f t="shared" si="469"/>
        <v/>
      </c>
      <c r="M1383" s="6" t="str">
        <f t="shared" si="470"/>
        <v/>
      </c>
      <c r="N1383" t="s">
        <v>178</v>
      </c>
      <c r="O1383">
        <v>79</v>
      </c>
      <c r="P1383" t="s">
        <v>424</v>
      </c>
      <c r="Q1383" t="s">
        <v>6</v>
      </c>
      <c r="R1383" t="s">
        <v>275</v>
      </c>
      <c r="Y1383" t="str">
        <f t="shared" si="454"/>
        <v/>
      </c>
      <c r="Z1383" t="str">
        <f t="shared" si="455"/>
        <v/>
      </c>
      <c r="AC1383" t="str">
        <f t="shared" si="451"/>
        <v>Faceoff</v>
      </c>
      <c r="AD1383" t="str">
        <f t="shared" si="452"/>
        <v>Faceoff_AfterStoppage</v>
      </c>
      <c r="AE1383" t="str">
        <f t="shared" si="453"/>
        <v/>
      </c>
      <c r="AF1383" t="str">
        <f t="shared" si="456"/>
        <v>Offensive</v>
      </c>
      <c r="AG1383">
        <f t="shared" si="462"/>
        <v>18981</v>
      </c>
      <c r="AH1383" t="str">
        <f t="shared" si="463"/>
        <v>Nelson</v>
      </c>
      <c r="AI1383" t="str">
        <f t="shared" si="464"/>
        <v>Velodrome</v>
      </c>
      <c r="AJ1383" s="18">
        <f t="shared" si="457"/>
        <v>0</v>
      </c>
      <c r="AP1383" s="18">
        <f t="shared" si="458"/>
        <v>0</v>
      </c>
      <c r="AQ1383">
        <f t="shared" si="459"/>
        <v>1080</v>
      </c>
      <c r="AR1383" s="23">
        <f t="shared" si="460"/>
        <v>1861</v>
      </c>
      <c r="AS1383">
        <f t="shared" si="465"/>
        <v>1856</v>
      </c>
      <c r="AT1383" s="21">
        <f t="shared" si="466"/>
        <v>1861</v>
      </c>
      <c r="AU1383" s="21"/>
      <c r="AV1383" s="21"/>
      <c r="AW1383" s="21"/>
    </row>
    <row r="1384" spans="1:49" x14ac:dyDescent="0.2">
      <c r="A1384">
        <v>747</v>
      </c>
      <c r="E1384">
        <f t="shared" si="461"/>
        <v>2</v>
      </c>
      <c r="J1384" t="str">
        <f t="shared" si="467"/>
        <v>4</v>
      </c>
      <c r="K1384" t="str">
        <f t="shared" si="468"/>
        <v>59</v>
      </c>
      <c r="L1384" t="str">
        <f t="shared" si="469"/>
        <v/>
      </c>
      <c r="M1384" s="6" t="str">
        <f t="shared" si="470"/>
        <v/>
      </c>
      <c r="N1384" t="str">
        <f t="shared" si="471"/>
        <v>Home</v>
      </c>
      <c r="O1384">
        <v>42</v>
      </c>
      <c r="P1384" t="s">
        <v>425</v>
      </c>
      <c r="Y1384" t="str">
        <f t="shared" si="454"/>
        <v/>
      </c>
      <c r="Z1384" t="str">
        <f t="shared" si="455"/>
        <v/>
      </c>
      <c r="AC1384" t="str">
        <f t="shared" si="451"/>
        <v>Faceoff</v>
      </c>
      <c r="AD1384" t="str">
        <f t="shared" si="452"/>
        <v>Faceoff_AfterStoppage</v>
      </c>
      <c r="AE1384" t="str">
        <f t="shared" si="453"/>
        <v/>
      </c>
      <c r="AF1384" t="str">
        <f t="shared" si="456"/>
        <v>Defensive</v>
      </c>
      <c r="AG1384">
        <f t="shared" si="462"/>
        <v>18981</v>
      </c>
      <c r="AH1384" t="str">
        <f t="shared" si="463"/>
        <v>Nelson</v>
      </c>
      <c r="AI1384" t="str">
        <f t="shared" si="464"/>
        <v>Velodrome</v>
      </c>
      <c r="AJ1384" s="18">
        <f t="shared" si="457"/>
        <v>0</v>
      </c>
      <c r="AP1384" s="18">
        <f t="shared" si="458"/>
        <v>0</v>
      </c>
      <c r="AQ1384">
        <f t="shared" si="459"/>
        <v>1080</v>
      </c>
      <c r="AR1384" s="23">
        <f t="shared" si="460"/>
        <v>1861</v>
      </c>
      <c r="AS1384">
        <f t="shared" si="465"/>
        <v>1856</v>
      </c>
      <c r="AT1384" s="21">
        <f t="shared" si="466"/>
        <v>1861</v>
      </c>
      <c r="AU1384" s="21"/>
      <c r="AV1384" s="21"/>
      <c r="AW1384" s="21"/>
    </row>
    <row r="1385" spans="1:49" x14ac:dyDescent="0.2">
      <c r="A1385">
        <v>748</v>
      </c>
      <c r="E1385">
        <f t="shared" si="461"/>
        <v>2</v>
      </c>
      <c r="F1385" s="5" t="s">
        <v>533</v>
      </c>
      <c r="G1385" s="5" t="s">
        <v>530</v>
      </c>
      <c r="H1385" s="5" t="s">
        <v>533</v>
      </c>
      <c r="I1385" s="7" t="s">
        <v>527</v>
      </c>
      <c r="J1385" t="str">
        <f t="shared" si="467"/>
        <v>4</v>
      </c>
      <c r="K1385" t="str">
        <f t="shared" si="468"/>
        <v>58</v>
      </c>
      <c r="L1385" t="str">
        <f t="shared" si="469"/>
        <v>4</v>
      </c>
      <c r="M1385" s="6" t="str">
        <f t="shared" si="470"/>
        <v>55</v>
      </c>
      <c r="N1385" t="s">
        <v>178</v>
      </c>
      <c r="O1385">
        <v>79</v>
      </c>
      <c r="P1385" t="s">
        <v>424</v>
      </c>
      <c r="Q1385" t="s">
        <v>277</v>
      </c>
      <c r="R1385" t="s">
        <v>191</v>
      </c>
      <c r="S1385" t="s">
        <v>87</v>
      </c>
      <c r="Y1385" t="str">
        <f t="shared" si="454"/>
        <v/>
      </c>
      <c r="Z1385" t="str">
        <f t="shared" si="455"/>
        <v/>
      </c>
      <c r="AC1385" t="str">
        <f t="shared" si="451"/>
        <v>Zone_Entry_Exit</v>
      </c>
      <c r="AD1385" t="str">
        <f t="shared" si="452"/>
        <v>Zone_Entry</v>
      </c>
      <c r="AE1385" t="str">
        <f t="shared" si="453"/>
        <v>ZoneEntry-Rush</v>
      </c>
      <c r="AF1385" t="str">
        <f t="shared" si="456"/>
        <v>Offensive</v>
      </c>
      <c r="AG1385">
        <f t="shared" si="462"/>
        <v>18981</v>
      </c>
      <c r="AH1385" t="str">
        <f t="shared" si="463"/>
        <v>Nelson</v>
      </c>
      <c r="AI1385" t="str">
        <f t="shared" si="464"/>
        <v>Velodrome</v>
      </c>
      <c r="AJ1385" s="18">
        <f t="shared" si="457"/>
        <v>3</v>
      </c>
      <c r="AP1385" s="18">
        <f t="shared" si="458"/>
        <v>0</v>
      </c>
      <c r="AQ1385">
        <f t="shared" si="459"/>
        <v>1080</v>
      </c>
      <c r="AR1385" s="23">
        <f t="shared" si="460"/>
        <v>1862</v>
      </c>
      <c r="AS1385">
        <f t="shared" si="465"/>
        <v>1857</v>
      </c>
      <c r="AT1385" s="21">
        <f t="shared" si="466"/>
        <v>1865</v>
      </c>
      <c r="AU1385" s="21"/>
      <c r="AV1385" s="21"/>
      <c r="AW1385" s="21"/>
    </row>
    <row r="1386" spans="1:49" x14ac:dyDescent="0.2">
      <c r="A1386">
        <v>748</v>
      </c>
      <c r="E1386">
        <f t="shared" si="461"/>
        <v>2</v>
      </c>
      <c r="J1386" t="str">
        <f t="shared" si="467"/>
        <v>4</v>
      </c>
      <c r="K1386" t="str">
        <f t="shared" si="468"/>
        <v>58</v>
      </c>
      <c r="L1386" t="str">
        <f t="shared" si="469"/>
        <v>4</v>
      </c>
      <c r="M1386" s="6" t="str">
        <f t="shared" si="470"/>
        <v>55</v>
      </c>
      <c r="N1386" t="str">
        <f t="shared" si="471"/>
        <v>Home</v>
      </c>
      <c r="O1386">
        <v>15</v>
      </c>
      <c r="P1386" t="s">
        <v>424</v>
      </c>
      <c r="Y1386" t="str">
        <f t="shared" si="454"/>
        <v/>
      </c>
      <c r="Z1386" t="str">
        <f t="shared" si="455"/>
        <v/>
      </c>
      <c r="AC1386" t="str">
        <f t="shared" si="451"/>
        <v>Zone_Entry_Exit</v>
      </c>
      <c r="AD1386" t="str">
        <f t="shared" si="452"/>
        <v>Zone_Entry</v>
      </c>
      <c r="AE1386" t="str">
        <f t="shared" si="453"/>
        <v>ZoneEntry-Rush</v>
      </c>
      <c r="AF1386" t="str">
        <f t="shared" si="456"/>
        <v>Offensive</v>
      </c>
      <c r="AG1386">
        <f t="shared" si="462"/>
        <v>18981</v>
      </c>
      <c r="AH1386" t="str">
        <f t="shared" si="463"/>
        <v>Nelson</v>
      </c>
      <c r="AI1386" t="str">
        <f t="shared" si="464"/>
        <v>Velodrome</v>
      </c>
      <c r="AJ1386" s="18">
        <f t="shared" si="457"/>
        <v>3</v>
      </c>
      <c r="AP1386" s="18">
        <f t="shared" si="458"/>
        <v>0</v>
      </c>
      <c r="AQ1386">
        <f t="shared" si="459"/>
        <v>1080</v>
      </c>
      <c r="AR1386" s="23">
        <f t="shared" si="460"/>
        <v>1862</v>
      </c>
      <c r="AS1386">
        <f t="shared" si="465"/>
        <v>1857</v>
      </c>
      <c r="AT1386" s="21">
        <f t="shared" si="466"/>
        <v>1865</v>
      </c>
      <c r="AU1386" s="21"/>
      <c r="AV1386" s="21"/>
      <c r="AW1386" s="21"/>
    </row>
    <row r="1387" spans="1:49" x14ac:dyDescent="0.2">
      <c r="A1387">
        <v>748</v>
      </c>
      <c r="E1387">
        <f t="shared" si="461"/>
        <v>2</v>
      </c>
      <c r="J1387" t="str">
        <f t="shared" si="467"/>
        <v>4</v>
      </c>
      <c r="K1387" t="str">
        <f t="shared" si="468"/>
        <v>58</v>
      </c>
      <c r="L1387" t="str">
        <f t="shared" si="469"/>
        <v>4</v>
      </c>
      <c r="M1387" s="6" t="str">
        <f t="shared" si="470"/>
        <v>55</v>
      </c>
      <c r="N1387" t="str">
        <f t="shared" si="471"/>
        <v>Home</v>
      </c>
      <c r="O1387">
        <v>16</v>
      </c>
      <c r="P1387" t="s">
        <v>424</v>
      </c>
      <c r="Y1387" t="str">
        <f t="shared" si="454"/>
        <v/>
      </c>
      <c r="Z1387" t="str">
        <f t="shared" si="455"/>
        <v/>
      </c>
      <c r="AC1387" t="str">
        <f t="shared" si="451"/>
        <v>Zone_Entry_Exit</v>
      </c>
      <c r="AD1387" t="str">
        <f t="shared" si="452"/>
        <v>Zone_Entry</v>
      </c>
      <c r="AE1387" t="str">
        <f t="shared" si="453"/>
        <v>ZoneEntry-Rush</v>
      </c>
      <c r="AF1387" t="str">
        <f t="shared" si="456"/>
        <v>Offensive</v>
      </c>
      <c r="AG1387">
        <f t="shared" si="462"/>
        <v>18981</v>
      </c>
      <c r="AH1387" t="str">
        <f t="shared" si="463"/>
        <v>Nelson</v>
      </c>
      <c r="AI1387" t="str">
        <f t="shared" si="464"/>
        <v>Velodrome</v>
      </c>
      <c r="AJ1387" s="18">
        <f t="shared" si="457"/>
        <v>3</v>
      </c>
      <c r="AP1387" s="18">
        <f t="shared" si="458"/>
        <v>0</v>
      </c>
      <c r="AQ1387">
        <f t="shared" si="459"/>
        <v>1080</v>
      </c>
      <c r="AR1387" s="23">
        <f t="shared" si="460"/>
        <v>1862</v>
      </c>
      <c r="AS1387">
        <f t="shared" si="465"/>
        <v>1857</v>
      </c>
      <c r="AT1387" s="21">
        <f t="shared" si="466"/>
        <v>1865</v>
      </c>
      <c r="AU1387" s="21"/>
      <c r="AV1387" s="21"/>
      <c r="AW1387" s="21"/>
    </row>
    <row r="1388" spans="1:49" x14ac:dyDescent="0.2">
      <c r="A1388">
        <v>748</v>
      </c>
      <c r="E1388">
        <f t="shared" si="461"/>
        <v>2</v>
      </c>
      <c r="J1388" t="str">
        <f t="shared" si="467"/>
        <v>4</v>
      </c>
      <c r="K1388" t="str">
        <f t="shared" si="468"/>
        <v>58</v>
      </c>
      <c r="L1388" t="str">
        <f t="shared" si="469"/>
        <v>4</v>
      </c>
      <c r="M1388" s="6" t="str">
        <f t="shared" si="470"/>
        <v>55</v>
      </c>
      <c r="N1388" t="str">
        <f t="shared" si="471"/>
        <v>Home</v>
      </c>
      <c r="O1388">
        <v>42</v>
      </c>
      <c r="P1388" t="s">
        <v>425</v>
      </c>
      <c r="Y1388" t="str">
        <f t="shared" si="454"/>
        <v/>
      </c>
      <c r="Z1388" t="str">
        <f t="shared" si="455"/>
        <v/>
      </c>
      <c r="AC1388" t="str">
        <f t="shared" si="451"/>
        <v>Zone_Entry_Exit</v>
      </c>
      <c r="AD1388" t="str">
        <f t="shared" si="452"/>
        <v>Zone_Entry</v>
      </c>
      <c r="AE1388" t="str">
        <f t="shared" si="453"/>
        <v>ZoneEntry-Rush</v>
      </c>
      <c r="AF1388" t="str">
        <f t="shared" si="456"/>
        <v>Defensive</v>
      </c>
      <c r="AG1388">
        <f t="shared" si="462"/>
        <v>18981</v>
      </c>
      <c r="AH1388" t="str">
        <f t="shared" si="463"/>
        <v>Nelson</v>
      </c>
      <c r="AI1388" t="str">
        <f t="shared" si="464"/>
        <v>Velodrome</v>
      </c>
      <c r="AJ1388" s="18">
        <f t="shared" si="457"/>
        <v>3</v>
      </c>
      <c r="AP1388" s="18">
        <f t="shared" si="458"/>
        <v>0</v>
      </c>
      <c r="AQ1388">
        <f t="shared" si="459"/>
        <v>1080</v>
      </c>
      <c r="AR1388" s="23">
        <f t="shared" si="460"/>
        <v>1862</v>
      </c>
      <c r="AS1388">
        <f t="shared" si="465"/>
        <v>1857</v>
      </c>
      <c r="AT1388" s="21">
        <f t="shared" si="466"/>
        <v>1865</v>
      </c>
      <c r="AU1388" s="21"/>
      <c r="AV1388" s="21"/>
      <c r="AW1388" s="21"/>
    </row>
    <row r="1389" spans="1:49" x14ac:dyDescent="0.2">
      <c r="A1389">
        <v>748</v>
      </c>
      <c r="E1389">
        <f t="shared" si="461"/>
        <v>2</v>
      </c>
      <c r="J1389" t="str">
        <f t="shared" si="467"/>
        <v>4</v>
      </c>
      <c r="K1389" t="str">
        <f t="shared" si="468"/>
        <v>58</v>
      </c>
      <c r="L1389" t="str">
        <f t="shared" si="469"/>
        <v>4</v>
      </c>
      <c r="M1389" s="6" t="str">
        <f t="shared" si="470"/>
        <v>55</v>
      </c>
      <c r="N1389" t="str">
        <f t="shared" si="471"/>
        <v>Home</v>
      </c>
      <c r="O1389">
        <v>84</v>
      </c>
      <c r="P1389" t="s">
        <v>425</v>
      </c>
      <c r="Y1389" t="str">
        <f t="shared" si="454"/>
        <v/>
      </c>
      <c r="Z1389" t="str">
        <f t="shared" si="455"/>
        <v/>
      </c>
      <c r="AC1389" t="str">
        <f t="shared" si="451"/>
        <v>Zone_Entry_Exit</v>
      </c>
      <c r="AD1389" t="str">
        <f t="shared" si="452"/>
        <v>Zone_Entry</v>
      </c>
      <c r="AE1389" t="str">
        <f t="shared" si="453"/>
        <v>ZoneEntry-Rush</v>
      </c>
      <c r="AF1389" t="str">
        <f t="shared" si="456"/>
        <v>Defensive</v>
      </c>
      <c r="AG1389">
        <f t="shared" si="462"/>
        <v>18981</v>
      </c>
      <c r="AH1389" t="str">
        <f t="shared" si="463"/>
        <v>Nelson</v>
      </c>
      <c r="AI1389" t="str">
        <f t="shared" si="464"/>
        <v>Velodrome</v>
      </c>
      <c r="AJ1389" s="18">
        <f t="shared" si="457"/>
        <v>3</v>
      </c>
      <c r="AP1389" s="18">
        <f t="shared" si="458"/>
        <v>0</v>
      </c>
      <c r="AQ1389">
        <f t="shared" si="459"/>
        <v>1080</v>
      </c>
      <c r="AR1389" s="23">
        <f t="shared" si="460"/>
        <v>1862</v>
      </c>
      <c r="AS1389">
        <f t="shared" si="465"/>
        <v>1857</v>
      </c>
      <c r="AT1389" s="21">
        <f t="shared" si="466"/>
        <v>1865</v>
      </c>
      <c r="AU1389" s="21"/>
      <c r="AV1389" s="21"/>
      <c r="AW1389" s="21"/>
    </row>
    <row r="1390" spans="1:49" x14ac:dyDescent="0.2">
      <c r="A1390">
        <v>748</v>
      </c>
      <c r="E1390">
        <f t="shared" si="461"/>
        <v>2</v>
      </c>
      <c r="J1390" t="str">
        <f t="shared" si="467"/>
        <v>4</v>
      </c>
      <c r="K1390" t="str">
        <f t="shared" si="468"/>
        <v>58</v>
      </c>
      <c r="L1390" t="str">
        <f t="shared" si="469"/>
        <v>4</v>
      </c>
      <c r="M1390" s="6" t="str">
        <f t="shared" si="470"/>
        <v>55</v>
      </c>
      <c r="N1390" t="str">
        <f t="shared" si="471"/>
        <v>Home</v>
      </c>
      <c r="O1390">
        <v>9</v>
      </c>
      <c r="P1390" t="s">
        <v>425</v>
      </c>
      <c r="Y1390" t="str">
        <f t="shared" si="454"/>
        <v/>
      </c>
      <c r="Z1390" t="str">
        <f t="shared" si="455"/>
        <v/>
      </c>
      <c r="AC1390" t="str">
        <f t="shared" si="451"/>
        <v>Zone_Entry_Exit</v>
      </c>
      <c r="AD1390" t="str">
        <f t="shared" si="452"/>
        <v>Zone_Entry</v>
      </c>
      <c r="AE1390" t="str">
        <f t="shared" si="453"/>
        <v>ZoneEntry-Rush</v>
      </c>
      <c r="AF1390" t="str">
        <f t="shared" si="456"/>
        <v>Defensive</v>
      </c>
      <c r="AG1390">
        <f t="shared" si="462"/>
        <v>18981</v>
      </c>
      <c r="AH1390" t="str">
        <f t="shared" si="463"/>
        <v>Nelson</v>
      </c>
      <c r="AI1390" t="str">
        <f t="shared" si="464"/>
        <v>Velodrome</v>
      </c>
      <c r="AJ1390" s="18">
        <f t="shared" si="457"/>
        <v>3</v>
      </c>
      <c r="AP1390" s="18">
        <f t="shared" si="458"/>
        <v>0</v>
      </c>
      <c r="AQ1390">
        <f t="shared" si="459"/>
        <v>1080</v>
      </c>
      <c r="AR1390" s="23">
        <f t="shared" si="460"/>
        <v>1862</v>
      </c>
      <c r="AS1390">
        <f t="shared" si="465"/>
        <v>1857</v>
      </c>
      <c r="AT1390" s="21">
        <f t="shared" si="466"/>
        <v>1865</v>
      </c>
      <c r="AU1390" s="21"/>
      <c r="AV1390" s="21"/>
      <c r="AW1390" s="21"/>
    </row>
    <row r="1391" spans="1:49" x14ac:dyDescent="0.2">
      <c r="A1391">
        <v>749</v>
      </c>
      <c r="E1391">
        <f t="shared" si="461"/>
        <v>2</v>
      </c>
      <c r="F1391" s="5" t="s">
        <v>533</v>
      </c>
      <c r="G1391" s="5" t="s">
        <v>527</v>
      </c>
      <c r="J1391" t="str">
        <f t="shared" si="467"/>
        <v>4</v>
      </c>
      <c r="K1391" t="str">
        <f t="shared" si="468"/>
        <v>55</v>
      </c>
      <c r="L1391" t="str">
        <f t="shared" si="469"/>
        <v/>
      </c>
      <c r="M1391" s="6" t="str">
        <f t="shared" si="470"/>
        <v/>
      </c>
      <c r="N1391" t="s">
        <v>178</v>
      </c>
      <c r="O1391">
        <v>79</v>
      </c>
      <c r="P1391" t="s">
        <v>424</v>
      </c>
      <c r="Q1391" t="s">
        <v>7</v>
      </c>
      <c r="R1391" t="s">
        <v>222</v>
      </c>
      <c r="S1391" t="s">
        <v>53</v>
      </c>
      <c r="Y1391" t="str">
        <f t="shared" si="454"/>
        <v/>
      </c>
      <c r="Z1391" t="str">
        <f t="shared" si="455"/>
        <v/>
      </c>
      <c r="AC1391" t="str">
        <f t="shared" ref="AC1391:AC1454" si="472">IF(Q1391&lt;&gt;"",Q1391,IF($A1391=$A1390,AC1390,""))</f>
        <v>Shot</v>
      </c>
      <c r="AD1391" t="str">
        <f t="shared" ref="AD1391:AD1454" si="473">IF(R1391&lt;&gt;"",R1391,IF($A1391=$A1390,AD1390,""))</f>
        <v>Shot_OnNetSaved</v>
      </c>
      <c r="AE1391" t="str">
        <f t="shared" ref="AE1391:AE1454" si="474">IF(S1391&lt;&gt;"",S1391,IF($A1391=$A1390,AE1390,""))</f>
        <v>Shot-Wrist</v>
      </c>
      <c r="AF1391" t="str">
        <f t="shared" si="456"/>
        <v>Offensive</v>
      </c>
      <c r="AG1391">
        <f t="shared" si="462"/>
        <v>18981</v>
      </c>
      <c r="AH1391" t="str">
        <f t="shared" si="463"/>
        <v>Nelson</v>
      </c>
      <c r="AI1391" t="str">
        <f t="shared" si="464"/>
        <v>Velodrome</v>
      </c>
      <c r="AJ1391" s="18">
        <f t="shared" si="457"/>
        <v>0</v>
      </c>
      <c r="AP1391" s="18">
        <f t="shared" si="458"/>
        <v>0</v>
      </c>
      <c r="AQ1391">
        <f t="shared" si="459"/>
        <v>1080</v>
      </c>
      <c r="AR1391" s="23">
        <f t="shared" si="460"/>
        <v>1865</v>
      </c>
      <c r="AS1391">
        <f t="shared" si="465"/>
        <v>1860</v>
      </c>
      <c r="AT1391" s="21">
        <f t="shared" si="466"/>
        <v>1865</v>
      </c>
      <c r="AU1391" s="21"/>
      <c r="AV1391" s="21"/>
      <c r="AW1391" s="21"/>
    </row>
    <row r="1392" spans="1:49" x14ac:dyDescent="0.2">
      <c r="A1392">
        <v>749</v>
      </c>
      <c r="E1392">
        <f t="shared" si="461"/>
        <v>2</v>
      </c>
      <c r="J1392" t="str">
        <f t="shared" si="467"/>
        <v>4</v>
      </c>
      <c r="K1392" t="str">
        <f t="shared" si="468"/>
        <v>55</v>
      </c>
      <c r="L1392" t="str">
        <f t="shared" si="469"/>
        <v/>
      </c>
      <c r="M1392" s="6" t="str">
        <f t="shared" si="470"/>
        <v/>
      </c>
      <c r="N1392" t="str">
        <f t="shared" si="471"/>
        <v>Home</v>
      </c>
      <c r="O1392">
        <v>39</v>
      </c>
      <c r="P1392" t="s">
        <v>425</v>
      </c>
      <c r="Y1392" t="str">
        <f t="shared" si="454"/>
        <v/>
      </c>
      <c r="Z1392" t="str">
        <f t="shared" si="455"/>
        <v/>
      </c>
      <c r="AC1392" t="str">
        <f t="shared" si="472"/>
        <v>Shot</v>
      </c>
      <c r="AD1392" t="str">
        <f t="shared" si="473"/>
        <v>Shot_OnNetSaved</v>
      </c>
      <c r="AE1392" t="str">
        <f t="shared" si="474"/>
        <v>Shot-Wrist</v>
      </c>
      <c r="AF1392" t="str">
        <f t="shared" si="456"/>
        <v>Defensive</v>
      </c>
      <c r="AG1392">
        <f t="shared" si="462"/>
        <v>18981</v>
      </c>
      <c r="AH1392" t="str">
        <f t="shared" si="463"/>
        <v>Nelson</v>
      </c>
      <c r="AI1392" t="str">
        <f t="shared" si="464"/>
        <v>Velodrome</v>
      </c>
      <c r="AJ1392" s="18">
        <f t="shared" si="457"/>
        <v>0</v>
      </c>
      <c r="AP1392" s="18">
        <f t="shared" si="458"/>
        <v>0</v>
      </c>
      <c r="AQ1392">
        <f t="shared" si="459"/>
        <v>1080</v>
      </c>
      <c r="AR1392" s="23">
        <f t="shared" si="460"/>
        <v>1865</v>
      </c>
      <c r="AS1392">
        <f t="shared" si="465"/>
        <v>1860</v>
      </c>
      <c r="AT1392" s="21">
        <f t="shared" si="466"/>
        <v>1865</v>
      </c>
      <c r="AU1392" s="21"/>
      <c r="AV1392" s="21"/>
      <c r="AW1392" s="21"/>
    </row>
    <row r="1393" spans="1:49" x14ac:dyDescent="0.2">
      <c r="A1393">
        <v>749</v>
      </c>
      <c r="E1393">
        <f t="shared" si="461"/>
        <v>2</v>
      </c>
      <c r="J1393" t="str">
        <f t="shared" si="467"/>
        <v>4</v>
      </c>
      <c r="K1393" t="str">
        <f t="shared" si="468"/>
        <v>55</v>
      </c>
      <c r="L1393" t="str">
        <f t="shared" si="469"/>
        <v/>
      </c>
      <c r="M1393" s="6" t="str">
        <f t="shared" si="470"/>
        <v/>
      </c>
      <c r="N1393" t="str">
        <f t="shared" si="471"/>
        <v>Home</v>
      </c>
      <c r="O1393">
        <v>84</v>
      </c>
      <c r="P1393" t="s">
        <v>425</v>
      </c>
      <c r="Y1393" t="str">
        <f t="shared" si="454"/>
        <v/>
      </c>
      <c r="Z1393" t="str">
        <f t="shared" si="455"/>
        <v/>
      </c>
      <c r="AC1393" t="str">
        <f t="shared" si="472"/>
        <v>Shot</v>
      </c>
      <c r="AD1393" t="str">
        <f t="shared" si="473"/>
        <v>Shot_OnNetSaved</v>
      </c>
      <c r="AE1393" t="str">
        <f t="shared" si="474"/>
        <v>Shot-Wrist</v>
      </c>
      <c r="AF1393" t="str">
        <f t="shared" si="456"/>
        <v>Defensive</v>
      </c>
      <c r="AG1393">
        <f t="shared" si="462"/>
        <v>18981</v>
      </c>
      <c r="AH1393" t="str">
        <f t="shared" si="463"/>
        <v>Nelson</v>
      </c>
      <c r="AI1393" t="str">
        <f t="shared" si="464"/>
        <v>Velodrome</v>
      </c>
      <c r="AJ1393" s="18">
        <f t="shared" si="457"/>
        <v>0</v>
      </c>
      <c r="AP1393" s="18">
        <f t="shared" si="458"/>
        <v>0</v>
      </c>
      <c r="AQ1393">
        <f t="shared" si="459"/>
        <v>1080</v>
      </c>
      <c r="AR1393" s="23">
        <f t="shared" si="460"/>
        <v>1865</v>
      </c>
      <c r="AS1393">
        <f t="shared" si="465"/>
        <v>1860</v>
      </c>
      <c r="AT1393" s="21">
        <f t="shared" si="466"/>
        <v>1865</v>
      </c>
      <c r="AU1393" s="21"/>
      <c r="AV1393" s="21"/>
      <c r="AW1393" s="21"/>
    </row>
    <row r="1394" spans="1:49" x14ac:dyDescent="0.2">
      <c r="A1394">
        <v>750</v>
      </c>
      <c r="E1394">
        <f t="shared" si="461"/>
        <v>2</v>
      </c>
      <c r="F1394" s="5" t="s">
        <v>533</v>
      </c>
      <c r="G1394" s="5" t="s">
        <v>527</v>
      </c>
      <c r="J1394" t="str">
        <f t="shared" si="467"/>
        <v>4</v>
      </c>
      <c r="K1394" t="str">
        <f t="shared" si="468"/>
        <v>55</v>
      </c>
      <c r="L1394" t="str">
        <f t="shared" si="469"/>
        <v/>
      </c>
      <c r="M1394" s="6" t="str">
        <f t="shared" si="470"/>
        <v/>
      </c>
      <c r="N1394" t="s">
        <v>179</v>
      </c>
      <c r="O1394">
        <v>39</v>
      </c>
      <c r="P1394" t="s">
        <v>424</v>
      </c>
      <c r="Q1394" t="s">
        <v>17</v>
      </c>
      <c r="R1394" t="s">
        <v>196</v>
      </c>
      <c r="S1394" t="s">
        <v>99</v>
      </c>
      <c r="Y1394" t="str">
        <f t="shared" si="454"/>
        <v/>
      </c>
      <c r="Z1394" t="str">
        <f t="shared" si="455"/>
        <v/>
      </c>
      <c r="AC1394" t="str">
        <f t="shared" si="472"/>
        <v>Save</v>
      </c>
      <c r="AD1394" t="str">
        <f t="shared" si="473"/>
        <v>Save_Rebound</v>
      </c>
      <c r="AE1394" t="str">
        <f t="shared" si="474"/>
        <v>Save-RightPad</v>
      </c>
      <c r="AF1394" t="str">
        <f t="shared" si="456"/>
        <v>Defensive</v>
      </c>
      <c r="AG1394">
        <f t="shared" si="462"/>
        <v>18981</v>
      </c>
      <c r="AH1394" t="str">
        <f t="shared" si="463"/>
        <v>Nelson</v>
      </c>
      <c r="AI1394" t="str">
        <f t="shared" si="464"/>
        <v>Velodrome</v>
      </c>
      <c r="AJ1394" s="18">
        <f t="shared" si="457"/>
        <v>0</v>
      </c>
      <c r="AP1394" s="18">
        <f t="shared" si="458"/>
        <v>0</v>
      </c>
      <c r="AQ1394">
        <f t="shared" si="459"/>
        <v>1080</v>
      </c>
      <c r="AR1394" s="23">
        <f t="shared" si="460"/>
        <v>1865</v>
      </c>
      <c r="AS1394">
        <f t="shared" si="465"/>
        <v>1860</v>
      </c>
      <c r="AT1394" s="21">
        <f t="shared" si="466"/>
        <v>1865</v>
      </c>
      <c r="AU1394" s="21"/>
      <c r="AV1394" s="21"/>
      <c r="AW1394" s="21"/>
    </row>
    <row r="1395" spans="1:49" x14ac:dyDescent="0.2">
      <c r="A1395">
        <v>750</v>
      </c>
      <c r="E1395">
        <f t="shared" si="461"/>
        <v>2</v>
      </c>
      <c r="J1395" t="str">
        <f t="shared" si="467"/>
        <v>4</v>
      </c>
      <c r="K1395" t="str">
        <f t="shared" si="468"/>
        <v>55</v>
      </c>
      <c r="L1395" t="str">
        <f t="shared" si="469"/>
        <v/>
      </c>
      <c r="M1395" s="6" t="str">
        <f t="shared" si="470"/>
        <v/>
      </c>
      <c r="N1395" t="str">
        <f t="shared" si="471"/>
        <v>Away</v>
      </c>
      <c r="O1395">
        <v>84</v>
      </c>
      <c r="P1395" t="s">
        <v>424</v>
      </c>
      <c r="Y1395" t="str">
        <f t="shared" si="454"/>
        <v/>
      </c>
      <c r="Z1395" t="str">
        <f t="shared" si="455"/>
        <v/>
      </c>
      <c r="AC1395" t="str">
        <f t="shared" si="472"/>
        <v>Save</v>
      </c>
      <c r="AD1395" t="str">
        <f t="shared" si="473"/>
        <v>Save_Rebound</v>
      </c>
      <c r="AE1395" t="str">
        <f t="shared" si="474"/>
        <v>Save-RightPad</v>
      </c>
      <c r="AF1395" t="str">
        <f t="shared" si="456"/>
        <v>Defensive</v>
      </c>
      <c r="AG1395">
        <f t="shared" si="462"/>
        <v>18981</v>
      </c>
      <c r="AH1395" t="str">
        <f t="shared" si="463"/>
        <v>Nelson</v>
      </c>
      <c r="AI1395" t="str">
        <f t="shared" si="464"/>
        <v>Velodrome</v>
      </c>
      <c r="AJ1395" s="18">
        <f t="shared" si="457"/>
        <v>0</v>
      </c>
      <c r="AP1395" s="18">
        <f t="shared" si="458"/>
        <v>0</v>
      </c>
      <c r="AQ1395">
        <f t="shared" si="459"/>
        <v>1080</v>
      </c>
      <c r="AR1395" s="23">
        <f t="shared" si="460"/>
        <v>1865</v>
      </c>
      <c r="AS1395">
        <f t="shared" si="465"/>
        <v>1860</v>
      </c>
      <c r="AT1395" s="21">
        <f t="shared" si="466"/>
        <v>1865</v>
      </c>
      <c r="AU1395" s="21"/>
      <c r="AV1395" s="21"/>
      <c r="AW1395" s="21"/>
    </row>
    <row r="1396" spans="1:49" x14ac:dyDescent="0.2">
      <c r="A1396">
        <v>750</v>
      </c>
      <c r="E1396">
        <f t="shared" si="461"/>
        <v>2</v>
      </c>
      <c r="J1396" t="str">
        <f t="shared" si="467"/>
        <v>4</v>
      </c>
      <c r="K1396" t="str">
        <f t="shared" si="468"/>
        <v>55</v>
      </c>
      <c r="L1396" t="str">
        <f t="shared" si="469"/>
        <v/>
      </c>
      <c r="M1396" s="6" t="str">
        <f t="shared" si="470"/>
        <v/>
      </c>
      <c r="N1396" t="str">
        <f t="shared" si="471"/>
        <v>Away</v>
      </c>
      <c r="O1396">
        <v>79</v>
      </c>
      <c r="P1396" t="s">
        <v>425</v>
      </c>
      <c r="Y1396" t="str">
        <f t="shared" si="454"/>
        <v/>
      </c>
      <c r="Z1396" t="str">
        <f t="shared" si="455"/>
        <v/>
      </c>
      <c r="AC1396" t="str">
        <f t="shared" si="472"/>
        <v>Save</v>
      </c>
      <c r="AD1396" t="str">
        <f t="shared" si="473"/>
        <v>Save_Rebound</v>
      </c>
      <c r="AE1396" t="str">
        <f t="shared" si="474"/>
        <v>Save-RightPad</v>
      </c>
      <c r="AF1396" t="str">
        <f t="shared" si="456"/>
        <v>Offensive</v>
      </c>
      <c r="AG1396">
        <f t="shared" si="462"/>
        <v>18981</v>
      </c>
      <c r="AH1396" t="str">
        <f t="shared" si="463"/>
        <v>Nelson</v>
      </c>
      <c r="AI1396" t="str">
        <f t="shared" si="464"/>
        <v>Velodrome</v>
      </c>
      <c r="AJ1396" s="18">
        <f t="shared" si="457"/>
        <v>0</v>
      </c>
      <c r="AP1396" s="18">
        <f t="shared" si="458"/>
        <v>0</v>
      </c>
      <c r="AQ1396">
        <f t="shared" si="459"/>
        <v>1080</v>
      </c>
      <c r="AR1396" s="23">
        <f t="shared" si="460"/>
        <v>1865</v>
      </c>
      <c r="AS1396">
        <f t="shared" si="465"/>
        <v>1860</v>
      </c>
      <c r="AT1396" s="21">
        <f t="shared" si="466"/>
        <v>1865</v>
      </c>
      <c r="AU1396" s="21"/>
      <c r="AV1396" s="21"/>
      <c r="AW1396" s="21"/>
    </row>
    <row r="1397" spans="1:49" x14ac:dyDescent="0.2">
      <c r="A1397">
        <v>751</v>
      </c>
      <c r="E1397">
        <f t="shared" si="461"/>
        <v>2</v>
      </c>
      <c r="F1397" s="5" t="s">
        <v>533</v>
      </c>
      <c r="G1397" s="5" t="s">
        <v>527</v>
      </c>
      <c r="J1397" t="str">
        <f t="shared" si="467"/>
        <v>4</v>
      </c>
      <c r="K1397" t="str">
        <f t="shared" si="468"/>
        <v>55</v>
      </c>
      <c r="L1397" t="str">
        <f t="shared" si="469"/>
        <v/>
      </c>
      <c r="M1397" s="6" t="str">
        <f t="shared" si="470"/>
        <v/>
      </c>
      <c r="N1397" t="s">
        <v>179</v>
      </c>
      <c r="O1397">
        <v>39</v>
      </c>
      <c r="P1397" t="s">
        <v>424</v>
      </c>
      <c r="Q1397" t="s">
        <v>270</v>
      </c>
      <c r="R1397" t="s">
        <v>272</v>
      </c>
      <c r="Y1397" t="str">
        <f t="shared" si="454"/>
        <v/>
      </c>
      <c r="Z1397" t="str">
        <f t="shared" si="455"/>
        <v/>
      </c>
      <c r="AC1397" t="str">
        <f t="shared" si="472"/>
        <v>Rebound</v>
      </c>
      <c r="AD1397" t="str">
        <f t="shared" si="473"/>
        <v>Rebound_OppTeamRecovered</v>
      </c>
      <c r="AE1397" t="str">
        <f t="shared" si="474"/>
        <v/>
      </c>
      <c r="AF1397" t="str">
        <f t="shared" si="456"/>
        <v>Offensive</v>
      </c>
      <c r="AG1397">
        <f t="shared" si="462"/>
        <v>18981</v>
      </c>
      <c r="AH1397" t="str">
        <f t="shared" si="463"/>
        <v>Nelson</v>
      </c>
      <c r="AI1397" t="str">
        <f t="shared" si="464"/>
        <v>Velodrome</v>
      </c>
      <c r="AJ1397" s="18">
        <f t="shared" si="457"/>
        <v>0</v>
      </c>
      <c r="AP1397" s="18">
        <f t="shared" si="458"/>
        <v>0</v>
      </c>
      <c r="AQ1397">
        <f t="shared" si="459"/>
        <v>1080</v>
      </c>
      <c r="AR1397" s="23">
        <f t="shared" si="460"/>
        <v>1865</v>
      </c>
      <c r="AS1397">
        <f t="shared" si="465"/>
        <v>1860</v>
      </c>
      <c r="AT1397" s="21">
        <f t="shared" si="466"/>
        <v>1865</v>
      </c>
      <c r="AU1397" s="21"/>
      <c r="AV1397" s="21"/>
      <c r="AW1397" s="21"/>
    </row>
    <row r="1398" spans="1:49" x14ac:dyDescent="0.2">
      <c r="A1398">
        <v>752</v>
      </c>
      <c r="E1398">
        <f t="shared" si="461"/>
        <v>2</v>
      </c>
      <c r="F1398" s="5" t="s">
        <v>533</v>
      </c>
      <c r="G1398" s="5" t="s">
        <v>523</v>
      </c>
      <c r="J1398" t="str">
        <f t="shared" si="467"/>
        <v>4</v>
      </c>
      <c r="K1398" t="str">
        <f t="shared" si="468"/>
        <v>51</v>
      </c>
      <c r="L1398" t="str">
        <f t="shared" si="469"/>
        <v/>
      </c>
      <c r="M1398" s="6" t="str">
        <f t="shared" si="470"/>
        <v/>
      </c>
      <c r="N1398" t="s">
        <v>178</v>
      </c>
      <c r="O1398">
        <v>80</v>
      </c>
      <c r="P1398" t="s">
        <v>424</v>
      </c>
      <c r="Q1398" t="s">
        <v>277</v>
      </c>
      <c r="R1398" t="s">
        <v>210</v>
      </c>
      <c r="S1398" t="s">
        <v>93</v>
      </c>
      <c r="Y1398" t="str">
        <f t="shared" si="454"/>
        <v/>
      </c>
      <c r="Z1398" t="str">
        <f t="shared" si="455"/>
        <v/>
      </c>
      <c r="AC1398" t="str">
        <f t="shared" si="472"/>
        <v>Zone_Entry_Exit</v>
      </c>
      <c r="AD1398" t="str">
        <f t="shared" si="473"/>
        <v>Zone_Keepin</v>
      </c>
      <c r="AE1398" t="str">
        <f t="shared" si="474"/>
        <v>Zone-KeepIn</v>
      </c>
      <c r="AF1398" t="str">
        <f t="shared" si="456"/>
        <v>Offensive</v>
      </c>
      <c r="AG1398">
        <f t="shared" si="462"/>
        <v>18981</v>
      </c>
      <c r="AH1398" t="str">
        <f t="shared" si="463"/>
        <v>Nelson</v>
      </c>
      <c r="AI1398" t="str">
        <f t="shared" si="464"/>
        <v>Velodrome</v>
      </c>
      <c r="AJ1398" s="18">
        <f t="shared" si="457"/>
        <v>0</v>
      </c>
      <c r="AP1398" s="18">
        <f t="shared" si="458"/>
        <v>0</v>
      </c>
      <c r="AQ1398">
        <f t="shared" si="459"/>
        <v>1080</v>
      </c>
      <c r="AR1398" s="23">
        <f t="shared" si="460"/>
        <v>1869</v>
      </c>
      <c r="AS1398">
        <f t="shared" si="465"/>
        <v>1864</v>
      </c>
      <c r="AT1398" s="21">
        <f t="shared" si="466"/>
        <v>1869</v>
      </c>
      <c r="AU1398" s="21"/>
      <c r="AV1398" s="21"/>
      <c r="AW1398" s="21"/>
    </row>
    <row r="1399" spans="1:49" x14ac:dyDescent="0.2">
      <c r="A1399">
        <v>753</v>
      </c>
      <c r="E1399">
        <f t="shared" si="461"/>
        <v>2</v>
      </c>
      <c r="F1399" s="5" t="s">
        <v>533</v>
      </c>
      <c r="G1399" s="5" t="s">
        <v>523</v>
      </c>
      <c r="H1399" s="5" t="s">
        <v>533</v>
      </c>
      <c r="I1399" s="7" t="s">
        <v>522</v>
      </c>
      <c r="J1399" t="str">
        <f t="shared" si="467"/>
        <v>4</v>
      </c>
      <c r="K1399" t="str">
        <f t="shared" si="468"/>
        <v>51</v>
      </c>
      <c r="L1399" t="str">
        <f t="shared" si="469"/>
        <v>4</v>
      </c>
      <c r="M1399" s="6" t="str">
        <f t="shared" si="470"/>
        <v>50</v>
      </c>
      <c r="N1399" t="s">
        <v>178</v>
      </c>
      <c r="O1399">
        <v>80</v>
      </c>
      <c r="P1399" t="s">
        <v>424</v>
      </c>
      <c r="Q1399" t="s">
        <v>15</v>
      </c>
      <c r="Y1399" t="str">
        <f t="shared" si="454"/>
        <v/>
      </c>
      <c r="Z1399" t="str">
        <f t="shared" si="455"/>
        <v/>
      </c>
      <c r="AC1399" t="str">
        <f t="shared" si="472"/>
        <v>Possession</v>
      </c>
      <c r="AD1399" t="str">
        <f t="shared" si="473"/>
        <v/>
      </c>
      <c r="AE1399" t="str">
        <f t="shared" si="474"/>
        <v/>
      </c>
      <c r="AF1399" t="str">
        <f t="shared" si="456"/>
        <v>Offensive</v>
      </c>
      <c r="AG1399">
        <f t="shared" si="462"/>
        <v>18981</v>
      </c>
      <c r="AH1399" t="str">
        <f t="shared" si="463"/>
        <v>Nelson</v>
      </c>
      <c r="AI1399" t="str">
        <f t="shared" si="464"/>
        <v>Velodrome</v>
      </c>
      <c r="AJ1399" s="18">
        <f t="shared" si="457"/>
        <v>1</v>
      </c>
      <c r="AP1399" s="18">
        <f t="shared" si="458"/>
        <v>0</v>
      </c>
      <c r="AQ1399">
        <f t="shared" si="459"/>
        <v>1080</v>
      </c>
      <c r="AR1399" s="23">
        <f t="shared" si="460"/>
        <v>1869</v>
      </c>
      <c r="AS1399">
        <f t="shared" si="465"/>
        <v>1864</v>
      </c>
      <c r="AT1399" s="21">
        <f t="shared" si="466"/>
        <v>1870</v>
      </c>
      <c r="AU1399" s="21"/>
      <c r="AV1399" s="21"/>
      <c r="AW1399" s="21"/>
    </row>
    <row r="1400" spans="1:49" x14ac:dyDescent="0.2">
      <c r="A1400">
        <v>753</v>
      </c>
      <c r="E1400">
        <f t="shared" si="461"/>
        <v>2</v>
      </c>
      <c r="J1400" t="str">
        <f t="shared" si="467"/>
        <v>4</v>
      </c>
      <c r="K1400" t="str">
        <f t="shared" si="468"/>
        <v>51</v>
      </c>
      <c r="L1400" t="str">
        <f t="shared" si="469"/>
        <v>4</v>
      </c>
      <c r="M1400" s="6" t="str">
        <f t="shared" si="470"/>
        <v>50</v>
      </c>
      <c r="N1400" t="str">
        <f t="shared" si="471"/>
        <v>Home</v>
      </c>
      <c r="O1400">
        <v>24</v>
      </c>
      <c r="P1400" t="s">
        <v>425</v>
      </c>
      <c r="Y1400" t="str">
        <f t="shared" si="454"/>
        <v/>
      </c>
      <c r="Z1400" t="str">
        <f t="shared" si="455"/>
        <v/>
      </c>
      <c r="AC1400" t="str">
        <f t="shared" si="472"/>
        <v>Possession</v>
      </c>
      <c r="AD1400" t="str">
        <f t="shared" si="473"/>
        <v/>
      </c>
      <c r="AE1400" t="str">
        <f t="shared" si="474"/>
        <v/>
      </c>
      <c r="AF1400" t="str">
        <f t="shared" si="456"/>
        <v>Defensive</v>
      </c>
      <c r="AG1400">
        <f t="shared" si="462"/>
        <v>18981</v>
      </c>
      <c r="AH1400" t="str">
        <f t="shared" si="463"/>
        <v>Nelson</v>
      </c>
      <c r="AI1400" t="str">
        <f t="shared" si="464"/>
        <v>Velodrome</v>
      </c>
      <c r="AJ1400" s="18">
        <f t="shared" si="457"/>
        <v>1</v>
      </c>
      <c r="AP1400" s="18">
        <f t="shared" si="458"/>
        <v>0</v>
      </c>
      <c r="AQ1400">
        <f t="shared" si="459"/>
        <v>1080</v>
      </c>
      <c r="AR1400" s="23">
        <f t="shared" si="460"/>
        <v>1869</v>
      </c>
      <c r="AS1400">
        <f t="shared" si="465"/>
        <v>1864</v>
      </c>
      <c r="AT1400" s="21">
        <f t="shared" si="466"/>
        <v>1870</v>
      </c>
      <c r="AU1400" s="21"/>
      <c r="AV1400" s="21"/>
      <c r="AW1400" s="21"/>
    </row>
    <row r="1401" spans="1:49" x14ac:dyDescent="0.2">
      <c r="A1401">
        <v>754</v>
      </c>
      <c r="E1401">
        <f t="shared" si="461"/>
        <v>2</v>
      </c>
      <c r="F1401" s="5" t="s">
        <v>533</v>
      </c>
      <c r="G1401" s="5" t="s">
        <v>522</v>
      </c>
      <c r="J1401" t="str">
        <f t="shared" si="467"/>
        <v>4</v>
      </c>
      <c r="K1401" t="str">
        <f t="shared" si="468"/>
        <v>50</v>
      </c>
      <c r="L1401" t="str">
        <f t="shared" si="469"/>
        <v/>
      </c>
      <c r="M1401" s="6" t="str">
        <f t="shared" si="470"/>
        <v/>
      </c>
      <c r="N1401" t="s">
        <v>178</v>
      </c>
      <c r="O1401">
        <v>80</v>
      </c>
      <c r="P1401" t="s">
        <v>424</v>
      </c>
      <c r="Q1401" t="s">
        <v>7</v>
      </c>
      <c r="R1401" t="s">
        <v>198</v>
      </c>
      <c r="S1401" t="s">
        <v>53</v>
      </c>
      <c r="Y1401" t="str">
        <f t="shared" si="454"/>
        <v/>
      </c>
      <c r="Z1401" t="str">
        <f t="shared" si="455"/>
        <v/>
      </c>
      <c r="AC1401" t="str">
        <f t="shared" si="472"/>
        <v>Shot</v>
      </c>
      <c r="AD1401" t="str">
        <f t="shared" si="473"/>
        <v>Shot_Missed</v>
      </c>
      <c r="AE1401" t="str">
        <f t="shared" si="474"/>
        <v>Shot-Wrist</v>
      </c>
      <c r="AF1401" t="str">
        <f t="shared" si="456"/>
        <v>Offensive</v>
      </c>
      <c r="AG1401">
        <f t="shared" si="462"/>
        <v>18981</v>
      </c>
      <c r="AH1401" t="str">
        <f t="shared" si="463"/>
        <v>Nelson</v>
      </c>
      <c r="AI1401" t="str">
        <f t="shared" si="464"/>
        <v>Velodrome</v>
      </c>
      <c r="AJ1401" s="18">
        <f t="shared" si="457"/>
        <v>0</v>
      </c>
      <c r="AP1401" s="18">
        <f t="shared" si="458"/>
        <v>0</v>
      </c>
      <c r="AQ1401">
        <f t="shared" si="459"/>
        <v>1080</v>
      </c>
      <c r="AR1401" s="23">
        <f t="shared" si="460"/>
        <v>1870</v>
      </c>
      <c r="AS1401">
        <f t="shared" si="465"/>
        <v>1865</v>
      </c>
      <c r="AT1401" s="21">
        <f t="shared" si="466"/>
        <v>1870</v>
      </c>
      <c r="AU1401" s="21"/>
      <c r="AV1401" s="21"/>
      <c r="AW1401" s="21"/>
    </row>
    <row r="1402" spans="1:49" x14ac:dyDescent="0.2">
      <c r="A1402">
        <v>754</v>
      </c>
      <c r="E1402">
        <f t="shared" si="461"/>
        <v>2</v>
      </c>
      <c r="J1402" t="str">
        <f t="shared" si="467"/>
        <v>4</v>
      </c>
      <c r="K1402" t="str">
        <f t="shared" si="468"/>
        <v>50</v>
      </c>
      <c r="L1402" t="str">
        <f t="shared" si="469"/>
        <v/>
      </c>
      <c r="M1402" s="6" t="str">
        <f t="shared" si="470"/>
        <v/>
      </c>
      <c r="N1402" t="str">
        <f t="shared" si="471"/>
        <v>Home</v>
      </c>
      <c r="O1402">
        <v>24</v>
      </c>
      <c r="P1402" t="s">
        <v>425</v>
      </c>
      <c r="Y1402" t="str">
        <f t="shared" si="454"/>
        <v/>
      </c>
      <c r="Z1402" t="str">
        <f t="shared" si="455"/>
        <v/>
      </c>
      <c r="AC1402" t="str">
        <f t="shared" si="472"/>
        <v>Shot</v>
      </c>
      <c r="AD1402" t="str">
        <f t="shared" si="473"/>
        <v>Shot_Missed</v>
      </c>
      <c r="AE1402" t="str">
        <f t="shared" si="474"/>
        <v>Shot-Wrist</v>
      </c>
      <c r="AF1402" t="str">
        <f t="shared" si="456"/>
        <v>Defensive</v>
      </c>
      <c r="AG1402">
        <f t="shared" si="462"/>
        <v>18981</v>
      </c>
      <c r="AH1402" t="str">
        <f t="shared" si="463"/>
        <v>Nelson</v>
      </c>
      <c r="AI1402" t="str">
        <f t="shared" si="464"/>
        <v>Velodrome</v>
      </c>
      <c r="AJ1402" s="18">
        <f t="shared" si="457"/>
        <v>0</v>
      </c>
      <c r="AP1402" s="18">
        <f t="shared" si="458"/>
        <v>0</v>
      </c>
      <c r="AQ1402">
        <f t="shared" si="459"/>
        <v>1080</v>
      </c>
      <c r="AR1402" s="23">
        <f t="shared" si="460"/>
        <v>1870</v>
      </c>
      <c r="AS1402">
        <f t="shared" si="465"/>
        <v>1865</v>
      </c>
      <c r="AT1402" s="21">
        <f t="shared" si="466"/>
        <v>1870</v>
      </c>
      <c r="AU1402" s="21"/>
      <c r="AV1402" s="21"/>
      <c r="AW1402" s="21"/>
    </row>
    <row r="1403" spans="1:49" x14ac:dyDescent="0.2">
      <c r="A1403">
        <v>755</v>
      </c>
      <c r="E1403">
        <f t="shared" si="461"/>
        <v>2</v>
      </c>
      <c r="F1403" s="5" t="s">
        <v>533</v>
      </c>
      <c r="G1403" s="5" t="s">
        <v>520</v>
      </c>
      <c r="J1403" t="str">
        <f t="shared" si="467"/>
        <v>4</v>
      </c>
      <c r="K1403" t="str">
        <f t="shared" si="468"/>
        <v>48</v>
      </c>
      <c r="L1403" t="str">
        <f t="shared" si="469"/>
        <v/>
      </c>
      <c r="M1403" s="6" t="str">
        <f t="shared" si="470"/>
        <v/>
      </c>
      <c r="N1403" t="s">
        <v>178</v>
      </c>
      <c r="O1403">
        <v>79</v>
      </c>
      <c r="P1403" t="s">
        <v>424</v>
      </c>
      <c r="Q1403" t="s">
        <v>8</v>
      </c>
      <c r="R1403" t="s">
        <v>189</v>
      </c>
      <c r="S1403" t="s">
        <v>69</v>
      </c>
      <c r="Y1403" t="str">
        <f t="shared" si="454"/>
        <v/>
      </c>
      <c r="Z1403" t="str">
        <f t="shared" si="455"/>
        <v/>
      </c>
      <c r="AC1403" t="str">
        <f t="shared" si="472"/>
        <v>Pass</v>
      </c>
      <c r="AD1403" t="str">
        <f t="shared" si="473"/>
        <v>Pass_Completed</v>
      </c>
      <c r="AE1403" t="str">
        <f t="shared" si="474"/>
        <v>Pass-Backhand</v>
      </c>
      <c r="AF1403" t="str">
        <f t="shared" si="456"/>
        <v>Offensive</v>
      </c>
      <c r="AG1403">
        <f t="shared" si="462"/>
        <v>18981</v>
      </c>
      <c r="AH1403" t="str">
        <f t="shared" si="463"/>
        <v>Nelson</v>
      </c>
      <c r="AI1403" t="str">
        <f t="shared" si="464"/>
        <v>Velodrome</v>
      </c>
      <c r="AJ1403" s="18">
        <f t="shared" si="457"/>
        <v>0</v>
      </c>
      <c r="AP1403" s="18">
        <f t="shared" si="458"/>
        <v>0</v>
      </c>
      <c r="AQ1403">
        <f t="shared" si="459"/>
        <v>1080</v>
      </c>
      <c r="AR1403" s="23">
        <f t="shared" si="460"/>
        <v>1872</v>
      </c>
      <c r="AS1403">
        <f t="shared" si="465"/>
        <v>1867</v>
      </c>
      <c r="AT1403" s="21">
        <f t="shared" si="466"/>
        <v>1872</v>
      </c>
      <c r="AU1403" s="21"/>
      <c r="AV1403" s="21"/>
      <c r="AW1403" s="21"/>
    </row>
    <row r="1404" spans="1:49" x14ac:dyDescent="0.2">
      <c r="A1404">
        <v>755</v>
      </c>
      <c r="E1404">
        <f t="shared" si="461"/>
        <v>2</v>
      </c>
      <c r="J1404" t="str">
        <f t="shared" si="467"/>
        <v>4</v>
      </c>
      <c r="K1404" t="str">
        <f t="shared" si="468"/>
        <v>48</v>
      </c>
      <c r="L1404" t="str">
        <f t="shared" si="469"/>
        <v/>
      </c>
      <c r="M1404" s="6" t="str">
        <f t="shared" si="470"/>
        <v/>
      </c>
      <c r="N1404" t="str">
        <f t="shared" si="471"/>
        <v>Home</v>
      </c>
      <c r="O1404">
        <v>15</v>
      </c>
      <c r="P1404" t="s">
        <v>424</v>
      </c>
      <c r="Y1404" t="str">
        <f t="shared" si="454"/>
        <v/>
      </c>
      <c r="Z1404" t="str">
        <f t="shared" si="455"/>
        <v/>
      </c>
      <c r="AC1404" t="str">
        <f t="shared" si="472"/>
        <v>Pass</v>
      </c>
      <c r="AD1404" t="str">
        <f t="shared" si="473"/>
        <v>Pass_Completed</v>
      </c>
      <c r="AE1404" t="str">
        <f t="shared" si="474"/>
        <v>Pass-Backhand</v>
      </c>
      <c r="AF1404" t="str">
        <f t="shared" si="456"/>
        <v>Offensive</v>
      </c>
      <c r="AG1404">
        <f t="shared" si="462"/>
        <v>18981</v>
      </c>
      <c r="AH1404" t="str">
        <f t="shared" si="463"/>
        <v>Nelson</v>
      </c>
      <c r="AI1404" t="str">
        <f t="shared" si="464"/>
        <v>Velodrome</v>
      </c>
      <c r="AJ1404" s="18">
        <f t="shared" si="457"/>
        <v>0</v>
      </c>
      <c r="AP1404" s="18">
        <f t="shared" si="458"/>
        <v>0</v>
      </c>
      <c r="AQ1404">
        <f t="shared" si="459"/>
        <v>1080</v>
      </c>
      <c r="AR1404" s="23">
        <f t="shared" si="460"/>
        <v>1872</v>
      </c>
      <c r="AS1404">
        <f t="shared" si="465"/>
        <v>1867</v>
      </c>
      <c r="AT1404" s="21">
        <f t="shared" si="466"/>
        <v>1872</v>
      </c>
      <c r="AU1404" s="21"/>
      <c r="AV1404" s="21"/>
      <c r="AW1404" s="21"/>
    </row>
    <row r="1405" spans="1:49" x14ac:dyDescent="0.2">
      <c r="A1405">
        <v>755</v>
      </c>
      <c r="E1405">
        <f t="shared" si="461"/>
        <v>2</v>
      </c>
      <c r="J1405" t="str">
        <f t="shared" si="467"/>
        <v>4</v>
      </c>
      <c r="K1405" t="str">
        <f t="shared" si="468"/>
        <v>48</v>
      </c>
      <c r="L1405" t="str">
        <f t="shared" si="469"/>
        <v/>
      </c>
      <c r="M1405" s="6" t="str">
        <f t="shared" si="470"/>
        <v/>
      </c>
      <c r="N1405" t="str">
        <f t="shared" si="471"/>
        <v>Home</v>
      </c>
      <c r="O1405">
        <v>9</v>
      </c>
      <c r="P1405" t="s">
        <v>425</v>
      </c>
      <c r="Y1405" t="str">
        <f t="shared" si="454"/>
        <v/>
      </c>
      <c r="Z1405" t="str">
        <f t="shared" si="455"/>
        <v/>
      </c>
      <c r="AC1405" t="str">
        <f t="shared" si="472"/>
        <v>Pass</v>
      </c>
      <c r="AD1405" t="str">
        <f t="shared" si="473"/>
        <v>Pass_Completed</v>
      </c>
      <c r="AE1405" t="str">
        <f t="shared" si="474"/>
        <v>Pass-Backhand</v>
      </c>
      <c r="AF1405" t="str">
        <f t="shared" si="456"/>
        <v>Defensive</v>
      </c>
      <c r="AG1405">
        <f t="shared" si="462"/>
        <v>18981</v>
      </c>
      <c r="AH1405" t="str">
        <f t="shared" si="463"/>
        <v>Nelson</v>
      </c>
      <c r="AI1405" t="str">
        <f t="shared" si="464"/>
        <v>Velodrome</v>
      </c>
      <c r="AJ1405" s="18">
        <f t="shared" si="457"/>
        <v>0</v>
      </c>
      <c r="AP1405" s="18">
        <f t="shared" si="458"/>
        <v>0</v>
      </c>
      <c r="AQ1405">
        <f t="shared" si="459"/>
        <v>1080</v>
      </c>
      <c r="AR1405" s="23">
        <f t="shared" si="460"/>
        <v>1872</v>
      </c>
      <c r="AS1405">
        <f t="shared" si="465"/>
        <v>1867</v>
      </c>
      <c r="AT1405" s="21">
        <f t="shared" si="466"/>
        <v>1872</v>
      </c>
      <c r="AU1405" s="21"/>
      <c r="AV1405" s="21"/>
      <c r="AW1405" s="21"/>
    </row>
    <row r="1406" spans="1:49" x14ac:dyDescent="0.2">
      <c r="A1406">
        <v>756</v>
      </c>
      <c r="E1406">
        <f t="shared" si="461"/>
        <v>2</v>
      </c>
      <c r="F1406" s="5" t="s">
        <v>533</v>
      </c>
      <c r="G1406" s="5" t="s">
        <v>517</v>
      </c>
      <c r="J1406" t="str">
        <f t="shared" si="467"/>
        <v>4</v>
      </c>
      <c r="K1406" t="str">
        <f t="shared" si="468"/>
        <v>45</v>
      </c>
      <c r="L1406" t="str">
        <f t="shared" si="469"/>
        <v/>
      </c>
      <c r="M1406" s="6" t="str">
        <f t="shared" si="470"/>
        <v/>
      </c>
      <c r="N1406" t="s">
        <v>178</v>
      </c>
      <c r="O1406">
        <v>15</v>
      </c>
      <c r="P1406" t="s">
        <v>424</v>
      </c>
      <c r="Q1406" t="s">
        <v>8</v>
      </c>
      <c r="R1406" t="s">
        <v>199</v>
      </c>
      <c r="S1406" t="s">
        <v>70</v>
      </c>
      <c r="Y1406" t="str">
        <f t="shared" si="454"/>
        <v/>
      </c>
      <c r="Z1406" t="str">
        <f t="shared" si="455"/>
        <v/>
      </c>
      <c r="AC1406" t="str">
        <f t="shared" si="472"/>
        <v>Pass</v>
      </c>
      <c r="AD1406" t="str">
        <f t="shared" si="473"/>
        <v>Pass_Missed</v>
      </c>
      <c r="AE1406" t="str">
        <f t="shared" si="474"/>
        <v>Pass-Forehand</v>
      </c>
      <c r="AF1406" t="str">
        <f t="shared" si="456"/>
        <v>Offensive</v>
      </c>
      <c r="AG1406">
        <f t="shared" si="462"/>
        <v>18981</v>
      </c>
      <c r="AH1406" t="str">
        <f t="shared" si="463"/>
        <v>Nelson</v>
      </c>
      <c r="AI1406" t="str">
        <f t="shared" si="464"/>
        <v>Velodrome</v>
      </c>
      <c r="AJ1406" s="18">
        <f t="shared" si="457"/>
        <v>0</v>
      </c>
      <c r="AP1406" s="18">
        <f t="shared" si="458"/>
        <v>0</v>
      </c>
      <c r="AQ1406">
        <f t="shared" si="459"/>
        <v>1080</v>
      </c>
      <c r="AR1406" s="23">
        <f t="shared" si="460"/>
        <v>1875</v>
      </c>
      <c r="AS1406">
        <f t="shared" si="465"/>
        <v>1870</v>
      </c>
      <c r="AT1406" s="21">
        <f t="shared" si="466"/>
        <v>1875</v>
      </c>
      <c r="AU1406" s="21"/>
      <c r="AV1406" s="21"/>
      <c r="AW1406" s="21"/>
    </row>
    <row r="1407" spans="1:49" x14ac:dyDescent="0.2">
      <c r="A1407">
        <v>756</v>
      </c>
      <c r="E1407">
        <f t="shared" si="461"/>
        <v>2</v>
      </c>
      <c r="J1407" t="str">
        <f t="shared" si="467"/>
        <v>4</v>
      </c>
      <c r="K1407" t="str">
        <f t="shared" si="468"/>
        <v>45</v>
      </c>
      <c r="L1407" t="str">
        <f t="shared" si="469"/>
        <v/>
      </c>
      <c r="M1407" s="6" t="str">
        <f t="shared" si="470"/>
        <v/>
      </c>
      <c r="N1407" t="str">
        <f t="shared" si="471"/>
        <v>Home</v>
      </c>
      <c r="O1407">
        <v>16</v>
      </c>
      <c r="P1407" t="s">
        <v>424</v>
      </c>
      <c r="Y1407" t="str">
        <f t="shared" si="454"/>
        <v/>
      </c>
      <c r="Z1407" t="str">
        <f t="shared" si="455"/>
        <v/>
      </c>
      <c r="AC1407" t="str">
        <f t="shared" si="472"/>
        <v>Pass</v>
      </c>
      <c r="AD1407" t="str">
        <f t="shared" si="473"/>
        <v>Pass_Missed</v>
      </c>
      <c r="AE1407" t="str">
        <f t="shared" si="474"/>
        <v>Pass-Forehand</v>
      </c>
      <c r="AF1407" t="str">
        <f t="shared" si="456"/>
        <v>Offensive</v>
      </c>
      <c r="AG1407">
        <f t="shared" si="462"/>
        <v>18981</v>
      </c>
      <c r="AH1407" t="str">
        <f t="shared" si="463"/>
        <v>Nelson</v>
      </c>
      <c r="AI1407" t="str">
        <f t="shared" si="464"/>
        <v>Velodrome</v>
      </c>
      <c r="AJ1407" s="18">
        <f t="shared" si="457"/>
        <v>0</v>
      </c>
      <c r="AP1407" s="18">
        <f t="shared" si="458"/>
        <v>0</v>
      </c>
      <c r="AQ1407">
        <f t="shared" si="459"/>
        <v>1080</v>
      </c>
      <c r="AR1407" s="23">
        <f t="shared" si="460"/>
        <v>1875</v>
      </c>
      <c r="AS1407">
        <f t="shared" si="465"/>
        <v>1870</v>
      </c>
      <c r="AT1407" s="21">
        <f t="shared" si="466"/>
        <v>1875</v>
      </c>
      <c r="AU1407" s="21"/>
      <c r="AV1407" s="21"/>
      <c r="AW1407" s="21"/>
    </row>
    <row r="1408" spans="1:49" x14ac:dyDescent="0.2">
      <c r="A1408">
        <v>756</v>
      </c>
      <c r="E1408">
        <f t="shared" si="461"/>
        <v>2</v>
      </c>
      <c r="J1408" t="str">
        <f t="shared" si="467"/>
        <v>4</v>
      </c>
      <c r="K1408" t="str">
        <f t="shared" si="468"/>
        <v>45</v>
      </c>
      <c r="L1408" t="str">
        <f t="shared" si="469"/>
        <v/>
      </c>
      <c r="M1408" s="6" t="str">
        <f t="shared" si="470"/>
        <v/>
      </c>
      <c r="N1408" t="str">
        <f t="shared" si="471"/>
        <v>Home</v>
      </c>
      <c r="O1408">
        <v>42</v>
      </c>
      <c r="P1408" t="s">
        <v>425</v>
      </c>
      <c r="Y1408" t="str">
        <f t="shared" si="454"/>
        <v/>
      </c>
      <c r="Z1408" t="str">
        <f t="shared" si="455"/>
        <v/>
      </c>
      <c r="AC1408" t="str">
        <f t="shared" si="472"/>
        <v>Pass</v>
      </c>
      <c r="AD1408" t="str">
        <f t="shared" si="473"/>
        <v>Pass_Missed</v>
      </c>
      <c r="AE1408" t="str">
        <f t="shared" si="474"/>
        <v>Pass-Forehand</v>
      </c>
      <c r="AF1408" t="str">
        <f t="shared" si="456"/>
        <v>Defensive</v>
      </c>
      <c r="AG1408">
        <f t="shared" si="462"/>
        <v>18981</v>
      </c>
      <c r="AH1408" t="str">
        <f t="shared" si="463"/>
        <v>Nelson</v>
      </c>
      <c r="AI1408" t="str">
        <f t="shared" si="464"/>
        <v>Velodrome</v>
      </c>
      <c r="AJ1408" s="18">
        <f t="shared" si="457"/>
        <v>0</v>
      </c>
      <c r="AP1408" s="18">
        <f t="shared" si="458"/>
        <v>0</v>
      </c>
      <c r="AQ1408">
        <f t="shared" si="459"/>
        <v>1080</v>
      </c>
      <c r="AR1408" s="23">
        <f t="shared" si="460"/>
        <v>1875</v>
      </c>
      <c r="AS1408">
        <f t="shared" si="465"/>
        <v>1870</v>
      </c>
      <c r="AT1408" s="21">
        <f t="shared" si="466"/>
        <v>1875</v>
      </c>
      <c r="AU1408" s="21"/>
      <c r="AV1408" s="21"/>
      <c r="AW1408" s="21"/>
    </row>
    <row r="1409" spans="1:49" x14ac:dyDescent="0.2">
      <c r="A1409">
        <v>757</v>
      </c>
      <c r="E1409">
        <f t="shared" si="461"/>
        <v>2</v>
      </c>
      <c r="F1409" s="5" t="s">
        <v>533</v>
      </c>
      <c r="G1409" s="5" t="s">
        <v>515</v>
      </c>
      <c r="J1409" t="str">
        <f t="shared" si="467"/>
        <v>4</v>
      </c>
      <c r="K1409" t="str">
        <f t="shared" si="468"/>
        <v>43</v>
      </c>
      <c r="L1409" t="str">
        <f t="shared" si="469"/>
        <v/>
      </c>
      <c r="M1409" s="6" t="str">
        <f t="shared" si="470"/>
        <v/>
      </c>
      <c r="N1409" t="s">
        <v>178</v>
      </c>
      <c r="O1409">
        <v>8</v>
      </c>
      <c r="P1409" t="s">
        <v>424</v>
      </c>
      <c r="Q1409" t="s">
        <v>277</v>
      </c>
      <c r="R1409" t="s">
        <v>210</v>
      </c>
      <c r="S1409" t="s">
        <v>93</v>
      </c>
      <c r="Y1409" t="str">
        <f t="shared" si="454"/>
        <v/>
      </c>
      <c r="Z1409" t="str">
        <f t="shared" si="455"/>
        <v/>
      </c>
      <c r="AC1409" t="str">
        <f t="shared" si="472"/>
        <v>Zone_Entry_Exit</v>
      </c>
      <c r="AD1409" t="str">
        <f t="shared" si="473"/>
        <v>Zone_Keepin</v>
      </c>
      <c r="AE1409" t="str">
        <f t="shared" si="474"/>
        <v>Zone-KeepIn</v>
      </c>
      <c r="AF1409" t="str">
        <f t="shared" si="456"/>
        <v>Offensive</v>
      </c>
      <c r="AG1409">
        <f t="shared" si="462"/>
        <v>18981</v>
      </c>
      <c r="AH1409" t="str">
        <f t="shared" si="463"/>
        <v>Nelson</v>
      </c>
      <c r="AI1409" t="str">
        <f t="shared" si="464"/>
        <v>Velodrome</v>
      </c>
      <c r="AJ1409" s="18">
        <f t="shared" si="457"/>
        <v>0</v>
      </c>
      <c r="AP1409" s="18">
        <f t="shared" si="458"/>
        <v>0</v>
      </c>
      <c r="AQ1409">
        <f t="shared" si="459"/>
        <v>1080</v>
      </c>
      <c r="AR1409" s="23">
        <f t="shared" si="460"/>
        <v>1877</v>
      </c>
      <c r="AS1409">
        <f t="shared" si="465"/>
        <v>1872</v>
      </c>
      <c r="AT1409" s="21">
        <f t="shared" si="466"/>
        <v>1877</v>
      </c>
      <c r="AU1409" s="21"/>
      <c r="AV1409" s="21"/>
      <c r="AW1409" s="21"/>
    </row>
    <row r="1410" spans="1:49" x14ac:dyDescent="0.2">
      <c r="A1410">
        <v>758</v>
      </c>
      <c r="E1410">
        <f t="shared" si="461"/>
        <v>2</v>
      </c>
      <c r="F1410" s="5" t="s">
        <v>533</v>
      </c>
      <c r="G1410" s="5" t="s">
        <v>514</v>
      </c>
      <c r="J1410" t="str">
        <f t="shared" si="467"/>
        <v>4</v>
      </c>
      <c r="K1410" t="str">
        <f t="shared" si="468"/>
        <v>42</v>
      </c>
      <c r="L1410" t="str">
        <f t="shared" si="469"/>
        <v/>
      </c>
      <c r="M1410" s="6" t="str">
        <f t="shared" si="470"/>
        <v/>
      </c>
      <c r="N1410" t="s">
        <v>178</v>
      </c>
      <c r="O1410">
        <v>8</v>
      </c>
      <c r="P1410" t="s">
        <v>424</v>
      </c>
      <c r="Q1410" t="s">
        <v>7</v>
      </c>
      <c r="R1410" t="s">
        <v>208</v>
      </c>
      <c r="S1410" t="s">
        <v>53</v>
      </c>
      <c r="Y1410" t="str">
        <f t="shared" si="454"/>
        <v/>
      </c>
      <c r="Z1410" t="str">
        <f t="shared" si="455"/>
        <v/>
      </c>
      <c r="AC1410" t="str">
        <f t="shared" si="472"/>
        <v>Shot</v>
      </c>
      <c r="AD1410" t="str">
        <f t="shared" si="473"/>
        <v>Shot_Blocked</v>
      </c>
      <c r="AE1410" t="str">
        <f t="shared" si="474"/>
        <v>Shot-Wrist</v>
      </c>
      <c r="AF1410" t="str">
        <f t="shared" si="456"/>
        <v>Offensive</v>
      </c>
      <c r="AG1410">
        <f t="shared" si="462"/>
        <v>18981</v>
      </c>
      <c r="AH1410" t="str">
        <f t="shared" si="463"/>
        <v>Nelson</v>
      </c>
      <c r="AI1410" t="str">
        <f t="shared" si="464"/>
        <v>Velodrome</v>
      </c>
      <c r="AJ1410" s="18">
        <f t="shared" si="457"/>
        <v>0</v>
      </c>
      <c r="AP1410" s="18">
        <f t="shared" si="458"/>
        <v>0</v>
      </c>
      <c r="AQ1410">
        <f t="shared" si="459"/>
        <v>1080</v>
      </c>
      <c r="AR1410" s="23">
        <f t="shared" si="460"/>
        <v>1878</v>
      </c>
      <c r="AS1410">
        <f t="shared" si="465"/>
        <v>1873</v>
      </c>
      <c r="AT1410" s="21">
        <f t="shared" si="466"/>
        <v>1878</v>
      </c>
      <c r="AU1410" s="21"/>
      <c r="AV1410" s="21"/>
      <c r="AW1410" s="21"/>
    </row>
    <row r="1411" spans="1:49" x14ac:dyDescent="0.2">
      <c r="A1411">
        <v>758</v>
      </c>
      <c r="E1411">
        <f t="shared" si="461"/>
        <v>2</v>
      </c>
      <c r="J1411" t="str">
        <f t="shared" si="467"/>
        <v>4</v>
      </c>
      <c r="K1411" t="str">
        <f t="shared" si="468"/>
        <v>42</v>
      </c>
      <c r="L1411" t="str">
        <f t="shared" si="469"/>
        <v/>
      </c>
      <c r="M1411" s="6" t="str">
        <f t="shared" si="470"/>
        <v/>
      </c>
      <c r="N1411" t="str">
        <f t="shared" si="471"/>
        <v>Home</v>
      </c>
      <c r="O1411">
        <v>91</v>
      </c>
      <c r="P1411" t="s">
        <v>425</v>
      </c>
      <c r="Y1411" t="str">
        <f t="shared" ref="Y1411:Y1474" si="475">IF($N1411="","",IF(X1411="","",IF($N1411="Home",$X1411,IF($X1411="n","n",IF($X1411="d","o",IF($X1411="o","d",""))))))</f>
        <v/>
      </c>
      <c r="Z1411" t="str">
        <f t="shared" ref="Z1411:Z1474" si="476">IF($N1411="","",IF(X1411="","",IF($N1411="Away",$X1411,IF($X1411="n","n",IF($X1411="d","o",IF($X1411="o","d",""))))))</f>
        <v/>
      </c>
      <c r="AC1411" t="str">
        <f t="shared" si="472"/>
        <v>Shot</v>
      </c>
      <c r="AD1411" t="str">
        <f t="shared" si="473"/>
        <v>Shot_Blocked</v>
      </c>
      <c r="AE1411" t="str">
        <f t="shared" si="474"/>
        <v>Shot-Wrist</v>
      </c>
      <c r="AF1411" t="str">
        <f t="shared" ref="AF1411:AF1474" si="477">IF(AND(P1411="e",OR(AC1411="Save",AD1411="Turnover_Takeaway",AD1411="Play_Defensive")),"Defensive",IF(AND(P1411="o",OR(AC1411="Save",AD1411="Turnover_Takeaway",AD1411="Play_Defensive")),"Offensive",IF(OR(AC1411="Deadice",AC1411="Stoppage",AC1411="Intermission"),"",IF(P1411="e","Offensive",IF(P1411="o","Defensive","")))))</f>
        <v>Defensive</v>
      </c>
      <c r="AG1411">
        <f t="shared" si="462"/>
        <v>18981</v>
      </c>
      <c r="AH1411" t="str">
        <f t="shared" si="463"/>
        <v>Nelson</v>
      </c>
      <c r="AI1411" t="str">
        <f t="shared" si="464"/>
        <v>Velodrome</v>
      </c>
      <c r="AJ1411" s="18">
        <f t="shared" ref="AJ1411:AJ1474" si="478">IF(AND(L1411="",M1411=""),0,((J1411*60)+K1411)-((L1411*60)+M1411))</f>
        <v>0</v>
      </c>
      <c r="AP1411" s="18">
        <f t="shared" ref="AP1411:AP1474" si="479">SUMIFS(AJ1411:AJ1411,Q1411:Q1411,"=Intermission")</f>
        <v>0</v>
      </c>
      <c r="AQ1411">
        <f t="shared" ref="AQ1411:AQ1474" si="480">IF(E1411=1,0,IF(E1411=2,1080+AP1411,IF(E1411=3,(1080*2)+AP1411,0)))</f>
        <v>1080</v>
      </c>
      <c r="AR1411" s="23">
        <f t="shared" ref="AR1411:AR1474" si="481">IF(Q1411="Intermission",AR1410,((1080)-((J1411*60)+K1411))+AQ1411)</f>
        <v>1878</v>
      </c>
      <c r="AS1411">
        <f t="shared" si="465"/>
        <v>1873</v>
      </c>
      <c r="AT1411" s="21">
        <f t="shared" si="466"/>
        <v>1878</v>
      </c>
      <c r="AU1411" s="21"/>
      <c r="AV1411" s="21"/>
      <c r="AW1411" s="21"/>
    </row>
    <row r="1412" spans="1:49" x14ac:dyDescent="0.2">
      <c r="A1412">
        <v>759</v>
      </c>
      <c r="E1412">
        <f t="shared" ref="E1412:E1475" si="482">IF(Q1412="Intermission",E1411+1,E1411)</f>
        <v>2</v>
      </c>
      <c r="F1412" s="5" t="s">
        <v>533</v>
      </c>
      <c r="G1412" s="5" t="s">
        <v>506</v>
      </c>
      <c r="J1412" t="str">
        <f t="shared" si="467"/>
        <v>4</v>
      </c>
      <c r="K1412" t="str">
        <f t="shared" si="468"/>
        <v>34</v>
      </c>
      <c r="L1412" t="str">
        <f t="shared" si="469"/>
        <v/>
      </c>
      <c r="M1412" s="6" t="str">
        <f t="shared" si="470"/>
        <v/>
      </c>
      <c r="N1412" t="s">
        <v>179</v>
      </c>
      <c r="O1412">
        <v>84</v>
      </c>
      <c r="P1412" t="s">
        <v>424</v>
      </c>
      <c r="Q1412" t="s">
        <v>8</v>
      </c>
      <c r="R1412" t="s">
        <v>199</v>
      </c>
      <c r="S1412" t="s">
        <v>68</v>
      </c>
      <c r="Y1412" t="str">
        <f t="shared" si="475"/>
        <v/>
      </c>
      <c r="Z1412" t="str">
        <f t="shared" si="476"/>
        <v/>
      </c>
      <c r="AC1412" t="str">
        <f t="shared" si="472"/>
        <v>Pass</v>
      </c>
      <c r="AD1412" t="str">
        <f t="shared" si="473"/>
        <v>Pass_Missed</v>
      </c>
      <c r="AE1412" t="str">
        <f t="shared" si="474"/>
        <v>Pass-Rim/Wrap</v>
      </c>
      <c r="AF1412" t="str">
        <f t="shared" si="477"/>
        <v>Offensive</v>
      </c>
      <c r="AG1412">
        <f t="shared" ref="AG1412:AG1475" si="483">AG1411</f>
        <v>18981</v>
      </c>
      <c r="AH1412" t="str">
        <f t="shared" ref="AH1412:AH1475" si="484">AH1411</f>
        <v>Nelson</v>
      </c>
      <c r="AI1412" t="str">
        <f t="shared" ref="AI1412:AI1475" si="485">AI1411</f>
        <v>Velodrome</v>
      </c>
      <c r="AJ1412" s="18">
        <f t="shared" si="478"/>
        <v>0</v>
      </c>
      <c r="AP1412" s="18">
        <f t="shared" si="479"/>
        <v>0</v>
      </c>
      <c r="AQ1412">
        <f t="shared" si="480"/>
        <v>1080</v>
      </c>
      <c r="AR1412" s="23">
        <f t="shared" si="481"/>
        <v>1886</v>
      </c>
      <c r="AS1412">
        <f t="shared" ref="AS1412:AS1475" si="486">IF(AR1412&lt;5,0,AR1412-5)</f>
        <v>1881</v>
      </c>
      <c r="AT1412" s="21">
        <f t="shared" ref="AT1412:AT1475" si="487">AS1412+AJ1412+5</f>
        <v>1886</v>
      </c>
      <c r="AU1412" s="21"/>
      <c r="AV1412" s="21"/>
      <c r="AW1412" s="21"/>
    </row>
    <row r="1413" spans="1:49" x14ac:dyDescent="0.2">
      <c r="A1413">
        <v>759</v>
      </c>
      <c r="E1413">
        <f t="shared" si="482"/>
        <v>2</v>
      </c>
      <c r="J1413" t="str">
        <f t="shared" si="467"/>
        <v>4</v>
      </c>
      <c r="K1413" t="str">
        <f t="shared" si="468"/>
        <v>34</v>
      </c>
      <c r="L1413" t="str">
        <f t="shared" si="469"/>
        <v/>
      </c>
      <c r="M1413" s="6" t="str">
        <f t="shared" si="470"/>
        <v/>
      </c>
      <c r="N1413" t="str">
        <f t="shared" si="471"/>
        <v>Away</v>
      </c>
      <c r="O1413">
        <v>91</v>
      </c>
      <c r="P1413" t="s">
        <v>424</v>
      </c>
      <c r="Y1413" t="str">
        <f t="shared" si="475"/>
        <v/>
      </c>
      <c r="Z1413" t="str">
        <f t="shared" si="476"/>
        <v/>
      </c>
      <c r="AC1413" t="str">
        <f t="shared" si="472"/>
        <v>Pass</v>
      </c>
      <c r="AD1413" t="str">
        <f t="shared" si="473"/>
        <v>Pass_Missed</v>
      </c>
      <c r="AE1413" t="str">
        <f t="shared" si="474"/>
        <v>Pass-Rim/Wrap</v>
      </c>
      <c r="AF1413" t="str">
        <f t="shared" si="477"/>
        <v>Offensive</v>
      </c>
      <c r="AG1413">
        <f t="shared" si="483"/>
        <v>18981</v>
      </c>
      <c r="AH1413" t="str">
        <f t="shared" si="484"/>
        <v>Nelson</v>
      </c>
      <c r="AI1413" t="str">
        <f t="shared" si="485"/>
        <v>Velodrome</v>
      </c>
      <c r="AJ1413" s="18">
        <f t="shared" si="478"/>
        <v>0</v>
      </c>
      <c r="AP1413" s="18">
        <f t="shared" si="479"/>
        <v>0</v>
      </c>
      <c r="AQ1413">
        <f t="shared" si="480"/>
        <v>1080</v>
      </c>
      <c r="AR1413" s="23">
        <f t="shared" si="481"/>
        <v>1886</v>
      </c>
      <c r="AS1413">
        <f t="shared" si="486"/>
        <v>1881</v>
      </c>
      <c r="AT1413" s="21">
        <f t="shared" si="487"/>
        <v>1886</v>
      </c>
      <c r="AU1413" s="21"/>
      <c r="AV1413" s="21"/>
      <c r="AW1413" s="21"/>
    </row>
    <row r="1414" spans="1:49" x14ac:dyDescent="0.2">
      <c r="A1414">
        <v>759</v>
      </c>
      <c r="E1414">
        <f t="shared" si="482"/>
        <v>2</v>
      </c>
      <c r="J1414" t="str">
        <f t="shared" si="467"/>
        <v>4</v>
      </c>
      <c r="K1414" t="str">
        <f t="shared" si="468"/>
        <v>34</v>
      </c>
      <c r="L1414" t="str">
        <f t="shared" si="469"/>
        <v/>
      </c>
      <c r="M1414" s="6" t="str">
        <f t="shared" si="470"/>
        <v/>
      </c>
      <c r="N1414" t="s">
        <v>179</v>
      </c>
      <c r="O1414">
        <v>79</v>
      </c>
      <c r="P1414" t="s">
        <v>425</v>
      </c>
      <c r="Y1414" t="str">
        <f t="shared" si="475"/>
        <v/>
      </c>
      <c r="Z1414" t="str">
        <f t="shared" si="476"/>
        <v/>
      </c>
      <c r="AC1414" t="str">
        <f t="shared" si="472"/>
        <v>Pass</v>
      </c>
      <c r="AD1414" t="str">
        <f t="shared" si="473"/>
        <v>Pass_Missed</v>
      </c>
      <c r="AE1414" t="str">
        <f t="shared" si="474"/>
        <v>Pass-Rim/Wrap</v>
      </c>
      <c r="AF1414" t="str">
        <f t="shared" si="477"/>
        <v>Defensive</v>
      </c>
      <c r="AG1414">
        <f t="shared" si="483"/>
        <v>18981</v>
      </c>
      <c r="AH1414" t="str">
        <f t="shared" si="484"/>
        <v>Nelson</v>
      </c>
      <c r="AI1414" t="str">
        <f t="shared" si="485"/>
        <v>Velodrome</v>
      </c>
      <c r="AJ1414" s="18">
        <f t="shared" si="478"/>
        <v>0</v>
      </c>
      <c r="AP1414" s="18">
        <f t="shared" si="479"/>
        <v>0</v>
      </c>
      <c r="AQ1414">
        <f t="shared" si="480"/>
        <v>1080</v>
      </c>
      <c r="AR1414" s="23">
        <f t="shared" si="481"/>
        <v>1886</v>
      </c>
      <c r="AS1414">
        <f t="shared" si="486"/>
        <v>1881</v>
      </c>
      <c r="AT1414" s="21">
        <f t="shared" si="487"/>
        <v>1886</v>
      </c>
      <c r="AU1414" s="21"/>
      <c r="AV1414" s="21"/>
      <c r="AW1414" s="21"/>
    </row>
    <row r="1415" spans="1:49" x14ac:dyDescent="0.2">
      <c r="A1415">
        <v>759</v>
      </c>
      <c r="E1415">
        <f t="shared" si="482"/>
        <v>2</v>
      </c>
      <c r="J1415" t="str">
        <f t="shared" si="467"/>
        <v>4</v>
      </c>
      <c r="K1415" t="str">
        <f t="shared" si="468"/>
        <v>34</v>
      </c>
      <c r="L1415" t="str">
        <f t="shared" si="469"/>
        <v/>
      </c>
      <c r="M1415" s="6" t="str">
        <f t="shared" si="470"/>
        <v/>
      </c>
      <c r="N1415" t="str">
        <f t="shared" ref="N1415:N1476" si="488">IF(A1415=A1414,N1414,"")</f>
        <v>Away</v>
      </c>
      <c r="O1415">
        <v>15</v>
      </c>
      <c r="P1415" t="s">
        <v>425</v>
      </c>
      <c r="Y1415" t="str">
        <f t="shared" si="475"/>
        <v/>
      </c>
      <c r="Z1415" t="str">
        <f t="shared" si="476"/>
        <v/>
      </c>
      <c r="AC1415" t="str">
        <f t="shared" si="472"/>
        <v>Pass</v>
      </c>
      <c r="AD1415" t="str">
        <f t="shared" si="473"/>
        <v>Pass_Missed</v>
      </c>
      <c r="AE1415" t="str">
        <f t="shared" si="474"/>
        <v>Pass-Rim/Wrap</v>
      </c>
      <c r="AF1415" t="str">
        <f t="shared" si="477"/>
        <v>Defensive</v>
      </c>
      <c r="AG1415">
        <f t="shared" si="483"/>
        <v>18981</v>
      </c>
      <c r="AH1415" t="str">
        <f t="shared" si="484"/>
        <v>Nelson</v>
      </c>
      <c r="AI1415" t="str">
        <f t="shared" si="485"/>
        <v>Velodrome</v>
      </c>
      <c r="AJ1415" s="18">
        <f t="shared" si="478"/>
        <v>0</v>
      </c>
      <c r="AP1415" s="18">
        <f t="shared" si="479"/>
        <v>0</v>
      </c>
      <c r="AQ1415">
        <f t="shared" si="480"/>
        <v>1080</v>
      </c>
      <c r="AR1415" s="23">
        <f t="shared" si="481"/>
        <v>1886</v>
      </c>
      <c r="AS1415">
        <f t="shared" si="486"/>
        <v>1881</v>
      </c>
      <c r="AT1415" s="21">
        <f t="shared" si="487"/>
        <v>1886</v>
      </c>
      <c r="AU1415" s="21"/>
      <c r="AV1415" s="21"/>
      <c r="AW1415" s="21"/>
    </row>
    <row r="1416" spans="1:49" x14ac:dyDescent="0.2">
      <c r="A1416">
        <v>760</v>
      </c>
      <c r="E1416">
        <f t="shared" si="482"/>
        <v>2</v>
      </c>
      <c r="F1416" s="5" t="s">
        <v>533</v>
      </c>
      <c r="G1416" s="5" t="s">
        <v>506</v>
      </c>
      <c r="J1416" t="str">
        <f t="shared" si="467"/>
        <v>4</v>
      </c>
      <c r="K1416" t="str">
        <f t="shared" si="468"/>
        <v>34</v>
      </c>
      <c r="L1416" t="str">
        <f t="shared" si="469"/>
        <v/>
      </c>
      <c r="M1416" s="6" t="str">
        <f t="shared" si="470"/>
        <v/>
      </c>
      <c r="N1416" t="s">
        <v>179</v>
      </c>
      <c r="O1416">
        <v>84</v>
      </c>
      <c r="P1416" t="s">
        <v>424</v>
      </c>
      <c r="Q1416" t="s">
        <v>10</v>
      </c>
      <c r="R1416" t="s">
        <v>190</v>
      </c>
      <c r="S1416" t="s">
        <v>76</v>
      </c>
      <c r="Y1416" t="str">
        <f t="shared" si="475"/>
        <v/>
      </c>
      <c r="Z1416" t="str">
        <f t="shared" si="476"/>
        <v/>
      </c>
      <c r="AC1416" t="str">
        <f t="shared" si="472"/>
        <v>Turnover</v>
      </c>
      <c r="AD1416" t="str">
        <f t="shared" si="473"/>
        <v>Turnover_Giveaway</v>
      </c>
      <c r="AE1416" t="str">
        <f t="shared" si="474"/>
        <v>Giveaway-PassMissed</v>
      </c>
      <c r="AF1416" t="str">
        <f t="shared" si="477"/>
        <v>Offensive</v>
      </c>
      <c r="AG1416">
        <f t="shared" si="483"/>
        <v>18981</v>
      </c>
      <c r="AH1416" t="str">
        <f t="shared" si="484"/>
        <v>Nelson</v>
      </c>
      <c r="AI1416" t="str">
        <f t="shared" si="485"/>
        <v>Velodrome</v>
      </c>
      <c r="AJ1416" s="18">
        <f t="shared" si="478"/>
        <v>0</v>
      </c>
      <c r="AP1416" s="18">
        <f t="shared" si="479"/>
        <v>0</v>
      </c>
      <c r="AQ1416">
        <f t="shared" si="480"/>
        <v>1080</v>
      </c>
      <c r="AR1416" s="23">
        <f t="shared" si="481"/>
        <v>1886</v>
      </c>
      <c r="AS1416">
        <f t="shared" si="486"/>
        <v>1881</v>
      </c>
      <c r="AT1416" s="21">
        <f t="shared" si="487"/>
        <v>1886</v>
      </c>
      <c r="AU1416" s="21"/>
      <c r="AV1416" s="21"/>
      <c r="AW1416" s="21"/>
    </row>
    <row r="1417" spans="1:49" x14ac:dyDescent="0.2">
      <c r="A1417">
        <v>760</v>
      </c>
      <c r="E1417">
        <f t="shared" si="482"/>
        <v>2</v>
      </c>
      <c r="J1417" t="str">
        <f t="shared" ref="J1417:J1480" si="489">IF(F1417&lt;&gt;"",F1417,IF($A1417=$A1416,J1416,J1417))</f>
        <v>4</v>
      </c>
      <c r="K1417" t="str">
        <f t="shared" ref="K1417:K1480" si="490">IF($A1417=$A1416,K1416,G1417)</f>
        <v>34</v>
      </c>
      <c r="L1417" t="str">
        <f t="shared" ref="L1417:L1480" si="491">IF(H1417&lt;&gt;"",H1417,IF($A1417=$A1416,L1416,""))</f>
        <v/>
      </c>
      <c r="M1417" s="6" t="str">
        <f t="shared" ref="M1417:M1480" si="492">IF(I1417&lt;&gt;"",I1417,IF($A1417=$A1416,M1416,""))</f>
        <v/>
      </c>
      <c r="N1417" t="s">
        <v>179</v>
      </c>
      <c r="O1417">
        <v>79</v>
      </c>
      <c r="P1417" t="s">
        <v>425</v>
      </c>
      <c r="Y1417" t="str">
        <f t="shared" si="475"/>
        <v/>
      </c>
      <c r="Z1417" t="str">
        <f t="shared" si="476"/>
        <v/>
      </c>
      <c r="AC1417" t="str">
        <f t="shared" si="472"/>
        <v>Turnover</v>
      </c>
      <c r="AD1417" t="str">
        <f t="shared" si="473"/>
        <v>Turnover_Giveaway</v>
      </c>
      <c r="AE1417" t="str">
        <f t="shared" si="474"/>
        <v>Giveaway-PassMissed</v>
      </c>
      <c r="AF1417" t="str">
        <f t="shared" si="477"/>
        <v>Defensive</v>
      </c>
      <c r="AG1417">
        <f t="shared" si="483"/>
        <v>18981</v>
      </c>
      <c r="AH1417" t="str">
        <f t="shared" si="484"/>
        <v>Nelson</v>
      </c>
      <c r="AI1417" t="str">
        <f t="shared" si="485"/>
        <v>Velodrome</v>
      </c>
      <c r="AJ1417" s="18">
        <f t="shared" si="478"/>
        <v>0</v>
      </c>
      <c r="AP1417" s="18">
        <f t="shared" si="479"/>
        <v>0</v>
      </c>
      <c r="AQ1417">
        <f t="shared" si="480"/>
        <v>1080</v>
      </c>
      <c r="AR1417" s="23">
        <f t="shared" si="481"/>
        <v>1886</v>
      </c>
      <c r="AS1417">
        <f t="shared" si="486"/>
        <v>1881</v>
      </c>
      <c r="AT1417" s="21">
        <f t="shared" si="487"/>
        <v>1886</v>
      </c>
      <c r="AU1417" s="21"/>
      <c r="AV1417" s="21"/>
      <c r="AW1417" s="21"/>
    </row>
    <row r="1418" spans="1:49" x14ac:dyDescent="0.2">
      <c r="A1418">
        <v>760</v>
      </c>
      <c r="E1418">
        <f t="shared" si="482"/>
        <v>2</v>
      </c>
      <c r="J1418" t="str">
        <f t="shared" si="489"/>
        <v>4</v>
      </c>
      <c r="K1418" t="str">
        <f t="shared" si="490"/>
        <v>34</v>
      </c>
      <c r="L1418" t="str">
        <f t="shared" si="491"/>
        <v/>
      </c>
      <c r="M1418" s="6" t="str">
        <f t="shared" si="492"/>
        <v/>
      </c>
      <c r="N1418" t="str">
        <f t="shared" si="488"/>
        <v>Away</v>
      </c>
      <c r="O1418">
        <v>15</v>
      </c>
      <c r="P1418" t="s">
        <v>425</v>
      </c>
      <c r="Y1418" t="str">
        <f t="shared" si="475"/>
        <v/>
      </c>
      <c r="Z1418" t="str">
        <f t="shared" si="476"/>
        <v/>
      </c>
      <c r="AC1418" t="str">
        <f t="shared" si="472"/>
        <v>Turnover</v>
      </c>
      <c r="AD1418" t="str">
        <f t="shared" si="473"/>
        <v>Turnover_Giveaway</v>
      </c>
      <c r="AE1418" t="str">
        <f t="shared" si="474"/>
        <v>Giveaway-PassMissed</v>
      </c>
      <c r="AF1418" t="str">
        <f t="shared" si="477"/>
        <v>Defensive</v>
      </c>
      <c r="AG1418">
        <f t="shared" si="483"/>
        <v>18981</v>
      </c>
      <c r="AH1418" t="str">
        <f t="shared" si="484"/>
        <v>Nelson</v>
      </c>
      <c r="AI1418" t="str">
        <f t="shared" si="485"/>
        <v>Velodrome</v>
      </c>
      <c r="AJ1418" s="18">
        <f t="shared" si="478"/>
        <v>0</v>
      </c>
      <c r="AP1418" s="18">
        <f t="shared" si="479"/>
        <v>0</v>
      </c>
      <c r="AQ1418">
        <f t="shared" si="480"/>
        <v>1080</v>
      </c>
      <c r="AR1418" s="23">
        <f t="shared" si="481"/>
        <v>1886</v>
      </c>
      <c r="AS1418">
        <f t="shared" si="486"/>
        <v>1881</v>
      </c>
      <c r="AT1418" s="21">
        <f t="shared" si="487"/>
        <v>1886</v>
      </c>
      <c r="AU1418" s="21"/>
      <c r="AV1418" s="21"/>
      <c r="AW1418" s="21"/>
    </row>
    <row r="1419" spans="1:49" x14ac:dyDescent="0.2">
      <c r="A1419">
        <v>761</v>
      </c>
      <c r="E1419">
        <f t="shared" si="482"/>
        <v>2</v>
      </c>
      <c r="F1419" s="5" t="s">
        <v>533</v>
      </c>
      <c r="G1419" s="5" t="s">
        <v>506</v>
      </c>
      <c r="H1419" s="5" t="s">
        <v>533</v>
      </c>
      <c r="I1419" s="7" t="s">
        <v>503</v>
      </c>
      <c r="J1419" t="str">
        <f t="shared" si="489"/>
        <v>4</v>
      </c>
      <c r="K1419" t="str">
        <f t="shared" si="490"/>
        <v>34</v>
      </c>
      <c r="L1419" t="str">
        <f t="shared" si="491"/>
        <v>4</v>
      </c>
      <c r="M1419" s="6" t="str">
        <f t="shared" si="492"/>
        <v>31</v>
      </c>
      <c r="N1419" t="s">
        <v>178</v>
      </c>
      <c r="O1419">
        <v>79</v>
      </c>
      <c r="P1419" t="s">
        <v>424</v>
      </c>
      <c r="Q1419" t="s">
        <v>15</v>
      </c>
      <c r="Y1419" t="str">
        <f t="shared" si="475"/>
        <v/>
      </c>
      <c r="Z1419" t="str">
        <f t="shared" si="476"/>
        <v/>
      </c>
      <c r="AC1419" t="str">
        <f t="shared" si="472"/>
        <v>Possession</v>
      </c>
      <c r="AD1419" t="str">
        <f t="shared" si="473"/>
        <v/>
      </c>
      <c r="AE1419" t="str">
        <f t="shared" si="474"/>
        <v/>
      </c>
      <c r="AF1419" t="str">
        <f t="shared" si="477"/>
        <v>Offensive</v>
      </c>
      <c r="AG1419">
        <f t="shared" si="483"/>
        <v>18981</v>
      </c>
      <c r="AH1419" t="str">
        <f t="shared" si="484"/>
        <v>Nelson</v>
      </c>
      <c r="AI1419" t="str">
        <f t="shared" si="485"/>
        <v>Velodrome</v>
      </c>
      <c r="AJ1419" s="18">
        <f t="shared" si="478"/>
        <v>3</v>
      </c>
      <c r="AP1419" s="18">
        <f t="shared" si="479"/>
        <v>0</v>
      </c>
      <c r="AQ1419">
        <f t="shared" si="480"/>
        <v>1080</v>
      </c>
      <c r="AR1419" s="23">
        <f t="shared" si="481"/>
        <v>1886</v>
      </c>
      <c r="AS1419">
        <f t="shared" si="486"/>
        <v>1881</v>
      </c>
      <c r="AT1419" s="21">
        <f t="shared" si="487"/>
        <v>1889</v>
      </c>
      <c r="AU1419" s="21"/>
      <c r="AV1419" s="21"/>
      <c r="AW1419" s="21"/>
    </row>
    <row r="1420" spans="1:49" x14ac:dyDescent="0.2">
      <c r="A1420">
        <v>762</v>
      </c>
      <c r="E1420">
        <f t="shared" si="482"/>
        <v>2</v>
      </c>
      <c r="F1420" s="5" t="s">
        <v>533</v>
      </c>
      <c r="G1420" s="5" t="s">
        <v>503</v>
      </c>
      <c r="J1420" t="str">
        <f t="shared" si="489"/>
        <v>4</v>
      </c>
      <c r="K1420" t="str">
        <f t="shared" si="490"/>
        <v>31</v>
      </c>
      <c r="L1420" t="str">
        <f t="shared" si="491"/>
        <v/>
      </c>
      <c r="M1420" s="6" t="str">
        <f t="shared" si="492"/>
        <v/>
      </c>
      <c r="N1420" t="s">
        <v>178</v>
      </c>
      <c r="O1420">
        <v>79</v>
      </c>
      <c r="P1420" t="s">
        <v>424</v>
      </c>
      <c r="Q1420" t="s">
        <v>8</v>
      </c>
      <c r="R1420" t="s">
        <v>189</v>
      </c>
      <c r="S1420" t="s">
        <v>70</v>
      </c>
      <c r="Y1420" t="str">
        <f t="shared" si="475"/>
        <v/>
      </c>
      <c r="Z1420" t="str">
        <f t="shared" si="476"/>
        <v/>
      </c>
      <c r="AC1420" t="str">
        <f t="shared" si="472"/>
        <v>Pass</v>
      </c>
      <c r="AD1420" t="str">
        <f t="shared" si="473"/>
        <v>Pass_Completed</v>
      </c>
      <c r="AE1420" t="str">
        <f t="shared" si="474"/>
        <v>Pass-Forehand</v>
      </c>
      <c r="AF1420" t="str">
        <f t="shared" si="477"/>
        <v>Offensive</v>
      </c>
      <c r="AG1420">
        <f t="shared" si="483"/>
        <v>18981</v>
      </c>
      <c r="AH1420" t="str">
        <f t="shared" si="484"/>
        <v>Nelson</v>
      </c>
      <c r="AI1420" t="str">
        <f t="shared" si="485"/>
        <v>Velodrome</v>
      </c>
      <c r="AJ1420" s="18">
        <f t="shared" si="478"/>
        <v>0</v>
      </c>
      <c r="AP1420" s="18">
        <f t="shared" si="479"/>
        <v>0</v>
      </c>
      <c r="AQ1420">
        <f t="shared" si="480"/>
        <v>1080</v>
      </c>
      <c r="AR1420" s="23">
        <f t="shared" si="481"/>
        <v>1889</v>
      </c>
      <c r="AS1420">
        <f t="shared" si="486"/>
        <v>1884</v>
      </c>
      <c r="AT1420" s="21">
        <f t="shared" si="487"/>
        <v>1889</v>
      </c>
      <c r="AU1420" s="21"/>
      <c r="AV1420" s="21"/>
      <c r="AW1420" s="21"/>
    </row>
    <row r="1421" spans="1:49" x14ac:dyDescent="0.2">
      <c r="A1421">
        <v>762</v>
      </c>
      <c r="E1421">
        <f t="shared" si="482"/>
        <v>2</v>
      </c>
      <c r="J1421" t="str">
        <f t="shared" si="489"/>
        <v>4</v>
      </c>
      <c r="K1421" t="str">
        <f t="shared" si="490"/>
        <v>31</v>
      </c>
      <c r="L1421" t="str">
        <f t="shared" si="491"/>
        <v/>
      </c>
      <c r="M1421" s="6" t="str">
        <f t="shared" si="492"/>
        <v/>
      </c>
      <c r="N1421" t="str">
        <f t="shared" si="488"/>
        <v>Home</v>
      </c>
      <c r="O1421">
        <v>16</v>
      </c>
      <c r="P1421" t="s">
        <v>424</v>
      </c>
      <c r="Y1421" t="str">
        <f t="shared" si="475"/>
        <v/>
      </c>
      <c r="Z1421" t="str">
        <f t="shared" si="476"/>
        <v/>
      </c>
      <c r="AC1421" t="str">
        <f t="shared" si="472"/>
        <v>Pass</v>
      </c>
      <c r="AD1421" t="str">
        <f t="shared" si="473"/>
        <v>Pass_Completed</v>
      </c>
      <c r="AE1421" t="str">
        <f t="shared" si="474"/>
        <v>Pass-Forehand</v>
      </c>
      <c r="AF1421" t="str">
        <f t="shared" si="477"/>
        <v>Offensive</v>
      </c>
      <c r="AG1421">
        <f t="shared" si="483"/>
        <v>18981</v>
      </c>
      <c r="AH1421" t="str">
        <f t="shared" si="484"/>
        <v>Nelson</v>
      </c>
      <c r="AI1421" t="str">
        <f t="shared" si="485"/>
        <v>Velodrome</v>
      </c>
      <c r="AJ1421" s="18">
        <f t="shared" si="478"/>
        <v>0</v>
      </c>
      <c r="AP1421" s="18">
        <f t="shared" si="479"/>
        <v>0</v>
      </c>
      <c r="AQ1421">
        <f t="shared" si="480"/>
        <v>1080</v>
      </c>
      <c r="AR1421" s="23">
        <f t="shared" si="481"/>
        <v>1889</v>
      </c>
      <c r="AS1421">
        <f t="shared" si="486"/>
        <v>1884</v>
      </c>
      <c r="AT1421" s="21">
        <f t="shared" si="487"/>
        <v>1889</v>
      </c>
      <c r="AU1421" s="21"/>
      <c r="AV1421" s="21"/>
      <c r="AW1421" s="21"/>
    </row>
    <row r="1422" spans="1:49" x14ac:dyDescent="0.2">
      <c r="A1422">
        <v>763</v>
      </c>
      <c r="E1422">
        <f t="shared" si="482"/>
        <v>2</v>
      </c>
      <c r="F1422" s="5" t="s">
        <v>533</v>
      </c>
      <c r="G1422" s="5" t="s">
        <v>502</v>
      </c>
      <c r="J1422" t="str">
        <f t="shared" si="489"/>
        <v>4</v>
      </c>
      <c r="K1422" t="str">
        <f t="shared" si="490"/>
        <v>30</v>
      </c>
      <c r="L1422" t="str">
        <f t="shared" si="491"/>
        <v/>
      </c>
      <c r="M1422" s="6" t="str">
        <f t="shared" si="492"/>
        <v/>
      </c>
      <c r="N1422" t="s">
        <v>178</v>
      </c>
      <c r="O1422">
        <v>16</v>
      </c>
      <c r="P1422" t="s">
        <v>424</v>
      </c>
      <c r="Q1422" t="s">
        <v>7</v>
      </c>
      <c r="R1422" t="s">
        <v>222</v>
      </c>
      <c r="S1422" t="s">
        <v>53</v>
      </c>
      <c r="Y1422" t="str">
        <f t="shared" si="475"/>
        <v/>
      </c>
      <c r="Z1422" t="str">
        <f t="shared" si="476"/>
        <v/>
      </c>
      <c r="AC1422" t="str">
        <f t="shared" si="472"/>
        <v>Shot</v>
      </c>
      <c r="AD1422" t="str">
        <f t="shared" si="473"/>
        <v>Shot_OnNetSaved</v>
      </c>
      <c r="AE1422" t="str">
        <f t="shared" si="474"/>
        <v>Shot-Wrist</v>
      </c>
      <c r="AF1422" t="str">
        <f t="shared" si="477"/>
        <v>Offensive</v>
      </c>
      <c r="AG1422">
        <f t="shared" si="483"/>
        <v>18981</v>
      </c>
      <c r="AH1422" t="str">
        <f t="shared" si="484"/>
        <v>Nelson</v>
      </c>
      <c r="AI1422" t="str">
        <f t="shared" si="485"/>
        <v>Velodrome</v>
      </c>
      <c r="AJ1422" s="18">
        <f t="shared" si="478"/>
        <v>0</v>
      </c>
      <c r="AP1422" s="18">
        <f t="shared" si="479"/>
        <v>0</v>
      </c>
      <c r="AQ1422">
        <f t="shared" si="480"/>
        <v>1080</v>
      </c>
      <c r="AR1422" s="23">
        <f t="shared" si="481"/>
        <v>1890</v>
      </c>
      <c r="AS1422">
        <f t="shared" si="486"/>
        <v>1885</v>
      </c>
      <c r="AT1422" s="21">
        <f t="shared" si="487"/>
        <v>1890</v>
      </c>
      <c r="AU1422" s="21"/>
      <c r="AV1422" s="21"/>
      <c r="AW1422" s="21"/>
    </row>
    <row r="1423" spans="1:49" x14ac:dyDescent="0.2">
      <c r="A1423">
        <v>763</v>
      </c>
      <c r="E1423">
        <f t="shared" si="482"/>
        <v>2</v>
      </c>
      <c r="J1423" t="str">
        <f t="shared" si="489"/>
        <v>4</v>
      </c>
      <c r="K1423" t="str">
        <f t="shared" si="490"/>
        <v>30</v>
      </c>
      <c r="L1423" t="str">
        <f t="shared" si="491"/>
        <v/>
      </c>
      <c r="M1423" s="6" t="str">
        <f t="shared" si="492"/>
        <v/>
      </c>
      <c r="N1423" t="str">
        <f t="shared" si="488"/>
        <v>Home</v>
      </c>
      <c r="O1423">
        <v>39</v>
      </c>
      <c r="P1423" t="s">
        <v>425</v>
      </c>
      <c r="Y1423" t="str">
        <f t="shared" si="475"/>
        <v/>
      </c>
      <c r="Z1423" t="str">
        <f t="shared" si="476"/>
        <v/>
      </c>
      <c r="AC1423" t="str">
        <f t="shared" si="472"/>
        <v>Shot</v>
      </c>
      <c r="AD1423" t="str">
        <f t="shared" si="473"/>
        <v>Shot_OnNetSaved</v>
      </c>
      <c r="AE1423" t="str">
        <f t="shared" si="474"/>
        <v>Shot-Wrist</v>
      </c>
      <c r="AF1423" t="str">
        <f t="shared" si="477"/>
        <v>Defensive</v>
      </c>
      <c r="AG1423">
        <f t="shared" si="483"/>
        <v>18981</v>
      </c>
      <c r="AH1423" t="str">
        <f t="shared" si="484"/>
        <v>Nelson</v>
      </c>
      <c r="AI1423" t="str">
        <f t="shared" si="485"/>
        <v>Velodrome</v>
      </c>
      <c r="AJ1423" s="18">
        <f t="shared" si="478"/>
        <v>0</v>
      </c>
      <c r="AP1423" s="18">
        <f t="shared" si="479"/>
        <v>0</v>
      </c>
      <c r="AQ1423">
        <f t="shared" si="480"/>
        <v>1080</v>
      </c>
      <c r="AR1423" s="23">
        <f t="shared" si="481"/>
        <v>1890</v>
      </c>
      <c r="AS1423">
        <f t="shared" si="486"/>
        <v>1885</v>
      </c>
      <c r="AT1423" s="21">
        <f t="shared" si="487"/>
        <v>1890</v>
      </c>
      <c r="AU1423" s="21"/>
      <c r="AV1423" s="21"/>
      <c r="AW1423" s="21"/>
    </row>
    <row r="1424" spans="1:49" x14ac:dyDescent="0.2">
      <c r="A1424">
        <v>763</v>
      </c>
      <c r="E1424">
        <f t="shared" si="482"/>
        <v>2</v>
      </c>
      <c r="J1424" t="str">
        <f t="shared" si="489"/>
        <v>4</v>
      </c>
      <c r="K1424" t="str">
        <f t="shared" si="490"/>
        <v>30</v>
      </c>
      <c r="L1424" t="str">
        <f t="shared" si="491"/>
        <v/>
      </c>
      <c r="M1424" s="6" t="str">
        <f t="shared" si="492"/>
        <v/>
      </c>
      <c r="N1424" t="str">
        <f t="shared" si="488"/>
        <v>Home</v>
      </c>
      <c r="O1424">
        <v>9</v>
      </c>
      <c r="P1424" t="s">
        <v>425</v>
      </c>
      <c r="Y1424" t="str">
        <f t="shared" si="475"/>
        <v/>
      </c>
      <c r="Z1424" t="str">
        <f t="shared" si="476"/>
        <v/>
      </c>
      <c r="AC1424" t="str">
        <f t="shared" si="472"/>
        <v>Shot</v>
      </c>
      <c r="AD1424" t="str">
        <f t="shared" si="473"/>
        <v>Shot_OnNetSaved</v>
      </c>
      <c r="AE1424" t="str">
        <f t="shared" si="474"/>
        <v>Shot-Wrist</v>
      </c>
      <c r="AF1424" t="str">
        <f t="shared" si="477"/>
        <v>Defensive</v>
      </c>
      <c r="AG1424">
        <f t="shared" si="483"/>
        <v>18981</v>
      </c>
      <c r="AH1424" t="str">
        <f t="shared" si="484"/>
        <v>Nelson</v>
      </c>
      <c r="AI1424" t="str">
        <f t="shared" si="485"/>
        <v>Velodrome</v>
      </c>
      <c r="AJ1424" s="18">
        <f t="shared" si="478"/>
        <v>0</v>
      </c>
      <c r="AP1424" s="18">
        <f t="shared" si="479"/>
        <v>0</v>
      </c>
      <c r="AQ1424">
        <f t="shared" si="480"/>
        <v>1080</v>
      </c>
      <c r="AR1424" s="23">
        <f t="shared" si="481"/>
        <v>1890</v>
      </c>
      <c r="AS1424">
        <f t="shared" si="486"/>
        <v>1885</v>
      </c>
      <c r="AT1424" s="21">
        <f t="shared" si="487"/>
        <v>1890</v>
      </c>
      <c r="AU1424" s="21"/>
      <c r="AV1424" s="21"/>
      <c r="AW1424" s="21"/>
    </row>
    <row r="1425" spans="1:49" x14ac:dyDescent="0.2">
      <c r="A1425">
        <v>764</v>
      </c>
      <c r="E1425">
        <f t="shared" si="482"/>
        <v>2</v>
      </c>
      <c r="F1425" s="5" t="s">
        <v>533</v>
      </c>
      <c r="G1425" s="5" t="s">
        <v>502</v>
      </c>
      <c r="J1425" t="str">
        <f t="shared" si="489"/>
        <v>4</v>
      </c>
      <c r="K1425" t="str">
        <f t="shared" si="490"/>
        <v>30</v>
      </c>
      <c r="L1425" t="str">
        <f t="shared" si="491"/>
        <v/>
      </c>
      <c r="M1425" s="6" t="str">
        <f t="shared" si="492"/>
        <v/>
      </c>
      <c r="N1425" t="s">
        <v>179</v>
      </c>
      <c r="O1425">
        <v>39</v>
      </c>
      <c r="P1425" t="s">
        <v>424</v>
      </c>
      <c r="Q1425" t="s">
        <v>17</v>
      </c>
      <c r="R1425" t="s">
        <v>206</v>
      </c>
      <c r="S1425" t="s">
        <v>102</v>
      </c>
      <c r="Y1425" t="str">
        <f t="shared" si="475"/>
        <v/>
      </c>
      <c r="Z1425" t="str">
        <f t="shared" si="476"/>
        <v/>
      </c>
      <c r="AC1425" t="str">
        <f t="shared" si="472"/>
        <v>Save</v>
      </c>
      <c r="AD1425" t="str">
        <f t="shared" si="473"/>
        <v>Save_Freeze</v>
      </c>
      <c r="AE1425" t="str">
        <f t="shared" si="474"/>
        <v>Save-Butterfly</v>
      </c>
      <c r="AF1425" t="str">
        <f t="shared" si="477"/>
        <v>Defensive</v>
      </c>
      <c r="AG1425">
        <f t="shared" si="483"/>
        <v>18981</v>
      </c>
      <c r="AH1425" t="str">
        <f t="shared" si="484"/>
        <v>Nelson</v>
      </c>
      <c r="AI1425" t="str">
        <f t="shared" si="485"/>
        <v>Velodrome</v>
      </c>
      <c r="AJ1425" s="18">
        <f t="shared" si="478"/>
        <v>0</v>
      </c>
      <c r="AP1425" s="18">
        <f t="shared" si="479"/>
        <v>0</v>
      </c>
      <c r="AQ1425">
        <f t="shared" si="480"/>
        <v>1080</v>
      </c>
      <c r="AR1425" s="23">
        <f t="shared" si="481"/>
        <v>1890</v>
      </c>
      <c r="AS1425">
        <f t="shared" si="486"/>
        <v>1885</v>
      </c>
      <c r="AT1425" s="21">
        <f t="shared" si="487"/>
        <v>1890</v>
      </c>
      <c r="AU1425" s="21"/>
      <c r="AV1425" s="21"/>
      <c r="AW1425" s="21"/>
    </row>
    <row r="1426" spans="1:49" x14ac:dyDescent="0.2">
      <c r="A1426">
        <v>764</v>
      </c>
      <c r="E1426">
        <f t="shared" si="482"/>
        <v>2</v>
      </c>
      <c r="J1426" t="str">
        <f t="shared" si="489"/>
        <v>4</v>
      </c>
      <c r="K1426" t="str">
        <f t="shared" si="490"/>
        <v>30</v>
      </c>
      <c r="L1426" t="str">
        <f t="shared" si="491"/>
        <v/>
      </c>
      <c r="M1426" s="6" t="str">
        <f t="shared" si="492"/>
        <v/>
      </c>
      <c r="N1426" t="str">
        <f t="shared" si="488"/>
        <v>Away</v>
      </c>
      <c r="O1426">
        <v>9</v>
      </c>
      <c r="P1426" t="s">
        <v>424</v>
      </c>
      <c r="Y1426" t="str">
        <f t="shared" si="475"/>
        <v/>
      </c>
      <c r="Z1426" t="str">
        <f t="shared" si="476"/>
        <v/>
      </c>
      <c r="AC1426" t="str">
        <f t="shared" si="472"/>
        <v>Save</v>
      </c>
      <c r="AD1426" t="str">
        <f t="shared" si="473"/>
        <v>Save_Freeze</v>
      </c>
      <c r="AE1426" t="str">
        <f t="shared" si="474"/>
        <v>Save-Butterfly</v>
      </c>
      <c r="AF1426" t="str">
        <f t="shared" si="477"/>
        <v>Defensive</v>
      </c>
      <c r="AG1426">
        <f t="shared" si="483"/>
        <v>18981</v>
      </c>
      <c r="AH1426" t="str">
        <f t="shared" si="484"/>
        <v>Nelson</v>
      </c>
      <c r="AI1426" t="str">
        <f t="shared" si="485"/>
        <v>Velodrome</v>
      </c>
      <c r="AJ1426" s="18">
        <f t="shared" si="478"/>
        <v>0</v>
      </c>
      <c r="AP1426" s="18">
        <f t="shared" si="479"/>
        <v>0</v>
      </c>
      <c r="AQ1426">
        <f t="shared" si="480"/>
        <v>1080</v>
      </c>
      <c r="AR1426" s="23">
        <f t="shared" si="481"/>
        <v>1890</v>
      </c>
      <c r="AS1426">
        <f t="shared" si="486"/>
        <v>1885</v>
      </c>
      <c r="AT1426" s="21">
        <f t="shared" si="487"/>
        <v>1890</v>
      </c>
      <c r="AU1426" s="21"/>
      <c r="AV1426" s="21"/>
      <c r="AW1426" s="21"/>
    </row>
    <row r="1427" spans="1:49" x14ac:dyDescent="0.2">
      <c r="A1427">
        <v>764</v>
      </c>
      <c r="E1427">
        <f t="shared" si="482"/>
        <v>2</v>
      </c>
      <c r="J1427" t="str">
        <f t="shared" si="489"/>
        <v>4</v>
      </c>
      <c r="K1427" t="str">
        <f t="shared" si="490"/>
        <v>30</v>
      </c>
      <c r="L1427" t="str">
        <f t="shared" si="491"/>
        <v/>
      </c>
      <c r="M1427" s="6" t="str">
        <f t="shared" si="492"/>
        <v/>
      </c>
      <c r="N1427" t="str">
        <f t="shared" si="488"/>
        <v>Away</v>
      </c>
      <c r="O1427">
        <v>16</v>
      </c>
      <c r="P1427" t="s">
        <v>425</v>
      </c>
      <c r="Y1427" t="str">
        <f t="shared" si="475"/>
        <v/>
      </c>
      <c r="Z1427" t="str">
        <f t="shared" si="476"/>
        <v/>
      </c>
      <c r="AC1427" t="str">
        <f t="shared" si="472"/>
        <v>Save</v>
      </c>
      <c r="AD1427" t="str">
        <f t="shared" si="473"/>
        <v>Save_Freeze</v>
      </c>
      <c r="AE1427" t="str">
        <f t="shared" si="474"/>
        <v>Save-Butterfly</v>
      </c>
      <c r="AF1427" t="str">
        <f t="shared" si="477"/>
        <v>Offensive</v>
      </c>
      <c r="AG1427">
        <f t="shared" si="483"/>
        <v>18981</v>
      </c>
      <c r="AH1427" t="str">
        <f t="shared" si="484"/>
        <v>Nelson</v>
      </c>
      <c r="AI1427" t="str">
        <f t="shared" si="485"/>
        <v>Velodrome</v>
      </c>
      <c r="AJ1427" s="18">
        <f t="shared" si="478"/>
        <v>0</v>
      </c>
      <c r="AP1427" s="18">
        <f t="shared" si="479"/>
        <v>0</v>
      </c>
      <c r="AQ1427">
        <f t="shared" si="480"/>
        <v>1080</v>
      </c>
      <c r="AR1427" s="23">
        <f t="shared" si="481"/>
        <v>1890</v>
      </c>
      <c r="AS1427">
        <f t="shared" si="486"/>
        <v>1885</v>
      </c>
      <c r="AT1427" s="21">
        <f t="shared" si="487"/>
        <v>1890</v>
      </c>
      <c r="AU1427" s="21"/>
      <c r="AV1427" s="21"/>
      <c r="AW1427" s="21"/>
    </row>
    <row r="1428" spans="1:49" x14ac:dyDescent="0.2">
      <c r="A1428">
        <v>765</v>
      </c>
      <c r="E1428">
        <f t="shared" si="482"/>
        <v>2</v>
      </c>
      <c r="F1428" s="5" t="s">
        <v>533</v>
      </c>
      <c r="G1428" s="5" t="s">
        <v>501</v>
      </c>
      <c r="J1428" t="str">
        <f t="shared" si="489"/>
        <v>4</v>
      </c>
      <c r="K1428" t="str">
        <f t="shared" si="490"/>
        <v>29</v>
      </c>
      <c r="L1428" t="str">
        <f t="shared" si="491"/>
        <v/>
      </c>
      <c r="M1428" s="6" t="str">
        <f t="shared" si="492"/>
        <v/>
      </c>
      <c r="N1428" t="s">
        <v>179</v>
      </c>
      <c r="O1428">
        <v>39</v>
      </c>
      <c r="P1428" t="s">
        <v>424</v>
      </c>
      <c r="Q1428" t="s">
        <v>13</v>
      </c>
      <c r="R1428" t="s">
        <v>204</v>
      </c>
      <c r="S1428" t="s">
        <v>110</v>
      </c>
      <c r="Y1428" t="str">
        <f t="shared" si="475"/>
        <v/>
      </c>
      <c r="Z1428" t="str">
        <f t="shared" si="476"/>
        <v/>
      </c>
      <c r="AC1428" t="str">
        <f t="shared" si="472"/>
        <v>Stoppage</v>
      </c>
      <c r="AD1428" t="str">
        <f t="shared" si="473"/>
        <v>Stoppage_Play</v>
      </c>
      <c r="AE1428" t="str">
        <f t="shared" si="474"/>
        <v>Stoppage-GoalieStoppage</v>
      </c>
      <c r="AF1428" t="str">
        <f t="shared" si="477"/>
        <v/>
      </c>
      <c r="AG1428">
        <f t="shared" si="483"/>
        <v>18981</v>
      </c>
      <c r="AH1428" t="str">
        <f t="shared" si="484"/>
        <v>Nelson</v>
      </c>
      <c r="AI1428" t="str">
        <f t="shared" si="485"/>
        <v>Velodrome</v>
      </c>
      <c r="AJ1428" s="18">
        <f t="shared" si="478"/>
        <v>0</v>
      </c>
      <c r="AP1428" s="18">
        <f t="shared" si="479"/>
        <v>0</v>
      </c>
      <c r="AQ1428">
        <f t="shared" si="480"/>
        <v>1080</v>
      </c>
      <c r="AR1428" s="23">
        <f t="shared" si="481"/>
        <v>1891</v>
      </c>
      <c r="AS1428">
        <f t="shared" si="486"/>
        <v>1886</v>
      </c>
      <c r="AT1428" s="21">
        <f t="shared" si="487"/>
        <v>1891</v>
      </c>
      <c r="AU1428" s="21"/>
      <c r="AV1428" s="21"/>
      <c r="AW1428" s="21"/>
    </row>
    <row r="1429" spans="1:49" x14ac:dyDescent="0.2">
      <c r="A1429">
        <v>766</v>
      </c>
      <c r="E1429">
        <f t="shared" si="482"/>
        <v>2</v>
      </c>
      <c r="F1429" s="5" t="s">
        <v>533</v>
      </c>
      <c r="G1429" s="5" t="s">
        <v>501</v>
      </c>
      <c r="H1429" s="5" t="s">
        <v>533</v>
      </c>
      <c r="I1429" s="7" t="s">
        <v>482</v>
      </c>
      <c r="J1429" t="str">
        <f t="shared" si="489"/>
        <v>4</v>
      </c>
      <c r="K1429" t="str">
        <f t="shared" si="490"/>
        <v>29</v>
      </c>
      <c r="L1429" t="str">
        <f t="shared" si="491"/>
        <v>4</v>
      </c>
      <c r="M1429" s="6" t="str">
        <f t="shared" si="492"/>
        <v>07</v>
      </c>
      <c r="N1429" t="s">
        <v>179</v>
      </c>
      <c r="O1429">
        <v>39</v>
      </c>
      <c r="P1429" t="s">
        <v>424</v>
      </c>
      <c r="Q1429" t="s">
        <v>282</v>
      </c>
      <c r="Y1429" t="str">
        <f t="shared" si="475"/>
        <v/>
      </c>
      <c r="Z1429" t="str">
        <f t="shared" si="476"/>
        <v/>
      </c>
      <c r="AC1429" t="str">
        <f t="shared" si="472"/>
        <v>DeadIce</v>
      </c>
      <c r="AD1429" t="str">
        <f t="shared" si="473"/>
        <v/>
      </c>
      <c r="AE1429" t="str">
        <f t="shared" si="474"/>
        <v/>
      </c>
      <c r="AF1429" t="str">
        <f t="shared" si="477"/>
        <v/>
      </c>
      <c r="AG1429">
        <f t="shared" si="483"/>
        <v>18981</v>
      </c>
      <c r="AH1429" t="str">
        <f t="shared" si="484"/>
        <v>Nelson</v>
      </c>
      <c r="AI1429" t="str">
        <f t="shared" si="485"/>
        <v>Velodrome</v>
      </c>
      <c r="AJ1429" s="18">
        <f t="shared" si="478"/>
        <v>22</v>
      </c>
      <c r="AP1429" s="18">
        <f t="shared" si="479"/>
        <v>0</v>
      </c>
      <c r="AQ1429">
        <f t="shared" si="480"/>
        <v>1080</v>
      </c>
      <c r="AR1429" s="23">
        <f t="shared" si="481"/>
        <v>1891</v>
      </c>
      <c r="AS1429">
        <f t="shared" si="486"/>
        <v>1886</v>
      </c>
      <c r="AT1429" s="21">
        <f t="shared" si="487"/>
        <v>1913</v>
      </c>
      <c r="AU1429" s="21"/>
      <c r="AV1429" s="21"/>
      <c r="AW1429" s="21"/>
    </row>
    <row r="1430" spans="1:49" x14ac:dyDescent="0.2">
      <c r="A1430">
        <v>767</v>
      </c>
      <c r="E1430">
        <f t="shared" si="482"/>
        <v>2</v>
      </c>
      <c r="F1430" s="5" t="s">
        <v>533</v>
      </c>
      <c r="G1430" s="5" t="s">
        <v>482</v>
      </c>
      <c r="J1430" t="str">
        <f t="shared" si="489"/>
        <v>4</v>
      </c>
      <c r="K1430" t="str">
        <f t="shared" si="490"/>
        <v>07</v>
      </c>
      <c r="L1430" t="str">
        <f t="shared" si="491"/>
        <v/>
      </c>
      <c r="M1430" s="6" t="str">
        <f t="shared" si="492"/>
        <v/>
      </c>
      <c r="N1430" t="s">
        <v>179</v>
      </c>
      <c r="O1430">
        <v>42</v>
      </c>
      <c r="P1430" t="s">
        <v>424</v>
      </c>
      <c r="Q1430" t="s">
        <v>6</v>
      </c>
      <c r="R1430" t="s">
        <v>275</v>
      </c>
      <c r="Y1430" t="str">
        <f t="shared" si="475"/>
        <v/>
      </c>
      <c r="Z1430" t="str">
        <f t="shared" si="476"/>
        <v/>
      </c>
      <c r="AC1430" t="str">
        <f t="shared" si="472"/>
        <v>Faceoff</v>
      </c>
      <c r="AD1430" t="str">
        <f t="shared" si="473"/>
        <v>Faceoff_AfterStoppage</v>
      </c>
      <c r="AE1430" t="str">
        <f t="shared" si="474"/>
        <v/>
      </c>
      <c r="AF1430" t="str">
        <f t="shared" si="477"/>
        <v>Offensive</v>
      </c>
      <c r="AG1430">
        <f t="shared" si="483"/>
        <v>18981</v>
      </c>
      <c r="AH1430" t="str">
        <f t="shared" si="484"/>
        <v>Nelson</v>
      </c>
      <c r="AI1430" t="str">
        <f t="shared" si="485"/>
        <v>Velodrome</v>
      </c>
      <c r="AJ1430" s="18">
        <f t="shared" si="478"/>
        <v>0</v>
      </c>
      <c r="AP1430" s="18">
        <f t="shared" si="479"/>
        <v>0</v>
      </c>
      <c r="AQ1430">
        <f t="shared" si="480"/>
        <v>1080</v>
      </c>
      <c r="AR1430" s="23">
        <f t="shared" si="481"/>
        <v>1913</v>
      </c>
      <c r="AS1430">
        <f t="shared" si="486"/>
        <v>1908</v>
      </c>
      <c r="AT1430" s="21">
        <f t="shared" si="487"/>
        <v>1913</v>
      </c>
      <c r="AU1430" s="21"/>
      <c r="AV1430" s="21"/>
      <c r="AW1430" s="21"/>
    </row>
    <row r="1431" spans="1:49" ht="13" customHeight="1" x14ac:dyDescent="0.2">
      <c r="A1431">
        <v>767</v>
      </c>
      <c r="E1431">
        <f t="shared" si="482"/>
        <v>2</v>
      </c>
      <c r="J1431" t="str">
        <f t="shared" si="489"/>
        <v>4</v>
      </c>
      <c r="K1431" t="str">
        <f t="shared" si="490"/>
        <v>07</v>
      </c>
      <c r="L1431" t="str">
        <f t="shared" si="491"/>
        <v/>
      </c>
      <c r="M1431" s="6" t="str">
        <f t="shared" si="492"/>
        <v/>
      </c>
      <c r="N1431" t="str">
        <f t="shared" si="488"/>
        <v>Away</v>
      </c>
      <c r="O1431">
        <v>52</v>
      </c>
      <c r="P1431" t="s">
        <v>424</v>
      </c>
      <c r="Y1431" t="str">
        <f t="shared" si="475"/>
        <v/>
      </c>
      <c r="Z1431" t="str">
        <f t="shared" si="476"/>
        <v/>
      </c>
      <c r="AC1431" t="str">
        <f t="shared" si="472"/>
        <v>Faceoff</v>
      </c>
      <c r="AD1431" t="str">
        <f t="shared" si="473"/>
        <v>Faceoff_AfterStoppage</v>
      </c>
      <c r="AE1431" t="str">
        <f t="shared" si="474"/>
        <v/>
      </c>
      <c r="AF1431" t="str">
        <f t="shared" si="477"/>
        <v>Offensive</v>
      </c>
      <c r="AG1431">
        <f t="shared" si="483"/>
        <v>18981</v>
      </c>
      <c r="AH1431" t="str">
        <f t="shared" si="484"/>
        <v>Nelson</v>
      </c>
      <c r="AI1431" t="str">
        <f t="shared" si="485"/>
        <v>Velodrome</v>
      </c>
      <c r="AJ1431" s="18">
        <f t="shared" si="478"/>
        <v>0</v>
      </c>
      <c r="AP1431" s="18">
        <f t="shared" si="479"/>
        <v>0</v>
      </c>
      <c r="AQ1431">
        <f t="shared" si="480"/>
        <v>1080</v>
      </c>
      <c r="AR1431" s="23">
        <f t="shared" si="481"/>
        <v>1913</v>
      </c>
      <c r="AS1431">
        <f t="shared" si="486"/>
        <v>1908</v>
      </c>
      <c r="AT1431" s="21">
        <f t="shared" si="487"/>
        <v>1913</v>
      </c>
      <c r="AU1431" s="21"/>
      <c r="AV1431" s="21"/>
      <c r="AW1431" s="21"/>
    </row>
    <row r="1432" spans="1:49" x14ac:dyDescent="0.2">
      <c r="A1432">
        <v>767</v>
      </c>
      <c r="E1432">
        <f t="shared" si="482"/>
        <v>2</v>
      </c>
      <c r="J1432" t="str">
        <f t="shared" si="489"/>
        <v>4</v>
      </c>
      <c r="K1432" t="str">
        <f t="shared" si="490"/>
        <v>07</v>
      </c>
      <c r="L1432" t="str">
        <f t="shared" si="491"/>
        <v/>
      </c>
      <c r="M1432" s="6" t="str">
        <f t="shared" si="492"/>
        <v/>
      </c>
      <c r="N1432" t="str">
        <f t="shared" si="488"/>
        <v>Away</v>
      </c>
      <c r="O1432">
        <v>79</v>
      </c>
      <c r="P1432" t="s">
        <v>425</v>
      </c>
      <c r="Y1432" t="str">
        <f t="shared" si="475"/>
        <v/>
      </c>
      <c r="Z1432" t="str">
        <f t="shared" si="476"/>
        <v/>
      </c>
      <c r="AC1432" t="str">
        <f t="shared" si="472"/>
        <v>Faceoff</v>
      </c>
      <c r="AD1432" t="str">
        <f t="shared" si="473"/>
        <v>Faceoff_AfterStoppage</v>
      </c>
      <c r="AE1432" t="str">
        <f t="shared" si="474"/>
        <v/>
      </c>
      <c r="AF1432" t="str">
        <f t="shared" si="477"/>
        <v>Defensive</v>
      </c>
      <c r="AG1432">
        <f t="shared" si="483"/>
        <v>18981</v>
      </c>
      <c r="AH1432" t="str">
        <f t="shared" si="484"/>
        <v>Nelson</v>
      </c>
      <c r="AI1432" t="str">
        <f t="shared" si="485"/>
        <v>Velodrome</v>
      </c>
      <c r="AJ1432" s="18">
        <f t="shared" si="478"/>
        <v>0</v>
      </c>
      <c r="AP1432" s="18">
        <f t="shared" si="479"/>
        <v>0</v>
      </c>
      <c r="AQ1432">
        <f t="shared" si="480"/>
        <v>1080</v>
      </c>
      <c r="AR1432" s="23">
        <f t="shared" si="481"/>
        <v>1913</v>
      </c>
      <c r="AS1432">
        <f t="shared" si="486"/>
        <v>1908</v>
      </c>
      <c r="AT1432" s="21">
        <f t="shared" si="487"/>
        <v>1913</v>
      </c>
      <c r="AU1432" s="21"/>
      <c r="AV1432" s="21"/>
      <c r="AW1432" s="21"/>
    </row>
    <row r="1433" spans="1:49" x14ac:dyDescent="0.2">
      <c r="A1433">
        <v>768</v>
      </c>
      <c r="E1433">
        <f t="shared" si="482"/>
        <v>2</v>
      </c>
      <c r="F1433" s="5" t="s">
        <v>533</v>
      </c>
      <c r="G1433" s="5" t="s">
        <v>476</v>
      </c>
      <c r="H1433" s="5" t="s">
        <v>533</v>
      </c>
      <c r="I1433" s="7" t="s">
        <v>480</v>
      </c>
      <c r="J1433" t="str">
        <f t="shared" si="489"/>
        <v>4</v>
      </c>
      <c r="K1433" t="str">
        <f t="shared" si="490"/>
        <v>06</v>
      </c>
      <c r="L1433" t="str">
        <f t="shared" si="491"/>
        <v>4</v>
      </c>
      <c r="M1433" s="6" t="str">
        <f t="shared" si="492"/>
        <v>04</v>
      </c>
      <c r="N1433" t="s">
        <v>179</v>
      </c>
      <c r="O1433">
        <v>52</v>
      </c>
      <c r="P1433" t="s">
        <v>424</v>
      </c>
      <c r="Q1433" t="s">
        <v>15</v>
      </c>
      <c r="Y1433" t="str">
        <f t="shared" si="475"/>
        <v/>
      </c>
      <c r="Z1433" t="str">
        <f t="shared" si="476"/>
        <v/>
      </c>
      <c r="AC1433" t="str">
        <f t="shared" si="472"/>
        <v>Possession</v>
      </c>
      <c r="AD1433" t="str">
        <f t="shared" si="473"/>
        <v/>
      </c>
      <c r="AE1433" t="str">
        <f t="shared" si="474"/>
        <v/>
      </c>
      <c r="AF1433" t="str">
        <f t="shared" si="477"/>
        <v>Offensive</v>
      </c>
      <c r="AG1433">
        <f t="shared" si="483"/>
        <v>18981</v>
      </c>
      <c r="AH1433" t="str">
        <f t="shared" si="484"/>
        <v>Nelson</v>
      </c>
      <c r="AI1433" t="str">
        <f t="shared" si="485"/>
        <v>Velodrome</v>
      </c>
      <c r="AJ1433" s="18">
        <f t="shared" si="478"/>
        <v>2</v>
      </c>
      <c r="AP1433" s="18">
        <f t="shared" si="479"/>
        <v>0</v>
      </c>
      <c r="AQ1433">
        <f t="shared" si="480"/>
        <v>1080</v>
      </c>
      <c r="AR1433" s="23">
        <f t="shared" si="481"/>
        <v>1914</v>
      </c>
      <c r="AS1433">
        <f t="shared" si="486"/>
        <v>1909</v>
      </c>
      <c r="AT1433" s="21">
        <f t="shared" si="487"/>
        <v>1916</v>
      </c>
      <c r="AU1433" s="21"/>
      <c r="AV1433" s="21"/>
      <c r="AW1433" s="21"/>
    </row>
    <row r="1434" spans="1:49" x14ac:dyDescent="0.2">
      <c r="A1434">
        <v>768</v>
      </c>
      <c r="E1434">
        <f t="shared" si="482"/>
        <v>2</v>
      </c>
      <c r="J1434" t="str">
        <f t="shared" si="489"/>
        <v>4</v>
      </c>
      <c r="K1434" t="str">
        <f t="shared" si="490"/>
        <v>06</v>
      </c>
      <c r="L1434" t="str">
        <f t="shared" si="491"/>
        <v>4</v>
      </c>
      <c r="M1434" s="6" t="str">
        <f t="shared" si="492"/>
        <v>04</v>
      </c>
      <c r="N1434" t="str">
        <f t="shared" si="488"/>
        <v>Away</v>
      </c>
      <c r="O1434">
        <v>79</v>
      </c>
      <c r="P1434" t="s">
        <v>425</v>
      </c>
      <c r="Y1434" t="str">
        <f t="shared" si="475"/>
        <v/>
      </c>
      <c r="Z1434" t="str">
        <f t="shared" si="476"/>
        <v/>
      </c>
      <c r="AC1434" t="str">
        <f t="shared" si="472"/>
        <v>Possession</v>
      </c>
      <c r="AD1434" t="str">
        <f t="shared" si="473"/>
        <v/>
      </c>
      <c r="AE1434" t="str">
        <f t="shared" si="474"/>
        <v/>
      </c>
      <c r="AF1434" t="str">
        <f t="shared" si="477"/>
        <v>Defensive</v>
      </c>
      <c r="AG1434">
        <f t="shared" si="483"/>
        <v>18981</v>
      </c>
      <c r="AH1434" t="str">
        <f t="shared" si="484"/>
        <v>Nelson</v>
      </c>
      <c r="AI1434" t="str">
        <f t="shared" si="485"/>
        <v>Velodrome</v>
      </c>
      <c r="AJ1434" s="18">
        <f t="shared" si="478"/>
        <v>2</v>
      </c>
      <c r="AP1434" s="18">
        <f t="shared" si="479"/>
        <v>0</v>
      </c>
      <c r="AQ1434">
        <f t="shared" si="480"/>
        <v>1080</v>
      </c>
      <c r="AR1434" s="23">
        <f t="shared" si="481"/>
        <v>1914</v>
      </c>
      <c r="AS1434">
        <f t="shared" si="486"/>
        <v>1909</v>
      </c>
      <c r="AT1434" s="21">
        <f t="shared" si="487"/>
        <v>1916</v>
      </c>
      <c r="AU1434" s="21"/>
      <c r="AV1434" s="21"/>
      <c r="AW1434" s="21"/>
    </row>
    <row r="1435" spans="1:49" x14ac:dyDescent="0.2">
      <c r="A1435">
        <v>769</v>
      </c>
      <c r="E1435">
        <f t="shared" si="482"/>
        <v>2</v>
      </c>
      <c r="F1435" s="5" t="s">
        <v>533</v>
      </c>
      <c r="G1435" s="5" t="s">
        <v>480</v>
      </c>
      <c r="J1435" t="str">
        <f t="shared" si="489"/>
        <v>4</v>
      </c>
      <c r="K1435" t="str">
        <f t="shared" si="490"/>
        <v>04</v>
      </c>
      <c r="L1435" t="str">
        <f t="shared" si="491"/>
        <v/>
      </c>
      <c r="M1435" s="6" t="str">
        <f t="shared" si="492"/>
        <v/>
      </c>
      <c r="N1435" t="s">
        <v>179</v>
      </c>
      <c r="O1435">
        <v>52</v>
      </c>
      <c r="P1435" t="s">
        <v>424</v>
      </c>
      <c r="Q1435" t="s">
        <v>8</v>
      </c>
      <c r="R1435" t="s">
        <v>189</v>
      </c>
      <c r="S1435" t="s">
        <v>70</v>
      </c>
      <c r="Y1435" t="str">
        <f t="shared" si="475"/>
        <v/>
      </c>
      <c r="Z1435" t="str">
        <f t="shared" si="476"/>
        <v/>
      </c>
      <c r="AC1435" t="str">
        <f t="shared" si="472"/>
        <v>Pass</v>
      </c>
      <c r="AD1435" t="str">
        <f t="shared" si="473"/>
        <v>Pass_Completed</v>
      </c>
      <c r="AE1435" t="str">
        <f t="shared" si="474"/>
        <v>Pass-Forehand</v>
      </c>
      <c r="AF1435" t="str">
        <f t="shared" si="477"/>
        <v>Offensive</v>
      </c>
      <c r="AG1435">
        <f t="shared" si="483"/>
        <v>18981</v>
      </c>
      <c r="AH1435" t="str">
        <f t="shared" si="484"/>
        <v>Nelson</v>
      </c>
      <c r="AI1435" t="str">
        <f t="shared" si="485"/>
        <v>Velodrome</v>
      </c>
      <c r="AJ1435" s="18">
        <f t="shared" si="478"/>
        <v>0</v>
      </c>
      <c r="AP1435" s="18">
        <f t="shared" si="479"/>
        <v>0</v>
      </c>
      <c r="AQ1435">
        <f t="shared" si="480"/>
        <v>1080</v>
      </c>
      <c r="AR1435" s="23">
        <f t="shared" si="481"/>
        <v>1916</v>
      </c>
      <c r="AS1435">
        <f t="shared" si="486"/>
        <v>1911</v>
      </c>
      <c r="AT1435" s="21">
        <f t="shared" si="487"/>
        <v>1916</v>
      </c>
      <c r="AU1435" s="21"/>
      <c r="AV1435" s="21"/>
      <c r="AW1435" s="21"/>
    </row>
    <row r="1436" spans="1:49" x14ac:dyDescent="0.2">
      <c r="A1436">
        <v>769</v>
      </c>
      <c r="E1436">
        <f t="shared" si="482"/>
        <v>2</v>
      </c>
      <c r="F1436" s="5" t="s">
        <v>533</v>
      </c>
      <c r="G1436" s="5" t="s">
        <v>480</v>
      </c>
      <c r="H1436" s="5" t="s">
        <v>533</v>
      </c>
      <c r="I1436" s="7" t="s">
        <v>473</v>
      </c>
      <c r="J1436" t="str">
        <f t="shared" si="489"/>
        <v>4</v>
      </c>
      <c r="K1436" t="str">
        <f t="shared" si="490"/>
        <v>04</v>
      </c>
      <c r="L1436" t="str">
        <f t="shared" si="491"/>
        <v>4</v>
      </c>
      <c r="M1436" s="6" t="str">
        <f t="shared" si="492"/>
        <v>03</v>
      </c>
      <c r="N1436" t="str">
        <f t="shared" si="488"/>
        <v>Away</v>
      </c>
      <c r="O1436">
        <v>42</v>
      </c>
      <c r="P1436" t="s">
        <v>424</v>
      </c>
      <c r="Q1436" t="s">
        <v>277</v>
      </c>
      <c r="R1436" t="s">
        <v>201</v>
      </c>
      <c r="S1436" t="s">
        <v>90</v>
      </c>
      <c r="Y1436" t="str">
        <f t="shared" si="475"/>
        <v/>
      </c>
      <c r="Z1436" t="str">
        <f t="shared" si="476"/>
        <v/>
      </c>
      <c r="AC1436" t="str">
        <f t="shared" si="472"/>
        <v>Zone_Entry_Exit</v>
      </c>
      <c r="AD1436" t="str">
        <f t="shared" si="473"/>
        <v>Zone_Exit</v>
      </c>
      <c r="AE1436" t="str">
        <f t="shared" si="474"/>
        <v>ZoneExit-Rush</v>
      </c>
      <c r="AF1436" t="str">
        <f t="shared" si="477"/>
        <v>Offensive</v>
      </c>
      <c r="AG1436">
        <f t="shared" si="483"/>
        <v>18981</v>
      </c>
      <c r="AH1436" t="str">
        <f t="shared" si="484"/>
        <v>Nelson</v>
      </c>
      <c r="AI1436" t="str">
        <f t="shared" si="485"/>
        <v>Velodrome</v>
      </c>
      <c r="AJ1436" s="18">
        <f t="shared" si="478"/>
        <v>1</v>
      </c>
      <c r="AP1436" s="18">
        <f t="shared" si="479"/>
        <v>0</v>
      </c>
      <c r="AQ1436">
        <f t="shared" si="480"/>
        <v>1080</v>
      </c>
      <c r="AR1436" s="23">
        <f t="shared" si="481"/>
        <v>1916</v>
      </c>
      <c r="AS1436">
        <f t="shared" si="486"/>
        <v>1911</v>
      </c>
      <c r="AT1436" s="21">
        <f t="shared" si="487"/>
        <v>1917</v>
      </c>
      <c r="AU1436" s="21"/>
      <c r="AV1436" s="21"/>
      <c r="AW1436" s="21"/>
    </row>
    <row r="1437" spans="1:49" x14ac:dyDescent="0.2">
      <c r="A1437">
        <v>770</v>
      </c>
      <c r="E1437">
        <f t="shared" si="482"/>
        <v>2</v>
      </c>
      <c r="F1437" s="5" t="s">
        <v>533</v>
      </c>
      <c r="G1437" s="5" t="s">
        <v>473</v>
      </c>
      <c r="H1437" s="5" t="s">
        <v>533</v>
      </c>
      <c r="I1437" s="7" t="s">
        <v>474</v>
      </c>
      <c r="J1437" t="str">
        <f t="shared" si="489"/>
        <v>4</v>
      </c>
      <c r="K1437" t="str">
        <f t="shared" si="490"/>
        <v>03</v>
      </c>
      <c r="L1437" t="str">
        <f t="shared" si="491"/>
        <v>4</v>
      </c>
      <c r="M1437" s="6" t="str">
        <f t="shared" si="492"/>
        <v>02</v>
      </c>
      <c r="N1437" t="s">
        <v>179</v>
      </c>
      <c r="O1437">
        <v>42</v>
      </c>
      <c r="P1437" t="s">
        <v>424</v>
      </c>
      <c r="Q1437" t="s">
        <v>15</v>
      </c>
      <c r="Y1437" t="str">
        <f t="shared" si="475"/>
        <v/>
      </c>
      <c r="Z1437" t="str">
        <f t="shared" si="476"/>
        <v/>
      </c>
      <c r="AC1437" t="str">
        <f t="shared" si="472"/>
        <v>Possession</v>
      </c>
      <c r="AD1437" t="str">
        <f t="shared" si="473"/>
        <v/>
      </c>
      <c r="AE1437" t="str">
        <f t="shared" si="474"/>
        <v/>
      </c>
      <c r="AF1437" t="str">
        <f t="shared" si="477"/>
        <v>Offensive</v>
      </c>
      <c r="AG1437">
        <f t="shared" si="483"/>
        <v>18981</v>
      </c>
      <c r="AH1437" t="str">
        <f t="shared" si="484"/>
        <v>Nelson</v>
      </c>
      <c r="AI1437" t="str">
        <f t="shared" si="485"/>
        <v>Velodrome</v>
      </c>
      <c r="AJ1437" s="18">
        <f t="shared" si="478"/>
        <v>1</v>
      </c>
      <c r="AP1437" s="18">
        <f t="shared" si="479"/>
        <v>0</v>
      </c>
      <c r="AQ1437">
        <f t="shared" si="480"/>
        <v>1080</v>
      </c>
      <c r="AR1437" s="23">
        <f t="shared" si="481"/>
        <v>1917</v>
      </c>
      <c r="AS1437">
        <f t="shared" si="486"/>
        <v>1912</v>
      </c>
      <c r="AT1437" s="21">
        <f t="shared" si="487"/>
        <v>1918</v>
      </c>
      <c r="AU1437" s="21"/>
      <c r="AV1437" s="21"/>
      <c r="AW1437" s="21"/>
    </row>
    <row r="1438" spans="1:49" x14ac:dyDescent="0.2">
      <c r="A1438">
        <v>771</v>
      </c>
      <c r="E1438">
        <f t="shared" si="482"/>
        <v>2</v>
      </c>
      <c r="F1438" s="5" t="s">
        <v>533</v>
      </c>
      <c r="G1438" s="5" t="s">
        <v>474</v>
      </c>
      <c r="J1438" t="str">
        <f t="shared" si="489"/>
        <v>4</v>
      </c>
      <c r="K1438" t="str">
        <f t="shared" si="490"/>
        <v>02</v>
      </c>
      <c r="L1438" t="str">
        <f t="shared" si="491"/>
        <v/>
      </c>
      <c r="M1438" s="6" t="str">
        <f t="shared" si="492"/>
        <v/>
      </c>
      <c r="N1438" t="s">
        <v>179</v>
      </c>
      <c r="O1438">
        <v>42</v>
      </c>
      <c r="P1438" t="s">
        <v>424</v>
      </c>
      <c r="Q1438" t="s">
        <v>8</v>
      </c>
      <c r="R1438" t="s">
        <v>199</v>
      </c>
      <c r="S1438" t="s">
        <v>572</v>
      </c>
      <c r="Y1438" t="str">
        <f t="shared" si="475"/>
        <v/>
      </c>
      <c r="Z1438" t="str">
        <f t="shared" si="476"/>
        <v/>
      </c>
      <c r="AC1438" t="str">
        <f t="shared" si="472"/>
        <v>Pass</v>
      </c>
      <c r="AD1438" t="str">
        <f t="shared" si="473"/>
        <v>Pass_Missed</v>
      </c>
      <c r="AE1438" t="str">
        <f t="shared" si="474"/>
        <v>Pass-ReceiverMissed</v>
      </c>
      <c r="AF1438" t="str">
        <f t="shared" si="477"/>
        <v>Offensive</v>
      </c>
      <c r="AG1438">
        <f t="shared" si="483"/>
        <v>18981</v>
      </c>
      <c r="AH1438" t="str">
        <f t="shared" si="484"/>
        <v>Nelson</v>
      </c>
      <c r="AI1438" t="str">
        <f t="shared" si="485"/>
        <v>Velodrome</v>
      </c>
      <c r="AJ1438" s="18">
        <f t="shared" si="478"/>
        <v>0</v>
      </c>
      <c r="AP1438" s="18">
        <f t="shared" si="479"/>
        <v>0</v>
      </c>
      <c r="AQ1438">
        <f t="shared" si="480"/>
        <v>1080</v>
      </c>
      <c r="AR1438" s="23">
        <f t="shared" si="481"/>
        <v>1918</v>
      </c>
      <c r="AS1438">
        <f t="shared" si="486"/>
        <v>1913</v>
      </c>
      <c r="AT1438" s="21">
        <f t="shared" si="487"/>
        <v>1918</v>
      </c>
      <c r="AU1438" s="21"/>
      <c r="AV1438" s="21"/>
      <c r="AW1438" s="21"/>
    </row>
    <row r="1439" spans="1:49" x14ac:dyDescent="0.2">
      <c r="A1439">
        <v>771</v>
      </c>
      <c r="E1439">
        <f t="shared" si="482"/>
        <v>2</v>
      </c>
      <c r="J1439" t="str">
        <f t="shared" si="489"/>
        <v>4</v>
      </c>
      <c r="K1439" t="str">
        <f t="shared" si="490"/>
        <v>02</v>
      </c>
      <c r="L1439" t="str">
        <f t="shared" si="491"/>
        <v/>
      </c>
      <c r="M1439" s="6" t="str">
        <f t="shared" si="492"/>
        <v/>
      </c>
      <c r="N1439" t="str">
        <f t="shared" si="488"/>
        <v>Away</v>
      </c>
      <c r="O1439">
        <v>91</v>
      </c>
      <c r="P1439" t="s">
        <v>424</v>
      </c>
      <c r="Y1439" t="str">
        <f t="shared" si="475"/>
        <v/>
      </c>
      <c r="Z1439" t="str">
        <f t="shared" si="476"/>
        <v/>
      </c>
      <c r="AC1439" t="str">
        <f t="shared" si="472"/>
        <v>Pass</v>
      </c>
      <c r="AD1439" t="str">
        <f t="shared" si="473"/>
        <v>Pass_Missed</v>
      </c>
      <c r="AE1439" t="str">
        <f t="shared" si="474"/>
        <v>Pass-ReceiverMissed</v>
      </c>
      <c r="AF1439" t="str">
        <f t="shared" si="477"/>
        <v>Offensive</v>
      </c>
      <c r="AG1439">
        <f t="shared" si="483"/>
        <v>18981</v>
      </c>
      <c r="AH1439" t="str">
        <f t="shared" si="484"/>
        <v>Nelson</v>
      </c>
      <c r="AI1439" t="str">
        <f t="shared" si="485"/>
        <v>Velodrome</v>
      </c>
      <c r="AJ1439" s="18">
        <f t="shared" si="478"/>
        <v>0</v>
      </c>
      <c r="AP1439" s="18">
        <f t="shared" si="479"/>
        <v>0</v>
      </c>
      <c r="AQ1439">
        <f t="shared" si="480"/>
        <v>1080</v>
      </c>
      <c r="AR1439" s="23">
        <f t="shared" si="481"/>
        <v>1918</v>
      </c>
      <c r="AS1439">
        <f t="shared" si="486"/>
        <v>1913</v>
      </c>
      <c r="AT1439" s="21">
        <f t="shared" si="487"/>
        <v>1918</v>
      </c>
      <c r="AU1439" s="21"/>
      <c r="AV1439" s="21"/>
      <c r="AW1439" s="21"/>
    </row>
    <row r="1440" spans="1:49" x14ac:dyDescent="0.2">
      <c r="A1440">
        <v>772</v>
      </c>
      <c r="E1440">
        <f t="shared" si="482"/>
        <v>2</v>
      </c>
      <c r="F1440" s="5" t="s">
        <v>533</v>
      </c>
      <c r="G1440" s="5" t="s">
        <v>474</v>
      </c>
      <c r="J1440" t="str">
        <f t="shared" si="489"/>
        <v>4</v>
      </c>
      <c r="K1440" t="str">
        <f t="shared" si="490"/>
        <v>02</v>
      </c>
      <c r="L1440" t="str">
        <f t="shared" si="491"/>
        <v/>
      </c>
      <c r="M1440" s="6" t="str">
        <f t="shared" si="492"/>
        <v/>
      </c>
      <c r="N1440" t="s">
        <v>179</v>
      </c>
      <c r="O1440">
        <v>42</v>
      </c>
      <c r="P1440" t="s">
        <v>424</v>
      </c>
      <c r="Q1440" t="s">
        <v>277</v>
      </c>
      <c r="R1440" t="s">
        <v>191</v>
      </c>
      <c r="S1440" t="s">
        <v>447</v>
      </c>
      <c r="Y1440" t="str">
        <f t="shared" si="475"/>
        <v/>
      </c>
      <c r="Z1440" t="str">
        <f t="shared" si="476"/>
        <v/>
      </c>
      <c r="AC1440" t="str">
        <f t="shared" si="472"/>
        <v>Zone_Entry_Exit</v>
      </c>
      <c r="AD1440" t="str">
        <f t="shared" si="473"/>
        <v>Zone_Entry</v>
      </c>
      <c r="AE1440" t="str">
        <f t="shared" si="474"/>
        <v>ZoneEntry-PassMiss/Misplay</v>
      </c>
      <c r="AF1440" t="str">
        <f t="shared" si="477"/>
        <v>Offensive</v>
      </c>
      <c r="AG1440">
        <f t="shared" si="483"/>
        <v>18981</v>
      </c>
      <c r="AH1440" t="str">
        <f t="shared" si="484"/>
        <v>Nelson</v>
      </c>
      <c r="AI1440" t="str">
        <f t="shared" si="485"/>
        <v>Velodrome</v>
      </c>
      <c r="AJ1440" s="18">
        <f t="shared" si="478"/>
        <v>0</v>
      </c>
      <c r="AP1440" s="18">
        <f t="shared" si="479"/>
        <v>0</v>
      </c>
      <c r="AQ1440">
        <f t="shared" si="480"/>
        <v>1080</v>
      </c>
      <c r="AR1440" s="23">
        <f t="shared" si="481"/>
        <v>1918</v>
      </c>
      <c r="AS1440">
        <f t="shared" si="486"/>
        <v>1913</v>
      </c>
      <c r="AT1440" s="21">
        <f t="shared" si="487"/>
        <v>1918</v>
      </c>
      <c r="AU1440" s="21"/>
      <c r="AV1440" s="21"/>
      <c r="AW1440" s="21"/>
    </row>
    <row r="1441" spans="1:49" x14ac:dyDescent="0.2">
      <c r="A1441">
        <v>772</v>
      </c>
      <c r="E1441">
        <f t="shared" si="482"/>
        <v>2</v>
      </c>
      <c r="J1441" t="str">
        <f t="shared" si="489"/>
        <v>4</v>
      </c>
      <c r="K1441" t="str">
        <f t="shared" si="490"/>
        <v>02</v>
      </c>
      <c r="L1441" t="str">
        <f t="shared" si="491"/>
        <v/>
      </c>
      <c r="M1441" s="6" t="str">
        <f t="shared" si="492"/>
        <v/>
      </c>
      <c r="N1441" t="str">
        <f t="shared" si="488"/>
        <v>Away</v>
      </c>
      <c r="O1441">
        <v>91</v>
      </c>
      <c r="P1441" t="s">
        <v>424</v>
      </c>
      <c r="Y1441" t="str">
        <f t="shared" si="475"/>
        <v/>
      </c>
      <c r="Z1441" t="str">
        <f t="shared" si="476"/>
        <v/>
      </c>
      <c r="AC1441" t="str">
        <f t="shared" si="472"/>
        <v>Zone_Entry_Exit</v>
      </c>
      <c r="AD1441" t="str">
        <f t="shared" si="473"/>
        <v>Zone_Entry</v>
      </c>
      <c r="AE1441" t="str">
        <f t="shared" si="474"/>
        <v>ZoneEntry-PassMiss/Misplay</v>
      </c>
      <c r="AF1441" t="str">
        <f t="shared" si="477"/>
        <v>Offensive</v>
      </c>
      <c r="AG1441">
        <f t="shared" si="483"/>
        <v>18981</v>
      </c>
      <c r="AH1441" t="str">
        <f t="shared" si="484"/>
        <v>Nelson</v>
      </c>
      <c r="AI1441" t="str">
        <f t="shared" si="485"/>
        <v>Velodrome</v>
      </c>
      <c r="AJ1441" s="18">
        <f t="shared" si="478"/>
        <v>0</v>
      </c>
      <c r="AP1441" s="18">
        <f t="shared" si="479"/>
        <v>0</v>
      </c>
      <c r="AQ1441">
        <f t="shared" si="480"/>
        <v>1080</v>
      </c>
      <c r="AR1441" s="23">
        <f t="shared" si="481"/>
        <v>1918</v>
      </c>
      <c r="AS1441">
        <f t="shared" si="486"/>
        <v>1913</v>
      </c>
      <c r="AT1441" s="21">
        <f t="shared" si="487"/>
        <v>1918</v>
      </c>
      <c r="AU1441" s="21"/>
      <c r="AV1441" s="21"/>
      <c r="AW1441" s="21"/>
    </row>
    <row r="1442" spans="1:49" x14ac:dyDescent="0.2">
      <c r="A1442">
        <v>772</v>
      </c>
      <c r="E1442">
        <f t="shared" si="482"/>
        <v>2</v>
      </c>
      <c r="J1442" t="str">
        <f t="shared" si="489"/>
        <v>4</v>
      </c>
      <c r="K1442" t="str">
        <f t="shared" si="490"/>
        <v>02</v>
      </c>
      <c r="L1442" t="str">
        <f t="shared" si="491"/>
        <v/>
      </c>
      <c r="M1442" s="6" t="str">
        <f t="shared" si="492"/>
        <v/>
      </c>
      <c r="N1442" t="str">
        <f t="shared" si="488"/>
        <v>Away</v>
      </c>
      <c r="O1442">
        <v>23</v>
      </c>
      <c r="P1442" t="s">
        <v>425</v>
      </c>
      <c r="Y1442" t="str">
        <f t="shared" si="475"/>
        <v/>
      </c>
      <c r="Z1442" t="str">
        <f t="shared" si="476"/>
        <v/>
      </c>
      <c r="AC1442" t="str">
        <f t="shared" si="472"/>
        <v>Zone_Entry_Exit</v>
      </c>
      <c r="AD1442" t="str">
        <f t="shared" si="473"/>
        <v>Zone_Entry</v>
      </c>
      <c r="AE1442" t="str">
        <f t="shared" si="474"/>
        <v>ZoneEntry-PassMiss/Misplay</v>
      </c>
      <c r="AF1442" t="str">
        <f t="shared" si="477"/>
        <v>Defensive</v>
      </c>
      <c r="AG1442">
        <f t="shared" si="483"/>
        <v>18981</v>
      </c>
      <c r="AH1442" t="str">
        <f t="shared" si="484"/>
        <v>Nelson</v>
      </c>
      <c r="AI1442" t="str">
        <f t="shared" si="485"/>
        <v>Velodrome</v>
      </c>
      <c r="AJ1442" s="18">
        <f t="shared" si="478"/>
        <v>0</v>
      </c>
      <c r="AP1442" s="18">
        <f t="shared" si="479"/>
        <v>0</v>
      </c>
      <c r="AQ1442">
        <f t="shared" si="480"/>
        <v>1080</v>
      </c>
      <c r="AR1442" s="23">
        <f t="shared" si="481"/>
        <v>1918</v>
      </c>
      <c r="AS1442">
        <f t="shared" si="486"/>
        <v>1913</v>
      </c>
      <c r="AT1442" s="21">
        <f t="shared" si="487"/>
        <v>1918</v>
      </c>
      <c r="AU1442" s="21"/>
      <c r="AV1442" s="21"/>
      <c r="AW1442" s="21"/>
    </row>
    <row r="1443" spans="1:49" x14ac:dyDescent="0.2">
      <c r="A1443">
        <v>772</v>
      </c>
      <c r="E1443">
        <f t="shared" si="482"/>
        <v>2</v>
      </c>
      <c r="J1443" t="str">
        <f t="shared" si="489"/>
        <v>4</v>
      </c>
      <c r="K1443" t="str">
        <f t="shared" si="490"/>
        <v>02</v>
      </c>
      <c r="L1443" t="str">
        <f t="shared" si="491"/>
        <v/>
      </c>
      <c r="M1443" s="6" t="str">
        <f t="shared" si="492"/>
        <v/>
      </c>
      <c r="N1443" t="str">
        <f t="shared" si="488"/>
        <v>Away</v>
      </c>
      <c r="O1443">
        <v>37</v>
      </c>
      <c r="P1443" t="s">
        <v>425</v>
      </c>
      <c r="Y1443" t="str">
        <f t="shared" si="475"/>
        <v/>
      </c>
      <c r="Z1443" t="str">
        <f t="shared" si="476"/>
        <v/>
      </c>
      <c r="AC1443" t="str">
        <f t="shared" si="472"/>
        <v>Zone_Entry_Exit</v>
      </c>
      <c r="AD1443" t="str">
        <f t="shared" si="473"/>
        <v>Zone_Entry</v>
      </c>
      <c r="AE1443" t="str">
        <f t="shared" si="474"/>
        <v>ZoneEntry-PassMiss/Misplay</v>
      </c>
      <c r="AF1443" t="str">
        <f t="shared" si="477"/>
        <v>Defensive</v>
      </c>
      <c r="AG1443">
        <f t="shared" si="483"/>
        <v>18981</v>
      </c>
      <c r="AH1443" t="str">
        <f t="shared" si="484"/>
        <v>Nelson</v>
      </c>
      <c r="AI1443" t="str">
        <f t="shared" si="485"/>
        <v>Velodrome</v>
      </c>
      <c r="AJ1443" s="18">
        <f t="shared" si="478"/>
        <v>0</v>
      </c>
      <c r="AP1443" s="18">
        <f t="shared" si="479"/>
        <v>0</v>
      </c>
      <c r="AQ1443">
        <f t="shared" si="480"/>
        <v>1080</v>
      </c>
      <c r="AR1443" s="23">
        <f t="shared" si="481"/>
        <v>1918</v>
      </c>
      <c r="AS1443">
        <f t="shared" si="486"/>
        <v>1913</v>
      </c>
      <c r="AT1443" s="21">
        <f t="shared" si="487"/>
        <v>1918</v>
      </c>
      <c r="AU1443" s="21"/>
      <c r="AV1443" s="21"/>
      <c r="AW1443" s="21"/>
    </row>
    <row r="1444" spans="1:49" x14ac:dyDescent="0.2">
      <c r="A1444">
        <v>773</v>
      </c>
      <c r="E1444">
        <f t="shared" si="482"/>
        <v>2</v>
      </c>
      <c r="F1444" s="5" t="s">
        <v>531</v>
      </c>
      <c r="G1444" s="5" t="s">
        <v>530</v>
      </c>
      <c r="H1444" s="5" t="s">
        <v>531</v>
      </c>
      <c r="I1444" s="7" t="s">
        <v>528</v>
      </c>
      <c r="J1444" t="str">
        <f t="shared" si="489"/>
        <v>3</v>
      </c>
      <c r="K1444" t="str">
        <f t="shared" si="490"/>
        <v>58</v>
      </c>
      <c r="L1444" t="str">
        <f t="shared" si="491"/>
        <v>3</v>
      </c>
      <c r="M1444" s="6" t="str">
        <f t="shared" si="492"/>
        <v>56</v>
      </c>
      <c r="N1444" t="s">
        <v>179</v>
      </c>
      <c r="O1444">
        <v>91</v>
      </c>
      <c r="P1444" t="s">
        <v>424</v>
      </c>
      <c r="Q1444" t="s">
        <v>15</v>
      </c>
      <c r="Y1444" t="str">
        <f t="shared" si="475"/>
        <v/>
      </c>
      <c r="Z1444" t="str">
        <f t="shared" si="476"/>
        <v/>
      </c>
      <c r="AC1444" t="str">
        <f t="shared" si="472"/>
        <v>Possession</v>
      </c>
      <c r="AD1444" t="str">
        <f t="shared" si="473"/>
        <v/>
      </c>
      <c r="AE1444" t="str">
        <f t="shared" si="474"/>
        <v/>
      </c>
      <c r="AF1444" t="str">
        <f t="shared" si="477"/>
        <v>Offensive</v>
      </c>
      <c r="AG1444">
        <f t="shared" si="483"/>
        <v>18981</v>
      </c>
      <c r="AH1444" t="str">
        <f t="shared" si="484"/>
        <v>Nelson</v>
      </c>
      <c r="AI1444" t="str">
        <f t="shared" si="485"/>
        <v>Velodrome</v>
      </c>
      <c r="AJ1444" s="18">
        <f t="shared" si="478"/>
        <v>2</v>
      </c>
      <c r="AP1444" s="18">
        <f t="shared" si="479"/>
        <v>0</v>
      </c>
      <c r="AQ1444">
        <f t="shared" si="480"/>
        <v>1080</v>
      </c>
      <c r="AR1444" s="23">
        <f t="shared" si="481"/>
        <v>1922</v>
      </c>
      <c r="AS1444">
        <f t="shared" si="486"/>
        <v>1917</v>
      </c>
      <c r="AT1444" s="21">
        <f t="shared" si="487"/>
        <v>1924</v>
      </c>
      <c r="AU1444" s="21"/>
      <c r="AV1444" s="21"/>
      <c r="AW1444" s="21"/>
    </row>
    <row r="1445" spans="1:49" x14ac:dyDescent="0.2">
      <c r="A1445">
        <v>773</v>
      </c>
      <c r="E1445">
        <f t="shared" si="482"/>
        <v>2</v>
      </c>
      <c r="J1445" t="str">
        <f t="shared" si="489"/>
        <v>3</v>
      </c>
      <c r="K1445" t="str">
        <f t="shared" si="490"/>
        <v>58</v>
      </c>
      <c r="L1445" t="str">
        <f t="shared" si="491"/>
        <v>3</v>
      </c>
      <c r="M1445" s="6" t="str">
        <f t="shared" si="492"/>
        <v>56</v>
      </c>
      <c r="N1445" t="str">
        <f t="shared" si="488"/>
        <v>Away</v>
      </c>
      <c r="O1445">
        <v>23</v>
      </c>
      <c r="P1445" t="s">
        <v>425</v>
      </c>
      <c r="Y1445" t="str">
        <f t="shared" si="475"/>
        <v/>
      </c>
      <c r="Z1445" t="str">
        <f t="shared" si="476"/>
        <v/>
      </c>
      <c r="AC1445" t="str">
        <f t="shared" si="472"/>
        <v>Possession</v>
      </c>
      <c r="AD1445" t="str">
        <f t="shared" si="473"/>
        <v/>
      </c>
      <c r="AE1445" t="str">
        <f t="shared" si="474"/>
        <v/>
      </c>
      <c r="AF1445" t="str">
        <f t="shared" si="477"/>
        <v>Defensive</v>
      </c>
      <c r="AG1445">
        <f t="shared" si="483"/>
        <v>18981</v>
      </c>
      <c r="AH1445" t="str">
        <f t="shared" si="484"/>
        <v>Nelson</v>
      </c>
      <c r="AI1445" t="str">
        <f t="shared" si="485"/>
        <v>Velodrome</v>
      </c>
      <c r="AJ1445" s="18">
        <f t="shared" si="478"/>
        <v>2</v>
      </c>
      <c r="AP1445" s="18">
        <f t="shared" si="479"/>
        <v>0</v>
      </c>
      <c r="AQ1445">
        <f t="shared" si="480"/>
        <v>1080</v>
      </c>
      <c r="AR1445" s="23">
        <f t="shared" si="481"/>
        <v>1922</v>
      </c>
      <c r="AS1445">
        <f t="shared" si="486"/>
        <v>1917</v>
      </c>
      <c r="AT1445" s="21">
        <f t="shared" si="487"/>
        <v>1924</v>
      </c>
      <c r="AU1445" s="21"/>
      <c r="AV1445" s="21"/>
      <c r="AW1445" s="21"/>
    </row>
    <row r="1446" spans="1:49" x14ac:dyDescent="0.2">
      <c r="A1446">
        <v>774</v>
      </c>
      <c r="E1446">
        <f t="shared" si="482"/>
        <v>2</v>
      </c>
      <c r="F1446" s="5" t="s">
        <v>531</v>
      </c>
      <c r="G1446" s="5" t="s">
        <v>528</v>
      </c>
      <c r="J1446" t="str">
        <f t="shared" si="489"/>
        <v>3</v>
      </c>
      <c r="K1446" t="str">
        <f t="shared" si="490"/>
        <v>56</v>
      </c>
      <c r="L1446" t="str">
        <f t="shared" si="491"/>
        <v/>
      </c>
      <c r="M1446" s="6" t="str">
        <f t="shared" si="492"/>
        <v/>
      </c>
      <c r="N1446" t="s">
        <v>179</v>
      </c>
      <c r="O1446">
        <v>91</v>
      </c>
      <c r="P1446" t="s">
        <v>424</v>
      </c>
      <c r="Q1446" t="s">
        <v>8</v>
      </c>
      <c r="R1446" t="s">
        <v>209</v>
      </c>
      <c r="S1446" t="s">
        <v>70</v>
      </c>
      <c r="Y1446" t="str">
        <f t="shared" si="475"/>
        <v/>
      </c>
      <c r="Z1446" t="str">
        <f t="shared" si="476"/>
        <v/>
      </c>
      <c r="AC1446" t="str">
        <f t="shared" si="472"/>
        <v>Pass</v>
      </c>
      <c r="AD1446" t="str">
        <f t="shared" si="473"/>
        <v>Pass_Deflected</v>
      </c>
      <c r="AE1446" t="str">
        <f t="shared" si="474"/>
        <v>Pass-Forehand</v>
      </c>
      <c r="AF1446" t="str">
        <f t="shared" si="477"/>
        <v>Offensive</v>
      </c>
      <c r="AG1446">
        <f t="shared" si="483"/>
        <v>18981</v>
      </c>
      <c r="AH1446" t="str">
        <f t="shared" si="484"/>
        <v>Nelson</v>
      </c>
      <c r="AI1446" t="str">
        <f t="shared" si="485"/>
        <v>Velodrome</v>
      </c>
      <c r="AJ1446" s="18">
        <f t="shared" si="478"/>
        <v>0</v>
      </c>
      <c r="AP1446" s="18">
        <f t="shared" si="479"/>
        <v>0</v>
      </c>
      <c r="AQ1446">
        <f t="shared" si="480"/>
        <v>1080</v>
      </c>
      <c r="AR1446" s="23">
        <f t="shared" si="481"/>
        <v>1924</v>
      </c>
      <c r="AS1446">
        <f t="shared" si="486"/>
        <v>1919</v>
      </c>
      <c r="AT1446" s="21">
        <f t="shared" si="487"/>
        <v>1924</v>
      </c>
      <c r="AU1446" s="21"/>
      <c r="AV1446" s="21"/>
      <c r="AW1446" s="21"/>
    </row>
    <row r="1447" spans="1:49" x14ac:dyDescent="0.2">
      <c r="A1447">
        <v>774</v>
      </c>
      <c r="E1447">
        <f t="shared" si="482"/>
        <v>2</v>
      </c>
      <c r="J1447" t="str">
        <f t="shared" si="489"/>
        <v>3</v>
      </c>
      <c r="K1447" t="str">
        <f t="shared" si="490"/>
        <v>56</v>
      </c>
      <c r="L1447" t="str">
        <f t="shared" si="491"/>
        <v/>
      </c>
      <c r="M1447" s="6" t="str">
        <f t="shared" si="492"/>
        <v/>
      </c>
      <c r="N1447" t="str">
        <f t="shared" si="488"/>
        <v>Away</v>
      </c>
      <c r="O1447">
        <v>52</v>
      </c>
      <c r="P1447" t="s">
        <v>424</v>
      </c>
      <c r="Y1447" t="str">
        <f t="shared" si="475"/>
        <v/>
      </c>
      <c r="Z1447" t="str">
        <f t="shared" si="476"/>
        <v/>
      </c>
      <c r="AC1447" t="str">
        <f t="shared" si="472"/>
        <v>Pass</v>
      </c>
      <c r="AD1447" t="str">
        <f t="shared" si="473"/>
        <v>Pass_Deflected</v>
      </c>
      <c r="AE1447" t="str">
        <f t="shared" si="474"/>
        <v>Pass-Forehand</v>
      </c>
      <c r="AF1447" t="str">
        <f t="shared" si="477"/>
        <v>Offensive</v>
      </c>
      <c r="AG1447">
        <f t="shared" si="483"/>
        <v>18981</v>
      </c>
      <c r="AH1447" t="str">
        <f t="shared" si="484"/>
        <v>Nelson</v>
      </c>
      <c r="AI1447" t="str">
        <f t="shared" si="485"/>
        <v>Velodrome</v>
      </c>
      <c r="AJ1447" s="18">
        <f t="shared" si="478"/>
        <v>0</v>
      </c>
      <c r="AP1447" s="18">
        <f t="shared" si="479"/>
        <v>0</v>
      </c>
      <c r="AQ1447">
        <f t="shared" si="480"/>
        <v>1080</v>
      </c>
      <c r="AR1447" s="23">
        <f t="shared" si="481"/>
        <v>1924</v>
      </c>
      <c r="AS1447">
        <f t="shared" si="486"/>
        <v>1919</v>
      </c>
      <c r="AT1447" s="21">
        <f t="shared" si="487"/>
        <v>1924</v>
      </c>
      <c r="AU1447" s="21"/>
      <c r="AV1447" s="21"/>
      <c r="AW1447" s="21"/>
    </row>
    <row r="1448" spans="1:49" x14ac:dyDescent="0.2">
      <c r="A1448">
        <v>774</v>
      </c>
      <c r="E1448">
        <f t="shared" si="482"/>
        <v>2</v>
      </c>
      <c r="J1448" t="str">
        <f t="shared" si="489"/>
        <v>3</v>
      </c>
      <c r="K1448" t="str">
        <f t="shared" si="490"/>
        <v>56</v>
      </c>
      <c r="L1448" t="str">
        <f t="shared" si="491"/>
        <v/>
      </c>
      <c r="M1448" s="6" t="str">
        <f t="shared" si="492"/>
        <v/>
      </c>
      <c r="N1448" t="str">
        <f t="shared" si="488"/>
        <v>Away</v>
      </c>
      <c r="O1448">
        <v>15</v>
      </c>
      <c r="P1448" t="s">
        <v>425</v>
      </c>
      <c r="Y1448" t="str">
        <f t="shared" si="475"/>
        <v/>
      </c>
      <c r="Z1448" t="str">
        <f t="shared" si="476"/>
        <v/>
      </c>
      <c r="AC1448" t="str">
        <f t="shared" si="472"/>
        <v>Pass</v>
      </c>
      <c r="AD1448" t="str">
        <f t="shared" si="473"/>
        <v>Pass_Deflected</v>
      </c>
      <c r="AE1448" t="str">
        <f t="shared" si="474"/>
        <v>Pass-Forehand</v>
      </c>
      <c r="AF1448" t="str">
        <f t="shared" si="477"/>
        <v>Defensive</v>
      </c>
      <c r="AG1448">
        <f t="shared" si="483"/>
        <v>18981</v>
      </c>
      <c r="AH1448" t="str">
        <f t="shared" si="484"/>
        <v>Nelson</v>
      </c>
      <c r="AI1448" t="str">
        <f t="shared" si="485"/>
        <v>Velodrome</v>
      </c>
      <c r="AJ1448" s="18">
        <f t="shared" si="478"/>
        <v>0</v>
      </c>
      <c r="AP1448" s="18">
        <f t="shared" si="479"/>
        <v>0</v>
      </c>
      <c r="AQ1448">
        <f t="shared" si="480"/>
        <v>1080</v>
      </c>
      <c r="AR1448" s="23">
        <f t="shared" si="481"/>
        <v>1924</v>
      </c>
      <c r="AS1448">
        <f t="shared" si="486"/>
        <v>1919</v>
      </c>
      <c r="AT1448" s="21">
        <f t="shared" si="487"/>
        <v>1924</v>
      </c>
      <c r="AU1448" s="21"/>
      <c r="AV1448" s="21"/>
      <c r="AW1448" s="21"/>
    </row>
    <row r="1449" spans="1:49" x14ac:dyDescent="0.2">
      <c r="A1449">
        <v>775</v>
      </c>
      <c r="E1449">
        <f t="shared" si="482"/>
        <v>2</v>
      </c>
      <c r="F1449" s="5" t="s">
        <v>531</v>
      </c>
      <c r="G1449" s="5" t="s">
        <v>528</v>
      </c>
      <c r="J1449" t="str">
        <f t="shared" si="489"/>
        <v>3</v>
      </c>
      <c r="K1449" t="str">
        <f t="shared" si="490"/>
        <v>56</v>
      </c>
      <c r="L1449" t="str">
        <f t="shared" si="491"/>
        <v/>
      </c>
      <c r="M1449" s="6" t="str">
        <f t="shared" si="492"/>
        <v/>
      </c>
      <c r="N1449" t="s">
        <v>179</v>
      </c>
      <c r="O1449">
        <v>91</v>
      </c>
      <c r="P1449" t="s">
        <v>424</v>
      </c>
      <c r="Q1449" t="s">
        <v>10</v>
      </c>
      <c r="R1449" t="s">
        <v>190</v>
      </c>
      <c r="S1449" t="s">
        <v>77</v>
      </c>
      <c r="Y1449" t="str">
        <f t="shared" si="475"/>
        <v/>
      </c>
      <c r="Z1449" t="str">
        <f t="shared" si="476"/>
        <v/>
      </c>
      <c r="AC1449" t="str">
        <f t="shared" si="472"/>
        <v>Turnover</v>
      </c>
      <c r="AD1449" t="str">
        <f t="shared" si="473"/>
        <v>Turnover_Giveaway</v>
      </c>
      <c r="AE1449" t="str">
        <f t="shared" si="474"/>
        <v>Giveaway-PassBlocked</v>
      </c>
      <c r="AF1449" t="str">
        <f t="shared" si="477"/>
        <v>Offensive</v>
      </c>
      <c r="AG1449">
        <f t="shared" si="483"/>
        <v>18981</v>
      </c>
      <c r="AH1449" t="str">
        <f t="shared" si="484"/>
        <v>Nelson</v>
      </c>
      <c r="AI1449" t="str">
        <f t="shared" si="485"/>
        <v>Velodrome</v>
      </c>
      <c r="AJ1449" s="18">
        <f t="shared" si="478"/>
        <v>0</v>
      </c>
      <c r="AP1449" s="18">
        <f t="shared" si="479"/>
        <v>0</v>
      </c>
      <c r="AQ1449">
        <f t="shared" si="480"/>
        <v>1080</v>
      </c>
      <c r="AR1449" s="23">
        <f t="shared" si="481"/>
        <v>1924</v>
      </c>
      <c r="AS1449">
        <f t="shared" si="486"/>
        <v>1919</v>
      </c>
      <c r="AT1449" s="21">
        <f t="shared" si="487"/>
        <v>1924</v>
      </c>
      <c r="AU1449" s="21"/>
      <c r="AV1449" s="21"/>
      <c r="AW1449" s="21"/>
    </row>
    <row r="1450" spans="1:49" x14ac:dyDescent="0.2">
      <c r="A1450">
        <v>776</v>
      </c>
      <c r="E1450">
        <f t="shared" si="482"/>
        <v>2</v>
      </c>
      <c r="F1450" s="5" t="s">
        <v>531</v>
      </c>
      <c r="G1450" s="5" t="s">
        <v>525</v>
      </c>
      <c r="H1450" s="5" t="s">
        <v>531</v>
      </c>
      <c r="I1450" s="7" t="s">
        <v>524</v>
      </c>
      <c r="J1450" t="str">
        <f t="shared" si="489"/>
        <v>3</v>
      </c>
      <c r="K1450" t="str">
        <f t="shared" si="490"/>
        <v>53</v>
      </c>
      <c r="L1450" t="str">
        <f t="shared" si="491"/>
        <v>3</v>
      </c>
      <c r="M1450" s="6" t="str">
        <f t="shared" si="492"/>
        <v>52</v>
      </c>
      <c r="N1450" t="s">
        <v>178</v>
      </c>
      <c r="O1450">
        <v>16</v>
      </c>
      <c r="P1450" t="s">
        <v>424</v>
      </c>
      <c r="Q1450" t="s">
        <v>277</v>
      </c>
      <c r="R1450" t="s">
        <v>201</v>
      </c>
      <c r="S1450" t="s">
        <v>90</v>
      </c>
      <c r="Y1450" t="str">
        <f t="shared" si="475"/>
        <v/>
      </c>
      <c r="Z1450" t="str">
        <f t="shared" si="476"/>
        <v/>
      </c>
      <c r="AC1450" t="str">
        <f t="shared" si="472"/>
        <v>Zone_Entry_Exit</v>
      </c>
      <c r="AD1450" t="str">
        <f t="shared" si="473"/>
        <v>Zone_Exit</v>
      </c>
      <c r="AE1450" t="str">
        <f t="shared" si="474"/>
        <v>ZoneExit-Rush</v>
      </c>
      <c r="AF1450" t="str">
        <f t="shared" si="477"/>
        <v>Offensive</v>
      </c>
      <c r="AG1450">
        <f t="shared" si="483"/>
        <v>18981</v>
      </c>
      <c r="AH1450" t="str">
        <f t="shared" si="484"/>
        <v>Nelson</v>
      </c>
      <c r="AI1450" t="str">
        <f t="shared" si="485"/>
        <v>Velodrome</v>
      </c>
      <c r="AJ1450" s="18">
        <f t="shared" si="478"/>
        <v>1</v>
      </c>
      <c r="AP1450" s="18">
        <f t="shared" si="479"/>
        <v>0</v>
      </c>
      <c r="AQ1450">
        <f t="shared" si="480"/>
        <v>1080</v>
      </c>
      <c r="AR1450" s="23">
        <f t="shared" si="481"/>
        <v>1927</v>
      </c>
      <c r="AS1450">
        <f t="shared" si="486"/>
        <v>1922</v>
      </c>
      <c r="AT1450" s="21">
        <f t="shared" si="487"/>
        <v>1928</v>
      </c>
      <c r="AU1450" s="21"/>
      <c r="AV1450" s="21"/>
      <c r="AW1450" s="21"/>
    </row>
    <row r="1451" spans="1:49" x14ac:dyDescent="0.2">
      <c r="A1451">
        <v>776</v>
      </c>
      <c r="E1451">
        <f t="shared" si="482"/>
        <v>2</v>
      </c>
      <c r="J1451" t="str">
        <f t="shared" si="489"/>
        <v>3</v>
      </c>
      <c r="K1451" t="str">
        <f t="shared" si="490"/>
        <v>53</v>
      </c>
      <c r="L1451" t="str">
        <f t="shared" si="491"/>
        <v>3</v>
      </c>
      <c r="M1451" s="6" t="str">
        <f t="shared" si="492"/>
        <v>52</v>
      </c>
      <c r="N1451" t="str">
        <f t="shared" si="488"/>
        <v>Home</v>
      </c>
      <c r="O1451">
        <v>24</v>
      </c>
      <c r="P1451" t="s">
        <v>425</v>
      </c>
      <c r="Y1451" t="str">
        <f t="shared" si="475"/>
        <v/>
      </c>
      <c r="Z1451" t="str">
        <f t="shared" si="476"/>
        <v/>
      </c>
      <c r="AC1451" t="str">
        <f t="shared" si="472"/>
        <v>Zone_Entry_Exit</v>
      </c>
      <c r="AD1451" t="str">
        <f t="shared" si="473"/>
        <v>Zone_Exit</v>
      </c>
      <c r="AE1451" t="str">
        <f t="shared" si="474"/>
        <v>ZoneExit-Rush</v>
      </c>
      <c r="AF1451" t="str">
        <f t="shared" si="477"/>
        <v>Defensive</v>
      </c>
      <c r="AG1451">
        <f t="shared" si="483"/>
        <v>18981</v>
      </c>
      <c r="AH1451" t="str">
        <f t="shared" si="484"/>
        <v>Nelson</v>
      </c>
      <c r="AI1451" t="str">
        <f t="shared" si="485"/>
        <v>Velodrome</v>
      </c>
      <c r="AJ1451" s="18">
        <f t="shared" si="478"/>
        <v>1</v>
      </c>
      <c r="AP1451" s="18">
        <f t="shared" si="479"/>
        <v>0</v>
      </c>
      <c r="AQ1451">
        <f t="shared" si="480"/>
        <v>1080</v>
      </c>
      <c r="AR1451" s="23">
        <f t="shared" si="481"/>
        <v>1927</v>
      </c>
      <c r="AS1451">
        <f t="shared" si="486"/>
        <v>1922</v>
      </c>
      <c r="AT1451" s="21">
        <f t="shared" si="487"/>
        <v>1928</v>
      </c>
      <c r="AU1451" s="21"/>
      <c r="AV1451" s="21"/>
      <c r="AW1451" s="21"/>
    </row>
    <row r="1452" spans="1:49" x14ac:dyDescent="0.2">
      <c r="A1452">
        <v>777</v>
      </c>
      <c r="E1452">
        <f t="shared" si="482"/>
        <v>2</v>
      </c>
      <c r="F1452" s="5" t="s">
        <v>531</v>
      </c>
      <c r="G1452" s="5" t="s">
        <v>524</v>
      </c>
      <c r="J1452" t="str">
        <f t="shared" si="489"/>
        <v>3</v>
      </c>
      <c r="K1452" t="str">
        <f t="shared" si="490"/>
        <v>52</v>
      </c>
      <c r="L1452" t="str">
        <f t="shared" si="491"/>
        <v/>
      </c>
      <c r="M1452" s="6" t="str">
        <f t="shared" si="492"/>
        <v/>
      </c>
      <c r="N1452" t="s">
        <v>178</v>
      </c>
      <c r="O1452">
        <v>16</v>
      </c>
      <c r="P1452" t="s">
        <v>424</v>
      </c>
      <c r="Q1452" t="s">
        <v>10</v>
      </c>
      <c r="R1452" t="s">
        <v>190</v>
      </c>
      <c r="S1452" t="s">
        <v>73</v>
      </c>
      <c r="Y1452" t="str">
        <f t="shared" si="475"/>
        <v/>
      </c>
      <c r="Z1452" t="str">
        <f t="shared" si="476"/>
        <v/>
      </c>
      <c r="AC1452" t="str">
        <f t="shared" si="472"/>
        <v>Turnover</v>
      </c>
      <c r="AD1452" t="str">
        <f t="shared" si="473"/>
        <v>Turnover_Giveaway</v>
      </c>
      <c r="AE1452" t="str">
        <f t="shared" si="474"/>
        <v>Giveaway-Misplayed</v>
      </c>
      <c r="AF1452" t="str">
        <f t="shared" si="477"/>
        <v>Offensive</v>
      </c>
      <c r="AG1452">
        <f t="shared" si="483"/>
        <v>18981</v>
      </c>
      <c r="AH1452" t="str">
        <f t="shared" si="484"/>
        <v>Nelson</v>
      </c>
      <c r="AI1452" t="str">
        <f t="shared" si="485"/>
        <v>Velodrome</v>
      </c>
      <c r="AJ1452" s="18">
        <f t="shared" si="478"/>
        <v>0</v>
      </c>
      <c r="AP1452" s="18">
        <f t="shared" si="479"/>
        <v>0</v>
      </c>
      <c r="AQ1452">
        <f t="shared" si="480"/>
        <v>1080</v>
      </c>
      <c r="AR1452" s="23">
        <f t="shared" si="481"/>
        <v>1928</v>
      </c>
      <c r="AS1452">
        <f t="shared" si="486"/>
        <v>1923</v>
      </c>
      <c r="AT1452" s="21">
        <f t="shared" si="487"/>
        <v>1928</v>
      </c>
      <c r="AU1452" s="21"/>
      <c r="AV1452" s="21"/>
      <c r="AW1452" s="21"/>
    </row>
    <row r="1453" spans="1:49" x14ac:dyDescent="0.2">
      <c r="A1453">
        <v>778</v>
      </c>
      <c r="E1453">
        <f t="shared" si="482"/>
        <v>2</v>
      </c>
      <c r="F1453" s="5" t="s">
        <v>531</v>
      </c>
      <c r="G1453" s="5" t="s">
        <v>521</v>
      </c>
      <c r="J1453" t="str">
        <f t="shared" si="489"/>
        <v>3</v>
      </c>
      <c r="K1453" t="str">
        <f t="shared" si="490"/>
        <v>49</v>
      </c>
      <c r="L1453" t="str">
        <f t="shared" si="491"/>
        <v/>
      </c>
      <c r="M1453" s="6" t="str">
        <f t="shared" si="492"/>
        <v/>
      </c>
      <c r="N1453" t="s">
        <v>179</v>
      </c>
      <c r="O1453">
        <v>24</v>
      </c>
      <c r="P1453" t="s">
        <v>424</v>
      </c>
      <c r="Q1453" t="s">
        <v>277</v>
      </c>
      <c r="R1453" t="s">
        <v>191</v>
      </c>
      <c r="S1453" t="s">
        <v>89</v>
      </c>
      <c r="Y1453" t="str">
        <f t="shared" si="475"/>
        <v/>
      </c>
      <c r="Z1453" t="str">
        <f t="shared" si="476"/>
        <v/>
      </c>
      <c r="AC1453" t="str">
        <f t="shared" si="472"/>
        <v>Zone_Entry_Exit</v>
      </c>
      <c r="AD1453" t="str">
        <f t="shared" si="473"/>
        <v>Zone_Entry</v>
      </c>
      <c r="AE1453" t="str">
        <f t="shared" si="474"/>
        <v>ZoneEntry-DumpIn</v>
      </c>
      <c r="AF1453" t="str">
        <f t="shared" si="477"/>
        <v>Offensive</v>
      </c>
      <c r="AG1453">
        <f t="shared" si="483"/>
        <v>18981</v>
      </c>
      <c r="AH1453" t="str">
        <f t="shared" si="484"/>
        <v>Nelson</v>
      </c>
      <c r="AI1453" t="str">
        <f t="shared" si="485"/>
        <v>Velodrome</v>
      </c>
      <c r="AJ1453" s="18">
        <f t="shared" si="478"/>
        <v>0</v>
      </c>
      <c r="AP1453" s="18">
        <f t="shared" si="479"/>
        <v>0</v>
      </c>
      <c r="AQ1453">
        <f t="shared" si="480"/>
        <v>1080</v>
      </c>
      <c r="AR1453" s="23">
        <f t="shared" si="481"/>
        <v>1931</v>
      </c>
      <c r="AS1453">
        <f t="shared" si="486"/>
        <v>1926</v>
      </c>
      <c r="AT1453" s="21">
        <f t="shared" si="487"/>
        <v>1931</v>
      </c>
      <c r="AU1453" s="21"/>
      <c r="AV1453" s="21"/>
      <c r="AW1453" s="21"/>
    </row>
    <row r="1454" spans="1:49" x14ac:dyDescent="0.2">
      <c r="A1454">
        <v>779</v>
      </c>
      <c r="E1454">
        <f t="shared" si="482"/>
        <v>2</v>
      </c>
      <c r="F1454" s="5" t="s">
        <v>531</v>
      </c>
      <c r="G1454" s="5" t="s">
        <v>521</v>
      </c>
      <c r="J1454" t="str">
        <f t="shared" si="489"/>
        <v>3</v>
      </c>
      <c r="K1454" t="str">
        <f t="shared" si="490"/>
        <v>49</v>
      </c>
      <c r="L1454" t="str">
        <f t="shared" si="491"/>
        <v/>
      </c>
      <c r="M1454" s="6" t="str">
        <f t="shared" si="492"/>
        <v/>
      </c>
      <c r="N1454" t="s">
        <v>179</v>
      </c>
      <c r="O1454">
        <v>24</v>
      </c>
      <c r="P1454" t="s">
        <v>424</v>
      </c>
      <c r="Q1454" t="s">
        <v>10</v>
      </c>
      <c r="R1454" t="s">
        <v>190</v>
      </c>
      <c r="S1454" t="s">
        <v>411</v>
      </c>
      <c r="Y1454" t="str">
        <f t="shared" si="475"/>
        <v/>
      </c>
      <c r="Z1454" t="str">
        <f t="shared" si="476"/>
        <v/>
      </c>
      <c r="AC1454" t="str">
        <f t="shared" si="472"/>
        <v>Turnover</v>
      </c>
      <c r="AD1454" t="str">
        <f t="shared" si="473"/>
        <v>Turnover_Giveaway</v>
      </c>
      <c r="AE1454" t="str">
        <f t="shared" si="474"/>
        <v>Giveaway-ZoneClear/Dump</v>
      </c>
      <c r="AF1454" t="str">
        <f t="shared" si="477"/>
        <v>Offensive</v>
      </c>
      <c r="AG1454">
        <f t="shared" si="483"/>
        <v>18981</v>
      </c>
      <c r="AH1454" t="str">
        <f t="shared" si="484"/>
        <v>Nelson</v>
      </c>
      <c r="AI1454" t="str">
        <f t="shared" si="485"/>
        <v>Velodrome</v>
      </c>
      <c r="AJ1454" s="18">
        <f t="shared" si="478"/>
        <v>0</v>
      </c>
      <c r="AP1454" s="18">
        <f t="shared" si="479"/>
        <v>0</v>
      </c>
      <c r="AQ1454">
        <f t="shared" si="480"/>
        <v>1080</v>
      </c>
      <c r="AR1454" s="23">
        <f t="shared" si="481"/>
        <v>1931</v>
      </c>
      <c r="AS1454">
        <f t="shared" si="486"/>
        <v>1926</v>
      </c>
      <c r="AT1454" s="21">
        <f t="shared" si="487"/>
        <v>1931</v>
      </c>
      <c r="AU1454" s="21"/>
      <c r="AV1454" s="21"/>
      <c r="AW1454" s="21"/>
    </row>
    <row r="1455" spans="1:49" x14ac:dyDescent="0.2">
      <c r="A1455">
        <v>780</v>
      </c>
      <c r="E1455">
        <f t="shared" si="482"/>
        <v>2</v>
      </c>
      <c r="F1455" s="5" t="s">
        <v>531</v>
      </c>
      <c r="G1455" s="5" t="s">
        <v>521</v>
      </c>
      <c r="H1455" s="5" t="s">
        <v>531</v>
      </c>
      <c r="I1455" s="7" t="s">
        <v>519</v>
      </c>
      <c r="J1455" t="str">
        <f t="shared" si="489"/>
        <v>3</v>
      </c>
      <c r="K1455" t="str">
        <f t="shared" si="490"/>
        <v>49</v>
      </c>
      <c r="L1455" t="str">
        <f t="shared" si="491"/>
        <v>3</v>
      </c>
      <c r="M1455" s="6" t="str">
        <f t="shared" si="492"/>
        <v>47</v>
      </c>
      <c r="N1455" t="s">
        <v>178</v>
      </c>
      <c r="O1455">
        <v>37</v>
      </c>
      <c r="P1455" t="s">
        <v>424</v>
      </c>
      <c r="Q1455" t="s">
        <v>277</v>
      </c>
      <c r="R1455" t="s">
        <v>201</v>
      </c>
      <c r="S1455" t="s">
        <v>90</v>
      </c>
      <c r="Y1455" t="str">
        <f t="shared" si="475"/>
        <v/>
      </c>
      <c r="Z1455" t="str">
        <f t="shared" si="476"/>
        <v/>
      </c>
      <c r="AC1455" t="str">
        <f t="shared" ref="AC1455:AC1518" si="493">IF(Q1455&lt;&gt;"",Q1455,IF($A1455=$A1454,AC1454,""))</f>
        <v>Zone_Entry_Exit</v>
      </c>
      <c r="AD1455" t="str">
        <f t="shared" ref="AD1455:AD1518" si="494">IF(R1455&lt;&gt;"",R1455,IF($A1455=$A1454,AD1454,""))</f>
        <v>Zone_Exit</v>
      </c>
      <c r="AE1455" t="str">
        <f t="shared" ref="AE1455:AE1518" si="495">IF(S1455&lt;&gt;"",S1455,IF($A1455=$A1454,AE1454,""))</f>
        <v>ZoneExit-Rush</v>
      </c>
      <c r="AF1455" t="str">
        <f t="shared" si="477"/>
        <v>Offensive</v>
      </c>
      <c r="AG1455">
        <f t="shared" si="483"/>
        <v>18981</v>
      </c>
      <c r="AH1455" t="str">
        <f t="shared" si="484"/>
        <v>Nelson</v>
      </c>
      <c r="AI1455" t="str">
        <f t="shared" si="485"/>
        <v>Velodrome</v>
      </c>
      <c r="AJ1455" s="18">
        <f t="shared" si="478"/>
        <v>2</v>
      </c>
      <c r="AP1455" s="18">
        <f t="shared" si="479"/>
        <v>0</v>
      </c>
      <c r="AQ1455">
        <f t="shared" si="480"/>
        <v>1080</v>
      </c>
      <c r="AR1455" s="23">
        <f t="shared" si="481"/>
        <v>1931</v>
      </c>
      <c r="AS1455">
        <f t="shared" si="486"/>
        <v>1926</v>
      </c>
      <c r="AT1455" s="21">
        <f t="shared" si="487"/>
        <v>1933</v>
      </c>
      <c r="AU1455" s="21"/>
      <c r="AV1455" s="21"/>
      <c r="AW1455" s="21"/>
    </row>
    <row r="1456" spans="1:49" x14ac:dyDescent="0.2">
      <c r="A1456">
        <v>781</v>
      </c>
      <c r="E1456">
        <f t="shared" si="482"/>
        <v>2</v>
      </c>
      <c r="F1456" s="5" t="s">
        <v>531</v>
      </c>
      <c r="G1456" s="5" t="s">
        <v>519</v>
      </c>
      <c r="H1456" s="5" t="s">
        <v>531</v>
      </c>
      <c r="I1456" s="7" t="s">
        <v>517</v>
      </c>
      <c r="J1456" t="str">
        <f t="shared" si="489"/>
        <v>3</v>
      </c>
      <c r="K1456" t="str">
        <f t="shared" si="490"/>
        <v>47</v>
      </c>
      <c r="L1456" t="str">
        <f t="shared" si="491"/>
        <v>3</v>
      </c>
      <c r="M1456" s="6" t="str">
        <f t="shared" si="492"/>
        <v>45</v>
      </c>
      <c r="N1456" t="s">
        <v>178</v>
      </c>
      <c r="O1456">
        <v>37</v>
      </c>
      <c r="P1456" t="s">
        <v>424</v>
      </c>
      <c r="Q1456" t="s">
        <v>15</v>
      </c>
      <c r="Y1456" t="str">
        <f t="shared" si="475"/>
        <v/>
      </c>
      <c r="Z1456" t="str">
        <f t="shared" si="476"/>
        <v/>
      </c>
      <c r="AC1456" t="str">
        <f t="shared" si="493"/>
        <v>Possession</v>
      </c>
      <c r="AD1456" t="str">
        <f t="shared" si="494"/>
        <v/>
      </c>
      <c r="AE1456" t="str">
        <f t="shared" si="495"/>
        <v/>
      </c>
      <c r="AF1456" t="str">
        <f t="shared" si="477"/>
        <v>Offensive</v>
      </c>
      <c r="AG1456">
        <f t="shared" si="483"/>
        <v>18981</v>
      </c>
      <c r="AH1456" t="str">
        <f t="shared" si="484"/>
        <v>Nelson</v>
      </c>
      <c r="AI1456" t="str">
        <f t="shared" si="485"/>
        <v>Velodrome</v>
      </c>
      <c r="AJ1456" s="18">
        <f t="shared" si="478"/>
        <v>2</v>
      </c>
      <c r="AP1456" s="18">
        <f t="shared" si="479"/>
        <v>0</v>
      </c>
      <c r="AQ1456">
        <f t="shared" si="480"/>
        <v>1080</v>
      </c>
      <c r="AR1456" s="23">
        <f t="shared" si="481"/>
        <v>1933</v>
      </c>
      <c r="AS1456">
        <f t="shared" si="486"/>
        <v>1928</v>
      </c>
      <c r="AT1456" s="21">
        <f t="shared" si="487"/>
        <v>1935</v>
      </c>
      <c r="AU1456" s="21"/>
      <c r="AV1456" s="21"/>
      <c r="AW1456" s="21"/>
    </row>
    <row r="1457" spans="1:49" x14ac:dyDescent="0.2">
      <c r="A1457">
        <v>782</v>
      </c>
      <c r="E1457">
        <f t="shared" si="482"/>
        <v>2</v>
      </c>
      <c r="F1457" s="5" t="s">
        <v>531</v>
      </c>
      <c r="G1457" s="5" t="s">
        <v>516</v>
      </c>
      <c r="J1457" t="str">
        <f t="shared" si="489"/>
        <v>3</v>
      </c>
      <c r="K1457" t="str">
        <f t="shared" si="490"/>
        <v>44</v>
      </c>
      <c r="L1457" t="str">
        <f t="shared" si="491"/>
        <v/>
      </c>
      <c r="M1457" s="6" t="str">
        <f t="shared" si="492"/>
        <v/>
      </c>
      <c r="N1457" t="s">
        <v>178</v>
      </c>
      <c r="O1457">
        <v>37</v>
      </c>
      <c r="P1457" t="s">
        <v>424</v>
      </c>
      <c r="Q1457" t="s">
        <v>8</v>
      </c>
      <c r="R1457" t="s">
        <v>209</v>
      </c>
      <c r="S1457" t="s">
        <v>438</v>
      </c>
      <c r="Y1457" t="str">
        <f t="shared" si="475"/>
        <v/>
      </c>
      <c r="Z1457" t="str">
        <f t="shared" si="476"/>
        <v/>
      </c>
      <c r="AC1457" t="str">
        <f t="shared" si="493"/>
        <v>Pass</v>
      </c>
      <c r="AD1457" t="str">
        <f t="shared" si="494"/>
        <v>Pass_Deflected</v>
      </c>
      <c r="AE1457" t="str">
        <f t="shared" si="495"/>
        <v>Pass-Lob</v>
      </c>
      <c r="AF1457" t="str">
        <f t="shared" si="477"/>
        <v>Offensive</v>
      </c>
      <c r="AG1457">
        <f t="shared" si="483"/>
        <v>18981</v>
      </c>
      <c r="AH1457" t="str">
        <f t="shared" si="484"/>
        <v>Nelson</v>
      </c>
      <c r="AI1457" t="str">
        <f t="shared" si="485"/>
        <v>Velodrome</v>
      </c>
      <c r="AJ1457" s="18">
        <f t="shared" si="478"/>
        <v>0</v>
      </c>
      <c r="AP1457" s="18">
        <f t="shared" si="479"/>
        <v>0</v>
      </c>
      <c r="AQ1457">
        <f t="shared" si="480"/>
        <v>1080</v>
      </c>
      <c r="AR1457" s="23">
        <f t="shared" si="481"/>
        <v>1936</v>
      </c>
      <c r="AS1457">
        <f t="shared" si="486"/>
        <v>1931</v>
      </c>
      <c r="AT1457" s="21">
        <f t="shared" si="487"/>
        <v>1936</v>
      </c>
      <c r="AU1457" s="21"/>
      <c r="AV1457" s="21"/>
      <c r="AW1457" s="21"/>
    </row>
    <row r="1458" spans="1:49" x14ac:dyDescent="0.2">
      <c r="A1458">
        <v>782</v>
      </c>
      <c r="E1458">
        <f t="shared" si="482"/>
        <v>2</v>
      </c>
      <c r="J1458" t="str">
        <f t="shared" si="489"/>
        <v>3</v>
      </c>
      <c r="K1458" t="str">
        <f t="shared" si="490"/>
        <v>44</v>
      </c>
      <c r="L1458" t="str">
        <f t="shared" si="491"/>
        <v/>
      </c>
      <c r="M1458" s="6" t="str">
        <f t="shared" si="492"/>
        <v/>
      </c>
      <c r="N1458" t="str">
        <f t="shared" si="488"/>
        <v>Home</v>
      </c>
      <c r="O1458">
        <v>79</v>
      </c>
      <c r="P1458" t="s">
        <v>424</v>
      </c>
      <c r="Y1458" t="str">
        <f t="shared" si="475"/>
        <v/>
      </c>
      <c r="Z1458" t="str">
        <f t="shared" si="476"/>
        <v/>
      </c>
      <c r="AC1458" t="str">
        <f t="shared" si="493"/>
        <v>Pass</v>
      </c>
      <c r="AD1458" t="str">
        <f t="shared" si="494"/>
        <v>Pass_Deflected</v>
      </c>
      <c r="AE1458" t="str">
        <f t="shared" si="495"/>
        <v>Pass-Lob</v>
      </c>
      <c r="AF1458" t="str">
        <f t="shared" si="477"/>
        <v>Offensive</v>
      </c>
      <c r="AG1458">
        <f t="shared" si="483"/>
        <v>18981</v>
      </c>
      <c r="AH1458" t="str">
        <f t="shared" si="484"/>
        <v>Nelson</v>
      </c>
      <c r="AI1458" t="str">
        <f t="shared" si="485"/>
        <v>Velodrome</v>
      </c>
      <c r="AJ1458" s="18">
        <f t="shared" si="478"/>
        <v>0</v>
      </c>
      <c r="AP1458" s="18">
        <f t="shared" si="479"/>
        <v>0</v>
      </c>
      <c r="AQ1458">
        <f t="shared" si="480"/>
        <v>1080</v>
      </c>
      <c r="AR1458" s="23">
        <f t="shared" si="481"/>
        <v>1936</v>
      </c>
      <c r="AS1458">
        <f t="shared" si="486"/>
        <v>1931</v>
      </c>
      <c r="AT1458" s="21">
        <f t="shared" si="487"/>
        <v>1936</v>
      </c>
      <c r="AU1458" s="21"/>
      <c r="AV1458" s="21"/>
      <c r="AW1458" s="21"/>
    </row>
    <row r="1459" spans="1:49" x14ac:dyDescent="0.2">
      <c r="A1459">
        <v>782</v>
      </c>
      <c r="E1459">
        <f t="shared" si="482"/>
        <v>2</v>
      </c>
      <c r="J1459" t="str">
        <f t="shared" si="489"/>
        <v>3</v>
      </c>
      <c r="K1459" t="str">
        <f t="shared" si="490"/>
        <v>44</v>
      </c>
      <c r="L1459" t="str">
        <f t="shared" si="491"/>
        <v/>
      </c>
      <c r="M1459" s="6" t="str">
        <f t="shared" si="492"/>
        <v/>
      </c>
      <c r="N1459" t="str">
        <f t="shared" si="488"/>
        <v>Home</v>
      </c>
      <c r="O1459">
        <v>84</v>
      </c>
      <c r="P1459" t="s">
        <v>425</v>
      </c>
      <c r="Y1459" t="str">
        <f t="shared" si="475"/>
        <v/>
      </c>
      <c r="Z1459" t="str">
        <f t="shared" si="476"/>
        <v/>
      </c>
      <c r="AC1459" t="str">
        <f t="shared" si="493"/>
        <v>Pass</v>
      </c>
      <c r="AD1459" t="str">
        <f t="shared" si="494"/>
        <v>Pass_Deflected</v>
      </c>
      <c r="AE1459" t="str">
        <f t="shared" si="495"/>
        <v>Pass-Lob</v>
      </c>
      <c r="AF1459" t="str">
        <f t="shared" si="477"/>
        <v>Defensive</v>
      </c>
      <c r="AG1459">
        <f t="shared" si="483"/>
        <v>18981</v>
      </c>
      <c r="AH1459" t="str">
        <f t="shared" si="484"/>
        <v>Nelson</v>
      </c>
      <c r="AI1459" t="str">
        <f t="shared" si="485"/>
        <v>Velodrome</v>
      </c>
      <c r="AJ1459" s="18">
        <f t="shared" si="478"/>
        <v>0</v>
      </c>
      <c r="AP1459" s="18">
        <f t="shared" si="479"/>
        <v>0</v>
      </c>
      <c r="AQ1459">
        <f t="shared" si="480"/>
        <v>1080</v>
      </c>
      <c r="AR1459" s="23">
        <f t="shared" si="481"/>
        <v>1936</v>
      </c>
      <c r="AS1459">
        <f t="shared" si="486"/>
        <v>1931</v>
      </c>
      <c r="AT1459" s="21">
        <f t="shared" si="487"/>
        <v>1936</v>
      </c>
      <c r="AU1459" s="21"/>
      <c r="AV1459" s="21"/>
      <c r="AW1459" s="21"/>
    </row>
    <row r="1460" spans="1:49" x14ac:dyDescent="0.2">
      <c r="A1460">
        <v>783</v>
      </c>
      <c r="E1460">
        <f t="shared" si="482"/>
        <v>2</v>
      </c>
      <c r="F1460" s="5" t="s">
        <v>531</v>
      </c>
      <c r="G1460" s="5" t="s">
        <v>516</v>
      </c>
      <c r="J1460" t="str">
        <f t="shared" si="489"/>
        <v>3</v>
      </c>
      <c r="K1460" t="str">
        <f t="shared" si="490"/>
        <v>44</v>
      </c>
      <c r="L1460" t="str">
        <f t="shared" si="491"/>
        <v/>
      </c>
      <c r="M1460" s="6" t="str">
        <f t="shared" si="492"/>
        <v/>
      </c>
      <c r="N1460" t="s">
        <v>178</v>
      </c>
      <c r="O1460">
        <v>37</v>
      </c>
      <c r="P1460" t="s">
        <v>424</v>
      </c>
      <c r="Q1460" t="s">
        <v>10</v>
      </c>
      <c r="R1460" t="s">
        <v>190</v>
      </c>
      <c r="S1460" t="s">
        <v>77</v>
      </c>
      <c r="Y1460" t="str">
        <f t="shared" si="475"/>
        <v/>
      </c>
      <c r="Z1460" t="str">
        <f t="shared" si="476"/>
        <v/>
      </c>
      <c r="AC1460" t="str">
        <f t="shared" si="493"/>
        <v>Turnover</v>
      </c>
      <c r="AD1460" t="str">
        <f t="shared" si="494"/>
        <v>Turnover_Giveaway</v>
      </c>
      <c r="AE1460" t="str">
        <f t="shared" si="495"/>
        <v>Giveaway-PassBlocked</v>
      </c>
      <c r="AF1460" t="str">
        <f t="shared" si="477"/>
        <v>Offensive</v>
      </c>
      <c r="AG1460">
        <f t="shared" si="483"/>
        <v>18981</v>
      </c>
      <c r="AH1460" t="str">
        <f t="shared" si="484"/>
        <v>Nelson</v>
      </c>
      <c r="AI1460" t="str">
        <f t="shared" si="485"/>
        <v>Velodrome</v>
      </c>
      <c r="AJ1460" s="18">
        <f t="shared" si="478"/>
        <v>0</v>
      </c>
      <c r="AP1460" s="18">
        <f t="shared" si="479"/>
        <v>0</v>
      </c>
      <c r="AQ1460">
        <f t="shared" si="480"/>
        <v>1080</v>
      </c>
      <c r="AR1460" s="23">
        <f t="shared" si="481"/>
        <v>1936</v>
      </c>
      <c r="AS1460">
        <f t="shared" si="486"/>
        <v>1931</v>
      </c>
      <c r="AT1460" s="21">
        <f t="shared" si="487"/>
        <v>1936</v>
      </c>
      <c r="AU1460" s="21"/>
      <c r="AV1460" s="21"/>
      <c r="AW1460" s="21"/>
    </row>
    <row r="1461" spans="1:49" x14ac:dyDescent="0.2">
      <c r="A1461">
        <v>783</v>
      </c>
      <c r="E1461">
        <f t="shared" si="482"/>
        <v>2</v>
      </c>
      <c r="J1461" t="str">
        <f t="shared" si="489"/>
        <v>3</v>
      </c>
      <c r="K1461" t="str">
        <f t="shared" si="490"/>
        <v>44</v>
      </c>
      <c r="L1461" t="str">
        <f t="shared" si="491"/>
        <v/>
      </c>
      <c r="M1461" s="6" t="str">
        <f t="shared" si="492"/>
        <v/>
      </c>
      <c r="N1461" t="str">
        <f t="shared" si="488"/>
        <v>Home</v>
      </c>
      <c r="O1461">
        <v>79</v>
      </c>
      <c r="P1461" t="s">
        <v>424</v>
      </c>
      <c r="Y1461" t="str">
        <f t="shared" si="475"/>
        <v/>
      </c>
      <c r="Z1461" t="str">
        <f t="shared" si="476"/>
        <v/>
      </c>
      <c r="AC1461" t="str">
        <f t="shared" si="493"/>
        <v>Turnover</v>
      </c>
      <c r="AD1461" t="str">
        <f t="shared" si="494"/>
        <v>Turnover_Giveaway</v>
      </c>
      <c r="AE1461" t="str">
        <f t="shared" si="495"/>
        <v>Giveaway-PassBlocked</v>
      </c>
      <c r="AF1461" t="str">
        <f t="shared" si="477"/>
        <v>Offensive</v>
      </c>
      <c r="AG1461">
        <f t="shared" si="483"/>
        <v>18981</v>
      </c>
      <c r="AH1461" t="str">
        <f t="shared" si="484"/>
        <v>Nelson</v>
      </c>
      <c r="AI1461" t="str">
        <f t="shared" si="485"/>
        <v>Velodrome</v>
      </c>
      <c r="AJ1461" s="18">
        <f t="shared" si="478"/>
        <v>0</v>
      </c>
      <c r="AP1461" s="18">
        <f t="shared" si="479"/>
        <v>0</v>
      </c>
      <c r="AQ1461">
        <f t="shared" si="480"/>
        <v>1080</v>
      </c>
      <c r="AR1461" s="23">
        <f t="shared" si="481"/>
        <v>1936</v>
      </c>
      <c r="AS1461">
        <f t="shared" si="486"/>
        <v>1931</v>
      </c>
      <c r="AT1461" s="21">
        <f t="shared" si="487"/>
        <v>1936</v>
      </c>
      <c r="AU1461" s="21"/>
      <c r="AV1461" s="21"/>
      <c r="AW1461" s="21"/>
    </row>
    <row r="1462" spans="1:49" x14ac:dyDescent="0.2">
      <c r="A1462">
        <v>783</v>
      </c>
      <c r="E1462">
        <f t="shared" si="482"/>
        <v>2</v>
      </c>
      <c r="J1462" t="str">
        <f t="shared" si="489"/>
        <v>3</v>
      </c>
      <c r="K1462" t="str">
        <f t="shared" si="490"/>
        <v>44</v>
      </c>
      <c r="L1462" t="str">
        <f t="shared" si="491"/>
        <v/>
      </c>
      <c r="M1462" s="6" t="str">
        <f t="shared" si="492"/>
        <v/>
      </c>
      <c r="N1462" t="str">
        <f t="shared" si="488"/>
        <v>Home</v>
      </c>
      <c r="O1462">
        <v>84</v>
      </c>
      <c r="P1462" t="s">
        <v>425</v>
      </c>
      <c r="Y1462" t="str">
        <f t="shared" si="475"/>
        <v/>
      </c>
      <c r="Z1462" t="str">
        <f t="shared" si="476"/>
        <v/>
      </c>
      <c r="AC1462" t="str">
        <f t="shared" si="493"/>
        <v>Turnover</v>
      </c>
      <c r="AD1462" t="str">
        <f t="shared" si="494"/>
        <v>Turnover_Giveaway</v>
      </c>
      <c r="AE1462" t="str">
        <f t="shared" si="495"/>
        <v>Giveaway-PassBlocked</v>
      </c>
      <c r="AF1462" t="str">
        <f t="shared" si="477"/>
        <v>Defensive</v>
      </c>
      <c r="AG1462">
        <f t="shared" si="483"/>
        <v>18981</v>
      </c>
      <c r="AH1462" t="str">
        <f t="shared" si="484"/>
        <v>Nelson</v>
      </c>
      <c r="AI1462" t="str">
        <f t="shared" si="485"/>
        <v>Velodrome</v>
      </c>
      <c r="AJ1462" s="18">
        <f t="shared" si="478"/>
        <v>0</v>
      </c>
      <c r="AP1462" s="18">
        <f t="shared" si="479"/>
        <v>0</v>
      </c>
      <c r="AQ1462">
        <f t="shared" si="480"/>
        <v>1080</v>
      </c>
      <c r="AR1462" s="23">
        <f t="shared" si="481"/>
        <v>1936</v>
      </c>
      <c r="AS1462">
        <f t="shared" si="486"/>
        <v>1931</v>
      </c>
      <c r="AT1462" s="21">
        <f t="shared" si="487"/>
        <v>1936</v>
      </c>
      <c r="AU1462" s="21"/>
      <c r="AV1462" s="21"/>
      <c r="AW1462" s="21"/>
    </row>
    <row r="1463" spans="1:49" x14ac:dyDescent="0.2">
      <c r="A1463">
        <v>784</v>
      </c>
      <c r="E1463">
        <f t="shared" si="482"/>
        <v>2</v>
      </c>
      <c r="F1463" s="5" t="s">
        <v>531</v>
      </c>
      <c r="G1463" s="5" t="s">
        <v>513</v>
      </c>
      <c r="J1463" t="str">
        <f t="shared" si="489"/>
        <v>3</v>
      </c>
      <c r="K1463" t="str">
        <f t="shared" si="490"/>
        <v>41</v>
      </c>
      <c r="L1463" t="str">
        <f t="shared" si="491"/>
        <v/>
      </c>
      <c r="M1463" s="6" t="str">
        <f t="shared" si="492"/>
        <v/>
      </c>
      <c r="N1463" t="s">
        <v>179</v>
      </c>
      <c r="O1463">
        <v>24</v>
      </c>
      <c r="P1463" t="s">
        <v>424</v>
      </c>
      <c r="Q1463" t="s">
        <v>10</v>
      </c>
      <c r="R1463" t="s">
        <v>190</v>
      </c>
      <c r="S1463" t="s">
        <v>422</v>
      </c>
      <c r="Y1463" t="str">
        <f t="shared" si="475"/>
        <v/>
      </c>
      <c r="Z1463" t="str">
        <f t="shared" si="476"/>
        <v/>
      </c>
      <c r="AC1463" t="str">
        <f t="shared" si="493"/>
        <v>Turnover</v>
      </c>
      <c r="AD1463" t="str">
        <f t="shared" si="494"/>
        <v>Turnover_Giveaway</v>
      </c>
      <c r="AE1463" t="str">
        <f t="shared" si="495"/>
        <v>Giveaway-AttemptedZoneClear/Dump</v>
      </c>
      <c r="AF1463" t="str">
        <f t="shared" si="477"/>
        <v>Offensive</v>
      </c>
      <c r="AG1463">
        <f t="shared" si="483"/>
        <v>18981</v>
      </c>
      <c r="AH1463" t="str">
        <f t="shared" si="484"/>
        <v>Nelson</v>
      </c>
      <c r="AI1463" t="str">
        <f t="shared" si="485"/>
        <v>Velodrome</v>
      </c>
      <c r="AJ1463" s="18">
        <f t="shared" si="478"/>
        <v>0</v>
      </c>
      <c r="AP1463" s="18">
        <f t="shared" si="479"/>
        <v>0</v>
      </c>
      <c r="AQ1463">
        <f t="shared" si="480"/>
        <v>1080</v>
      </c>
      <c r="AR1463" s="23">
        <f t="shared" si="481"/>
        <v>1939</v>
      </c>
      <c r="AS1463">
        <f t="shared" si="486"/>
        <v>1934</v>
      </c>
      <c r="AT1463" s="21">
        <f t="shared" si="487"/>
        <v>1939</v>
      </c>
      <c r="AU1463" s="21"/>
      <c r="AV1463" s="21"/>
      <c r="AW1463" s="21"/>
    </row>
    <row r="1464" spans="1:49" x14ac:dyDescent="0.2">
      <c r="A1464">
        <v>785</v>
      </c>
      <c r="E1464">
        <f t="shared" si="482"/>
        <v>2</v>
      </c>
      <c r="F1464" s="5" t="s">
        <v>531</v>
      </c>
      <c r="G1464" s="5" t="s">
        <v>513</v>
      </c>
      <c r="H1464" s="5" t="s">
        <v>531</v>
      </c>
      <c r="I1464" s="7" t="s">
        <v>510</v>
      </c>
      <c r="J1464" t="str">
        <f t="shared" si="489"/>
        <v>3</v>
      </c>
      <c r="K1464" t="str">
        <f t="shared" si="490"/>
        <v>41</v>
      </c>
      <c r="L1464" t="str">
        <f t="shared" si="491"/>
        <v>3</v>
      </c>
      <c r="M1464" s="6" t="str">
        <f t="shared" si="492"/>
        <v>38</v>
      </c>
      <c r="N1464" t="s">
        <v>178</v>
      </c>
      <c r="O1464">
        <v>37</v>
      </c>
      <c r="P1464" t="s">
        <v>424</v>
      </c>
      <c r="Q1464" t="s">
        <v>15</v>
      </c>
      <c r="Y1464" t="str">
        <f t="shared" si="475"/>
        <v/>
      </c>
      <c r="Z1464" t="str">
        <f t="shared" si="476"/>
        <v/>
      </c>
      <c r="AC1464" t="str">
        <f t="shared" si="493"/>
        <v>Possession</v>
      </c>
      <c r="AD1464" t="str">
        <f t="shared" si="494"/>
        <v/>
      </c>
      <c r="AE1464" t="str">
        <f t="shared" si="495"/>
        <v/>
      </c>
      <c r="AF1464" t="str">
        <f t="shared" si="477"/>
        <v>Offensive</v>
      </c>
      <c r="AG1464">
        <f t="shared" si="483"/>
        <v>18981</v>
      </c>
      <c r="AH1464" t="str">
        <f t="shared" si="484"/>
        <v>Nelson</v>
      </c>
      <c r="AI1464" t="str">
        <f t="shared" si="485"/>
        <v>Velodrome</v>
      </c>
      <c r="AJ1464" s="18">
        <f t="shared" si="478"/>
        <v>3</v>
      </c>
      <c r="AP1464" s="18">
        <f t="shared" si="479"/>
        <v>0</v>
      </c>
      <c r="AQ1464">
        <f t="shared" si="480"/>
        <v>1080</v>
      </c>
      <c r="AR1464" s="23">
        <f t="shared" si="481"/>
        <v>1939</v>
      </c>
      <c r="AS1464">
        <f t="shared" si="486"/>
        <v>1934</v>
      </c>
      <c r="AT1464" s="21">
        <f t="shared" si="487"/>
        <v>1942</v>
      </c>
      <c r="AU1464" s="21"/>
      <c r="AV1464" s="21"/>
      <c r="AW1464" s="21"/>
    </row>
    <row r="1465" spans="1:49" x14ac:dyDescent="0.2">
      <c r="A1465">
        <v>785</v>
      </c>
      <c r="E1465">
        <f t="shared" si="482"/>
        <v>2</v>
      </c>
      <c r="J1465" t="str">
        <f t="shared" si="489"/>
        <v>3</v>
      </c>
      <c r="K1465" t="str">
        <f t="shared" si="490"/>
        <v>41</v>
      </c>
      <c r="L1465" t="str">
        <f t="shared" si="491"/>
        <v>3</v>
      </c>
      <c r="M1465" s="6" t="str">
        <f t="shared" si="492"/>
        <v>38</v>
      </c>
      <c r="N1465" t="str">
        <f t="shared" si="488"/>
        <v>Home</v>
      </c>
      <c r="O1465">
        <v>24</v>
      </c>
      <c r="P1465" t="s">
        <v>425</v>
      </c>
      <c r="Y1465" t="str">
        <f t="shared" si="475"/>
        <v/>
      </c>
      <c r="Z1465" t="str">
        <f t="shared" si="476"/>
        <v/>
      </c>
      <c r="AC1465" t="str">
        <f t="shared" si="493"/>
        <v>Possession</v>
      </c>
      <c r="AD1465" t="str">
        <f t="shared" si="494"/>
        <v/>
      </c>
      <c r="AE1465" t="str">
        <f t="shared" si="495"/>
        <v/>
      </c>
      <c r="AF1465" t="str">
        <f t="shared" si="477"/>
        <v>Defensive</v>
      </c>
      <c r="AG1465">
        <f t="shared" si="483"/>
        <v>18981</v>
      </c>
      <c r="AH1465" t="str">
        <f t="shared" si="484"/>
        <v>Nelson</v>
      </c>
      <c r="AI1465" t="str">
        <f t="shared" si="485"/>
        <v>Velodrome</v>
      </c>
      <c r="AJ1465" s="18">
        <f t="shared" si="478"/>
        <v>3</v>
      </c>
      <c r="AP1465" s="18">
        <f t="shared" si="479"/>
        <v>0</v>
      </c>
      <c r="AQ1465">
        <f t="shared" si="480"/>
        <v>1080</v>
      </c>
      <c r="AR1465" s="23">
        <f t="shared" si="481"/>
        <v>1939</v>
      </c>
      <c r="AS1465">
        <f t="shared" si="486"/>
        <v>1934</v>
      </c>
      <c r="AT1465" s="21">
        <f t="shared" si="487"/>
        <v>1942</v>
      </c>
      <c r="AU1465" s="21"/>
      <c r="AV1465" s="21"/>
      <c r="AW1465" s="21"/>
    </row>
    <row r="1466" spans="1:49" x14ac:dyDescent="0.2">
      <c r="A1466">
        <v>786</v>
      </c>
      <c r="E1466">
        <f t="shared" si="482"/>
        <v>2</v>
      </c>
      <c r="F1466" s="5" t="s">
        <v>531</v>
      </c>
      <c r="G1466" s="5" t="s">
        <v>510</v>
      </c>
      <c r="H1466" s="5" t="s">
        <v>531</v>
      </c>
      <c r="I1466" s="7" t="s">
        <v>508</v>
      </c>
      <c r="J1466" t="str">
        <f t="shared" si="489"/>
        <v>3</v>
      </c>
      <c r="K1466" t="str">
        <f t="shared" si="490"/>
        <v>38</v>
      </c>
      <c r="L1466" t="str">
        <f t="shared" si="491"/>
        <v>3</v>
      </c>
      <c r="M1466" s="6" t="str">
        <f t="shared" si="492"/>
        <v>36</v>
      </c>
      <c r="N1466" t="s">
        <v>178</v>
      </c>
      <c r="O1466">
        <v>37</v>
      </c>
      <c r="P1466" t="s">
        <v>424</v>
      </c>
      <c r="Q1466" t="s">
        <v>277</v>
      </c>
      <c r="R1466" t="s">
        <v>191</v>
      </c>
      <c r="S1466" t="s">
        <v>87</v>
      </c>
      <c r="Y1466" t="str">
        <f t="shared" si="475"/>
        <v/>
      </c>
      <c r="Z1466" t="str">
        <f t="shared" si="476"/>
        <v/>
      </c>
      <c r="AC1466" t="str">
        <f t="shared" si="493"/>
        <v>Zone_Entry_Exit</v>
      </c>
      <c r="AD1466" t="str">
        <f t="shared" si="494"/>
        <v>Zone_Entry</v>
      </c>
      <c r="AE1466" t="str">
        <f t="shared" si="495"/>
        <v>ZoneEntry-Rush</v>
      </c>
      <c r="AF1466" t="str">
        <f t="shared" si="477"/>
        <v>Offensive</v>
      </c>
      <c r="AG1466">
        <f t="shared" si="483"/>
        <v>18981</v>
      </c>
      <c r="AH1466" t="str">
        <f t="shared" si="484"/>
        <v>Nelson</v>
      </c>
      <c r="AI1466" t="str">
        <f t="shared" si="485"/>
        <v>Velodrome</v>
      </c>
      <c r="AJ1466" s="18">
        <f t="shared" si="478"/>
        <v>2</v>
      </c>
      <c r="AP1466" s="18">
        <f t="shared" si="479"/>
        <v>0</v>
      </c>
      <c r="AQ1466">
        <f t="shared" si="480"/>
        <v>1080</v>
      </c>
      <c r="AR1466" s="23">
        <f t="shared" si="481"/>
        <v>1942</v>
      </c>
      <c r="AS1466">
        <f t="shared" si="486"/>
        <v>1937</v>
      </c>
      <c r="AT1466" s="21">
        <f t="shared" si="487"/>
        <v>1944</v>
      </c>
      <c r="AU1466" s="21"/>
      <c r="AV1466" s="21"/>
      <c r="AW1466" s="21"/>
    </row>
    <row r="1467" spans="1:49" x14ac:dyDescent="0.2">
      <c r="A1467">
        <v>786</v>
      </c>
      <c r="E1467">
        <f t="shared" si="482"/>
        <v>2</v>
      </c>
      <c r="J1467" t="str">
        <f t="shared" si="489"/>
        <v>3</v>
      </c>
      <c r="K1467" t="str">
        <f t="shared" si="490"/>
        <v>38</v>
      </c>
      <c r="L1467" t="str">
        <f t="shared" si="491"/>
        <v>3</v>
      </c>
      <c r="M1467" s="6" t="str">
        <f t="shared" si="492"/>
        <v>36</v>
      </c>
      <c r="N1467" t="str">
        <f t="shared" si="488"/>
        <v>Home</v>
      </c>
      <c r="O1467">
        <v>52</v>
      </c>
      <c r="P1467" t="s">
        <v>425</v>
      </c>
      <c r="Y1467" t="str">
        <f t="shared" si="475"/>
        <v/>
      </c>
      <c r="Z1467" t="str">
        <f t="shared" si="476"/>
        <v/>
      </c>
      <c r="AC1467" t="str">
        <f t="shared" si="493"/>
        <v>Zone_Entry_Exit</v>
      </c>
      <c r="AD1467" t="str">
        <f t="shared" si="494"/>
        <v>Zone_Entry</v>
      </c>
      <c r="AE1467" t="str">
        <f t="shared" si="495"/>
        <v>ZoneEntry-Rush</v>
      </c>
      <c r="AF1467" t="str">
        <f t="shared" si="477"/>
        <v>Defensive</v>
      </c>
      <c r="AG1467">
        <f t="shared" si="483"/>
        <v>18981</v>
      </c>
      <c r="AH1467" t="str">
        <f t="shared" si="484"/>
        <v>Nelson</v>
      </c>
      <c r="AI1467" t="str">
        <f t="shared" si="485"/>
        <v>Velodrome</v>
      </c>
      <c r="AJ1467" s="18">
        <f t="shared" si="478"/>
        <v>2</v>
      </c>
      <c r="AP1467" s="18">
        <f t="shared" si="479"/>
        <v>0</v>
      </c>
      <c r="AQ1467">
        <f t="shared" si="480"/>
        <v>1080</v>
      </c>
      <c r="AR1467" s="23">
        <f t="shared" si="481"/>
        <v>1942</v>
      </c>
      <c r="AS1467">
        <f t="shared" si="486"/>
        <v>1937</v>
      </c>
      <c r="AT1467" s="21">
        <f t="shared" si="487"/>
        <v>1944</v>
      </c>
      <c r="AU1467" s="21"/>
      <c r="AV1467" s="21"/>
      <c r="AW1467" s="21"/>
    </row>
    <row r="1468" spans="1:49" x14ac:dyDescent="0.2">
      <c r="A1468">
        <v>786</v>
      </c>
      <c r="E1468">
        <f t="shared" si="482"/>
        <v>2</v>
      </c>
      <c r="J1468" t="str">
        <f t="shared" si="489"/>
        <v>3</v>
      </c>
      <c r="K1468" t="str">
        <f t="shared" si="490"/>
        <v>38</v>
      </c>
      <c r="L1468" t="str">
        <f t="shared" si="491"/>
        <v>3</v>
      </c>
      <c r="M1468" s="6" t="str">
        <f t="shared" si="492"/>
        <v>36</v>
      </c>
      <c r="N1468" t="str">
        <f t="shared" si="488"/>
        <v>Home</v>
      </c>
      <c r="O1468">
        <v>84</v>
      </c>
      <c r="P1468" t="s">
        <v>425</v>
      </c>
      <c r="Y1468" t="str">
        <f t="shared" si="475"/>
        <v/>
      </c>
      <c r="Z1468" t="str">
        <f t="shared" si="476"/>
        <v/>
      </c>
      <c r="AC1468" t="str">
        <f t="shared" si="493"/>
        <v>Zone_Entry_Exit</v>
      </c>
      <c r="AD1468" t="str">
        <f t="shared" si="494"/>
        <v>Zone_Entry</v>
      </c>
      <c r="AE1468" t="str">
        <f t="shared" si="495"/>
        <v>ZoneEntry-Rush</v>
      </c>
      <c r="AF1468" t="str">
        <f t="shared" si="477"/>
        <v>Defensive</v>
      </c>
      <c r="AG1468">
        <f t="shared" si="483"/>
        <v>18981</v>
      </c>
      <c r="AH1468" t="str">
        <f t="shared" si="484"/>
        <v>Nelson</v>
      </c>
      <c r="AI1468" t="str">
        <f t="shared" si="485"/>
        <v>Velodrome</v>
      </c>
      <c r="AJ1468" s="18">
        <f t="shared" si="478"/>
        <v>2</v>
      </c>
      <c r="AP1468" s="18">
        <f t="shared" si="479"/>
        <v>0</v>
      </c>
      <c r="AQ1468">
        <f t="shared" si="480"/>
        <v>1080</v>
      </c>
      <c r="AR1468" s="23">
        <f t="shared" si="481"/>
        <v>1942</v>
      </c>
      <c r="AS1468">
        <f t="shared" si="486"/>
        <v>1937</v>
      </c>
      <c r="AT1468" s="21">
        <f t="shared" si="487"/>
        <v>1944</v>
      </c>
      <c r="AU1468" s="21"/>
      <c r="AV1468" s="21"/>
      <c r="AW1468" s="21"/>
    </row>
    <row r="1469" spans="1:49" x14ac:dyDescent="0.2">
      <c r="A1469">
        <v>787</v>
      </c>
      <c r="E1469">
        <f t="shared" si="482"/>
        <v>2</v>
      </c>
      <c r="F1469" s="5" t="s">
        <v>531</v>
      </c>
      <c r="G1469" s="5" t="s">
        <v>508</v>
      </c>
      <c r="J1469" t="str">
        <f t="shared" si="489"/>
        <v>3</v>
      </c>
      <c r="K1469" t="str">
        <f t="shared" si="490"/>
        <v>36</v>
      </c>
      <c r="L1469" t="str">
        <f t="shared" si="491"/>
        <v/>
      </c>
      <c r="M1469" s="6" t="str">
        <f t="shared" si="492"/>
        <v/>
      </c>
      <c r="N1469" t="s">
        <v>178</v>
      </c>
      <c r="O1469">
        <v>37</v>
      </c>
      <c r="P1469" t="s">
        <v>424</v>
      </c>
      <c r="Q1469" t="s">
        <v>7</v>
      </c>
      <c r="R1469" t="s">
        <v>208</v>
      </c>
      <c r="S1469" t="s">
        <v>53</v>
      </c>
      <c r="Y1469" t="str">
        <f t="shared" si="475"/>
        <v/>
      </c>
      <c r="Z1469" t="str">
        <f t="shared" si="476"/>
        <v/>
      </c>
      <c r="AC1469" t="str">
        <f t="shared" si="493"/>
        <v>Shot</v>
      </c>
      <c r="AD1469" t="str">
        <f t="shared" si="494"/>
        <v>Shot_Blocked</v>
      </c>
      <c r="AE1469" t="str">
        <f t="shared" si="495"/>
        <v>Shot-Wrist</v>
      </c>
      <c r="AF1469" t="str">
        <f t="shared" si="477"/>
        <v>Offensive</v>
      </c>
      <c r="AG1469">
        <f t="shared" si="483"/>
        <v>18981</v>
      </c>
      <c r="AH1469" t="str">
        <f t="shared" si="484"/>
        <v>Nelson</v>
      </c>
      <c r="AI1469" t="str">
        <f t="shared" si="485"/>
        <v>Velodrome</v>
      </c>
      <c r="AJ1469" s="18">
        <f t="shared" si="478"/>
        <v>0</v>
      </c>
      <c r="AP1469" s="18">
        <f t="shared" si="479"/>
        <v>0</v>
      </c>
      <c r="AQ1469">
        <f t="shared" si="480"/>
        <v>1080</v>
      </c>
      <c r="AR1469" s="23">
        <f t="shared" si="481"/>
        <v>1944</v>
      </c>
      <c r="AS1469">
        <f t="shared" si="486"/>
        <v>1939</v>
      </c>
      <c r="AT1469" s="21">
        <f t="shared" si="487"/>
        <v>1944</v>
      </c>
      <c r="AU1469" s="21"/>
      <c r="AV1469" s="21"/>
      <c r="AW1469" s="21"/>
    </row>
    <row r="1470" spans="1:49" x14ac:dyDescent="0.2">
      <c r="A1470">
        <v>787</v>
      </c>
      <c r="E1470">
        <f t="shared" si="482"/>
        <v>2</v>
      </c>
      <c r="J1470" t="str">
        <f t="shared" si="489"/>
        <v>3</v>
      </c>
      <c r="K1470" t="str">
        <f t="shared" si="490"/>
        <v>36</v>
      </c>
      <c r="L1470" t="str">
        <f t="shared" si="491"/>
        <v/>
      </c>
      <c r="M1470" s="6" t="str">
        <f t="shared" si="492"/>
        <v/>
      </c>
      <c r="N1470" t="str">
        <f t="shared" si="488"/>
        <v>Home</v>
      </c>
      <c r="O1470">
        <v>84</v>
      </c>
      <c r="P1470" t="s">
        <v>425</v>
      </c>
      <c r="Y1470" t="str">
        <f t="shared" si="475"/>
        <v/>
      </c>
      <c r="Z1470" t="str">
        <f t="shared" si="476"/>
        <v/>
      </c>
      <c r="AC1470" t="str">
        <f t="shared" si="493"/>
        <v>Shot</v>
      </c>
      <c r="AD1470" t="str">
        <f t="shared" si="494"/>
        <v>Shot_Blocked</v>
      </c>
      <c r="AE1470" t="str">
        <f t="shared" si="495"/>
        <v>Shot-Wrist</v>
      </c>
      <c r="AF1470" t="str">
        <f t="shared" si="477"/>
        <v>Defensive</v>
      </c>
      <c r="AG1470">
        <f t="shared" si="483"/>
        <v>18981</v>
      </c>
      <c r="AH1470" t="str">
        <f t="shared" si="484"/>
        <v>Nelson</v>
      </c>
      <c r="AI1470" t="str">
        <f t="shared" si="485"/>
        <v>Velodrome</v>
      </c>
      <c r="AJ1470" s="18">
        <f t="shared" si="478"/>
        <v>0</v>
      </c>
      <c r="AP1470" s="18">
        <f t="shared" si="479"/>
        <v>0</v>
      </c>
      <c r="AQ1470">
        <f t="shared" si="480"/>
        <v>1080</v>
      </c>
      <c r="AR1470" s="23">
        <f t="shared" si="481"/>
        <v>1944</v>
      </c>
      <c r="AS1470">
        <f t="shared" si="486"/>
        <v>1939</v>
      </c>
      <c r="AT1470" s="21">
        <f t="shared" si="487"/>
        <v>1944</v>
      </c>
      <c r="AU1470" s="21"/>
      <c r="AV1470" s="21"/>
      <c r="AW1470" s="21"/>
    </row>
    <row r="1471" spans="1:49" x14ac:dyDescent="0.2">
      <c r="A1471">
        <v>788</v>
      </c>
      <c r="E1471">
        <f t="shared" si="482"/>
        <v>2</v>
      </c>
      <c r="F1471" s="5" t="s">
        <v>531</v>
      </c>
      <c r="G1471" s="5" t="s">
        <v>508</v>
      </c>
      <c r="J1471" t="str">
        <f t="shared" si="489"/>
        <v>3</v>
      </c>
      <c r="K1471" t="str">
        <f t="shared" si="490"/>
        <v>36</v>
      </c>
      <c r="L1471" t="str">
        <f t="shared" si="491"/>
        <v/>
      </c>
      <c r="M1471" s="6" t="str">
        <f t="shared" si="492"/>
        <v/>
      </c>
      <c r="N1471" t="s">
        <v>178</v>
      </c>
      <c r="O1471">
        <v>37</v>
      </c>
      <c r="P1471" t="s">
        <v>424</v>
      </c>
      <c r="Q1471" t="s">
        <v>13</v>
      </c>
      <c r="R1471" t="s">
        <v>204</v>
      </c>
      <c r="S1471" t="s">
        <v>107</v>
      </c>
      <c r="Y1471" t="str">
        <f t="shared" si="475"/>
        <v/>
      </c>
      <c r="Z1471" t="str">
        <f t="shared" si="476"/>
        <v/>
      </c>
      <c r="AC1471" t="str">
        <f t="shared" si="493"/>
        <v>Stoppage</v>
      </c>
      <c r="AD1471" t="str">
        <f t="shared" si="494"/>
        <v>Stoppage_Play</v>
      </c>
      <c r="AE1471" t="str">
        <f t="shared" si="495"/>
        <v>Stoppage-PuckOutofPlay</v>
      </c>
      <c r="AF1471" t="str">
        <f t="shared" si="477"/>
        <v/>
      </c>
      <c r="AG1471">
        <f t="shared" si="483"/>
        <v>18981</v>
      </c>
      <c r="AH1471" t="str">
        <f t="shared" si="484"/>
        <v>Nelson</v>
      </c>
      <c r="AI1471" t="str">
        <f t="shared" si="485"/>
        <v>Velodrome</v>
      </c>
      <c r="AJ1471" s="18">
        <f t="shared" si="478"/>
        <v>0</v>
      </c>
      <c r="AP1471" s="18">
        <f t="shared" si="479"/>
        <v>0</v>
      </c>
      <c r="AQ1471">
        <f t="shared" si="480"/>
        <v>1080</v>
      </c>
      <c r="AR1471" s="23">
        <f t="shared" si="481"/>
        <v>1944</v>
      </c>
      <c r="AS1471">
        <f t="shared" si="486"/>
        <v>1939</v>
      </c>
      <c r="AT1471" s="21">
        <f t="shared" si="487"/>
        <v>1944</v>
      </c>
      <c r="AU1471" s="21"/>
      <c r="AV1471" s="21"/>
      <c r="AW1471" s="21"/>
    </row>
    <row r="1472" spans="1:49" x14ac:dyDescent="0.2">
      <c r="A1472">
        <v>789</v>
      </c>
      <c r="E1472">
        <f t="shared" si="482"/>
        <v>2</v>
      </c>
      <c r="F1472" s="5" t="s">
        <v>531</v>
      </c>
      <c r="G1472" s="5" t="s">
        <v>508</v>
      </c>
      <c r="H1472" s="5" t="s">
        <v>531</v>
      </c>
      <c r="I1472" s="7" t="s">
        <v>487</v>
      </c>
      <c r="J1472" t="str">
        <f t="shared" si="489"/>
        <v>3</v>
      </c>
      <c r="K1472" t="str">
        <f t="shared" si="490"/>
        <v>36</v>
      </c>
      <c r="L1472" t="str">
        <f t="shared" si="491"/>
        <v>3</v>
      </c>
      <c r="M1472" s="6" t="str">
        <f t="shared" si="492"/>
        <v>12</v>
      </c>
      <c r="N1472" t="s">
        <v>178</v>
      </c>
      <c r="O1472">
        <v>37</v>
      </c>
      <c r="P1472" t="s">
        <v>424</v>
      </c>
      <c r="Q1472" t="s">
        <v>282</v>
      </c>
      <c r="Y1472" t="str">
        <f t="shared" si="475"/>
        <v/>
      </c>
      <c r="Z1472" t="str">
        <f t="shared" si="476"/>
        <v/>
      </c>
      <c r="AC1472" t="str">
        <f t="shared" si="493"/>
        <v>DeadIce</v>
      </c>
      <c r="AD1472" t="str">
        <f t="shared" si="494"/>
        <v/>
      </c>
      <c r="AE1472" t="str">
        <f t="shared" si="495"/>
        <v/>
      </c>
      <c r="AF1472" t="str">
        <f t="shared" si="477"/>
        <v/>
      </c>
      <c r="AG1472">
        <f t="shared" si="483"/>
        <v>18981</v>
      </c>
      <c r="AH1472" t="str">
        <f t="shared" si="484"/>
        <v>Nelson</v>
      </c>
      <c r="AI1472" t="str">
        <f t="shared" si="485"/>
        <v>Velodrome</v>
      </c>
      <c r="AJ1472" s="18">
        <f t="shared" si="478"/>
        <v>24</v>
      </c>
      <c r="AP1472" s="18">
        <f t="shared" si="479"/>
        <v>0</v>
      </c>
      <c r="AQ1472">
        <f t="shared" si="480"/>
        <v>1080</v>
      </c>
      <c r="AR1472" s="23">
        <f t="shared" si="481"/>
        <v>1944</v>
      </c>
      <c r="AS1472">
        <f t="shared" si="486"/>
        <v>1939</v>
      </c>
      <c r="AT1472" s="21">
        <f t="shared" si="487"/>
        <v>1968</v>
      </c>
      <c r="AU1472" s="21"/>
      <c r="AV1472" s="21"/>
      <c r="AW1472" s="21"/>
    </row>
    <row r="1473" spans="1:49" x14ac:dyDescent="0.2">
      <c r="A1473">
        <v>790</v>
      </c>
      <c r="E1473">
        <f t="shared" si="482"/>
        <v>2</v>
      </c>
      <c r="F1473" s="5" t="s">
        <v>531</v>
      </c>
      <c r="G1473" s="5" t="s">
        <v>487</v>
      </c>
      <c r="J1473" t="str">
        <f t="shared" si="489"/>
        <v>3</v>
      </c>
      <c r="K1473" t="str">
        <f t="shared" si="490"/>
        <v>12</v>
      </c>
      <c r="L1473" t="str">
        <f t="shared" si="491"/>
        <v/>
      </c>
      <c r="M1473" s="6" t="str">
        <f t="shared" si="492"/>
        <v/>
      </c>
      <c r="N1473" t="s">
        <v>179</v>
      </c>
      <c r="O1473">
        <v>42</v>
      </c>
      <c r="P1473" t="s">
        <v>424</v>
      </c>
      <c r="Q1473" t="s">
        <v>6</v>
      </c>
      <c r="R1473" t="s">
        <v>275</v>
      </c>
      <c r="Y1473" t="str">
        <f t="shared" si="475"/>
        <v/>
      </c>
      <c r="Z1473" t="str">
        <f t="shared" si="476"/>
        <v/>
      </c>
      <c r="AC1473" t="str">
        <f t="shared" si="493"/>
        <v>Faceoff</v>
      </c>
      <c r="AD1473" t="str">
        <f t="shared" si="494"/>
        <v>Faceoff_AfterStoppage</v>
      </c>
      <c r="AE1473" t="str">
        <f t="shared" si="495"/>
        <v/>
      </c>
      <c r="AF1473" t="str">
        <f t="shared" si="477"/>
        <v>Offensive</v>
      </c>
      <c r="AG1473">
        <f t="shared" si="483"/>
        <v>18981</v>
      </c>
      <c r="AH1473" t="str">
        <f t="shared" si="484"/>
        <v>Nelson</v>
      </c>
      <c r="AI1473" t="str">
        <f t="shared" si="485"/>
        <v>Velodrome</v>
      </c>
      <c r="AJ1473" s="18">
        <f t="shared" si="478"/>
        <v>0</v>
      </c>
      <c r="AP1473" s="18">
        <f t="shared" si="479"/>
        <v>0</v>
      </c>
      <c r="AQ1473">
        <f t="shared" si="480"/>
        <v>1080</v>
      </c>
      <c r="AR1473" s="23">
        <f t="shared" si="481"/>
        <v>1968</v>
      </c>
      <c r="AS1473">
        <f t="shared" si="486"/>
        <v>1963</v>
      </c>
      <c r="AT1473" s="21">
        <f t="shared" si="487"/>
        <v>1968</v>
      </c>
      <c r="AU1473" s="21"/>
      <c r="AV1473" s="21"/>
      <c r="AW1473" s="21"/>
    </row>
    <row r="1474" spans="1:49" x14ac:dyDescent="0.2">
      <c r="A1474">
        <v>790</v>
      </c>
      <c r="E1474">
        <f t="shared" si="482"/>
        <v>2</v>
      </c>
      <c r="J1474" t="str">
        <f t="shared" si="489"/>
        <v>3</v>
      </c>
      <c r="K1474" t="str">
        <f t="shared" si="490"/>
        <v>12</v>
      </c>
      <c r="L1474" t="str">
        <f t="shared" si="491"/>
        <v/>
      </c>
      <c r="M1474" s="6" t="str">
        <f t="shared" si="492"/>
        <v/>
      </c>
      <c r="N1474" t="str">
        <f t="shared" si="488"/>
        <v>Away</v>
      </c>
      <c r="O1474">
        <v>10</v>
      </c>
      <c r="P1474" t="s">
        <v>425</v>
      </c>
      <c r="Y1474" t="str">
        <f t="shared" si="475"/>
        <v/>
      </c>
      <c r="Z1474" t="str">
        <f t="shared" si="476"/>
        <v/>
      </c>
      <c r="AC1474" t="str">
        <f t="shared" si="493"/>
        <v>Faceoff</v>
      </c>
      <c r="AD1474" t="str">
        <f t="shared" si="494"/>
        <v>Faceoff_AfterStoppage</v>
      </c>
      <c r="AE1474" t="str">
        <f t="shared" si="495"/>
        <v/>
      </c>
      <c r="AF1474" t="str">
        <f t="shared" si="477"/>
        <v>Defensive</v>
      </c>
      <c r="AG1474">
        <f t="shared" si="483"/>
        <v>18981</v>
      </c>
      <c r="AH1474" t="str">
        <f t="shared" si="484"/>
        <v>Nelson</v>
      </c>
      <c r="AI1474" t="str">
        <f t="shared" si="485"/>
        <v>Velodrome</v>
      </c>
      <c r="AJ1474" s="18">
        <f t="shared" si="478"/>
        <v>0</v>
      </c>
      <c r="AP1474" s="18">
        <f t="shared" si="479"/>
        <v>0</v>
      </c>
      <c r="AQ1474">
        <f t="shared" si="480"/>
        <v>1080</v>
      </c>
      <c r="AR1474" s="23">
        <f t="shared" si="481"/>
        <v>1968</v>
      </c>
      <c r="AS1474">
        <f t="shared" si="486"/>
        <v>1963</v>
      </c>
      <c r="AT1474" s="21">
        <f t="shared" si="487"/>
        <v>1968</v>
      </c>
      <c r="AU1474" s="21"/>
      <c r="AV1474" s="21"/>
      <c r="AW1474" s="21"/>
    </row>
    <row r="1475" spans="1:49" x14ac:dyDescent="0.2">
      <c r="A1475">
        <v>791</v>
      </c>
      <c r="E1475">
        <f t="shared" si="482"/>
        <v>2</v>
      </c>
      <c r="F1475" s="5" t="s">
        <v>531</v>
      </c>
      <c r="G1475" s="5" t="s">
        <v>483</v>
      </c>
      <c r="H1475" s="5" t="s">
        <v>531</v>
      </c>
      <c r="I1475" s="7" t="s">
        <v>482</v>
      </c>
      <c r="J1475" t="str">
        <f t="shared" si="489"/>
        <v>3</v>
      </c>
      <c r="K1475" t="str">
        <f t="shared" si="490"/>
        <v>08</v>
      </c>
      <c r="L1475" t="str">
        <f t="shared" si="491"/>
        <v>3</v>
      </c>
      <c r="M1475" s="6" t="str">
        <f t="shared" si="492"/>
        <v>07</v>
      </c>
      <c r="N1475" t="s">
        <v>179</v>
      </c>
      <c r="O1475">
        <v>91</v>
      </c>
      <c r="P1475" t="s">
        <v>424</v>
      </c>
      <c r="Q1475" t="s">
        <v>277</v>
      </c>
      <c r="R1475" t="s">
        <v>201</v>
      </c>
      <c r="S1475" t="s">
        <v>90</v>
      </c>
      <c r="Y1475" t="str">
        <f t="shared" ref="Y1475:Y1538" si="496">IF($N1475="","",IF(X1475="","",IF($N1475="Home",$X1475,IF($X1475="n","n",IF($X1475="d","o",IF($X1475="o","d",""))))))</f>
        <v/>
      </c>
      <c r="Z1475" t="str">
        <f t="shared" ref="Z1475:Z1538" si="497">IF($N1475="","",IF(X1475="","",IF($N1475="Away",$X1475,IF($X1475="n","n",IF($X1475="d","o",IF($X1475="o","d",""))))))</f>
        <v/>
      </c>
      <c r="AC1475" t="str">
        <f t="shared" si="493"/>
        <v>Zone_Entry_Exit</v>
      </c>
      <c r="AD1475" t="str">
        <f t="shared" si="494"/>
        <v>Zone_Exit</v>
      </c>
      <c r="AE1475" t="str">
        <f t="shared" si="495"/>
        <v>ZoneExit-Rush</v>
      </c>
      <c r="AF1475" t="str">
        <f t="shared" ref="AF1475:AF1538" si="498">IF(AND(P1475="e",OR(AC1475="Save",AD1475="Turnover_Takeaway",AD1475="Play_Defensive")),"Defensive",IF(AND(P1475="o",OR(AC1475="Save",AD1475="Turnover_Takeaway",AD1475="Play_Defensive")),"Offensive",IF(OR(AC1475="Deadice",AC1475="Stoppage",AC1475="Intermission"),"",IF(P1475="e","Offensive",IF(P1475="o","Defensive","")))))</f>
        <v>Offensive</v>
      </c>
      <c r="AG1475">
        <f t="shared" si="483"/>
        <v>18981</v>
      </c>
      <c r="AH1475" t="str">
        <f t="shared" si="484"/>
        <v>Nelson</v>
      </c>
      <c r="AI1475" t="str">
        <f t="shared" si="485"/>
        <v>Velodrome</v>
      </c>
      <c r="AJ1475" s="18">
        <f t="shared" ref="AJ1475:AJ1538" si="499">IF(AND(L1475="",M1475=""),0,((J1475*60)+K1475)-((L1475*60)+M1475))</f>
        <v>1</v>
      </c>
      <c r="AP1475" s="18">
        <f t="shared" ref="AP1475:AP1538" si="500">SUMIFS(AJ1475:AJ1475,Q1475:Q1475,"=Intermission")</f>
        <v>0</v>
      </c>
      <c r="AQ1475">
        <f t="shared" ref="AQ1475:AQ1538" si="501">IF(E1475=1,0,IF(E1475=2,1080+AP1475,IF(E1475=3,(1080*2)+AP1475,0)))</f>
        <v>1080</v>
      </c>
      <c r="AR1475" s="23">
        <f t="shared" ref="AR1475:AR1538" si="502">IF(Q1475="Intermission",AR1474,((1080)-((J1475*60)+K1475))+AQ1475)</f>
        <v>1972</v>
      </c>
      <c r="AS1475">
        <f t="shared" si="486"/>
        <v>1967</v>
      </c>
      <c r="AT1475" s="21">
        <f t="shared" si="487"/>
        <v>1973</v>
      </c>
      <c r="AU1475" s="21"/>
      <c r="AV1475" s="21"/>
      <c r="AW1475" s="21"/>
    </row>
    <row r="1476" spans="1:49" x14ac:dyDescent="0.2">
      <c r="A1476">
        <v>791</v>
      </c>
      <c r="E1476">
        <f t="shared" ref="E1476:E1539" si="503">IF(Q1476="Intermission",E1475+1,E1475)</f>
        <v>2</v>
      </c>
      <c r="J1476" t="str">
        <f t="shared" si="489"/>
        <v>3</v>
      </c>
      <c r="K1476" t="str">
        <f t="shared" si="490"/>
        <v>08</v>
      </c>
      <c r="L1476" t="str">
        <f t="shared" si="491"/>
        <v>3</v>
      </c>
      <c r="M1476" s="6" t="str">
        <f t="shared" si="492"/>
        <v>07</v>
      </c>
      <c r="N1476" t="str">
        <f t="shared" si="488"/>
        <v>Away</v>
      </c>
      <c r="O1476">
        <v>23</v>
      </c>
      <c r="P1476" t="s">
        <v>425</v>
      </c>
      <c r="Y1476" t="str">
        <f t="shared" si="496"/>
        <v/>
      </c>
      <c r="Z1476" t="str">
        <f t="shared" si="497"/>
        <v/>
      </c>
      <c r="AC1476" t="str">
        <f t="shared" si="493"/>
        <v>Zone_Entry_Exit</v>
      </c>
      <c r="AD1476" t="str">
        <f t="shared" si="494"/>
        <v>Zone_Exit</v>
      </c>
      <c r="AE1476" t="str">
        <f t="shared" si="495"/>
        <v>ZoneExit-Rush</v>
      </c>
      <c r="AF1476" t="str">
        <f t="shared" si="498"/>
        <v>Defensive</v>
      </c>
      <c r="AG1476">
        <f t="shared" ref="AG1476:AG1539" si="504">AG1475</f>
        <v>18981</v>
      </c>
      <c r="AH1476" t="str">
        <f t="shared" ref="AH1476:AH1539" si="505">AH1475</f>
        <v>Nelson</v>
      </c>
      <c r="AI1476" t="str">
        <f t="shared" ref="AI1476:AI1539" si="506">AI1475</f>
        <v>Velodrome</v>
      </c>
      <c r="AJ1476" s="18">
        <f t="shared" si="499"/>
        <v>1</v>
      </c>
      <c r="AP1476" s="18">
        <f t="shared" si="500"/>
        <v>0</v>
      </c>
      <c r="AQ1476">
        <f t="shared" si="501"/>
        <v>1080</v>
      </c>
      <c r="AR1476" s="23">
        <f t="shared" si="502"/>
        <v>1972</v>
      </c>
      <c r="AS1476">
        <f t="shared" ref="AS1476:AS1539" si="507">IF(AR1476&lt;5,0,AR1476-5)</f>
        <v>1967</v>
      </c>
      <c r="AT1476" s="21">
        <f t="shared" ref="AT1476:AT1539" si="508">AS1476+AJ1476+5</f>
        <v>1973</v>
      </c>
      <c r="AU1476" s="21"/>
      <c r="AV1476" s="21"/>
      <c r="AW1476" s="21"/>
    </row>
    <row r="1477" spans="1:49" x14ac:dyDescent="0.2">
      <c r="A1477">
        <v>792</v>
      </c>
      <c r="E1477">
        <f t="shared" si="503"/>
        <v>2</v>
      </c>
      <c r="F1477" s="5" t="s">
        <v>531</v>
      </c>
      <c r="G1477" s="5" t="s">
        <v>483</v>
      </c>
      <c r="H1477" s="5" t="s">
        <v>531</v>
      </c>
      <c r="I1477" s="7" t="s">
        <v>476</v>
      </c>
      <c r="J1477" t="str">
        <f t="shared" si="489"/>
        <v>3</v>
      </c>
      <c r="K1477" t="str">
        <f t="shared" si="490"/>
        <v>08</v>
      </c>
      <c r="L1477" t="str">
        <f t="shared" si="491"/>
        <v>3</v>
      </c>
      <c r="M1477" s="6" t="str">
        <f t="shared" si="492"/>
        <v>06</v>
      </c>
      <c r="N1477" t="s">
        <v>179</v>
      </c>
      <c r="O1477">
        <v>91</v>
      </c>
      <c r="P1477" t="s">
        <v>424</v>
      </c>
      <c r="Q1477" t="s">
        <v>15</v>
      </c>
      <c r="Y1477" t="str">
        <f t="shared" si="496"/>
        <v/>
      </c>
      <c r="Z1477" t="str">
        <f t="shared" si="497"/>
        <v/>
      </c>
      <c r="AC1477" t="str">
        <f t="shared" si="493"/>
        <v>Possession</v>
      </c>
      <c r="AD1477" t="str">
        <f t="shared" si="494"/>
        <v/>
      </c>
      <c r="AE1477" t="str">
        <f t="shared" si="495"/>
        <v/>
      </c>
      <c r="AF1477" t="str">
        <f t="shared" si="498"/>
        <v>Offensive</v>
      </c>
      <c r="AG1477">
        <f t="shared" si="504"/>
        <v>18981</v>
      </c>
      <c r="AH1477" t="str">
        <f t="shared" si="505"/>
        <v>Nelson</v>
      </c>
      <c r="AI1477" t="str">
        <f t="shared" si="506"/>
        <v>Velodrome</v>
      </c>
      <c r="AJ1477" s="18">
        <f t="shared" si="499"/>
        <v>2</v>
      </c>
      <c r="AP1477" s="18">
        <f t="shared" si="500"/>
        <v>0</v>
      </c>
      <c r="AQ1477">
        <f t="shared" si="501"/>
        <v>1080</v>
      </c>
      <c r="AR1477" s="23">
        <f t="shared" si="502"/>
        <v>1972</v>
      </c>
      <c r="AS1477">
        <f t="shared" si="507"/>
        <v>1967</v>
      </c>
      <c r="AT1477" s="21">
        <f t="shared" si="508"/>
        <v>1974</v>
      </c>
      <c r="AU1477" s="21"/>
      <c r="AV1477" s="21"/>
      <c r="AW1477" s="21"/>
    </row>
    <row r="1478" spans="1:49" x14ac:dyDescent="0.2">
      <c r="A1478">
        <v>793</v>
      </c>
      <c r="E1478">
        <f t="shared" si="503"/>
        <v>2</v>
      </c>
      <c r="F1478" s="5" t="s">
        <v>531</v>
      </c>
      <c r="G1478" s="5" t="s">
        <v>476</v>
      </c>
      <c r="H1478" s="5" t="s">
        <v>531</v>
      </c>
      <c r="I1478" s="7" t="s">
        <v>474</v>
      </c>
      <c r="J1478" t="str">
        <f t="shared" si="489"/>
        <v>3</v>
      </c>
      <c r="K1478" t="str">
        <f t="shared" si="490"/>
        <v>06</v>
      </c>
      <c r="L1478" t="str">
        <f t="shared" si="491"/>
        <v>3</v>
      </c>
      <c r="M1478" s="6" t="str">
        <f t="shared" si="492"/>
        <v>02</v>
      </c>
      <c r="N1478" t="s">
        <v>179</v>
      </c>
      <c r="O1478">
        <v>91</v>
      </c>
      <c r="P1478" t="s">
        <v>424</v>
      </c>
      <c r="Q1478" t="s">
        <v>277</v>
      </c>
      <c r="R1478" t="s">
        <v>191</v>
      </c>
      <c r="S1478" t="s">
        <v>87</v>
      </c>
      <c r="Y1478" t="str">
        <f t="shared" si="496"/>
        <v/>
      </c>
      <c r="Z1478" t="str">
        <f t="shared" si="497"/>
        <v/>
      </c>
      <c r="AC1478" t="str">
        <f t="shared" si="493"/>
        <v>Zone_Entry_Exit</v>
      </c>
      <c r="AD1478" t="str">
        <f t="shared" si="494"/>
        <v>Zone_Entry</v>
      </c>
      <c r="AE1478" t="str">
        <f t="shared" si="495"/>
        <v>ZoneEntry-Rush</v>
      </c>
      <c r="AF1478" t="str">
        <f t="shared" si="498"/>
        <v>Offensive</v>
      </c>
      <c r="AG1478">
        <f t="shared" si="504"/>
        <v>18981</v>
      </c>
      <c r="AH1478" t="str">
        <f t="shared" si="505"/>
        <v>Nelson</v>
      </c>
      <c r="AI1478" t="str">
        <f t="shared" si="506"/>
        <v>Velodrome</v>
      </c>
      <c r="AJ1478" s="18">
        <f t="shared" si="499"/>
        <v>4</v>
      </c>
      <c r="AP1478" s="18">
        <f t="shared" si="500"/>
        <v>0</v>
      </c>
      <c r="AQ1478">
        <f t="shared" si="501"/>
        <v>1080</v>
      </c>
      <c r="AR1478" s="23">
        <f t="shared" si="502"/>
        <v>1974</v>
      </c>
      <c r="AS1478">
        <f t="shared" si="507"/>
        <v>1969</v>
      </c>
      <c r="AT1478" s="21">
        <f t="shared" si="508"/>
        <v>1978</v>
      </c>
      <c r="AU1478" s="21"/>
      <c r="AV1478" s="21"/>
      <c r="AW1478" s="21"/>
    </row>
    <row r="1479" spans="1:49" x14ac:dyDescent="0.2">
      <c r="A1479">
        <v>793</v>
      </c>
      <c r="E1479">
        <f t="shared" si="503"/>
        <v>2</v>
      </c>
      <c r="J1479" t="str">
        <f t="shared" si="489"/>
        <v>3</v>
      </c>
      <c r="K1479" t="str">
        <f t="shared" si="490"/>
        <v>06</v>
      </c>
      <c r="L1479" t="str">
        <f t="shared" si="491"/>
        <v>3</v>
      </c>
      <c r="M1479" s="6" t="str">
        <f t="shared" si="492"/>
        <v>02</v>
      </c>
      <c r="N1479" t="str">
        <f t="shared" ref="N1479:N1541" si="509">IF(A1479=A1478,N1478,"")</f>
        <v>Away</v>
      </c>
      <c r="O1479">
        <v>24</v>
      </c>
      <c r="P1479" t="s">
        <v>424</v>
      </c>
      <c r="Y1479" t="str">
        <f t="shared" si="496"/>
        <v/>
      </c>
      <c r="Z1479" t="str">
        <f t="shared" si="497"/>
        <v/>
      </c>
      <c r="AC1479" t="str">
        <f t="shared" si="493"/>
        <v>Zone_Entry_Exit</v>
      </c>
      <c r="AD1479" t="str">
        <f t="shared" si="494"/>
        <v>Zone_Entry</v>
      </c>
      <c r="AE1479" t="str">
        <f t="shared" si="495"/>
        <v>ZoneEntry-Rush</v>
      </c>
      <c r="AF1479" t="str">
        <f t="shared" si="498"/>
        <v>Offensive</v>
      </c>
      <c r="AG1479">
        <f t="shared" si="504"/>
        <v>18981</v>
      </c>
      <c r="AH1479" t="str">
        <f t="shared" si="505"/>
        <v>Nelson</v>
      </c>
      <c r="AI1479" t="str">
        <f t="shared" si="506"/>
        <v>Velodrome</v>
      </c>
      <c r="AJ1479" s="18">
        <f t="shared" si="499"/>
        <v>4</v>
      </c>
      <c r="AP1479" s="18">
        <f t="shared" si="500"/>
        <v>0</v>
      </c>
      <c r="AQ1479">
        <f t="shared" si="501"/>
        <v>1080</v>
      </c>
      <c r="AR1479" s="23">
        <f t="shared" si="502"/>
        <v>1974</v>
      </c>
      <c r="AS1479">
        <f t="shared" si="507"/>
        <v>1969</v>
      </c>
      <c r="AT1479" s="21">
        <f t="shared" si="508"/>
        <v>1978</v>
      </c>
      <c r="AU1479" s="21"/>
      <c r="AV1479" s="21"/>
      <c r="AW1479" s="21"/>
    </row>
    <row r="1480" spans="1:49" x14ac:dyDescent="0.2">
      <c r="A1480">
        <v>793</v>
      </c>
      <c r="E1480">
        <f t="shared" si="503"/>
        <v>2</v>
      </c>
      <c r="J1480" t="str">
        <f t="shared" si="489"/>
        <v>3</v>
      </c>
      <c r="K1480" t="str">
        <f t="shared" si="490"/>
        <v>06</v>
      </c>
      <c r="L1480" t="str">
        <f t="shared" si="491"/>
        <v>3</v>
      </c>
      <c r="M1480" s="6" t="str">
        <f t="shared" si="492"/>
        <v>02</v>
      </c>
      <c r="N1480" t="str">
        <f t="shared" si="509"/>
        <v>Away</v>
      </c>
      <c r="O1480">
        <v>37</v>
      </c>
      <c r="P1480" t="s">
        <v>425</v>
      </c>
      <c r="Y1480" t="str">
        <f t="shared" si="496"/>
        <v/>
      </c>
      <c r="Z1480" t="str">
        <f t="shared" si="497"/>
        <v/>
      </c>
      <c r="AC1480" t="str">
        <f t="shared" si="493"/>
        <v>Zone_Entry_Exit</v>
      </c>
      <c r="AD1480" t="str">
        <f t="shared" si="494"/>
        <v>Zone_Entry</v>
      </c>
      <c r="AE1480" t="str">
        <f t="shared" si="495"/>
        <v>ZoneEntry-Rush</v>
      </c>
      <c r="AF1480" t="str">
        <f t="shared" si="498"/>
        <v>Defensive</v>
      </c>
      <c r="AG1480">
        <f t="shared" si="504"/>
        <v>18981</v>
      </c>
      <c r="AH1480" t="str">
        <f t="shared" si="505"/>
        <v>Nelson</v>
      </c>
      <c r="AI1480" t="str">
        <f t="shared" si="506"/>
        <v>Velodrome</v>
      </c>
      <c r="AJ1480" s="18">
        <f t="shared" si="499"/>
        <v>4</v>
      </c>
      <c r="AP1480" s="18">
        <f t="shared" si="500"/>
        <v>0</v>
      </c>
      <c r="AQ1480">
        <f t="shared" si="501"/>
        <v>1080</v>
      </c>
      <c r="AR1480" s="23">
        <f t="shared" si="502"/>
        <v>1974</v>
      </c>
      <c r="AS1480">
        <f t="shared" si="507"/>
        <v>1969</v>
      </c>
      <c r="AT1480" s="21">
        <f t="shared" si="508"/>
        <v>1978</v>
      </c>
      <c r="AU1480" s="21"/>
      <c r="AV1480" s="21"/>
      <c r="AW1480" s="21"/>
    </row>
    <row r="1481" spans="1:49" x14ac:dyDescent="0.2">
      <c r="A1481">
        <v>793</v>
      </c>
      <c r="E1481">
        <f t="shared" si="503"/>
        <v>2</v>
      </c>
      <c r="J1481" t="str">
        <f t="shared" ref="J1481:J1544" si="510">IF(F1481&lt;&gt;"",F1481,IF($A1481=$A1480,J1480,J1481))</f>
        <v>3</v>
      </c>
      <c r="K1481" t="str">
        <f t="shared" ref="K1481:K1544" si="511">IF($A1481=$A1480,K1480,G1481)</f>
        <v>06</v>
      </c>
      <c r="L1481" t="str">
        <f t="shared" ref="L1481:L1544" si="512">IF(H1481&lt;&gt;"",H1481,IF($A1481=$A1480,L1480,""))</f>
        <v>3</v>
      </c>
      <c r="M1481" s="6" t="str">
        <f t="shared" ref="M1481:M1544" si="513">IF(I1481&lt;&gt;"",I1481,IF($A1481=$A1480,M1480,""))</f>
        <v>02</v>
      </c>
      <c r="N1481" t="str">
        <f t="shared" si="509"/>
        <v>Away</v>
      </c>
      <c r="O1481">
        <v>23</v>
      </c>
      <c r="Y1481" t="str">
        <f t="shared" si="496"/>
        <v/>
      </c>
      <c r="Z1481" t="str">
        <f t="shared" si="497"/>
        <v/>
      </c>
      <c r="AC1481" t="str">
        <f t="shared" si="493"/>
        <v>Zone_Entry_Exit</v>
      </c>
      <c r="AD1481" t="str">
        <f t="shared" si="494"/>
        <v>Zone_Entry</v>
      </c>
      <c r="AE1481" t="str">
        <f t="shared" si="495"/>
        <v>ZoneEntry-Rush</v>
      </c>
      <c r="AF1481" t="str">
        <f t="shared" si="498"/>
        <v/>
      </c>
      <c r="AG1481">
        <f t="shared" si="504"/>
        <v>18981</v>
      </c>
      <c r="AH1481" t="str">
        <f t="shared" si="505"/>
        <v>Nelson</v>
      </c>
      <c r="AI1481" t="str">
        <f t="shared" si="506"/>
        <v>Velodrome</v>
      </c>
      <c r="AJ1481" s="18">
        <f t="shared" si="499"/>
        <v>4</v>
      </c>
      <c r="AP1481" s="18">
        <f t="shared" si="500"/>
        <v>0</v>
      </c>
      <c r="AQ1481">
        <f t="shared" si="501"/>
        <v>1080</v>
      </c>
      <c r="AR1481" s="23">
        <f t="shared" si="502"/>
        <v>1974</v>
      </c>
      <c r="AS1481">
        <f t="shared" si="507"/>
        <v>1969</v>
      </c>
      <c r="AT1481" s="21">
        <f t="shared" si="508"/>
        <v>1978</v>
      </c>
      <c r="AU1481" s="21"/>
      <c r="AV1481" s="21"/>
      <c r="AW1481" s="21"/>
    </row>
    <row r="1482" spans="1:49" x14ac:dyDescent="0.2">
      <c r="A1482">
        <v>794</v>
      </c>
      <c r="E1482">
        <f t="shared" si="503"/>
        <v>2</v>
      </c>
      <c r="F1482" s="5" t="s">
        <v>531</v>
      </c>
      <c r="G1482" s="5" t="s">
        <v>474</v>
      </c>
      <c r="J1482" t="str">
        <f t="shared" si="510"/>
        <v>3</v>
      </c>
      <c r="K1482" t="str">
        <f t="shared" si="511"/>
        <v>02</v>
      </c>
      <c r="L1482" t="str">
        <f t="shared" si="512"/>
        <v/>
      </c>
      <c r="M1482" s="6" t="str">
        <f t="shared" si="513"/>
        <v/>
      </c>
      <c r="N1482" t="s">
        <v>179</v>
      </c>
      <c r="O1482">
        <v>91</v>
      </c>
      <c r="P1482" t="s">
        <v>424</v>
      </c>
      <c r="Q1482" t="s">
        <v>8</v>
      </c>
      <c r="R1482" t="s">
        <v>209</v>
      </c>
      <c r="S1482" t="s">
        <v>70</v>
      </c>
      <c r="Y1482" t="str">
        <f t="shared" si="496"/>
        <v/>
      </c>
      <c r="Z1482" t="str">
        <f t="shared" si="497"/>
        <v/>
      </c>
      <c r="AC1482" t="str">
        <f t="shared" si="493"/>
        <v>Pass</v>
      </c>
      <c r="AD1482" t="str">
        <f t="shared" si="494"/>
        <v>Pass_Deflected</v>
      </c>
      <c r="AE1482" t="str">
        <f t="shared" si="495"/>
        <v>Pass-Forehand</v>
      </c>
      <c r="AF1482" t="str">
        <f t="shared" si="498"/>
        <v>Offensive</v>
      </c>
      <c r="AG1482">
        <f t="shared" si="504"/>
        <v>18981</v>
      </c>
      <c r="AH1482" t="str">
        <f t="shared" si="505"/>
        <v>Nelson</v>
      </c>
      <c r="AI1482" t="str">
        <f t="shared" si="506"/>
        <v>Velodrome</v>
      </c>
      <c r="AJ1482" s="18">
        <f t="shared" si="499"/>
        <v>0</v>
      </c>
      <c r="AP1482" s="18">
        <f t="shared" si="500"/>
        <v>0</v>
      </c>
      <c r="AQ1482">
        <f t="shared" si="501"/>
        <v>1080</v>
      </c>
      <c r="AR1482" s="23">
        <f t="shared" si="502"/>
        <v>1978</v>
      </c>
      <c r="AS1482">
        <f t="shared" si="507"/>
        <v>1973</v>
      </c>
      <c r="AT1482" s="21">
        <f t="shared" si="508"/>
        <v>1978</v>
      </c>
      <c r="AU1482" s="21"/>
      <c r="AV1482" s="21"/>
      <c r="AW1482" s="21"/>
    </row>
    <row r="1483" spans="1:49" x14ac:dyDescent="0.2">
      <c r="A1483">
        <v>794</v>
      </c>
      <c r="E1483">
        <f t="shared" si="503"/>
        <v>2</v>
      </c>
      <c r="J1483" t="str">
        <f t="shared" si="510"/>
        <v>3</v>
      </c>
      <c r="K1483" t="str">
        <f t="shared" si="511"/>
        <v>02</v>
      </c>
      <c r="L1483" t="str">
        <f t="shared" si="512"/>
        <v/>
      </c>
      <c r="M1483" s="6" t="str">
        <f t="shared" si="513"/>
        <v/>
      </c>
      <c r="N1483" t="str">
        <f t="shared" si="509"/>
        <v>Away</v>
      </c>
      <c r="O1483">
        <v>42</v>
      </c>
      <c r="P1483" t="s">
        <v>424</v>
      </c>
      <c r="Y1483" t="str">
        <f t="shared" si="496"/>
        <v/>
      </c>
      <c r="Z1483" t="str">
        <f t="shared" si="497"/>
        <v/>
      </c>
      <c r="AC1483" t="str">
        <f t="shared" si="493"/>
        <v>Pass</v>
      </c>
      <c r="AD1483" t="str">
        <f t="shared" si="494"/>
        <v>Pass_Deflected</v>
      </c>
      <c r="AE1483" t="str">
        <f t="shared" si="495"/>
        <v>Pass-Forehand</v>
      </c>
      <c r="AF1483" t="str">
        <f t="shared" si="498"/>
        <v>Offensive</v>
      </c>
      <c r="AG1483">
        <f t="shared" si="504"/>
        <v>18981</v>
      </c>
      <c r="AH1483" t="str">
        <f t="shared" si="505"/>
        <v>Nelson</v>
      </c>
      <c r="AI1483" t="str">
        <f t="shared" si="506"/>
        <v>Velodrome</v>
      </c>
      <c r="AJ1483" s="18">
        <f t="shared" si="499"/>
        <v>0</v>
      </c>
      <c r="AP1483" s="18">
        <f t="shared" si="500"/>
        <v>0</v>
      </c>
      <c r="AQ1483">
        <f t="shared" si="501"/>
        <v>1080</v>
      </c>
      <c r="AR1483" s="23">
        <f t="shared" si="502"/>
        <v>1978</v>
      </c>
      <c r="AS1483">
        <f t="shared" si="507"/>
        <v>1973</v>
      </c>
      <c r="AT1483" s="21">
        <f t="shared" si="508"/>
        <v>1978</v>
      </c>
      <c r="AU1483" s="21"/>
      <c r="AV1483" s="21"/>
      <c r="AW1483" s="21"/>
    </row>
    <row r="1484" spans="1:49" x14ac:dyDescent="0.2">
      <c r="A1484">
        <v>794</v>
      </c>
      <c r="E1484">
        <f t="shared" si="503"/>
        <v>2</v>
      </c>
      <c r="J1484" t="str">
        <f t="shared" si="510"/>
        <v>3</v>
      </c>
      <c r="K1484" t="str">
        <f t="shared" si="511"/>
        <v>02</v>
      </c>
      <c r="L1484" t="str">
        <f t="shared" si="512"/>
        <v/>
      </c>
      <c r="M1484" s="6" t="str">
        <f t="shared" si="513"/>
        <v/>
      </c>
      <c r="N1484" t="str">
        <f t="shared" si="509"/>
        <v>Away</v>
      </c>
      <c r="O1484">
        <v>37</v>
      </c>
      <c r="P1484" t="s">
        <v>425</v>
      </c>
      <c r="Y1484" t="str">
        <f t="shared" si="496"/>
        <v/>
      </c>
      <c r="Z1484" t="str">
        <f t="shared" si="497"/>
        <v/>
      </c>
      <c r="AC1484" t="str">
        <f t="shared" si="493"/>
        <v>Pass</v>
      </c>
      <c r="AD1484" t="str">
        <f t="shared" si="494"/>
        <v>Pass_Deflected</v>
      </c>
      <c r="AE1484" t="str">
        <f t="shared" si="495"/>
        <v>Pass-Forehand</v>
      </c>
      <c r="AF1484" t="str">
        <f t="shared" si="498"/>
        <v>Defensive</v>
      </c>
      <c r="AG1484">
        <f t="shared" si="504"/>
        <v>18981</v>
      </c>
      <c r="AH1484" t="str">
        <f t="shared" si="505"/>
        <v>Nelson</v>
      </c>
      <c r="AI1484" t="str">
        <f t="shared" si="506"/>
        <v>Velodrome</v>
      </c>
      <c r="AJ1484" s="18">
        <f t="shared" si="499"/>
        <v>0</v>
      </c>
      <c r="AP1484" s="18">
        <f t="shared" si="500"/>
        <v>0</v>
      </c>
      <c r="AQ1484">
        <f t="shared" si="501"/>
        <v>1080</v>
      </c>
      <c r="AR1484" s="23">
        <f t="shared" si="502"/>
        <v>1978</v>
      </c>
      <c r="AS1484">
        <f t="shared" si="507"/>
        <v>1973</v>
      </c>
      <c r="AT1484" s="21">
        <f t="shared" si="508"/>
        <v>1978</v>
      </c>
      <c r="AU1484" s="21"/>
      <c r="AV1484" s="21"/>
      <c r="AW1484" s="21"/>
    </row>
    <row r="1485" spans="1:49" x14ac:dyDescent="0.2">
      <c r="A1485">
        <v>795</v>
      </c>
      <c r="E1485">
        <f t="shared" si="503"/>
        <v>2</v>
      </c>
      <c r="F1485" s="5" t="s">
        <v>531</v>
      </c>
      <c r="G1485" s="5" t="s">
        <v>474</v>
      </c>
      <c r="J1485" t="str">
        <f t="shared" si="510"/>
        <v>3</v>
      </c>
      <c r="K1485" t="str">
        <f t="shared" si="511"/>
        <v>02</v>
      </c>
      <c r="L1485" t="str">
        <f t="shared" si="512"/>
        <v/>
      </c>
      <c r="M1485" s="6" t="str">
        <f t="shared" si="513"/>
        <v/>
      </c>
      <c r="N1485" t="s">
        <v>179</v>
      </c>
      <c r="O1485">
        <v>91</v>
      </c>
      <c r="P1485" t="s">
        <v>424</v>
      </c>
      <c r="Q1485" t="s">
        <v>10</v>
      </c>
      <c r="R1485" t="s">
        <v>190</v>
      </c>
      <c r="S1485" t="s">
        <v>77</v>
      </c>
      <c r="Y1485" t="str">
        <f t="shared" si="496"/>
        <v/>
      </c>
      <c r="Z1485" t="str">
        <f t="shared" si="497"/>
        <v/>
      </c>
      <c r="AC1485" t="str">
        <f t="shared" si="493"/>
        <v>Turnover</v>
      </c>
      <c r="AD1485" t="str">
        <f t="shared" si="494"/>
        <v>Turnover_Giveaway</v>
      </c>
      <c r="AE1485" t="str">
        <f t="shared" si="495"/>
        <v>Giveaway-PassBlocked</v>
      </c>
      <c r="AF1485" t="str">
        <f t="shared" si="498"/>
        <v>Offensive</v>
      </c>
      <c r="AG1485">
        <f t="shared" si="504"/>
        <v>18981</v>
      </c>
      <c r="AH1485" t="str">
        <f t="shared" si="505"/>
        <v>Nelson</v>
      </c>
      <c r="AI1485" t="str">
        <f t="shared" si="506"/>
        <v>Velodrome</v>
      </c>
      <c r="AJ1485" s="18">
        <f t="shared" si="499"/>
        <v>0</v>
      </c>
      <c r="AP1485" s="18">
        <f t="shared" si="500"/>
        <v>0</v>
      </c>
      <c r="AQ1485">
        <f t="shared" si="501"/>
        <v>1080</v>
      </c>
      <c r="AR1485" s="23">
        <f t="shared" si="502"/>
        <v>1978</v>
      </c>
      <c r="AS1485">
        <f t="shared" si="507"/>
        <v>1973</v>
      </c>
      <c r="AT1485" s="21">
        <f t="shared" si="508"/>
        <v>1978</v>
      </c>
      <c r="AU1485" s="21"/>
      <c r="AV1485" s="21"/>
      <c r="AW1485" s="21"/>
    </row>
    <row r="1486" spans="1:49" x14ac:dyDescent="0.2">
      <c r="A1486">
        <v>796</v>
      </c>
      <c r="E1486">
        <f t="shared" si="503"/>
        <v>2</v>
      </c>
      <c r="F1486" s="5" t="s">
        <v>531</v>
      </c>
      <c r="G1486" s="5" t="s">
        <v>474</v>
      </c>
      <c r="H1486" s="5" t="s">
        <v>534</v>
      </c>
      <c r="I1486" s="7" t="s">
        <v>530</v>
      </c>
      <c r="J1486" t="str">
        <f t="shared" si="510"/>
        <v>3</v>
      </c>
      <c r="K1486" t="str">
        <f t="shared" si="511"/>
        <v>02</v>
      </c>
      <c r="L1486" t="str">
        <f t="shared" si="512"/>
        <v>2</v>
      </c>
      <c r="M1486" s="6" t="str">
        <f t="shared" si="513"/>
        <v>58</v>
      </c>
      <c r="N1486" t="s">
        <v>178</v>
      </c>
      <c r="O1486">
        <v>10</v>
      </c>
      <c r="P1486" t="s">
        <v>424</v>
      </c>
      <c r="Q1486" t="s">
        <v>277</v>
      </c>
      <c r="R1486" t="s">
        <v>201</v>
      </c>
      <c r="S1486" t="s">
        <v>90</v>
      </c>
      <c r="Y1486" t="str">
        <f t="shared" si="496"/>
        <v/>
      </c>
      <c r="Z1486" t="str">
        <f t="shared" si="497"/>
        <v/>
      </c>
      <c r="AC1486" t="str">
        <f t="shared" si="493"/>
        <v>Zone_Entry_Exit</v>
      </c>
      <c r="AD1486" t="str">
        <f t="shared" si="494"/>
        <v>Zone_Exit</v>
      </c>
      <c r="AE1486" t="str">
        <f t="shared" si="495"/>
        <v>ZoneExit-Rush</v>
      </c>
      <c r="AF1486" t="str">
        <f t="shared" si="498"/>
        <v>Offensive</v>
      </c>
      <c r="AG1486">
        <f t="shared" si="504"/>
        <v>18981</v>
      </c>
      <c r="AH1486" t="str">
        <f t="shared" si="505"/>
        <v>Nelson</v>
      </c>
      <c r="AI1486" t="str">
        <f t="shared" si="506"/>
        <v>Velodrome</v>
      </c>
      <c r="AJ1486" s="18">
        <f t="shared" si="499"/>
        <v>4</v>
      </c>
      <c r="AP1486" s="18">
        <f t="shared" si="500"/>
        <v>0</v>
      </c>
      <c r="AQ1486">
        <f t="shared" si="501"/>
        <v>1080</v>
      </c>
      <c r="AR1486" s="23">
        <f t="shared" si="502"/>
        <v>1978</v>
      </c>
      <c r="AS1486">
        <f t="shared" si="507"/>
        <v>1973</v>
      </c>
      <c r="AT1486" s="21">
        <f t="shared" si="508"/>
        <v>1982</v>
      </c>
      <c r="AU1486" s="21"/>
      <c r="AV1486" s="21"/>
      <c r="AW1486" s="21"/>
    </row>
    <row r="1487" spans="1:49" x14ac:dyDescent="0.2">
      <c r="A1487">
        <v>797</v>
      </c>
      <c r="E1487">
        <f t="shared" si="503"/>
        <v>2</v>
      </c>
      <c r="F1487" s="5" t="s">
        <v>534</v>
      </c>
      <c r="G1487" s="5" t="s">
        <v>530</v>
      </c>
      <c r="H1487" s="5" t="s">
        <v>534</v>
      </c>
      <c r="I1487" s="7" t="s">
        <v>528</v>
      </c>
      <c r="J1487" t="str">
        <f t="shared" si="510"/>
        <v>2</v>
      </c>
      <c r="K1487" t="str">
        <f t="shared" si="511"/>
        <v>58</v>
      </c>
      <c r="L1487" t="str">
        <f t="shared" si="512"/>
        <v>2</v>
      </c>
      <c r="M1487" s="6" t="str">
        <f t="shared" si="513"/>
        <v>56</v>
      </c>
      <c r="N1487" t="s">
        <v>178</v>
      </c>
      <c r="O1487">
        <v>10</v>
      </c>
      <c r="P1487" t="s">
        <v>424</v>
      </c>
      <c r="Q1487" t="s">
        <v>15</v>
      </c>
      <c r="Y1487" t="str">
        <f t="shared" si="496"/>
        <v/>
      </c>
      <c r="Z1487" t="str">
        <f t="shared" si="497"/>
        <v/>
      </c>
      <c r="AC1487" t="str">
        <f t="shared" si="493"/>
        <v>Possession</v>
      </c>
      <c r="AD1487" t="str">
        <f t="shared" si="494"/>
        <v/>
      </c>
      <c r="AE1487" t="str">
        <f t="shared" si="495"/>
        <v/>
      </c>
      <c r="AF1487" t="str">
        <f t="shared" si="498"/>
        <v>Offensive</v>
      </c>
      <c r="AG1487">
        <f t="shared" si="504"/>
        <v>18981</v>
      </c>
      <c r="AH1487" t="str">
        <f t="shared" si="505"/>
        <v>Nelson</v>
      </c>
      <c r="AI1487" t="str">
        <f t="shared" si="506"/>
        <v>Velodrome</v>
      </c>
      <c r="AJ1487" s="18">
        <f t="shared" si="499"/>
        <v>2</v>
      </c>
      <c r="AP1487" s="18">
        <f t="shared" si="500"/>
        <v>0</v>
      </c>
      <c r="AQ1487">
        <f t="shared" si="501"/>
        <v>1080</v>
      </c>
      <c r="AR1487" s="23">
        <f t="shared" si="502"/>
        <v>1982</v>
      </c>
      <c r="AS1487">
        <f t="shared" si="507"/>
        <v>1977</v>
      </c>
      <c r="AT1487" s="21">
        <f t="shared" si="508"/>
        <v>1984</v>
      </c>
      <c r="AU1487" s="21"/>
      <c r="AV1487" s="21"/>
      <c r="AW1487" s="21"/>
    </row>
    <row r="1488" spans="1:49" x14ac:dyDescent="0.2">
      <c r="A1488">
        <v>798</v>
      </c>
      <c r="E1488">
        <f t="shared" si="503"/>
        <v>2</v>
      </c>
      <c r="F1488" s="5" t="s">
        <v>534</v>
      </c>
      <c r="G1488" s="5" t="s">
        <v>528</v>
      </c>
      <c r="H1488" s="5" t="s">
        <v>534</v>
      </c>
      <c r="I1488" s="7" t="s">
        <v>526</v>
      </c>
      <c r="J1488" t="str">
        <f t="shared" si="510"/>
        <v>2</v>
      </c>
      <c r="K1488" t="str">
        <f t="shared" si="511"/>
        <v>56</v>
      </c>
      <c r="L1488" t="str">
        <f t="shared" si="512"/>
        <v>2</v>
      </c>
      <c r="M1488" s="6" t="str">
        <f t="shared" si="513"/>
        <v>54</v>
      </c>
      <c r="N1488" t="s">
        <v>178</v>
      </c>
      <c r="O1488">
        <v>10</v>
      </c>
      <c r="P1488" t="s">
        <v>424</v>
      </c>
      <c r="Q1488" t="s">
        <v>277</v>
      </c>
      <c r="R1488" t="s">
        <v>191</v>
      </c>
      <c r="S1488" t="s">
        <v>87</v>
      </c>
      <c r="Y1488" t="str">
        <f t="shared" si="496"/>
        <v/>
      </c>
      <c r="Z1488" t="str">
        <f t="shared" si="497"/>
        <v/>
      </c>
      <c r="AC1488" t="str">
        <f t="shared" si="493"/>
        <v>Zone_Entry_Exit</v>
      </c>
      <c r="AD1488" t="str">
        <f t="shared" si="494"/>
        <v>Zone_Entry</v>
      </c>
      <c r="AE1488" t="str">
        <f t="shared" si="495"/>
        <v>ZoneEntry-Rush</v>
      </c>
      <c r="AF1488" t="str">
        <f t="shared" si="498"/>
        <v>Offensive</v>
      </c>
      <c r="AG1488">
        <f t="shared" si="504"/>
        <v>18981</v>
      </c>
      <c r="AH1488" t="str">
        <f t="shared" si="505"/>
        <v>Nelson</v>
      </c>
      <c r="AI1488" t="str">
        <f t="shared" si="506"/>
        <v>Velodrome</v>
      </c>
      <c r="AJ1488" s="18">
        <f t="shared" si="499"/>
        <v>2</v>
      </c>
      <c r="AP1488" s="18">
        <f t="shared" si="500"/>
        <v>0</v>
      </c>
      <c r="AQ1488">
        <f t="shared" si="501"/>
        <v>1080</v>
      </c>
      <c r="AR1488" s="23">
        <f t="shared" si="502"/>
        <v>1984</v>
      </c>
      <c r="AS1488">
        <f t="shared" si="507"/>
        <v>1979</v>
      </c>
      <c r="AT1488" s="21">
        <f t="shared" si="508"/>
        <v>1986</v>
      </c>
      <c r="AU1488" s="21"/>
      <c r="AV1488" s="21"/>
      <c r="AW1488" s="21"/>
    </row>
    <row r="1489" spans="1:49" x14ac:dyDescent="0.2">
      <c r="A1489">
        <v>798</v>
      </c>
      <c r="E1489">
        <f t="shared" si="503"/>
        <v>2</v>
      </c>
      <c r="J1489" t="str">
        <f t="shared" si="510"/>
        <v>2</v>
      </c>
      <c r="K1489" t="str">
        <f t="shared" si="511"/>
        <v>56</v>
      </c>
      <c r="L1489" t="str">
        <f t="shared" si="512"/>
        <v>2</v>
      </c>
      <c r="M1489" s="6" t="str">
        <f t="shared" si="513"/>
        <v>54</v>
      </c>
      <c r="N1489" t="str">
        <f t="shared" si="509"/>
        <v>Home</v>
      </c>
      <c r="O1489">
        <v>44</v>
      </c>
      <c r="P1489" t="s">
        <v>424</v>
      </c>
      <c r="Y1489" t="str">
        <f t="shared" si="496"/>
        <v/>
      </c>
      <c r="Z1489" t="str">
        <f t="shared" si="497"/>
        <v/>
      </c>
      <c r="AC1489" t="str">
        <f t="shared" si="493"/>
        <v>Zone_Entry_Exit</v>
      </c>
      <c r="AD1489" t="str">
        <f t="shared" si="494"/>
        <v>Zone_Entry</v>
      </c>
      <c r="AE1489" t="str">
        <f t="shared" si="495"/>
        <v>ZoneEntry-Rush</v>
      </c>
      <c r="AF1489" t="str">
        <f t="shared" si="498"/>
        <v>Offensive</v>
      </c>
      <c r="AG1489">
        <f t="shared" si="504"/>
        <v>18981</v>
      </c>
      <c r="AH1489" t="str">
        <f t="shared" si="505"/>
        <v>Nelson</v>
      </c>
      <c r="AI1489" t="str">
        <f t="shared" si="506"/>
        <v>Velodrome</v>
      </c>
      <c r="AJ1489" s="18">
        <f t="shared" si="499"/>
        <v>2</v>
      </c>
      <c r="AP1489" s="18">
        <f t="shared" si="500"/>
        <v>0</v>
      </c>
      <c r="AQ1489">
        <f t="shared" si="501"/>
        <v>1080</v>
      </c>
      <c r="AR1489" s="23">
        <f t="shared" si="502"/>
        <v>1984</v>
      </c>
      <c r="AS1489">
        <f t="shared" si="507"/>
        <v>1979</v>
      </c>
      <c r="AT1489" s="21">
        <f t="shared" si="508"/>
        <v>1986</v>
      </c>
      <c r="AU1489" s="21"/>
      <c r="AV1489" s="21"/>
      <c r="AW1489" s="21"/>
    </row>
    <row r="1490" spans="1:49" x14ac:dyDescent="0.2">
      <c r="A1490">
        <v>798</v>
      </c>
      <c r="E1490">
        <f t="shared" si="503"/>
        <v>2</v>
      </c>
      <c r="J1490" t="str">
        <f t="shared" si="510"/>
        <v>2</v>
      </c>
      <c r="K1490" t="str">
        <f t="shared" si="511"/>
        <v>56</v>
      </c>
      <c r="L1490" t="str">
        <f t="shared" si="512"/>
        <v>2</v>
      </c>
      <c r="M1490" s="6" t="str">
        <f t="shared" si="513"/>
        <v>54</v>
      </c>
      <c r="N1490" t="str">
        <f t="shared" si="509"/>
        <v>Home</v>
      </c>
      <c r="O1490">
        <v>52</v>
      </c>
      <c r="P1490" t="s">
        <v>425</v>
      </c>
      <c r="Y1490" t="str">
        <f t="shared" si="496"/>
        <v/>
      </c>
      <c r="Z1490" t="str">
        <f t="shared" si="497"/>
        <v/>
      </c>
      <c r="AC1490" t="str">
        <f t="shared" si="493"/>
        <v>Zone_Entry_Exit</v>
      </c>
      <c r="AD1490" t="str">
        <f t="shared" si="494"/>
        <v>Zone_Entry</v>
      </c>
      <c r="AE1490" t="str">
        <f t="shared" si="495"/>
        <v>ZoneEntry-Rush</v>
      </c>
      <c r="AF1490" t="str">
        <f t="shared" si="498"/>
        <v>Defensive</v>
      </c>
      <c r="AG1490">
        <f t="shared" si="504"/>
        <v>18981</v>
      </c>
      <c r="AH1490" t="str">
        <f t="shared" si="505"/>
        <v>Nelson</v>
      </c>
      <c r="AI1490" t="str">
        <f t="shared" si="506"/>
        <v>Velodrome</v>
      </c>
      <c r="AJ1490" s="18">
        <f t="shared" si="499"/>
        <v>2</v>
      </c>
      <c r="AP1490" s="18">
        <f t="shared" si="500"/>
        <v>0</v>
      </c>
      <c r="AQ1490">
        <f t="shared" si="501"/>
        <v>1080</v>
      </c>
      <c r="AR1490" s="23">
        <f t="shared" si="502"/>
        <v>1984</v>
      </c>
      <c r="AS1490">
        <f t="shared" si="507"/>
        <v>1979</v>
      </c>
      <c r="AT1490" s="21">
        <f t="shared" si="508"/>
        <v>1986</v>
      </c>
      <c r="AU1490" s="21"/>
      <c r="AV1490" s="21"/>
      <c r="AW1490" s="21"/>
    </row>
    <row r="1491" spans="1:49" x14ac:dyDescent="0.2">
      <c r="A1491">
        <v>798</v>
      </c>
      <c r="E1491">
        <f t="shared" si="503"/>
        <v>2</v>
      </c>
      <c r="J1491" t="str">
        <f t="shared" si="510"/>
        <v>2</v>
      </c>
      <c r="K1491" t="str">
        <f t="shared" si="511"/>
        <v>56</v>
      </c>
      <c r="L1491" t="str">
        <f t="shared" si="512"/>
        <v>2</v>
      </c>
      <c r="M1491" s="6" t="str">
        <f t="shared" si="513"/>
        <v>54</v>
      </c>
      <c r="N1491" t="str">
        <f t="shared" si="509"/>
        <v>Home</v>
      </c>
      <c r="O1491">
        <v>22</v>
      </c>
      <c r="P1491" t="s">
        <v>425</v>
      </c>
      <c r="Y1491" t="str">
        <f t="shared" si="496"/>
        <v/>
      </c>
      <c r="Z1491" t="str">
        <f t="shared" si="497"/>
        <v/>
      </c>
      <c r="AC1491" t="str">
        <f t="shared" si="493"/>
        <v>Zone_Entry_Exit</v>
      </c>
      <c r="AD1491" t="str">
        <f t="shared" si="494"/>
        <v>Zone_Entry</v>
      </c>
      <c r="AE1491" t="str">
        <f t="shared" si="495"/>
        <v>ZoneEntry-Rush</v>
      </c>
      <c r="AF1491" t="str">
        <f t="shared" si="498"/>
        <v>Defensive</v>
      </c>
      <c r="AG1491">
        <f t="shared" si="504"/>
        <v>18981</v>
      </c>
      <c r="AH1491" t="str">
        <f t="shared" si="505"/>
        <v>Nelson</v>
      </c>
      <c r="AI1491" t="str">
        <f t="shared" si="506"/>
        <v>Velodrome</v>
      </c>
      <c r="AJ1491" s="18">
        <f t="shared" si="499"/>
        <v>2</v>
      </c>
      <c r="AP1491" s="18">
        <f t="shared" si="500"/>
        <v>0</v>
      </c>
      <c r="AQ1491">
        <f t="shared" si="501"/>
        <v>1080</v>
      </c>
      <c r="AR1491" s="23">
        <f t="shared" si="502"/>
        <v>1984</v>
      </c>
      <c r="AS1491">
        <f t="shared" si="507"/>
        <v>1979</v>
      </c>
      <c r="AT1491" s="21">
        <f t="shared" si="508"/>
        <v>1986</v>
      </c>
      <c r="AU1491" s="21"/>
      <c r="AV1491" s="21"/>
      <c r="AW1491" s="21"/>
    </row>
    <row r="1492" spans="1:49" x14ac:dyDescent="0.2">
      <c r="A1492">
        <v>798</v>
      </c>
      <c r="E1492">
        <f t="shared" si="503"/>
        <v>2</v>
      </c>
      <c r="J1492" t="str">
        <f t="shared" si="510"/>
        <v>2</v>
      </c>
      <c r="K1492" t="str">
        <f t="shared" si="511"/>
        <v>56</v>
      </c>
      <c r="L1492" t="str">
        <f t="shared" si="512"/>
        <v>2</v>
      </c>
      <c r="M1492" s="6" t="str">
        <f t="shared" si="513"/>
        <v>54</v>
      </c>
      <c r="N1492" t="str">
        <f t="shared" si="509"/>
        <v>Home</v>
      </c>
      <c r="O1492">
        <v>91</v>
      </c>
      <c r="P1492" t="s">
        <v>425</v>
      </c>
      <c r="Y1492" t="str">
        <f t="shared" si="496"/>
        <v/>
      </c>
      <c r="Z1492" t="str">
        <f t="shared" si="497"/>
        <v/>
      </c>
      <c r="AC1492" t="str">
        <f t="shared" si="493"/>
        <v>Zone_Entry_Exit</v>
      </c>
      <c r="AD1492" t="str">
        <f t="shared" si="494"/>
        <v>Zone_Entry</v>
      </c>
      <c r="AE1492" t="str">
        <f t="shared" si="495"/>
        <v>ZoneEntry-Rush</v>
      </c>
      <c r="AF1492" t="str">
        <f t="shared" si="498"/>
        <v>Defensive</v>
      </c>
      <c r="AG1492">
        <f t="shared" si="504"/>
        <v>18981</v>
      </c>
      <c r="AH1492" t="str">
        <f t="shared" si="505"/>
        <v>Nelson</v>
      </c>
      <c r="AI1492" t="str">
        <f t="shared" si="506"/>
        <v>Velodrome</v>
      </c>
      <c r="AJ1492" s="18">
        <f t="shared" si="499"/>
        <v>2</v>
      </c>
      <c r="AP1492" s="18">
        <f t="shared" si="500"/>
        <v>0</v>
      </c>
      <c r="AQ1492">
        <f t="shared" si="501"/>
        <v>1080</v>
      </c>
      <c r="AR1492" s="23">
        <f t="shared" si="502"/>
        <v>1984</v>
      </c>
      <c r="AS1492">
        <f t="shared" si="507"/>
        <v>1979</v>
      </c>
      <c r="AT1492" s="21">
        <f t="shared" si="508"/>
        <v>1986</v>
      </c>
      <c r="AU1492" s="21"/>
      <c r="AV1492" s="21"/>
      <c r="AW1492" s="21"/>
    </row>
    <row r="1493" spans="1:49" x14ac:dyDescent="0.2">
      <c r="A1493">
        <v>799</v>
      </c>
      <c r="E1493">
        <f t="shared" si="503"/>
        <v>2</v>
      </c>
      <c r="F1493" s="5" t="s">
        <v>534</v>
      </c>
      <c r="G1493" s="5" t="s">
        <v>526</v>
      </c>
      <c r="J1493" t="str">
        <f t="shared" si="510"/>
        <v>2</v>
      </c>
      <c r="K1493" t="str">
        <f t="shared" si="511"/>
        <v>54</v>
      </c>
      <c r="L1493" t="str">
        <f t="shared" si="512"/>
        <v/>
      </c>
      <c r="M1493" s="6" t="str">
        <f t="shared" si="513"/>
        <v/>
      </c>
      <c r="N1493" t="s">
        <v>178</v>
      </c>
      <c r="O1493">
        <v>10</v>
      </c>
      <c r="P1493" t="s">
        <v>424</v>
      </c>
      <c r="Q1493" t="s">
        <v>247</v>
      </c>
      <c r="R1493" t="s">
        <v>445</v>
      </c>
      <c r="S1493" t="s">
        <v>574</v>
      </c>
      <c r="Y1493" t="str">
        <f t="shared" si="496"/>
        <v/>
      </c>
      <c r="Z1493" t="str">
        <f t="shared" si="497"/>
        <v/>
      </c>
      <c r="AC1493" t="str">
        <f t="shared" si="493"/>
        <v>Play</v>
      </c>
      <c r="AD1493" t="str">
        <f t="shared" si="494"/>
        <v>Play_Offensive</v>
      </c>
      <c r="AE1493" t="str">
        <f t="shared" si="495"/>
        <v>Play-Deke</v>
      </c>
      <c r="AF1493" t="str">
        <f t="shared" si="498"/>
        <v>Offensive</v>
      </c>
      <c r="AG1493">
        <f t="shared" si="504"/>
        <v>18981</v>
      </c>
      <c r="AH1493" t="str">
        <f t="shared" si="505"/>
        <v>Nelson</v>
      </c>
      <c r="AI1493" t="str">
        <f t="shared" si="506"/>
        <v>Velodrome</v>
      </c>
      <c r="AJ1493" s="18">
        <f t="shared" si="499"/>
        <v>0</v>
      </c>
      <c r="AP1493" s="18">
        <f t="shared" si="500"/>
        <v>0</v>
      </c>
      <c r="AQ1493">
        <f t="shared" si="501"/>
        <v>1080</v>
      </c>
      <c r="AR1493" s="23">
        <f t="shared" si="502"/>
        <v>1986</v>
      </c>
      <c r="AS1493">
        <f t="shared" si="507"/>
        <v>1981</v>
      </c>
      <c r="AT1493" s="21">
        <f t="shared" si="508"/>
        <v>1986</v>
      </c>
      <c r="AU1493" s="21"/>
      <c r="AV1493" s="21"/>
      <c r="AW1493" s="21"/>
    </row>
    <row r="1494" spans="1:49" x14ac:dyDescent="0.2">
      <c r="A1494">
        <v>799</v>
      </c>
      <c r="E1494">
        <f t="shared" si="503"/>
        <v>2</v>
      </c>
      <c r="J1494" t="str">
        <f t="shared" si="510"/>
        <v>2</v>
      </c>
      <c r="K1494" t="str">
        <f t="shared" si="511"/>
        <v>54</v>
      </c>
      <c r="L1494" t="str">
        <f t="shared" si="512"/>
        <v/>
      </c>
      <c r="M1494" s="6" t="str">
        <f t="shared" si="513"/>
        <v/>
      </c>
      <c r="N1494" t="str">
        <f t="shared" si="509"/>
        <v>Home</v>
      </c>
      <c r="O1494">
        <v>52</v>
      </c>
      <c r="P1494" t="s">
        <v>425</v>
      </c>
      <c r="Y1494" t="str">
        <f t="shared" si="496"/>
        <v/>
      </c>
      <c r="Z1494" t="str">
        <f t="shared" si="497"/>
        <v/>
      </c>
      <c r="AC1494" t="str">
        <f t="shared" si="493"/>
        <v>Play</v>
      </c>
      <c r="AD1494" t="str">
        <f t="shared" si="494"/>
        <v>Play_Offensive</v>
      </c>
      <c r="AE1494" t="str">
        <f t="shared" si="495"/>
        <v>Play-Deke</v>
      </c>
      <c r="AF1494" t="str">
        <f t="shared" si="498"/>
        <v>Defensive</v>
      </c>
      <c r="AG1494">
        <f t="shared" si="504"/>
        <v>18981</v>
      </c>
      <c r="AH1494" t="str">
        <f t="shared" si="505"/>
        <v>Nelson</v>
      </c>
      <c r="AI1494" t="str">
        <f t="shared" si="506"/>
        <v>Velodrome</v>
      </c>
      <c r="AJ1494" s="18">
        <f t="shared" si="499"/>
        <v>0</v>
      </c>
      <c r="AP1494" s="18">
        <f t="shared" si="500"/>
        <v>0</v>
      </c>
      <c r="AQ1494">
        <f t="shared" si="501"/>
        <v>1080</v>
      </c>
      <c r="AR1494" s="23">
        <f t="shared" si="502"/>
        <v>1986</v>
      </c>
      <c r="AS1494">
        <f t="shared" si="507"/>
        <v>1981</v>
      </c>
      <c r="AT1494" s="21">
        <f t="shared" si="508"/>
        <v>1986</v>
      </c>
      <c r="AU1494" s="21"/>
      <c r="AV1494" s="21"/>
      <c r="AW1494" s="21"/>
    </row>
    <row r="1495" spans="1:49" x14ac:dyDescent="0.2">
      <c r="A1495">
        <v>799</v>
      </c>
      <c r="E1495">
        <f t="shared" si="503"/>
        <v>2</v>
      </c>
      <c r="J1495" t="str">
        <f t="shared" si="510"/>
        <v>2</v>
      </c>
      <c r="K1495" t="str">
        <f t="shared" si="511"/>
        <v>54</v>
      </c>
      <c r="L1495" t="str">
        <f t="shared" si="512"/>
        <v/>
      </c>
      <c r="M1495" s="6" t="str">
        <f t="shared" si="513"/>
        <v/>
      </c>
      <c r="N1495" t="str">
        <f t="shared" si="509"/>
        <v>Home</v>
      </c>
      <c r="O1495">
        <v>91</v>
      </c>
      <c r="P1495" t="s">
        <v>425</v>
      </c>
      <c r="Y1495" t="str">
        <f t="shared" si="496"/>
        <v/>
      </c>
      <c r="Z1495" t="str">
        <f t="shared" si="497"/>
        <v/>
      </c>
      <c r="AC1495" t="str">
        <f t="shared" si="493"/>
        <v>Play</v>
      </c>
      <c r="AD1495" t="str">
        <f t="shared" si="494"/>
        <v>Play_Offensive</v>
      </c>
      <c r="AE1495" t="str">
        <f t="shared" si="495"/>
        <v>Play-Deke</v>
      </c>
      <c r="AF1495" t="str">
        <f t="shared" si="498"/>
        <v>Defensive</v>
      </c>
      <c r="AG1495">
        <f t="shared" si="504"/>
        <v>18981</v>
      </c>
      <c r="AH1495" t="str">
        <f t="shared" si="505"/>
        <v>Nelson</v>
      </c>
      <c r="AI1495" t="str">
        <f t="shared" si="506"/>
        <v>Velodrome</v>
      </c>
      <c r="AJ1495" s="18">
        <f t="shared" si="499"/>
        <v>0</v>
      </c>
      <c r="AP1495" s="18">
        <f t="shared" si="500"/>
        <v>0</v>
      </c>
      <c r="AQ1495">
        <f t="shared" si="501"/>
        <v>1080</v>
      </c>
      <c r="AR1495" s="23">
        <f t="shared" si="502"/>
        <v>1986</v>
      </c>
      <c r="AS1495">
        <f t="shared" si="507"/>
        <v>1981</v>
      </c>
      <c r="AT1495" s="21">
        <f t="shared" si="508"/>
        <v>1986</v>
      </c>
      <c r="AU1495" s="21"/>
      <c r="AV1495" s="21"/>
      <c r="AW1495" s="21"/>
    </row>
    <row r="1496" spans="1:49" x14ac:dyDescent="0.2">
      <c r="A1496">
        <v>800</v>
      </c>
      <c r="E1496">
        <f t="shared" si="503"/>
        <v>2</v>
      </c>
      <c r="F1496" s="5" t="s">
        <v>534</v>
      </c>
      <c r="G1496" s="5" t="s">
        <v>526</v>
      </c>
      <c r="H1496" s="5" t="s">
        <v>534</v>
      </c>
      <c r="I1496" s="7" t="s">
        <v>525</v>
      </c>
      <c r="J1496" t="str">
        <f t="shared" si="510"/>
        <v>2</v>
      </c>
      <c r="K1496" t="str">
        <f t="shared" si="511"/>
        <v>54</v>
      </c>
      <c r="L1496" t="str">
        <f t="shared" si="512"/>
        <v>2</v>
      </c>
      <c r="M1496" s="6" t="str">
        <f t="shared" si="513"/>
        <v>53</v>
      </c>
      <c r="N1496" t="s">
        <v>178</v>
      </c>
      <c r="O1496">
        <v>10</v>
      </c>
      <c r="P1496" t="s">
        <v>424</v>
      </c>
      <c r="Q1496" t="s">
        <v>15</v>
      </c>
      <c r="Y1496" t="str">
        <f t="shared" si="496"/>
        <v/>
      </c>
      <c r="Z1496" t="str">
        <f t="shared" si="497"/>
        <v/>
      </c>
      <c r="AC1496" t="str">
        <f t="shared" si="493"/>
        <v>Possession</v>
      </c>
      <c r="AD1496" t="str">
        <f t="shared" si="494"/>
        <v/>
      </c>
      <c r="AE1496" t="str">
        <f t="shared" si="495"/>
        <v/>
      </c>
      <c r="AF1496" t="str">
        <f t="shared" si="498"/>
        <v>Offensive</v>
      </c>
      <c r="AG1496">
        <f t="shared" si="504"/>
        <v>18981</v>
      </c>
      <c r="AH1496" t="str">
        <f t="shared" si="505"/>
        <v>Nelson</v>
      </c>
      <c r="AI1496" t="str">
        <f t="shared" si="506"/>
        <v>Velodrome</v>
      </c>
      <c r="AJ1496" s="18">
        <f t="shared" si="499"/>
        <v>1</v>
      </c>
      <c r="AP1496" s="18">
        <f t="shared" si="500"/>
        <v>0</v>
      </c>
      <c r="AQ1496">
        <f t="shared" si="501"/>
        <v>1080</v>
      </c>
      <c r="AR1496" s="23">
        <f t="shared" si="502"/>
        <v>1986</v>
      </c>
      <c r="AS1496">
        <f t="shared" si="507"/>
        <v>1981</v>
      </c>
      <c r="AT1496" s="21">
        <f t="shared" si="508"/>
        <v>1987</v>
      </c>
      <c r="AU1496" s="21"/>
      <c r="AV1496" s="21"/>
      <c r="AW1496" s="21"/>
    </row>
    <row r="1497" spans="1:49" x14ac:dyDescent="0.2">
      <c r="A1497">
        <v>800</v>
      </c>
      <c r="E1497">
        <f t="shared" si="503"/>
        <v>2</v>
      </c>
      <c r="J1497" t="str">
        <f t="shared" si="510"/>
        <v>2</v>
      </c>
      <c r="K1497" t="str">
        <f t="shared" si="511"/>
        <v>54</v>
      </c>
      <c r="L1497" t="str">
        <f t="shared" si="512"/>
        <v>2</v>
      </c>
      <c r="M1497" s="6" t="str">
        <f t="shared" si="513"/>
        <v>53</v>
      </c>
      <c r="N1497" t="str">
        <f t="shared" si="509"/>
        <v>Home</v>
      </c>
      <c r="O1497">
        <v>52</v>
      </c>
      <c r="P1497" t="s">
        <v>425</v>
      </c>
      <c r="Y1497" t="str">
        <f t="shared" si="496"/>
        <v/>
      </c>
      <c r="Z1497" t="str">
        <f t="shared" si="497"/>
        <v/>
      </c>
      <c r="AC1497" t="str">
        <f t="shared" si="493"/>
        <v>Possession</v>
      </c>
      <c r="AD1497" t="str">
        <f t="shared" si="494"/>
        <v/>
      </c>
      <c r="AE1497" t="str">
        <f t="shared" si="495"/>
        <v/>
      </c>
      <c r="AF1497" t="str">
        <f t="shared" si="498"/>
        <v>Defensive</v>
      </c>
      <c r="AG1497">
        <f t="shared" si="504"/>
        <v>18981</v>
      </c>
      <c r="AH1497" t="str">
        <f t="shared" si="505"/>
        <v>Nelson</v>
      </c>
      <c r="AI1497" t="str">
        <f t="shared" si="506"/>
        <v>Velodrome</v>
      </c>
      <c r="AJ1497" s="18">
        <f t="shared" si="499"/>
        <v>1</v>
      </c>
      <c r="AP1497" s="18">
        <f t="shared" si="500"/>
        <v>0</v>
      </c>
      <c r="AQ1497">
        <f t="shared" si="501"/>
        <v>1080</v>
      </c>
      <c r="AR1497" s="23">
        <f t="shared" si="502"/>
        <v>1986</v>
      </c>
      <c r="AS1497">
        <f t="shared" si="507"/>
        <v>1981</v>
      </c>
      <c r="AT1497" s="21">
        <f t="shared" si="508"/>
        <v>1987</v>
      </c>
      <c r="AU1497" s="21"/>
      <c r="AV1497" s="21"/>
      <c r="AW1497" s="21"/>
    </row>
    <row r="1498" spans="1:49" x14ac:dyDescent="0.2">
      <c r="A1498">
        <v>801</v>
      </c>
      <c r="E1498">
        <f t="shared" si="503"/>
        <v>2</v>
      </c>
      <c r="F1498" s="5" t="s">
        <v>534</v>
      </c>
      <c r="G1498" s="5" t="s">
        <v>525</v>
      </c>
      <c r="J1498" t="str">
        <f t="shared" si="510"/>
        <v>2</v>
      </c>
      <c r="K1498" t="str">
        <f t="shared" si="511"/>
        <v>53</v>
      </c>
      <c r="L1498" t="str">
        <f t="shared" si="512"/>
        <v/>
      </c>
      <c r="M1498" s="6" t="str">
        <f t="shared" si="513"/>
        <v/>
      </c>
      <c r="N1498" t="s">
        <v>178</v>
      </c>
      <c r="O1498">
        <v>10</v>
      </c>
      <c r="P1498" t="s">
        <v>424</v>
      </c>
      <c r="Q1498" t="s">
        <v>7</v>
      </c>
      <c r="R1498" t="s">
        <v>222</v>
      </c>
      <c r="S1498" t="s">
        <v>55</v>
      </c>
      <c r="Y1498" t="str">
        <f t="shared" si="496"/>
        <v/>
      </c>
      <c r="Z1498" t="str">
        <f t="shared" si="497"/>
        <v/>
      </c>
      <c r="AC1498" t="str">
        <f t="shared" si="493"/>
        <v>Shot</v>
      </c>
      <c r="AD1498" t="str">
        <f t="shared" si="494"/>
        <v>Shot_OnNetSaved</v>
      </c>
      <c r="AE1498" t="str">
        <f t="shared" si="495"/>
        <v>Shot-Backhand</v>
      </c>
      <c r="AF1498" t="str">
        <f t="shared" si="498"/>
        <v>Offensive</v>
      </c>
      <c r="AG1498">
        <f t="shared" si="504"/>
        <v>18981</v>
      </c>
      <c r="AH1498" t="str">
        <f t="shared" si="505"/>
        <v>Nelson</v>
      </c>
      <c r="AI1498" t="str">
        <f t="shared" si="506"/>
        <v>Velodrome</v>
      </c>
      <c r="AJ1498" s="18">
        <f t="shared" si="499"/>
        <v>0</v>
      </c>
      <c r="AP1498" s="18">
        <f t="shared" si="500"/>
        <v>0</v>
      </c>
      <c r="AQ1498">
        <f t="shared" si="501"/>
        <v>1080</v>
      </c>
      <c r="AR1498" s="23">
        <f t="shared" si="502"/>
        <v>1987</v>
      </c>
      <c r="AS1498">
        <f t="shared" si="507"/>
        <v>1982</v>
      </c>
      <c r="AT1498" s="21">
        <f t="shared" si="508"/>
        <v>1987</v>
      </c>
      <c r="AU1498" s="21"/>
      <c r="AV1498" s="21"/>
      <c r="AW1498" s="21"/>
    </row>
    <row r="1499" spans="1:49" x14ac:dyDescent="0.2">
      <c r="A1499">
        <v>801</v>
      </c>
      <c r="E1499">
        <f t="shared" si="503"/>
        <v>2</v>
      </c>
      <c r="J1499" t="str">
        <f t="shared" si="510"/>
        <v>2</v>
      </c>
      <c r="K1499" t="str">
        <f t="shared" si="511"/>
        <v>53</v>
      </c>
      <c r="L1499" t="str">
        <f t="shared" si="512"/>
        <v/>
      </c>
      <c r="M1499" s="6" t="str">
        <f t="shared" si="513"/>
        <v/>
      </c>
      <c r="N1499" t="str">
        <f t="shared" si="509"/>
        <v>Home</v>
      </c>
      <c r="O1499">
        <v>39</v>
      </c>
      <c r="P1499" t="s">
        <v>425</v>
      </c>
      <c r="Y1499" t="str">
        <f t="shared" si="496"/>
        <v/>
      </c>
      <c r="Z1499" t="str">
        <f t="shared" si="497"/>
        <v/>
      </c>
      <c r="AC1499" t="str">
        <f t="shared" si="493"/>
        <v>Shot</v>
      </c>
      <c r="AD1499" t="str">
        <f t="shared" si="494"/>
        <v>Shot_OnNetSaved</v>
      </c>
      <c r="AE1499" t="str">
        <f t="shared" si="495"/>
        <v>Shot-Backhand</v>
      </c>
      <c r="AF1499" t="str">
        <f t="shared" si="498"/>
        <v>Defensive</v>
      </c>
      <c r="AG1499">
        <f t="shared" si="504"/>
        <v>18981</v>
      </c>
      <c r="AH1499" t="str">
        <f t="shared" si="505"/>
        <v>Nelson</v>
      </c>
      <c r="AI1499" t="str">
        <f t="shared" si="506"/>
        <v>Velodrome</v>
      </c>
      <c r="AJ1499" s="18">
        <f t="shared" si="499"/>
        <v>0</v>
      </c>
      <c r="AP1499" s="18">
        <f t="shared" si="500"/>
        <v>0</v>
      </c>
      <c r="AQ1499">
        <f t="shared" si="501"/>
        <v>1080</v>
      </c>
      <c r="AR1499" s="23">
        <f t="shared" si="502"/>
        <v>1987</v>
      </c>
      <c r="AS1499">
        <f t="shared" si="507"/>
        <v>1982</v>
      </c>
      <c r="AT1499" s="21">
        <f t="shared" si="508"/>
        <v>1987</v>
      </c>
      <c r="AU1499" s="21"/>
      <c r="AV1499" s="21"/>
      <c r="AW1499" s="21"/>
    </row>
    <row r="1500" spans="1:49" x14ac:dyDescent="0.2">
      <c r="A1500">
        <v>802</v>
      </c>
      <c r="E1500">
        <f t="shared" si="503"/>
        <v>2</v>
      </c>
      <c r="F1500" s="5" t="s">
        <v>534</v>
      </c>
      <c r="G1500" s="5" t="s">
        <v>525</v>
      </c>
      <c r="J1500" t="str">
        <f t="shared" si="510"/>
        <v>2</v>
      </c>
      <c r="K1500" t="str">
        <f t="shared" si="511"/>
        <v>53</v>
      </c>
      <c r="L1500" t="str">
        <f t="shared" si="512"/>
        <v/>
      </c>
      <c r="M1500" s="6" t="str">
        <f t="shared" si="513"/>
        <v/>
      </c>
      <c r="N1500" t="s">
        <v>179</v>
      </c>
      <c r="O1500">
        <v>39</v>
      </c>
      <c r="P1500" t="s">
        <v>424</v>
      </c>
      <c r="Q1500" t="s">
        <v>17</v>
      </c>
      <c r="R1500" t="s">
        <v>196</v>
      </c>
      <c r="S1500" t="s">
        <v>542</v>
      </c>
      <c r="Y1500" t="str">
        <f t="shared" si="496"/>
        <v/>
      </c>
      <c r="Z1500" t="str">
        <f t="shared" si="497"/>
        <v/>
      </c>
      <c r="AC1500" t="str">
        <f t="shared" si="493"/>
        <v>Save</v>
      </c>
      <c r="AD1500" t="str">
        <f t="shared" si="494"/>
        <v>Save_Rebound</v>
      </c>
      <c r="AE1500" t="str">
        <f t="shared" si="495"/>
        <v>Save-Shoulder</v>
      </c>
      <c r="AF1500" t="str">
        <f t="shared" si="498"/>
        <v>Defensive</v>
      </c>
      <c r="AG1500">
        <f t="shared" si="504"/>
        <v>18981</v>
      </c>
      <c r="AH1500" t="str">
        <f t="shared" si="505"/>
        <v>Nelson</v>
      </c>
      <c r="AI1500" t="str">
        <f t="shared" si="506"/>
        <v>Velodrome</v>
      </c>
      <c r="AJ1500" s="18">
        <f t="shared" si="499"/>
        <v>0</v>
      </c>
      <c r="AP1500" s="18">
        <f t="shared" si="500"/>
        <v>0</v>
      </c>
      <c r="AQ1500">
        <f t="shared" si="501"/>
        <v>1080</v>
      </c>
      <c r="AR1500" s="23">
        <f t="shared" si="502"/>
        <v>1987</v>
      </c>
      <c r="AS1500">
        <f t="shared" si="507"/>
        <v>1982</v>
      </c>
      <c r="AT1500" s="21">
        <f t="shared" si="508"/>
        <v>1987</v>
      </c>
      <c r="AU1500" s="21"/>
      <c r="AV1500" s="21"/>
      <c r="AW1500" s="21"/>
    </row>
    <row r="1501" spans="1:49" x14ac:dyDescent="0.2">
      <c r="A1501">
        <v>802</v>
      </c>
      <c r="E1501">
        <f t="shared" si="503"/>
        <v>2</v>
      </c>
      <c r="J1501" t="str">
        <f t="shared" si="510"/>
        <v>2</v>
      </c>
      <c r="K1501" t="str">
        <f t="shared" si="511"/>
        <v>53</v>
      </c>
      <c r="L1501" t="str">
        <f t="shared" si="512"/>
        <v/>
      </c>
      <c r="M1501" s="6" t="str">
        <f t="shared" si="513"/>
        <v/>
      </c>
      <c r="N1501" t="str">
        <f t="shared" si="509"/>
        <v>Away</v>
      </c>
      <c r="O1501">
        <v>10</v>
      </c>
      <c r="P1501" t="s">
        <v>425</v>
      </c>
      <c r="Y1501" t="str">
        <f t="shared" si="496"/>
        <v/>
      </c>
      <c r="Z1501" t="str">
        <f t="shared" si="497"/>
        <v/>
      </c>
      <c r="AC1501" t="str">
        <f t="shared" si="493"/>
        <v>Save</v>
      </c>
      <c r="AD1501" t="str">
        <f t="shared" si="494"/>
        <v>Save_Rebound</v>
      </c>
      <c r="AE1501" t="str">
        <f t="shared" si="495"/>
        <v>Save-Shoulder</v>
      </c>
      <c r="AF1501" t="str">
        <f t="shared" si="498"/>
        <v>Offensive</v>
      </c>
      <c r="AG1501">
        <f t="shared" si="504"/>
        <v>18981</v>
      </c>
      <c r="AH1501" t="str">
        <f t="shared" si="505"/>
        <v>Nelson</v>
      </c>
      <c r="AI1501" t="str">
        <f t="shared" si="506"/>
        <v>Velodrome</v>
      </c>
      <c r="AJ1501" s="18">
        <f t="shared" si="499"/>
        <v>0</v>
      </c>
      <c r="AP1501" s="18">
        <f t="shared" si="500"/>
        <v>0</v>
      </c>
      <c r="AQ1501">
        <f t="shared" si="501"/>
        <v>1080</v>
      </c>
      <c r="AR1501" s="23">
        <f t="shared" si="502"/>
        <v>1987</v>
      </c>
      <c r="AS1501">
        <f t="shared" si="507"/>
        <v>1982</v>
      </c>
      <c r="AT1501" s="21">
        <f t="shared" si="508"/>
        <v>1987</v>
      </c>
      <c r="AU1501" s="21"/>
      <c r="AV1501" s="21"/>
      <c r="AW1501" s="21"/>
    </row>
    <row r="1502" spans="1:49" x14ac:dyDescent="0.2">
      <c r="A1502">
        <v>803</v>
      </c>
      <c r="E1502">
        <f t="shared" si="503"/>
        <v>2</v>
      </c>
      <c r="F1502" s="5" t="s">
        <v>534</v>
      </c>
      <c r="G1502" s="5" t="s">
        <v>525</v>
      </c>
      <c r="J1502" t="str">
        <f t="shared" si="510"/>
        <v>2</v>
      </c>
      <c r="K1502" t="str">
        <f t="shared" si="511"/>
        <v>53</v>
      </c>
      <c r="L1502" t="str">
        <f t="shared" si="512"/>
        <v/>
      </c>
      <c r="M1502" s="6" t="str">
        <f t="shared" si="513"/>
        <v/>
      </c>
      <c r="N1502" t="s">
        <v>179</v>
      </c>
      <c r="O1502">
        <v>39</v>
      </c>
      <c r="P1502" t="s">
        <v>424</v>
      </c>
      <c r="Q1502" t="s">
        <v>270</v>
      </c>
      <c r="R1502" t="s">
        <v>271</v>
      </c>
      <c r="Y1502" t="str">
        <f t="shared" si="496"/>
        <v/>
      </c>
      <c r="Z1502" t="str">
        <f t="shared" si="497"/>
        <v/>
      </c>
      <c r="AC1502" t="str">
        <f t="shared" si="493"/>
        <v>Rebound</v>
      </c>
      <c r="AD1502" t="str">
        <f t="shared" si="494"/>
        <v>Rebound_TeamRecovered</v>
      </c>
      <c r="AE1502" t="str">
        <f t="shared" si="495"/>
        <v/>
      </c>
      <c r="AF1502" t="str">
        <f t="shared" si="498"/>
        <v>Offensive</v>
      </c>
      <c r="AG1502">
        <f t="shared" si="504"/>
        <v>18981</v>
      </c>
      <c r="AH1502" t="str">
        <f t="shared" si="505"/>
        <v>Nelson</v>
      </c>
      <c r="AI1502" t="str">
        <f t="shared" si="506"/>
        <v>Velodrome</v>
      </c>
      <c r="AJ1502" s="18">
        <f t="shared" si="499"/>
        <v>0</v>
      </c>
      <c r="AP1502" s="18">
        <f t="shared" si="500"/>
        <v>0</v>
      </c>
      <c r="AQ1502">
        <f t="shared" si="501"/>
        <v>1080</v>
      </c>
      <c r="AR1502" s="23">
        <f t="shared" si="502"/>
        <v>1987</v>
      </c>
      <c r="AS1502">
        <f t="shared" si="507"/>
        <v>1982</v>
      </c>
      <c r="AT1502" s="21">
        <f t="shared" si="508"/>
        <v>1987</v>
      </c>
      <c r="AU1502" s="21"/>
      <c r="AV1502" s="21"/>
      <c r="AW1502" s="21"/>
    </row>
    <row r="1503" spans="1:49" x14ac:dyDescent="0.2">
      <c r="A1503">
        <v>804</v>
      </c>
      <c r="E1503">
        <f t="shared" si="503"/>
        <v>2</v>
      </c>
      <c r="F1503" s="5" t="s">
        <v>534</v>
      </c>
      <c r="G1503" s="5" t="s">
        <v>522</v>
      </c>
      <c r="J1503" t="str">
        <f t="shared" si="510"/>
        <v>2</v>
      </c>
      <c r="K1503" t="str">
        <f t="shared" si="511"/>
        <v>50</v>
      </c>
      <c r="L1503" t="str">
        <f t="shared" si="512"/>
        <v/>
      </c>
      <c r="M1503" s="6" t="str">
        <f t="shared" si="513"/>
        <v/>
      </c>
      <c r="N1503" t="s">
        <v>179</v>
      </c>
      <c r="O1503">
        <v>42</v>
      </c>
      <c r="P1503" t="s">
        <v>424</v>
      </c>
      <c r="Q1503" t="s">
        <v>8</v>
      </c>
      <c r="R1503" t="s">
        <v>189</v>
      </c>
      <c r="S1503" t="s">
        <v>69</v>
      </c>
      <c r="Y1503" t="str">
        <f t="shared" si="496"/>
        <v/>
      </c>
      <c r="Z1503" t="str">
        <f t="shared" si="497"/>
        <v/>
      </c>
      <c r="AC1503" t="str">
        <f t="shared" si="493"/>
        <v>Pass</v>
      </c>
      <c r="AD1503" t="str">
        <f t="shared" si="494"/>
        <v>Pass_Completed</v>
      </c>
      <c r="AE1503" t="str">
        <f t="shared" si="495"/>
        <v>Pass-Backhand</v>
      </c>
      <c r="AF1503" t="str">
        <f t="shared" si="498"/>
        <v>Offensive</v>
      </c>
      <c r="AG1503">
        <f t="shared" si="504"/>
        <v>18981</v>
      </c>
      <c r="AH1503" t="str">
        <f t="shared" si="505"/>
        <v>Nelson</v>
      </c>
      <c r="AI1503" t="str">
        <f t="shared" si="506"/>
        <v>Velodrome</v>
      </c>
      <c r="AJ1503" s="18">
        <f t="shared" si="499"/>
        <v>0</v>
      </c>
      <c r="AP1503" s="18">
        <f t="shared" si="500"/>
        <v>0</v>
      </c>
      <c r="AQ1503">
        <f t="shared" si="501"/>
        <v>1080</v>
      </c>
      <c r="AR1503" s="23">
        <f t="shared" si="502"/>
        <v>1990</v>
      </c>
      <c r="AS1503">
        <f t="shared" si="507"/>
        <v>1985</v>
      </c>
      <c r="AT1503" s="21">
        <f t="shared" si="508"/>
        <v>1990</v>
      </c>
      <c r="AU1503" s="21"/>
      <c r="AV1503" s="21"/>
      <c r="AW1503" s="21"/>
    </row>
    <row r="1504" spans="1:49" x14ac:dyDescent="0.2">
      <c r="A1504">
        <v>804</v>
      </c>
      <c r="E1504">
        <f t="shared" si="503"/>
        <v>2</v>
      </c>
      <c r="J1504" t="str">
        <f t="shared" si="510"/>
        <v>2</v>
      </c>
      <c r="K1504" t="str">
        <f t="shared" si="511"/>
        <v>50</v>
      </c>
      <c r="L1504" t="str">
        <f t="shared" si="512"/>
        <v/>
      </c>
      <c r="M1504" s="6" t="str">
        <f t="shared" si="513"/>
        <v/>
      </c>
      <c r="N1504" t="str">
        <f t="shared" si="509"/>
        <v>Away</v>
      </c>
      <c r="O1504">
        <v>91</v>
      </c>
      <c r="P1504" t="s">
        <v>424</v>
      </c>
      <c r="Y1504" t="str">
        <f t="shared" si="496"/>
        <v/>
      </c>
      <c r="Z1504" t="str">
        <f t="shared" si="497"/>
        <v/>
      </c>
      <c r="AC1504" t="str">
        <f t="shared" si="493"/>
        <v>Pass</v>
      </c>
      <c r="AD1504" t="str">
        <f t="shared" si="494"/>
        <v>Pass_Completed</v>
      </c>
      <c r="AE1504" t="str">
        <f t="shared" si="495"/>
        <v>Pass-Backhand</v>
      </c>
      <c r="AF1504" t="str">
        <f t="shared" si="498"/>
        <v>Offensive</v>
      </c>
      <c r="AG1504">
        <f t="shared" si="504"/>
        <v>18981</v>
      </c>
      <c r="AH1504" t="str">
        <f t="shared" si="505"/>
        <v>Nelson</v>
      </c>
      <c r="AI1504" t="str">
        <f t="shared" si="506"/>
        <v>Velodrome</v>
      </c>
      <c r="AJ1504" s="18">
        <f t="shared" si="499"/>
        <v>0</v>
      </c>
      <c r="AP1504" s="18">
        <f t="shared" si="500"/>
        <v>0</v>
      </c>
      <c r="AQ1504">
        <f t="shared" si="501"/>
        <v>1080</v>
      </c>
      <c r="AR1504" s="23">
        <f t="shared" si="502"/>
        <v>1990</v>
      </c>
      <c r="AS1504">
        <f t="shared" si="507"/>
        <v>1985</v>
      </c>
      <c r="AT1504" s="21">
        <f t="shared" si="508"/>
        <v>1990</v>
      </c>
      <c r="AU1504" s="21"/>
      <c r="AV1504" s="21"/>
      <c r="AW1504" s="21"/>
    </row>
    <row r="1505" spans="1:49" x14ac:dyDescent="0.2">
      <c r="A1505">
        <v>805</v>
      </c>
      <c r="E1505">
        <f t="shared" si="503"/>
        <v>2</v>
      </c>
      <c r="F1505" s="5" t="s">
        <v>534</v>
      </c>
      <c r="G1505" s="5" t="s">
        <v>522</v>
      </c>
      <c r="H1505" s="5" t="s">
        <v>534</v>
      </c>
      <c r="I1505" s="7" t="s">
        <v>519</v>
      </c>
      <c r="J1505" t="str">
        <f t="shared" si="510"/>
        <v>2</v>
      </c>
      <c r="K1505" t="str">
        <f t="shared" si="511"/>
        <v>50</v>
      </c>
      <c r="L1505" t="str">
        <f t="shared" si="512"/>
        <v>2</v>
      </c>
      <c r="M1505" s="6" t="str">
        <f t="shared" si="513"/>
        <v>47</v>
      </c>
      <c r="N1505" t="s">
        <v>179</v>
      </c>
      <c r="O1505">
        <v>91</v>
      </c>
      <c r="P1505" t="s">
        <v>424</v>
      </c>
      <c r="Q1505" t="s">
        <v>277</v>
      </c>
      <c r="R1505" t="s">
        <v>201</v>
      </c>
      <c r="S1505" t="s">
        <v>90</v>
      </c>
      <c r="Y1505" t="str">
        <f t="shared" si="496"/>
        <v/>
      </c>
      <c r="Z1505" t="str">
        <f t="shared" si="497"/>
        <v/>
      </c>
      <c r="AC1505" t="str">
        <f t="shared" si="493"/>
        <v>Zone_Entry_Exit</v>
      </c>
      <c r="AD1505" t="str">
        <f t="shared" si="494"/>
        <v>Zone_Exit</v>
      </c>
      <c r="AE1505" t="str">
        <f t="shared" si="495"/>
        <v>ZoneExit-Rush</v>
      </c>
      <c r="AF1505" t="str">
        <f t="shared" si="498"/>
        <v>Offensive</v>
      </c>
      <c r="AG1505">
        <f t="shared" si="504"/>
        <v>18981</v>
      </c>
      <c r="AH1505" t="str">
        <f t="shared" si="505"/>
        <v>Nelson</v>
      </c>
      <c r="AI1505" t="str">
        <f t="shared" si="506"/>
        <v>Velodrome</v>
      </c>
      <c r="AJ1505" s="18">
        <f t="shared" si="499"/>
        <v>3</v>
      </c>
      <c r="AP1505" s="18">
        <f t="shared" si="500"/>
        <v>0</v>
      </c>
      <c r="AQ1505">
        <f t="shared" si="501"/>
        <v>1080</v>
      </c>
      <c r="AR1505" s="23">
        <f t="shared" si="502"/>
        <v>1990</v>
      </c>
      <c r="AS1505">
        <f t="shared" si="507"/>
        <v>1985</v>
      </c>
      <c r="AT1505" s="21">
        <f t="shared" si="508"/>
        <v>1993</v>
      </c>
      <c r="AU1505" s="21"/>
      <c r="AV1505" s="21"/>
      <c r="AW1505" s="21"/>
    </row>
    <row r="1506" spans="1:49" x14ac:dyDescent="0.2">
      <c r="A1506">
        <v>806</v>
      </c>
      <c r="E1506">
        <f t="shared" si="503"/>
        <v>2</v>
      </c>
      <c r="F1506" s="5" t="s">
        <v>534</v>
      </c>
      <c r="G1506" s="5" t="s">
        <v>519</v>
      </c>
      <c r="H1506" s="5" t="s">
        <v>534</v>
      </c>
      <c r="I1506" s="7" t="s">
        <v>518</v>
      </c>
      <c r="J1506" t="str">
        <f t="shared" si="510"/>
        <v>2</v>
      </c>
      <c r="K1506" t="str">
        <f t="shared" si="511"/>
        <v>47</v>
      </c>
      <c r="L1506" t="str">
        <f t="shared" si="512"/>
        <v>2</v>
      </c>
      <c r="M1506" s="6" t="str">
        <f t="shared" si="513"/>
        <v>46</v>
      </c>
      <c r="N1506" t="s">
        <v>179</v>
      </c>
      <c r="O1506">
        <v>91</v>
      </c>
      <c r="P1506" t="s">
        <v>424</v>
      </c>
      <c r="Q1506" t="s">
        <v>15</v>
      </c>
      <c r="Y1506" t="str">
        <f t="shared" si="496"/>
        <v/>
      </c>
      <c r="Z1506" t="str">
        <f t="shared" si="497"/>
        <v/>
      </c>
      <c r="AC1506" t="str">
        <f t="shared" si="493"/>
        <v>Possession</v>
      </c>
      <c r="AD1506" t="str">
        <f t="shared" si="494"/>
        <v/>
      </c>
      <c r="AE1506" t="str">
        <f t="shared" si="495"/>
        <v/>
      </c>
      <c r="AF1506" t="str">
        <f t="shared" si="498"/>
        <v>Offensive</v>
      </c>
      <c r="AG1506">
        <f t="shared" si="504"/>
        <v>18981</v>
      </c>
      <c r="AH1506" t="str">
        <f t="shared" si="505"/>
        <v>Nelson</v>
      </c>
      <c r="AI1506" t="str">
        <f t="shared" si="506"/>
        <v>Velodrome</v>
      </c>
      <c r="AJ1506" s="18">
        <f t="shared" si="499"/>
        <v>1</v>
      </c>
      <c r="AP1506" s="18">
        <f t="shared" si="500"/>
        <v>0</v>
      </c>
      <c r="AQ1506">
        <f t="shared" si="501"/>
        <v>1080</v>
      </c>
      <c r="AR1506" s="23">
        <f t="shared" si="502"/>
        <v>1993</v>
      </c>
      <c r="AS1506">
        <f t="shared" si="507"/>
        <v>1988</v>
      </c>
      <c r="AT1506" s="21">
        <f t="shared" si="508"/>
        <v>1994</v>
      </c>
      <c r="AU1506" s="21"/>
      <c r="AV1506" s="21"/>
      <c r="AW1506" s="21"/>
    </row>
    <row r="1507" spans="1:49" x14ac:dyDescent="0.2">
      <c r="A1507">
        <v>807</v>
      </c>
      <c r="E1507">
        <f t="shared" si="503"/>
        <v>2</v>
      </c>
      <c r="F1507" s="5" t="s">
        <v>534</v>
      </c>
      <c r="G1507" s="5" t="s">
        <v>518</v>
      </c>
      <c r="J1507" t="str">
        <f t="shared" si="510"/>
        <v>2</v>
      </c>
      <c r="K1507" t="str">
        <f t="shared" si="511"/>
        <v>46</v>
      </c>
      <c r="L1507" t="str">
        <f t="shared" si="512"/>
        <v/>
      </c>
      <c r="M1507" s="6" t="str">
        <f t="shared" si="513"/>
        <v/>
      </c>
      <c r="N1507" t="s">
        <v>179</v>
      </c>
      <c r="O1507">
        <v>91</v>
      </c>
      <c r="P1507" t="s">
        <v>424</v>
      </c>
      <c r="Q1507" t="s">
        <v>10</v>
      </c>
      <c r="R1507" t="s">
        <v>190</v>
      </c>
      <c r="S1507" t="s">
        <v>73</v>
      </c>
      <c r="Y1507" t="str">
        <f t="shared" si="496"/>
        <v/>
      </c>
      <c r="Z1507" t="str">
        <f t="shared" si="497"/>
        <v/>
      </c>
      <c r="AC1507" t="str">
        <f t="shared" si="493"/>
        <v>Turnover</v>
      </c>
      <c r="AD1507" t="str">
        <f t="shared" si="494"/>
        <v>Turnover_Giveaway</v>
      </c>
      <c r="AE1507" t="str">
        <f t="shared" si="495"/>
        <v>Giveaway-Misplayed</v>
      </c>
      <c r="AF1507" t="str">
        <f t="shared" si="498"/>
        <v>Offensive</v>
      </c>
      <c r="AG1507">
        <f t="shared" si="504"/>
        <v>18981</v>
      </c>
      <c r="AH1507" t="str">
        <f t="shared" si="505"/>
        <v>Nelson</v>
      </c>
      <c r="AI1507" t="str">
        <f t="shared" si="506"/>
        <v>Velodrome</v>
      </c>
      <c r="AJ1507" s="18">
        <f t="shared" si="499"/>
        <v>0</v>
      </c>
      <c r="AP1507" s="18">
        <f t="shared" si="500"/>
        <v>0</v>
      </c>
      <c r="AQ1507">
        <f t="shared" si="501"/>
        <v>1080</v>
      </c>
      <c r="AR1507" s="23">
        <f t="shared" si="502"/>
        <v>1994</v>
      </c>
      <c r="AS1507">
        <f t="shared" si="507"/>
        <v>1989</v>
      </c>
      <c r="AT1507" s="21">
        <f t="shared" si="508"/>
        <v>1994</v>
      </c>
      <c r="AU1507" s="21"/>
      <c r="AV1507" s="21"/>
      <c r="AW1507" s="21"/>
    </row>
    <row r="1508" spans="1:49" x14ac:dyDescent="0.2">
      <c r="A1508">
        <v>808</v>
      </c>
      <c r="E1508">
        <f t="shared" si="503"/>
        <v>2</v>
      </c>
      <c r="F1508" s="5" t="s">
        <v>534</v>
      </c>
      <c r="G1508" s="5" t="s">
        <v>515</v>
      </c>
      <c r="H1508" s="5" t="s">
        <v>534</v>
      </c>
      <c r="I1508" s="7" t="s">
        <v>514</v>
      </c>
      <c r="J1508" t="str">
        <f t="shared" si="510"/>
        <v>2</v>
      </c>
      <c r="K1508" t="str">
        <f t="shared" si="511"/>
        <v>43</v>
      </c>
      <c r="L1508" t="str">
        <f t="shared" si="512"/>
        <v>2</v>
      </c>
      <c r="M1508" s="6" t="str">
        <f t="shared" si="513"/>
        <v>42</v>
      </c>
      <c r="N1508" t="s">
        <v>178</v>
      </c>
      <c r="O1508">
        <v>37</v>
      </c>
      <c r="P1508" t="s">
        <v>424</v>
      </c>
      <c r="Q1508" t="s">
        <v>15</v>
      </c>
      <c r="Y1508" t="str">
        <f t="shared" si="496"/>
        <v/>
      </c>
      <c r="Z1508" t="str">
        <f t="shared" si="497"/>
        <v/>
      </c>
      <c r="AC1508" t="str">
        <f t="shared" si="493"/>
        <v>Possession</v>
      </c>
      <c r="AD1508" t="str">
        <f t="shared" si="494"/>
        <v/>
      </c>
      <c r="AE1508" t="str">
        <f t="shared" si="495"/>
        <v/>
      </c>
      <c r="AF1508" t="str">
        <f t="shared" si="498"/>
        <v>Offensive</v>
      </c>
      <c r="AG1508">
        <f t="shared" si="504"/>
        <v>18981</v>
      </c>
      <c r="AH1508" t="str">
        <f t="shared" si="505"/>
        <v>Nelson</v>
      </c>
      <c r="AI1508" t="str">
        <f t="shared" si="506"/>
        <v>Velodrome</v>
      </c>
      <c r="AJ1508" s="18">
        <f t="shared" si="499"/>
        <v>1</v>
      </c>
      <c r="AP1508" s="18">
        <f t="shared" si="500"/>
        <v>0</v>
      </c>
      <c r="AQ1508">
        <f t="shared" si="501"/>
        <v>1080</v>
      </c>
      <c r="AR1508" s="23">
        <f t="shared" si="502"/>
        <v>1997</v>
      </c>
      <c r="AS1508">
        <f t="shared" si="507"/>
        <v>1992</v>
      </c>
      <c r="AT1508" s="21">
        <f t="shared" si="508"/>
        <v>1998</v>
      </c>
      <c r="AU1508" s="21"/>
      <c r="AV1508" s="21"/>
      <c r="AW1508" s="21"/>
    </row>
    <row r="1509" spans="1:49" x14ac:dyDescent="0.2">
      <c r="A1509">
        <v>809</v>
      </c>
      <c r="E1509">
        <f t="shared" si="503"/>
        <v>2</v>
      </c>
      <c r="F1509" s="5" t="s">
        <v>534</v>
      </c>
      <c r="G1509" s="5" t="s">
        <v>514</v>
      </c>
      <c r="J1509" t="str">
        <f t="shared" si="510"/>
        <v>2</v>
      </c>
      <c r="K1509" t="str">
        <f t="shared" si="511"/>
        <v>42</v>
      </c>
      <c r="L1509" t="str">
        <f t="shared" si="512"/>
        <v/>
      </c>
      <c r="M1509" s="6" t="str">
        <f t="shared" si="513"/>
        <v/>
      </c>
      <c r="N1509" t="s">
        <v>178</v>
      </c>
      <c r="O1509">
        <v>37</v>
      </c>
      <c r="P1509" t="s">
        <v>424</v>
      </c>
      <c r="Q1509" t="s">
        <v>8</v>
      </c>
      <c r="R1509" t="s">
        <v>199</v>
      </c>
      <c r="S1509" t="s">
        <v>67</v>
      </c>
      <c r="Y1509" t="str">
        <f t="shared" si="496"/>
        <v/>
      </c>
      <c r="Z1509" t="str">
        <f t="shared" si="497"/>
        <v/>
      </c>
      <c r="AC1509" t="str">
        <f t="shared" si="493"/>
        <v>Pass</v>
      </c>
      <c r="AD1509" t="str">
        <f t="shared" si="494"/>
        <v>Pass_Missed</v>
      </c>
      <c r="AE1509" t="str">
        <f t="shared" si="495"/>
        <v>Pass-Stretch</v>
      </c>
      <c r="AF1509" t="str">
        <f t="shared" si="498"/>
        <v>Offensive</v>
      </c>
      <c r="AG1509">
        <f t="shared" si="504"/>
        <v>18981</v>
      </c>
      <c r="AH1509" t="str">
        <f t="shared" si="505"/>
        <v>Nelson</v>
      </c>
      <c r="AI1509" t="str">
        <f t="shared" si="506"/>
        <v>Velodrome</v>
      </c>
      <c r="AJ1509" s="18">
        <f t="shared" si="499"/>
        <v>0</v>
      </c>
      <c r="AP1509" s="18">
        <f t="shared" si="500"/>
        <v>0</v>
      </c>
      <c r="AQ1509">
        <f t="shared" si="501"/>
        <v>1080</v>
      </c>
      <c r="AR1509" s="23">
        <f t="shared" si="502"/>
        <v>1998</v>
      </c>
      <c r="AS1509">
        <f t="shared" si="507"/>
        <v>1993</v>
      </c>
      <c r="AT1509" s="21">
        <f t="shared" si="508"/>
        <v>1998</v>
      </c>
      <c r="AU1509" s="21"/>
      <c r="AV1509" s="21"/>
      <c r="AW1509" s="21"/>
    </row>
    <row r="1510" spans="1:49" x14ac:dyDescent="0.2">
      <c r="A1510">
        <v>809</v>
      </c>
      <c r="E1510">
        <f t="shared" si="503"/>
        <v>2</v>
      </c>
      <c r="J1510" t="str">
        <f t="shared" si="510"/>
        <v>2</v>
      </c>
      <c r="K1510" t="str">
        <f t="shared" si="511"/>
        <v>42</v>
      </c>
      <c r="L1510" t="str">
        <f t="shared" si="512"/>
        <v/>
      </c>
      <c r="M1510" s="6" t="str">
        <f t="shared" si="513"/>
        <v/>
      </c>
      <c r="N1510" t="str">
        <f t="shared" si="509"/>
        <v>Home</v>
      </c>
      <c r="O1510">
        <v>10</v>
      </c>
      <c r="P1510" t="s">
        <v>424</v>
      </c>
      <c r="Y1510" t="str">
        <f t="shared" si="496"/>
        <v/>
      </c>
      <c r="Z1510" t="str">
        <f t="shared" si="497"/>
        <v/>
      </c>
      <c r="AC1510" t="str">
        <f t="shared" si="493"/>
        <v>Pass</v>
      </c>
      <c r="AD1510" t="str">
        <f t="shared" si="494"/>
        <v>Pass_Missed</v>
      </c>
      <c r="AE1510" t="str">
        <f t="shared" si="495"/>
        <v>Pass-Stretch</v>
      </c>
      <c r="AF1510" t="str">
        <f t="shared" si="498"/>
        <v>Offensive</v>
      </c>
      <c r="AG1510">
        <f t="shared" si="504"/>
        <v>18981</v>
      </c>
      <c r="AH1510" t="str">
        <f t="shared" si="505"/>
        <v>Nelson</v>
      </c>
      <c r="AI1510" t="str">
        <f t="shared" si="506"/>
        <v>Velodrome</v>
      </c>
      <c r="AJ1510" s="18">
        <f t="shared" si="499"/>
        <v>0</v>
      </c>
      <c r="AP1510" s="18">
        <f t="shared" si="500"/>
        <v>0</v>
      </c>
      <c r="AQ1510">
        <f t="shared" si="501"/>
        <v>1080</v>
      </c>
      <c r="AR1510" s="23">
        <f t="shared" si="502"/>
        <v>1998</v>
      </c>
      <c r="AS1510">
        <f t="shared" si="507"/>
        <v>1993</v>
      </c>
      <c r="AT1510" s="21">
        <f t="shared" si="508"/>
        <v>1998</v>
      </c>
      <c r="AU1510" s="21"/>
      <c r="AV1510" s="21"/>
      <c r="AW1510" s="21"/>
    </row>
    <row r="1511" spans="1:49" x14ac:dyDescent="0.2">
      <c r="A1511">
        <v>810</v>
      </c>
      <c r="E1511">
        <f t="shared" si="503"/>
        <v>2</v>
      </c>
      <c r="F1511" s="5" t="s">
        <v>534</v>
      </c>
      <c r="G1511" s="5" t="s">
        <v>514</v>
      </c>
      <c r="J1511" t="str">
        <f t="shared" si="510"/>
        <v>2</v>
      </c>
      <c r="K1511" t="str">
        <f t="shared" si="511"/>
        <v>42</v>
      </c>
      <c r="L1511" t="str">
        <f t="shared" si="512"/>
        <v/>
      </c>
      <c r="M1511" s="6" t="str">
        <f t="shared" si="513"/>
        <v/>
      </c>
      <c r="N1511" t="s">
        <v>178</v>
      </c>
      <c r="O1511">
        <v>37</v>
      </c>
      <c r="P1511" t="s">
        <v>424</v>
      </c>
      <c r="Q1511" t="s">
        <v>277</v>
      </c>
      <c r="R1511" t="s">
        <v>191</v>
      </c>
      <c r="S1511" t="s">
        <v>447</v>
      </c>
      <c r="Y1511" t="str">
        <f t="shared" si="496"/>
        <v/>
      </c>
      <c r="Z1511" t="str">
        <f t="shared" si="497"/>
        <v/>
      </c>
      <c r="AC1511" t="str">
        <f t="shared" si="493"/>
        <v>Zone_Entry_Exit</v>
      </c>
      <c r="AD1511" t="str">
        <f t="shared" si="494"/>
        <v>Zone_Entry</v>
      </c>
      <c r="AE1511" t="str">
        <f t="shared" si="495"/>
        <v>ZoneEntry-PassMiss/Misplay</v>
      </c>
      <c r="AF1511" t="str">
        <f t="shared" si="498"/>
        <v>Offensive</v>
      </c>
      <c r="AG1511">
        <f t="shared" si="504"/>
        <v>18981</v>
      </c>
      <c r="AH1511" t="str">
        <f t="shared" si="505"/>
        <v>Nelson</v>
      </c>
      <c r="AI1511" t="str">
        <f t="shared" si="506"/>
        <v>Velodrome</v>
      </c>
      <c r="AJ1511" s="18">
        <f t="shared" si="499"/>
        <v>0</v>
      </c>
      <c r="AP1511" s="18">
        <f t="shared" si="500"/>
        <v>0</v>
      </c>
      <c r="AQ1511">
        <f t="shared" si="501"/>
        <v>1080</v>
      </c>
      <c r="AR1511" s="23">
        <f t="shared" si="502"/>
        <v>1998</v>
      </c>
      <c r="AS1511">
        <f t="shared" si="507"/>
        <v>1993</v>
      </c>
      <c r="AT1511" s="21">
        <f t="shared" si="508"/>
        <v>1998</v>
      </c>
      <c r="AU1511" s="21"/>
      <c r="AV1511" s="21"/>
      <c r="AW1511" s="21"/>
    </row>
    <row r="1512" spans="1:49" x14ac:dyDescent="0.2">
      <c r="A1512">
        <v>811</v>
      </c>
      <c r="E1512">
        <f t="shared" si="503"/>
        <v>2</v>
      </c>
      <c r="F1512" s="5" t="s">
        <v>534</v>
      </c>
      <c r="G1512" s="5" t="s">
        <v>514</v>
      </c>
      <c r="J1512" t="str">
        <f t="shared" si="510"/>
        <v>2</v>
      </c>
      <c r="K1512" t="str">
        <f t="shared" si="511"/>
        <v>42</v>
      </c>
      <c r="L1512" t="str">
        <f t="shared" si="512"/>
        <v/>
      </c>
      <c r="M1512" s="6" t="str">
        <f t="shared" si="513"/>
        <v/>
      </c>
      <c r="N1512" t="s">
        <v>178</v>
      </c>
      <c r="O1512">
        <v>37</v>
      </c>
      <c r="P1512" t="s">
        <v>424</v>
      </c>
      <c r="Q1512" t="s">
        <v>10</v>
      </c>
      <c r="R1512" t="s">
        <v>190</v>
      </c>
      <c r="S1512" t="s">
        <v>76</v>
      </c>
      <c r="Y1512" t="str">
        <f t="shared" si="496"/>
        <v/>
      </c>
      <c r="Z1512" t="str">
        <f t="shared" si="497"/>
        <v/>
      </c>
      <c r="AC1512" t="str">
        <f t="shared" si="493"/>
        <v>Turnover</v>
      </c>
      <c r="AD1512" t="str">
        <f t="shared" si="494"/>
        <v>Turnover_Giveaway</v>
      </c>
      <c r="AE1512" t="str">
        <f t="shared" si="495"/>
        <v>Giveaway-PassMissed</v>
      </c>
      <c r="AF1512" t="str">
        <f t="shared" si="498"/>
        <v>Offensive</v>
      </c>
      <c r="AG1512">
        <f t="shared" si="504"/>
        <v>18981</v>
      </c>
      <c r="AH1512" t="str">
        <f t="shared" si="505"/>
        <v>Nelson</v>
      </c>
      <c r="AI1512" t="str">
        <f t="shared" si="506"/>
        <v>Velodrome</v>
      </c>
      <c r="AJ1512" s="18">
        <f t="shared" si="499"/>
        <v>0</v>
      </c>
      <c r="AP1512" s="18">
        <f t="shared" si="500"/>
        <v>0</v>
      </c>
      <c r="AQ1512">
        <f t="shared" si="501"/>
        <v>1080</v>
      </c>
      <c r="AR1512" s="23">
        <f t="shared" si="502"/>
        <v>1998</v>
      </c>
      <c r="AS1512">
        <f t="shared" si="507"/>
        <v>1993</v>
      </c>
      <c r="AT1512" s="21">
        <f t="shared" si="508"/>
        <v>1998</v>
      </c>
      <c r="AU1512" s="21"/>
      <c r="AV1512" s="21"/>
      <c r="AW1512" s="21"/>
    </row>
    <row r="1513" spans="1:49" x14ac:dyDescent="0.2">
      <c r="A1513">
        <v>812</v>
      </c>
      <c r="E1513">
        <f t="shared" si="503"/>
        <v>2</v>
      </c>
      <c r="F1513" s="5" t="s">
        <v>534</v>
      </c>
      <c r="G1513" s="5" t="s">
        <v>509</v>
      </c>
      <c r="J1513" t="str">
        <f t="shared" si="510"/>
        <v>2</v>
      </c>
      <c r="K1513" t="str">
        <f t="shared" si="511"/>
        <v>37</v>
      </c>
      <c r="L1513" t="str">
        <f t="shared" si="512"/>
        <v/>
      </c>
      <c r="M1513" s="6" t="str">
        <f t="shared" si="513"/>
        <v/>
      </c>
      <c r="N1513" t="s">
        <v>179</v>
      </c>
      <c r="O1513">
        <v>37</v>
      </c>
      <c r="P1513" t="s">
        <v>424</v>
      </c>
      <c r="Q1513" t="s">
        <v>8</v>
      </c>
      <c r="R1513" t="s">
        <v>189</v>
      </c>
      <c r="S1513" t="s">
        <v>70</v>
      </c>
      <c r="Y1513" t="str">
        <f t="shared" si="496"/>
        <v/>
      </c>
      <c r="Z1513" t="str">
        <f t="shared" si="497"/>
        <v/>
      </c>
      <c r="AC1513" t="str">
        <f t="shared" si="493"/>
        <v>Pass</v>
      </c>
      <c r="AD1513" t="str">
        <f t="shared" si="494"/>
        <v>Pass_Completed</v>
      </c>
      <c r="AE1513" t="str">
        <f t="shared" si="495"/>
        <v>Pass-Forehand</v>
      </c>
      <c r="AF1513" t="str">
        <f t="shared" si="498"/>
        <v>Offensive</v>
      </c>
      <c r="AG1513">
        <f t="shared" si="504"/>
        <v>18981</v>
      </c>
      <c r="AH1513" t="str">
        <f t="shared" si="505"/>
        <v>Nelson</v>
      </c>
      <c r="AI1513" t="str">
        <f t="shared" si="506"/>
        <v>Velodrome</v>
      </c>
      <c r="AJ1513" s="18">
        <f t="shared" si="499"/>
        <v>0</v>
      </c>
      <c r="AP1513" s="18">
        <f t="shared" si="500"/>
        <v>0</v>
      </c>
      <c r="AQ1513">
        <f t="shared" si="501"/>
        <v>1080</v>
      </c>
      <c r="AR1513" s="23">
        <f t="shared" si="502"/>
        <v>2003</v>
      </c>
      <c r="AS1513">
        <f t="shared" si="507"/>
        <v>1998</v>
      </c>
      <c r="AT1513" s="21">
        <f t="shared" si="508"/>
        <v>2003</v>
      </c>
      <c r="AU1513" s="21"/>
      <c r="AV1513" s="21"/>
      <c r="AW1513" s="21"/>
    </row>
    <row r="1514" spans="1:49" x14ac:dyDescent="0.2">
      <c r="A1514">
        <v>812</v>
      </c>
      <c r="E1514">
        <f t="shared" si="503"/>
        <v>2</v>
      </c>
      <c r="J1514" t="str">
        <f t="shared" si="510"/>
        <v>2</v>
      </c>
      <c r="K1514" t="str">
        <f t="shared" si="511"/>
        <v>37</v>
      </c>
      <c r="L1514" t="str">
        <f t="shared" si="512"/>
        <v/>
      </c>
      <c r="M1514" s="6" t="str">
        <f t="shared" si="513"/>
        <v/>
      </c>
      <c r="N1514" t="str">
        <f t="shared" si="509"/>
        <v>Away</v>
      </c>
      <c r="O1514">
        <v>52</v>
      </c>
      <c r="P1514" t="s">
        <v>424</v>
      </c>
      <c r="Y1514" t="str">
        <f t="shared" si="496"/>
        <v/>
      </c>
      <c r="Z1514" t="str">
        <f t="shared" si="497"/>
        <v/>
      </c>
      <c r="AC1514" t="str">
        <f t="shared" si="493"/>
        <v>Pass</v>
      </c>
      <c r="AD1514" t="str">
        <f t="shared" si="494"/>
        <v>Pass_Completed</v>
      </c>
      <c r="AE1514" t="str">
        <f t="shared" si="495"/>
        <v>Pass-Forehand</v>
      </c>
      <c r="AF1514" t="str">
        <f t="shared" si="498"/>
        <v>Offensive</v>
      </c>
      <c r="AG1514">
        <f t="shared" si="504"/>
        <v>18981</v>
      </c>
      <c r="AH1514" t="str">
        <f t="shared" si="505"/>
        <v>Nelson</v>
      </c>
      <c r="AI1514" t="str">
        <f t="shared" si="506"/>
        <v>Velodrome</v>
      </c>
      <c r="AJ1514" s="18">
        <f t="shared" si="499"/>
        <v>0</v>
      </c>
      <c r="AP1514" s="18">
        <f t="shared" si="500"/>
        <v>0</v>
      </c>
      <c r="AQ1514">
        <f t="shared" si="501"/>
        <v>1080</v>
      </c>
      <c r="AR1514" s="23">
        <f t="shared" si="502"/>
        <v>2003</v>
      </c>
      <c r="AS1514">
        <f t="shared" si="507"/>
        <v>1998</v>
      </c>
      <c r="AT1514" s="21">
        <f t="shared" si="508"/>
        <v>2003</v>
      </c>
      <c r="AU1514" s="21"/>
      <c r="AV1514" s="21"/>
      <c r="AW1514" s="21"/>
    </row>
    <row r="1515" spans="1:49" x14ac:dyDescent="0.2">
      <c r="A1515">
        <v>813</v>
      </c>
      <c r="E1515">
        <f t="shared" si="503"/>
        <v>2</v>
      </c>
      <c r="F1515" s="5" t="s">
        <v>534</v>
      </c>
      <c r="G1515" s="5" t="s">
        <v>509</v>
      </c>
      <c r="H1515" s="5" t="s">
        <v>534</v>
      </c>
      <c r="I1515" s="7" t="s">
        <v>507</v>
      </c>
      <c r="J1515" t="str">
        <f t="shared" si="510"/>
        <v>2</v>
      </c>
      <c r="K1515" t="str">
        <f t="shared" si="511"/>
        <v>37</v>
      </c>
      <c r="L1515" t="str">
        <f t="shared" si="512"/>
        <v>2</v>
      </c>
      <c r="M1515" s="6" t="str">
        <f t="shared" si="513"/>
        <v>35</v>
      </c>
      <c r="N1515" t="s">
        <v>179</v>
      </c>
      <c r="O1515">
        <v>52</v>
      </c>
      <c r="P1515" t="s">
        <v>424</v>
      </c>
      <c r="Q1515" t="s">
        <v>15</v>
      </c>
      <c r="Y1515" t="str">
        <f t="shared" si="496"/>
        <v/>
      </c>
      <c r="Z1515" t="str">
        <f t="shared" si="497"/>
        <v/>
      </c>
      <c r="AC1515" t="str">
        <f t="shared" si="493"/>
        <v>Possession</v>
      </c>
      <c r="AD1515" t="str">
        <f t="shared" si="494"/>
        <v/>
      </c>
      <c r="AE1515" t="str">
        <f t="shared" si="495"/>
        <v/>
      </c>
      <c r="AF1515" t="str">
        <f t="shared" si="498"/>
        <v>Offensive</v>
      </c>
      <c r="AG1515">
        <f t="shared" si="504"/>
        <v>18981</v>
      </c>
      <c r="AH1515" t="str">
        <f t="shared" si="505"/>
        <v>Nelson</v>
      </c>
      <c r="AI1515" t="str">
        <f t="shared" si="506"/>
        <v>Velodrome</v>
      </c>
      <c r="AJ1515" s="18">
        <f t="shared" si="499"/>
        <v>2</v>
      </c>
      <c r="AP1515" s="18">
        <f t="shared" si="500"/>
        <v>0</v>
      </c>
      <c r="AQ1515">
        <f t="shared" si="501"/>
        <v>1080</v>
      </c>
      <c r="AR1515" s="23">
        <f t="shared" si="502"/>
        <v>2003</v>
      </c>
      <c r="AS1515">
        <f t="shared" si="507"/>
        <v>1998</v>
      </c>
      <c r="AT1515" s="21">
        <f t="shared" si="508"/>
        <v>2005</v>
      </c>
      <c r="AU1515" s="21"/>
      <c r="AV1515" s="21"/>
      <c r="AW1515" s="21"/>
    </row>
    <row r="1516" spans="1:49" x14ac:dyDescent="0.2">
      <c r="A1516">
        <v>814</v>
      </c>
      <c r="E1516">
        <f t="shared" si="503"/>
        <v>2</v>
      </c>
      <c r="F1516" s="5" t="s">
        <v>534</v>
      </c>
      <c r="G1516" s="5" t="s">
        <v>507</v>
      </c>
      <c r="J1516" t="str">
        <f t="shared" si="510"/>
        <v>2</v>
      </c>
      <c r="K1516" t="str">
        <f t="shared" si="511"/>
        <v>35</v>
      </c>
      <c r="L1516" t="str">
        <f t="shared" si="512"/>
        <v/>
      </c>
      <c r="M1516" s="6" t="str">
        <f t="shared" si="513"/>
        <v/>
      </c>
      <c r="N1516" t="s">
        <v>178</v>
      </c>
      <c r="O1516">
        <v>3</v>
      </c>
      <c r="P1516" t="s">
        <v>424</v>
      </c>
      <c r="Q1516" t="s">
        <v>10</v>
      </c>
      <c r="R1516" t="s">
        <v>200</v>
      </c>
      <c r="S1516" t="s">
        <v>82</v>
      </c>
      <c r="Y1516" t="str">
        <f t="shared" si="496"/>
        <v/>
      </c>
      <c r="Z1516" t="str">
        <f t="shared" si="497"/>
        <v/>
      </c>
      <c r="AC1516" t="str">
        <f t="shared" si="493"/>
        <v>Turnover</v>
      </c>
      <c r="AD1516" t="str">
        <f t="shared" si="494"/>
        <v>Turnover_Takeaway</v>
      </c>
      <c r="AE1516" t="str">
        <f t="shared" si="495"/>
        <v>Takeaway-PokeCheck</v>
      </c>
      <c r="AF1516" t="str">
        <f t="shared" si="498"/>
        <v>Defensive</v>
      </c>
      <c r="AG1516">
        <f t="shared" si="504"/>
        <v>18981</v>
      </c>
      <c r="AH1516" t="str">
        <f t="shared" si="505"/>
        <v>Nelson</v>
      </c>
      <c r="AI1516" t="str">
        <f t="shared" si="506"/>
        <v>Velodrome</v>
      </c>
      <c r="AJ1516" s="18">
        <f t="shared" si="499"/>
        <v>0</v>
      </c>
      <c r="AP1516" s="18">
        <f t="shared" si="500"/>
        <v>0</v>
      </c>
      <c r="AQ1516">
        <f t="shared" si="501"/>
        <v>1080</v>
      </c>
      <c r="AR1516" s="23">
        <f t="shared" si="502"/>
        <v>2005</v>
      </c>
      <c r="AS1516">
        <f t="shared" si="507"/>
        <v>2000</v>
      </c>
      <c r="AT1516" s="21">
        <f t="shared" si="508"/>
        <v>2005</v>
      </c>
      <c r="AU1516" s="21"/>
      <c r="AV1516" s="21"/>
      <c r="AW1516" s="21"/>
    </row>
    <row r="1517" spans="1:49" x14ac:dyDescent="0.2">
      <c r="A1517">
        <v>814</v>
      </c>
      <c r="E1517">
        <f t="shared" si="503"/>
        <v>2</v>
      </c>
      <c r="J1517" t="str">
        <f t="shared" si="510"/>
        <v>2</v>
      </c>
      <c r="K1517" t="str">
        <f t="shared" si="511"/>
        <v>35</v>
      </c>
      <c r="L1517" t="str">
        <f t="shared" si="512"/>
        <v/>
      </c>
      <c r="M1517" s="6" t="str">
        <f t="shared" si="513"/>
        <v/>
      </c>
      <c r="N1517" t="str">
        <f t="shared" si="509"/>
        <v>Home</v>
      </c>
      <c r="O1517">
        <v>52</v>
      </c>
      <c r="P1517" t="s">
        <v>425</v>
      </c>
      <c r="Y1517" t="str">
        <f t="shared" si="496"/>
        <v/>
      </c>
      <c r="Z1517" t="str">
        <f t="shared" si="497"/>
        <v/>
      </c>
      <c r="AC1517" t="str">
        <f t="shared" si="493"/>
        <v>Turnover</v>
      </c>
      <c r="AD1517" t="str">
        <f t="shared" si="494"/>
        <v>Turnover_Takeaway</v>
      </c>
      <c r="AE1517" t="str">
        <f t="shared" si="495"/>
        <v>Takeaway-PokeCheck</v>
      </c>
      <c r="AF1517" t="str">
        <f t="shared" si="498"/>
        <v>Offensive</v>
      </c>
      <c r="AG1517">
        <f t="shared" si="504"/>
        <v>18981</v>
      </c>
      <c r="AH1517" t="str">
        <f t="shared" si="505"/>
        <v>Nelson</v>
      </c>
      <c r="AI1517" t="str">
        <f t="shared" si="506"/>
        <v>Velodrome</v>
      </c>
      <c r="AJ1517" s="18">
        <f t="shared" si="499"/>
        <v>0</v>
      </c>
      <c r="AP1517" s="18">
        <f t="shared" si="500"/>
        <v>0</v>
      </c>
      <c r="AQ1517">
        <f t="shared" si="501"/>
        <v>1080</v>
      </c>
      <c r="AR1517" s="23">
        <f t="shared" si="502"/>
        <v>2005</v>
      </c>
      <c r="AS1517">
        <f t="shared" si="507"/>
        <v>2000</v>
      </c>
      <c r="AT1517" s="21">
        <f t="shared" si="508"/>
        <v>2005</v>
      </c>
      <c r="AU1517" s="21"/>
      <c r="AV1517" s="21"/>
      <c r="AW1517" s="21"/>
    </row>
    <row r="1518" spans="1:49" x14ac:dyDescent="0.2">
      <c r="A1518">
        <v>815</v>
      </c>
      <c r="E1518">
        <f t="shared" si="503"/>
        <v>2</v>
      </c>
      <c r="F1518" s="5" t="s">
        <v>534</v>
      </c>
      <c r="G1518" s="5" t="s">
        <v>507</v>
      </c>
      <c r="H1518" s="5" t="s">
        <v>534</v>
      </c>
      <c r="I1518" s="7" t="s">
        <v>505</v>
      </c>
      <c r="J1518" t="str">
        <f t="shared" si="510"/>
        <v>2</v>
      </c>
      <c r="K1518" t="str">
        <f t="shared" si="511"/>
        <v>35</v>
      </c>
      <c r="L1518" t="str">
        <f t="shared" si="512"/>
        <v>2</v>
      </c>
      <c r="M1518" s="6" t="str">
        <f t="shared" si="513"/>
        <v>33</v>
      </c>
      <c r="N1518" t="s">
        <v>178</v>
      </c>
      <c r="O1518">
        <v>3</v>
      </c>
      <c r="P1518" t="s">
        <v>424</v>
      </c>
      <c r="Q1518" t="s">
        <v>15</v>
      </c>
      <c r="Y1518" t="str">
        <f t="shared" si="496"/>
        <v/>
      </c>
      <c r="Z1518" t="str">
        <f t="shared" si="497"/>
        <v/>
      </c>
      <c r="AC1518" t="str">
        <f t="shared" si="493"/>
        <v>Possession</v>
      </c>
      <c r="AD1518" t="str">
        <f t="shared" si="494"/>
        <v/>
      </c>
      <c r="AE1518" t="str">
        <f t="shared" si="495"/>
        <v/>
      </c>
      <c r="AF1518" t="str">
        <f t="shared" si="498"/>
        <v>Offensive</v>
      </c>
      <c r="AG1518">
        <f t="shared" si="504"/>
        <v>18981</v>
      </c>
      <c r="AH1518" t="str">
        <f t="shared" si="505"/>
        <v>Nelson</v>
      </c>
      <c r="AI1518" t="str">
        <f t="shared" si="506"/>
        <v>Velodrome</v>
      </c>
      <c r="AJ1518" s="18">
        <f t="shared" si="499"/>
        <v>2</v>
      </c>
      <c r="AP1518" s="18">
        <f t="shared" si="500"/>
        <v>0</v>
      </c>
      <c r="AQ1518">
        <f t="shared" si="501"/>
        <v>1080</v>
      </c>
      <c r="AR1518" s="23">
        <f t="shared" si="502"/>
        <v>2005</v>
      </c>
      <c r="AS1518">
        <f t="shared" si="507"/>
        <v>2000</v>
      </c>
      <c r="AT1518" s="21">
        <f t="shared" si="508"/>
        <v>2007</v>
      </c>
      <c r="AU1518" s="21"/>
      <c r="AV1518" s="21"/>
      <c r="AW1518" s="21"/>
    </row>
    <row r="1519" spans="1:49" x14ac:dyDescent="0.2">
      <c r="A1519">
        <v>816</v>
      </c>
      <c r="E1519">
        <f t="shared" si="503"/>
        <v>2</v>
      </c>
      <c r="F1519" s="5" t="s">
        <v>534</v>
      </c>
      <c r="G1519" s="5" t="s">
        <v>505</v>
      </c>
      <c r="J1519" t="str">
        <f t="shared" si="510"/>
        <v>2</v>
      </c>
      <c r="K1519" t="str">
        <f t="shared" si="511"/>
        <v>33</v>
      </c>
      <c r="L1519" t="str">
        <f t="shared" si="512"/>
        <v/>
      </c>
      <c r="M1519" s="6" t="str">
        <f t="shared" si="513"/>
        <v/>
      </c>
      <c r="N1519" t="s">
        <v>178</v>
      </c>
      <c r="O1519">
        <v>3</v>
      </c>
      <c r="P1519" t="s">
        <v>424</v>
      </c>
      <c r="Q1519" t="s">
        <v>7</v>
      </c>
      <c r="R1519" t="s">
        <v>222</v>
      </c>
      <c r="S1519" t="s">
        <v>53</v>
      </c>
      <c r="Y1519" t="str">
        <f t="shared" si="496"/>
        <v/>
      </c>
      <c r="Z1519" t="str">
        <f t="shared" si="497"/>
        <v/>
      </c>
      <c r="AC1519" t="str">
        <f t="shared" ref="AC1519:AC1582" si="514">IF(Q1519&lt;&gt;"",Q1519,IF($A1519=$A1518,AC1518,""))</f>
        <v>Shot</v>
      </c>
      <c r="AD1519" t="str">
        <f t="shared" ref="AD1519:AD1582" si="515">IF(R1519&lt;&gt;"",R1519,IF($A1519=$A1518,AD1518,""))</f>
        <v>Shot_OnNetSaved</v>
      </c>
      <c r="AE1519" t="str">
        <f t="shared" ref="AE1519:AE1582" si="516">IF(S1519&lt;&gt;"",S1519,IF($A1519=$A1518,AE1518,""))</f>
        <v>Shot-Wrist</v>
      </c>
      <c r="AF1519" t="str">
        <f t="shared" si="498"/>
        <v>Offensive</v>
      </c>
      <c r="AG1519">
        <f t="shared" si="504"/>
        <v>18981</v>
      </c>
      <c r="AH1519" t="str">
        <f t="shared" si="505"/>
        <v>Nelson</v>
      </c>
      <c r="AI1519" t="str">
        <f t="shared" si="506"/>
        <v>Velodrome</v>
      </c>
      <c r="AJ1519" s="18">
        <f t="shared" si="499"/>
        <v>0</v>
      </c>
      <c r="AP1519" s="18">
        <f t="shared" si="500"/>
        <v>0</v>
      </c>
      <c r="AQ1519">
        <f t="shared" si="501"/>
        <v>1080</v>
      </c>
      <c r="AR1519" s="23">
        <f t="shared" si="502"/>
        <v>2007</v>
      </c>
      <c r="AS1519">
        <f t="shared" si="507"/>
        <v>2002</v>
      </c>
      <c r="AT1519" s="21">
        <f t="shared" si="508"/>
        <v>2007</v>
      </c>
      <c r="AU1519" s="21"/>
      <c r="AV1519" s="21"/>
      <c r="AW1519" s="21"/>
    </row>
    <row r="1520" spans="1:49" x14ac:dyDescent="0.2">
      <c r="A1520">
        <v>816</v>
      </c>
      <c r="E1520">
        <f t="shared" si="503"/>
        <v>2</v>
      </c>
      <c r="J1520" t="str">
        <f t="shared" si="510"/>
        <v>2</v>
      </c>
      <c r="K1520" t="str">
        <f t="shared" si="511"/>
        <v>33</v>
      </c>
      <c r="L1520" t="str">
        <f t="shared" si="512"/>
        <v/>
      </c>
      <c r="M1520" s="6" t="str">
        <f t="shared" si="513"/>
        <v/>
      </c>
      <c r="N1520" t="str">
        <f t="shared" si="509"/>
        <v>Home</v>
      </c>
      <c r="O1520">
        <v>39</v>
      </c>
      <c r="P1520" t="s">
        <v>425</v>
      </c>
      <c r="Y1520" t="str">
        <f t="shared" si="496"/>
        <v/>
      </c>
      <c r="Z1520" t="str">
        <f t="shared" si="497"/>
        <v/>
      </c>
      <c r="AC1520" t="str">
        <f t="shared" si="514"/>
        <v>Shot</v>
      </c>
      <c r="AD1520" t="str">
        <f t="shared" si="515"/>
        <v>Shot_OnNetSaved</v>
      </c>
      <c r="AE1520" t="str">
        <f t="shared" si="516"/>
        <v>Shot-Wrist</v>
      </c>
      <c r="AF1520" t="str">
        <f t="shared" si="498"/>
        <v>Defensive</v>
      </c>
      <c r="AG1520">
        <f t="shared" si="504"/>
        <v>18981</v>
      </c>
      <c r="AH1520" t="str">
        <f t="shared" si="505"/>
        <v>Nelson</v>
      </c>
      <c r="AI1520" t="str">
        <f t="shared" si="506"/>
        <v>Velodrome</v>
      </c>
      <c r="AJ1520" s="18">
        <f t="shared" si="499"/>
        <v>0</v>
      </c>
      <c r="AP1520" s="18">
        <f t="shared" si="500"/>
        <v>0</v>
      </c>
      <c r="AQ1520">
        <f t="shared" si="501"/>
        <v>1080</v>
      </c>
      <c r="AR1520" s="23">
        <f t="shared" si="502"/>
        <v>2007</v>
      </c>
      <c r="AS1520">
        <f t="shared" si="507"/>
        <v>2002</v>
      </c>
      <c r="AT1520" s="21">
        <f t="shared" si="508"/>
        <v>2007</v>
      </c>
      <c r="AU1520" s="21"/>
      <c r="AV1520" s="21"/>
      <c r="AW1520" s="21"/>
    </row>
    <row r="1521" spans="1:49" x14ac:dyDescent="0.2">
      <c r="A1521">
        <v>817</v>
      </c>
      <c r="E1521">
        <f t="shared" si="503"/>
        <v>2</v>
      </c>
      <c r="F1521" s="5" t="s">
        <v>534</v>
      </c>
      <c r="G1521" s="5" t="s">
        <v>505</v>
      </c>
      <c r="J1521" t="str">
        <f t="shared" si="510"/>
        <v>2</v>
      </c>
      <c r="K1521" t="str">
        <f t="shared" si="511"/>
        <v>33</v>
      </c>
      <c r="L1521" t="str">
        <f t="shared" si="512"/>
        <v/>
      </c>
      <c r="M1521" s="6" t="str">
        <f t="shared" si="513"/>
        <v/>
      </c>
      <c r="N1521" t="s">
        <v>179</v>
      </c>
      <c r="O1521">
        <v>39</v>
      </c>
      <c r="P1521" t="s">
        <v>424</v>
      </c>
      <c r="Q1521" t="s">
        <v>17</v>
      </c>
      <c r="R1521" t="s">
        <v>196</v>
      </c>
      <c r="S1521" t="s">
        <v>99</v>
      </c>
      <c r="Y1521" t="str">
        <f t="shared" si="496"/>
        <v/>
      </c>
      <c r="Z1521" t="str">
        <f t="shared" si="497"/>
        <v/>
      </c>
      <c r="AC1521" t="str">
        <f t="shared" si="514"/>
        <v>Save</v>
      </c>
      <c r="AD1521" t="str">
        <f t="shared" si="515"/>
        <v>Save_Rebound</v>
      </c>
      <c r="AE1521" t="str">
        <f t="shared" si="516"/>
        <v>Save-RightPad</v>
      </c>
      <c r="AF1521" t="str">
        <f t="shared" si="498"/>
        <v>Defensive</v>
      </c>
      <c r="AG1521">
        <f t="shared" si="504"/>
        <v>18981</v>
      </c>
      <c r="AH1521" t="str">
        <f t="shared" si="505"/>
        <v>Nelson</v>
      </c>
      <c r="AI1521" t="str">
        <f t="shared" si="506"/>
        <v>Velodrome</v>
      </c>
      <c r="AJ1521" s="18">
        <f t="shared" si="499"/>
        <v>0</v>
      </c>
      <c r="AP1521" s="18">
        <f t="shared" si="500"/>
        <v>0</v>
      </c>
      <c r="AQ1521">
        <f t="shared" si="501"/>
        <v>1080</v>
      </c>
      <c r="AR1521" s="23">
        <f t="shared" si="502"/>
        <v>2007</v>
      </c>
      <c r="AS1521">
        <f t="shared" si="507"/>
        <v>2002</v>
      </c>
      <c r="AT1521" s="21">
        <f t="shared" si="508"/>
        <v>2007</v>
      </c>
      <c r="AU1521" s="21"/>
      <c r="AV1521" s="21"/>
      <c r="AW1521" s="21"/>
    </row>
    <row r="1522" spans="1:49" x14ac:dyDescent="0.2">
      <c r="A1522">
        <v>817</v>
      </c>
      <c r="E1522">
        <f t="shared" si="503"/>
        <v>2</v>
      </c>
      <c r="J1522" t="str">
        <f t="shared" si="510"/>
        <v>2</v>
      </c>
      <c r="K1522" t="str">
        <f t="shared" si="511"/>
        <v>33</v>
      </c>
      <c r="L1522" t="str">
        <f t="shared" si="512"/>
        <v/>
      </c>
      <c r="M1522" s="6" t="str">
        <f t="shared" si="513"/>
        <v/>
      </c>
      <c r="N1522" t="str">
        <f t="shared" si="509"/>
        <v>Away</v>
      </c>
      <c r="O1522">
        <v>3</v>
      </c>
      <c r="P1522" t="s">
        <v>425</v>
      </c>
      <c r="Y1522" t="str">
        <f t="shared" si="496"/>
        <v/>
      </c>
      <c r="Z1522" t="str">
        <f t="shared" si="497"/>
        <v/>
      </c>
      <c r="AC1522" t="str">
        <f t="shared" si="514"/>
        <v>Save</v>
      </c>
      <c r="AD1522" t="str">
        <f t="shared" si="515"/>
        <v>Save_Rebound</v>
      </c>
      <c r="AE1522" t="str">
        <f t="shared" si="516"/>
        <v>Save-RightPad</v>
      </c>
      <c r="AF1522" t="str">
        <f t="shared" si="498"/>
        <v>Offensive</v>
      </c>
      <c r="AG1522">
        <f t="shared" si="504"/>
        <v>18981</v>
      </c>
      <c r="AH1522" t="str">
        <f t="shared" si="505"/>
        <v>Nelson</v>
      </c>
      <c r="AI1522" t="str">
        <f t="shared" si="506"/>
        <v>Velodrome</v>
      </c>
      <c r="AJ1522" s="18">
        <f t="shared" si="499"/>
        <v>0</v>
      </c>
      <c r="AP1522" s="18">
        <f t="shared" si="500"/>
        <v>0</v>
      </c>
      <c r="AQ1522">
        <f t="shared" si="501"/>
        <v>1080</v>
      </c>
      <c r="AR1522" s="23">
        <f t="shared" si="502"/>
        <v>2007</v>
      </c>
      <c r="AS1522">
        <f t="shared" si="507"/>
        <v>2002</v>
      </c>
      <c r="AT1522" s="21">
        <f t="shared" si="508"/>
        <v>2007</v>
      </c>
      <c r="AU1522" s="21"/>
      <c r="AV1522" s="21"/>
      <c r="AW1522" s="21"/>
    </row>
    <row r="1523" spans="1:49" x14ac:dyDescent="0.2">
      <c r="A1523">
        <v>818</v>
      </c>
      <c r="E1523">
        <f t="shared" si="503"/>
        <v>2</v>
      </c>
      <c r="F1523" s="5" t="s">
        <v>534</v>
      </c>
      <c r="G1523" s="5" t="s">
        <v>505</v>
      </c>
      <c r="J1523" t="str">
        <f t="shared" si="510"/>
        <v>2</v>
      </c>
      <c r="K1523" t="str">
        <f t="shared" si="511"/>
        <v>33</v>
      </c>
      <c r="L1523" t="str">
        <f t="shared" si="512"/>
        <v/>
      </c>
      <c r="M1523" s="6" t="str">
        <f t="shared" si="513"/>
        <v/>
      </c>
      <c r="N1523" t="s">
        <v>179</v>
      </c>
      <c r="O1523">
        <v>39</v>
      </c>
      <c r="P1523" t="s">
        <v>424</v>
      </c>
      <c r="Q1523" t="s">
        <v>270</v>
      </c>
      <c r="R1523" t="s">
        <v>272</v>
      </c>
      <c r="Y1523" t="str">
        <f t="shared" si="496"/>
        <v/>
      </c>
      <c r="Z1523" t="str">
        <f t="shared" si="497"/>
        <v/>
      </c>
      <c r="AC1523" t="str">
        <f t="shared" si="514"/>
        <v>Rebound</v>
      </c>
      <c r="AD1523" t="str">
        <f t="shared" si="515"/>
        <v>Rebound_OppTeamRecovered</v>
      </c>
      <c r="AE1523" t="str">
        <f t="shared" si="516"/>
        <v/>
      </c>
      <c r="AF1523" t="str">
        <f t="shared" si="498"/>
        <v>Offensive</v>
      </c>
      <c r="AG1523">
        <f t="shared" si="504"/>
        <v>18981</v>
      </c>
      <c r="AH1523" t="str">
        <f t="shared" si="505"/>
        <v>Nelson</v>
      </c>
      <c r="AI1523" t="str">
        <f t="shared" si="506"/>
        <v>Velodrome</v>
      </c>
      <c r="AJ1523" s="18">
        <f t="shared" si="499"/>
        <v>0</v>
      </c>
      <c r="AP1523" s="18">
        <f t="shared" si="500"/>
        <v>0</v>
      </c>
      <c r="AQ1523">
        <f t="shared" si="501"/>
        <v>1080</v>
      </c>
      <c r="AR1523" s="23">
        <f t="shared" si="502"/>
        <v>2007</v>
      </c>
      <c r="AS1523">
        <f t="shared" si="507"/>
        <v>2002</v>
      </c>
      <c r="AT1523" s="21">
        <f t="shared" si="508"/>
        <v>2007</v>
      </c>
      <c r="AU1523" s="21"/>
      <c r="AV1523" s="21"/>
      <c r="AW1523" s="21"/>
    </row>
    <row r="1524" spans="1:49" x14ac:dyDescent="0.2">
      <c r="A1524">
        <v>819</v>
      </c>
      <c r="E1524">
        <f t="shared" si="503"/>
        <v>2</v>
      </c>
      <c r="F1524" s="5" t="s">
        <v>534</v>
      </c>
      <c r="G1524" s="5" t="s">
        <v>500</v>
      </c>
      <c r="J1524" t="str">
        <f t="shared" si="510"/>
        <v>2</v>
      </c>
      <c r="K1524" t="str">
        <f t="shared" si="511"/>
        <v>28</v>
      </c>
      <c r="L1524" t="str">
        <f t="shared" si="512"/>
        <v/>
      </c>
      <c r="M1524" s="6" t="str">
        <f t="shared" si="513"/>
        <v/>
      </c>
      <c r="N1524" t="s">
        <v>178</v>
      </c>
      <c r="O1524">
        <v>10</v>
      </c>
      <c r="P1524" t="s">
        <v>424</v>
      </c>
      <c r="Q1524" t="s">
        <v>8</v>
      </c>
      <c r="R1524" t="s">
        <v>209</v>
      </c>
      <c r="S1524" t="s">
        <v>70</v>
      </c>
      <c r="Y1524" t="str">
        <f t="shared" si="496"/>
        <v/>
      </c>
      <c r="Z1524" t="str">
        <f t="shared" si="497"/>
        <v/>
      </c>
      <c r="AC1524" t="str">
        <f t="shared" si="514"/>
        <v>Pass</v>
      </c>
      <c r="AD1524" t="str">
        <f t="shared" si="515"/>
        <v>Pass_Deflected</v>
      </c>
      <c r="AE1524" t="str">
        <f t="shared" si="516"/>
        <v>Pass-Forehand</v>
      </c>
      <c r="AF1524" t="str">
        <f t="shared" si="498"/>
        <v>Offensive</v>
      </c>
      <c r="AG1524">
        <f t="shared" si="504"/>
        <v>18981</v>
      </c>
      <c r="AH1524" t="str">
        <f t="shared" si="505"/>
        <v>Nelson</v>
      </c>
      <c r="AI1524" t="str">
        <f t="shared" si="506"/>
        <v>Velodrome</v>
      </c>
      <c r="AJ1524" s="18">
        <f t="shared" si="499"/>
        <v>0</v>
      </c>
      <c r="AP1524" s="18">
        <f t="shared" si="500"/>
        <v>0</v>
      </c>
      <c r="AQ1524">
        <f t="shared" si="501"/>
        <v>1080</v>
      </c>
      <c r="AR1524" s="23">
        <f t="shared" si="502"/>
        <v>2012</v>
      </c>
      <c r="AS1524">
        <f t="shared" si="507"/>
        <v>2007</v>
      </c>
      <c r="AT1524" s="21">
        <f t="shared" si="508"/>
        <v>2012</v>
      </c>
      <c r="AU1524" s="21"/>
      <c r="AV1524" s="21"/>
      <c r="AW1524" s="21"/>
    </row>
    <row r="1525" spans="1:49" x14ac:dyDescent="0.2">
      <c r="A1525">
        <v>819</v>
      </c>
      <c r="E1525">
        <f t="shared" si="503"/>
        <v>2</v>
      </c>
      <c r="J1525" t="str">
        <f t="shared" si="510"/>
        <v>2</v>
      </c>
      <c r="K1525" t="str">
        <f t="shared" si="511"/>
        <v>28</v>
      </c>
      <c r="L1525" t="str">
        <f t="shared" si="512"/>
        <v/>
      </c>
      <c r="M1525" s="6" t="str">
        <f t="shared" si="513"/>
        <v/>
      </c>
      <c r="N1525" t="str">
        <f t="shared" si="509"/>
        <v>Home</v>
      </c>
      <c r="O1525">
        <v>42</v>
      </c>
      <c r="P1525" t="s">
        <v>425</v>
      </c>
      <c r="Y1525" t="str">
        <f t="shared" si="496"/>
        <v/>
      </c>
      <c r="Z1525" t="str">
        <f t="shared" si="497"/>
        <v/>
      </c>
      <c r="AC1525" t="str">
        <f t="shared" si="514"/>
        <v>Pass</v>
      </c>
      <c r="AD1525" t="str">
        <f t="shared" si="515"/>
        <v>Pass_Deflected</v>
      </c>
      <c r="AE1525" t="str">
        <f t="shared" si="516"/>
        <v>Pass-Forehand</v>
      </c>
      <c r="AF1525" t="str">
        <f t="shared" si="498"/>
        <v>Defensive</v>
      </c>
      <c r="AG1525">
        <f t="shared" si="504"/>
        <v>18981</v>
      </c>
      <c r="AH1525" t="str">
        <f t="shared" si="505"/>
        <v>Nelson</v>
      </c>
      <c r="AI1525" t="str">
        <f t="shared" si="506"/>
        <v>Velodrome</v>
      </c>
      <c r="AJ1525" s="18">
        <f t="shared" si="499"/>
        <v>0</v>
      </c>
      <c r="AP1525" s="18">
        <f t="shared" si="500"/>
        <v>0</v>
      </c>
      <c r="AQ1525">
        <f t="shared" si="501"/>
        <v>1080</v>
      </c>
      <c r="AR1525" s="23">
        <f t="shared" si="502"/>
        <v>2012</v>
      </c>
      <c r="AS1525">
        <f t="shared" si="507"/>
        <v>2007</v>
      </c>
      <c r="AT1525" s="21">
        <f t="shared" si="508"/>
        <v>2012</v>
      </c>
      <c r="AU1525" s="21"/>
      <c r="AV1525" s="21"/>
      <c r="AW1525" s="21"/>
    </row>
    <row r="1526" spans="1:49" x14ac:dyDescent="0.2">
      <c r="A1526">
        <v>820</v>
      </c>
      <c r="E1526">
        <f t="shared" si="503"/>
        <v>2</v>
      </c>
      <c r="F1526" s="5" t="s">
        <v>534</v>
      </c>
      <c r="G1526" s="5" t="s">
        <v>498</v>
      </c>
      <c r="H1526" s="5" t="s">
        <v>534</v>
      </c>
      <c r="I1526" s="7" t="s">
        <v>494</v>
      </c>
      <c r="J1526" t="str">
        <f t="shared" si="510"/>
        <v>2</v>
      </c>
      <c r="K1526" t="str">
        <f t="shared" si="511"/>
        <v>26</v>
      </c>
      <c r="L1526" t="str">
        <f t="shared" si="512"/>
        <v>2</v>
      </c>
      <c r="M1526" s="6" t="str">
        <f t="shared" si="513"/>
        <v>22</v>
      </c>
      <c r="N1526" t="s">
        <v>178</v>
      </c>
      <c r="O1526">
        <v>44</v>
      </c>
      <c r="P1526" t="s">
        <v>424</v>
      </c>
      <c r="Q1526" t="s">
        <v>15</v>
      </c>
      <c r="Y1526" t="str">
        <f t="shared" si="496"/>
        <v/>
      </c>
      <c r="Z1526" t="str">
        <f t="shared" si="497"/>
        <v/>
      </c>
      <c r="AC1526" t="str">
        <f t="shared" si="514"/>
        <v>Possession</v>
      </c>
      <c r="AD1526" t="str">
        <f t="shared" si="515"/>
        <v/>
      </c>
      <c r="AE1526" t="str">
        <f t="shared" si="516"/>
        <v/>
      </c>
      <c r="AF1526" t="str">
        <f t="shared" si="498"/>
        <v>Offensive</v>
      </c>
      <c r="AG1526">
        <f t="shared" si="504"/>
        <v>18981</v>
      </c>
      <c r="AH1526" t="str">
        <f t="shared" si="505"/>
        <v>Nelson</v>
      </c>
      <c r="AI1526" t="str">
        <f t="shared" si="506"/>
        <v>Velodrome</v>
      </c>
      <c r="AJ1526" s="18">
        <f t="shared" si="499"/>
        <v>4</v>
      </c>
      <c r="AP1526" s="18">
        <f t="shared" si="500"/>
        <v>0</v>
      </c>
      <c r="AQ1526">
        <f t="shared" si="501"/>
        <v>1080</v>
      </c>
      <c r="AR1526" s="23">
        <f t="shared" si="502"/>
        <v>2014</v>
      </c>
      <c r="AS1526">
        <f t="shared" si="507"/>
        <v>2009</v>
      </c>
      <c r="AT1526" s="21">
        <f t="shared" si="508"/>
        <v>2018</v>
      </c>
      <c r="AU1526" s="21"/>
      <c r="AV1526" s="21"/>
      <c r="AW1526" s="21"/>
    </row>
    <row r="1527" spans="1:49" x14ac:dyDescent="0.2">
      <c r="A1527">
        <v>820</v>
      </c>
      <c r="E1527">
        <f t="shared" si="503"/>
        <v>2</v>
      </c>
      <c r="J1527" t="str">
        <f t="shared" si="510"/>
        <v>2</v>
      </c>
      <c r="K1527" t="str">
        <f t="shared" si="511"/>
        <v>26</v>
      </c>
      <c r="L1527" t="str">
        <f t="shared" si="512"/>
        <v>2</v>
      </c>
      <c r="M1527" s="6" t="str">
        <f t="shared" si="513"/>
        <v>22</v>
      </c>
      <c r="N1527" t="s">
        <v>178</v>
      </c>
      <c r="O1527">
        <v>22</v>
      </c>
      <c r="P1527" t="s">
        <v>425</v>
      </c>
      <c r="Y1527" t="str">
        <f t="shared" si="496"/>
        <v/>
      </c>
      <c r="Z1527" t="str">
        <f t="shared" si="497"/>
        <v/>
      </c>
      <c r="AC1527" t="str">
        <f t="shared" si="514"/>
        <v>Possession</v>
      </c>
      <c r="AD1527" t="str">
        <f t="shared" si="515"/>
        <v/>
      </c>
      <c r="AE1527" t="str">
        <f t="shared" si="516"/>
        <v/>
      </c>
      <c r="AF1527" t="str">
        <f t="shared" si="498"/>
        <v>Defensive</v>
      </c>
      <c r="AG1527">
        <f t="shared" si="504"/>
        <v>18981</v>
      </c>
      <c r="AH1527" t="str">
        <f t="shared" si="505"/>
        <v>Nelson</v>
      </c>
      <c r="AI1527" t="str">
        <f t="shared" si="506"/>
        <v>Velodrome</v>
      </c>
      <c r="AJ1527" s="18">
        <f t="shared" si="499"/>
        <v>4</v>
      </c>
      <c r="AP1527" s="18">
        <f t="shared" si="500"/>
        <v>0</v>
      </c>
      <c r="AQ1527">
        <f t="shared" si="501"/>
        <v>1080</v>
      </c>
      <c r="AR1527" s="23">
        <f t="shared" si="502"/>
        <v>2014</v>
      </c>
      <c r="AS1527">
        <f t="shared" si="507"/>
        <v>2009</v>
      </c>
      <c r="AT1527" s="21">
        <f t="shared" si="508"/>
        <v>2018</v>
      </c>
      <c r="AU1527" s="21"/>
      <c r="AV1527" s="21"/>
      <c r="AW1527" s="21"/>
    </row>
    <row r="1528" spans="1:49" x14ac:dyDescent="0.2">
      <c r="A1528">
        <v>821</v>
      </c>
      <c r="E1528">
        <f t="shared" si="503"/>
        <v>2</v>
      </c>
      <c r="F1528" s="5" t="s">
        <v>534</v>
      </c>
      <c r="G1528" s="5" t="s">
        <v>494</v>
      </c>
      <c r="J1528" t="str">
        <f t="shared" si="510"/>
        <v>2</v>
      </c>
      <c r="K1528" t="str">
        <f t="shared" si="511"/>
        <v>22</v>
      </c>
      <c r="L1528" t="str">
        <f t="shared" si="512"/>
        <v/>
      </c>
      <c r="M1528" s="6" t="str">
        <f t="shared" si="513"/>
        <v/>
      </c>
      <c r="N1528" t="s">
        <v>179</v>
      </c>
      <c r="O1528">
        <v>22</v>
      </c>
      <c r="P1528" t="s">
        <v>424</v>
      </c>
      <c r="Q1528" t="s">
        <v>10</v>
      </c>
      <c r="R1528" t="s">
        <v>200</v>
      </c>
      <c r="S1528" t="s">
        <v>81</v>
      </c>
      <c r="Y1528" t="str">
        <f t="shared" si="496"/>
        <v/>
      </c>
      <c r="Z1528" t="str">
        <f t="shared" si="497"/>
        <v/>
      </c>
      <c r="AC1528" t="str">
        <f t="shared" si="514"/>
        <v>Turnover</v>
      </c>
      <c r="AD1528" t="str">
        <f t="shared" si="515"/>
        <v>Turnover_Takeaway</v>
      </c>
      <c r="AE1528" t="str">
        <f t="shared" si="516"/>
        <v>Takeaway-BattleWon</v>
      </c>
      <c r="AF1528" t="str">
        <f t="shared" si="498"/>
        <v>Defensive</v>
      </c>
      <c r="AG1528">
        <f t="shared" si="504"/>
        <v>18981</v>
      </c>
      <c r="AH1528" t="str">
        <f t="shared" si="505"/>
        <v>Nelson</v>
      </c>
      <c r="AI1528" t="str">
        <f t="shared" si="506"/>
        <v>Velodrome</v>
      </c>
      <c r="AJ1528" s="18">
        <f t="shared" si="499"/>
        <v>0</v>
      </c>
      <c r="AP1528" s="18">
        <f t="shared" si="500"/>
        <v>0</v>
      </c>
      <c r="AQ1528">
        <f t="shared" si="501"/>
        <v>1080</v>
      </c>
      <c r="AR1528" s="23">
        <f t="shared" si="502"/>
        <v>2018</v>
      </c>
      <c r="AS1528">
        <f t="shared" si="507"/>
        <v>2013</v>
      </c>
      <c r="AT1528" s="21">
        <f t="shared" si="508"/>
        <v>2018</v>
      </c>
      <c r="AU1528" s="21"/>
      <c r="AV1528" s="21"/>
      <c r="AW1528" s="21"/>
    </row>
    <row r="1529" spans="1:49" x14ac:dyDescent="0.2">
      <c r="A1529">
        <v>821</v>
      </c>
      <c r="E1529">
        <f t="shared" si="503"/>
        <v>2</v>
      </c>
      <c r="J1529" t="str">
        <f t="shared" si="510"/>
        <v>2</v>
      </c>
      <c r="K1529" t="str">
        <f t="shared" si="511"/>
        <v>22</v>
      </c>
      <c r="L1529" t="str">
        <f t="shared" si="512"/>
        <v/>
      </c>
      <c r="M1529" s="6" t="str">
        <f t="shared" si="513"/>
        <v/>
      </c>
      <c r="N1529" t="str">
        <f t="shared" si="509"/>
        <v>Away</v>
      </c>
      <c r="O1529">
        <v>44</v>
      </c>
      <c r="P1529" t="s">
        <v>425</v>
      </c>
      <c r="Y1529" t="str">
        <f t="shared" si="496"/>
        <v/>
      </c>
      <c r="Z1529" t="str">
        <f t="shared" si="497"/>
        <v/>
      </c>
      <c r="AC1529" t="str">
        <f t="shared" si="514"/>
        <v>Turnover</v>
      </c>
      <c r="AD1529" t="str">
        <f t="shared" si="515"/>
        <v>Turnover_Takeaway</v>
      </c>
      <c r="AE1529" t="str">
        <f t="shared" si="516"/>
        <v>Takeaway-BattleWon</v>
      </c>
      <c r="AF1529" t="str">
        <f t="shared" si="498"/>
        <v>Offensive</v>
      </c>
      <c r="AG1529">
        <f t="shared" si="504"/>
        <v>18981</v>
      </c>
      <c r="AH1529" t="str">
        <f t="shared" si="505"/>
        <v>Nelson</v>
      </c>
      <c r="AI1529" t="str">
        <f t="shared" si="506"/>
        <v>Velodrome</v>
      </c>
      <c r="AJ1529" s="18">
        <f t="shared" si="499"/>
        <v>0</v>
      </c>
      <c r="AP1529" s="18">
        <f t="shared" si="500"/>
        <v>0</v>
      </c>
      <c r="AQ1529">
        <f t="shared" si="501"/>
        <v>1080</v>
      </c>
      <c r="AR1529" s="23">
        <f t="shared" si="502"/>
        <v>2018</v>
      </c>
      <c r="AS1529">
        <f t="shared" si="507"/>
        <v>2013</v>
      </c>
      <c r="AT1529" s="21">
        <f t="shared" si="508"/>
        <v>2018</v>
      </c>
      <c r="AU1529" s="21"/>
      <c r="AV1529" s="21"/>
      <c r="AW1529" s="21"/>
    </row>
    <row r="1530" spans="1:49" x14ac:dyDescent="0.2">
      <c r="A1530">
        <v>822</v>
      </c>
      <c r="E1530">
        <f t="shared" si="503"/>
        <v>2</v>
      </c>
      <c r="F1530" s="5" t="s">
        <v>534</v>
      </c>
      <c r="G1530" s="5" t="s">
        <v>494</v>
      </c>
      <c r="H1530" s="5" t="s">
        <v>534</v>
      </c>
      <c r="I1530" s="7" t="s">
        <v>491</v>
      </c>
      <c r="J1530" t="str">
        <f t="shared" si="510"/>
        <v>2</v>
      </c>
      <c r="K1530" t="str">
        <f t="shared" si="511"/>
        <v>22</v>
      </c>
      <c r="L1530" t="str">
        <f t="shared" si="512"/>
        <v>2</v>
      </c>
      <c r="M1530" s="6" t="str">
        <f t="shared" si="513"/>
        <v>19</v>
      </c>
      <c r="N1530" t="s">
        <v>179</v>
      </c>
      <c r="O1530">
        <v>22</v>
      </c>
      <c r="P1530" t="s">
        <v>424</v>
      </c>
      <c r="Q1530" t="s">
        <v>15</v>
      </c>
      <c r="Y1530" t="str">
        <f t="shared" si="496"/>
        <v/>
      </c>
      <c r="Z1530" t="str">
        <f t="shared" si="497"/>
        <v/>
      </c>
      <c r="AC1530" t="str">
        <f t="shared" si="514"/>
        <v>Possession</v>
      </c>
      <c r="AD1530" t="str">
        <f t="shared" si="515"/>
        <v/>
      </c>
      <c r="AE1530" t="str">
        <f t="shared" si="516"/>
        <v/>
      </c>
      <c r="AF1530" t="str">
        <f t="shared" si="498"/>
        <v>Offensive</v>
      </c>
      <c r="AG1530">
        <f t="shared" si="504"/>
        <v>18981</v>
      </c>
      <c r="AH1530" t="str">
        <f t="shared" si="505"/>
        <v>Nelson</v>
      </c>
      <c r="AI1530" t="str">
        <f t="shared" si="506"/>
        <v>Velodrome</v>
      </c>
      <c r="AJ1530" s="18">
        <f t="shared" si="499"/>
        <v>3</v>
      </c>
      <c r="AP1530" s="18">
        <f t="shared" si="500"/>
        <v>0</v>
      </c>
      <c r="AQ1530">
        <f t="shared" si="501"/>
        <v>1080</v>
      </c>
      <c r="AR1530" s="23">
        <f t="shared" si="502"/>
        <v>2018</v>
      </c>
      <c r="AS1530">
        <f t="shared" si="507"/>
        <v>2013</v>
      </c>
      <c r="AT1530" s="21">
        <f t="shared" si="508"/>
        <v>2021</v>
      </c>
      <c r="AU1530" s="21"/>
      <c r="AV1530" s="21"/>
      <c r="AW1530" s="21"/>
    </row>
    <row r="1531" spans="1:49" x14ac:dyDescent="0.2">
      <c r="A1531">
        <v>822</v>
      </c>
      <c r="E1531">
        <f t="shared" si="503"/>
        <v>2</v>
      </c>
      <c r="J1531" t="str">
        <f t="shared" si="510"/>
        <v>2</v>
      </c>
      <c r="K1531" t="str">
        <f t="shared" si="511"/>
        <v>22</v>
      </c>
      <c r="L1531" t="str">
        <f t="shared" si="512"/>
        <v>2</v>
      </c>
      <c r="M1531" s="6" t="str">
        <f t="shared" si="513"/>
        <v>19</v>
      </c>
      <c r="N1531" t="str">
        <f t="shared" si="509"/>
        <v>Away</v>
      </c>
      <c r="O1531">
        <v>44</v>
      </c>
      <c r="P1531" t="s">
        <v>425</v>
      </c>
      <c r="Y1531" t="str">
        <f t="shared" si="496"/>
        <v/>
      </c>
      <c r="Z1531" t="str">
        <f t="shared" si="497"/>
        <v/>
      </c>
      <c r="AC1531" t="str">
        <f t="shared" si="514"/>
        <v>Possession</v>
      </c>
      <c r="AD1531" t="str">
        <f t="shared" si="515"/>
        <v/>
      </c>
      <c r="AE1531" t="str">
        <f t="shared" si="516"/>
        <v/>
      </c>
      <c r="AF1531" t="str">
        <f t="shared" si="498"/>
        <v>Defensive</v>
      </c>
      <c r="AG1531">
        <f t="shared" si="504"/>
        <v>18981</v>
      </c>
      <c r="AH1531" t="str">
        <f t="shared" si="505"/>
        <v>Nelson</v>
      </c>
      <c r="AI1531" t="str">
        <f t="shared" si="506"/>
        <v>Velodrome</v>
      </c>
      <c r="AJ1531" s="18">
        <f t="shared" si="499"/>
        <v>3</v>
      </c>
      <c r="AP1531" s="18">
        <f t="shared" si="500"/>
        <v>0</v>
      </c>
      <c r="AQ1531">
        <f t="shared" si="501"/>
        <v>1080</v>
      </c>
      <c r="AR1531" s="23">
        <f t="shared" si="502"/>
        <v>2018</v>
      </c>
      <c r="AS1531">
        <f t="shared" si="507"/>
        <v>2013</v>
      </c>
      <c r="AT1531" s="21">
        <f t="shared" si="508"/>
        <v>2021</v>
      </c>
      <c r="AU1531" s="21"/>
      <c r="AV1531" s="21"/>
      <c r="AW1531" s="21"/>
    </row>
    <row r="1532" spans="1:49" x14ac:dyDescent="0.2">
      <c r="A1532">
        <v>823</v>
      </c>
      <c r="E1532">
        <f t="shared" si="503"/>
        <v>2</v>
      </c>
      <c r="F1532" s="5" t="s">
        <v>534</v>
      </c>
      <c r="G1532" s="5" t="s">
        <v>491</v>
      </c>
      <c r="J1532" t="str">
        <f t="shared" si="510"/>
        <v>2</v>
      </c>
      <c r="K1532" t="str">
        <f t="shared" si="511"/>
        <v>19</v>
      </c>
      <c r="L1532" t="str">
        <f t="shared" si="512"/>
        <v/>
      </c>
      <c r="M1532" s="6" t="str">
        <f t="shared" si="513"/>
        <v/>
      </c>
      <c r="N1532" t="s">
        <v>179</v>
      </c>
      <c r="O1532">
        <v>22</v>
      </c>
      <c r="P1532" t="s">
        <v>424</v>
      </c>
      <c r="Q1532" t="s">
        <v>8</v>
      </c>
      <c r="R1532" t="s">
        <v>189</v>
      </c>
      <c r="S1532" t="s">
        <v>70</v>
      </c>
      <c r="Y1532" t="str">
        <f t="shared" si="496"/>
        <v/>
      </c>
      <c r="Z1532" t="str">
        <f t="shared" si="497"/>
        <v/>
      </c>
      <c r="AC1532" t="str">
        <f t="shared" si="514"/>
        <v>Pass</v>
      </c>
      <c r="AD1532" t="str">
        <f t="shared" si="515"/>
        <v>Pass_Completed</v>
      </c>
      <c r="AE1532" t="str">
        <f t="shared" si="516"/>
        <v>Pass-Forehand</v>
      </c>
      <c r="AF1532" t="str">
        <f t="shared" si="498"/>
        <v>Offensive</v>
      </c>
      <c r="AG1532">
        <f t="shared" si="504"/>
        <v>18981</v>
      </c>
      <c r="AH1532" t="str">
        <f t="shared" si="505"/>
        <v>Nelson</v>
      </c>
      <c r="AI1532" t="str">
        <f t="shared" si="506"/>
        <v>Velodrome</v>
      </c>
      <c r="AJ1532" s="18">
        <f t="shared" si="499"/>
        <v>0</v>
      </c>
      <c r="AP1532" s="18">
        <f t="shared" si="500"/>
        <v>0</v>
      </c>
      <c r="AQ1532">
        <f t="shared" si="501"/>
        <v>1080</v>
      </c>
      <c r="AR1532" s="23">
        <f t="shared" si="502"/>
        <v>2021</v>
      </c>
      <c r="AS1532">
        <f t="shared" si="507"/>
        <v>2016</v>
      </c>
      <c r="AT1532" s="21">
        <f t="shared" si="508"/>
        <v>2021</v>
      </c>
      <c r="AU1532" s="21"/>
      <c r="AV1532" s="21"/>
      <c r="AW1532" s="21"/>
    </row>
    <row r="1533" spans="1:49" x14ac:dyDescent="0.2">
      <c r="A1533">
        <v>823</v>
      </c>
      <c r="E1533">
        <f t="shared" si="503"/>
        <v>2</v>
      </c>
      <c r="J1533" t="str">
        <f t="shared" si="510"/>
        <v>2</v>
      </c>
      <c r="K1533" t="str">
        <f t="shared" si="511"/>
        <v>19</v>
      </c>
      <c r="L1533" t="str">
        <f t="shared" si="512"/>
        <v/>
      </c>
      <c r="M1533" s="6" t="str">
        <f t="shared" si="513"/>
        <v/>
      </c>
      <c r="N1533" t="str">
        <f t="shared" si="509"/>
        <v>Away</v>
      </c>
      <c r="O1533">
        <v>91</v>
      </c>
      <c r="P1533" t="s">
        <v>424</v>
      </c>
      <c r="Y1533" t="str">
        <f t="shared" si="496"/>
        <v/>
      </c>
      <c r="Z1533" t="str">
        <f t="shared" si="497"/>
        <v/>
      </c>
      <c r="AC1533" t="str">
        <f t="shared" si="514"/>
        <v>Pass</v>
      </c>
      <c r="AD1533" t="str">
        <f t="shared" si="515"/>
        <v>Pass_Completed</v>
      </c>
      <c r="AE1533" t="str">
        <f t="shared" si="516"/>
        <v>Pass-Forehand</v>
      </c>
      <c r="AF1533" t="str">
        <f t="shared" si="498"/>
        <v>Offensive</v>
      </c>
      <c r="AG1533">
        <f t="shared" si="504"/>
        <v>18981</v>
      </c>
      <c r="AH1533" t="str">
        <f t="shared" si="505"/>
        <v>Nelson</v>
      </c>
      <c r="AI1533" t="str">
        <f t="shared" si="506"/>
        <v>Velodrome</v>
      </c>
      <c r="AJ1533" s="18">
        <f t="shared" si="499"/>
        <v>0</v>
      </c>
      <c r="AP1533" s="18">
        <f t="shared" si="500"/>
        <v>0</v>
      </c>
      <c r="AQ1533">
        <f t="shared" si="501"/>
        <v>1080</v>
      </c>
      <c r="AR1533" s="23">
        <f t="shared" si="502"/>
        <v>2021</v>
      </c>
      <c r="AS1533">
        <f t="shared" si="507"/>
        <v>2016</v>
      </c>
      <c r="AT1533" s="21">
        <f t="shared" si="508"/>
        <v>2021</v>
      </c>
      <c r="AU1533" s="21"/>
      <c r="AV1533" s="21"/>
      <c r="AW1533" s="21"/>
    </row>
    <row r="1534" spans="1:49" x14ac:dyDescent="0.2">
      <c r="A1534">
        <v>824</v>
      </c>
      <c r="E1534">
        <f t="shared" si="503"/>
        <v>2</v>
      </c>
      <c r="F1534" s="5" t="s">
        <v>534</v>
      </c>
      <c r="G1534" s="5" t="s">
        <v>491</v>
      </c>
      <c r="J1534" t="str">
        <f t="shared" si="510"/>
        <v>2</v>
      </c>
      <c r="K1534" t="str">
        <f t="shared" si="511"/>
        <v>19</v>
      </c>
      <c r="L1534" t="str">
        <f t="shared" si="512"/>
        <v/>
      </c>
      <c r="M1534" s="6" t="str">
        <f t="shared" si="513"/>
        <v/>
      </c>
      <c r="N1534" t="s">
        <v>179</v>
      </c>
      <c r="O1534">
        <v>22</v>
      </c>
      <c r="P1534" t="s">
        <v>424</v>
      </c>
      <c r="Q1534" t="s">
        <v>277</v>
      </c>
      <c r="R1534" t="s">
        <v>201</v>
      </c>
      <c r="S1534" t="s">
        <v>91</v>
      </c>
      <c r="Y1534" t="str">
        <f t="shared" si="496"/>
        <v/>
      </c>
      <c r="Z1534" t="str">
        <f t="shared" si="497"/>
        <v/>
      </c>
      <c r="AC1534" t="str">
        <f t="shared" si="514"/>
        <v>Zone_Entry_Exit</v>
      </c>
      <c r="AD1534" t="str">
        <f t="shared" si="515"/>
        <v>Zone_Exit</v>
      </c>
      <c r="AE1534" t="str">
        <f t="shared" si="516"/>
        <v>ZoneExit-Pass</v>
      </c>
      <c r="AF1534" t="str">
        <f t="shared" si="498"/>
        <v>Offensive</v>
      </c>
      <c r="AG1534">
        <f t="shared" si="504"/>
        <v>18981</v>
      </c>
      <c r="AH1534" t="str">
        <f t="shared" si="505"/>
        <v>Nelson</v>
      </c>
      <c r="AI1534" t="str">
        <f t="shared" si="506"/>
        <v>Velodrome</v>
      </c>
      <c r="AJ1534" s="18">
        <f t="shared" si="499"/>
        <v>0</v>
      </c>
      <c r="AP1534" s="18">
        <f t="shared" si="500"/>
        <v>0</v>
      </c>
      <c r="AQ1534">
        <f t="shared" si="501"/>
        <v>1080</v>
      </c>
      <c r="AR1534" s="23">
        <f t="shared" si="502"/>
        <v>2021</v>
      </c>
      <c r="AS1534">
        <f t="shared" si="507"/>
        <v>2016</v>
      </c>
      <c r="AT1534" s="21">
        <f t="shared" si="508"/>
        <v>2021</v>
      </c>
      <c r="AU1534" s="21"/>
      <c r="AV1534" s="21"/>
      <c r="AW1534" s="21"/>
    </row>
    <row r="1535" spans="1:49" x14ac:dyDescent="0.2">
      <c r="A1535">
        <v>824</v>
      </c>
      <c r="E1535">
        <f t="shared" si="503"/>
        <v>2</v>
      </c>
      <c r="J1535" t="str">
        <f t="shared" si="510"/>
        <v>2</v>
      </c>
      <c r="K1535" t="str">
        <f t="shared" si="511"/>
        <v>19</v>
      </c>
      <c r="L1535" t="str">
        <f t="shared" si="512"/>
        <v/>
      </c>
      <c r="M1535" s="6" t="str">
        <f t="shared" si="513"/>
        <v/>
      </c>
      <c r="N1535" t="str">
        <f t="shared" si="509"/>
        <v>Away</v>
      </c>
      <c r="O1535">
        <v>91</v>
      </c>
      <c r="P1535" t="s">
        <v>424</v>
      </c>
      <c r="Y1535" t="str">
        <f t="shared" si="496"/>
        <v/>
      </c>
      <c r="Z1535" t="str">
        <f t="shared" si="497"/>
        <v/>
      </c>
      <c r="AC1535" t="str">
        <f t="shared" si="514"/>
        <v>Zone_Entry_Exit</v>
      </c>
      <c r="AD1535" t="str">
        <f t="shared" si="515"/>
        <v>Zone_Exit</v>
      </c>
      <c r="AE1535" t="str">
        <f t="shared" si="516"/>
        <v>ZoneExit-Pass</v>
      </c>
      <c r="AF1535" t="str">
        <f t="shared" si="498"/>
        <v>Offensive</v>
      </c>
      <c r="AG1535">
        <f t="shared" si="504"/>
        <v>18981</v>
      </c>
      <c r="AH1535" t="str">
        <f t="shared" si="505"/>
        <v>Nelson</v>
      </c>
      <c r="AI1535" t="str">
        <f t="shared" si="506"/>
        <v>Velodrome</v>
      </c>
      <c r="AJ1535" s="18">
        <f t="shared" si="499"/>
        <v>0</v>
      </c>
      <c r="AP1535" s="18">
        <f t="shared" si="500"/>
        <v>0</v>
      </c>
      <c r="AQ1535">
        <f t="shared" si="501"/>
        <v>1080</v>
      </c>
      <c r="AR1535" s="23">
        <f t="shared" si="502"/>
        <v>2021</v>
      </c>
      <c r="AS1535">
        <f t="shared" si="507"/>
        <v>2016</v>
      </c>
      <c r="AT1535" s="21">
        <f t="shared" si="508"/>
        <v>2021</v>
      </c>
      <c r="AU1535" s="21"/>
      <c r="AV1535" s="21"/>
      <c r="AW1535" s="21"/>
    </row>
    <row r="1536" spans="1:49" x14ac:dyDescent="0.2">
      <c r="A1536">
        <v>825</v>
      </c>
      <c r="E1536">
        <f t="shared" si="503"/>
        <v>2</v>
      </c>
      <c r="F1536" s="5" t="s">
        <v>534</v>
      </c>
      <c r="G1536" s="5" t="s">
        <v>490</v>
      </c>
      <c r="H1536" s="5" t="s">
        <v>534</v>
      </c>
      <c r="I1536" s="7" t="s">
        <v>478</v>
      </c>
      <c r="J1536" t="str">
        <f t="shared" si="510"/>
        <v>2</v>
      </c>
      <c r="K1536" t="str">
        <f t="shared" si="511"/>
        <v>18</v>
      </c>
      <c r="L1536" t="str">
        <f t="shared" si="512"/>
        <v>2</v>
      </c>
      <c r="M1536" s="6" t="str">
        <f t="shared" si="513"/>
        <v>15</v>
      </c>
      <c r="N1536" t="s">
        <v>179</v>
      </c>
      <c r="O1536">
        <v>91</v>
      </c>
      <c r="P1536" t="s">
        <v>424</v>
      </c>
      <c r="Q1536" t="s">
        <v>15</v>
      </c>
      <c r="Y1536" t="str">
        <f t="shared" si="496"/>
        <v/>
      </c>
      <c r="Z1536" t="str">
        <f t="shared" si="497"/>
        <v/>
      </c>
      <c r="AC1536" t="str">
        <f t="shared" si="514"/>
        <v>Possession</v>
      </c>
      <c r="AD1536" t="str">
        <f t="shared" si="515"/>
        <v/>
      </c>
      <c r="AE1536" t="str">
        <f t="shared" si="516"/>
        <v/>
      </c>
      <c r="AF1536" t="str">
        <f t="shared" si="498"/>
        <v>Offensive</v>
      </c>
      <c r="AG1536">
        <f t="shared" si="504"/>
        <v>18981</v>
      </c>
      <c r="AH1536" t="str">
        <f t="shared" si="505"/>
        <v>Nelson</v>
      </c>
      <c r="AI1536" t="str">
        <f t="shared" si="506"/>
        <v>Velodrome</v>
      </c>
      <c r="AJ1536" s="18">
        <f t="shared" si="499"/>
        <v>3</v>
      </c>
      <c r="AP1536" s="18">
        <f t="shared" si="500"/>
        <v>0</v>
      </c>
      <c r="AQ1536">
        <f t="shared" si="501"/>
        <v>1080</v>
      </c>
      <c r="AR1536" s="23">
        <f t="shared" si="502"/>
        <v>2022</v>
      </c>
      <c r="AS1536">
        <f t="shared" si="507"/>
        <v>2017</v>
      </c>
      <c r="AT1536" s="21">
        <f t="shared" si="508"/>
        <v>2025</v>
      </c>
      <c r="AU1536" s="21"/>
      <c r="AV1536" s="21"/>
      <c r="AW1536" s="21"/>
    </row>
    <row r="1537" spans="1:49" x14ac:dyDescent="0.2">
      <c r="A1537">
        <v>826</v>
      </c>
      <c r="E1537">
        <f t="shared" si="503"/>
        <v>2</v>
      </c>
      <c r="F1537" s="5" t="s">
        <v>534</v>
      </c>
      <c r="G1537" s="5" t="s">
        <v>478</v>
      </c>
      <c r="H1537" s="5" t="s">
        <v>534</v>
      </c>
      <c r="I1537" s="7" t="s">
        <v>486</v>
      </c>
      <c r="J1537" t="str">
        <f t="shared" si="510"/>
        <v>2</v>
      </c>
      <c r="K1537" t="str">
        <f t="shared" si="511"/>
        <v>15</v>
      </c>
      <c r="L1537" t="str">
        <f t="shared" si="512"/>
        <v>2</v>
      </c>
      <c r="M1537" s="6" t="str">
        <f t="shared" si="513"/>
        <v>11</v>
      </c>
      <c r="N1537" t="s">
        <v>179</v>
      </c>
      <c r="O1537">
        <v>91</v>
      </c>
      <c r="P1537" t="s">
        <v>424</v>
      </c>
      <c r="Q1537" t="s">
        <v>277</v>
      </c>
      <c r="R1537" t="s">
        <v>191</v>
      </c>
      <c r="S1537" t="s">
        <v>87</v>
      </c>
      <c r="Y1537" t="str">
        <f t="shared" si="496"/>
        <v/>
      </c>
      <c r="Z1537" t="str">
        <f t="shared" si="497"/>
        <v/>
      </c>
      <c r="AC1537" t="str">
        <f t="shared" si="514"/>
        <v>Zone_Entry_Exit</v>
      </c>
      <c r="AD1537" t="str">
        <f t="shared" si="515"/>
        <v>Zone_Entry</v>
      </c>
      <c r="AE1537" t="str">
        <f t="shared" si="516"/>
        <v>ZoneEntry-Rush</v>
      </c>
      <c r="AF1537" t="str">
        <f t="shared" si="498"/>
        <v>Offensive</v>
      </c>
      <c r="AG1537">
        <f t="shared" si="504"/>
        <v>18981</v>
      </c>
      <c r="AH1537" t="str">
        <f t="shared" si="505"/>
        <v>Nelson</v>
      </c>
      <c r="AI1537" t="str">
        <f t="shared" si="506"/>
        <v>Velodrome</v>
      </c>
      <c r="AJ1537" s="18">
        <f t="shared" si="499"/>
        <v>4</v>
      </c>
      <c r="AP1537" s="18">
        <f t="shared" si="500"/>
        <v>0</v>
      </c>
      <c r="AQ1537">
        <f t="shared" si="501"/>
        <v>1080</v>
      </c>
      <c r="AR1537" s="23">
        <f t="shared" si="502"/>
        <v>2025</v>
      </c>
      <c r="AS1537">
        <f t="shared" si="507"/>
        <v>2020</v>
      </c>
      <c r="AT1537" s="21">
        <f t="shared" si="508"/>
        <v>2029</v>
      </c>
      <c r="AU1537" s="21"/>
      <c r="AV1537" s="21"/>
      <c r="AW1537" s="21"/>
    </row>
    <row r="1538" spans="1:49" x14ac:dyDescent="0.2">
      <c r="A1538">
        <v>826</v>
      </c>
      <c r="E1538">
        <f t="shared" si="503"/>
        <v>2</v>
      </c>
      <c r="J1538" t="str">
        <f t="shared" si="510"/>
        <v>2</v>
      </c>
      <c r="K1538" t="str">
        <f t="shared" si="511"/>
        <v>15</v>
      </c>
      <c r="L1538" t="str">
        <f t="shared" si="512"/>
        <v>2</v>
      </c>
      <c r="M1538" s="6" t="str">
        <f t="shared" si="513"/>
        <v>11</v>
      </c>
      <c r="N1538" t="str">
        <f t="shared" si="509"/>
        <v>Away</v>
      </c>
      <c r="O1538">
        <v>22</v>
      </c>
      <c r="P1538" t="s">
        <v>424</v>
      </c>
      <c r="Y1538" t="str">
        <f t="shared" si="496"/>
        <v/>
      </c>
      <c r="Z1538" t="str">
        <f t="shared" si="497"/>
        <v/>
      </c>
      <c r="AC1538" t="str">
        <f t="shared" si="514"/>
        <v>Zone_Entry_Exit</v>
      </c>
      <c r="AD1538" t="str">
        <f t="shared" si="515"/>
        <v>Zone_Entry</v>
      </c>
      <c r="AE1538" t="str">
        <f t="shared" si="516"/>
        <v>ZoneEntry-Rush</v>
      </c>
      <c r="AF1538" t="str">
        <f t="shared" si="498"/>
        <v>Offensive</v>
      </c>
      <c r="AG1538">
        <f t="shared" si="504"/>
        <v>18981</v>
      </c>
      <c r="AH1538" t="str">
        <f t="shared" si="505"/>
        <v>Nelson</v>
      </c>
      <c r="AI1538" t="str">
        <f t="shared" si="506"/>
        <v>Velodrome</v>
      </c>
      <c r="AJ1538" s="18">
        <f t="shared" si="499"/>
        <v>4</v>
      </c>
      <c r="AP1538" s="18">
        <f t="shared" si="500"/>
        <v>0</v>
      </c>
      <c r="AQ1538">
        <f t="shared" si="501"/>
        <v>1080</v>
      </c>
      <c r="AR1538" s="23">
        <f t="shared" si="502"/>
        <v>2025</v>
      </c>
      <c r="AS1538">
        <f t="shared" si="507"/>
        <v>2020</v>
      </c>
      <c r="AT1538" s="21">
        <f t="shared" si="508"/>
        <v>2029</v>
      </c>
      <c r="AU1538" s="21"/>
      <c r="AV1538" s="21"/>
      <c r="AW1538" s="21"/>
    </row>
    <row r="1539" spans="1:49" x14ac:dyDescent="0.2">
      <c r="A1539">
        <v>826</v>
      </c>
      <c r="E1539">
        <f t="shared" si="503"/>
        <v>2</v>
      </c>
      <c r="J1539" t="str">
        <f t="shared" si="510"/>
        <v>2</v>
      </c>
      <c r="K1539" t="str">
        <f t="shared" si="511"/>
        <v>15</v>
      </c>
      <c r="L1539" t="str">
        <f t="shared" si="512"/>
        <v>2</v>
      </c>
      <c r="M1539" s="6" t="str">
        <f t="shared" si="513"/>
        <v>11</v>
      </c>
      <c r="N1539" t="str">
        <f t="shared" si="509"/>
        <v>Away</v>
      </c>
      <c r="O1539">
        <v>24</v>
      </c>
      <c r="P1539" t="s">
        <v>424</v>
      </c>
      <c r="Y1539" t="str">
        <f t="shared" ref="Y1539:Y1602" si="517">IF($N1539="","",IF(X1539="","",IF($N1539="Home",$X1539,IF($X1539="n","n",IF($X1539="d","o",IF($X1539="o","d",""))))))</f>
        <v/>
      </c>
      <c r="Z1539" t="str">
        <f t="shared" ref="Z1539:Z1602" si="518">IF($N1539="","",IF(X1539="","",IF($N1539="Away",$X1539,IF($X1539="n","n",IF($X1539="d","o",IF($X1539="o","d",""))))))</f>
        <v/>
      </c>
      <c r="AC1539" t="str">
        <f t="shared" si="514"/>
        <v>Zone_Entry_Exit</v>
      </c>
      <c r="AD1539" t="str">
        <f t="shared" si="515"/>
        <v>Zone_Entry</v>
      </c>
      <c r="AE1539" t="str">
        <f t="shared" si="516"/>
        <v>ZoneEntry-Rush</v>
      </c>
      <c r="AF1539" t="str">
        <f t="shared" ref="AF1539:AF1602" si="519">IF(AND(P1539="e",OR(AC1539="Save",AD1539="Turnover_Takeaway",AD1539="Play_Defensive")),"Defensive",IF(AND(P1539="o",OR(AC1539="Save",AD1539="Turnover_Takeaway",AD1539="Play_Defensive")),"Offensive",IF(OR(AC1539="Deadice",AC1539="Stoppage",AC1539="Intermission"),"",IF(P1539="e","Offensive",IF(P1539="o","Defensive","")))))</f>
        <v>Offensive</v>
      </c>
      <c r="AG1539">
        <f t="shared" si="504"/>
        <v>18981</v>
      </c>
      <c r="AH1539" t="str">
        <f t="shared" si="505"/>
        <v>Nelson</v>
      </c>
      <c r="AI1539" t="str">
        <f t="shared" si="506"/>
        <v>Velodrome</v>
      </c>
      <c r="AJ1539" s="18">
        <f t="shared" ref="AJ1539:AJ1602" si="520">IF(AND(L1539="",M1539=""),0,((J1539*60)+K1539)-((L1539*60)+M1539))</f>
        <v>4</v>
      </c>
      <c r="AP1539" s="18">
        <f t="shared" ref="AP1539:AP1602" si="521">SUMIFS(AJ1539:AJ1539,Q1539:Q1539,"=Intermission")</f>
        <v>0</v>
      </c>
      <c r="AQ1539">
        <f t="shared" ref="AQ1539:AQ1602" si="522">IF(E1539=1,0,IF(E1539=2,1080+AP1539,IF(E1539=3,(1080*2)+AP1539,0)))</f>
        <v>1080</v>
      </c>
      <c r="AR1539" s="23">
        <f t="shared" ref="AR1539:AR1602" si="523">IF(Q1539="Intermission",AR1538,((1080)-((J1539*60)+K1539))+AQ1539)</f>
        <v>2025</v>
      </c>
      <c r="AS1539">
        <f t="shared" si="507"/>
        <v>2020</v>
      </c>
      <c r="AT1539" s="21">
        <f t="shared" si="508"/>
        <v>2029</v>
      </c>
      <c r="AU1539" s="21"/>
      <c r="AV1539" s="21"/>
      <c r="AW1539" s="21"/>
    </row>
    <row r="1540" spans="1:49" x14ac:dyDescent="0.2">
      <c r="A1540">
        <v>826</v>
      </c>
      <c r="E1540">
        <f t="shared" ref="E1540:E1603" si="524">IF(Q1540="Intermission",E1539+1,E1539)</f>
        <v>2</v>
      </c>
      <c r="J1540" t="str">
        <f t="shared" si="510"/>
        <v>2</v>
      </c>
      <c r="K1540" t="str">
        <f t="shared" si="511"/>
        <v>15</v>
      </c>
      <c r="L1540" t="str">
        <f t="shared" si="512"/>
        <v>2</v>
      </c>
      <c r="M1540" s="6" t="str">
        <f t="shared" si="513"/>
        <v>11</v>
      </c>
      <c r="N1540" t="str">
        <f t="shared" si="509"/>
        <v>Away</v>
      </c>
      <c r="O1540">
        <v>23</v>
      </c>
      <c r="P1540" t="s">
        <v>425</v>
      </c>
      <c r="Y1540" t="str">
        <f t="shared" si="517"/>
        <v/>
      </c>
      <c r="Z1540" t="str">
        <f t="shared" si="518"/>
        <v/>
      </c>
      <c r="AC1540" t="str">
        <f t="shared" si="514"/>
        <v>Zone_Entry_Exit</v>
      </c>
      <c r="AD1540" t="str">
        <f t="shared" si="515"/>
        <v>Zone_Entry</v>
      </c>
      <c r="AE1540" t="str">
        <f t="shared" si="516"/>
        <v>ZoneEntry-Rush</v>
      </c>
      <c r="AF1540" t="str">
        <f t="shared" si="519"/>
        <v>Defensive</v>
      </c>
      <c r="AG1540">
        <f t="shared" ref="AG1540:AG1603" si="525">AG1539</f>
        <v>18981</v>
      </c>
      <c r="AH1540" t="str">
        <f t="shared" ref="AH1540:AH1603" si="526">AH1539</f>
        <v>Nelson</v>
      </c>
      <c r="AI1540" t="str">
        <f t="shared" ref="AI1540:AI1603" si="527">AI1539</f>
        <v>Velodrome</v>
      </c>
      <c r="AJ1540" s="18">
        <f t="shared" si="520"/>
        <v>4</v>
      </c>
      <c r="AP1540" s="18">
        <f t="shared" si="521"/>
        <v>0</v>
      </c>
      <c r="AQ1540">
        <f t="shared" si="522"/>
        <v>1080</v>
      </c>
      <c r="AR1540" s="23">
        <f t="shared" si="523"/>
        <v>2025</v>
      </c>
      <c r="AS1540">
        <f t="shared" ref="AS1540:AS1603" si="528">IF(AR1540&lt;5,0,AR1540-5)</f>
        <v>2020</v>
      </c>
      <c r="AT1540" s="21">
        <f t="shared" ref="AT1540:AT1603" si="529">AS1540+AJ1540+5</f>
        <v>2029</v>
      </c>
      <c r="AU1540" s="21"/>
      <c r="AV1540" s="21"/>
      <c r="AW1540" s="21"/>
    </row>
    <row r="1541" spans="1:49" x14ac:dyDescent="0.2">
      <c r="A1541">
        <v>826</v>
      </c>
      <c r="E1541">
        <f t="shared" si="524"/>
        <v>2</v>
      </c>
      <c r="J1541" t="str">
        <f t="shared" si="510"/>
        <v>2</v>
      </c>
      <c r="K1541" t="str">
        <f t="shared" si="511"/>
        <v>15</v>
      </c>
      <c r="L1541" t="str">
        <f t="shared" si="512"/>
        <v>2</v>
      </c>
      <c r="M1541" s="6" t="str">
        <f t="shared" si="513"/>
        <v>11</v>
      </c>
      <c r="N1541" t="str">
        <f t="shared" si="509"/>
        <v>Away</v>
      </c>
      <c r="O1541">
        <v>37</v>
      </c>
      <c r="P1541" t="s">
        <v>425</v>
      </c>
      <c r="Y1541" t="str">
        <f t="shared" si="517"/>
        <v/>
      </c>
      <c r="Z1541" t="str">
        <f t="shared" si="518"/>
        <v/>
      </c>
      <c r="AC1541" t="str">
        <f t="shared" si="514"/>
        <v>Zone_Entry_Exit</v>
      </c>
      <c r="AD1541" t="str">
        <f t="shared" si="515"/>
        <v>Zone_Entry</v>
      </c>
      <c r="AE1541" t="str">
        <f t="shared" si="516"/>
        <v>ZoneEntry-Rush</v>
      </c>
      <c r="AF1541" t="str">
        <f t="shared" si="519"/>
        <v>Defensive</v>
      </c>
      <c r="AG1541">
        <f t="shared" si="525"/>
        <v>18981</v>
      </c>
      <c r="AH1541" t="str">
        <f t="shared" si="526"/>
        <v>Nelson</v>
      </c>
      <c r="AI1541" t="str">
        <f t="shared" si="527"/>
        <v>Velodrome</v>
      </c>
      <c r="AJ1541" s="18">
        <f t="shared" si="520"/>
        <v>4</v>
      </c>
      <c r="AP1541" s="18">
        <f t="shared" si="521"/>
        <v>0</v>
      </c>
      <c r="AQ1541">
        <f t="shared" si="522"/>
        <v>1080</v>
      </c>
      <c r="AR1541" s="23">
        <f t="shared" si="523"/>
        <v>2025</v>
      </c>
      <c r="AS1541">
        <f t="shared" si="528"/>
        <v>2020</v>
      </c>
      <c r="AT1541" s="21">
        <f t="shared" si="529"/>
        <v>2029</v>
      </c>
      <c r="AU1541" s="21"/>
      <c r="AV1541" s="21"/>
      <c r="AW1541" s="21"/>
    </row>
    <row r="1542" spans="1:49" x14ac:dyDescent="0.2">
      <c r="A1542">
        <v>827</v>
      </c>
      <c r="E1542">
        <f t="shared" si="524"/>
        <v>2</v>
      </c>
      <c r="F1542" s="5" t="s">
        <v>534</v>
      </c>
      <c r="G1542" s="5" t="s">
        <v>486</v>
      </c>
      <c r="J1542" t="str">
        <f t="shared" si="510"/>
        <v>2</v>
      </c>
      <c r="K1542" t="str">
        <f t="shared" si="511"/>
        <v>11</v>
      </c>
      <c r="L1542" t="str">
        <f t="shared" si="512"/>
        <v/>
      </c>
      <c r="M1542" s="6" t="str">
        <f t="shared" si="513"/>
        <v/>
      </c>
      <c r="N1542" t="s">
        <v>179</v>
      </c>
      <c r="O1542">
        <v>91</v>
      </c>
      <c r="P1542" t="s">
        <v>424</v>
      </c>
      <c r="Q1542" t="s">
        <v>8</v>
      </c>
      <c r="R1542" t="s">
        <v>199</v>
      </c>
      <c r="S1542" t="s">
        <v>70</v>
      </c>
      <c r="Y1542" t="str">
        <f t="shared" si="517"/>
        <v/>
      </c>
      <c r="Z1542" t="str">
        <f t="shared" si="518"/>
        <v/>
      </c>
      <c r="AC1542" t="str">
        <f t="shared" si="514"/>
        <v>Pass</v>
      </c>
      <c r="AD1542" t="str">
        <f t="shared" si="515"/>
        <v>Pass_Missed</v>
      </c>
      <c r="AE1542" t="str">
        <f t="shared" si="516"/>
        <v>Pass-Forehand</v>
      </c>
      <c r="AF1542" t="str">
        <f t="shared" si="519"/>
        <v>Offensive</v>
      </c>
      <c r="AG1542">
        <f t="shared" si="525"/>
        <v>18981</v>
      </c>
      <c r="AH1542" t="str">
        <f t="shared" si="526"/>
        <v>Nelson</v>
      </c>
      <c r="AI1542" t="str">
        <f t="shared" si="527"/>
        <v>Velodrome</v>
      </c>
      <c r="AJ1542" s="18">
        <f t="shared" si="520"/>
        <v>0</v>
      </c>
      <c r="AP1542" s="18">
        <f t="shared" si="521"/>
        <v>0</v>
      </c>
      <c r="AQ1542">
        <f t="shared" si="522"/>
        <v>1080</v>
      </c>
      <c r="AR1542" s="23">
        <f t="shared" si="523"/>
        <v>2029</v>
      </c>
      <c r="AS1542">
        <f t="shared" si="528"/>
        <v>2024</v>
      </c>
      <c r="AT1542" s="21">
        <f t="shared" si="529"/>
        <v>2029</v>
      </c>
      <c r="AU1542" s="21"/>
      <c r="AV1542" s="21"/>
      <c r="AW1542" s="21"/>
    </row>
    <row r="1543" spans="1:49" x14ac:dyDescent="0.2">
      <c r="A1543">
        <v>827</v>
      </c>
      <c r="E1543">
        <f t="shared" si="524"/>
        <v>2</v>
      </c>
      <c r="J1543" t="str">
        <f t="shared" si="510"/>
        <v>2</v>
      </c>
      <c r="K1543" t="str">
        <f t="shared" si="511"/>
        <v>11</v>
      </c>
      <c r="L1543" t="str">
        <f t="shared" si="512"/>
        <v/>
      </c>
      <c r="M1543" s="6" t="str">
        <f t="shared" si="513"/>
        <v/>
      </c>
      <c r="N1543" t="str">
        <f t="shared" ref="N1543:N1602" si="530">IF(A1543=A1542,N1542,"")</f>
        <v>Away</v>
      </c>
      <c r="O1543">
        <v>22</v>
      </c>
      <c r="P1543" t="s">
        <v>424</v>
      </c>
      <c r="Y1543" t="str">
        <f t="shared" si="517"/>
        <v/>
      </c>
      <c r="Z1543" t="str">
        <f t="shared" si="518"/>
        <v/>
      </c>
      <c r="AC1543" t="str">
        <f t="shared" si="514"/>
        <v>Pass</v>
      </c>
      <c r="AD1543" t="str">
        <f t="shared" si="515"/>
        <v>Pass_Missed</v>
      </c>
      <c r="AE1543" t="str">
        <f t="shared" si="516"/>
        <v>Pass-Forehand</v>
      </c>
      <c r="AF1543" t="str">
        <f t="shared" si="519"/>
        <v>Offensive</v>
      </c>
      <c r="AG1543">
        <f t="shared" si="525"/>
        <v>18981</v>
      </c>
      <c r="AH1543" t="str">
        <f t="shared" si="526"/>
        <v>Nelson</v>
      </c>
      <c r="AI1543" t="str">
        <f t="shared" si="527"/>
        <v>Velodrome</v>
      </c>
      <c r="AJ1543" s="18">
        <f t="shared" si="520"/>
        <v>0</v>
      </c>
      <c r="AP1543" s="18">
        <f t="shared" si="521"/>
        <v>0</v>
      </c>
      <c r="AQ1543">
        <f t="shared" si="522"/>
        <v>1080</v>
      </c>
      <c r="AR1543" s="23">
        <f t="shared" si="523"/>
        <v>2029</v>
      </c>
      <c r="AS1543">
        <f t="shared" si="528"/>
        <v>2024</v>
      </c>
      <c r="AT1543" s="21">
        <f t="shared" si="529"/>
        <v>2029</v>
      </c>
      <c r="AU1543" s="21"/>
      <c r="AV1543" s="21"/>
      <c r="AW1543" s="21"/>
    </row>
    <row r="1544" spans="1:49" x14ac:dyDescent="0.2">
      <c r="A1544">
        <v>827</v>
      </c>
      <c r="E1544">
        <f t="shared" si="524"/>
        <v>2</v>
      </c>
      <c r="J1544" t="str">
        <f t="shared" si="510"/>
        <v>2</v>
      </c>
      <c r="K1544" t="str">
        <f t="shared" si="511"/>
        <v>11</v>
      </c>
      <c r="L1544" t="str">
        <f t="shared" si="512"/>
        <v/>
      </c>
      <c r="M1544" s="6" t="str">
        <f t="shared" si="513"/>
        <v/>
      </c>
      <c r="N1544" t="str">
        <f t="shared" si="530"/>
        <v>Away</v>
      </c>
      <c r="O1544">
        <v>37</v>
      </c>
      <c r="P1544" t="s">
        <v>425</v>
      </c>
      <c r="Y1544" t="str">
        <f t="shared" si="517"/>
        <v/>
      </c>
      <c r="Z1544" t="str">
        <f t="shared" si="518"/>
        <v/>
      </c>
      <c r="AC1544" t="str">
        <f t="shared" si="514"/>
        <v>Pass</v>
      </c>
      <c r="AD1544" t="str">
        <f t="shared" si="515"/>
        <v>Pass_Missed</v>
      </c>
      <c r="AE1544" t="str">
        <f t="shared" si="516"/>
        <v>Pass-Forehand</v>
      </c>
      <c r="AF1544" t="str">
        <f t="shared" si="519"/>
        <v>Defensive</v>
      </c>
      <c r="AG1544">
        <f t="shared" si="525"/>
        <v>18981</v>
      </c>
      <c r="AH1544" t="str">
        <f t="shared" si="526"/>
        <v>Nelson</v>
      </c>
      <c r="AI1544" t="str">
        <f t="shared" si="527"/>
        <v>Velodrome</v>
      </c>
      <c r="AJ1544" s="18">
        <f t="shared" si="520"/>
        <v>0</v>
      </c>
      <c r="AP1544" s="18">
        <f t="shared" si="521"/>
        <v>0</v>
      </c>
      <c r="AQ1544">
        <f t="shared" si="522"/>
        <v>1080</v>
      </c>
      <c r="AR1544" s="23">
        <f t="shared" si="523"/>
        <v>2029</v>
      </c>
      <c r="AS1544">
        <f t="shared" si="528"/>
        <v>2024</v>
      </c>
      <c r="AT1544" s="21">
        <f t="shared" si="529"/>
        <v>2029</v>
      </c>
      <c r="AU1544" s="21"/>
      <c r="AV1544" s="21"/>
      <c r="AW1544" s="21"/>
    </row>
    <row r="1545" spans="1:49" x14ac:dyDescent="0.2">
      <c r="A1545">
        <v>828</v>
      </c>
      <c r="E1545">
        <f t="shared" si="524"/>
        <v>2</v>
      </c>
      <c r="F1545" s="5" t="s">
        <v>534</v>
      </c>
      <c r="G1545" s="5" t="s">
        <v>486</v>
      </c>
      <c r="J1545" t="str">
        <f t="shared" ref="J1545:J1608" si="531">IF(F1545&lt;&gt;"",F1545,IF($A1545=$A1544,J1544,J1545))</f>
        <v>2</v>
      </c>
      <c r="K1545" t="str">
        <f t="shared" ref="K1545:K1608" si="532">IF($A1545=$A1544,K1544,G1545)</f>
        <v>11</v>
      </c>
      <c r="L1545" t="str">
        <f t="shared" ref="L1545:L1608" si="533">IF(H1545&lt;&gt;"",H1545,IF($A1545=$A1544,L1544,""))</f>
        <v/>
      </c>
      <c r="M1545" s="6" t="str">
        <f t="shared" ref="M1545:M1608" si="534">IF(I1545&lt;&gt;"",I1545,IF($A1545=$A1544,M1544,""))</f>
        <v/>
      </c>
      <c r="N1545" t="s">
        <v>179</v>
      </c>
      <c r="O1545">
        <v>91</v>
      </c>
      <c r="P1545" t="s">
        <v>424</v>
      </c>
      <c r="Q1545" t="s">
        <v>10</v>
      </c>
      <c r="R1545" t="s">
        <v>190</v>
      </c>
      <c r="S1545" t="s">
        <v>76</v>
      </c>
      <c r="Y1545" t="str">
        <f t="shared" si="517"/>
        <v/>
      </c>
      <c r="Z1545" t="str">
        <f t="shared" si="518"/>
        <v/>
      </c>
      <c r="AC1545" t="str">
        <f t="shared" si="514"/>
        <v>Turnover</v>
      </c>
      <c r="AD1545" t="str">
        <f t="shared" si="515"/>
        <v>Turnover_Giveaway</v>
      </c>
      <c r="AE1545" t="str">
        <f t="shared" si="516"/>
        <v>Giveaway-PassMissed</v>
      </c>
      <c r="AF1545" t="str">
        <f t="shared" si="519"/>
        <v>Offensive</v>
      </c>
      <c r="AG1545">
        <f t="shared" si="525"/>
        <v>18981</v>
      </c>
      <c r="AH1545" t="str">
        <f t="shared" si="526"/>
        <v>Nelson</v>
      </c>
      <c r="AI1545" t="str">
        <f t="shared" si="527"/>
        <v>Velodrome</v>
      </c>
      <c r="AJ1545" s="18">
        <f t="shared" si="520"/>
        <v>0</v>
      </c>
      <c r="AP1545" s="18">
        <f t="shared" si="521"/>
        <v>0</v>
      </c>
      <c r="AQ1545">
        <f t="shared" si="522"/>
        <v>1080</v>
      </c>
      <c r="AR1545" s="23">
        <f t="shared" si="523"/>
        <v>2029</v>
      </c>
      <c r="AS1545">
        <f t="shared" si="528"/>
        <v>2024</v>
      </c>
      <c r="AT1545" s="21">
        <f t="shared" si="529"/>
        <v>2029</v>
      </c>
      <c r="AU1545" s="21"/>
      <c r="AV1545" s="21"/>
      <c r="AW1545" s="21"/>
    </row>
    <row r="1546" spans="1:49" x14ac:dyDescent="0.2">
      <c r="A1546">
        <v>829</v>
      </c>
      <c r="E1546">
        <f t="shared" si="524"/>
        <v>2</v>
      </c>
      <c r="F1546" s="5" t="s">
        <v>534</v>
      </c>
      <c r="G1546" s="5" t="s">
        <v>484</v>
      </c>
      <c r="J1546" t="str">
        <f t="shared" si="531"/>
        <v>2</v>
      </c>
      <c r="K1546" t="str">
        <f t="shared" si="532"/>
        <v>09</v>
      </c>
      <c r="L1546" t="str">
        <f t="shared" si="533"/>
        <v/>
      </c>
      <c r="M1546" s="6" t="str">
        <f t="shared" si="534"/>
        <v/>
      </c>
      <c r="N1546" t="s">
        <v>178</v>
      </c>
      <c r="O1546">
        <v>44</v>
      </c>
      <c r="P1546" t="s">
        <v>424</v>
      </c>
      <c r="Q1546" t="s">
        <v>10</v>
      </c>
      <c r="R1546" t="s">
        <v>190</v>
      </c>
      <c r="S1546" t="s">
        <v>422</v>
      </c>
      <c r="Y1546" t="str">
        <f t="shared" si="517"/>
        <v/>
      </c>
      <c r="Z1546" t="str">
        <f t="shared" si="518"/>
        <v/>
      </c>
      <c r="AC1546" t="str">
        <f t="shared" si="514"/>
        <v>Turnover</v>
      </c>
      <c r="AD1546" t="str">
        <f t="shared" si="515"/>
        <v>Turnover_Giveaway</v>
      </c>
      <c r="AE1546" t="str">
        <f t="shared" si="516"/>
        <v>Giveaway-AttemptedZoneClear/Dump</v>
      </c>
      <c r="AF1546" t="str">
        <f t="shared" si="519"/>
        <v>Offensive</v>
      </c>
      <c r="AG1546">
        <f t="shared" si="525"/>
        <v>18981</v>
      </c>
      <c r="AH1546" t="str">
        <f t="shared" si="526"/>
        <v>Nelson</v>
      </c>
      <c r="AI1546" t="str">
        <f t="shared" si="527"/>
        <v>Velodrome</v>
      </c>
      <c r="AJ1546" s="18">
        <f t="shared" si="520"/>
        <v>0</v>
      </c>
      <c r="AP1546" s="18">
        <f t="shared" si="521"/>
        <v>0</v>
      </c>
      <c r="AQ1546">
        <f t="shared" si="522"/>
        <v>1080</v>
      </c>
      <c r="AR1546" s="23">
        <f t="shared" si="523"/>
        <v>2031</v>
      </c>
      <c r="AS1546">
        <f t="shared" si="528"/>
        <v>2026</v>
      </c>
      <c r="AT1546" s="21">
        <f t="shared" si="529"/>
        <v>2031</v>
      </c>
      <c r="AU1546" s="21"/>
      <c r="AV1546" s="21"/>
      <c r="AW1546" s="21"/>
    </row>
    <row r="1547" spans="1:49" x14ac:dyDescent="0.2">
      <c r="A1547">
        <v>830</v>
      </c>
      <c r="E1547">
        <f t="shared" si="524"/>
        <v>2</v>
      </c>
      <c r="F1547" s="5" t="s">
        <v>534</v>
      </c>
      <c r="G1547" s="5" t="s">
        <v>484</v>
      </c>
      <c r="J1547" t="str">
        <f t="shared" si="531"/>
        <v>2</v>
      </c>
      <c r="K1547" t="str">
        <f t="shared" si="532"/>
        <v>09</v>
      </c>
      <c r="L1547" t="str">
        <f t="shared" si="533"/>
        <v/>
      </c>
      <c r="M1547" s="6" t="str">
        <f t="shared" si="534"/>
        <v/>
      </c>
      <c r="N1547" t="s">
        <v>179</v>
      </c>
      <c r="O1547">
        <v>91</v>
      </c>
      <c r="P1547" t="s">
        <v>424</v>
      </c>
      <c r="Q1547" t="s">
        <v>277</v>
      </c>
      <c r="R1547" t="s">
        <v>210</v>
      </c>
      <c r="S1547" t="s">
        <v>93</v>
      </c>
      <c r="Y1547" t="str">
        <f t="shared" si="517"/>
        <v/>
      </c>
      <c r="Z1547" t="str">
        <f t="shared" si="518"/>
        <v/>
      </c>
      <c r="AC1547" t="str">
        <f t="shared" si="514"/>
        <v>Zone_Entry_Exit</v>
      </c>
      <c r="AD1547" t="str">
        <f t="shared" si="515"/>
        <v>Zone_Keepin</v>
      </c>
      <c r="AE1547" t="str">
        <f t="shared" si="516"/>
        <v>Zone-KeepIn</v>
      </c>
      <c r="AF1547" t="str">
        <f t="shared" si="519"/>
        <v>Offensive</v>
      </c>
      <c r="AG1547">
        <f t="shared" si="525"/>
        <v>18981</v>
      </c>
      <c r="AH1547" t="str">
        <f t="shared" si="526"/>
        <v>Nelson</v>
      </c>
      <c r="AI1547" t="str">
        <f t="shared" si="527"/>
        <v>Velodrome</v>
      </c>
      <c r="AJ1547" s="18">
        <f t="shared" si="520"/>
        <v>0</v>
      </c>
      <c r="AP1547" s="18">
        <f t="shared" si="521"/>
        <v>0</v>
      </c>
      <c r="AQ1547">
        <f t="shared" si="522"/>
        <v>1080</v>
      </c>
      <c r="AR1547" s="23">
        <f t="shared" si="523"/>
        <v>2031</v>
      </c>
      <c r="AS1547">
        <f t="shared" si="528"/>
        <v>2026</v>
      </c>
      <c r="AT1547" s="21">
        <f t="shared" si="529"/>
        <v>2031</v>
      </c>
      <c r="AU1547" s="21"/>
      <c r="AV1547" s="21"/>
      <c r="AW1547" s="21"/>
    </row>
    <row r="1548" spans="1:49" x14ac:dyDescent="0.2">
      <c r="A1548">
        <v>831</v>
      </c>
      <c r="E1548">
        <f t="shared" si="524"/>
        <v>2</v>
      </c>
      <c r="F1548" s="5" t="s">
        <v>534</v>
      </c>
      <c r="G1548" s="5" t="s">
        <v>484</v>
      </c>
      <c r="H1548" s="5" t="s">
        <v>534</v>
      </c>
      <c r="I1548" s="7" t="s">
        <v>482</v>
      </c>
      <c r="J1548" t="str">
        <f t="shared" si="531"/>
        <v>2</v>
      </c>
      <c r="K1548" t="str">
        <f t="shared" si="532"/>
        <v>09</v>
      </c>
      <c r="L1548" t="str">
        <f t="shared" si="533"/>
        <v>2</v>
      </c>
      <c r="M1548" s="6" t="str">
        <f t="shared" si="534"/>
        <v>07</v>
      </c>
      <c r="N1548" t="s">
        <v>179</v>
      </c>
      <c r="O1548">
        <v>91</v>
      </c>
      <c r="P1548" t="s">
        <v>424</v>
      </c>
      <c r="Q1548" t="s">
        <v>15</v>
      </c>
      <c r="Y1548" t="str">
        <f t="shared" si="517"/>
        <v/>
      </c>
      <c r="Z1548" t="str">
        <f t="shared" si="518"/>
        <v/>
      </c>
      <c r="AC1548" t="str">
        <f t="shared" si="514"/>
        <v>Possession</v>
      </c>
      <c r="AD1548" t="str">
        <f t="shared" si="515"/>
        <v/>
      </c>
      <c r="AE1548" t="str">
        <f t="shared" si="516"/>
        <v/>
      </c>
      <c r="AF1548" t="str">
        <f t="shared" si="519"/>
        <v>Offensive</v>
      </c>
      <c r="AG1548">
        <f t="shared" si="525"/>
        <v>18981</v>
      </c>
      <c r="AH1548" t="str">
        <f t="shared" si="526"/>
        <v>Nelson</v>
      </c>
      <c r="AI1548" t="str">
        <f t="shared" si="527"/>
        <v>Velodrome</v>
      </c>
      <c r="AJ1548" s="18">
        <f t="shared" si="520"/>
        <v>2</v>
      </c>
      <c r="AP1548" s="18">
        <f t="shared" si="521"/>
        <v>0</v>
      </c>
      <c r="AQ1548">
        <f t="shared" si="522"/>
        <v>1080</v>
      </c>
      <c r="AR1548" s="23">
        <f t="shared" si="523"/>
        <v>2031</v>
      </c>
      <c r="AS1548">
        <f t="shared" si="528"/>
        <v>2026</v>
      </c>
      <c r="AT1548" s="21">
        <f t="shared" si="529"/>
        <v>2033</v>
      </c>
      <c r="AU1548" s="21"/>
      <c r="AV1548" s="21"/>
      <c r="AW1548" s="21"/>
    </row>
    <row r="1549" spans="1:49" x14ac:dyDescent="0.2">
      <c r="A1549">
        <v>831</v>
      </c>
      <c r="E1549">
        <f t="shared" si="524"/>
        <v>2</v>
      </c>
      <c r="F1549" s="5" t="s">
        <v>534</v>
      </c>
      <c r="G1549" s="5" t="s">
        <v>482</v>
      </c>
      <c r="J1549" t="str">
        <f t="shared" si="531"/>
        <v>2</v>
      </c>
      <c r="K1549" t="str">
        <f t="shared" si="532"/>
        <v>09</v>
      </c>
      <c r="L1549" t="str">
        <f t="shared" si="533"/>
        <v>2</v>
      </c>
      <c r="M1549" s="6" t="str">
        <f t="shared" si="534"/>
        <v>07</v>
      </c>
      <c r="N1549" t="str">
        <f t="shared" si="530"/>
        <v>Away</v>
      </c>
      <c r="O1549">
        <v>91</v>
      </c>
      <c r="P1549" t="s">
        <v>424</v>
      </c>
      <c r="Q1549" t="s">
        <v>10</v>
      </c>
      <c r="R1549" t="s">
        <v>190</v>
      </c>
      <c r="S1549" t="s">
        <v>448</v>
      </c>
      <c r="Y1549" t="str">
        <f t="shared" si="517"/>
        <v/>
      </c>
      <c r="Z1549" t="str">
        <f t="shared" si="518"/>
        <v/>
      </c>
      <c r="AC1549" t="str">
        <f t="shared" si="514"/>
        <v>Turnover</v>
      </c>
      <c r="AD1549" t="str">
        <f t="shared" si="515"/>
        <v>Turnover_Giveaway</v>
      </c>
      <c r="AE1549" t="str">
        <f t="shared" si="516"/>
        <v>Giveaway-DumpInZone</v>
      </c>
      <c r="AF1549" t="str">
        <f t="shared" si="519"/>
        <v>Offensive</v>
      </c>
      <c r="AG1549">
        <f t="shared" si="525"/>
        <v>18981</v>
      </c>
      <c r="AH1549" t="str">
        <f t="shared" si="526"/>
        <v>Nelson</v>
      </c>
      <c r="AI1549" t="str">
        <f t="shared" si="527"/>
        <v>Velodrome</v>
      </c>
      <c r="AJ1549" s="18">
        <f t="shared" si="520"/>
        <v>2</v>
      </c>
      <c r="AP1549" s="18">
        <f t="shared" si="521"/>
        <v>0</v>
      </c>
      <c r="AQ1549">
        <f t="shared" si="522"/>
        <v>1080</v>
      </c>
      <c r="AR1549" s="23">
        <f t="shared" si="523"/>
        <v>2031</v>
      </c>
      <c r="AS1549">
        <f t="shared" si="528"/>
        <v>2026</v>
      </c>
      <c r="AT1549" s="21">
        <f t="shared" si="529"/>
        <v>2033</v>
      </c>
      <c r="AU1549" s="21"/>
      <c r="AV1549" s="21"/>
      <c r="AW1549" s="21"/>
    </row>
    <row r="1550" spans="1:49" x14ac:dyDescent="0.2">
      <c r="A1550">
        <v>832</v>
      </c>
      <c r="E1550">
        <f t="shared" si="524"/>
        <v>2</v>
      </c>
      <c r="F1550" s="5" t="s">
        <v>534</v>
      </c>
      <c r="G1550" s="5" t="s">
        <v>474</v>
      </c>
      <c r="J1550" t="str">
        <f t="shared" si="531"/>
        <v>2</v>
      </c>
      <c r="K1550" t="str">
        <f t="shared" si="532"/>
        <v>02</v>
      </c>
      <c r="L1550" t="str">
        <f t="shared" si="533"/>
        <v/>
      </c>
      <c r="M1550" s="6" t="str">
        <f t="shared" si="534"/>
        <v/>
      </c>
      <c r="N1550" t="s">
        <v>178</v>
      </c>
      <c r="O1550">
        <v>23</v>
      </c>
      <c r="P1550" t="s">
        <v>424</v>
      </c>
      <c r="Q1550" t="s">
        <v>8</v>
      </c>
      <c r="R1550" t="s">
        <v>199</v>
      </c>
      <c r="S1550" t="s">
        <v>68</v>
      </c>
      <c r="Y1550" t="str">
        <f t="shared" si="517"/>
        <v/>
      </c>
      <c r="Z1550" t="str">
        <f t="shared" si="518"/>
        <v/>
      </c>
      <c r="AC1550" t="str">
        <f t="shared" si="514"/>
        <v>Pass</v>
      </c>
      <c r="AD1550" t="str">
        <f t="shared" si="515"/>
        <v>Pass_Missed</v>
      </c>
      <c r="AE1550" t="str">
        <f t="shared" si="516"/>
        <v>Pass-Rim/Wrap</v>
      </c>
      <c r="AF1550" t="str">
        <f t="shared" si="519"/>
        <v>Offensive</v>
      </c>
      <c r="AG1550">
        <f t="shared" si="525"/>
        <v>18981</v>
      </c>
      <c r="AH1550" t="str">
        <f t="shared" si="526"/>
        <v>Nelson</v>
      </c>
      <c r="AI1550" t="str">
        <f t="shared" si="527"/>
        <v>Velodrome</v>
      </c>
      <c r="AJ1550" s="18">
        <f t="shared" si="520"/>
        <v>0</v>
      </c>
      <c r="AP1550" s="18">
        <f t="shared" si="521"/>
        <v>0</v>
      </c>
      <c r="AQ1550">
        <f t="shared" si="522"/>
        <v>1080</v>
      </c>
      <c r="AR1550" s="23">
        <f t="shared" si="523"/>
        <v>2038</v>
      </c>
      <c r="AS1550">
        <f t="shared" si="528"/>
        <v>2033</v>
      </c>
      <c r="AT1550" s="21">
        <f t="shared" si="529"/>
        <v>2038</v>
      </c>
      <c r="AU1550" s="21"/>
      <c r="AV1550" s="21"/>
      <c r="AW1550" s="21"/>
    </row>
    <row r="1551" spans="1:49" x14ac:dyDescent="0.2">
      <c r="A1551">
        <v>832</v>
      </c>
      <c r="E1551">
        <f t="shared" si="524"/>
        <v>2</v>
      </c>
      <c r="J1551" t="str">
        <f t="shared" si="531"/>
        <v>2</v>
      </c>
      <c r="K1551" t="str">
        <f t="shared" si="532"/>
        <v>02</v>
      </c>
      <c r="L1551" t="str">
        <f t="shared" si="533"/>
        <v/>
      </c>
      <c r="M1551" s="6" t="str">
        <f t="shared" si="534"/>
        <v/>
      </c>
      <c r="N1551" t="s">
        <v>178</v>
      </c>
      <c r="O1551">
        <v>44</v>
      </c>
      <c r="P1551" t="s">
        <v>424</v>
      </c>
      <c r="Y1551" t="str">
        <f t="shared" si="517"/>
        <v/>
      </c>
      <c r="Z1551" t="str">
        <f t="shared" si="518"/>
        <v/>
      </c>
      <c r="AC1551" t="str">
        <f t="shared" si="514"/>
        <v>Pass</v>
      </c>
      <c r="AD1551" t="str">
        <f t="shared" si="515"/>
        <v>Pass_Missed</v>
      </c>
      <c r="AE1551" t="str">
        <f t="shared" si="516"/>
        <v>Pass-Rim/Wrap</v>
      </c>
      <c r="AF1551" t="str">
        <f t="shared" si="519"/>
        <v>Offensive</v>
      </c>
      <c r="AG1551">
        <f t="shared" si="525"/>
        <v>18981</v>
      </c>
      <c r="AH1551" t="str">
        <f t="shared" si="526"/>
        <v>Nelson</v>
      </c>
      <c r="AI1551" t="str">
        <f t="shared" si="527"/>
        <v>Velodrome</v>
      </c>
      <c r="AJ1551" s="18">
        <f t="shared" si="520"/>
        <v>0</v>
      </c>
      <c r="AP1551" s="18">
        <f t="shared" si="521"/>
        <v>0</v>
      </c>
      <c r="AQ1551">
        <f t="shared" si="522"/>
        <v>1080</v>
      </c>
      <c r="AR1551" s="23">
        <f t="shared" si="523"/>
        <v>2038</v>
      </c>
      <c r="AS1551">
        <f t="shared" si="528"/>
        <v>2033</v>
      </c>
      <c r="AT1551" s="21">
        <f t="shared" si="529"/>
        <v>2038</v>
      </c>
      <c r="AU1551" s="21"/>
      <c r="AV1551" s="21"/>
      <c r="AW1551" s="21"/>
    </row>
    <row r="1552" spans="1:49" x14ac:dyDescent="0.2">
      <c r="A1552">
        <v>833</v>
      </c>
      <c r="E1552">
        <f t="shared" si="524"/>
        <v>2</v>
      </c>
      <c r="F1552" s="5" t="s">
        <v>543</v>
      </c>
      <c r="G1552" s="5" t="s">
        <v>479</v>
      </c>
      <c r="J1552" t="str">
        <f t="shared" si="531"/>
        <v>1</v>
      </c>
      <c r="K1552" t="str">
        <f t="shared" si="532"/>
        <v>59</v>
      </c>
      <c r="L1552" t="str">
        <f t="shared" si="533"/>
        <v/>
      </c>
      <c r="M1552" s="6" t="str">
        <f t="shared" si="534"/>
        <v/>
      </c>
      <c r="N1552" t="s">
        <v>178</v>
      </c>
      <c r="O1552">
        <v>23</v>
      </c>
      <c r="P1552" t="s">
        <v>424</v>
      </c>
      <c r="Q1552" t="s">
        <v>277</v>
      </c>
      <c r="R1552" t="s">
        <v>201</v>
      </c>
      <c r="S1552" t="s">
        <v>433</v>
      </c>
      <c r="Y1552" t="str">
        <f t="shared" si="517"/>
        <v/>
      </c>
      <c r="Z1552" t="str">
        <f t="shared" si="518"/>
        <v/>
      </c>
      <c r="AC1552" t="str">
        <f t="shared" si="514"/>
        <v>Zone_Entry_Exit</v>
      </c>
      <c r="AD1552" t="str">
        <f t="shared" si="515"/>
        <v>Zone_Exit</v>
      </c>
      <c r="AE1552" t="str">
        <f t="shared" si="516"/>
        <v>ZoneExit-PassMiss/Misplay</v>
      </c>
      <c r="AF1552" t="str">
        <f t="shared" si="519"/>
        <v>Offensive</v>
      </c>
      <c r="AG1552">
        <f t="shared" si="525"/>
        <v>18981</v>
      </c>
      <c r="AH1552" t="str">
        <f t="shared" si="526"/>
        <v>Nelson</v>
      </c>
      <c r="AI1552" t="str">
        <f t="shared" si="527"/>
        <v>Velodrome</v>
      </c>
      <c r="AJ1552" s="18">
        <f t="shared" si="520"/>
        <v>0</v>
      </c>
      <c r="AP1552" s="18">
        <f t="shared" si="521"/>
        <v>0</v>
      </c>
      <c r="AQ1552">
        <f t="shared" si="522"/>
        <v>1080</v>
      </c>
      <c r="AR1552" s="23">
        <f t="shared" si="523"/>
        <v>2041</v>
      </c>
      <c r="AS1552">
        <f t="shared" si="528"/>
        <v>2036</v>
      </c>
      <c r="AT1552" s="21">
        <f t="shared" si="529"/>
        <v>2041</v>
      </c>
      <c r="AU1552" s="21"/>
      <c r="AV1552" s="21"/>
      <c r="AW1552" s="21"/>
    </row>
    <row r="1553" spans="1:49" x14ac:dyDescent="0.2">
      <c r="A1553">
        <v>833</v>
      </c>
      <c r="E1553">
        <f t="shared" si="524"/>
        <v>2</v>
      </c>
      <c r="J1553" t="str">
        <f t="shared" si="531"/>
        <v>1</v>
      </c>
      <c r="K1553" t="str">
        <f t="shared" si="532"/>
        <v>59</v>
      </c>
      <c r="L1553" t="str">
        <f t="shared" si="533"/>
        <v/>
      </c>
      <c r="M1553" s="6" t="str">
        <f t="shared" si="534"/>
        <v/>
      </c>
      <c r="N1553" t="s">
        <v>178</v>
      </c>
      <c r="O1553">
        <v>44</v>
      </c>
      <c r="P1553" t="s">
        <v>424</v>
      </c>
      <c r="Y1553" t="str">
        <f t="shared" si="517"/>
        <v/>
      </c>
      <c r="Z1553" t="str">
        <f t="shared" si="518"/>
        <v/>
      </c>
      <c r="AC1553" t="str">
        <f t="shared" si="514"/>
        <v>Zone_Entry_Exit</v>
      </c>
      <c r="AD1553" t="str">
        <f t="shared" si="515"/>
        <v>Zone_Exit</v>
      </c>
      <c r="AE1553" t="str">
        <f t="shared" si="516"/>
        <v>ZoneExit-PassMiss/Misplay</v>
      </c>
      <c r="AF1553" t="str">
        <f t="shared" si="519"/>
        <v>Offensive</v>
      </c>
      <c r="AG1553">
        <f t="shared" si="525"/>
        <v>18981</v>
      </c>
      <c r="AH1553" t="str">
        <f t="shared" si="526"/>
        <v>Nelson</v>
      </c>
      <c r="AI1553" t="str">
        <f t="shared" si="527"/>
        <v>Velodrome</v>
      </c>
      <c r="AJ1553" s="18">
        <f t="shared" si="520"/>
        <v>0</v>
      </c>
      <c r="AP1553" s="18">
        <f t="shared" si="521"/>
        <v>0</v>
      </c>
      <c r="AQ1553">
        <f t="shared" si="522"/>
        <v>1080</v>
      </c>
      <c r="AR1553" s="23">
        <f t="shared" si="523"/>
        <v>2041</v>
      </c>
      <c r="AS1553">
        <f t="shared" si="528"/>
        <v>2036</v>
      </c>
      <c r="AT1553" s="21">
        <f t="shared" si="529"/>
        <v>2041</v>
      </c>
      <c r="AU1553" s="21"/>
      <c r="AV1553" s="21"/>
      <c r="AW1553" s="21"/>
    </row>
    <row r="1554" spans="1:49" x14ac:dyDescent="0.2">
      <c r="A1554">
        <v>834</v>
      </c>
      <c r="E1554">
        <f t="shared" si="524"/>
        <v>2</v>
      </c>
      <c r="F1554" s="5" t="s">
        <v>543</v>
      </c>
      <c r="G1554" s="5" t="s">
        <v>528</v>
      </c>
      <c r="J1554" t="str">
        <f t="shared" si="531"/>
        <v>1</v>
      </c>
      <c r="K1554" t="str">
        <f t="shared" si="532"/>
        <v>56</v>
      </c>
      <c r="L1554" t="str">
        <f t="shared" si="533"/>
        <v/>
      </c>
      <c r="M1554" s="6" t="str">
        <f t="shared" si="534"/>
        <v/>
      </c>
      <c r="N1554" t="s">
        <v>178</v>
      </c>
      <c r="O1554">
        <v>44</v>
      </c>
      <c r="P1554" t="s">
        <v>424</v>
      </c>
      <c r="Q1554" t="s">
        <v>10</v>
      </c>
      <c r="R1554" t="s">
        <v>190</v>
      </c>
      <c r="S1554" t="s">
        <v>73</v>
      </c>
      <c r="Y1554" t="str">
        <f t="shared" si="517"/>
        <v/>
      </c>
      <c r="Z1554" t="str">
        <f t="shared" si="518"/>
        <v/>
      </c>
      <c r="AC1554" t="str">
        <f t="shared" si="514"/>
        <v>Turnover</v>
      </c>
      <c r="AD1554" t="str">
        <f t="shared" si="515"/>
        <v>Turnover_Giveaway</v>
      </c>
      <c r="AE1554" t="str">
        <f t="shared" si="516"/>
        <v>Giveaway-Misplayed</v>
      </c>
      <c r="AF1554" t="str">
        <f t="shared" si="519"/>
        <v>Offensive</v>
      </c>
      <c r="AG1554">
        <f t="shared" si="525"/>
        <v>18981</v>
      </c>
      <c r="AH1554" t="str">
        <f t="shared" si="526"/>
        <v>Nelson</v>
      </c>
      <c r="AI1554" t="str">
        <f t="shared" si="527"/>
        <v>Velodrome</v>
      </c>
      <c r="AJ1554" s="18">
        <f t="shared" si="520"/>
        <v>0</v>
      </c>
      <c r="AP1554" s="18">
        <f t="shared" si="521"/>
        <v>0</v>
      </c>
      <c r="AQ1554">
        <f t="shared" si="522"/>
        <v>1080</v>
      </c>
      <c r="AR1554" s="23">
        <f t="shared" si="523"/>
        <v>2044</v>
      </c>
      <c r="AS1554">
        <f t="shared" si="528"/>
        <v>2039</v>
      </c>
      <c r="AT1554" s="21">
        <f t="shared" si="529"/>
        <v>2044</v>
      </c>
      <c r="AU1554" s="21"/>
      <c r="AV1554" s="21"/>
      <c r="AW1554" s="21"/>
    </row>
    <row r="1555" spans="1:49" x14ac:dyDescent="0.2">
      <c r="A1555">
        <v>835</v>
      </c>
      <c r="E1555">
        <f t="shared" si="524"/>
        <v>2</v>
      </c>
      <c r="F1555" s="5" t="s">
        <v>543</v>
      </c>
      <c r="G1555" s="5" t="s">
        <v>527</v>
      </c>
      <c r="J1555" t="str">
        <f t="shared" si="531"/>
        <v>1</v>
      </c>
      <c r="K1555" t="str">
        <f t="shared" si="532"/>
        <v>55</v>
      </c>
      <c r="L1555" t="str">
        <f t="shared" si="533"/>
        <v/>
      </c>
      <c r="M1555" s="6" t="str">
        <f t="shared" si="534"/>
        <v/>
      </c>
      <c r="N1555" t="s">
        <v>179</v>
      </c>
      <c r="O1555">
        <v>14</v>
      </c>
      <c r="P1555" t="s">
        <v>424</v>
      </c>
      <c r="Q1555" t="s">
        <v>10</v>
      </c>
      <c r="R1555" t="s">
        <v>190</v>
      </c>
      <c r="S1555" t="s">
        <v>422</v>
      </c>
      <c r="Y1555" t="str">
        <f t="shared" si="517"/>
        <v/>
      </c>
      <c r="Z1555" t="str">
        <f t="shared" si="518"/>
        <v/>
      </c>
      <c r="AC1555" t="str">
        <f t="shared" si="514"/>
        <v>Turnover</v>
      </c>
      <c r="AD1555" t="str">
        <f t="shared" si="515"/>
        <v>Turnover_Giveaway</v>
      </c>
      <c r="AE1555" t="str">
        <f t="shared" si="516"/>
        <v>Giveaway-AttemptedZoneClear/Dump</v>
      </c>
      <c r="AF1555" t="str">
        <f t="shared" si="519"/>
        <v>Offensive</v>
      </c>
      <c r="AG1555">
        <f t="shared" si="525"/>
        <v>18981</v>
      </c>
      <c r="AH1555" t="str">
        <f t="shared" si="526"/>
        <v>Nelson</v>
      </c>
      <c r="AI1555" t="str">
        <f t="shared" si="527"/>
        <v>Velodrome</v>
      </c>
      <c r="AJ1555" s="18">
        <f t="shared" si="520"/>
        <v>0</v>
      </c>
      <c r="AP1555" s="18">
        <f t="shared" si="521"/>
        <v>0</v>
      </c>
      <c r="AQ1555">
        <f t="shared" si="522"/>
        <v>1080</v>
      </c>
      <c r="AR1555" s="23">
        <f t="shared" si="523"/>
        <v>2045</v>
      </c>
      <c r="AS1555">
        <f t="shared" si="528"/>
        <v>2040</v>
      </c>
      <c r="AT1555" s="21">
        <f t="shared" si="529"/>
        <v>2045</v>
      </c>
      <c r="AU1555" s="21"/>
      <c r="AV1555" s="21"/>
      <c r="AW1555" s="21"/>
    </row>
    <row r="1556" spans="1:49" x14ac:dyDescent="0.2">
      <c r="A1556">
        <v>836</v>
      </c>
      <c r="E1556">
        <f t="shared" si="524"/>
        <v>2</v>
      </c>
      <c r="F1556" s="5" t="s">
        <v>543</v>
      </c>
      <c r="G1556" s="5" t="s">
        <v>525</v>
      </c>
      <c r="J1556" t="str">
        <f t="shared" si="531"/>
        <v>1</v>
      </c>
      <c r="K1556" t="str">
        <f t="shared" si="532"/>
        <v>53</v>
      </c>
      <c r="L1556" t="str">
        <f t="shared" si="533"/>
        <v/>
      </c>
      <c r="M1556" s="6" t="str">
        <f t="shared" si="534"/>
        <v/>
      </c>
      <c r="N1556" t="s">
        <v>178</v>
      </c>
      <c r="O1556">
        <v>23</v>
      </c>
      <c r="P1556" t="s">
        <v>424</v>
      </c>
      <c r="Q1556" t="s">
        <v>277</v>
      </c>
      <c r="R1556" t="s">
        <v>191</v>
      </c>
      <c r="S1556" t="s">
        <v>89</v>
      </c>
      <c r="Y1556" t="str">
        <f t="shared" si="517"/>
        <v/>
      </c>
      <c r="Z1556" t="str">
        <f t="shared" si="518"/>
        <v/>
      </c>
      <c r="AC1556" t="str">
        <f t="shared" si="514"/>
        <v>Zone_Entry_Exit</v>
      </c>
      <c r="AD1556" t="str">
        <f t="shared" si="515"/>
        <v>Zone_Entry</v>
      </c>
      <c r="AE1556" t="str">
        <f t="shared" si="516"/>
        <v>ZoneEntry-DumpIn</v>
      </c>
      <c r="AF1556" t="str">
        <f t="shared" si="519"/>
        <v>Offensive</v>
      </c>
      <c r="AG1556">
        <f t="shared" si="525"/>
        <v>18981</v>
      </c>
      <c r="AH1556" t="str">
        <f t="shared" si="526"/>
        <v>Nelson</v>
      </c>
      <c r="AI1556" t="str">
        <f t="shared" si="527"/>
        <v>Velodrome</v>
      </c>
      <c r="AJ1556" s="18">
        <f t="shared" si="520"/>
        <v>0</v>
      </c>
      <c r="AP1556" s="18">
        <f t="shared" si="521"/>
        <v>0</v>
      </c>
      <c r="AQ1556">
        <f t="shared" si="522"/>
        <v>1080</v>
      </c>
      <c r="AR1556" s="23">
        <f t="shared" si="523"/>
        <v>2047</v>
      </c>
      <c r="AS1556">
        <f t="shared" si="528"/>
        <v>2042</v>
      </c>
      <c r="AT1556" s="21">
        <f t="shared" si="529"/>
        <v>2047</v>
      </c>
      <c r="AU1556" s="21"/>
      <c r="AV1556" s="21"/>
      <c r="AW1556" s="21"/>
    </row>
    <row r="1557" spans="1:49" x14ac:dyDescent="0.2">
      <c r="A1557">
        <v>837</v>
      </c>
      <c r="E1557">
        <f t="shared" si="524"/>
        <v>2</v>
      </c>
      <c r="F1557" s="5" t="s">
        <v>543</v>
      </c>
      <c r="G1557" s="5" t="s">
        <v>525</v>
      </c>
      <c r="J1557" t="str">
        <f t="shared" si="531"/>
        <v>1</v>
      </c>
      <c r="K1557" t="str">
        <f t="shared" si="532"/>
        <v>53</v>
      </c>
      <c r="L1557" t="str">
        <f t="shared" si="533"/>
        <v/>
      </c>
      <c r="M1557" s="6" t="str">
        <f t="shared" si="534"/>
        <v/>
      </c>
      <c r="N1557" t="s">
        <v>178</v>
      </c>
      <c r="O1557">
        <v>23</v>
      </c>
      <c r="P1557" t="s">
        <v>424</v>
      </c>
      <c r="Q1557" t="s">
        <v>10</v>
      </c>
      <c r="R1557" t="s">
        <v>190</v>
      </c>
      <c r="S1557" t="s">
        <v>411</v>
      </c>
      <c r="Y1557" t="str">
        <f t="shared" si="517"/>
        <v/>
      </c>
      <c r="Z1557" t="str">
        <f t="shared" si="518"/>
        <v/>
      </c>
      <c r="AC1557" t="str">
        <f t="shared" si="514"/>
        <v>Turnover</v>
      </c>
      <c r="AD1557" t="str">
        <f t="shared" si="515"/>
        <v>Turnover_Giveaway</v>
      </c>
      <c r="AE1557" t="str">
        <f t="shared" si="516"/>
        <v>Giveaway-ZoneClear/Dump</v>
      </c>
      <c r="AF1557" t="str">
        <f t="shared" si="519"/>
        <v>Offensive</v>
      </c>
      <c r="AG1557">
        <f t="shared" si="525"/>
        <v>18981</v>
      </c>
      <c r="AH1557" t="str">
        <f t="shared" si="526"/>
        <v>Nelson</v>
      </c>
      <c r="AI1557" t="str">
        <f t="shared" si="527"/>
        <v>Velodrome</v>
      </c>
      <c r="AJ1557" s="18">
        <f t="shared" si="520"/>
        <v>0</v>
      </c>
      <c r="AP1557" s="18">
        <f t="shared" si="521"/>
        <v>0</v>
      </c>
      <c r="AQ1557">
        <f t="shared" si="522"/>
        <v>1080</v>
      </c>
      <c r="AR1557" s="23">
        <f t="shared" si="523"/>
        <v>2047</v>
      </c>
      <c r="AS1557">
        <f t="shared" si="528"/>
        <v>2042</v>
      </c>
      <c r="AT1557" s="21">
        <f t="shared" si="529"/>
        <v>2047</v>
      </c>
      <c r="AU1557" s="21"/>
      <c r="AV1557" s="21"/>
      <c r="AW1557" s="21"/>
    </row>
    <row r="1558" spans="1:49" x14ac:dyDescent="0.2">
      <c r="A1558">
        <v>838</v>
      </c>
      <c r="E1558">
        <f t="shared" si="524"/>
        <v>2</v>
      </c>
      <c r="F1558" s="5" t="s">
        <v>543</v>
      </c>
      <c r="G1558" s="5" t="s">
        <v>517</v>
      </c>
      <c r="H1558" s="5" t="s">
        <v>543</v>
      </c>
      <c r="I1558" s="7" t="s">
        <v>516</v>
      </c>
      <c r="J1558" t="str">
        <f t="shared" si="531"/>
        <v>1</v>
      </c>
      <c r="K1558" t="str">
        <f t="shared" si="532"/>
        <v>45</v>
      </c>
      <c r="L1558" t="str">
        <f t="shared" si="533"/>
        <v>1</v>
      </c>
      <c r="M1558" s="6" t="str">
        <f t="shared" si="534"/>
        <v>44</v>
      </c>
      <c r="N1558" t="s">
        <v>179</v>
      </c>
      <c r="O1558">
        <v>52</v>
      </c>
      <c r="P1558" t="s">
        <v>424</v>
      </c>
      <c r="Q1558" t="s">
        <v>15</v>
      </c>
      <c r="Y1558" t="str">
        <f t="shared" si="517"/>
        <v/>
      </c>
      <c r="Z1558" t="str">
        <f t="shared" si="518"/>
        <v/>
      </c>
      <c r="AC1558" t="str">
        <f t="shared" si="514"/>
        <v>Possession</v>
      </c>
      <c r="AD1558" t="str">
        <f t="shared" si="515"/>
        <v/>
      </c>
      <c r="AE1558" t="str">
        <f t="shared" si="516"/>
        <v/>
      </c>
      <c r="AF1558" t="str">
        <f t="shared" si="519"/>
        <v>Offensive</v>
      </c>
      <c r="AG1558">
        <f t="shared" si="525"/>
        <v>18981</v>
      </c>
      <c r="AH1558" t="str">
        <f t="shared" si="526"/>
        <v>Nelson</v>
      </c>
      <c r="AI1558" t="str">
        <f t="shared" si="527"/>
        <v>Velodrome</v>
      </c>
      <c r="AJ1558" s="18">
        <f t="shared" si="520"/>
        <v>1</v>
      </c>
      <c r="AP1558" s="18">
        <f t="shared" si="521"/>
        <v>0</v>
      </c>
      <c r="AQ1558">
        <f t="shared" si="522"/>
        <v>1080</v>
      </c>
      <c r="AR1558" s="23">
        <f t="shared" si="523"/>
        <v>2055</v>
      </c>
      <c r="AS1558">
        <f t="shared" si="528"/>
        <v>2050</v>
      </c>
      <c r="AT1558" s="21">
        <f t="shared" si="529"/>
        <v>2056</v>
      </c>
      <c r="AU1558" s="21"/>
      <c r="AV1558" s="21"/>
      <c r="AW1558" s="21"/>
    </row>
    <row r="1559" spans="1:49" x14ac:dyDescent="0.2">
      <c r="A1559">
        <v>839</v>
      </c>
      <c r="E1559">
        <f t="shared" si="524"/>
        <v>2</v>
      </c>
      <c r="F1559" s="5" t="s">
        <v>543</v>
      </c>
      <c r="G1559" s="5" t="s">
        <v>516</v>
      </c>
      <c r="J1559" t="str">
        <f t="shared" si="531"/>
        <v>1</v>
      </c>
      <c r="K1559" t="str">
        <f t="shared" si="532"/>
        <v>44</v>
      </c>
      <c r="L1559" t="str">
        <f t="shared" si="533"/>
        <v/>
      </c>
      <c r="M1559" s="6" t="str">
        <f t="shared" si="534"/>
        <v/>
      </c>
      <c r="N1559" t="s">
        <v>179</v>
      </c>
      <c r="O1559">
        <v>52</v>
      </c>
      <c r="P1559" t="s">
        <v>424</v>
      </c>
      <c r="Q1559" t="s">
        <v>8</v>
      </c>
      <c r="R1559" t="s">
        <v>199</v>
      </c>
      <c r="S1559" t="s">
        <v>71</v>
      </c>
      <c r="Y1559" t="str">
        <f t="shared" si="517"/>
        <v/>
      </c>
      <c r="Z1559" t="str">
        <f t="shared" si="518"/>
        <v/>
      </c>
      <c r="AC1559" t="str">
        <f t="shared" si="514"/>
        <v>Pass</v>
      </c>
      <c r="AD1559" t="str">
        <f t="shared" si="515"/>
        <v>Pass_Missed</v>
      </c>
      <c r="AE1559" t="str">
        <f t="shared" si="516"/>
        <v>Pass-Bank</v>
      </c>
      <c r="AF1559" t="str">
        <f t="shared" si="519"/>
        <v>Offensive</v>
      </c>
      <c r="AG1559">
        <f t="shared" si="525"/>
        <v>18981</v>
      </c>
      <c r="AH1559" t="str">
        <f t="shared" si="526"/>
        <v>Nelson</v>
      </c>
      <c r="AI1559" t="str">
        <f t="shared" si="527"/>
        <v>Velodrome</v>
      </c>
      <c r="AJ1559" s="18">
        <f t="shared" si="520"/>
        <v>0</v>
      </c>
      <c r="AP1559" s="18">
        <f t="shared" si="521"/>
        <v>0</v>
      </c>
      <c r="AQ1559">
        <f t="shared" si="522"/>
        <v>1080</v>
      </c>
      <c r="AR1559" s="23">
        <f t="shared" si="523"/>
        <v>2056</v>
      </c>
      <c r="AS1559">
        <f t="shared" si="528"/>
        <v>2051</v>
      </c>
      <c r="AT1559" s="21">
        <f t="shared" si="529"/>
        <v>2056</v>
      </c>
      <c r="AU1559" s="21"/>
      <c r="AV1559" s="21"/>
      <c r="AW1559" s="21"/>
    </row>
    <row r="1560" spans="1:49" x14ac:dyDescent="0.2">
      <c r="A1560">
        <v>839</v>
      </c>
      <c r="E1560">
        <f t="shared" si="524"/>
        <v>2</v>
      </c>
      <c r="J1560" t="str">
        <f t="shared" si="531"/>
        <v>1</v>
      </c>
      <c r="K1560" t="str">
        <f t="shared" si="532"/>
        <v>44</v>
      </c>
      <c r="L1560" t="str">
        <f t="shared" si="533"/>
        <v/>
      </c>
      <c r="M1560" s="6" t="str">
        <f t="shared" si="534"/>
        <v/>
      </c>
      <c r="N1560" t="str">
        <f t="shared" si="530"/>
        <v>Away</v>
      </c>
      <c r="O1560">
        <v>14</v>
      </c>
      <c r="P1560" t="s">
        <v>424</v>
      </c>
      <c r="Y1560" t="str">
        <f t="shared" si="517"/>
        <v/>
      </c>
      <c r="Z1560" t="str">
        <f t="shared" si="518"/>
        <v/>
      </c>
      <c r="AC1560" t="str">
        <f t="shared" si="514"/>
        <v>Pass</v>
      </c>
      <c r="AD1560" t="str">
        <f t="shared" si="515"/>
        <v>Pass_Missed</v>
      </c>
      <c r="AE1560" t="str">
        <f t="shared" si="516"/>
        <v>Pass-Bank</v>
      </c>
      <c r="AF1560" t="str">
        <f t="shared" si="519"/>
        <v>Offensive</v>
      </c>
      <c r="AG1560">
        <f t="shared" si="525"/>
        <v>18981</v>
      </c>
      <c r="AH1560" t="str">
        <f t="shared" si="526"/>
        <v>Nelson</v>
      </c>
      <c r="AI1560" t="str">
        <f t="shared" si="527"/>
        <v>Velodrome</v>
      </c>
      <c r="AJ1560" s="18">
        <f t="shared" si="520"/>
        <v>0</v>
      </c>
      <c r="AP1560" s="18">
        <f t="shared" si="521"/>
        <v>0</v>
      </c>
      <c r="AQ1560">
        <f t="shared" si="522"/>
        <v>1080</v>
      </c>
      <c r="AR1560" s="23">
        <f t="shared" si="523"/>
        <v>2056</v>
      </c>
      <c r="AS1560">
        <f t="shared" si="528"/>
        <v>2051</v>
      </c>
      <c r="AT1560" s="21">
        <f t="shared" si="529"/>
        <v>2056</v>
      </c>
      <c r="AU1560" s="21"/>
      <c r="AV1560" s="21"/>
      <c r="AW1560" s="21"/>
    </row>
    <row r="1561" spans="1:49" x14ac:dyDescent="0.2">
      <c r="A1561">
        <v>840</v>
      </c>
      <c r="E1561">
        <f t="shared" si="524"/>
        <v>2</v>
      </c>
      <c r="F1561" s="5" t="s">
        <v>543</v>
      </c>
      <c r="G1561" s="5" t="s">
        <v>516</v>
      </c>
      <c r="J1561" t="str">
        <f t="shared" si="531"/>
        <v>1</v>
      </c>
      <c r="K1561" t="str">
        <f t="shared" si="532"/>
        <v>44</v>
      </c>
      <c r="L1561" t="str">
        <f t="shared" si="533"/>
        <v/>
      </c>
      <c r="M1561" s="6" t="str">
        <f t="shared" si="534"/>
        <v/>
      </c>
      <c r="N1561" t="s">
        <v>179</v>
      </c>
      <c r="O1561">
        <v>52</v>
      </c>
      <c r="P1561" t="s">
        <v>424</v>
      </c>
      <c r="Q1561" t="s">
        <v>277</v>
      </c>
      <c r="R1561" t="s">
        <v>201</v>
      </c>
      <c r="S1561" t="s">
        <v>433</v>
      </c>
      <c r="Y1561" t="str">
        <f t="shared" si="517"/>
        <v/>
      </c>
      <c r="Z1561" t="str">
        <f t="shared" si="518"/>
        <v/>
      </c>
      <c r="AC1561" t="str">
        <f t="shared" si="514"/>
        <v>Zone_Entry_Exit</v>
      </c>
      <c r="AD1561" t="str">
        <f t="shared" si="515"/>
        <v>Zone_Exit</v>
      </c>
      <c r="AE1561" t="str">
        <f t="shared" si="516"/>
        <v>ZoneExit-PassMiss/Misplay</v>
      </c>
      <c r="AF1561" t="str">
        <f t="shared" si="519"/>
        <v>Offensive</v>
      </c>
      <c r="AG1561">
        <f t="shared" si="525"/>
        <v>18981</v>
      </c>
      <c r="AH1561" t="str">
        <f t="shared" si="526"/>
        <v>Nelson</v>
      </c>
      <c r="AI1561" t="str">
        <f t="shared" si="527"/>
        <v>Velodrome</v>
      </c>
      <c r="AJ1561" s="18">
        <f t="shared" si="520"/>
        <v>0</v>
      </c>
      <c r="AP1561" s="18">
        <f t="shared" si="521"/>
        <v>0</v>
      </c>
      <c r="AQ1561">
        <f t="shared" si="522"/>
        <v>1080</v>
      </c>
      <c r="AR1561" s="23">
        <f t="shared" si="523"/>
        <v>2056</v>
      </c>
      <c r="AS1561">
        <f t="shared" si="528"/>
        <v>2051</v>
      </c>
      <c r="AT1561" s="21">
        <f t="shared" si="529"/>
        <v>2056</v>
      </c>
      <c r="AU1561" s="21"/>
      <c r="AV1561" s="21"/>
      <c r="AW1561" s="21"/>
    </row>
    <row r="1562" spans="1:49" x14ac:dyDescent="0.2">
      <c r="A1562">
        <v>840</v>
      </c>
      <c r="E1562">
        <f t="shared" si="524"/>
        <v>2</v>
      </c>
      <c r="J1562" t="str">
        <f t="shared" si="531"/>
        <v>1</v>
      </c>
      <c r="K1562" t="str">
        <f t="shared" si="532"/>
        <v>44</v>
      </c>
      <c r="L1562" t="str">
        <f t="shared" si="533"/>
        <v/>
      </c>
      <c r="M1562" s="6" t="str">
        <f t="shared" si="534"/>
        <v/>
      </c>
      <c r="N1562" t="str">
        <f t="shared" si="530"/>
        <v>Away</v>
      </c>
      <c r="O1562">
        <v>14</v>
      </c>
      <c r="P1562" t="s">
        <v>424</v>
      </c>
      <c r="Y1562" t="str">
        <f t="shared" si="517"/>
        <v/>
      </c>
      <c r="Z1562" t="str">
        <f t="shared" si="518"/>
        <v/>
      </c>
      <c r="AC1562" t="str">
        <f t="shared" si="514"/>
        <v>Zone_Entry_Exit</v>
      </c>
      <c r="AD1562" t="str">
        <f t="shared" si="515"/>
        <v>Zone_Exit</v>
      </c>
      <c r="AE1562" t="str">
        <f t="shared" si="516"/>
        <v>ZoneExit-PassMiss/Misplay</v>
      </c>
      <c r="AF1562" t="str">
        <f t="shared" si="519"/>
        <v>Offensive</v>
      </c>
      <c r="AG1562">
        <f t="shared" si="525"/>
        <v>18981</v>
      </c>
      <c r="AH1562" t="str">
        <f t="shared" si="526"/>
        <v>Nelson</v>
      </c>
      <c r="AI1562" t="str">
        <f t="shared" si="527"/>
        <v>Velodrome</v>
      </c>
      <c r="AJ1562" s="18">
        <f t="shared" si="520"/>
        <v>0</v>
      </c>
      <c r="AP1562" s="18">
        <f t="shared" si="521"/>
        <v>0</v>
      </c>
      <c r="AQ1562">
        <f t="shared" si="522"/>
        <v>1080</v>
      </c>
      <c r="AR1562" s="23">
        <f t="shared" si="523"/>
        <v>2056</v>
      </c>
      <c r="AS1562">
        <f t="shared" si="528"/>
        <v>2051</v>
      </c>
      <c r="AT1562" s="21">
        <f t="shared" si="529"/>
        <v>2056</v>
      </c>
      <c r="AU1562" s="21"/>
      <c r="AV1562" s="21"/>
      <c r="AW1562" s="21"/>
    </row>
    <row r="1563" spans="1:49" x14ac:dyDescent="0.2">
      <c r="A1563">
        <v>841</v>
      </c>
      <c r="E1563">
        <f t="shared" si="524"/>
        <v>2</v>
      </c>
      <c r="F1563" s="5" t="s">
        <v>543</v>
      </c>
      <c r="G1563" s="5" t="s">
        <v>516</v>
      </c>
      <c r="J1563" t="str">
        <f t="shared" si="531"/>
        <v>1</v>
      </c>
      <c r="K1563" t="str">
        <f t="shared" si="532"/>
        <v>44</v>
      </c>
      <c r="L1563" t="str">
        <f t="shared" si="533"/>
        <v/>
      </c>
      <c r="M1563" s="6" t="str">
        <f t="shared" si="534"/>
        <v/>
      </c>
      <c r="N1563" t="s">
        <v>179</v>
      </c>
      <c r="O1563">
        <v>52</v>
      </c>
      <c r="P1563" t="s">
        <v>424</v>
      </c>
      <c r="Q1563" t="s">
        <v>10</v>
      </c>
      <c r="R1563" t="s">
        <v>190</v>
      </c>
      <c r="S1563" t="s">
        <v>440</v>
      </c>
      <c r="Y1563" t="str">
        <f t="shared" si="517"/>
        <v/>
      </c>
      <c r="Z1563" t="str">
        <f t="shared" si="518"/>
        <v/>
      </c>
      <c r="AC1563" t="str">
        <f t="shared" si="514"/>
        <v>Turnover</v>
      </c>
      <c r="AD1563" t="str">
        <f t="shared" si="515"/>
        <v>Turnover_Giveaway</v>
      </c>
      <c r="AE1563" t="str">
        <f t="shared" si="516"/>
        <v>Giveaway-ZoneEntry/ExitMisplay</v>
      </c>
      <c r="AF1563" t="str">
        <f t="shared" si="519"/>
        <v>Offensive</v>
      </c>
      <c r="AG1563">
        <f t="shared" si="525"/>
        <v>18981</v>
      </c>
      <c r="AH1563" t="str">
        <f t="shared" si="526"/>
        <v>Nelson</v>
      </c>
      <c r="AI1563" t="str">
        <f t="shared" si="527"/>
        <v>Velodrome</v>
      </c>
      <c r="AJ1563" s="18">
        <f t="shared" si="520"/>
        <v>0</v>
      </c>
      <c r="AP1563" s="18">
        <f t="shared" si="521"/>
        <v>0</v>
      </c>
      <c r="AQ1563">
        <f t="shared" si="522"/>
        <v>1080</v>
      </c>
      <c r="AR1563" s="23">
        <f t="shared" si="523"/>
        <v>2056</v>
      </c>
      <c r="AS1563">
        <f t="shared" si="528"/>
        <v>2051</v>
      </c>
      <c r="AT1563" s="21">
        <f t="shared" si="529"/>
        <v>2056</v>
      </c>
      <c r="AU1563" s="21"/>
      <c r="AV1563" s="21"/>
      <c r="AW1563" s="21"/>
    </row>
    <row r="1564" spans="1:49" x14ac:dyDescent="0.2">
      <c r="A1564">
        <v>842</v>
      </c>
      <c r="E1564">
        <f t="shared" si="524"/>
        <v>2</v>
      </c>
      <c r="F1564" s="5" t="s">
        <v>543</v>
      </c>
      <c r="G1564" s="5" t="s">
        <v>512</v>
      </c>
      <c r="J1564" t="str">
        <f t="shared" si="531"/>
        <v>1</v>
      </c>
      <c r="K1564" t="str">
        <f t="shared" si="532"/>
        <v>40</v>
      </c>
      <c r="L1564" t="str">
        <f t="shared" si="533"/>
        <v/>
      </c>
      <c r="M1564" s="6" t="str">
        <f t="shared" si="534"/>
        <v/>
      </c>
      <c r="N1564" t="s">
        <v>179</v>
      </c>
      <c r="O1564">
        <v>52</v>
      </c>
      <c r="P1564" t="s">
        <v>424</v>
      </c>
      <c r="Q1564" t="s">
        <v>277</v>
      </c>
      <c r="R1564" t="s">
        <v>191</v>
      </c>
      <c r="S1564" t="s">
        <v>432</v>
      </c>
      <c r="Y1564" t="str">
        <f t="shared" si="517"/>
        <v/>
      </c>
      <c r="Z1564" t="str">
        <f t="shared" si="518"/>
        <v/>
      </c>
      <c r="AC1564" t="str">
        <f t="shared" si="514"/>
        <v>Zone_Entry_Exit</v>
      </c>
      <c r="AD1564" t="str">
        <f t="shared" si="515"/>
        <v>Zone_Entry</v>
      </c>
      <c r="AE1564" t="str">
        <f t="shared" si="516"/>
        <v>ZoneEntry-FromExitClear</v>
      </c>
      <c r="AF1564" t="str">
        <f t="shared" si="519"/>
        <v>Offensive</v>
      </c>
      <c r="AG1564">
        <f t="shared" si="525"/>
        <v>18981</v>
      </c>
      <c r="AH1564" t="str">
        <f t="shared" si="526"/>
        <v>Nelson</v>
      </c>
      <c r="AI1564" t="str">
        <f t="shared" si="527"/>
        <v>Velodrome</v>
      </c>
      <c r="AJ1564" s="18">
        <f t="shared" si="520"/>
        <v>0</v>
      </c>
      <c r="AP1564" s="18">
        <f t="shared" si="521"/>
        <v>0</v>
      </c>
      <c r="AQ1564">
        <f t="shared" si="522"/>
        <v>1080</v>
      </c>
      <c r="AR1564" s="23">
        <f t="shared" si="523"/>
        <v>2060</v>
      </c>
      <c r="AS1564">
        <f t="shared" si="528"/>
        <v>2055</v>
      </c>
      <c r="AT1564" s="21">
        <f t="shared" si="529"/>
        <v>2060</v>
      </c>
      <c r="AU1564" s="21"/>
      <c r="AV1564" s="21"/>
      <c r="AW1564" s="21"/>
    </row>
    <row r="1565" spans="1:49" x14ac:dyDescent="0.2">
      <c r="A1565">
        <v>843</v>
      </c>
      <c r="E1565">
        <f t="shared" si="524"/>
        <v>2</v>
      </c>
      <c r="F1565" s="5" t="s">
        <v>543</v>
      </c>
      <c r="G1565" s="5" t="s">
        <v>512</v>
      </c>
      <c r="H1565" s="5" t="s">
        <v>543</v>
      </c>
      <c r="I1565" s="7" t="s">
        <v>509</v>
      </c>
      <c r="J1565" t="str">
        <f t="shared" si="531"/>
        <v>1</v>
      </c>
      <c r="K1565" t="str">
        <f t="shared" si="532"/>
        <v>40</v>
      </c>
      <c r="L1565" t="str">
        <f t="shared" si="533"/>
        <v>1</v>
      </c>
      <c r="M1565" s="6" t="str">
        <f t="shared" si="534"/>
        <v>37</v>
      </c>
      <c r="N1565" t="s">
        <v>179</v>
      </c>
      <c r="O1565">
        <v>37</v>
      </c>
      <c r="P1565" t="s">
        <v>424</v>
      </c>
      <c r="Q1565" t="s">
        <v>15</v>
      </c>
      <c r="Y1565" t="str">
        <f t="shared" si="517"/>
        <v/>
      </c>
      <c r="Z1565" t="str">
        <f t="shared" si="518"/>
        <v/>
      </c>
      <c r="AC1565" t="str">
        <f t="shared" si="514"/>
        <v>Possession</v>
      </c>
      <c r="AD1565" t="str">
        <f t="shared" si="515"/>
        <v/>
      </c>
      <c r="AE1565" t="str">
        <f t="shared" si="516"/>
        <v/>
      </c>
      <c r="AF1565" t="str">
        <f t="shared" si="519"/>
        <v>Offensive</v>
      </c>
      <c r="AG1565">
        <f t="shared" si="525"/>
        <v>18981</v>
      </c>
      <c r="AH1565" t="str">
        <f t="shared" si="526"/>
        <v>Nelson</v>
      </c>
      <c r="AI1565" t="str">
        <f t="shared" si="527"/>
        <v>Velodrome</v>
      </c>
      <c r="AJ1565" s="18">
        <f t="shared" si="520"/>
        <v>3</v>
      </c>
      <c r="AP1565" s="18">
        <f t="shared" si="521"/>
        <v>0</v>
      </c>
      <c r="AQ1565">
        <f t="shared" si="522"/>
        <v>1080</v>
      </c>
      <c r="AR1565" s="23">
        <f t="shared" si="523"/>
        <v>2060</v>
      </c>
      <c r="AS1565">
        <f t="shared" si="528"/>
        <v>2055</v>
      </c>
      <c r="AT1565" s="21">
        <f t="shared" si="529"/>
        <v>2063</v>
      </c>
      <c r="AU1565" s="21"/>
      <c r="AV1565" s="21"/>
      <c r="AW1565" s="21"/>
    </row>
    <row r="1566" spans="1:49" x14ac:dyDescent="0.2">
      <c r="A1566">
        <v>844</v>
      </c>
      <c r="E1566">
        <f t="shared" si="524"/>
        <v>2</v>
      </c>
      <c r="F1566" s="5" t="s">
        <v>543</v>
      </c>
      <c r="G1566" s="5" t="s">
        <v>509</v>
      </c>
      <c r="J1566" t="str">
        <f t="shared" si="531"/>
        <v>1</v>
      </c>
      <c r="K1566" t="str">
        <f t="shared" si="532"/>
        <v>37</v>
      </c>
      <c r="L1566" t="str">
        <f t="shared" si="533"/>
        <v/>
      </c>
      <c r="M1566" s="6" t="str">
        <f t="shared" si="534"/>
        <v/>
      </c>
      <c r="N1566" t="s">
        <v>179</v>
      </c>
      <c r="O1566">
        <v>49</v>
      </c>
      <c r="P1566" t="s">
        <v>424</v>
      </c>
      <c r="Q1566" t="s">
        <v>247</v>
      </c>
      <c r="R1566" t="s">
        <v>446</v>
      </c>
      <c r="S1566" t="s">
        <v>559</v>
      </c>
      <c r="Y1566" t="str">
        <f t="shared" si="517"/>
        <v/>
      </c>
      <c r="Z1566" t="str">
        <f t="shared" si="518"/>
        <v/>
      </c>
      <c r="AC1566" t="str">
        <f t="shared" si="514"/>
        <v>Play</v>
      </c>
      <c r="AD1566" t="str">
        <f t="shared" si="515"/>
        <v>Play_Defensive</v>
      </c>
      <c r="AE1566" t="str">
        <f t="shared" si="516"/>
        <v>Play-PokeCheck</v>
      </c>
      <c r="AF1566" t="str">
        <f t="shared" si="519"/>
        <v>Defensive</v>
      </c>
      <c r="AG1566">
        <f t="shared" si="525"/>
        <v>18981</v>
      </c>
      <c r="AH1566" t="str">
        <f t="shared" si="526"/>
        <v>Nelson</v>
      </c>
      <c r="AI1566" t="str">
        <f t="shared" si="527"/>
        <v>Velodrome</v>
      </c>
      <c r="AJ1566" s="18">
        <f t="shared" si="520"/>
        <v>0</v>
      </c>
      <c r="AP1566" s="18">
        <f t="shared" si="521"/>
        <v>0</v>
      </c>
      <c r="AQ1566">
        <f t="shared" si="522"/>
        <v>1080</v>
      </c>
      <c r="AR1566" s="23">
        <f t="shared" si="523"/>
        <v>2063</v>
      </c>
      <c r="AS1566">
        <f t="shared" si="528"/>
        <v>2058</v>
      </c>
      <c r="AT1566" s="21">
        <f t="shared" si="529"/>
        <v>2063</v>
      </c>
      <c r="AU1566" s="21"/>
      <c r="AV1566" s="21"/>
      <c r="AW1566" s="21"/>
    </row>
    <row r="1567" spans="1:49" x14ac:dyDescent="0.2">
      <c r="A1567">
        <v>844</v>
      </c>
      <c r="E1567">
        <f t="shared" si="524"/>
        <v>2</v>
      </c>
      <c r="J1567" t="str">
        <f t="shared" si="531"/>
        <v>1</v>
      </c>
      <c r="K1567" t="str">
        <f t="shared" si="532"/>
        <v>37</v>
      </c>
      <c r="L1567" t="str">
        <f t="shared" si="533"/>
        <v/>
      </c>
      <c r="M1567" s="6" t="str">
        <f t="shared" si="534"/>
        <v/>
      </c>
      <c r="N1567" t="str">
        <f t="shared" si="530"/>
        <v>Away</v>
      </c>
      <c r="O1567">
        <v>37</v>
      </c>
      <c r="P1567" t="s">
        <v>425</v>
      </c>
      <c r="Y1567" t="str">
        <f t="shared" si="517"/>
        <v/>
      </c>
      <c r="Z1567" t="str">
        <f t="shared" si="518"/>
        <v/>
      </c>
      <c r="AC1567" t="str">
        <f t="shared" si="514"/>
        <v>Play</v>
      </c>
      <c r="AD1567" t="str">
        <f t="shared" si="515"/>
        <v>Play_Defensive</v>
      </c>
      <c r="AE1567" t="str">
        <f t="shared" si="516"/>
        <v>Play-PokeCheck</v>
      </c>
      <c r="AF1567" t="str">
        <f t="shared" si="519"/>
        <v>Offensive</v>
      </c>
      <c r="AG1567">
        <f t="shared" si="525"/>
        <v>18981</v>
      </c>
      <c r="AH1567" t="str">
        <f t="shared" si="526"/>
        <v>Nelson</v>
      </c>
      <c r="AI1567" t="str">
        <f t="shared" si="527"/>
        <v>Velodrome</v>
      </c>
      <c r="AJ1567" s="18">
        <f t="shared" si="520"/>
        <v>0</v>
      </c>
      <c r="AP1567" s="18">
        <f t="shared" si="521"/>
        <v>0</v>
      </c>
      <c r="AQ1567">
        <f t="shared" si="522"/>
        <v>1080</v>
      </c>
      <c r="AR1567" s="23">
        <f t="shared" si="523"/>
        <v>2063</v>
      </c>
      <c r="AS1567">
        <f t="shared" si="528"/>
        <v>2058</v>
      </c>
      <c r="AT1567" s="21">
        <f t="shared" si="529"/>
        <v>2063</v>
      </c>
      <c r="AU1567" s="21"/>
      <c r="AV1567" s="21"/>
      <c r="AW1567" s="21"/>
    </row>
    <row r="1568" spans="1:49" x14ac:dyDescent="0.2">
      <c r="A1568">
        <v>845</v>
      </c>
      <c r="E1568">
        <f t="shared" si="524"/>
        <v>2</v>
      </c>
      <c r="F1568" s="5" t="s">
        <v>543</v>
      </c>
      <c r="G1568" s="5" t="s">
        <v>507</v>
      </c>
      <c r="J1568" t="str">
        <f t="shared" si="531"/>
        <v>1</v>
      </c>
      <c r="K1568" t="str">
        <f t="shared" si="532"/>
        <v>35</v>
      </c>
      <c r="L1568" t="str">
        <f t="shared" si="533"/>
        <v/>
      </c>
      <c r="M1568" s="6" t="str">
        <f t="shared" si="534"/>
        <v/>
      </c>
      <c r="N1568" t="s">
        <v>178</v>
      </c>
      <c r="O1568">
        <v>23</v>
      </c>
      <c r="P1568" t="s">
        <v>424</v>
      </c>
      <c r="Q1568" t="s">
        <v>8</v>
      </c>
      <c r="R1568" t="s">
        <v>189</v>
      </c>
      <c r="S1568" t="s">
        <v>69</v>
      </c>
      <c r="Y1568" t="str">
        <f t="shared" si="517"/>
        <v/>
      </c>
      <c r="Z1568" t="str">
        <f t="shared" si="518"/>
        <v/>
      </c>
      <c r="AC1568" t="str">
        <f t="shared" si="514"/>
        <v>Pass</v>
      </c>
      <c r="AD1568" t="str">
        <f t="shared" si="515"/>
        <v>Pass_Completed</v>
      </c>
      <c r="AE1568" t="str">
        <f t="shared" si="516"/>
        <v>Pass-Backhand</v>
      </c>
      <c r="AF1568" t="str">
        <f t="shared" si="519"/>
        <v>Offensive</v>
      </c>
      <c r="AG1568">
        <f t="shared" si="525"/>
        <v>18981</v>
      </c>
      <c r="AH1568" t="str">
        <f t="shared" si="526"/>
        <v>Nelson</v>
      </c>
      <c r="AI1568" t="str">
        <f t="shared" si="527"/>
        <v>Velodrome</v>
      </c>
      <c r="AJ1568" s="18">
        <f t="shared" si="520"/>
        <v>0</v>
      </c>
      <c r="AP1568" s="18">
        <f t="shared" si="521"/>
        <v>0</v>
      </c>
      <c r="AQ1568">
        <f t="shared" si="522"/>
        <v>1080</v>
      </c>
      <c r="AR1568" s="23">
        <f t="shared" si="523"/>
        <v>2065</v>
      </c>
      <c r="AS1568">
        <f t="shared" si="528"/>
        <v>2060</v>
      </c>
      <c r="AT1568" s="21">
        <f t="shared" si="529"/>
        <v>2065</v>
      </c>
      <c r="AU1568" s="21"/>
      <c r="AV1568" s="21"/>
      <c r="AW1568" s="21"/>
    </row>
    <row r="1569" spans="1:49" x14ac:dyDescent="0.2">
      <c r="A1569">
        <v>845</v>
      </c>
      <c r="E1569">
        <f t="shared" si="524"/>
        <v>2</v>
      </c>
      <c r="J1569" t="str">
        <f t="shared" si="531"/>
        <v>1</v>
      </c>
      <c r="K1569" t="str">
        <f t="shared" si="532"/>
        <v>35</v>
      </c>
      <c r="L1569" t="str">
        <f t="shared" si="533"/>
        <v/>
      </c>
      <c r="M1569" s="6" t="str">
        <f t="shared" si="534"/>
        <v/>
      </c>
      <c r="N1569" t="s">
        <v>178</v>
      </c>
      <c r="O1569">
        <v>37</v>
      </c>
      <c r="P1569" t="s">
        <v>424</v>
      </c>
      <c r="Y1569" t="str">
        <f t="shared" si="517"/>
        <v/>
      </c>
      <c r="Z1569" t="str">
        <f t="shared" si="518"/>
        <v/>
      </c>
      <c r="AC1569" t="str">
        <f t="shared" si="514"/>
        <v>Pass</v>
      </c>
      <c r="AD1569" t="str">
        <f t="shared" si="515"/>
        <v>Pass_Completed</v>
      </c>
      <c r="AE1569" t="str">
        <f t="shared" si="516"/>
        <v>Pass-Backhand</v>
      </c>
      <c r="AF1569" t="str">
        <f t="shared" si="519"/>
        <v>Offensive</v>
      </c>
      <c r="AG1569">
        <f t="shared" si="525"/>
        <v>18981</v>
      </c>
      <c r="AH1569" t="str">
        <f t="shared" si="526"/>
        <v>Nelson</v>
      </c>
      <c r="AI1569" t="str">
        <f t="shared" si="527"/>
        <v>Velodrome</v>
      </c>
      <c r="AJ1569" s="18">
        <f t="shared" si="520"/>
        <v>0</v>
      </c>
      <c r="AP1569" s="18">
        <f t="shared" si="521"/>
        <v>0</v>
      </c>
      <c r="AQ1569">
        <f t="shared" si="522"/>
        <v>1080</v>
      </c>
      <c r="AR1569" s="23">
        <f t="shared" si="523"/>
        <v>2065</v>
      </c>
      <c r="AS1569">
        <f t="shared" si="528"/>
        <v>2060</v>
      </c>
      <c r="AT1569" s="21">
        <f t="shared" si="529"/>
        <v>2065</v>
      </c>
      <c r="AU1569" s="21"/>
      <c r="AV1569" s="21"/>
      <c r="AW1569" s="21"/>
    </row>
    <row r="1570" spans="1:49" x14ac:dyDescent="0.2">
      <c r="A1570">
        <v>846</v>
      </c>
      <c r="E1570">
        <f t="shared" si="524"/>
        <v>2</v>
      </c>
      <c r="F1570" s="5" t="s">
        <v>543</v>
      </c>
      <c r="G1570" s="5" t="s">
        <v>507</v>
      </c>
      <c r="H1570" s="5" t="s">
        <v>543</v>
      </c>
      <c r="I1570" s="7" t="s">
        <v>505</v>
      </c>
      <c r="J1570" t="str">
        <f t="shared" si="531"/>
        <v>1</v>
      </c>
      <c r="K1570" t="str">
        <f t="shared" si="532"/>
        <v>35</v>
      </c>
      <c r="L1570" t="str">
        <f t="shared" si="533"/>
        <v>1</v>
      </c>
      <c r="M1570" s="6" t="str">
        <f t="shared" si="534"/>
        <v>33</v>
      </c>
      <c r="N1570" t="s">
        <v>178</v>
      </c>
      <c r="O1570">
        <v>37</v>
      </c>
      <c r="P1570" t="s">
        <v>424</v>
      </c>
      <c r="Q1570" t="s">
        <v>277</v>
      </c>
      <c r="R1570" t="s">
        <v>201</v>
      </c>
      <c r="S1570" t="s">
        <v>90</v>
      </c>
      <c r="Y1570" t="str">
        <f t="shared" si="517"/>
        <v/>
      </c>
      <c r="Z1570" t="str">
        <f t="shared" si="518"/>
        <v/>
      </c>
      <c r="AC1570" t="str">
        <f t="shared" si="514"/>
        <v>Zone_Entry_Exit</v>
      </c>
      <c r="AD1570" t="str">
        <f t="shared" si="515"/>
        <v>Zone_Exit</v>
      </c>
      <c r="AE1570" t="str">
        <f t="shared" si="516"/>
        <v>ZoneExit-Rush</v>
      </c>
      <c r="AF1570" t="str">
        <f t="shared" si="519"/>
        <v>Offensive</v>
      </c>
      <c r="AG1570">
        <f t="shared" si="525"/>
        <v>18981</v>
      </c>
      <c r="AH1570" t="str">
        <f t="shared" si="526"/>
        <v>Nelson</v>
      </c>
      <c r="AI1570" t="str">
        <f t="shared" si="527"/>
        <v>Velodrome</v>
      </c>
      <c r="AJ1570" s="18">
        <f t="shared" si="520"/>
        <v>2</v>
      </c>
      <c r="AP1570" s="18">
        <f t="shared" si="521"/>
        <v>0</v>
      </c>
      <c r="AQ1570">
        <f t="shared" si="522"/>
        <v>1080</v>
      </c>
      <c r="AR1570" s="23">
        <f t="shared" si="523"/>
        <v>2065</v>
      </c>
      <c r="AS1570">
        <f t="shared" si="528"/>
        <v>2060</v>
      </c>
      <c r="AT1570" s="21">
        <f t="shared" si="529"/>
        <v>2067</v>
      </c>
      <c r="AU1570" s="21"/>
      <c r="AV1570" s="21"/>
      <c r="AW1570" s="21"/>
    </row>
    <row r="1571" spans="1:49" x14ac:dyDescent="0.2">
      <c r="A1571">
        <v>847</v>
      </c>
      <c r="E1571">
        <f t="shared" si="524"/>
        <v>2</v>
      </c>
      <c r="F1571" s="5" t="s">
        <v>543</v>
      </c>
      <c r="G1571" s="5" t="s">
        <v>505</v>
      </c>
      <c r="H1571" s="5" t="s">
        <v>543</v>
      </c>
      <c r="I1571" s="7" t="s">
        <v>503</v>
      </c>
      <c r="J1571" t="str">
        <f t="shared" si="531"/>
        <v>1</v>
      </c>
      <c r="K1571" t="str">
        <f t="shared" si="532"/>
        <v>33</v>
      </c>
      <c r="L1571" t="str">
        <f t="shared" si="533"/>
        <v>1</v>
      </c>
      <c r="M1571" s="6" t="str">
        <f t="shared" si="534"/>
        <v>31</v>
      </c>
      <c r="N1571" t="s">
        <v>178</v>
      </c>
      <c r="O1571">
        <v>37</v>
      </c>
      <c r="P1571" t="s">
        <v>424</v>
      </c>
      <c r="Q1571" t="s">
        <v>15</v>
      </c>
      <c r="Y1571" t="str">
        <f t="shared" si="517"/>
        <v/>
      </c>
      <c r="Z1571" t="str">
        <f t="shared" si="518"/>
        <v/>
      </c>
      <c r="AC1571" t="str">
        <f t="shared" si="514"/>
        <v>Possession</v>
      </c>
      <c r="AD1571" t="str">
        <f t="shared" si="515"/>
        <v/>
      </c>
      <c r="AE1571" t="str">
        <f t="shared" si="516"/>
        <v/>
      </c>
      <c r="AF1571" t="str">
        <f t="shared" si="519"/>
        <v>Offensive</v>
      </c>
      <c r="AG1571">
        <f t="shared" si="525"/>
        <v>18981</v>
      </c>
      <c r="AH1571" t="str">
        <f t="shared" si="526"/>
        <v>Nelson</v>
      </c>
      <c r="AI1571" t="str">
        <f t="shared" si="527"/>
        <v>Velodrome</v>
      </c>
      <c r="AJ1571" s="18">
        <f t="shared" si="520"/>
        <v>2</v>
      </c>
      <c r="AP1571" s="18">
        <f t="shared" si="521"/>
        <v>0</v>
      </c>
      <c r="AQ1571">
        <f t="shared" si="522"/>
        <v>1080</v>
      </c>
      <c r="AR1571" s="23">
        <f t="shared" si="523"/>
        <v>2067</v>
      </c>
      <c r="AS1571">
        <f t="shared" si="528"/>
        <v>2062</v>
      </c>
      <c r="AT1571" s="21">
        <f t="shared" si="529"/>
        <v>2069</v>
      </c>
      <c r="AU1571" s="21"/>
      <c r="AV1571" s="21"/>
      <c r="AW1571" s="21"/>
    </row>
    <row r="1572" spans="1:49" x14ac:dyDescent="0.2">
      <c r="A1572">
        <v>847</v>
      </c>
      <c r="E1572">
        <f t="shared" si="524"/>
        <v>2</v>
      </c>
      <c r="J1572" t="str">
        <f t="shared" si="531"/>
        <v>1</v>
      </c>
      <c r="K1572" t="str">
        <f t="shared" si="532"/>
        <v>33</v>
      </c>
      <c r="L1572" t="str">
        <f t="shared" si="533"/>
        <v>1</v>
      </c>
      <c r="M1572" s="6" t="str">
        <f t="shared" si="534"/>
        <v>31</v>
      </c>
      <c r="N1572" t="str">
        <f t="shared" si="530"/>
        <v>Home</v>
      </c>
      <c r="O1572">
        <v>14</v>
      </c>
      <c r="P1572" t="s">
        <v>425</v>
      </c>
      <c r="Y1572" t="str">
        <f t="shared" si="517"/>
        <v/>
      </c>
      <c r="Z1572" t="str">
        <f t="shared" si="518"/>
        <v/>
      </c>
      <c r="AC1572" t="str">
        <f t="shared" si="514"/>
        <v>Possession</v>
      </c>
      <c r="AD1572" t="str">
        <f t="shared" si="515"/>
        <v/>
      </c>
      <c r="AE1572" t="str">
        <f t="shared" si="516"/>
        <v/>
      </c>
      <c r="AF1572" t="str">
        <f t="shared" si="519"/>
        <v>Defensive</v>
      </c>
      <c r="AG1572">
        <f t="shared" si="525"/>
        <v>18981</v>
      </c>
      <c r="AH1572" t="str">
        <f t="shared" si="526"/>
        <v>Nelson</v>
      </c>
      <c r="AI1572" t="str">
        <f t="shared" si="527"/>
        <v>Velodrome</v>
      </c>
      <c r="AJ1572" s="18">
        <f t="shared" si="520"/>
        <v>2</v>
      </c>
      <c r="AP1572" s="18">
        <f t="shared" si="521"/>
        <v>0</v>
      </c>
      <c r="AQ1572">
        <f t="shared" si="522"/>
        <v>1080</v>
      </c>
      <c r="AR1572" s="23">
        <f t="shared" si="523"/>
        <v>2067</v>
      </c>
      <c r="AS1572">
        <f t="shared" si="528"/>
        <v>2062</v>
      </c>
      <c r="AT1572" s="21">
        <f t="shared" si="529"/>
        <v>2069</v>
      </c>
      <c r="AU1572" s="21"/>
      <c r="AV1572" s="21"/>
      <c r="AW1572" s="21"/>
    </row>
    <row r="1573" spans="1:49" x14ac:dyDescent="0.2">
      <c r="A1573">
        <v>848</v>
      </c>
      <c r="E1573">
        <f t="shared" si="524"/>
        <v>2</v>
      </c>
      <c r="F1573" s="5" t="s">
        <v>543</v>
      </c>
      <c r="G1573" s="5" t="s">
        <v>503</v>
      </c>
      <c r="H1573" s="5" t="s">
        <v>543</v>
      </c>
      <c r="I1573" s="7" t="s">
        <v>501</v>
      </c>
      <c r="J1573" t="str">
        <f t="shared" si="531"/>
        <v>1</v>
      </c>
      <c r="K1573" t="str">
        <f t="shared" si="532"/>
        <v>31</v>
      </c>
      <c r="L1573" t="str">
        <f t="shared" si="533"/>
        <v>1</v>
      </c>
      <c r="M1573" s="6" t="str">
        <f t="shared" si="534"/>
        <v>29</v>
      </c>
      <c r="N1573" t="s">
        <v>178</v>
      </c>
      <c r="O1573">
        <v>37</v>
      </c>
      <c r="P1573" t="s">
        <v>424</v>
      </c>
      <c r="Q1573" t="s">
        <v>277</v>
      </c>
      <c r="R1573" t="s">
        <v>191</v>
      </c>
      <c r="S1573" t="s">
        <v>87</v>
      </c>
      <c r="Y1573" t="str">
        <f t="shared" si="517"/>
        <v/>
      </c>
      <c r="Z1573" t="str">
        <f t="shared" si="518"/>
        <v/>
      </c>
      <c r="AC1573" t="str">
        <f t="shared" si="514"/>
        <v>Zone_Entry_Exit</v>
      </c>
      <c r="AD1573" t="str">
        <f t="shared" si="515"/>
        <v>Zone_Entry</v>
      </c>
      <c r="AE1573" t="str">
        <f t="shared" si="516"/>
        <v>ZoneEntry-Rush</v>
      </c>
      <c r="AF1573" t="str">
        <f t="shared" si="519"/>
        <v>Offensive</v>
      </c>
      <c r="AG1573">
        <f t="shared" si="525"/>
        <v>18981</v>
      </c>
      <c r="AH1573" t="str">
        <f t="shared" si="526"/>
        <v>Nelson</v>
      </c>
      <c r="AI1573" t="str">
        <f t="shared" si="527"/>
        <v>Velodrome</v>
      </c>
      <c r="AJ1573" s="18">
        <f t="shared" si="520"/>
        <v>2</v>
      </c>
      <c r="AP1573" s="18">
        <f t="shared" si="521"/>
        <v>0</v>
      </c>
      <c r="AQ1573">
        <f t="shared" si="522"/>
        <v>1080</v>
      </c>
      <c r="AR1573" s="23">
        <f t="shared" si="523"/>
        <v>2069</v>
      </c>
      <c r="AS1573">
        <f t="shared" si="528"/>
        <v>2064</v>
      </c>
      <c r="AT1573" s="21">
        <f t="shared" si="529"/>
        <v>2071</v>
      </c>
      <c r="AU1573" s="21"/>
      <c r="AV1573" s="21"/>
      <c r="AW1573" s="21"/>
    </row>
    <row r="1574" spans="1:49" x14ac:dyDescent="0.2">
      <c r="A1574">
        <v>848</v>
      </c>
      <c r="E1574">
        <f t="shared" si="524"/>
        <v>2</v>
      </c>
      <c r="J1574" t="str">
        <f t="shared" si="531"/>
        <v>1</v>
      </c>
      <c r="K1574" t="str">
        <f t="shared" si="532"/>
        <v>31</v>
      </c>
      <c r="L1574" t="str">
        <f t="shared" si="533"/>
        <v>1</v>
      </c>
      <c r="M1574" s="6" t="str">
        <f t="shared" si="534"/>
        <v>29</v>
      </c>
      <c r="N1574" t="str">
        <f t="shared" si="530"/>
        <v>Home</v>
      </c>
      <c r="O1574">
        <v>14</v>
      </c>
      <c r="P1574" t="s">
        <v>425</v>
      </c>
      <c r="Y1574" t="str">
        <f t="shared" si="517"/>
        <v/>
      </c>
      <c r="Z1574" t="str">
        <f t="shared" si="518"/>
        <v/>
      </c>
      <c r="AC1574" t="str">
        <f t="shared" si="514"/>
        <v>Zone_Entry_Exit</v>
      </c>
      <c r="AD1574" t="str">
        <f t="shared" si="515"/>
        <v>Zone_Entry</v>
      </c>
      <c r="AE1574" t="str">
        <f t="shared" si="516"/>
        <v>ZoneEntry-Rush</v>
      </c>
      <c r="AF1574" t="str">
        <f t="shared" si="519"/>
        <v>Defensive</v>
      </c>
      <c r="AG1574">
        <f t="shared" si="525"/>
        <v>18981</v>
      </c>
      <c r="AH1574" t="str">
        <f t="shared" si="526"/>
        <v>Nelson</v>
      </c>
      <c r="AI1574" t="str">
        <f t="shared" si="527"/>
        <v>Velodrome</v>
      </c>
      <c r="AJ1574" s="18">
        <f t="shared" si="520"/>
        <v>2</v>
      </c>
      <c r="AP1574" s="18">
        <f t="shared" si="521"/>
        <v>0</v>
      </c>
      <c r="AQ1574">
        <f t="shared" si="522"/>
        <v>1080</v>
      </c>
      <c r="AR1574" s="23">
        <f t="shared" si="523"/>
        <v>2069</v>
      </c>
      <c r="AS1574">
        <f t="shared" si="528"/>
        <v>2064</v>
      </c>
      <c r="AT1574" s="21">
        <f t="shared" si="529"/>
        <v>2071</v>
      </c>
      <c r="AU1574" s="21"/>
      <c r="AV1574" s="21"/>
      <c r="AW1574" s="21"/>
    </row>
    <row r="1575" spans="1:49" x14ac:dyDescent="0.2">
      <c r="A1575">
        <v>848</v>
      </c>
      <c r="E1575">
        <f t="shared" si="524"/>
        <v>2</v>
      </c>
      <c r="J1575" t="str">
        <f t="shared" si="531"/>
        <v>1</v>
      </c>
      <c r="K1575" t="str">
        <f t="shared" si="532"/>
        <v>31</v>
      </c>
      <c r="L1575" t="str">
        <f t="shared" si="533"/>
        <v>1</v>
      </c>
      <c r="M1575" s="6" t="str">
        <f t="shared" si="534"/>
        <v>29</v>
      </c>
      <c r="N1575" t="str">
        <f t="shared" si="530"/>
        <v>Home</v>
      </c>
      <c r="O1575">
        <v>52</v>
      </c>
      <c r="P1575" t="s">
        <v>425</v>
      </c>
      <c r="Y1575" t="str">
        <f t="shared" si="517"/>
        <v/>
      </c>
      <c r="Z1575" t="str">
        <f t="shared" si="518"/>
        <v/>
      </c>
      <c r="AC1575" t="str">
        <f t="shared" si="514"/>
        <v>Zone_Entry_Exit</v>
      </c>
      <c r="AD1575" t="str">
        <f t="shared" si="515"/>
        <v>Zone_Entry</v>
      </c>
      <c r="AE1575" t="str">
        <f t="shared" si="516"/>
        <v>ZoneEntry-Rush</v>
      </c>
      <c r="AF1575" t="str">
        <f t="shared" si="519"/>
        <v>Defensive</v>
      </c>
      <c r="AG1575">
        <f t="shared" si="525"/>
        <v>18981</v>
      </c>
      <c r="AH1575" t="str">
        <f t="shared" si="526"/>
        <v>Nelson</v>
      </c>
      <c r="AI1575" t="str">
        <f t="shared" si="527"/>
        <v>Velodrome</v>
      </c>
      <c r="AJ1575" s="18">
        <f t="shared" si="520"/>
        <v>2</v>
      </c>
      <c r="AP1575" s="18">
        <f t="shared" si="521"/>
        <v>0</v>
      </c>
      <c r="AQ1575">
        <f t="shared" si="522"/>
        <v>1080</v>
      </c>
      <c r="AR1575" s="23">
        <f t="shared" si="523"/>
        <v>2069</v>
      </c>
      <c r="AS1575">
        <f t="shared" si="528"/>
        <v>2064</v>
      </c>
      <c r="AT1575" s="21">
        <f t="shared" si="529"/>
        <v>2071</v>
      </c>
      <c r="AU1575" s="21"/>
      <c r="AV1575" s="21"/>
      <c r="AW1575" s="21"/>
    </row>
    <row r="1576" spans="1:49" x14ac:dyDescent="0.2">
      <c r="A1576">
        <v>848</v>
      </c>
      <c r="E1576">
        <f t="shared" si="524"/>
        <v>2</v>
      </c>
      <c r="J1576" t="str">
        <f t="shared" si="531"/>
        <v>1</v>
      </c>
      <c r="K1576" t="str">
        <f t="shared" si="532"/>
        <v>31</v>
      </c>
      <c r="L1576" t="str">
        <f t="shared" si="533"/>
        <v>1</v>
      </c>
      <c r="M1576" s="6" t="str">
        <f t="shared" si="534"/>
        <v>29</v>
      </c>
      <c r="N1576" t="str">
        <f t="shared" si="530"/>
        <v>Home</v>
      </c>
      <c r="O1576">
        <v>93</v>
      </c>
      <c r="P1576" t="s">
        <v>425</v>
      </c>
      <c r="Y1576" t="str">
        <f t="shared" si="517"/>
        <v/>
      </c>
      <c r="Z1576" t="str">
        <f t="shared" si="518"/>
        <v/>
      </c>
      <c r="AC1576" t="str">
        <f t="shared" si="514"/>
        <v>Zone_Entry_Exit</v>
      </c>
      <c r="AD1576" t="str">
        <f t="shared" si="515"/>
        <v>Zone_Entry</v>
      </c>
      <c r="AE1576" t="str">
        <f t="shared" si="516"/>
        <v>ZoneEntry-Rush</v>
      </c>
      <c r="AF1576" t="str">
        <f t="shared" si="519"/>
        <v>Defensive</v>
      </c>
      <c r="AG1576">
        <f t="shared" si="525"/>
        <v>18981</v>
      </c>
      <c r="AH1576" t="str">
        <f t="shared" si="526"/>
        <v>Nelson</v>
      </c>
      <c r="AI1576" t="str">
        <f t="shared" si="527"/>
        <v>Velodrome</v>
      </c>
      <c r="AJ1576" s="18">
        <f t="shared" si="520"/>
        <v>2</v>
      </c>
      <c r="AP1576" s="18">
        <f t="shared" si="521"/>
        <v>0</v>
      </c>
      <c r="AQ1576">
        <f t="shared" si="522"/>
        <v>1080</v>
      </c>
      <c r="AR1576" s="23">
        <f t="shared" si="523"/>
        <v>2069</v>
      </c>
      <c r="AS1576">
        <f t="shared" si="528"/>
        <v>2064</v>
      </c>
      <c r="AT1576" s="21">
        <f t="shared" si="529"/>
        <v>2071</v>
      </c>
      <c r="AU1576" s="21"/>
      <c r="AV1576" s="21"/>
      <c r="AW1576" s="21"/>
    </row>
    <row r="1577" spans="1:49" x14ac:dyDescent="0.2">
      <c r="A1577">
        <v>849</v>
      </c>
      <c r="E1577">
        <f t="shared" si="524"/>
        <v>2</v>
      </c>
      <c r="F1577" s="5" t="s">
        <v>543</v>
      </c>
      <c r="G1577" s="5" t="s">
        <v>501</v>
      </c>
      <c r="J1577" t="str">
        <f t="shared" si="531"/>
        <v>1</v>
      </c>
      <c r="K1577" t="str">
        <f t="shared" si="532"/>
        <v>29</v>
      </c>
      <c r="L1577" t="str">
        <f t="shared" si="533"/>
        <v/>
      </c>
      <c r="M1577" s="6" t="str">
        <f t="shared" si="534"/>
        <v/>
      </c>
      <c r="N1577" t="s">
        <v>178</v>
      </c>
      <c r="O1577">
        <v>37</v>
      </c>
      <c r="P1577" t="s">
        <v>424</v>
      </c>
      <c r="Q1577" t="s">
        <v>247</v>
      </c>
      <c r="R1577" t="s">
        <v>445</v>
      </c>
      <c r="S1577" t="s">
        <v>574</v>
      </c>
      <c r="Y1577" t="str">
        <f t="shared" si="517"/>
        <v/>
      </c>
      <c r="Z1577" t="str">
        <f t="shared" si="518"/>
        <v/>
      </c>
      <c r="AC1577" t="str">
        <f t="shared" si="514"/>
        <v>Play</v>
      </c>
      <c r="AD1577" t="str">
        <f t="shared" si="515"/>
        <v>Play_Offensive</v>
      </c>
      <c r="AE1577" t="str">
        <f t="shared" si="516"/>
        <v>Play-Deke</v>
      </c>
      <c r="AF1577" t="str">
        <f t="shared" si="519"/>
        <v>Offensive</v>
      </c>
      <c r="AG1577">
        <f t="shared" si="525"/>
        <v>18981</v>
      </c>
      <c r="AH1577" t="str">
        <f t="shared" si="526"/>
        <v>Nelson</v>
      </c>
      <c r="AI1577" t="str">
        <f t="shared" si="527"/>
        <v>Velodrome</v>
      </c>
      <c r="AJ1577" s="18">
        <f t="shared" si="520"/>
        <v>0</v>
      </c>
      <c r="AP1577" s="18">
        <f t="shared" si="521"/>
        <v>0</v>
      </c>
      <c r="AQ1577">
        <f t="shared" si="522"/>
        <v>1080</v>
      </c>
      <c r="AR1577" s="23">
        <f t="shared" si="523"/>
        <v>2071</v>
      </c>
      <c r="AS1577">
        <f t="shared" si="528"/>
        <v>2066</v>
      </c>
      <c r="AT1577" s="21">
        <f t="shared" si="529"/>
        <v>2071</v>
      </c>
      <c r="AU1577" s="21"/>
      <c r="AV1577" s="21"/>
      <c r="AW1577" s="21"/>
    </row>
    <row r="1578" spans="1:49" x14ac:dyDescent="0.2">
      <c r="A1578">
        <v>849</v>
      </c>
      <c r="E1578">
        <f t="shared" si="524"/>
        <v>2</v>
      </c>
      <c r="J1578" t="str">
        <f t="shared" si="531"/>
        <v>1</v>
      </c>
      <c r="K1578" t="str">
        <f t="shared" si="532"/>
        <v>29</v>
      </c>
      <c r="L1578" t="str">
        <f t="shared" si="533"/>
        <v/>
      </c>
      <c r="M1578" s="6" t="str">
        <f t="shared" si="534"/>
        <v/>
      </c>
      <c r="N1578" t="str">
        <f t="shared" si="530"/>
        <v>Home</v>
      </c>
      <c r="O1578">
        <v>52</v>
      </c>
      <c r="P1578" t="s">
        <v>425</v>
      </c>
      <c r="Y1578" t="str">
        <f t="shared" si="517"/>
        <v/>
      </c>
      <c r="Z1578" t="str">
        <f t="shared" si="518"/>
        <v/>
      </c>
      <c r="AC1578" t="str">
        <f t="shared" si="514"/>
        <v>Play</v>
      </c>
      <c r="AD1578" t="str">
        <f t="shared" si="515"/>
        <v>Play_Offensive</v>
      </c>
      <c r="AE1578" t="str">
        <f t="shared" si="516"/>
        <v>Play-Deke</v>
      </c>
      <c r="AF1578" t="str">
        <f t="shared" si="519"/>
        <v>Defensive</v>
      </c>
      <c r="AG1578">
        <f t="shared" si="525"/>
        <v>18981</v>
      </c>
      <c r="AH1578" t="str">
        <f t="shared" si="526"/>
        <v>Nelson</v>
      </c>
      <c r="AI1578" t="str">
        <f t="shared" si="527"/>
        <v>Velodrome</v>
      </c>
      <c r="AJ1578" s="18">
        <f t="shared" si="520"/>
        <v>0</v>
      </c>
      <c r="AP1578" s="18">
        <f t="shared" si="521"/>
        <v>0</v>
      </c>
      <c r="AQ1578">
        <f t="shared" si="522"/>
        <v>1080</v>
      </c>
      <c r="AR1578" s="23">
        <f t="shared" si="523"/>
        <v>2071</v>
      </c>
      <c r="AS1578">
        <f t="shared" si="528"/>
        <v>2066</v>
      </c>
      <c r="AT1578" s="21">
        <f t="shared" si="529"/>
        <v>2071</v>
      </c>
      <c r="AU1578" s="21"/>
      <c r="AV1578" s="21"/>
      <c r="AW1578" s="21"/>
    </row>
    <row r="1579" spans="1:49" x14ac:dyDescent="0.2">
      <c r="A1579">
        <v>850</v>
      </c>
      <c r="E1579">
        <f t="shared" si="524"/>
        <v>2</v>
      </c>
      <c r="F1579" s="5" t="s">
        <v>543</v>
      </c>
      <c r="G1579" s="5" t="s">
        <v>501</v>
      </c>
      <c r="H1579" s="5" t="s">
        <v>543</v>
      </c>
      <c r="I1579" s="7" t="s">
        <v>499</v>
      </c>
      <c r="J1579" t="str">
        <f t="shared" si="531"/>
        <v>1</v>
      </c>
      <c r="K1579" t="str">
        <f t="shared" si="532"/>
        <v>29</v>
      </c>
      <c r="L1579" t="str">
        <f t="shared" si="533"/>
        <v>1</v>
      </c>
      <c r="M1579" s="6" t="str">
        <f t="shared" si="534"/>
        <v>27</v>
      </c>
      <c r="N1579" t="s">
        <v>178</v>
      </c>
      <c r="O1579">
        <v>37</v>
      </c>
      <c r="P1579" t="s">
        <v>424</v>
      </c>
      <c r="Q1579" t="s">
        <v>15</v>
      </c>
      <c r="Y1579" t="str">
        <f t="shared" si="517"/>
        <v/>
      </c>
      <c r="Z1579" t="str">
        <f t="shared" si="518"/>
        <v/>
      </c>
      <c r="AC1579" t="str">
        <f t="shared" si="514"/>
        <v>Possession</v>
      </c>
      <c r="AD1579" t="str">
        <f t="shared" si="515"/>
        <v/>
      </c>
      <c r="AE1579" t="str">
        <f t="shared" si="516"/>
        <v/>
      </c>
      <c r="AF1579" t="str">
        <f t="shared" si="519"/>
        <v>Offensive</v>
      </c>
      <c r="AG1579">
        <f t="shared" si="525"/>
        <v>18981</v>
      </c>
      <c r="AH1579" t="str">
        <f t="shared" si="526"/>
        <v>Nelson</v>
      </c>
      <c r="AI1579" t="str">
        <f t="shared" si="527"/>
        <v>Velodrome</v>
      </c>
      <c r="AJ1579" s="18">
        <f t="shared" si="520"/>
        <v>2</v>
      </c>
      <c r="AP1579" s="18">
        <f t="shared" si="521"/>
        <v>0</v>
      </c>
      <c r="AQ1579">
        <f t="shared" si="522"/>
        <v>1080</v>
      </c>
      <c r="AR1579" s="23">
        <f t="shared" si="523"/>
        <v>2071</v>
      </c>
      <c r="AS1579">
        <f t="shared" si="528"/>
        <v>2066</v>
      </c>
      <c r="AT1579" s="21">
        <f t="shared" si="529"/>
        <v>2073</v>
      </c>
      <c r="AU1579" s="21"/>
      <c r="AV1579" s="21"/>
      <c r="AW1579" s="21"/>
    </row>
    <row r="1580" spans="1:49" x14ac:dyDescent="0.2">
      <c r="A1580">
        <v>851</v>
      </c>
      <c r="E1580">
        <f t="shared" si="524"/>
        <v>2</v>
      </c>
      <c r="F1580" s="5" t="s">
        <v>543</v>
      </c>
      <c r="G1580" s="5" t="s">
        <v>499</v>
      </c>
      <c r="J1580" t="str">
        <f t="shared" si="531"/>
        <v>1</v>
      </c>
      <c r="K1580" t="str">
        <f t="shared" si="532"/>
        <v>27</v>
      </c>
      <c r="L1580" t="str">
        <f t="shared" si="533"/>
        <v/>
      </c>
      <c r="M1580" s="6" t="str">
        <f t="shared" si="534"/>
        <v/>
      </c>
      <c r="N1580" t="s">
        <v>179</v>
      </c>
      <c r="O1580">
        <v>93</v>
      </c>
      <c r="P1580" t="s">
        <v>424</v>
      </c>
      <c r="Q1580" t="s">
        <v>10</v>
      </c>
      <c r="R1580" t="s">
        <v>200</v>
      </c>
      <c r="S1580" t="s">
        <v>82</v>
      </c>
      <c r="Y1580" t="str">
        <f t="shared" si="517"/>
        <v/>
      </c>
      <c r="Z1580" t="str">
        <f t="shared" si="518"/>
        <v/>
      </c>
      <c r="AC1580" t="str">
        <f t="shared" si="514"/>
        <v>Turnover</v>
      </c>
      <c r="AD1580" t="str">
        <f t="shared" si="515"/>
        <v>Turnover_Takeaway</v>
      </c>
      <c r="AE1580" t="str">
        <f t="shared" si="516"/>
        <v>Takeaway-PokeCheck</v>
      </c>
      <c r="AF1580" t="str">
        <f t="shared" si="519"/>
        <v>Defensive</v>
      </c>
      <c r="AG1580">
        <f t="shared" si="525"/>
        <v>18981</v>
      </c>
      <c r="AH1580" t="str">
        <f t="shared" si="526"/>
        <v>Nelson</v>
      </c>
      <c r="AI1580" t="str">
        <f t="shared" si="527"/>
        <v>Velodrome</v>
      </c>
      <c r="AJ1580" s="18">
        <f t="shared" si="520"/>
        <v>0</v>
      </c>
      <c r="AP1580" s="18">
        <f t="shared" si="521"/>
        <v>0</v>
      </c>
      <c r="AQ1580">
        <f t="shared" si="522"/>
        <v>1080</v>
      </c>
      <c r="AR1580" s="23">
        <f t="shared" si="523"/>
        <v>2073</v>
      </c>
      <c r="AS1580">
        <f t="shared" si="528"/>
        <v>2068</v>
      </c>
      <c r="AT1580" s="21">
        <f t="shared" si="529"/>
        <v>2073</v>
      </c>
      <c r="AU1580" s="21"/>
      <c r="AV1580" s="21"/>
      <c r="AW1580" s="21"/>
    </row>
    <row r="1581" spans="1:49" x14ac:dyDescent="0.2">
      <c r="A1581">
        <v>851</v>
      </c>
      <c r="E1581">
        <f t="shared" si="524"/>
        <v>2</v>
      </c>
      <c r="J1581" t="str">
        <f t="shared" si="531"/>
        <v>1</v>
      </c>
      <c r="K1581" t="str">
        <f t="shared" si="532"/>
        <v>27</v>
      </c>
      <c r="L1581" t="str">
        <f t="shared" si="533"/>
        <v/>
      </c>
      <c r="M1581" s="6" t="str">
        <f t="shared" si="534"/>
        <v/>
      </c>
      <c r="N1581" t="str">
        <f t="shared" si="530"/>
        <v>Away</v>
      </c>
      <c r="O1581">
        <v>37</v>
      </c>
      <c r="P1581" t="s">
        <v>425</v>
      </c>
      <c r="Y1581" t="str">
        <f t="shared" si="517"/>
        <v/>
      </c>
      <c r="Z1581" t="str">
        <f t="shared" si="518"/>
        <v/>
      </c>
      <c r="AC1581" t="str">
        <f t="shared" si="514"/>
        <v>Turnover</v>
      </c>
      <c r="AD1581" t="str">
        <f t="shared" si="515"/>
        <v>Turnover_Takeaway</v>
      </c>
      <c r="AE1581" t="str">
        <f t="shared" si="516"/>
        <v>Takeaway-PokeCheck</v>
      </c>
      <c r="AF1581" t="str">
        <f t="shared" si="519"/>
        <v>Offensive</v>
      </c>
      <c r="AG1581">
        <f t="shared" si="525"/>
        <v>18981</v>
      </c>
      <c r="AH1581" t="str">
        <f t="shared" si="526"/>
        <v>Nelson</v>
      </c>
      <c r="AI1581" t="str">
        <f t="shared" si="527"/>
        <v>Velodrome</v>
      </c>
      <c r="AJ1581" s="18">
        <f t="shared" si="520"/>
        <v>0</v>
      </c>
      <c r="AP1581" s="18">
        <f t="shared" si="521"/>
        <v>0</v>
      </c>
      <c r="AQ1581">
        <f t="shared" si="522"/>
        <v>1080</v>
      </c>
      <c r="AR1581" s="23">
        <f t="shared" si="523"/>
        <v>2073</v>
      </c>
      <c r="AS1581">
        <f t="shared" si="528"/>
        <v>2068</v>
      </c>
      <c r="AT1581" s="21">
        <f t="shared" si="529"/>
        <v>2073</v>
      </c>
      <c r="AU1581" s="21"/>
      <c r="AV1581" s="21"/>
      <c r="AW1581" s="21"/>
    </row>
    <row r="1582" spans="1:49" x14ac:dyDescent="0.2">
      <c r="A1582">
        <v>852</v>
      </c>
      <c r="E1582">
        <f t="shared" si="524"/>
        <v>2</v>
      </c>
      <c r="F1582" s="5" t="s">
        <v>543</v>
      </c>
      <c r="G1582" s="5" t="s">
        <v>494</v>
      </c>
      <c r="J1582" t="str">
        <f t="shared" si="531"/>
        <v>1</v>
      </c>
      <c r="K1582" t="str">
        <f t="shared" si="532"/>
        <v>22</v>
      </c>
      <c r="L1582" t="str">
        <f t="shared" si="533"/>
        <v/>
      </c>
      <c r="M1582" s="6" t="str">
        <f t="shared" si="534"/>
        <v/>
      </c>
      <c r="N1582" t="s">
        <v>179</v>
      </c>
      <c r="O1582">
        <v>52</v>
      </c>
      <c r="P1582" t="s">
        <v>424</v>
      </c>
      <c r="Q1582" t="s">
        <v>277</v>
      </c>
      <c r="R1582" t="s">
        <v>201</v>
      </c>
      <c r="S1582" t="s">
        <v>92</v>
      </c>
      <c r="Y1582" t="str">
        <f t="shared" si="517"/>
        <v/>
      </c>
      <c r="Z1582" t="str">
        <f t="shared" si="518"/>
        <v/>
      </c>
      <c r="AC1582" t="str">
        <f t="shared" si="514"/>
        <v>Zone_Entry_Exit</v>
      </c>
      <c r="AD1582" t="str">
        <f t="shared" si="515"/>
        <v>Zone_Exit</v>
      </c>
      <c r="AE1582" t="str">
        <f t="shared" si="516"/>
        <v>ZoneExit-Clear</v>
      </c>
      <c r="AF1582" t="str">
        <f t="shared" si="519"/>
        <v>Offensive</v>
      </c>
      <c r="AG1582">
        <f t="shared" si="525"/>
        <v>18981</v>
      </c>
      <c r="AH1582" t="str">
        <f t="shared" si="526"/>
        <v>Nelson</v>
      </c>
      <c r="AI1582" t="str">
        <f t="shared" si="527"/>
        <v>Velodrome</v>
      </c>
      <c r="AJ1582" s="18">
        <f t="shared" si="520"/>
        <v>0</v>
      </c>
      <c r="AP1582" s="18">
        <f t="shared" si="521"/>
        <v>0</v>
      </c>
      <c r="AQ1582">
        <f t="shared" si="522"/>
        <v>1080</v>
      </c>
      <c r="AR1582" s="23">
        <f t="shared" si="523"/>
        <v>2078</v>
      </c>
      <c r="AS1582">
        <f t="shared" si="528"/>
        <v>2073</v>
      </c>
      <c r="AT1582" s="21">
        <f t="shared" si="529"/>
        <v>2078</v>
      </c>
      <c r="AU1582" s="21"/>
      <c r="AV1582" s="21"/>
      <c r="AW1582" s="21"/>
    </row>
    <row r="1583" spans="1:49" x14ac:dyDescent="0.2">
      <c r="A1583">
        <v>853</v>
      </c>
      <c r="E1583">
        <f t="shared" si="524"/>
        <v>2</v>
      </c>
      <c r="F1583" s="5" t="s">
        <v>543</v>
      </c>
      <c r="G1583" s="5" t="s">
        <v>491</v>
      </c>
      <c r="J1583" t="str">
        <f t="shared" si="531"/>
        <v>1</v>
      </c>
      <c r="K1583" t="str">
        <f t="shared" si="532"/>
        <v>19</v>
      </c>
      <c r="L1583" t="str">
        <f t="shared" si="533"/>
        <v/>
      </c>
      <c r="M1583" s="6" t="str">
        <f t="shared" si="534"/>
        <v/>
      </c>
      <c r="N1583" t="s">
        <v>178</v>
      </c>
      <c r="O1583">
        <v>7</v>
      </c>
      <c r="P1583" t="s">
        <v>424</v>
      </c>
      <c r="Q1583" t="s">
        <v>8</v>
      </c>
      <c r="R1583" t="s">
        <v>189</v>
      </c>
      <c r="S1583" t="s">
        <v>70</v>
      </c>
      <c r="Y1583" t="str">
        <f t="shared" si="517"/>
        <v/>
      </c>
      <c r="Z1583" t="str">
        <f t="shared" si="518"/>
        <v/>
      </c>
      <c r="AC1583" t="str">
        <f t="shared" ref="AC1583:AC1646" si="535">IF(Q1583&lt;&gt;"",Q1583,IF($A1583=$A1582,AC1582,""))</f>
        <v>Pass</v>
      </c>
      <c r="AD1583" t="str">
        <f t="shared" ref="AD1583:AD1646" si="536">IF(R1583&lt;&gt;"",R1583,IF($A1583=$A1582,AD1582,""))</f>
        <v>Pass_Completed</v>
      </c>
      <c r="AE1583" t="str">
        <f t="shared" ref="AE1583:AE1646" si="537">IF(S1583&lt;&gt;"",S1583,IF($A1583=$A1582,AE1582,""))</f>
        <v>Pass-Forehand</v>
      </c>
      <c r="AF1583" t="str">
        <f t="shared" si="519"/>
        <v>Offensive</v>
      </c>
      <c r="AG1583">
        <f t="shared" si="525"/>
        <v>18981</v>
      </c>
      <c r="AH1583" t="str">
        <f t="shared" si="526"/>
        <v>Nelson</v>
      </c>
      <c r="AI1583" t="str">
        <f t="shared" si="527"/>
        <v>Velodrome</v>
      </c>
      <c r="AJ1583" s="18">
        <f t="shared" si="520"/>
        <v>0</v>
      </c>
      <c r="AP1583" s="18">
        <f t="shared" si="521"/>
        <v>0</v>
      </c>
      <c r="AQ1583">
        <f t="shared" si="522"/>
        <v>1080</v>
      </c>
      <c r="AR1583" s="23">
        <f t="shared" si="523"/>
        <v>2081</v>
      </c>
      <c r="AS1583">
        <f t="shared" si="528"/>
        <v>2076</v>
      </c>
      <c r="AT1583" s="21">
        <f t="shared" si="529"/>
        <v>2081</v>
      </c>
      <c r="AU1583" s="21"/>
      <c r="AV1583" s="21"/>
      <c r="AW1583" s="21"/>
    </row>
    <row r="1584" spans="1:49" x14ac:dyDescent="0.2">
      <c r="A1584">
        <v>853</v>
      </c>
      <c r="E1584">
        <f t="shared" si="524"/>
        <v>2</v>
      </c>
      <c r="J1584" t="str">
        <f t="shared" si="531"/>
        <v>1</v>
      </c>
      <c r="K1584" t="str">
        <f t="shared" si="532"/>
        <v>19</v>
      </c>
      <c r="L1584" t="str">
        <f t="shared" si="533"/>
        <v/>
      </c>
      <c r="M1584" s="6" t="str">
        <f t="shared" si="534"/>
        <v/>
      </c>
      <c r="N1584" t="str">
        <f t="shared" si="530"/>
        <v>Home</v>
      </c>
      <c r="O1584">
        <v>23</v>
      </c>
      <c r="P1584" t="s">
        <v>424</v>
      </c>
      <c r="Y1584" t="str">
        <f t="shared" si="517"/>
        <v/>
      </c>
      <c r="Z1584" t="str">
        <f t="shared" si="518"/>
        <v/>
      </c>
      <c r="AC1584" t="str">
        <f t="shared" si="535"/>
        <v>Pass</v>
      </c>
      <c r="AD1584" t="str">
        <f t="shared" si="536"/>
        <v>Pass_Completed</v>
      </c>
      <c r="AE1584" t="str">
        <f t="shared" si="537"/>
        <v>Pass-Forehand</v>
      </c>
      <c r="AF1584" t="str">
        <f t="shared" si="519"/>
        <v>Offensive</v>
      </c>
      <c r="AG1584">
        <f t="shared" si="525"/>
        <v>18981</v>
      </c>
      <c r="AH1584" t="str">
        <f t="shared" si="526"/>
        <v>Nelson</v>
      </c>
      <c r="AI1584" t="str">
        <f t="shared" si="527"/>
        <v>Velodrome</v>
      </c>
      <c r="AJ1584" s="18">
        <f t="shared" si="520"/>
        <v>0</v>
      </c>
      <c r="AP1584" s="18">
        <f t="shared" si="521"/>
        <v>0</v>
      </c>
      <c r="AQ1584">
        <f t="shared" si="522"/>
        <v>1080</v>
      </c>
      <c r="AR1584" s="23">
        <f t="shared" si="523"/>
        <v>2081</v>
      </c>
      <c r="AS1584">
        <f t="shared" si="528"/>
        <v>2076</v>
      </c>
      <c r="AT1584" s="21">
        <f t="shared" si="529"/>
        <v>2081</v>
      </c>
      <c r="AU1584" s="21"/>
      <c r="AV1584" s="21"/>
      <c r="AW1584" s="21"/>
    </row>
    <row r="1585" spans="1:49" x14ac:dyDescent="0.2">
      <c r="A1585">
        <v>854</v>
      </c>
      <c r="E1585">
        <f t="shared" si="524"/>
        <v>2</v>
      </c>
      <c r="F1585" s="5" t="s">
        <v>543</v>
      </c>
      <c r="G1585" s="5" t="s">
        <v>472</v>
      </c>
      <c r="J1585" t="str">
        <f t="shared" si="531"/>
        <v>1</v>
      </c>
      <c r="K1585" t="str">
        <f t="shared" si="532"/>
        <v>17</v>
      </c>
      <c r="L1585" t="str">
        <f t="shared" si="533"/>
        <v/>
      </c>
      <c r="M1585" s="6" t="str">
        <f t="shared" si="534"/>
        <v/>
      </c>
      <c r="N1585" t="s">
        <v>178</v>
      </c>
      <c r="O1585">
        <v>23</v>
      </c>
      <c r="P1585" t="s">
        <v>424</v>
      </c>
      <c r="Q1585" t="s">
        <v>8</v>
      </c>
      <c r="R1585" t="s">
        <v>216</v>
      </c>
      <c r="S1585" t="s">
        <v>70</v>
      </c>
      <c r="Y1585" t="str">
        <f t="shared" si="517"/>
        <v/>
      </c>
      <c r="Z1585" t="str">
        <f t="shared" si="518"/>
        <v/>
      </c>
      <c r="AC1585" t="str">
        <f t="shared" si="535"/>
        <v>Pass</v>
      </c>
      <c r="AD1585" t="str">
        <f t="shared" si="536"/>
        <v>Pass_Intercepted</v>
      </c>
      <c r="AE1585" t="str">
        <f t="shared" si="537"/>
        <v>Pass-Forehand</v>
      </c>
      <c r="AF1585" t="str">
        <f t="shared" si="519"/>
        <v>Offensive</v>
      </c>
      <c r="AG1585">
        <f t="shared" si="525"/>
        <v>18981</v>
      </c>
      <c r="AH1585" t="str">
        <f t="shared" si="526"/>
        <v>Nelson</v>
      </c>
      <c r="AI1585" t="str">
        <f t="shared" si="527"/>
        <v>Velodrome</v>
      </c>
      <c r="AJ1585" s="18">
        <f t="shared" si="520"/>
        <v>0</v>
      </c>
      <c r="AP1585" s="18">
        <f t="shared" si="521"/>
        <v>0</v>
      </c>
      <c r="AQ1585">
        <f t="shared" si="522"/>
        <v>1080</v>
      </c>
      <c r="AR1585" s="23">
        <f t="shared" si="523"/>
        <v>2083</v>
      </c>
      <c r="AS1585">
        <f t="shared" si="528"/>
        <v>2078</v>
      </c>
      <c r="AT1585" s="21">
        <f t="shared" si="529"/>
        <v>2083</v>
      </c>
      <c r="AU1585" s="21"/>
      <c r="AV1585" s="21"/>
      <c r="AW1585" s="21"/>
    </row>
    <row r="1586" spans="1:49" x14ac:dyDescent="0.2">
      <c r="A1586">
        <v>854</v>
      </c>
      <c r="E1586">
        <f t="shared" si="524"/>
        <v>2</v>
      </c>
      <c r="J1586" t="str">
        <f t="shared" si="531"/>
        <v>1</v>
      </c>
      <c r="K1586" t="str">
        <f t="shared" si="532"/>
        <v>17</v>
      </c>
      <c r="L1586" t="str">
        <f t="shared" si="533"/>
        <v/>
      </c>
      <c r="M1586" s="6" t="str">
        <f t="shared" si="534"/>
        <v/>
      </c>
      <c r="N1586" t="str">
        <f t="shared" si="530"/>
        <v>Home</v>
      </c>
      <c r="O1586">
        <v>37</v>
      </c>
      <c r="P1586" t="s">
        <v>424</v>
      </c>
      <c r="Y1586" t="str">
        <f t="shared" si="517"/>
        <v/>
      </c>
      <c r="Z1586" t="str">
        <f t="shared" si="518"/>
        <v/>
      </c>
      <c r="AC1586" t="str">
        <f t="shared" si="535"/>
        <v>Pass</v>
      </c>
      <c r="AD1586" t="str">
        <f t="shared" si="536"/>
        <v>Pass_Intercepted</v>
      </c>
      <c r="AE1586" t="str">
        <f t="shared" si="537"/>
        <v>Pass-Forehand</v>
      </c>
      <c r="AF1586" t="str">
        <f t="shared" si="519"/>
        <v>Offensive</v>
      </c>
      <c r="AG1586">
        <f t="shared" si="525"/>
        <v>18981</v>
      </c>
      <c r="AH1586" t="str">
        <f t="shared" si="526"/>
        <v>Nelson</v>
      </c>
      <c r="AI1586" t="str">
        <f t="shared" si="527"/>
        <v>Velodrome</v>
      </c>
      <c r="AJ1586" s="18">
        <f t="shared" si="520"/>
        <v>0</v>
      </c>
      <c r="AP1586" s="18">
        <f t="shared" si="521"/>
        <v>0</v>
      </c>
      <c r="AQ1586">
        <f t="shared" si="522"/>
        <v>1080</v>
      </c>
      <c r="AR1586" s="23">
        <f t="shared" si="523"/>
        <v>2083</v>
      </c>
      <c r="AS1586">
        <f t="shared" si="528"/>
        <v>2078</v>
      </c>
      <c r="AT1586" s="21">
        <f t="shared" si="529"/>
        <v>2083</v>
      </c>
      <c r="AU1586" s="21"/>
      <c r="AV1586" s="21"/>
      <c r="AW1586" s="21"/>
    </row>
    <row r="1587" spans="1:49" x14ac:dyDescent="0.2">
      <c r="A1587">
        <v>854</v>
      </c>
      <c r="E1587">
        <f t="shared" si="524"/>
        <v>2</v>
      </c>
      <c r="J1587" t="str">
        <f t="shared" si="531"/>
        <v>1</v>
      </c>
      <c r="K1587" t="str">
        <f t="shared" si="532"/>
        <v>17</v>
      </c>
      <c r="L1587" t="str">
        <f t="shared" si="533"/>
        <v/>
      </c>
      <c r="M1587" s="6" t="str">
        <f t="shared" si="534"/>
        <v/>
      </c>
      <c r="N1587" t="str">
        <f t="shared" si="530"/>
        <v>Home</v>
      </c>
      <c r="O1587">
        <v>14</v>
      </c>
      <c r="P1587" t="s">
        <v>425</v>
      </c>
      <c r="Y1587" t="str">
        <f t="shared" si="517"/>
        <v/>
      </c>
      <c r="Z1587" t="str">
        <f t="shared" si="518"/>
        <v/>
      </c>
      <c r="AC1587" t="str">
        <f t="shared" si="535"/>
        <v>Pass</v>
      </c>
      <c r="AD1587" t="str">
        <f t="shared" si="536"/>
        <v>Pass_Intercepted</v>
      </c>
      <c r="AE1587" t="str">
        <f t="shared" si="537"/>
        <v>Pass-Forehand</v>
      </c>
      <c r="AF1587" t="str">
        <f t="shared" si="519"/>
        <v>Defensive</v>
      </c>
      <c r="AG1587">
        <f t="shared" si="525"/>
        <v>18981</v>
      </c>
      <c r="AH1587" t="str">
        <f t="shared" si="526"/>
        <v>Nelson</v>
      </c>
      <c r="AI1587" t="str">
        <f t="shared" si="527"/>
        <v>Velodrome</v>
      </c>
      <c r="AJ1587" s="18">
        <f t="shared" si="520"/>
        <v>0</v>
      </c>
      <c r="AP1587" s="18">
        <f t="shared" si="521"/>
        <v>0</v>
      </c>
      <c r="AQ1587">
        <f t="shared" si="522"/>
        <v>1080</v>
      </c>
      <c r="AR1587" s="23">
        <f t="shared" si="523"/>
        <v>2083</v>
      </c>
      <c r="AS1587">
        <f t="shared" si="528"/>
        <v>2078</v>
      </c>
      <c r="AT1587" s="21">
        <f t="shared" si="529"/>
        <v>2083</v>
      </c>
      <c r="AU1587" s="21"/>
      <c r="AV1587" s="21"/>
      <c r="AW1587" s="21"/>
    </row>
    <row r="1588" spans="1:49" x14ac:dyDescent="0.2">
      <c r="A1588">
        <v>855</v>
      </c>
      <c r="E1588">
        <f t="shared" si="524"/>
        <v>2</v>
      </c>
      <c r="F1588" s="5" t="s">
        <v>543</v>
      </c>
      <c r="G1588" s="5" t="s">
        <v>472</v>
      </c>
      <c r="J1588" t="str">
        <f t="shared" si="531"/>
        <v>1</v>
      </c>
      <c r="K1588" t="str">
        <f t="shared" si="532"/>
        <v>17</v>
      </c>
      <c r="L1588" t="str">
        <f t="shared" si="533"/>
        <v/>
      </c>
      <c r="M1588" s="6" t="str">
        <f t="shared" si="534"/>
        <v/>
      </c>
      <c r="N1588" t="s">
        <v>178</v>
      </c>
      <c r="O1588">
        <v>23</v>
      </c>
      <c r="P1588" t="s">
        <v>424</v>
      </c>
      <c r="Q1588" t="s">
        <v>10</v>
      </c>
      <c r="R1588" t="s">
        <v>190</v>
      </c>
      <c r="S1588" t="s">
        <v>75</v>
      </c>
      <c r="Y1588" t="str">
        <f t="shared" si="517"/>
        <v/>
      </c>
      <c r="Z1588" t="str">
        <f t="shared" si="518"/>
        <v/>
      </c>
      <c r="AC1588" t="str">
        <f t="shared" si="535"/>
        <v>Turnover</v>
      </c>
      <c r="AD1588" t="str">
        <f t="shared" si="536"/>
        <v>Turnover_Giveaway</v>
      </c>
      <c r="AE1588" t="str">
        <f t="shared" si="537"/>
        <v>Giveaway-PassIntercepted</v>
      </c>
      <c r="AF1588" t="str">
        <f t="shared" si="519"/>
        <v>Offensive</v>
      </c>
      <c r="AG1588">
        <f t="shared" si="525"/>
        <v>18981</v>
      </c>
      <c r="AH1588" t="str">
        <f t="shared" si="526"/>
        <v>Nelson</v>
      </c>
      <c r="AI1588" t="str">
        <f t="shared" si="527"/>
        <v>Velodrome</v>
      </c>
      <c r="AJ1588" s="18">
        <f t="shared" si="520"/>
        <v>0</v>
      </c>
      <c r="AP1588" s="18">
        <f t="shared" si="521"/>
        <v>0</v>
      </c>
      <c r="AQ1588">
        <f t="shared" si="522"/>
        <v>1080</v>
      </c>
      <c r="AR1588" s="23">
        <f t="shared" si="523"/>
        <v>2083</v>
      </c>
      <c r="AS1588">
        <f t="shared" si="528"/>
        <v>2078</v>
      </c>
      <c r="AT1588" s="21">
        <f t="shared" si="529"/>
        <v>2083</v>
      </c>
      <c r="AU1588" s="21"/>
      <c r="AV1588" s="21"/>
      <c r="AW1588" s="21"/>
    </row>
    <row r="1589" spans="1:49" x14ac:dyDescent="0.2">
      <c r="A1589">
        <v>856</v>
      </c>
      <c r="E1589">
        <f t="shared" si="524"/>
        <v>2</v>
      </c>
      <c r="F1589" s="5" t="s">
        <v>543</v>
      </c>
      <c r="G1589" s="5" t="s">
        <v>478</v>
      </c>
      <c r="H1589" s="5" t="s">
        <v>543</v>
      </c>
      <c r="I1589" s="7" t="s">
        <v>488</v>
      </c>
      <c r="J1589" t="str">
        <f t="shared" si="531"/>
        <v>1</v>
      </c>
      <c r="K1589" t="str">
        <f t="shared" si="532"/>
        <v>15</v>
      </c>
      <c r="L1589" t="str">
        <f t="shared" si="533"/>
        <v>1</v>
      </c>
      <c r="M1589" s="6" t="str">
        <f t="shared" si="534"/>
        <v>13</v>
      </c>
      <c r="N1589" t="s">
        <v>179</v>
      </c>
      <c r="O1589">
        <v>14</v>
      </c>
      <c r="P1589" t="s">
        <v>424</v>
      </c>
      <c r="Q1589" t="s">
        <v>15</v>
      </c>
      <c r="Y1589" t="str">
        <f t="shared" si="517"/>
        <v/>
      </c>
      <c r="Z1589" t="str">
        <f t="shared" si="518"/>
        <v/>
      </c>
      <c r="AC1589" t="str">
        <f t="shared" si="535"/>
        <v>Possession</v>
      </c>
      <c r="AD1589" t="str">
        <f t="shared" si="536"/>
        <v/>
      </c>
      <c r="AE1589" t="str">
        <f t="shared" si="537"/>
        <v/>
      </c>
      <c r="AF1589" t="str">
        <f t="shared" si="519"/>
        <v>Offensive</v>
      </c>
      <c r="AG1589">
        <f t="shared" si="525"/>
        <v>18981</v>
      </c>
      <c r="AH1589" t="str">
        <f t="shared" si="526"/>
        <v>Nelson</v>
      </c>
      <c r="AI1589" t="str">
        <f t="shared" si="527"/>
        <v>Velodrome</v>
      </c>
      <c r="AJ1589" s="18">
        <f t="shared" si="520"/>
        <v>2</v>
      </c>
      <c r="AP1589" s="18">
        <f t="shared" si="521"/>
        <v>0</v>
      </c>
      <c r="AQ1589">
        <f t="shared" si="522"/>
        <v>1080</v>
      </c>
      <c r="AR1589" s="23">
        <f t="shared" si="523"/>
        <v>2085</v>
      </c>
      <c r="AS1589">
        <f t="shared" si="528"/>
        <v>2080</v>
      </c>
      <c r="AT1589" s="21">
        <f t="shared" si="529"/>
        <v>2087</v>
      </c>
      <c r="AU1589" s="21"/>
      <c r="AV1589" s="21"/>
      <c r="AW1589" s="21"/>
    </row>
    <row r="1590" spans="1:49" x14ac:dyDescent="0.2">
      <c r="A1590">
        <v>856</v>
      </c>
      <c r="E1590">
        <f t="shared" si="524"/>
        <v>2</v>
      </c>
      <c r="J1590" t="str">
        <f t="shared" si="531"/>
        <v>1</v>
      </c>
      <c r="K1590" t="str">
        <f t="shared" si="532"/>
        <v>15</v>
      </c>
      <c r="L1590" t="str">
        <f t="shared" si="533"/>
        <v>1</v>
      </c>
      <c r="M1590" s="6" t="str">
        <f t="shared" si="534"/>
        <v>13</v>
      </c>
      <c r="N1590" t="str">
        <f t="shared" si="530"/>
        <v>Away</v>
      </c>
      <c r="O1590">
        <v>23</v>
      </c>
      <c r="P1590" t="s">
        <v>425</v>
      </c>
      <c r="Y1590" t="str">
        <f t="shared" si="517"/>
        <v/>
      </c>
      <c r="Z1590" t="str">
        <f t="shared" si="518"/>
        <v/>
      </c>
      <c r="AC1590" t="str">
        <f t="shared" si="535"/>
        <v>Possession</v>
      </c>
      <c r="AD1590" t="str">
        <f t="shared" si="536"/>
        <v/>
      </c>
      <c r="AE1590" t="str">
        <f t="shared" si="537"/>
        <v/>
      </c>
      <c r="AF1590" t="str">
        <f t="shared" si="519"/>
        <v>Defensive</v>
      </c>
      <c r="AG1590">
        <f t="shared" si="525"/>
        <v>18981</v>
      </c>
      <c r="AH1590" t="str">
        <f t="shared" si="526"/>
        <v>Nelson</v>
      </c>
      <c r="AI1590" t="str">
        <f t="shared" si="527"/>
        <v>Velodrome</v>
      </c>
      <c r="AJ1590" s="18">
        <f t="shared" si="520"/>
        <v>2</v>
      </c>
      <c r="AP1590" s="18">
        <f t="shared" si="521"/>
        <v>0</v>
      </c>
      <c r="AQ1590">
        <f t="shared" si="522"/>
        <v>1080</v>
      </c>
      <c r="AR1590" s="23">
        <f t="shared" si="523"/>
        <v>2085</v>
      </c>
      <c r="AS1590">
        <f t="shared" si="528"/>
        <v>2080</v>
      </c>
      <c r="AT1590" s="21">
        <f t="shared" si="529"/>
        <v>2087</v>
      </c>
      <c r="AU1590" s="21"/>
      <c r="AV1590" s="21"/>
      <c r="AW1590" s="21"/>
    </row>
    <row r="1591" spans="1:49" x14ac:dyDescent="0.2">
      <c r="A1591">
        <v>857</v>
      </c>
      <c r="E1591">
        <f t="shared" si="524"/>
        <v>2</v>
      </c>
      <c r="F1591" s="5" t="s">
        <v>543</v>
      </c>
      <c r="G1591" s="5" t="s">
        <v>476</v>
      </c>
      <c r="J1591" t="str">
        <f t="shared" si="531"/>
        <v>1</v>
      </c>
      <c r="K1591" t="str">
        <f t="shared" si="532"/>
        <v>06</v>
      </c>
      <c r="L1591" t="str">
        <f t="shared" si="533"/>
        <v/>
      </c>
      <c r="M1591" s="6" t="str">
        <f t="shared" si="534"/>
        <v/>
      </c>
      <c r="N1591" t="s">
        <v>179</v>
      </c>
      <c r="O1591">
        <v>14</v>
      </c>
      <c r="P1591" t="s">
        <v>424</v>
      </c>
      <c r="Q1591" t="s">
        <v>277</v>
      </c>
      <c r="R1591" t="s">
        <v>191</v>
      </c>
      <c r="S1591" t="s">
        <v>182</v>
      </c>
      <c r="Y1591" t="str">
        <f t="shared" si="517"/>
        <v/>
      </c>
      <c r="Z1591" t="str">
        <f t="shared" si="518"/>
        <v/>
      </c>
      <c r="AC1591" t="str">
        <f t="shared" si="535"/>
        <v>Zone_Entry_Exit</v>
      </c>
      <c r="AD1591" t="str">
        <f t="shared" si="536"/>
        <v>Zone_Entry</v>
      </c>
      <c r="AE1591" t="str">
        <f t="shared" si="537"/>
        <v>ZoneEntry-Other</v>
      </c>
      <c r="AF1591" t="str">
        <f t="shared" si="519"/>
        <v>Offensive</v>
      </c>
      <c r="AG1591">
        <f t="shared" si="525"/>
        <v>18981</v>
      </c>
      <c r="AH1591" t="str">
        <f t="shared" si="526"/>
        <v>Nelson</v>
      </c>
      <c r="AI1591" t="str">
        <f t="shared" si="527"/>
        <v>Velodrome</v>
      </c>
      <c r="AJ1591" s="18">
        <f t="shared" si="520"/>
        <v>0</v>
      </c>
      <c r="AP1591" s="18">
        <f t="shared" si="521"/>
        <v>0</v>
      </c>
      <c r="AQ1591">
        <f t="shared" si="522"/>
        <v>1080</v>
      </c>
      <c r="AR1591" s="23">
        <f t="shared" si="523"/>
        <v>2094</v>
      </c>
      <c r="AS1591">
        <f t="shared" si="528"/>
        <v>2089</v>
      </c>
      <c r="AT1591" s="21">
        <f t="shared" si="529"/>
        <v>2094</v>
      </c>
      <c r="AU1591" s="21"/>
      <c r="AV1591" s="21"/>
      <c r="AW1591" s="21"/>
    </row>
    <row r="1592" spans="1:49" x14ac:dyDescent="0.2">
      <c r="A1592">
        <v>857</v>
      </c>
      <c r="E1592">
        <f t="shared" si="524"/>
        <v>2</v>
      </c>
      <c r="J1592" t="str">
        <f t="shared" si="531"/>
        <v>1</v>
      </c>
      <c r="K1592" t="str">
        <f t="shared" si="532"/>
        <v>06</v>
      </c>
      <c r="L1592" t="str">
        <f t="shared" si="533"/>
        <v/>
      </c>
      <c r="M1592" s="6" t="str">
        <f t="shared" si="534"/>
        <v/>
      </c>
      <c r="N1592" t="str">
        <f t="shared" si="530"/>
        <v>Away</v>
      </c>
      <c r="O1592">
        <v>23</v>
      </c>
      <c r="P1592" t="s">
        <v>425</v>
      </c>
      <c r="Y1592" t="str">
        <f t="shared" si="517"/>
        <v/>
      </c>
      <c r="Z1592" t="str">
        <f t="shared" si="518"/>
        <v/>
      </c>
      <c r="AC1592" t="str">
        <f t="shared" si="535"/>
        <v>Zone_Entry_Exit</v>
      </c>
      <c r="AD1592" t="str">
        <f t="shared" si="536"/>
        <v>Zone_Entry</v>
      </c>
      <c r="AE1592" t="str">
        <f t="shared" si="537"/>
        <v>ZoneEntry-Other</v>
      </c>
      <c r="AF1592" t="str">
        <f t="shared" si="519"/>
        <v>Defensive</v>
      </c>
      <c r="AG1592">
        <f t="shared" si="525"/>
        <v>18981</v>
      </c>
      <c r="AH1592" t="str">
        <f t="shared" si="526"/>
        <v>Nelson</v>
      </c>
      <c r="AI1592" t="str">
        <f t="shared" si="527"/>
        <v>Velodrome</v>
      </c>
      <c r="AJ1592" s="18">
        <f t="shared" si="520"/>
        <v>0</v>
      </c>
      <c r="AP1592" s="18">
        <f t="shared" si="521"/>
        <v>0</v>
      </c>
      <c r="AQ1592">
        <f t="shared" si="522"/>
        <v>1080</v>
      </c>
      <c r="AR1592" s="23">
        <f t="shared" si="523"/>
        <v>2094</v>
      </c>
      <c r="AS1592">
        <f t="shared" si="528"/>
        <v>2089</v>
      </c>
      <c r="AT1592" s="21">
        <f t="shared" si="529"/>
        <v>2094</v>
      </c>
      <c r="AU1592" s="21"/>
      <c r="AV1592" s="21"/>
      <c r="AW1592" s="21"/>
    </row>
    <row r="1593" spans="1:49" x14ac:dyDescent="0.2">
      <c r="A1593">
        <v>858</v>
      </c>
      <c r="E1593">
        <f t="shared" si="524"/>
        <v>2</v>
      </c>
      <c r="F1593" s="5" t="s">
        <v>543</v>
      </c>
      <c r="G1593" s="5" t="s">
        <v>476</v>
      </c>
      <c r="J1593" t="str">
        <f t="shared" si="531"/>
        <v>1</v>
      </c>
      <c r="K1593" t="str">
        <f t="shared" si="532"/>
        <v>06</v>
      </c>
      <c r="L1593" t="str">
        <f t="shared" si="533"/>
        <v/>
      </c>
      <c r="M1593" s="6" t="str">
        <f t="shared" si="534"/>
        <v/>
      </c>
      <c r="N1593" t="s">
        <v>178</v>
      </c>
      <c r="O1593">
        <v>23</v>
      </c>
      <c r="P1593" t="s">
        <v>424</v>
      </c>
      <c r="Q1593" t="s">
        <v>10</v>
      </c>
      <c r="R1593" t="s">
        <v>200</v>
      </c>
      <c r="S1593" t="s">
        <v>81</v>
      </c>
      <c r="Y1593" t="str">
        <f t="shared" si="517"/>
        <v/>
      </c>
      <c r="Z1593" t="str">
        <f t="shared" si="518"/>
        <v/>
      </c>
      <c r="AC1593" t="str">
        <f t="shared" si="535"/>
        <v>Turnover</v>
      </c>
      <c r="AD1593" t="str">
        <f t="shared" si="536"/>
        <v>Turnover_Takeaway</v>
      </c>
      <c r="AE1593" t="str">
        <f t="shared" si="537"/>
        <v>Takeaway-BattleWon</v>
      </c>
      <c r="AF1593" t="str">
        <f t="shared" si="519"/>
        <v>Defensive</v>
      </c>
      <c r="AG1593">
        <f t="shared" si="525"/>
        <v>18981</v>
      </c>
      <c r="AH1593" t="str">
        <f t="shared" si="526"/>
        <v>Nelson</v>
      </c>
      <c r="AI1593" t="str">
        <f t="shared" si="527"/>
        <v>Velodrome</v>
      </c>
      <c r="AJ1593" s="18">
        <f t="shared" si="520"/>
        <v>0</v>
      </c>
      <c r="AP1593" s="18">
        <f t="shared" si="521"/>
        <v>0</v>
      </c>
      <c r="AQ1593">
        <f t="shared" si="522"/>
        <v>1080</v>
      </c>
      <c r="AR1593" s="23">
        <f t="shared" si="523"/>
        <v>2094</v>
      </c>
      <c r="AS1593">
        <f t="shared" si="528"/>
        <v>2089</v>
      </c>
      <c r="AT1593" s="21">
        <f t="shared" si="529"/>
        <v>2094</v>
      </c>
      <c r="AU1593" s="21"/>
      <c r="AV1593" s="21"/>
      <c r="AW1593" s="21"/>
    </row>
    <row r="1594" spans="1:49" x14ac:dyDescent="0.2">
      <c r="A1594">
        <v>858</v>
      </c>
      <c r="E1594">
        <f t="shared" si="524"/>
        <v>2</v>
      </c>
      <c r="J1594" t="str">
        <f t="shared" si="531"/>
        <v>1</v>
      </c>
      <c r="K1594" t="str">
        <f t="shared" si="532"/>
        <v>06</v>
      </c>
      <c r="L1594" t="str">
        <f t="shared" si="533"/>
        <v/>
      </c>
      <c r="M1594" s="6" t="str">
        <f t="shared" si="534"/>
        <v/>
      </c>
      <c r="N1594" t="str">
        <f t="shared" si="530"/>
        <v>Home</v>
      </c>
      <c r="O1594">
        <v>14</v>
      </c>
      <c r="P1594" t="s">
        <v>425</v>
      </c>
      <c r="Y1594" t="str">
        <f t="shared" si="517"/>
        <v/>
      </c>
      <c r="Z1594" t="str">
        <f t="shared" si="518"/>
        <v/>
      </c>
      <c r="AC1594" t="str">
        <f t="shared" si="535"/>
        <v>Turnover</v>
      </c>
      <c r="AD1594" t="str">
        <f t="shared" si="536"/>
        <v>Turnover_Takeaway</v>
      </c>
      <c r="AE1594" t="str">
        <f t="shared" si="537"/>
        <v>Takeaway-BattleWon</v>
      </c>
      <c r="AF1594" t="str">
        <f t="shared" si="519"/>
        <v>Offensive</v>
      </c>
      <c r="AG1594">
        <f t="shared" si="525"/>
        <v>18981</v>
      </c>
      <c r="AH1594" t="str">
        <f t="shared" si="526"/>
        <v>Nelson</v>
      </c>
      <c r="AI1594" t="str">
        <f t="shared" si="527"/>
        <v>Velodrome</v>
      </c>
      <c r="AJ1594" s="18">
        <f t="shared" si="520"/>
        <v>0</v>
      </c>
      <c r="AP1594" s="18">
        <f t="shared" si="521"/>
        <v>0</v>
      </c>
      <c r="AQ1594">
        <f t="shared" si="522"/>
        <v>1080</v>
      </c>
      <c r="AR1594" s="23">
        <f t="shared" si="523"/>
        <v>2094</v>
      </c>
      <c r="AS1594">
        <f t="shared" si="528"/>
        <v>2089</v>
      </c>
      <c r="AT1594" s="21">
        <f t="shared" si="529"/>
        <v>2094</v>
      </c>
      <c r="AU1594" s="21"/>
      <c r="AV1594" s="21"/>
      <c r="AW1594" s="21"/>
    </row>
    <row r="1595" spans="1:49" x14ac:dyDescent="0.2">
      <c r="A1595">
        <v>859</v>
      </c>
      <c r="E1595">
        <f t="shared" si="524"/>
        <v>2</v>
      </c>
      <c r="F1595" s="5" t="s">
        <v>543</v>
      </c>
      <c r="G1595" s="5" t="s">
        <v>476</v>
      </c>
      <c r="J1595" t="str">
        <f t="shared" si="531"/>
        <v>1</v>
      </c>
      <c r="K1595" t="str">
        <f t="shared" si="532"/>
        <v>06</v>
      </c>
      <c r="L1595" t="str">
        <f t="shared" si="533"/>
        <v/>
      </c>
      <c r="M1595" s="6" t="str">
        <f t="shared" si="534"/>
        <v/>
      </c>
      <c r="N1595" t="s">
        <v>178</v>
      </c>
      <c r="O1595">
        <v>7</v>
      </c>
      <c r="P1595" t="s">
        <v>424</v>
      </c>
      <c r="Q1595" t="s">
        <v>277</v>
      </c>
      <c r="R1595" t="s">
        <v>201</v>
      </c>
      <c r="S1595" t="s">
        <v>92</v>
      </c>
      <c r="Y1595" t="str">
        <f t="shared" si="517"/>
        <v/>
      </c>
      <c r="Z1595" t="str">
        <f t="shared" si="518"/>
        <v/>
      </c>
      <c r="AC1595" t="str">
        <f t="shared" si="535"/>
        <v>Zone_Entry_Exit</v>
      </c>
      <c r="AD1595" t="str">
        <f t="shared" si="536"/>
        <v>Zone_Exit</v>
      </c>
      <c r="AE1595" t="str">
        <f t="shared" si="537"/>
        <v>ZoneExit-Clear</v>
      </c>
      <c r="AF1595" t="str">
        <f t="shared" si="519"/>
        <v>Offensive</v>
      </c>
      <c r="AG1595">
        <f t="shared" si="525"/>
        <v>18981</v>
      </c>
      <c r="AH1595" t="str">
        <f t="shared" si="526"/>
        <v>Nelson</v>
      </c>
      <c r="AI1595" t="str">
        <f t="shared" si="527"/>
        <v>Velodrome</v>
      </c>
      <c r="AJ1595" s="18">
        <f t="shared" si="520"/>
        <v>0</v>
      </c>
      <c r="AP1595" s="18">
        <f t="shared" si="521"/>
        <v>0</v>
      </c>
      <c r="AQ1595">
        <f t="shared" si="522"/>
        <v>1080</v>
      </c>
      <c r="AR1595" s="23">
        <f t="shared" si="523"/>
        <v>2094</v>
      </c>
      <c r="AS1595">
        <f t="shared" si="528"/>
        <v>2089</v>
      </c>
      <c r="AT1595" s="21">
        <f t="shared" si="529"/>
        <v>2094</v>
      </c>
      <c r="AU1595" s="21"/>
      <c r="AV1595" s="21"/>
      <c r="AW1595" s="21"/>
    </row>
    <row r="1596" spans="1:49" x14ac:dyDescent="0.2">
      <c r="A1596">
        <v>860</v>
      </c>
      <c r="E1596">
        <f t="shared" si="524"/>
        <v>2</v>
      </c>
      <c r="F1596" s="5" t="s">
        <v>543</v>
      </c>
      <c r="G1596" s="5" t="s">
        <v>473</v>
      </c>
      <c r="J1596" t="str">
        <f t="shared" si="531"/>
        <v>1</v>
      </c>
      <c r="K1596" t="str">
        <f t="shared" si="532"/>
        <v>03</v>
      </c>
      <c r="L1596" t="str">
        <f t="shared" si="533"/>
        <v/>
      </c>
      <c r="M1596" s="6" t="str">
        <f t="shared" si="534"/>
        <v/>
      </c>
      <c r="N1596" t="s">
        <v>178</v>
      </c>
      <c r="O1596">
        <v>7</v>
      </c>
      <c r="P1596" t="s">
        <v>424</v>
      </c>
      <c r="Q1596" t="s">
        <v>277</v>
      </c>
      <c r="R1596" t="s">
        <v>191</v>
      </c>
      <c r="S1596" t="s">
        <v>432</v>
      </c>
      <c r="Y1596" t="str">
        <f t="shared" si="517"/>
        <v/>
      </c>
      <c r="Z1596" t="str">
        <f t="shared" si="518"/>
        <v/>
      </c>
      <c r="AC1596" t="str">
        <f t="shared" si="535"/>
        <v>Zone_Entry_Exit</v>
      </c>
      <c r="AD1596" t="str">
        <f t="shared" si="536"/>
        <v>Zone_Entry</v>
      </c>
      <c r="AE1596" t="str">
        <f t="shared" si="537"/>
        <v>ZoneEntry-FromExitClear</v>
      </c>
      <c r="AF1596" t="str">
        <f t="shared" si="519"/>
        <v>Offensive</v>
      </c>
      <c r="AG1596">
        <f t="shared" si="525"/>
        <v>18981</v>
      </c>
      <c r="AH1596" t="str">
        <f t="shared" si="526"/>
        <v>Nelson</v>
      </c>
      <c r="AI1596" t="str">
        <f t="shared" si="527"/>
        <v>Velodrome</v>
      </c>
      <c r="AJ1596" s="18">
        <f t="shared" si="520"/>
        <v>0</v>
      </c>
      <c r="AP1596" s="18">
        <f t="shared" si="521"/>
        <v>0</v>
      </c>
      <c r="AQ1596">
        <f t="shared" si="522"/>
        <v>1080</v>
      </c>
      <c r="AR1596" s="23">
        <f t="shared" si="523"/>
        <v>2097</v>
      </c>
      <c r="AS1596">
        <f t="shared" si="528"/>
        <v>2092</v>
      </c>
      <c r="AT1596" s="21">
        <f t="shared" si="529"/>
        <v>2097</v>
      </c>
      <c r="AU1596" s="21"/>
      <c r="AV1596" s="21"/>
      <c r="AW1596" s="21"/>
    </row>
    <row r="1597" spans="1:49" x14ac:dyDescent="0.2">
      <c r="A1597">
        <v>861</v>
      </c>
      <c r="E1597">
        <f t="shared" si="524"/>
        <v>2</v>
      </c>
      <c r="F1597" s="5" t="s">
        <v>543</v>
      </c>
      <c r="G1597" s="5" t="s">
        <v>473</v>
      </c>
      <c r="J1597" t="str">
        <f t="shared" si="531"/>
        <v>1</v>
      </c>
      <c r="K1597" t="str">
        <f t="shared" si="532"/>
        <v>03</v>
      </c>
      <c r="L1597" t="str">
        <f t="shared" si="533"/>
        <v/>
      </c>
      <c r="M1597" s="6" t="str">
        <f t="shared" si="534"/>
        <v/>
      </c>
      <c r="N1597" t="s">
        <v>178</v>
      </c>
      <c r="O1597">
        <v>7</v>
      </c>
      <c r="P1597" t="s">
        <v>424</v>
      </c>
      <c r="Q1597" t="s">
        <v>10</v>
      </c>
      <c r="R1597" t="s">
        <v>190</v>
      </c>
      <c r="S1597" t="s">
        <v>411</v>
      </c>
      <c r="Y1597" t="str">
        <f t="shared" si="517"/>
        <v/>
      </c>
      <c r="Z1597" t="str">
        <f t="shared" si="518"/>
        <v/>
      </c>
      <c r="AC1597" t="str">
        <f t="shared" si="535"/>
        <v>Turnover</v>
      </c>
      <c r="AD1597" t="str">
        <f t="shared" si="536"/>
        <v>Turnover_Giveaway</v>
      </c>
      <c r="AE1597" t="str">
        <f t="shared" si="537"/>
        <v>Giveaway-ZoneClear/Dump</v>
      </c>
      <c r="AF1597" t="str">
        <f t="shared" si="519"/>
        <v>Offensive</v>
      </c>
      <c r="AG1597">
        <f t="shared" si="525"/>
        <v>18981</v>
      </c>
      <c r="AH1597" t="str">
        <f t="shared" si="526"/>
        <v>Nelson</v>
      </c>
      <c r="AI1597" t="str">
        <f t="shared" si="527"/>
        <v>Velodrome</v>
      </c>
      <c r="AJ1597" s="18">
        <f t="shared" si="520"/>
        <v>0</v>
      </c>
      <c r="AP1597" s="18">
        <f t="shared" si="521"/>
        <v>0</v>
      </c>
      <c r="AQ1597">
        <f t="shared" si="522"/>
        <v>1080</v>
      </c>
      <c r="AR1597" s="23">
        <f t="shared" si="523"/>
        <v>2097</v>
      </c>
      <c r="AS1597">
        <f t="shared" si="528"/>
        <v>2092</v>
      </c>
      <c r="AT1597" s="21">
        <f t="shared" si="529"/>
        <v>2097</v>
      </c>
      <c r="AU1597" s="21"/>
      <c r="AV1597" s="21"/>
      <c r="AW1597" s="21"/>
    </row>
    <row r="1598" spans="1:49" x14ac:dyDescent="0.2">
      <c r="A1598">
        <v>862</v>
      </c>
      <c r="E1598">
        <f t="shared" si="524"/>
        <v>2</v>
      </c>
      <c r="F1598" s="5" t="s">
        <v>543</v>
      </c>
      <c r="G1598" s="5" t="s">
        <v>471</v>
      </c>
      <c r="H1598" s="5" t="s">
        <v>532</v>
      </c>
      <c r="I1598" s="7" t="s">
        <v>479</v>
      </c>
      <c r="J1598" t="str">
        <f t="shared" si="531"/>
        <v>1</v>
      </c>
      <c r="K1598" t="str">
        <f t="shared" si="532"/>
        <v>01</v>
      </c>
      <c r="L1598" t="str">
        <f t="shared" si="533"/>
        <v>0</v>
      </c>
      <c r="M1598" s="6" t="str">
        <f t="shared" si="534"/>
        <v>59</v>
      </c>
      <c r="N1598" t="s">
        <v>179</v>
      </c>
      <c r="O1598">
        <v>93</v>
      </c>
      <c r="P1598" t="s">
        <v>424</v>
      </c>
      <c r="Q1598" t="s">
        <v>15</v>
      </c>
      <c r="Y1598" t="str">
        <f t="shared" si="517"/>
        <v/>
      </c>
      <c r="Z1598" t="str">
        <f t="shared" si="518"/>
        <v/>
      </c>
      <c r="AC1598" t="str">
        <f t="shared" si="535"/>
        <v>Possession</v>
      </c>
      <c r="AD1598" t="str">
        <f t="shared" si="536"/>
        <v/>
      </c>
      <c r="AE1598" t="str">
        <f t="shared" si="537"/>
        <v/>
      </c>
      <c r="AF1598" t="str">
        <f t="shared" si="519"/>
        <v>Offensive</v>
      </c>
      <c r="AG1598">
        <f t="shared" si="525"/>
        <v>18981</v>
      </c>
      <c r="AH1598" t="str">
        <f t="shared" si="526"/>
        <v>Nelson</v>
      </c>
      <c r="AI1598" t="str">
        <f t="shared" si="527"/>
        <v>Velodrome</v>
      </c>
      <c r="AJ1598" s="18">
        <f t="shared" si="520"/>
        <v>2</v>
      </c>
      <c r="AP1598" s="18">
        <f t="shared" si="521"/>
        <v>0</v>
      </c>
      <c r="AQ1598">
        <f t="shared" si="522"/>
        <v>1080</v>
      </c>
      <c r="AR1598" s="23">
        <f t="shared" si="523"/>
        <v>2099</v>
      </c>
      <c r="AS1598">
        <f t="shared" si="528"/>
        <v>2094</v>
      </c>
      <c r="AT1598" s="21">
        <f t="shared" si="529"/>
        <v>2101</v>
      </c>
      <c r="AU1598" s="21"/>
      <c r="AV1598" s="21"/>
      <c r="AW1598" s="21"/>
    </row>
    <row r="1599" spans="1:49" x14ac:dyDescent="0.2">
      <c r="A1599">
        <v>863</v>
      </c>
      <c r="E1599">
        <f t="shared" si="524"/>
        <v>2</v>
      </c>
      <c r="F1599" s="5" t="s">
        <v>532</v>
      </c>
      <c r="G1599" s="5" t="s">
        <v>479</v>
      </c>
      <c r="J1599" t="str">
        <f t="shared" si="531"/>
        <v>0</v>
      </c>
      <c r="K1599" t="str">
        <f t="shared" si="532"/>
        <v>59</v>
      </c>
      <c r="L1599" t="str">
        <f t="shared" si="533"/>
        <v/>
      </c>
      <c r="M1599" s="6" t="str">
        <f t="shared" si="534"/>
        <v/>
      </c>
      <c r="N1599" t="s">
        <v>179</v>
      </c>
      <c r="O1599">
        <v>93</v>
      </c>
      <c r="P1599" t="s">
        <v>424</v>
      </c>
      <c r="Q1599" t="s">
        <v>8</v>
      </c>
      <c r="R1599" t="s">
        <v>199</v>
      </c>
      <c r="S1599" t="s">
        <v>67</v>
      </c>
      <c r="Y1599" t="str">
        <f t="shared" si="517"/>
        <v/>
      </c>
      <c r="Z1599" t="str">
        <f t="shared" si="518"/>
        <v/>
      </c>
      <c r="AC1599" t="str">
        <f t="shared" si="535"/>
        <v>Pass</v>
      </c>
      <c r="AD1599" t="str">
        <f t="shared" si="536"/>
        <v>Pass_Missed</v>
      </c>
      <c r="AE1599" t="str">
        <f t="shared" si="537"/>
        <v>Pass-Stretch</v>
      </c>
      <c r="AF1599" t="str">
        <f t="shared" si="519"/>
        <v>Offensive</v>
      </c>
      <c r="AG1599">
        <f t="shared" si="525"/>
        <v>18981</v>
      </c>
      <c r="AH1599" t="str">
        <f t="shared" si="526"/>
        <v>Nelson</v>
      </c>
      <c r="AI1599" t="str">
        <f t="shared" si="527"/>
        <v>Velodrome</v>
      </c>
      <c r="AJ1599" s="18">
        <f t="shared" si="520"/>
        <v>0</v>
      </c>
      <c r="AP1599" s="18">
        <f t="shared" si="521"/>
        <v>0</v>
      </c>
      <c r="AQ1599">
        <f t="shared" si="522"/>
        <v>1080</v>
      </c>
      <c r="AR1599" s="23">
        <f t="shared" si="523"/>
        <v>2101</v>
      </c>
      <c r="AS1599">
        <f t="shared" si="528"/>
        <v>2096</v>
      </c>
      <c r="AT1599" s="21">
        <f t="shared" si="529"/>
        <v>2101</v>
      </c>
      <c r="AU1599" s="21"/>
      <c r="AV1599" s="21"/>
      <c r="AW1599" s="21"/>
    </row>
    <row r="1600" spans="1:49" x14ac:dyDescent="0.2">
      <c r="A1600">
        <v>863</v>
      </c>
      <c r="E1600">
        <f t="shared" si="524"/>
        <v>2</v>
      </c>
      <c r="J1600" t="str">
        <f t="shared" si="531"/>
        <v>0</v>
      </c>
      <c r="K1600" t="str">
        <f t="shared" si="532"/>
        <v>59</v>
      </c>
      <c r="L1600" t="str">
        <f t="shared" si="533"/>
        <v/>
      </c>
      <c r="M1600" s="6" t="str">
        <f t="shared" si="534"/>
        <v/>
      </c>
      <c r="N1600" t="str">
        <f t="shared" si="530"/>
        <v>Away</v>
      </c>
      <c r="O1600">
        <v>49</v>
      </c>
      <c r="P1600" t="s">
        <v>424</v>
      </c>
      <c r="Y1600" t="str">
        <f t="shared" si="517"/>
        <v/>
      </c>
      <c r="Z1600" t="str">
        <f t="shared" si="518"/>
        <v/>
      </c>
      <c r="AC1600" t="str">
        <f t="shared" si="535"/>
        <v>Pass</v>
      </c>
      <c r="AD1600" t="str">
        <f t="shared" si="536"/>
        <v>Pass_Missed</v>
      </c>
      <c r="AE1600" t="str">
        <f t="shared" si="537"/>
        <v>Pass-Stretch</v>
      </c>
      <c r="AF1600" t="str">
        <f t="shared" si="519"/>
        <v>Offensive</v>
      </c>
      <c r="AG1600">
        <f t="shared" si="525"/>
        <v>18981</v>
      </c>
      <c r="AH1600" t="str">
        <f t="shared" si="526"/>
        <v>Nelson</v>
      </c>
      <c r="AI1600" t="str">
        <f t="shared" si="527"/>
        <v>Velodrome</v>
      </c>
      <c r="AJ1600" s="18">
        <f t="shared" si="520"/>
        <v>0</v>
      </c>
      <c r="AP1600" s="18">
        <f t="shared" si="521"/>
        <v>0</v>
      </c>
      <c r="AQ1600">
        <f t="shared" si="522"/>
        <v>1080</v>
      </c>
      <c r="AR1600" s="23">
        <f t="shared" si="523"/>
        <v>2101</v>
      </c>
      <c r="AS1600">
        <f t="shared" si="528"/>
        <v>2096</v>
      </c>
      <c r="AT1600" s="21">
        <f t="shared" si="529"/>
        <v>2101</v>
      </c>
      <c r="AU1600" s="21"/>
      <c r="AV1600" s="21"/>
      <c r="AW1600" s="21"/>
    </row>
    <row r="1601" spans="1:49" x14ac:dyDescent="0.2">
      <c r="A1601">
        <v>864</v>
      </c>
      <c r="E1601">
        <f t="shared" si="524"/>
        <v>2</v>
      </c>
      <c r="F1601" s="5" t="s">
        <v>532</v>
      </c>
      <c r="G1601" s="5" t="s">
        <v>479</v>
      </c>
      <c r="J1601" t="str">
        <f t="shared" si="531"/>
        <v>0</v>
      </c>
      <c r="K1601" t="str">
        <f t="shared" si="532"/>
        <v>59</v>
      </c>
      <c r="L1601" t="str">
        <f t="shared" si="533"/>
        <v/>
      </c>
      <c r="M1601" s="6" t="str">
        <f t="shared" si="534"/>
        <v/>
      </c>
      <c r="N1601" t="s">
        <v>179</v>
      </c>
      <c r="O1601">
        <v>93</v>
      </c>
      <c r="P1601" t="s">
        <v>424</v>
      </c>
      <c r="Q1601" t="s">
        <v>277</v>
      </c>
      <c r="R1601" t="s">
        <v>201</v>
      </c>
      <c r="S1601" t="s">
        <v>433</v>
      </c>
      <c r="Y1601" t="str">
        <f t="shared" si="517"/>
        <v/>
      </c>
      <c r="Z1601" t="str">
        <f t="shared" si="518"/>
        <v/>
      </c>
      <c r="AC1601" t="str">
        <f t="shared" si="535"/>
        <v>Zone_Entry_Exit</v>
      </c>
      <c r="AD1601" t="str">
        <f t="shared" si="536"/>
        <v>Zone_Exit</v>
      </c>
      <c r="AE1601" t="str">
        <f t="shared" si="537"/>
        <v>ZoneExit-PassMiss/Misplay</v>
      </c>
      <c r="AF1601" t="str">
        <f t="shared" si="519"/>
        <v>Offensive</v>
      </c>
      <c r="AG1601">
        <f t="shared" si="525"/>
        <v>18981</v>
      </c>
      <c r="AH1601" t="str">
        <f t="shared" si="526"/>
        <v>Nelson</v>
      </c>
      <c r="AI1601" t="str">
        <f t="shared" si="527"/>
        <v>Velodrome</v>
      </c>
      <c r="AJ1601" s="18">
        <f t="shared" si="520"/>
        <v>0</v>
      </c>
      <c r="AP1601" s="18">
        <f t="shared" si="521"/>
        <v>0</v>
      </c>
      <c r="AQ1601">
        <f t="shared" si="522"/>
        <v>1080</v>
      </c>
      <c r="AR1601" s="23">
        <f t="shared" si="523"/>
        <v>2101</v>
      </c>
      <c r="AS1601">
        <f t="shared" si="528"/>
        <v>2096</v>
      </c>
      <c r="AT1601" s="21">
        <f t="shared" si="529"/>
        <v>2101</v>
      </c>
      <c r="AU1601" s="21"/>
      <c r="AV1601" s="21"/>
      <c r="AW1601" s="21"/>
    </row>
    <row r="1602" spans="1:49" x14ac:dyDescent="0.2">
      <c r="A1602">
        <v>864</v>
      </c>
      <c r="E1602">
        <f t="shared" si="524"/>
        <v>2</v>
      </c>
      <c r="J1602" t="str">
        <f t="shared" si="531"/>
        <v>0</v>
      </c>
      <c r="K1602" t="str">
        <f t="shared" si="532"/>
        <v>59</v>
      </c>
      <c r="L1602" t="str">
        <f t="shared" si="533"/>
        <v/>
      </c>
      <c r="M1602" s="6" t="str">
        <f t="shared" si="534"/>
        <v/>
      </c>
      <c r="N1602" t="str">
        <f t="shared" si="530"/>
        <v>Away</v>
      </c>
      <c r="O1602">
        <v>49</v>
      </c>
      <c r="P1602" t="s">
        <v>424</v>
      </c>
      <c r="Y1602" t="str">
        <f t="shared" si="517"/>
        <v/>
      </c>
      <c r="Z1602" t="str">
        <f t="shared" si="518"/>
        <v/>
      </c>
      <c r="AC1602" t="str">
        <f t="shared" si="535"/>
        <v>Zone_Entry_Exit</v>
      </c>
      <c r="AD1602" t="str">
        <f t="shared" si="536"/>
        <v>Zone_Exit</v>
      </c>
      <c r="AE1602" t="str">
        <f t="shared" si="537"/>
        <v>ZoneExit-PassMiss/Misplay</v>
      </c>
      <c r="AF1602" t="str">
        <f t="shared" si="519"/>
        <v>Offensive</v>
      </c>
      <c r="AG1602">
        <f t="shared" si="525"/>
        <v>18981</v>
      </c>
      <c r="AH1602" t="str">
        <f t="shared" si="526"/>
        <v>Nelson</v>
      </c>
      <c r="AI1602" t="str">
        <f t="shared" si="527"/>
        <v>Velodrome</v>
      </c>
      <c r="AJ1602" s="18">
        <f t="shared" si="520"/>
        <v>0</v>
      </c>
      <c r="AP1602" s="18">
        <f t="shared" si="521"/>
        <v>0</v>
      </c>
      <c r="AQ1602">
        <f t="shared" si="522"/>
        <v>1080</v>
      </c>
      <c r="AR1602" s="23">
        <f t="shared" si="523"/>
        <v>2101</v>
      </c>
      <c r="AS1602">
        <f t="shared" si="528"/>
        <v>2096</v>
      </c>
      <c r="AT1602" s="21">
        <f t="shared" si="529"/>
        <v>2101</v>
      </c>
      <c r="AU1602" s="21"/>
      <c r="AV1602" s="21"/>
      <c r="AW1602" s="21"/>
    </row>
    <row r="1603" spans="1:49" x14ac:dyDescent="0.2">
      <c r="A1603">
        <v>865</v>
      </c>
      <c r="E1603">
        <f t="shared" si="524"/>
        <v>2</v>
      </c>
      <c r="F1603" s="5" t="s">
        <v>532</v>
      </c>
      <c r="G1603" s="5" t="s">
        <v>479</v>
      </c>
      <c r="J1603" t="str">
        <f t="shared" si="531"/>
        <v>0</v>
      </c>
      <c r="K1603" t="str">
        <f t="shared" si="532"/>
        <v>59</v>
      </c>
      <c r="L1603" t="str">
        <f t="shared" si="533"/>
        <v/>
      </c>
      <c r="M1603" s="6" t="str">
        <f t="shared" si="534"/>
        <v/>
      </c>
      <c r="N1603" t="s">
        <v>179</v>
      </c>
      <c r="O1603">
        <v>93</v>
      </c>
      <c r="P1603" t="s">
        <v>424</v>
      </c>
      <c r="Q1603" t="s">
        <v>277</v>
      </c>
      <c r="R1603" t="s">
        <v>191</v>
      </c>
      <c r="S1603" t="s">
        <v>447</v>
      </c>
      <c r="Y1603" t="str">
        <f t="shared" ref="Y1603:Y1666" si="538">IF($N1603="","",IF(X1603="","",IF($N1603="Home",$X1603,IF($X1603="n","n",IF($X1603="d","o",IF($X1603="o","d",""))))))</f>
        <v/>
      </c>
      <c r="Z1603" t="str">
        <f t="shared" ref="Z1603:Z1666" si="539">IF($N1603="","",IF(X1603="","",IF($N1603="Away",$X1603,IF($X1603="n","n",IF($X1603="d","o",IF($X1603="o","d",""))))))</f>
        <v/>
      </c>
      <c r="AC1603" t="str">
        <f t="shared" si="535"/>
        <v>Zone_Entry_Exit</v>
      </c>
      <c r="AD1603" t="str">
        <f t="shared" si="536"/>
        <v>Zone_Entry</v>
      </c>
      <c r="AE1603" t="str">
        <f t="shared" si="537"/>
        <v>ZoneEntry-PassMiss/Misplay</v>
      </c>
      <c r="AF1603" t="str">
        <f t="shared" ref="AF1603:AF1666" si="540">IF(AND(P1603="e",OR(AC1603="Save",AD1603="Turnover_Takeaway",AD1603="Play_Defensive")),"Defensive",IF(AND(P1603="o",OR(AC1603="Save",AD1603="Turnover_Takeaway",AD1603="Play_Defensive")),"Offensive",IF(OR(AC1603="Deadice",AC1603="Stoppage",AC1603="Intermission"),"",IF(P1603="e","Offensive",IF(P1603="o","Defensive","")))))</f>
        <v>Offensive</v>
      </c>
      <c r="AG1603">
        <f t="shared" si="525"/>
        <v>18981</v>
      </c>
      <c r="AH1603" t="str">
        <f t="shared" si="526"/>
        <v>Nelson</v>
      </c>
      <c r="AI1603" t="str">
        <f t="shared" si="527"/>
        <v>Velodrome</v>
      </c>
      <c r="AJ1603" s="18">
        <f t="shared" ref="AJ1603:AJ1666" si="541">IF(AND(L1603="",M1603=""),0,((J1603*60)+K1603)-((L1603*60)+M1603))</f>
        <v>0</v>
      </c>
      <c r="AP1603" s="18">
        <f t="shared" ref="AP1603:AP1666" si="542">SUMIFS(AJ1603:AJ1603,Q1603:Q1603,"=Intermission")</f>
        <v>0</v>
      </c>
      <c r="AQ1603">
        <f t="shared" ref="AQ1603:AQ1666" si="543">IF(E1603=1,0,IF(E1603=2,1080+AP1603,IF(E1603=3,(1080*2)+AP1603,0)))</f>
        <v>1080</v>
      </c>
      <c r="AR1603" s="23">
        <f t="shared" ref="AR1603:AR1666" si="544">IF(Q1603="Intermission",AR1602,((1080)-((J1603*60)+K1603))+AQ1603)</f>
        <v>2101</v>
      </c>
      <c r="AS1603">
        <f t="shared" si="528"/>
        <v>2096</v>
      </c>
      <c r="AT1603" s="21">
        <f t="shared" si="529"/>
        <v>2101</v>
      </c>
      <c r="AU1603" s="21"/>
      <c r="AV1603" s="21"/>
      <c r="AW1603" s="21"/>
    </row>
    <row r="1604" spans="1:49" x14ac:dyDescent="0.2">
      <c r="A1604">
        <v>866</v>
      </c>
      <c r="E1604">
        <f t="shared" ref="E1604:E1667" si="545">IF(Q1604="Intermission",E1603+1,E1603)</f>
        <v>2</v>
      </c>
      <c r="F1604" s="5" t="s">
        <v>532</v>
      </c>
      <c r="G1604" s="5" t="s">
        <v>529</v>
      </c>
      <c r="J1604" t="str">
        <f t="shared" si="531"/>
        <v>0</v>
      </c>
      <c r="K1604" t="str">
        <f t="shared" si="532"/>
        <v>57</v>
      </c>
      <c r="L1604" t="str">
        <f t="shared" si="533"/>
        <v/>
      </c>
      <c r="M1604" s="6" t="str">
        <f t="shared" si="534"/>
        <v/>
      </c>
      <c r="N1604" t="s">
        <v>179</v>
      </c>
      <c r="O1604">
        <v>93</v>
      </c>
      <c r="P1604" t="s">
        <v>424</v>
      </c>
      <c r="Q1604" t="s">
        <v>10</v>
      </c>
      <c r="R1604" t="s">
        <v>190</v>
      </c>
      <c r="S1604" t="s">
        <v>440</v>
      </c>
      <c r="Y1604" t="str">
        <f t="shared" si="538"/>
        <v/>
      </c>
      <c r="Z1604" t="str">
        <f t="shared" si="539"/>
        <v/>
      </c>
      <c r="AC1604" t="str">
        <f t="shared" si="535"/>
        <v>Turnover</v>
      </c>
      <c r="AD1604" t="str">
        <f t="shared" si="536"/>
        <v>Turnover_Giveaway</v>
      </c>
      <c r="AE1604" t="str">
        <f t="shared" si="537"/>
        <v>Giveaway-ZoneEntry/ExitMisplay</v>
      </c>
      <c r="AF1604" t="str">
        <f t="shared" si="540"/>
        <v>Offensive</v>
      </c>
      <c r="AG1604">
        <f t="shared" ref="AG1604:AG1667" si="546">AG1603</f>
        <v>18981</v>
      </c>
      <c r="AH1604" t="str">
        <f t="shared" ref="AH1604:AH1667" si="547">AH1603</f>
        <v>Nelson</v>
      </c>
      <c r="AI1604" t="str">
        <f t="shared" ref="AI1604:AI1667" si="548">AI1603</f>
        <v>Velodrome</v>
      </c>
      <c r="AJ1604" s="18">
        <f t="shared" si="541"/>
        <v>0</v>
      </c>
      <c r="AP1604" s="18">
        <f t="shared" si="542"/>
        <v>0</v>
      </c>
      <c r="AQ1604">
        <f t="shared" si="543"/>
        <v>1080</v>
      </c>
      <c r="AR1604" s="23">
        <f t="shared" si="544"/>
        <v>2103</v>
      </c>
      <c r="AS1604">
        <f t="shared" ref="AS1604:AS1667" si="549">IF(AR1604&lt;5,0,AR1604-5)</f>
        <v>2098</v>
      </c>
      <c r="AT1604" s="21">
        <f t="shared" ref="AT1604:AT1667" si="550">AS1604+AJ1604+5</f>
        <v>2103</v>
      </c>
      <c r="AU1604" s="21"/>
      <c r="AV1604" s="21"/>
      <c r="AW1604" s="21"/>
    </row>
    <row r="1605" spans="1:49" x14ac:dyDescent="0.2">
      <c r="A1605">
        <v>867</v>
      </c>
      <c r="E1605">
        <f t="shared" si="545"/>
        <v>2</v>
      </c>
      <c r="F1605" s="5" t="s">
        <v>532</v>
      </c>
      <c r="G1605" s="5" t="s">
        <v>527</v>
      </c>
      <c r="H1605" s="5" t="s">
        <v>532</v>
      </c>
      <c r="I1605" s="7" t="s">
        <v>525</v>
      </c>
      <c r="J1605" t="str">
        <f t="shared" si="531"/>
        <v>0</v>
      </c>
      <c r="K1605" t="str">
        <f t="shared" si="532"/>
        <v>55</v>
      </c>
      <c r="L1605" t="str">
        <f t="shared" si="533"/>
        <v>0</v>
      </c>
      <c r="M1605" s="6" t="str">
        <f t="shared" si="534"/>
        <v>53</v>
      </c>
      <c r="N1605" t="s">
        <v>178</v>
      </c>
      <c r="O1605">
        <v>37</v>
      </c>
      <c r="P1605" t="s">
        <v>424</v>
      </c>
      <c r="Q1605" t="s">
        <v>15</v>
      </c>
      <c r="Y1605" t="str">
        <f t="shared" si="538"/>
        <v/>
      </c>
      <c r="Z1605" t="str">
        <f t="shared" si="539"/>
        <v/>
      </c>
      <c r="AC1605" t="str">
        <f t="shared" si="535"/>
        <v>Possession</v>
      </c>
      <c r="AD1605" t="str">
        <f t="shared" si="536"/>
        <v/>
      </c>
      <c r="AE1605" t="str">
        <f t="shared" si="537"/>
        <v/>
      </c>
      <c r="AF1605" t="str">
        <f t="shared" si="540"/>
        <v>Offensive</v>
      </c>
      <c r="AG1605">
        <f t="shared" si="546"/>
        <v>18981</v>
      </c>
      <c r="AH1605" t="str">
        <f t="shared" si="547"/>
        <v>Nelson</v>
      </c>
      <c r="AI1605" t="str">
        <f t="shared" si="548"/>
        <v>Velodrome</v>
      </c>
      <c r="AJ1605" s="18">
        <f t="shared" si="541"/>
        <v>2</v>
      </c>
      <c r="AP1605" s="18">
        <f t="shared" si="542"/>
        <v>0</v>
      </c>
      <c r="AQ1605">
        <f t="shared" si="543"/>
        <v>1080</v>
      </c>
      <c r="AR1605" s="23">
        <f t="shared" si="544"/>
        <v>2105</v>
      </c>
      <c r="AS1605">
        <f t="shared" si="549"/>
        <v>2100</v>
      </c>
      <c r="AT1605" s="21">
        <f t="shared" si="550"/>
        <v>2107</v>
      </c>
      <c r="AU1605" s="21"/>
      <c r="AV1605" s="21"/>
      <c r="AW1605" s="21"/>
    </row>
    <row r="1606" spans="1:49" x14ac:dyDescent="0.2">
      <c r="A1606">
        <v>868</v>
      </c>
      <c r="E1606">
        <f t="shared" si="545"/>
        <v>2</v>
      </c>
      <c r="F1606" s="5" t="s">
        <v>532</v>
      </c>
      <c r="G1606" s="5" t="s">
        <v>525</v>
      </c>
      <c r="J1606" t="str">
        <f t="shared" si="531"/>
        <v>0</v>
      </c>
      <c r="K1606" t="str">
        <f t="shared" si="532"/>
        <v>53</v>
      </c>
      <c r="L1606" t="str">
        <f t="shared" si="533"/>
        <v/>
      </c>
      <c r="M1606" s="6" t="str">
        <f t="shared" si="534"/>
        <v/>
      </c>
      <c r="N1606" t="s">
        <v>178</v>
      </c>
      <c r="O1606">
        <v>37</v>
      </c>
      <c r="P1606" t="s">
        <v>424</v>
      </c>
      <c r="Q1606" t="s">
        <v>8</v>
      </c>
      <c r="R1606" t="s">
        <v>199</v>
      </c>
      <c r="S1606" t="s">
        <v>67</v>
      </c>
      <c r="Y1606" t="str">
        <f t="shared" si="538"/>
        <v/>
      </c>
      <c r="Z1606" t="str">
        <f t="shared" si="539"/>
        <v/>
      </c>
      <c r="AC1606" t="str">
        <f t="shared" si="535"/>
        <v>Pass</v>
      </c>
      <c r="AD1606" t="str">
        <f t="shared" si="536"/>
        <v>Pass_Missed</v>
      </c>
      <c r="AE1606" t="str">
        <f t="shared" si="537"/>
        <v>Pass-Stretch</v>
      </c>
      <c r="AF1606" t="str">
        <f t="shared" si="540"/>
        <v>Offensive</v>
      </c>
      <c r="AG1606">
        <f t="shared" si="546"/>
        <v>18981</v>
      </c>
      <c r="AH1606" t="str">
        <f t="shared" si="547"/>
        <v>Nelson</v>
      </c>
      <c r="AI1606" t="str">
        <f t="shared" si="548"/>
        <v>Velodrome</v>
      </c>
      <c r="AJ1606" s="18">
        <f t="shared" si="541"/>
        <v>0</v>
      </c>
      <c r="AP1606" s="18">
        <f t="shared" si="542"/>
        <v>0</v>
      </c>
      <c r="AQ1606">
        <f t="shared" si="543"/>
        <v>1080</v>
      </c>
      <c r="AR1606" s="23">
        <f t="shared" si="544"/>
        <v>2107</v>
      </c>
      <c r="AS1606">
        <f t="shared" si="549"/>
        <v>2102</v>
      </c>
      <c r="AT1606" s="21">
        <f t="shared" si="550"/>
        <v>2107</v>
      </c>
      <c r="AU1606" s="21"/>
      <c r="AV1606" s="21"/>
      <c r="AW1606" s="21"/>
    </row>
    <row r="1607" spans="1:49" x14ac:dyDescent="0.2">
      <c r="A1607">
        <v>868</v>
      </c>
      <c r="E1607">
        <f t="shared" si="545"/>
        <v>2</v>
      </c>
      <c r="J1607" t="str">
        <f t="shared" si="531"/>
        <v>0</v>
      </c>
      <c r="K1607" t="str">
        <f t="shared" si="532"/>
        <v>53</v>
      </c>
      <c r="L1607" t="str">
        <f t="shared" si="533"/>
        <v/>
      </c>
      <c r="M1607" s="6" t="str">
        <f t="shared" si="534"/>
        <v/>
      </c>
      <c r="N1607" t="str">
        <f t="shared" ref="N1607:N1669" si="551">IF(A1607=A1606,N1606,"")</f>
        <v>Home</v>
      </c>
      <c r="O1607">
        <v>10</v>
      </c>
      <c r="P1607" t="s">
        <v>424</v>
      </c>
      <c r="Y1607" t="str">
        <f t="shared" si="538"/>
        <v/>
      </c>
      <c r="Z1607" t="str">
        <f t="shared" si="539"/>
        <v/>
      </c>
      <c r="AC1607" t="str">
        <f t="shared" si="535"/>
        <v>Pass</v>
      </c>
      <c r="AD1607" t="str">
        <f t="shared" si="536"/>
        <v>Pass_Missed</v>
      </c>
      <c r="AE1607" t="str">
        <f t="shared" si="537"/>
        <v>Pass-Stretch</v>
      </c>
      <c r="AF1607" t="str">
        <f t="shared" si="540"/>
        <v>Offensive</v>
      </c>
      <c r="AG1607">
        <f t="shared" si="546"/>
        <v>18981</v>
      </c>
      <c r="AH1607" t="str">
        <f t="shared" si="547"/>
        <v>Nelson</v>
      </c>
      <c r="AI1607" t="str">
        <f t="shared" si="548"/>
        <v>Velodrome</v>
      </c>
      <c r="AJ1607" s="18">
        <f t="shared" si="541"/>
        <v>0</v>
      </c>
      <c r="AP1607" s="18">
        <f t="shared" si="542"/>
        <v>0</v>
      </c>
      <c r="AQ1607">
        <f t="shared" si="543"/>
        <v>1080</v>
      </c>
      <c r="AR1607" s="23">
        <f t="shared" si="544"/>
        <v>2107</v>
      </c>
      <c r="AS1607">
        <f t="shared" si="549"/>
        <v>2102</v>
      </c>
      <c r="AT1607" s="21">
        <f t="shared" si="550"/>
        <v>2107</v>
      </c>
      <c r="AU1607" s="21"/>
      <c r="AV1607" s="21"/>
      <c r="AW1607" s="21"/>
    </row>
    <row r="1608" spans="1:49" x14ac:dyDescent="0.2">
      <c r="A1608">
        <v>869</v>
      </c>
      <c r="E1608">
        <f t="shared" si="545"/>
        <v>2</v>
      </c>
      <c r="F1608" s="5" t="s">
        <v>532</v>
      </c>
      <c r="G1608" s="5" t="s">
        <v>525</v>
      </c>
      <c r="J1608" t="str">
        <f t="shared" si="531"/>
        <v>0</v>
      </c>
      <c r="K1608" t="str">
        <f t="shared" si="532"/>
        <v>53</v>
      </c>
      <c r="L1608" t="str">
        <f t="shared" si="533"/>
        <v/>
      </c>
      <c r="M1608" s="6" t="str">
        <f t="shared" si="534"/>
        <v/>
      </c>
      <c r="N1608" t="s">
        <v>178</v>
      </c>
      <c r="O1608">
        <v>37</v>
      </c>
      <c r="P1608" t="s">
        <v>424</v>
      </c>
      <c r="Q1608" t="s">
        <v>277</v>
      </c>
      <c r="R1608" t="s">
        <v>201</v>
      </c>
      <c r="S1608" t="s">
        <v>433</v>
      </c>
      <c r="Y1608" t="str">
        <f t="shared" si="538"/>
        <v/>
      </c>
      <c r="Z1608" t="str">
        <f t="shared" si="539"/>
        <v/>
      </c>
      <c r="AC1608" t="str">
        <f t="shared" si="535"/>
        <v>Zone_Entry_Exit</v>
      </c>
      <c r="AD1608" t="str">
        <f t="shared" si="536"/>
        <v>Zone_Exit</v>
      </c>
      <c r="AE1608" t="str">
        <f t="shared" si="537"/>
        <v>ZoneExit-PassMiss/Misplay</v>
      </c>
      <c r="AF1608" t="str">
        <f t="shared" si="540"/>
        <v>Offensive</v>
      </c>
      <c r="AG1608">
        <f t="shared" si="546"/>
        <v>18981</v>
      </c>
      <c r="AH1608" t="str">
        <f t="shared" si="547"/>
        <v>Nelson</v>
      </c>
      <c r="AI1608" t="str">
        <f t="shared" si="548"/>
        <v>Velodrome</v>
      </c>
      <c r="AJ1608" s="18">
        <f t="shared" si="541"/>
        <v>0</v>
      </c>
      <c r="AP1608" s="18">
        <f t="shared" si="542"/>
        <v>0</v>
      </c>
      <c r="AQ1608">
        <f t="shared" si="543"/>
        <v>1080</v>
      </c>
      <c r="AR1608" s="23">
        <f t="shared" si="544"/>
        <v>2107</v>
      </c>
      <c r="AS1608">
        <f t="shared" si="549"/>
        <v>2102</v>
      </c>
      <c r="AT1608" s="21">
        <f t="shared" si="550"/>
        <v>2107</v>
      </c>
      <c r="AU1608" s="21"/>
      <c r="AV1608" s="21"/>
      <c r="AW1608" s="21"/>
    </row>
    <row r="1609" spans="1:49" x14ac:dyDescent="0.2">
      <c r="A1609">
        <v>869</v>
      </c>
      <c r="E1609">
        <f t="shared" si="545"/>
        <v>2</v>
      </c>
      <c r="J1609" t="str">
        <f t="shared" ref="J1609:J1672" si="552">IF(F1609&lt;&gt;"",F1609,IF($A1609=$A1608,J1608,J1609))</f>
        <v>0</v>
      </c>
      <c r="K1609" t="str">
        <f t="shared" ref="K1609:K1672" si="553">IF($A1609=$A1608,K1608,G1609)</f>
        <v>53</v>
      </c>
      <c r="L1609" t="str">
        <f t="shared" ref="L1609:L1672" si="554">IF(H1609&lt;&gt;"",H1609,IF($A1609=$A1608,L1608,""))</f>
        <v/>
      </c>
      <c r="M1609" s="6" t="str">
        <f t="shared" ref="M1609:M1672" si="555">IF(I1609&lt;&gt;"",I1609,IF($A1609=$A1608,M1608,""))</f>
        <v/>
      </c>
      <c r="N1609" t="str">
        <f t="shared" si="551"/>
        <v>Home</v>
      </c>
      <c r="O1609">
        <v>10</v>
      </c>
      <c r="P1609" t="s">
        <v>424</v>
      </c>
      <c r="Y1609" t="str">
        <f t="shared" si="538"/>
        <v/>
      </c>
      <c r="Z1609" t="str">
        <f t="shared" si="539"/>
        <v/>
      </c>
      <c r="AC1609" t="str">
        <f t="shared" si="535"/>
        <v>Zone_Entry_Exit</v>
      </c>
      <c r="AD1609" t="str">
        <f t="shared" si="536"/>
        <v>Zone_Exit</v>
      </c>
      <c r="AE1609" t="str">
        <f t="shared" si="537"/>
        <v>ZoneExit-PassMiss/Misplay</v>
      </c>
      <c r="AF1609" t="str">
        <f t="shared" si="540"/>
        <v>Offensive</v>
      </c>
      <c r="AG1609">
        <f t="shared" si="546"/>
        <v>18981</v>
      </c>
      <c r="AH1609" t="str">
        <f t="shared" si="547"/>
        <v>Nelson</v>
      </c>
      <c r="AI1609" t="str">
        <f t="shared" si="548"/>
        <v>Velodrome</v>
      </c>
      <c r="AJ1609" s="18">
        <f t="shared" si="541"/>
        <v>0</v>
      </c>
      <c r="AP1609" s="18">
        <f t="shared" si="542"/>
        <v>0</v>
      </c>
      <c r="AQ1609">
        <f t="shared" si="543"/>
        <v>1080</v>
      </c>
      <c r="AR1609" s="23">
        <f t="shared" si="544"/>
        <v>2107</v>
      </c>
      <c r="AS1609">
        <f t="shared" si="549"/>
        <v>2102</v>
      </c>
      <c r="AT1609" s="21">
        <f t="shared" si="550"/>
        <v>2107</v>
      </c>
      <c r="AU1609" s="21"/>
      <c r="AV1609" s="21"/>
      <c r="AW1609" s="21"/>
    </row>
    <row r="1610" spans="1:49" x14ac:dyDescent="0.2">
      <c r="A1610">
        <v>870</v>
      </c>
      <c r="E1610">
        <f t="shared" si="545"/>
        <v>2</v>
      </c>
      <c r="F1610" s="5" t="s">
        <v>532</v>
      </c>
      <c r="G1610" s="5" t="s">
        <v>521</v>
      </c>
      <c r="J1610" t="str">
        <f t="shared" si="552"/>
        <v>0</v>
      </c>
      <c r="K1610" t="str">
        <f t="shared" si="553"/>
        <v>49</v>
      </c>
      <c r="L1610" t="str">
        <f t="shared" si="554"/>
        <v/>
      </c>
      <c r="M1610" s="6" t="str">
        <f t="shared" si="555"/>
        <v/>
      </c>
      <c r="N1610" t="s">
        <v>178</v>
      </c>
      <c r="O1610">
        <v>10</v>
      </c>
      <c r="P1610" t="s">
        <v>424</v>
      </c>
      <c r="Q1610" t="s">
        <v>277</v>
      </c>
      <c r="R1610" t="s">
        <v>191</v>
      </c>
      <c r="S1610" t="s">
        <v>89</v>
      </c>
      <c r="Y1610" t="str">
        <f t="shared" si="538"/>
        <v/>
      </c>
      <c r="Z1610" t="str">
        <f t="shared" si="539"/>
        <v/>
      </c>
      <c r="AC1610" t="str">
        <f t="shared" si="535"/>
        <v>Zone_Entry_Exit</v>
      </c>
      <c r="AD1610" t="str">
        <f t="shared" si="536"/>
        <v>Zone_Entry</v>
      </c>
      <c r="AE1610" t="str">
        <f t="shared" si="537"/>
        <v>ZoneEntry-DumpIn</v>
      </c>
      <c r="AF1610" t="str">
        <f t="shared" si="540"/>
        <v>Offensive</v>
      </c>
      <c r="AG1610">
        <f t="shared" si="546"/>
        <v>18981</v>
      </c>
      <c r="AH1610" t="str">
        <f t="shared" si="547"/>
        <v>Nelson</v>
      </c>
      <c r="AI1610" t="str">
        <f t="shared" si="548"/>
        <v>Velodrome</v>
      </c>
      <c r="AJ1610" s="18">
        <f t="shared" si="541"/>
        <v>0</v>
      </c>
      <c r="AP1610" s="18">
        <f t="shared" si="542"/>
        <v>0</v>
      </c>
      <c r="AQ1610">
        <f t="shared" si="543"/>
        <v>1080</v>
      </c>
      <c r="AR1610" s="23">
        <f t="shared" si="544"/>
        <v>2111</v>
      </c>
      <c r="AS1610">
        <f t="shared" si="549"/>
        <v>2106</v>
      </c>
      <c r="AT1610" s="21">
        <f t="shared" si="550"/>
        <v>2111</v>
      </c>
      <c r="AU1610" s="21"/>
      <c r="AV1610" s="21"/>
      <c r="AW1610" s="21"/>
    </row>
    <row r="1611" spans="1:49" x14ac:dyDescent="0.2">
      <c r="A1611">
        <v>871</v>
      </c>
      <c r="E1611">
        <f t="shared" si="545"/>
        <v>2</v>
      </c>
      <c r="F1611" s="5" t="s">
        <v>532</v>
      </c>
      <c r="G1611" s="5" t="s">
        <v>521</v>
      </c>
      <c r="J1611" t="str">
        <f t="shared" si="552"/>
        <v>0</v>
      </c>
      <c r="K1611" t="str">
        <f t="shared" si="553"/>
        <v>49</v>
      </c>
      <c r="L1611" t="str">
        <f t="shared" si="554"/>
        <v/>
      </c>
      <c r="M1611" s="6" t="str">
        <f t="shared" si="555"/>
        <v/>
      </c>
      <c r="N1611" t="s">
        <v>178</v>
      </c>
      <c r="O1611">
        <v>10</v>
      </c>
      <c r="P1611" t="s">
        <v>424</v>
      </c>
      <c r="Q1611" t="s">
        <v>10</v>
      </c>
      <c r="R1611" t="s">
        <v>190</v>
      </c>
      <c r="S1611" t="s">
        <v>411</v>
      </c>
      <c r="Y1611" t="str">
        <f t="shared" si="538"/>
        <v/>
      </c>
      <c r="Z1611" t="str">
        <f t="shared" si="539"/>
        <v/>
      </c>
      <c r="AC1611" t="str">
        <f t="shared" si="535"/>
        <v>Turnover</v>
      </c>
      <c r="AD1611" t="str">
        <f t="shared" si="536"/>
        <v>Turnover_Giveaway</v>
      </c>
      <c r="AE1611" t="str">
        <f t="shared" si="537"/>
        <v>Giveaway-ZoneClear/Dump</v>
      </c>
      <c r="AF1611" t="str">
        <f t="shared" si="540"/>
        <v>Offensive</v>
      </c>
      <c r="AG1611">
        <f t="shared" si="546"/>
        <v>18981</v>
      </c>
      <c r="AH1611" t="str">
        <f t="shared" si="547"/>
        <v>Nelson</v>
      </c>
      <c r="AI1611" t="str">
        <f t="shared" si="548"/>
        <v>Velodrome</v>
      </c>
      <c r="AJ1611" s="18">
        <f t="shared" si="541"/>
        <v>0</v>
      </c>
      <c r="AP1611" s="18">
        <f t="shared" si="542"/>
        <v>0</v>
      </c>
      <c r="AQ1611">
        <f t="shared" si="543"/>
        <v>1080</v>
      </c>
      <c r="AR1611" s="23">
        <f t="shared" si="544"/>
        <v>2111</v>
      </c>
      <c r="AS1611">
        <f t="shared" si="549"/>
        <v>2106</v>
      </c>
      <c r="AT1611" s="21">
        <f t="shared" si="550"/>
        <v>2111</v>
      </c>
      <c r="AU1611" s="21"/>
      <c r="AV1611" s="21"/>
      <c r="AW1611" s="21"/>
    </row>
    <row r="1612" spans="1:49" x14ac:dyDescent="0.2">
      <c r="A1612">
        <v>872</v>
      </c>
      <c r="E1612">
        <f t="shared" si="545"/>
        <v>2</v>
      </c>
      <c r="F1612" s="5" t="s">
        <v>532</v>
      </c>
      <c r="G1612" s="5" t="s">
        <v>516</v>
      </c>
      <c r="J1612" t="str">
        <f t="shared" si="552"/>
        <v>0</v>
      </c>
      <c r="K1612" t="str">
        <f t="shared" si="553"/>
        <v>44</v>
      </c>
      <c r="L1612" t="str">
        <f t="shared" si="554"/>
        <v/>
      </c>
      <c r="M1612" s="6" t="str">
        <f t="shared" si="555"/>
        <v/>
      </c>
      <c r="N1612" t="s">
        <v>179</v>
      </c>
      <c r="O1612">
        <v>52</v>
      </c>
      <c r="P1612" t="s">
        <v>424</v>
      </c>
      <c r="Q1612" t="s">
        <v>10</v>
      </c>
      <c r="R1612" t="s">
        <v>190</v>
      </c>
      <c r="S1612" t="s">
        <v>422</v>
      </c>
      <c r="Y1612" t="str">
        <f t="shared" si="538"/>
        <v/>
      </c>
      <c r="Z1612" t="str">
        <f t="shared" si="539"/>
        <v/>
      </c>
      <c r="AC1612" t="str">
        <f t="shared" si="535"/>
        <v>Turnover</v>
      </c>
      <c r="AD1612" t="str">
        <f t="shared" si="536"/>
        <v>Turnover_Giveaway</v>
      </c>
      <c r="AE1612" t="str">
        <f t="shared" si="537"/>
        <v>Giveaway-AttemptedZoneClear/Dump</v>
      </c>
      <c r="AF1612" t="str">
        <f t="shared" si="540"/>
        <v>Offensive</v>
      </c>
      <c r="AG1612">
        <f t="shared" si="546"/>
        <v>18981</v>
      </c>
      <c r="AH1612" t="str">
        <f t="shared" si="547"/>
        <v>Nelson</v>
      </c>
      <c r="AI1612" t="str">
        <f t="shared" si="548"/>
        <v>Velodrome</v>
      </c>
      <c r="AJ1612" s="18">
        <f t="shared" si="541"/>
        <v>0</v>
      </c>
      <c r="AP1612" s="18">
        <f t="shared" si="542"/>
        <v>0</v>
      </c>
      <c r="AQ1612">
        <f t="shared" si="543"/>
        <v>1080</v>
      </c>
      <c r="AR1612" s="23">
        <f t="shared" si="544"/>
        <v>2116</v>
      </c>
      <c r="AS1612">
        <f t="shared" si="549"/>
        <v>2111</v>
      </c>
      <c r="AT1612" s="21">
        <f t="shared" si="550"/>
        <v>2116</v>
      </c>
      <c r="AU1612" s="21"/>
      <c r="AV1612" s="21"/>
      <c r="AW1612" s="21"/>
    </row>
    <row r="1613" spans="1:49" x14ac:dyDescent="0.2">
      <c r="A1613">
        <v>873</v>
      </c>
      <c r="E1613">
        <f t="shared" si="545"/>
        <v>2</v>
      </c>
      <c r="F1613" s="5" t="s">
        <v>532</v>
      </c>
      <c r="G1613" s="5" t="s">
        <v>511</v>
      </c>
      <c r="J1613" t="str">
        <f t="shared" si="552"/>
        <v>0</v>
      </c>
      <c r="K1613" t="str">
        <f t="shared" si="553"/>
        <v>39</v>
      </c>
      <c r="L1613" t="str">
        <f t="shared" si="554"/>
        <v/>
      </c>
      <c r="M1613" s="6" t="str">
        <f t="shared" si="555"/>
        <v/>
      </c>
      <c r="N1613" t="s">
        <v>178</v>
      </c>
      <c r="O1613">
        <v>79</v>
      </c>
      <c r="P1613" t="s">
        <v>424</v>
      </c>
      <c r="Q1613" t="s">
        <v>8</v>
      </c>
      <c r="R1613" t="s">
        <v>189</v>
      </c>
      <c r="S1613" t="s">
        <v>70</v>
      </c>
      <c r="Y1613" t="str">
        <f t="shared" si="538"/>
        <v/>
      </c>
      <c r="Z1613" t="str">
        <f t="shared" si="539"/>
        <v/>
      </c>
      <c r="AC1613" t="str">
        <f t="shared" si="535"/>
        <v>Pass</v>
      </c>
      <c r="AD1613" t="str">
        <f t="shared" si="536"/>
        <v>Pass_Completed</v>
      </c>
      <c r="AE1613" t="str">
        <f t="shared" si="537"/>
        <v>Pass-Forehand</v>
      </c>
      <c r="AF1613" t="str">
        <f t="shared" si="540"/>
        <v>Offensive</v>
      </c>
      <c r="AG1613">
        <f t="shared" si="546"/>
        <v>18981</v>
      </c>
      <c r="AH1613" t="str">
        <f t="shared" si="547"/>
        <v>Nelson</v>
      </c>
      <c r="AI1613" t="str">
        <f t="shared" si="548"/>
        <v>Velodrome</v>
      </c>
      <c r="AJ1613" s="18">
        <f t="shared" si="541"/>
        <v>0</v>
      </c>
      <c r="AP1613" s="18">
        <f t="shared" si="542"/>
        <v>0</v>
      </c>
      <c r="AQ1613">
        <f t="shared" si="543"/>
        <v>1080</v>
      </c>
      <c r="AR1613" s="23">
        <f t="shared" si="544"/>
        <v>2121</v>
      </c>
      <c r="AS1613">
        <f t="shared" si="549"/>
        <v>2116</v>
      </c>
      <c r="AT1613" s="21">
        <f t="shared" si="550"/>
        <v>2121</v>
      </c>
      <c r="AU1613" s="21"/>
      <c r="AV1613" s="21"/>
      <c r="AW1613" s="21"/>
    </row>
    <row r="1614" spans="1:49" x14ac:dyDescent="0.2">
      <c r="A1614">
        <v>873</v>
      </c>
      <c r="E1614">
        <f t="shared" si="545"/>
        <v>2</v>
      </c>
      <c r="J1614" t="str">
        <f t="shared" si="552"/>
        <v>0</v>
      </c>
      <c r="K1614" t="str">
        <f t="shared" si="553"/>
        <v>39</v>
      </c>
      <c r="L1614" t="str">
        <f t="shared" si="554"/>
        <v/>
      </c>
      <c r="M1614" s="6" t="str">
        <f t="shared" si="555"/>
        <v/>
      </c>
      <c r="N1614" t="str">
        <f t="shared" si="551"/>
        <v>Home</v>
      </c>
      <c r="O1614">
        <v>16</v>
      </c>
      <c r="P1614" t="s">
        <v>424</v>
      </c>
      <c r="Y1614" t="str">
        <f t="shared" si="538"/>
        <v/>
      </c>
      <c r="Z1614" t="str">
        <f t="shared" si="539"/>
        <v/>
      </c>
      <c r="AC1614" t="str">
        <f t="shared" si="535"/>
        <v>Pass</v>
      </c>
      <c r="AD1614" t="str">
        <f t="shared" si="536"/>
        <v>Pass_Completed</v>
      </c>
      <c r="AE1614" t="str">
        <f t="shared" si="537"/>
        <v>Pass-Forehand</v>
      </c>
      <c r="AF1614" t="str">
        <f t="shared" si="540"/>
        <v>Offensive</v>
      </c>
      <c r="AG1614">
        <f t="shared" si="546"/>
        <v>18981</v>
      </c>
      <c r="AH1614" t="str">
        <f t="shared" si="547"/>
        <v>Nelson</v>
      </c>
      <c r="AI1614" t="str">
        <f t="shared" si="548"/>
        <v>Velodrome</v>
      </c>
      <c r="AJ1614" s="18">
        <f t="shared" si="541"/>
        <v>0</v>
      </c>
      <c r="AP1614" s="18">
        <f t="shared" si="542"/>
        <v>0</v>
      </c>
      <c r="AQ1614">
        <f t="shared" si="543"/>
        <v>1080</v>
      </c>
      <c r="AR1614" s="23">
        <f t="shared" si="544"/>
        <v>2121</v>
      </c>
      <c r="AS1614">
        <f t="shared" si="549"/>
        <v>2116</v>
      </c>
      <c r="AT1614" s="21">
        <f t="shared" si="550"/>
        <v>2121</v>
      </c>
      <c r="AU1614" s="21"/>
      <c r="AV1614" s="21"/>
      <c r="AW1614" s="21"/>
    </row>
    <row r="1615" spans="1:49" x14ac:dyDescent="0.2">
      <c r="A1615">
        <v>873</v>
      </c>
      <c r="E1615">
        <f t="shared" si="545"/>
        <v>2</v>
      </c>
      <c r="J1615" t="str">
        <f t="shared" si="552"/>
        <v>0</v>
      </c>
      <c r="K1615" t="str">
        <f t="shared" si="553"/>
        <v>39</v>
      </c>
      <c r="L1615" t="str">
        <f t="shared" si="554"/>
        <v/>
      </c>
      <c r="M1615" s="6" t="str">
        <f t="shared" si="555"/>
        <v/>
      </c>
      <c r="N1615" t="str">
        <f t="shared" si="551"/>
        <v>Home</v>
      </c>
      <c r="O1615">
        <v>61</v>
      </c>
      <c r="P1615" t="s">
        <v>425</v>
      </c>
      <c r="Y1615" t="str">
        <f t="shared" si="538"/>
        <v/>
      </c>
      <c r="Z1615" t="str">
        <f t="shared" si="539"/>
        <v/>
      </c>
      <c r="AC1615" t="str">
        <f t="shared" si="535"/>
        <v>Pass</v>
      </c>
      <c r="AD1615" t="str">
        <f t="shared" si="536"/>
        <v>Pass_Completed</v>
      </c>
      <c r="AE1615" t="str">
        <f t="shared" si="537"/>
        <v>Pass-Forehand</v>
      </c>
      <c r="AF1615" t="str">
        <f t="shared" si="540"/>
        <v>Defensive</v>
      </c>
      <c r="AG1615">
        <f t="shared" si="546"/>
        <v>18981</v>
      </c>
      <c r="AH1615" t="str">
        <f t="shared" si="547"/>
        <v>Nelson</v>
      </c>
      <c r="AI1615" t="str">
        <f t="shared" si="548"/>
        <v>Velodrome</v>
      </c>
      <c r="AJ1615" s="18">
        <f t="shared" si="541"/>
        <v>0</v>
      </c>
      <c r="AP1615" s="18">
        <f t="shared" si="542"/>
        <v>0</v>
      </c>
      <c r="AQ1615">
        <f t="shared" si="543"/>
        <v>1080</v>
      </c>
      <c r="AR1615" s="23">
        <f t="shared" si="544"/>
        <v>2121</v>
      </c>
      <c r="AS1615">
        <f t="shared" si="549"/>
        <v>2116</v>
      </c>
      <c r="AT1615" s="21">
        <f t="shared" si="550"/>
        <v>2121</v>
      </c>
      <c r="AU1615" s="21"/>
      <c r="AV1615" s="21"/>
      <c r="AW1615" s="21"/>
    </row>
    <row r="1616" spans="1:49" x14ac:dyDescent="0.2">
      <c r="A1616">
        <v>874</v>
      </c>
      <c r="E1616">
        <f t="shared" si="545"/>
        <v>2</v>
      </c>
      <c r="F1616" s="5" t="s">
        <v>532</v>
      </c>
      <c r="G1616" s="5" t="s">
        <v>510</v>
      </c>
      <c r="J1616" t="str">
        <f t="shared" si="552"/>
        <v>0</v>
      </c>
      <c r="K1616" t="str">
        <f t="shared" si="553"/>
        <v>38</v>
      </c>
      <c r="L1616" t="str">
        <f t="shared" si="554"/>
        <v/>
      </c>
      <c r="M1616" s="6" t="str">
        <f t="shared" si="555"/>
        <v/>
      </c>
      <c r="N1616" t="s">
        <v>178</v>
      </c>
      <c r="O1616">
        <v>16</v>
      </c>
      <c r="P1616" t="s">
        <v>424</v>
      </c>
      <c r="Q1616" t="s">
        <v>7</v>
      </c>
      <c r="R1616" t="s">
        <v>222</v>
      </c>
      <c r="S1616" t="s">
        <v>58</v>
      </c>
      <c r="Y1616" t="str">
        <f t="shared" si="538"/>
        <v/>
      </c>
      <c r="Z1616" t="str">
        <f t="shared" si="539"/>
        <v/>
      </c>
      <c r="AC1616" t="str">
        <f t="shared" si="535"/>
        <v>Shot</v>
      </c>
      <c r="AD1616" t="str">
        <f t="shared" si="536"/>
        <v>Shot_OnNetSaved</v>
      </c>
      <c r="AE1616" t="str">
        <f t="shared" si="537"/>
        <v>Shot-WrapAround</v>
      </c>
      <c r="AF1616" t="str">
        <f t="shared" si="540"/>
        <v>Offensive</v>
      </c>
      <c r="AG1616">
        <f t="shared" si="546"/>
        <v>18981</v>
      </c>
      <c r="AH1616" t="str">
        <f t="shared" si="547"/>
        <v>Nelson</v>
      </c>
      <c r="AI1616" t="str">
        <f t="shared" si="548"/>
        <v>Velodrome</v>
      </c>
      <c r="AJ1616" s="18">
        <f t="shared" si="541"/>
        <v>0</v>
      </c>
      <c r="AP1616" s="18">
        <f t="shared" si="542"/>
        <v>0</v>
      </c>
      <c r="AQ1616">
        <f t="shared" si="543"/>
        <v>1080</v>
      </c>
      <c r="AR1616" s="23">
        <f t="shared" si="544"/>
        <v>2122</v>
      </c>
      <c r="AS1616">
        <f t="shared" si="549"/>
        <v>2117</v>
      </c>
      <c r="AT1616" s="21">
        <f t="shared" si="550"/>
        <v>2122</v>
      </c>
      <c r="AU1616" s="21"/>
      <c r="AV1616" s="21"/>
      <c r="AW1616" s="21"/>
    </row>
    <row r="1617" spans="1:49" x14ac:dyDescent="0.2">
      <c r="A1617">
        <v>874</v>
      </c>
      <c r="E1617">
        <f t="shared" si="545"/>
        <v>2</v>
      </c>
      <c r="J1617" t="str">
        <f t="shared" si="552"/>
        <v>0</v>
      </c>
      <c r="K1617" t="str">
        <f t="shared" si="553"/>
        <v>38</v>
      </c>
      <c r="L1617" t="str">
        <f t="shared" si="554"/>
        <v/>
      </c>
      <c r="M1617" s="6" t="str">
        <f t="shared" si="555"/>
        <v/>
      </c>
      <c r="N1617" t="str">
        <f t="shared" si="551"/>
        <v>Home</v>
      </c>
      <c r="O1617">
        <v>39</v>
      </c>
      <c r="P1617" t="s">
        <v>424</v>
      </c>
      <c r="Y1617" t="str">
        <f t="shared" si="538"/>
        <v/>
      </c>
      <c r="Z1617" t="str">
        <f t="shared" si="539"/>
        <v/>
      </c>
      <c r="AC1617" t="str">
        <f t="shared" si="535"/>
        <v>Shot</v>
      </c>
      <c r="AD1617" t="str">
        <f t="shared" si="536"/>
        <v>Shot_OnNetSaved</v>
      </c>
      <c r="AE1617" t="str">
        <f t="shared" si="537"/>
        <v>Shot-WrapAround</v>
      </c>
      <c r="AF1617" t="str">
        <f t="shared" si="540"/>
        <v>Offensive</v>
      </c>
      <c r="AG1617">
        <f t="shared" si="546"/>
        <v>18981</v>
      </c>
      <c r="AH1617" t="str">
        <f t="shared" si="547"/>
        <v>Nelson</v>
      </c>
      <c r="AI1617" t="str">
        <f t="shared" si="548"/>
        <v>Velodrome</v>
      </c>
      <c r="AJ1617" s="18">
        <f t="shared" si="541"/>
        <v>0</v>
      </c>
      <c r="AP1617" s="18">
        <f t="shared" si="542"/>
        <v>0</v>
      </c>
      <c r="AQ1617">
        <f t="shared" si="543"/>
        <v>1080</v>
      </c>
      <c r="AR1617" s="23">
        <f t="shared" si="544"/>
        <v>2122</v>
      </c>
      <c r="AS1617">
        <f t="shared" si="549"/>
        <v>2117</v>
      </c>
      <c r="AT1617" s="21">
        <f t="shared" si="550"/>
        <v>2122</v>
      </c>
      <c r="AU1617" s="21"/>
      <c r="AV1617" s="21"/>
      <c r="AW1617" s="21"/>
    </row>
    <row r="1618" spans="1:49" x14ac:dyDescent="0.2">
      <c r="A1618">
        <v>874</v>
      </c>
      <c r="E1618">
        <f t="shared" si="545"/>
        <v>2</v>
      </c>
      <c r="J1618" t="str">
        <f t="shared" si="552"/>
        <v>0</v>
      </c>
      <c r="K1618" t="str">
        <f t="shared" si="553"/>
        <v>38</v>
      </c>
      <c r="L1618" t="str">
        <f t="shared" si="554"/>
        <v/>
      </c>
      <c r="M1618" s="6" t="str">
        <f t="shared" si="555"/>
        <v/>
      </c>
      <c r="N1618" t="str">
        <f t="shared" si="551"/>
        <v>Home</v>
      </c>
      <c r="O1618">
        <v>93</v>
      </c>
      <c r="P1618" t="s">
        <v>425</v>
      </c>
      <c r="Y1618" t="str">
        <f t="shared" si="538"/>
        <v/>
      </c>
      <c r="Z1618" t="str">
        <f t="shared" si="539"/>
        <v/>
      </c>
      <c r="AC1618" t="str">
        <f t="shared" si="535"/>
        <v>Shot</v>
      </c>
      <c r="AD1618" t="str">
        <f t="shared" si="536"/>
        <v>Shot_OnNetSaved</v>
      </c>
      <c r="AE1618" t="str">
        <f t="shared" si="537"/>
        <v>Shot-WrapAround</v>
      </c>
      <c r="AF1618" t="str">
        <f t="shared" si="540"/>
        <v>Defensive</v>
      </c>
      <c r="AG1618">
        <f t="shared" si="546"/>
        <v>18981</v>
      </c>
      <c r="AH1618" t="str">
        <f t="shared" si="547"/>
        <v>Nelson</v>
      </c>
      <c r="AI1618" t="str">
        <f t="shared" si="548"/>
        <v>Velodrome</v>
      </c>
      <c r="AJ1618" s="18">
        <f t="shared" si="541"/>
        <v>0</v>
      </c>
      <c r="AP1618" s="18">
        <f t="shared" si="542"/>
        <v>0</v>
      </c>
      <c r="AQ1618">
        <f t="shared" si="543"/>
        <v>1080</v>
      </c>
      <c r="AR1618" s="23">
        <f t="shared" si="544"/>
        <v>2122</v>
      </c>
      <c r="AS1618">
        <f t="shared" si="549"/>
        <v>2117</v>
      </c>
      <c r="AT1618" s="21">
        <f t="shared" si="550"/>
        <v>2122</v>
      </c>
      <c r="AU1618" s="21"/>
      <c r="AV1618" s="21"/>
      <c r="AW1618" s="21"/>
    </row>
    <row r="1619" spans="1:49" x14ac:dyDescent="0.2">
      <c r="A1619">
        <v>875</v>
      </c>
      <c r="E1619">
        <f t="shared" si="545"/>
        <v>2</v>
      </c>
      <c r="F1619" s="5" t="s">
        <v>532</v>
      </c>
      <c r="G1619" s="5" t="s">
        <v>510</v>
      </c>
      <c r="J1619" t="str">
        <f t="shared" si="552"/>
        <v>0</v>
      </c>
      <c r="K1619" t="str">
        <f t="shared" si="553"/>
        <v>38</v>
      </c>
      <c r="L1619" t="str">
        <f t="shared" si="554"/>
        <v/>
      </c>
      <c r="M1619" s="6" t="str">
        <f t="shared" si="555"/>
        <v/>
      </c>
      <c r="N1619" t="s">
        <v>179</v>
      </c>
      <c r="O1619">
        <v>39</v>
      </c>
      <c r="P1619" t="s">
        <v>424</v>
      </c>
      <c r="Q1619" t="s">
        <v>17</v>
      </c>
      <c r="R1619" t="s">
        <v>196</v>
      </c>
      <c r="S1619" t="s">
        <v>100</v>
      </c>
      <c r="Y1619" t="str">
        <f t="shared" si="538"/>
        <v/>
      </c>
      <c r="Z1619" t="str">
        <f t="shared" si="539"/>
        <v/>
      </c>
      <c r="AC1619" t="str">
        <f t="shared" si="535"/>
        <v>Save</v>
      </c>
      <c r="AD1619" t="str">
        <f t="shared" si="536"/>
        <v>Save_Rebound</v>
      </c>
      <c r="AE1619" t="str">
        <f t="shared" si="537"/>
        <v>Save-Stick</v>
      </c>
      <c r="AF1619" t="str">
        <f t="shared" si="540"/>
        <v>Defensive</v>
      </c>
      <c r="AG1619">
        <f t="shared" si="546"/>
        <v>18981</v>
      </c>
      <c r="AH1619" t="str">
        <f t="shared" si="547"/>
        <v>Nelson</v>
      </c>
      <c r="AI1619" t="str">
        <f t="shared" si="548"/>
        <v>Velodrome</v>
      </c>
      <c r="AJ1619" s="18">
        <f t="shared" si="541"/>
        <v>0</v>
      </c>
      <c r="AP1619" s="18">
        <f t="shared" si="542"/>
        <v>0</v>
      </c>
      <c r="AQ1619">
        <f t="shared" si="543"/>
        <v>1080</v>
      </c>
      <c r="AR1619" s="23">
        <f t="shared" si="544"/>
        <v>2122</v>
      </c>
      <c r="AS1619">
        <f t="shared" si="549"/>
        <v>2117</v>
      </c>
      <c r="AT1619" s="21">
        <f t="shared" si="550"/>
        <v>2122</v>
      </c>
      <c r="AU1619" s="21"/>
      <c r="AV1619" s="21"/>
      <c r="AW1619" s="21"/>
    </row>
    <row r="1620" spans="1:49" x14ac:dyDescent="0.2">
      <c r="A1620">
        <v>875</v>
      </c>
      <c r="E1620">
        <f t="shared" si="545"/>
        <v>2</v>
      </c>
      <c r="J1620" t="str">
        <f t="shared" si="552"/>
        <v>0</v>
      </c>
      <c r="K1620" t="str">
        <f t="shared" si="553"/>
        <v>38</v>
      </c>
      <c r="L1620" t="str">
        <f t="shared" si="554"/>
        <v/>
      </c>
      <c r="M1620" s="6" t="str">
        <f t="shared" si="555"/>
        <v/>
      </c>
      <c r="N1620" t="str">
        <f t="shared" si="551"/>
        <v>Away</v>
      </c>
      <c r="O1620">
        <v>93</v>
      </c>
      <c r="P1620" t="s">
        <v>424</v>
      </c>
      <c r="Y1620" t="str">
        <f t="shared" si="538"/>
        <v/>
      </c>
      <c r="Z1620" t="str">
        <f t="shared" si="539"/>
        <v/>
      </c>
      <c r="AC1620" t="str">
        <f t="shared" si="535"/>
        <v>Save</v>
      </c>
      <c r="AD1620" t="str">
        <f t="shared" si="536"/>
        <v>Save_Rebound</v>
      </c>
      <c r="AE1620" t="str">
        <f t="shared" si="537"/>
        <v>Save-Stick</v>
      </c>
      <c r="AF1620" t="str">
        <f t="shared" si="540"/>
        <v>Defensive</v>
      </c>
      <c r="AG1620">
        <f t="shared" si="546"/>
        <v>18981</v>
      </c>
      <c r="AH1620" t="str">
        <f t="shared" si="547"/>
        <v>Nelson</v>
      </c>
      <c r="AI1620" t="str">
        <f t="shared" si="548"/>
        <v>Velodrome</v>
      </c>
      <c r="AJ1620" s="18">
        <f t="shared" si="541"/>
        <v>0</v>
      </c>
      <c r="AP1620" s="18">
        <f t="shared" si="542"/>
        <v>0</v>
      </c>
      <c r="AQ1620">
        <f t="shared" si="543"/>
        <v>1080</v>
      </c>
      <c r="AR1620" s="23">
        <f t="shared" si="544"/>
        <v>2122</v>
      </c>
      <c r="AS1620">
        <f t="shared" si="549"/>
        <v>2117</v>
      </c>
      <c r="AT1620" s="21">
        <f t="shared" si="550"/>
        <v>2122</v>
      </c>
      <c r="AU1620" s="21"/>
      <c r="AV1620" s="21"/>
      <c r="AW1620" s="21"/>
    </row>
    <row r="1621" spans="1:49" x14ac:dyDescent="0.2">
      <c r="A1621">
        <v>875</v>
      </c>
      <c r="E1621">
        <f t="shared" si="545"/>
        <v>2</v>
      </c>
      <c r="J1621" t="str">
        <f t="shared" si="552"/>
        <v>0</v>
      </c>
      <c r="K1621" t="str">
        <f t="shared" si="553"/>
        <v>38</v>
      </c>
      <c r="L1621" t="str">
        <f t="shared" si="554"/>
        <v/>
      </c>
      <c r="M1621" s="6" t="str">
        <f t="shared" si="555"/>
        <v/>
      </c>
      <c r="N1621" t="str">
        <f t="shared" si="551"/>
        <v>Away</v>
      </c>
      <c r="O1621">
        <v>16</v>
      </c>
      <c r="P1621" t="s">
        <v>425</v>
      </c>
      <c r="Y1621" t="str">
        <f t="shared" si="538"/>
        <v/>
      </c>
      <c r="Z1621" t="str">
        <f t="shared" si="539"/>
        <v/>
      </c>
      <c r="AC1621" t="str">
        <f t="shared" si="535"/>
        <v>Save</v>
      </c>
      <c r="AD1621" t="str">
        <f t="shared" si="536"/>
        <v>Save_Rebound</v>
      </c>
      <c r="AE1621" t="str">
        <f t="shared" si="537"/>
        <v>Save-Stick</v>
      </c>
      <c r="AF1621" t="str">
        <f t="shared" si="540"/>
        <v>Offensive</v>
      </c>
      <c r="AG1621">
        <f t="shared" si="546"/>
        <v>18981</v>
      </c>
      <c r="AH1621" t="str">
        <f t="shared" si="547"/>
        <v>Nelson</v>
      </c>
      <c r="AI1621" t="str">
        <f t="shared" si="548"/>
        <v>Velodrome</v>
      </c>
      <c r="AJ1621" s="18">
        <f t="shared" si="541"/>
        <v>0</v>
      </c>
      <c r="AP1621" s="18">
        <f t="shared" si="542"/>
        <v>0</v>
      </c>
      <c r="AQ1621">
        <f t="shared" si="543"/>
        <v>1080</v>
      </c>
      <c r="AR1621" s="23">
        <f t="shared" si="544"/>
        <v>2122</v>
      </c>
      <c r="AS1621">
        <f t="shared" si="549"/>
        <v>2117</v>
      </c>
      <c r="AT1621" s="21">
        <f t="shared" si="550"/>
        <v>2122</v>
      </c>
      <c r="AU1621" s="21"/>
      <c r="AV1621" s="21"/>
      <c r="AW1621" s="21"/>
    </row>
    <row r="1622" spans="1:49" x14ac:dyDescent="0.2">
      <c r="A1622">
        <v>876</v>
      </c>
      <c r="E1622">
        <f t="shared" si="545"/>
        <v>2</v>
      </c>
      <c r="F1622" s="5" t="s">
        <v>532</v>
      </c>
      <c r="G1622" s="5" t="s">
        <v>509</v>
      </c>
      <c r="J1622" t="str">
        <f t="shared" si="552"/>
        <v>0</v>
      </c>
      <c r="K1622" t="str">
        <f t="shared" si="553"/>
        <v>37</v>
      </c>
      <c r="L1622" t="str">
        <f t="shared" si="554"/>
        <v/>
      </c>
      <c r="M1622" s="6" t="str">
        <f t="shared" si="555"/>
        <v/>
      </c>
      <c r="N1622" t="s">
        <v>179</v>
      </c>
      <c r="O1622">
        <v>39</v>
      </c>
      <c r="P1622" t="s">
        <v>424</v>
      </c>
      <c r="Q1622" t="s">
        <v>270</v>
      </c>
      <c r="R1622" t="s">
        <v>273</v>
      </c>
      <c r="Y1622" t="str">
        <f t="shared" si="538"/>
        <v/>
      </c>
      <c r="Z1622" t="str">
        <f t="shared" si="539"/>
        <v/>
      </c>
      <c r="AC1622" t="str">
        <f t="shared" si="535"/>
        <v>Rebound</v>
      </c>
      <c r="AD1622" t="str">
        <f t="shared" si="536"/>
        <v>Rebound_ShotGenerated</v>
      </c>
      <c r="AE1622" t="str">
        <f t="shared" si="537"/>
        <v/>
      </c>
      <c r="AF1622" t="str">
        <f t="shared" si="540"/>
        <v>Offensive</v>
      </c>
      <c r="AG1622">
        <f t="shared" si="546"/>
        <v>18981</v>
      </c>
      <c r="AH1622" t="str">
        <f t="shared" si="547"/>
        <v>Nelson</v>
      </c>
      <c r="AI1622" t="str">
        <f t="shared" si="548"/>
        <v>Velodrome</v>
      </c>
      <c r="AJ1622" s="18">
        <f t="shared" si="541"/>
        <v>0</v>
      </c>
      <c r="AP1622" s="18">
        <f t="shared" si="542"/>
        <v>0</v>
      </c>
      <c r="AQ1622">
        <f t="shared" si="543"/>
        <v>1080</v>
      </c>
      <c r="AR1622" s="23">
        <f t="shared" si="544"/>
        <v>2123</v>
      </c>
      <c r="AS1622">
        <f t="shared" si="549"/>
        <v>2118</v>
      </c>
      <c r="AT1622" s="21">
        <f t="shared" si="550"/>
        <v>2123</v>
      </c>
      <c r="AU1622" s="21"/>
      <c r="AV1622" s="21"/>
      <c r="AW1622" s="21"/>
    </row>
    <row r="1623" spans="1:49" x14ac:dyDescent="0.2">
      <c r="A1623">
        <v>877</v>
      </c>
      <c r="E1623">
        <f t="shared" si="545"/>
        <v>2</v>
      </c>
      <c r="F1623" s="5" t="s">
        <v>532</v>
      </c>
      <c r="G1623" s="5" t="s">
        <v>508</v>
      </c>
      <c r="J1623" t="str">
        <f t="shared" si="552"/>
        <v>0</v>
      </c>
      <c r="K1623" t="str">
        <f t="shared" si="553"/>
        <v>36</v>
      </c>
      <c r="L1623" t="str">
        <f t="shared" si="554"/>
        <v/>
      </c>
      <c r="M1623" s="6" t="str">
        <f t="shared" si="555"/>
        <v/>
      </c>
      <c r="N1623" t="s">
        <v>178</v>
      </c>
      <c r="O1623">
        <v>79</v>
      </c>
      <c r="P1623" t="s">
        <v>424</v>
      </c>
      <c r="Q1623" t="s">
        <v>7</v>
      </c>
      <c r="R1623" t="s">
        <v>198</v>
      </c>
      <c r="S1623" t="s">
        <v>53</v>
      </c>
      <c r="Y1623" t="str">
        <f t="shared" si="538"/>
        <v/>
      </c>
      <c r="Z1623" t="str">
        <f t="shared" si="539"/>
        <v/>
      </c>
      <c r="AC1623" t="str">
        <f t="shared" si="535"/>
        <v>Shot</v>
      </c>
      <c r="AD1623" t="str">
        <f t="shared" si="536"/>
        <v>Shot_Missed</v>
      </c>
      <c r="AE1623" t="str">
        <f t="shared" si="537"/>
        <v>Shot-Wrist</v>
      </c>
      <c r="AF1623" t="str">
        <f t="shared" si="540"/>
        <v>Offensive</v>
      </c>
      <c r="AG1623">
        <f t="shared" si="546"/>
        <v>18981</v>
      </c>
      <c r="AH1623" t="str">
        <f t="shared" si="547"/>
        <v>Nelson</v>
      </c>
      <c r="AI1623" t="str">
        <f t="shared" si="548"/>
        <v>Velodrome</v>
      </c>
      <c r="AJ1623" s="18">
        <f t="shared" si="541"/>
        <v>0</v>
      </c>
      <c r="AP1623" s="18">
        <f t="shared" si="542"/>
        <v>0</v>
      </c>
      <c r="AQ1623">
        <f t="shared" si="543"/>
        <v>1080</v>
      </c>
      <c r="AR1623" s="23">
        <f t="shared" si="544"/>
        <v>2124</v>
      </c>
      <c r="AS1623">
        <f t="shared" si="549"/>
        <v>2119</v>
      </c>
      <c r="AT1623" s="21">
        <f t="shared" si="550"/>
        <v>2124</v>
      </c>
      <c r="AU1623" s="21"/>
      <c r="AV1623" s="21"/>
      <c r="AW1623" s="21"/>
    </row>
    <row r="1624" spans="1:49" x14ac:dyDescent="0.2">
      <c r="A1624">
        <v>878</v>
      </c>
      <c r="E1624">
        <f t="shared" si="545"/>
        <v>2</v>
      </c>
      <c r="F1624" s="5" t="s">
        <v>532</v>
      </c>
      <c r="G1624" s="5" t="s">
        <v>508</v>
      </c>
      <c r="J1624" t="str">
        <f t="shared" si="552"/>
        <v>0</v>
      </c>
      <c r="K1624" t="str">
        <f t="shared" si="553"/>
        <v>36</v>
      </c>
      <c r="L1624" t="str">
        <f t="shared" si="554"/>
        <v/>
      </c>
      <c r="M1624" s="6" t="str">
        <f t="shared" si="555"/>
        <v/>
      </c>
      <c r="N1624" t="s">
        <v>178</v>
      </c>
      <c r="O1624">
        <v>79</v>
      </c>
      <c r="P1624" t="s">
        <v>424</v>
      </c>
      <c r="Q1624" t="s">
        <v>10</v>
      </c>
      <c r="R1624" t="s">
        <v>190</v>
      </c>
      <c r="S1624" t="s">
        <v>79</v>
      </c>
      <c r="Y1624" t="str">
        <f t="shared" si="538"/>
        <v/>
      </c>
      <c r="Z1624" t="str">
        <f t="shared" si="539"/>
        <v/>
      </c>
      <c r="AC1624" t="str">
        <f t="shared" si="535"/>
        <v>Turnover</v>
      </c>
      <c r="AD1624" t="str">
        <f t="shared" si="536"/>
        <v>Turnover_Giveaway</v>
      </c>
      <c r="AE1624" t="str">
        <f t="shared" si="537"/>
        <v>Giveaway-ShotMissed</v>
      </c>
      <c r="AF1624" t="str">
        <f t="shared" si="540"/>
        <v>Offensive</v>
      </c>
      <c r="AG1624">
        <f t="shared" si="546"/>
        <v>18981</v>
      </c>
      <c r="AH1624" t="str">
        <f t="shared" si="547"/>
        <v>Nelson</v>
      </c>
      <c r="AI1624" t="str">
        <f t="shared" si="548"/>
        <v>Velodrome</v>
      </c>
      <c r="AJ1624" s="18">
        <f t="shared" si="541"/>
        <v>0</v>
      </c>
      <c r="AP1624" s="18">
        <f t="shared" si="542"/>
        <v>0</v>
      </c>
      <c r="AQ1624">
        <f t="shared" si="543"/>
        <v>1080</v>
      </c>
      <c r="AR1624" s="23">
        <f t="shared" si="544"/>
        <v>2124</v>
      </c>
      <c r="AS1624">
        <f t="shared" si="549"/>
        <v>2119</v>
      </c>
      <c r="AT1624" s="21">
        <f t="shared" si="550"/>
        <v>2124</v>
      </c>
      <c r="AU1624" s="21"/>
      <c r="AV1624" s="21"/>
      <c r="AW1624" s="21"/>
    </row>
    <row r="1625" spans="1:49" x14ac:dyDescent="0.2">
      <c r="A1625">
        <v>879</v>
      </c>
      <c r="E1625">
        <f t="shared" si="545"/>
        <v>2</v>
      </c>
      <c r="F1625" s="5" t="s">
        <v>532</v>
      </c>
      <c r="G1625" s="5" t="s">
        <v>503</v>
      </c>
      <c r="J1625" t="str">
        <f t="shared" si="552"/>
        <v>0</v>
      </c>
      <c r="K1625" t="str">
        <f t="shared" si="553"/>
        <v>31</v>
      </c>
      <c r="L1625" t="str">
        <f t="shared" si="554"/>
        <v/>
      </c>
      <c r="M1625" s="6" t="str">
        <f t="shared" si="555"/>
        <v/>
      </c>
      <c r="N1625" t="s">
        <v>179</v>
      </c>
      <c r="O1625">
        <v>14</v>
      </c>
      <c r="P1625" t="s">
        <v>424</v>
      </c>
      <c r="Q1625" t="s">
        <v>10</v>
      </c>
      <c r="R1625" t="s">
        <v>190</v>
      </c>
      <c r="S1625" t="s">
        <v>422</v>
      </c>
      <c r="Y1625" t="str">
        <f t="shared" si="538"/>
        <v/>
      </c>
      <c r="Z1625" t="str">
        <f t="shared" si="539"/>
        <v/>
      </c>
      <c r="AC1625" t="str">
        <f t="shared" si="535"/>
        <v>Turnover</v>
      </c>
      <c r="AD1625" t="str">
        <f t="shared" si="536"/>
        <v>Turnover_Giveaway</v>
      </c>
      <c r="AE1625" t="str">
        <f t="shared" si="537"/>
        <v>Giveaway-AttemptedZoneClear/Dump</v>
      </c>
      <c r="AF1625" t="str">
        <f t="shared" si="540"/>
        <v>Offensive</v>
      </c>
      <c r="AG1625">
        <f t="shared" si="546"/>
        <v>18981</v>
      </c>
      <c r="AH1625" t="str">
        <f t="shared" si="547"/>
        <v>Nelson</v>
      </c>
      <c r="AI1625" t="str">
        <f t="shared" si="548"/>
        <v>Velodrome</v>
      </c>
      <c r="AJ1625" s="18">
        <f t="shared" si="541"/>
        <v>0</v>
      </c>
      <c r="AP1625" s="18">
        <f t="shared" si="542"/>
        <v>0</v>
      </c>
      <c r="AQ1625">
        <f t="shared" si="543"/>
        <v>1080</v>
      </c>
      <c r="AR1625" s="23">
        <f t="shared" si="544"/>
        <v>2129</v>
      </c>
      <c r="AS1625">
        <f t="shared" si="549"/>
        <v>2124</v>
      </c>
      <c r="AT1625" s="21">
        <f t="shared" si="550"/>
        <v>2129</v>
      </c>
      <c r="AU1625" s="21"/>
      <c r="AV1625" s="21"/>
      <c r="AW1625" s="21"/>
    </row>
    <row r="1626" spans="1:49" x14ac:dyDescent="0.2">
      <c r="A1626">
        <v>880</v>
      </c>
      <c r="E1626">
        <f t="shared" si="545"/>
        <v>2</v>
      </c>
      <c r="F1626" s="5" t="s">
        <v>532</v>
      </c>
      <c r="G1626" s="5" t="s">
        <v>503</v>
      </c>
      <c r="J1626" t="str">
        <f t="shared" si="552"/>
        <v>0</v>
      </c>
      <c r="K1626" t="str">
        <f t="shared" si="553"/>
        <v>31</v>
      </c>
      <c r="L1626" t="str">
        <f t="shared" si="554"/>
        <v/>
      </c>
      <c r="M1626" s="6" t="str">
        <f t="shared" si="555"/>
        <v/>
      </c>
      <c r="N1626" t="s">
        <v>178</v>
      </c>
      <c r="O1626">
        <v>8</v>
      </c>
      <c r="P1626" t="s">
        <v>424</v>
      </c>
      <c r="Q1626" t="s">
        <v>277</v>
      </c>
      <c r="R1626" t="s">
        <v>210</v>
      </c>
      <c r="S1626" t="s">
        <v>93</v>
      </c>
      <c r="Y1626" t="str">
        <f t="shared" si="538"/>
        <v/>
      </c>
      <c r="Z1626" t="str">
        <f t="shared" si="539"/>
        <v/>
      </c>
      <c r="AC1626" t="str">
        <f t="shared" si="535"/>
        <v>Zone_Entry_Exit</v>
      </c>
      <c r="AD1626" t="str">
        <f t="shared" si="536"/>
        <v>Zone_Keepin</v>
      </c>
      <c r="AE1626" t="str">
        <f t="shared" si="537"/>
        <v>Zone-KeepIn</v>
      </c>
      <c r="AF1626" t="str">
        <f t="shared" si="540"/>
        <v>Offensive</v>
      </c>
      <c r="AG1626">
        <f t="shared" si="546"/>
        <v>18981</v>
      </c>
      <c r="AH1626" t="str">
        <f t="shared" si="547"/>
        <v>Nelson</v>
      </c>
      <c r="AI1626" t="str">
        <f t="shared" si="548"/>
        <v>Velodrome</v>
      </c>
      <c r="AJ1626" s="18">
        <f t="shared" si="541"/>
        <v>0</v>
      </c>
      <c r="AP1626" s="18">
        <f t="shared" si="542"/>
        <v>0</v>
      </c>
      <c r="AQ1626">
        <f t="shared" si="543"/>
        <v>1080</v>
      </c>
      <c r="AR1626" s="23">
        <f t="shared" si="544"/>
        <v>2129</v>
      </c>
      <c r="AS1626">
        <f t="shared" si="549"/>
        <v>2124</v>
      </c>
      <c r="AT1626" s="21">
        <f t="shared" si="550"/>
        <v>2129</v>
      </c>
      <c r="AU1626" s="21"/>
      <c r="AV1626" s="21"/>
      <c r="AW1626" s="21"/>
    </row>
    <row r="1627" spans="1:49" x14ac:dyDescent="0.2">
      <c r="A1627">
        <v>881</v>
      </c>
      <c r="E1627">
        <f t="shared" si="545"/>
        <v>2</v>
      </c>
      <c r="F1627" s="5" t="s">
        <v>532</v>
      </c>
      <c r="G1627" s="5" t="s">
        <v>503</v>
      </c>
      <c r="J1627" t="str">
        <f t="shared" si="552"/>
        <v>0</v>
      </c>
      <c r="K1627" t="str">
        <f t="shared" si="553"/>
        <v>31</v>
      </c>
      <c r="L1627" t="str">
        <f t="shared" si="554"/>
        <v/>
      </c>
      <c r="M1627" s="6" t="str">
        <f t="shared" si="555"/>
        <v/>
      </c>
      <c r="N1627" t="s">
        <v>178</v>
      </c>
      <c r="O1627">
        <v>8</v>
      </c>
      <c r="P1627" t="s">
        <v>424</v>
      </c>
      <c r="Q1627" t="s">
        <v>10</v>
      </c>
      <c r="R1627" t="s">
        <v>190</v>
      </c>
      <c r="S1627" t="s">
        <v>422</v>
      </c>
      <c r="Y1627" t="str">
        <f t="shared" si="538"/>
        <v/>
      </c>
      <c r="Z1627" t="str">
        <f t="shared" si="539"/>
        <v/>
      </c>
      <c r="AC1627" t="str">
        <f t="shared" si="535"/>
        <v>Turnover</v>
      </c>
      <c r="AD1627" t="str">
        <f t="shared" si="536"/>
        <v>Turnover_Giveaway</v>
      </c>
      <c r="AE1627" t="str">
        <f t="shared" si="537"/>
        <v>Giveaway-AttemptedZoneClear/Dump</v>
      </c>
      <c r="AF1627" t="str">
        <f t="shared" si="540"/>
        <v>Offensive</v>
      </c>
      <c r="AG1627">
        <f t="shared" si="546"/>
        <v>18981</v>
      </c>
      <c r="AH1627" t="str">
        <f t="shared" si="547"/>
        <v>Nelson</v>
      </c>
      <c r="AI1627" t="str">
        <f t="shared" si="548"/>
        <v>Velodrome</v>
      </c>
      <c r="AJ1627" s="18">
        <f t="shared" si="541"/>
        <v>0</v>
      </c>
      <c r="AP1627" s="18">
        <f t="shared" si="542"/>
        <v>0</v>
      </c>
      <c r="AQ1627">
        <f t="shared" si="543"/>
        <v>1080</v>
      </c>
      <c r="AR1627" s="23">
        <f t="shared" si="544"/>
        <v>2129</v>
      </c>
      <c r="AS1627">
        <f t="shared" si="549"/>
        <v>2124</v>
      </c>
      <c r="AT1627" s="21">
        <f t="shared" si="550"/>
        <v>2129</v>
      </c>
      <c r="AU1627" s="21"/>
      <c r="AV1627" s="21"/>
      <c r="AW1627" s="21"/>
    </row>
    <row r="1628" spans="1:49" x14ac:dyDescent="0.2">
      <c r="A1628">
        <v>882</v>
      </c>
      <c r="E1628">
        <f t="shared" si="545"/>
        <v>2</v>
      </c>
      <c r="F1628" s="5" t="s">
        <v>532</v>
      </c>
      <c r="G1628" s="5" t="s">
        <v>502</v>
      </c>
      <c r="J1628" t="str">
        <f t="shared" si="552"/>
        <v>0</v>
      </c>
      <c r="K1628" t="str">
        <f t="shared" si="553"/>
        <v>30</v>
      </c>
      <c r="L1628" t="str">
        <f t="shared" si="554"/>
        <v/>
      </c>
      <c r="M1628" s="6" t="str">
        <f t="shared" si="555"/>
        <v/>
      </c>
      <c r="N1628" t="s">
        <v>179</v>
      </c>
      <c r="O1628">
        <v>14</v>
      </c>
      <c r="P1628" t="s">
        <v>424</v>
      </c>
      <c r="Q1628" t="s">
        <v>13</v>
      </c>
      <c r="R1628" t="s">
        <v>204</v>
      </c>
      <c r="S1628" t="s">
        <v>108</v>
      </c>
      <c r="Y1628" t="str">
        <f t="shared" si="538"/>
        <v/>
      </c>
      <c r="Z1628" t="str">
        <f t="shared" si="539"/>
        <v/>
      </c>
      <c r="AC1628" t="str">
        <f t="shared" si="535"/>
        <v>Stoppage</v>
      </c>
      <c r="AD1628" t="str">
        <f t="shared" si="536"/>
        <v>Stoppage_Play</v>
      </c>
      <c r="AE1628" t="str">
        <f t="shared" si="537"/>
        <v>Stoppage-Icing</v>
      </c>
      <c r="AF1628" t="str">
        <f t="shared" si="540"/>
        <v/>
      </c>
      <c r="AG1628">
        <f t="shared" si="546"/>
        <v>18981</v>
      </c>
      <c r="AH1628" t="str">
        <f t="shared" si="547"/>
        <v>Nelson</v>
      </c>
      <c r="AI1628" t="str">
        <f t="shared" si="548"/>
        <v>Velodrome</v>
      </c>
      <c r="AJ1628" s="18">
        <f t="shared" si="541"/>
        <v>0</v>
      </c>
      <c r="AP1628" s="18">
        <f t="shared" si="542"/>
        <v>0</v>
      </c>
      <c r="AQ1628">
        <f t="shared" si="543"/>
        <v>1080</v>
      </c>
      <c r="AR1628" s="23">
        <f t="shared" si="544"/>
        <v>2130</v>
      </c>
      <c r="AS1628">
        <f t="shared" si="549"/>
        <v>2125</v>
      </c>
      <c r="AT1628" s="21">
        <f t="shared" si="550"/>
        <v>2130</v>
      </c>
      <c r="AU1628" s="21"/>
      <c r="AV1628" s="21"/>
      <c r="AW1628" s="21"/>
    </row>
    <row r="1629" spans="1:49" x14ac:dyDescent="0.2">
      <c r="A1629">
        <v>883</v>
      </c>
      <c r="E1629">
        <f t="shared" si="545"/>
        <v>2</v>
      </c>
      <c r="F1629" s="5" t="s">
        <v>532</v>
      </c>
      <c r="G1629" s="5" t="s">
        <v>497</v>
      </c>
      <c r="H1629" s="5" t="s">
        <v>532</v>
      </c>
      <c r="I1629" s="7" t="s">
        <v>473</v>
      </c>
      <c r="J1629" t="str">
        <f t="shared" si="552"/>
        <v>0</v>
      </c>
      <c r="K1629" t="str">
        <f t="shared" si="553"/>
        <v>25</v>
      </c>
      <c r="L1629" t="str">
        <f t="shared" si="554"/>
        <v>0</v>
      </c>
      <c r="M1629" s="6" t="str">
        <f t="shared" si="555"/>
        <v>03</v>
      </c>
      <c r="N1629" t="s">
        <v>179</v>
      </c>
      <c r="O1629">
        <v>14</v>
      </c>
      <c r="P1629" t="s">
        <v>424</v>
      </c>
      <c r="Q1629" t="s">
        <v>282</v>
      </c>
      <c r="Y1629" t="str">
        <f t="shared" si="538"/>
        <v/>
      </c>
      <c r="Z1629" t="str">
        <f t="shared" si="539"/>
        <v/>
      </c>
      <c r="AC1629" t="str">
        <f t="shared" si="535"/>
        <v>DeadIce</v>
      </c>
      <c r="AD1629" t="str">
        <f t="shared" si="536"/>
        <v/>
      </c>
      <c r="AE1629" t="str">
        <f t="shared" si="537"/>
        <v/>
      </c>
      <c r="AF1629" t="str">
        <f t="shared" si="540"/>
        <v/>
      </c>
      <c r="AG1629">
        <f t="shared" si="546"/>
        <v>18981</v>
      </c>
      <c r="AH1629" t="str">
        <f t="shared" si="547"/>
        <v>Nelson</v>
      </c>
      <c r="AI1629" t="str">
        <f t="shared" si="548"/>
        <v>Velodrome</v>
      </c>
      <c r="AJ1629" s="18">
        <f t="shared" si="541"/>
        <v>22</v>
      </c>
      <c r="AP1629" s="18">
        <f t="shared" si="542"/>
        <v>0</v>
      </c>
      <c r="AQ1629">
        <f t="shared" si="543"/>
        <v>1080</v>
      </c>
      <c r="AR1629" s="23">
        <f t="shared" si="544"/>
        <v>2135</v>
      </c>
      <c r="AS1629">
        <f t="shared" si="549"/>
        <v>2130</v>
      </c>
      <c r="AT1629" s="21">
        <f t="shared" si="550"/>
        <v>2157</v>
      </c>
      <c r="AU1629" s="21"/>
      <c r="AV1629" s="21"/>
      <c r="AW1629" s="21"/>
    </row>
    <row r="1630" spans="1:49" x14ac:dyDescent="0.2">
      <c r="A1630">
        <v>864</v>
      </c>
      <c r="E1630">
        <f t="shared" si="545"/>
        <v>2</v>
      </c>
      <c r="F1630" s="5" t="s">
        <v>532</v>
      </c>
      <c r="G1630" s="5" t="s">
        <v>473</v>
      </c>
      <c r="J1630" t="str">
        <f t="shared" si="552"/>
        <v>0</v>
      </c>
      <c r="K1630" t="str">
        <f t="shared" si="553"/>
        <v>03</v>
      </c>
      <c r="L1630" t="str">
        <f t="shared" si="554"/>
        <v/>
      </c>
      <c r="M1630" s="6" t="str">
        <f t="shared" si="555"/>
        <v/>
      </c>
      <c r="N1630" t="s">
        <v>179</v>
      </c>
      <c r="O1630">
        <v>49</v>
      </c>
      <c r="P1630" t="s">
        <v>424</v>
      </c>
      <c r="Q1630" t="s">
        <v>6</v>
      </c>
      <c r="R1630" t="s">
        <v>275</v>
      </c>
      <c r="Y1630" t="str">
        <f t="shared" si="538"/>
        <v/>
      </c>
      <c r="Z1630" t="str">
        <f t="shared" si="539"/>
        <v/>
      </c>
      <c r="AC1630" t="str">
        <f t="shared" si="535"/>
        <v>Faceoff</v>
      </c>
      <c r="AD1630" t="str">
        <f t="shared" si="536"/>
        <v>Faceoff_AfterStoppage</v>
      </c>
      <c r="AE1630" t="str">
        <f t="shared" si="537"/>
        <v/>
      </c>
      <c r="AF1630" t="str">
        <f t="shared" si="540"/>
        <v>Offensive</v>
      </c>
      <c r="AG1630">
        <f t="shared" si="546"/>
        <v>18981</v>
      </c>
      <c r="AH1630" t="str">
        <f t="shared" si="547"/>
        <v>Nelson</v>
      </c>
      <c r="AI1630" t="str">
        <f t="shared" si="548"/>
        <v>Velodrome</v>
      </c>
      <c r="AJ1630" s="18">
        <f t="shared" si="541"/>
        <v>0</v>
      </c>
      <c r="AP1630" s="18">
        <f t="shared" si="542"/>
        <v>0</v>
      </c>
      <c r="AQ1630">
        <f t="shared" si="543"/>
        <v>1080</v>
      </c>
      <c r="AR1630" s="23">
        <f t="shared" si="544"/>
        <v>2157</v>
      </c>
      <c r="AS1630">
        <f t="shared" si="549"/>
        <v>2152</v>
      </c>
      <c r="AT1630" s="21">
        <f t="shared" si="550"/>
        <v>2157</v>
      </c>
      <c r="AU1630" s="21"/>
      <c r="AV1630" s="21"/>
      <c r="AW1630" s="21"/>
    </row>
    <row r="1631" spans="1:49" x14ac:dyDescent="0.2">
      <c r="A1631">
        <v>864</v>
      </c>
      <c r="E1631">
        <f t="shared" si="545"/>
        <v>2</v>
      </c>
      <c r="J1631" t="str">
        <f t="shared" si="552"/>
        <v>0</v>
      </c>
      <c r="K1631" t="str">
        <f t="shared" si="553"/>
        <v>03</v>
      </c>
      <c r="L1631" t="str">
        <f t="shared" si="554"/>
        <v/>
      </c>
      <c r="M1631" s="6" t="str">
        <f t="shared" si="555"/>
        <v/>
      </c>
      <c r="N1631" t="str">
        <f t="shared" si="551"/>
        <v>Away</v>
      </c>
      <c r="O1631">
        <v>93</v>
      </c>
      <c r="P1631" t="s">
        <v>424</v>
      </c>
      <c r="Y1631" t="str">
        <f t="shared" si="538"/>
        <v/>
      </c>
      <c r="Z1631" t="str">
        <f t="shared" si="539"/>
        <v/>
      </c>
      <c r="AC1631" t="str">
        <f t="shared" si="535"/>
        <v>Faceoff</v>
      </c>
      <c r="AD1631" t="str">
        <f t="shared" si="536"/>
        <v>Faceoff_AfterStoppage</v>
      </c>
      <c r="AE1631" t="str">
        <f t="shared" si="537"/>
        <v/>
      </c>
      <c r="AF1631" t="str">
        <f t="shared" si="540"/>
        <v>Offensive</v>
      </c>
      <c r="AG1631">
        <f t="shared" si="546"/>
        <v>18981</v>
      </c>
      <c r="AH1631" t="str">
        <f t="shared" si="547"/>
        <v>Nelson</v>
      </c>
      <c r="AI1631" t="str">
        <f t="shared" si="548"/>
        <v>Velodrome</v>
      </c>
      <c r="AJ1631" s="18">
        <f t="shared" si="541"/>
        <v>0</v>
      </c>
      <c r="AP1631" s="18">
        <f t="shared" si="542"/>
        <v>0</v>
      </c>
      <c r="AQ1631">
        <f t="shared" si="543"/>
        <v>1080</v>
      </c>
      <c r="AR1631" s="23">
        <f t="shared" si="544"/>
        <v>2157</v>
      </c>
      <c r="AS1631">
        <f t="shared" si="549"/>
        <v>2152</v>
      </c>
      <c r="AT1631" s="21">
        <f t="shared" si="550"/>
        <v>2157</v>
      </c>
      <c r="AU1631" s="21"/>
      <c r="AV1631" s="21"/>
      <c r="AW1631" s="21"/>
    </row>
    <row r="1632" spans="1:49" x14ac:dyDescent="0.2">
      <c r="A1632">
        <v>864</v>
      </c>
      <c r="E1632">
        <f t="shared" si="545"/>
        <v>2</v>
      </c>
      <c r="J1632" t="str">
        <f t="shared" si="552"/>
        <v>0</v>
      </c>
      <c r="K1632" t="str">
        <f t="shared" si="553"/>
        <v>03</v>
      </c>
      <c r="L1632" t="str">
        <f t="shared" si="554"/>
        <v/>
      </c>
      <c r="M1632" s="6" t="str">
        <f t="shared" si="555"/>
        <v/>
      </c>
      <c r="N1632" t="str">
        <f t="shared" si="551"/>
        <v>Away</v>
      </c>
      <c r="O1632">
        <v>79</v>
      </c>
      <c r="P1632" t="s">
        <v>425</v>
      </c>
      <c r="Y1632" t="str">
        <f t="shared" si="538"/>
        <v/>
      </c>
      <c r="Z1632" t="str">
        <f t="shared" si="539"/>
        <v/>
      </c>
      <c r="AC1632" t="str">
        <f t="shared" si="535"/>
        <v>Faceoff</v>
      </c>
      <c r="AD1632" t="str">
        <f t="shared" si="536"/>
        <v>Faceoff_AfterStoppage</v>
      </c>
      <c r="AE1632" t="str">
        <f t="shared" si="537"/>
        <v/>
      </c>
      <c r="AF1632" t="str">
        <f t="shared" si="540"/>
        <v>Defensive</v>
      </c>
      <c r="AG1632">
        <f t="shared" si="546"/>
        <v>18981</v>
      </c>
      <c r="AH1632" t="str">
        <f t="shared" si="547"/>
        <v>Nelson</v>
      </c>
      <c r="AI1632" t="str">
        <f t="shared" si="548"/>
        <v>Velodrome</v>
      </c>
      <c r="AJ1632" s="18">
        <f t="shared" si="541"/>
        <v>0</v>
      </c>
      <c r="AP1632" s="18">
        <f t="shared" si="542"/>
        <v>0</v>
      </c>
      <c r="AQ1632">
        <f t="shared" si="543"/>
        <v>1080</v>
      </c>
      <c r="AR1632" s="23">
        <f t="shared" si="544"/>
        <v>2157</v>
      </c>
      <c r="AS1632">
        <f t="shared" si="549"/>
        <v>2152</v>
      </c>
      <c r="AT1632" s="21">
        <f t="shared" si="550"/>
        <v>2157</v>
      </c>
      <c r="AU1632" s="21"/>
      <c r="AV1632" s="21"/>
      <c r="AW1632" s="21"/>
    </row>
    <row r="1633" spans="1:49" x14ac:dyDescent="0.2">
      <c r="A1633">
        <v>865</v>
      </c>
      <c r="E1633">
        <f t="shared" si="545"/>
        <v>2</v>
      </c>
      <c r="F1633" s="5" t="s">
        <v>532</v>
      </c>
      <c r="G1633" s="5" t="s">
        <v>473</v>
      </c>
      <c r="H1633" s="5" t="s">
        <v>532</v>
      </c>
      <c r="I1633" s="7" t="s">
        <v>475</v>
      </c>
      <c r="J1633" t="str">
        <f t="shared" si="552"/>
        <v>0</v>
      </c>
      <c r="K1633" t="str">
        <f t="shared" si="553"/>
        <v>03</v>
      </c>
      <c r="L1633" t="str">
        <f t="shared" si="554"/>
        <v>0</v>
      </c>
      <c r="M1633" s="6" t="str">
        <f t="shared" si="555"/>
        <v>00</v>
      </c>
      <c r="N1633" t="s">
        <v>179</v>
      </c>
      <c r="O1633">
        <v>93</v>
      </c>
      <c r="P1633" t="s">
        <v>424</v>
      </c>
      <c r="Q1633" t="s">
        <v>15</v>
      </c>
      <c r="Y1633" t="str">
        <f t="shared" si="538"/>
        <v/>
      </c>
      <c r="Z1633" t="str">
        <f t="shared" si="539"/>
        <v/>
      </c>
      <c r="AC1633" t="str">
        <f t="shared" si="535"/>
        <v>Possession</v>
      </c>
      <c r="AD1633" t="str">
        <f t="shared" si="536"/>
        <v/>
      </c>
      <c r="AE1633" t="str">
        <f t="shared" si="537"/>
        <v/>
      </c>
      <c r="AF1633" t="str">
        <f t="shared" si="540"/>
        <v>Offensive</v>
      </c>
      <c r="AG1633">
        <f t="shared" si="546"/>
        <v>18981</v>
      </c>
      <c r="AH1633" t="str">
        <f t="shared" si="547"/>
        <v>Nelson</v>
      </c>
      <c r="AI1633" t="str">
        <f t="shared" si="548"/>
        <v>Velodrome</v>
      </c>
      <c r="AJ1633" s="18">
        <f t="shared" si="541"/>
        <v>3</v>
      </c>
      <c r="AP1633" s="18">
        <f t="shared" si="542"/>
        <v>0</v>
      </c>
      <c r="AQ1633">
        <f t="shared" si="543"/>
        <v>1080</v>
      </c>
      <c r="AR1633" s="23">
        <f t="shared" si="544"/>
        <v>2157</v>
      </c>
      <c r="AS1633">
        <f t="shared" si="549"/>
        <v>2152</v>
      </c>
      <c r="AT1633" s="21">
        <f t="shared" si="550"/>
        <v>2160</v>
      </c>
      <c r="AU1633" s="21"/>
      <c r="AV1633" s="21"/>
      <c r="AW1633" s="21"/>
    </row>
    <row r="1634" spans="1:49" x14ac:dyDescent="0.2">
      <c r="A1634">
        <v>866</v>
      </c>
      <c r="E1634">
        <f t="shared" si="545"/>
        <v>2</v>
      </c>
      <c r="F1634" s="5" t="s">
        <v>532</v>
      </c>
      <c r="G1634" s="5" t="s">
        <v>475</v>
      </c>
      <c r="J1634" t="str">
        <f t="shared" si="552"/>
        <v>0</v>
      </c>
      <c r="K1634" t="str">
        <f t="shared" si="553"/>
        <v>00</v>
      </c>
      <c r="L1634" t="str">
        <f t="shared" si="554"/>
        <v/>
      </c>
      <c r="M1634" s="6" t="str">
        <f t="shared" si="555"/>
        <v/>
      </c>
      <c r="Q1634" t="s">
        <v>13</v>
      </c>
      <c r="R1634" t="s">
        <v>194</v>
      </c>
      <c r="S1634" t="s">
        <v>41</v>
      </c>
      <c r="Y1634" t="str">
        <f t="shared" si="538"/>
        <v/>
      </c>
      <c r="Z1634" t="str">
        <f t="shared" si="539"/>
        <v/>
      </c>
      <c r="AC1634" t="str">
        <f t="shared" si="535"/>
        <v>Stoppage</v>
      </c>
      <c r="AD1634" t="str">
        <f t="shared" si="536"/>
        <v>Stoppage_Period</v>
      </c>
      <c r="AE1634" t="str">
        <f t="shared" si="537"/>
        <v>Stoppage-PeriodEnd</v>
      </c>
      <c r="AF1634" t="str">
        <f t="shared" si="540"/>
        <v/>
      </c>
      <c r="AG1634">
        <f t="shared" si="546"/>
        <v>18981</v>
      </c>
      <c r="AH1634" t="str">
        <f t="shared" si="547"/>
        <v>Nelson</v>
      </c>
      <c r="AI1634" t="str">
        <f t="shared" si="548"/>
        <v>Velodrome</v>
      </c>
      <c r="AJ1634" s="18">
        <f t="shared" si="541"/>
        <v>0</v>
      </c>
      <c r="AP1634" s="18">
        <f t="shared" si="542"/>
        <v>0</v>
      </c>
      <c r="AQ1634">
        <f t="shared" si="543"/>
        <v>1080</v>
      </c>
      <c r="AR1634" s="23">
        <f t="shared" si="544"/>
        <v>2160</v>
      </c>
      <c r="AS1634">
        <f t="shared" si="549"/>
        <v>2155</v>
      </c>
      <c r="AT1634" s="21">
        <f t="shared" si="550"/>
        <v>2160</v>
      </c>
      <c r="AU1634" s="21"/>
      <c r="AV1634" s="21"/>
      <c r="AW1634" s="21"/>
    </row>
    <row r="1635" spans="1:49" x14ac:dyDescent="0.2">
      <c r="A1635">
        <v>867</v>
      </c>
      <c r="E1635">
        <f t="shared" si="545"/>
        <v>3</v>
      </c>
      <c r="F1635" s="5" t="s">
        <v>495</v>
      </c>
      <c r="G1635" s="5" t="s">
        <v>521</v>
      </c>
      <c r="H1635" s="5" t="s">
        <v>494</v>
      </c>
      <c r="I1635" s="7" t="s">
        <v>511</v>
      </c>
      <c r="J1635" t="str">
        <f t="shared" si="552"/>
        <v>23</v>
      </c>
      <c r="K1635" t="str">
        <f t="shared" si="553"/>
        <v>49</v>
      </c>
      <c r="L1635" t="str">
        <f t="shared" si="554"/>
        <v>22</v>
      </c>
      <c r="M1635" s="6" t="str">
        <f t="shared" si="555"/>
        <v>39</v>
      </c>
      <c r="N1635" t="str">
        <f t="shared" si="551"/>
        <v/>
      </c>
      <c r="Q1635" t="s">
        <v>450</v>
      </c>
      <c r="Y1635" t="str">
        <f t="shared" si="538"/>
        <v/>
      </c>
      <c r="Z1635" t="str">
        <f t="shared" si="539"/>
        <v/>
      </c>
      <c r="AC1635" t="str">
        <f t="shared" si="535"/>
        <v>Intermission</v>
      </c>
      <c r="AD1635" t="str">
        <f t="shared" si="536"/>
        <v/>
      </c>
      <c r="AE1635" t="str">
        <f t="shared" si="537"/>
        <v/>
      </c>
      <c r="AF1635" t="str">
        <f t="shared" si="540"/>
        <v/>
      </c>
      <c r="AG1635">
        <f t="shared" si="546"/>
        <v>18981</v>
      </c>
      <c r="AH1635" t="str">
        <f t="shared" si="547"/>
        <v>Nelson</v>
      </c>
      <c r="AI1635" t="str">
        <f t="shared" si="548"/>
        <v>Velodrome</v>
      </c>
      <c r="AJ1635" s="18">
        <f t="shared" si="541"/>
        <v>70</v>
      </c>
      <c r="AP1635" s="18">
        <f t="shared" si="542"/>
        <v>70</v>
      </c>
      <c r="AQ1635">
        <f t="shared" si="543"/>
        <v>2230</v>
      </c>
      <c r="AR1635" s="23">
        <f t="shared" si="544"/>
        <v>2160</v>
      </c>
      <c r="AS1635">
        <f t="shared" si="549"/>
        <v>2155</v>
      </c>
      <c r="AT1635" s="21">
        <f t="shared" si="550"/>
        <v>2230</v>
      </c>
      <c r="AU1635" s="21"/>
      <c r="AV1635" s="21"/>
      <c r="AW1635" s="21"/>
    </row>
    <row r="1636" spans="1:49" x14ac:dyDescent="0.2">
      <c r="A1636">
        <v>868</v>
      </c>
      <c r="E1636">
        <f t="shared" si="545"/>
        <v>3</v>
      </c>
      <c r="F1636" s="5" t="s">
        <v>490</v>
      </c>
      <c r="G1636" s="5" t="s">
        <v>475</v>
      </c>
      <c r="J1636" t="str">
        <f t="shared" si="552"/>
        <v>18</v>
      </c>
      <c r="K1636" t="str">
        <f t="shared" si="553"/>
        <v>00</v>
      </c>
      <c r="L1636" t="str">
        <f t="shared" si="554"/>
        <v/>
      </c>
      <c r="M1636" s="6" t="str">
        <f t="shared" si="555"/>
        <v/>
      </c>
      <c r="N1636" t="s">
        <v>178</v>
      </c>
      <c r="O1636">
        <v>70</v>
      </c>
      <c r="P1636" t="s">
        <v>424</v>
      </c>
      <c r="Q1636" t="s">
        <v>6</v>
      </c>
      <c r="R1636" t="s">
        <v>214</v>
      </c>
      <c r="Y1636" t="str">
        <f t="shared" si="538"/>
        <v/>
      </c>
      <c r="Z1636" t="str">
        <f t="shared" si="539"/>
        <v/>
      </c>
      <c r="AC1636" t="str">
        <f t="shared" si="535"/>
        <v>Faceoff</v>
      </c>
      <c r="AD1636" t="str">
        <f t="shared" si="536"/>
        <v>Faceoff_PeriodStart</v>
      </c>
      <c r="AE1636" t="str">
        <f t="shared" si="537"/>
        <v/>
      </c>
      <c r="AF1636" t="str">
        <f t="shared" si="540"/>
        <v>Offensive</v>
      </c>
      <c r="AG1636">
        <f t="shared" si="546"/>
        <v>18981</v>
      </c>
      <c r="AH1636" t="str">
        <f t="shared" si="547"/>
        <v>Nelson</v>
      </c>
      <c r="AI1636" t="str">
        <f t="shared" si="548"/>
        <v>Velodrome</v>
      </c>
      <c r="AJ1636" s="18">
        <f t="shared" si="541"/>
        <v>0</v>
      </c>
      <c r="AP1636" s="18">
        <f t="shared" si="542"/>
        <v>0</v>
      </c>
      <c r="AQ1636">
        <f t="shared" si="543"/>
        <v>2160</v>
      </c>
      <c r="AR1636" s="23">
        <f t="shared" si="544"/>
        <v>2160</v>
      </c>
      <c r="AS1636">
        <f t="shared" si="549"/>
        <v>2155</v>
      </c>
      <c r="AT1636" s="21">
        <f t="shared" si="550"/>
        <v>2160</v>
      </c>
      <c r="AU1636" s="21"/>
      <c r="AV1636" s="21"/>
      <c r="AW1636" s="21"/>
    </row>
    <row r="1637" spans="1:49" x14ac:dyDescent="0.2">
      <c r="A1637">
        <v>868</v>
      </c>
      <c r="E1637">
        <f t="shared" si="545"/>
        <v>3</v>
      </c>
      <c r="J1637" t="str">
        <f t="shared" si="552"/>
        <v>18</v>
      </c>
      <c r="K1637" t="str">
        <f t="shared" si="553"/>
        <v>00</v>
      </c>
      <c r="L1637" t="str">
        <f t="shared" si="554"/>
        <v/>
      </c>
      <c r="M1637" s="6" t="str">
        <f t="shared" si="555"/>
        <v/>
      </c>
      <c r="N1637" t="str">
        <f t="shared" si="551"/>
        <v>Home</v>
      </c>
      <c r="O1637">
        <v>79</v>
      </c>
      <c r="P1637" t="s">
        <v>425</v>
      </c>
      <c r="Y1637" t="str">
        <f t="shared" si="538"/>
        <v/>
      </c>
      <c r="Z1637" t="str">
        <f t="shared" si="539"/>
        <v/>
      </c>
      <c r="AC1637" t="str">
        <f t="shared" si="535"/>
        <v>Faceoff</v>
      </c>
      <c r="AD1637" t="str">
        <f t="shared" si="536"/>
        <v>Faceoff_PeriodStart</v>
      </c>
      <c r="AE1637" t="str">
        <f t="shared" si="537"/>
        <v/>
      </c>
      <c r="AF1637" t="str">
        <f t="shared" si="540"/>
        <v>Defensive</v>
      </c>
      <c r="AG1637">
        <f t="shared" si="546"/>
        <v>18981</v>
      </c>
      <c r="AH1637" t="str">
        <f t="shared" si="547"/>
        <v>Nelson</v>
      </c>
      <c r="AI1637" t="str">
        <f t="shared" si="548"/>
        <v>Velodrome</v>
      </c>
      <c r="AJ1637" s="18">
        <f t="shared" si="541"/>
        <v>0</v>
      </c>
      <c r="AP1637" s="18">
        <f t="shared" si="542"/>
        <v>0</v>
      </c>
      <c r="AQ1637">
        <f t="shared" si="543"/>
        <v>2160</v>
      </c>
      <c r="AR1637" s="23">
        <f t="shared" si="544"/>
        <v>2160</v>
      </c>
      <c r="AS1637">
        <f t="shared" si="549"/>
        <v>2155</v>
      </c>
      <c r="AT1637" s="21">
        <f t="shared" si="550"/>
        <v>2160</v>
      </c>
      <c r="AU1637" s="21"/>
      <c r="AV1637" s="21"/>
      <c r="AW1637" s="21"/>
    </row>
    <row r="1638" spans="1:49" x14ac:dyDescent="0.2">
      <c r="A1638">
        <v>869</v>
      </c>
      <c r="E1638">
        <f t="shared" si="545"/>
        <v>3</v>
      </c>
      <c r="F1638" s="5" t="s">
        <v>472</v>
      </c>
      <c r="G1638" s="5" t="s">
        <v>530</v>
      </c>
      <c r="J1638" t="str">
        <f t="shared" si="552"/>
        <v>17</v>
      </c>
      <c r="K1638" t="str">
        <f t="shared" si="553"/>
        <v>58</v>
      </c>
      <c r="L1638" t="str">
        <f t="shared" si="554"/>
        <v/>
      </c>
      <c r="M1638" s="6" t="str">
        <f t="shared" si="555"/>
        <v/>
      </c>
      <c r="N1638" t="s">
        <v>179</v>
      </c>
      <c r="O1638">
        <v>75</v>
      </c>
      <c r="P1638" t="s">
        <v>424</v>
      </c>
      <c r="Q1638" t="s">
        <v>10</v>
      </c>
      <c r="R1638" t="s">
        <v>190</v>
      </c>
      <c r="S1638" t="s">
        <v>76</v>
      </c>
      <c r="Y1638" t="str">
        <f t="shared" si="538"/>
        <v/>
      </c>
      <c r="Z1638" t="str">
        <f t="shared" si="539"/>
        <v/>
      </c>
      <c r="AC1638" t="str">
        <f t="shared" si="535"/>
        <v>Turnover</v>
      </c>
      <c r="AD1638" t="str">
        <f t="shared" si="536"/>
        <v>Turnover_Giveaway</v>
      </c>
      <c r="AE1638" t="str">
        <f t="shared" si="537"/>
        <v>Giveaway-PassMissed</v>
      </c>
      <c r="AF1638" t="str">
        <f t="shared" si="540"/>
        <v>Offensive</v>
      </c>
      <c r="AG1638">
        <f t="shared" si="546"/>
        <v>18981</v>
      </c>
      <c r="AH1638" t="str">
        <f t="shared" si="547"/>
        <v>Nelson</v>
      </c>
      <c r="AI1638" t="str">
        <f t="shared" si="548"/>
        <v>Velodrome</v>
      </c>
      <c r="AJ1638" s="18">
        <f t="shared" si="541"/>
        <v>0</v>
      </c>
      <c r="AP1638" s="18">
        <f t="shared" si="542"/>
        <v>0</v>
      </c>
      <c r="AQ1638">
        <f t="shared" si="543"/>
        <v>2160</v>
      </c>
      <c r="AR1638" s="23">
        <f t="shared" si="544"/>
        <v>2162</v>
      </c>
      <c r="AS1638">
        <f t="shared" si="549"/>
        <v>2157</v>
      </c>
      <c r="AT1638" s="21">
        <f t="shared" si="550"/>
        <v>2162</v>
      </c>
      <c r="AU1638" s="21"/>
      <c r="AV1638" s="21"/>
      <c r="AW1638" s="21"/>
    </row>
    <row r="1639" spans="1:49" x14ac:dyDescent="0.2">
      <c r="A1639">
        <v>869</v>
      </c>
      <c r="E1639">
        <f t="shared" si="545"/>
        <v>3</v>
      </c>
      <c r="J1639" t="str">
        <f t="shared" si="552"/>
        <v>17</v>
      </c>
      <c r="K1639" t="str">
        <f t="shared" si="553"/>
        <v>58</v>
      </c>
      <c r="L1639" t="str">
        <f t="shared" si="554"/>
        <v/>
      </c>
      <c r="M1639" s="6" t="str">
        <f t="shared" si="555"/>
        <v/>
      </c>
      <c r="N1639" t="str">
        <f t="shared" si="551"/>
        <v>Away</v>
      </c>
      <c r="O1639">
        <v>70</v>
      </c>
      <c r="P1639" t="s">
        <v>424</v>
      </c>
      <c r="Y1639" t="str">
        <f t="shared" si="538"/>
        <v/>
      </c>
      <c r="Z1639" t="str">
        <f t="shared" si="539"/>
        <v/>
      </c>
      <c r="AC1639" t="str">
        <f t="shared" si="535"/>
        <v>Turnover</v>
      </c>
      <c r="AD1639" t="str">
        <f t="shared" si="536"/>
        <v>Turnover_Giveaway</v>
      </c>
      <c r="AE1639" t="str">
        <f t="shared" si="537"/>
        <v>Giveaway-PassMissed</v>
      </c>
      <c r="AF1639" t="str">
        <f t="shared" si="540"/>
        <v>Offensive</v>
      </c>
      <c r="AG1639">
        <f t="shared" si="546"/>
        <v>18981</v>
      </c>
      <c r="AH1639" t="str">
        <f t="shared" si="547"/>
        <v>Nelson</v>
      </c>
      <c r="AI1639" t="str">
        <f t="shared" si="548"/>
        <v>Velodrome</v>
      </c>
      <c r="AJ1639" s="18">
        <f t="shared" si="541"/>
        <v>0</v>
      </c>
      <c r="AP1639" s="18">
        <f t="shared" si="542"/>
        <v>0</v>
      </c>
      <c r="AQ1639">
        <f t="shared" si="543"/>
        <v>2160</v>
      </c>
      <c r="AR1639" s="23">
        <f t="shared" si="544"/>
        <v>2162</v>
      </c>
      <c r="AS1639">
        <f t="shared" si="549"/>
        <v>2157</v>
      </c>
      <c r="AT1639" s="21">
        <f t="shared" si="550"/>
        <v>2162</v>
      </c>
      <c r="AU1639" s="21"/>
      <c r="AV1639" s="21"/>
      <c r="AW1639" s="21"/>
    </row>
    <row r="1640" spans="1:49" x14ac:dyDescent="0.2">
      <c r="A1640">
        <v>869</v>
      </c>
      <c r="E1640">
        <f t="shared" si="545"/>
        <v>3</v>
      </c>
      <c r="J1640" t="str">
        <f t="shared" si="552"/>
        <v>17</v>
      </c>
      <c r="K1640" t="str">
        <f t="shared" si="553"/>
        <v>58</v>
      </c>
      <c r="L1640" t="str">
        <f t="shared" si="554"/>
        <v/>
      </c>
      <c r="M1640" s="6" t="str">
        <f t="shared" si="555"/>
        <v/>
      </c>
      <c r="N1640" t="str">
        <f t="shared" si="551"/>
        <v>Away</v>
      </c>
      <c r="O1640">
        <v>16</v>
      </c>
      <c r="P1640" t="s">
        <v>425</v>
      </c>
      <c r="Y1640" t="str">
        <f t="shared" si="538"/>
        <v/>
      </c>
      <c r="Z1640" t="str">
        <f t="shared" si="539"/>
        <v/>
      </c>
      <c r="AC1640" t="str">
        <f t="shared" si="535"/>
        <v>Turnover</v>
      </c>
      <c r="AD1640" t="str">
        <f t="shared" si="536"/>
        <v>Turnover_Giveaway</v>
      </c>
      <c r="AE1640" t="str">
        <f t="shared" si="537"/>
        <v>Giveaway-PassMissed</v>
      </c>
      <c r="AF1640" t="str">
        <f t="shared" si="540"/>
        <v>Defensive</v>
      </c>
      <c r="AG1640">
        <f t="shared" si="546"/>
        <v>18981</v>
      </c>
      <c r="AH1640" t="str">
        <f t="shared" si="547"/>
        <v>Nelson</v>
      </c>
      <c r="AI1640" t="str">
        <f t="shared" si="548"/>
        <v>Velodrome</v>
      </c>
      <c r="AJ1640" s="18">
        <f t="shared" si="541"/>
        <v>0</v>
      </c>
      <c r="AP1640" s="18">
        <f t="shared" si="542"/>
        <v>0</v>
      </c>
      <c r="AQ1640">
        <f t="shared" si="543"/>
        <v>2160</v>
      </c>
      <c r="AR1640" s="23">
        <f t="shared" si="544"/>
        <v>2162</v>
      </c>
      <c r="AS1640">
        <f t="shared" si="549"/>
        <v>2157</v>
      </c>
      <c r="AT1640" s="21">
        <f t="shared" si="550"/>
        <v>2162</v>
      </c>
      <c r="AU1640" s="21"/>
      <c r="AV1640" s="21"/>
      <c r="AW1640" s="21"/>
    </row>
    <row r="1641" spans="1:49" x14ac:dyDescent="0.2">
      <c r="A1641">
        <v>870</v>
      </c>
      <c r="E1641">
        <f t="shared" si="545"/>
        <v>3</v>
      </c>
      <c r="F1641" s="5" t="s">
        <v>472</v>
      </c>
      <c r="G1641" s="5" t="s">
        <v>529</v>
      </c>
      <c r="J1641" t="str">
        <f t="shared" si="552"/>
        <v>17</v>
      </c>
      <c r="K1641" t="str">
        <f t="shared" si="553"/>
        <v>57</v>
      </c>
      <c r="L1641" t="str">
        <f t="shared" si="554"/>
        <v/>
      </c>
      <c r="M1641" s="6" t="str">
        <f t="shared" si="555"/>
        <v/>
      </c>
      <c r="N1641" t="s">
        <v>179</v>
      </c>
      <c r="O1641">
        <v>87</v>
      </c>
      <c r="P1641" t="s">
        <v>424</v>
      </c>
      <c r="Q1641" t="s">
        <v>247</v>
      </c>
      <c r="R1641" t="s">
        <v>446</v>
      </c>
      <c r="S1641" t="s">
        <v>559</v>
      </c>
      <c r="Y1641" t="str">
        <f t="shared" si="538"/>
        <v/>
      </c>
      <c r="Z1641" t="str">
        <f t="shared" si="539"/>
        <v/>
      </c>
      <c r="AC1641" t="str">
        <f t="shared" si="535"/>
        <v>Play</v>
      </c>
      <c r="AD1641" t="str">
        <f t="shared" si="536"/>
        <v>Play_Defensive</v>
      </c>
      <c r="AE1641" t="str">
        <f t="shared" si="537"/>
        <v>Play-PokeCheck</v>
      </c>
      <c r="AF1641" t="str">
        <f t="shared" si="540"/>
        <v>Defensive</v>
      </c>
      <c r="AG1641">
        <f t="shared" si="546"/>
        <v>18981</v>
      </c>
      <c r="AH1641" t="str">
        <f t="shared" si="547"/>
        <v>Nelson</v>
      </c>
      <c r="AI1641" t="str">
        <f t="shared" si="548"/>
        <v>Velodrome</v>
      </c>
      <c r="AJ1641" s="18">
        <f t="shared" si="541"/>
        <v>0</v>
      </c>
      <c r="AP1641" s="18">
        <f t="shared" si="542"/>
        <v>0</v>
      </c>
      <c r="AQ1641">
        <f t="shared" si="543"/>
        <v>2160</v>
      </c>
      <c r="AR1641" s="23">
        <f t="shared" si="544"/>
        <v>2163</v>
      </c>
      <c r="AS1641">
        <f t="shared" si="549"/>
        <v>2158</v>
      </c>
      <c r="AT1641" s="21">
        <f t="shared" si="550"/>
        <v>2163</v>
      </c>
      <c r="AU1641" s="21"/>
      <c r="AV1641" s="21"/>
      <c r="AW1641" s="21"/>
    </row>
    <row r="1642" spans="1:49" x14ac:dyDescent="0.2">
      <c r="A1642">
        <v>870</v>
      </c>
      <c r="E1642">
        <f t="shared" si="545"/>
        <v>3</v>
      </c>
      <c r="J1642" t="str">
        <f t="shared" si="552"/>
        <v>17</v>
      </c>
      <c r="K1642" t="str">
        <f t="shared" si="553"/>
        <v>57</v>
      </c>
      <c r="L1642" t="str">
        <f t="shared" si="554"/>
        <v/>
      </c>
      <c r="M1642" s="6" t="str">
        <f t="shared" si="555"/>
        <v/>
      </c>
      <c r="N1642" t="str">
        <f t="shared" si="551"/>
        <v>Away</v>
      </c>
      <c r="O1642">
        <v>16</v>
      </c>
      <c r="P1642" t="s">
        <v>425</v>
      </c>
      <c r="Y1642" t="str">
        <f t="shared" si="538"/>
        <v/>
      </c>
      <c r="Z1642" t="str">
        <f t="shared" si="539"/>
        <v/>
      </c>
      <c r="AC1642" t="str">
        <f t="shared" si="535"/>
        <v>Play</v>
      </c>
      <c r="AD1642" t="str">
        <f t="shared" si="536"/>
        <v>Play_Defensive</v>
      </c>
      <c r="AE1642" t="str">
        <f t="shared" si="537"/>
        <v>Play-PokeCheck</v>
      </c>
      <c r="AF1642" t="str">
        <f t="shared" si="540"/>
        <v>Offensive</v>
      </c>
      <c r="AG1642">
        <f t="shared" si="546"/>
        <v>18981</v>
      </c>
      <c r="AH1642" t="str">
        <f t="shared" si="547"/>
        <v>Nelson</v>
      </c>
      <c r="AI1642" t="str">
        <f t="shared" si="548"/>
        <v>Velodrome</v>
      </c>
      <c r="AJ1642" s="18">
        <f t="shared" si="541"/>
        <v>0</v>
      </c>
      <c r="AP1642" s="18">
        <f t="shared" si="542"/>
        <v>0</v>
      </c>
      <c r="AQ1642">
        <f t="shared" si="543"/>
        <v>2160</v>
      </c>
      <c r="AR1642" s="23">
        <f t="shared" si="544"/>
        <v>2163</v>
      </c>
      <c r="AS1642">
        <f t="shared" si="549"/>
        <v>2158</v>
      </c>
      <c r="AT1642" s="21">
        <f t="shared" si="550"/>
        <v>2163</v>
      </c>
      <c r="AU1642" s="21"/>
      <c r="AV1642" s="21"/>
      <c r="AW1642" s="21"/>
    </row>
    <row r="1643" spans="1:49" x14ac:dyDescent="0.2">
      <c r="A1643">
        <v>871</v>
      </c>
      <c r="E1643">
        <f t="shared" si="545"/>
        <v>3</v>
      </c>
      <c r="F1643" s="5" t="s">
        <v>472</v>
      </c>
      <c r="G1643" s="5" t="s">
        <v>525</v>
      </c>
      <c r="H1643" s="5" t="s">
        <v>472</v>
      </c>
      <c r="I1643" s="7" t="s">
        <v>523</v>
      </c>
      <c r="J1643" t="str">
        <f t="shared" si="552"/>
        <v>17</v>
      </c>
      <c r="K1643" t="str">
        <f t="shared" si="553"/>
        <v>53</v>
      </c>
      <c r="L1643" t="str">
        <f t="shared" si="554"/>
        <v>17</v>
      </c>
      <c r="M1643" s="6" t="str">
        <f t="shared" si="555"/>
        <v>51</v>
      </c>
      <c r="N1643" t="s">
        <v>178</v>
      </c>
      <c r="O1643">
        <v>79</v>
      </c>
      <c r="P1643" t="s">
        <v>424</v>
      </c>
      <c r="Q1643" t="s">
        <v>277</v>
      </c>
      <c r="R1643" t="s">
        <v>191</v>
      </c>
      <c r="S1643" t="s">
        <v>87</v>
      </c>
      <c r="Y1643" t="str">
        <f t="shared" si="538"/>
        <v/>
      </c>
      <c r="Z1643" t="str">
        <f t="shared" si="539"/>
        <v/>
      </c>
      <c r="AC1643" t="str">
        <f t="shared" si="535"/>
        <v>Zone_Entry_Exit</v>
      </c>
      <c r="AD1643" t="str">
        <f t="shared" si="536"/>
        <v>Zone_Entry</v>
      </c>
      <c r="AE1643" t="str">
        <f t="shared" si="537"/>
        <v>ZoneEntry-Rush</v>
      </c>
      <c r="AF1643" t="str">
        <f t="shared" si="540"/>
        <v>Offensive</v>
      </c>
      <c r="AG1643">
        <f t="shared" si="546"/>
        <v>18981</v>
      </c>
      <c r="AH1643" t="str">
        <f t="shared" si="547"/>
        <v>Nelson</v>
      </c>
      <c r="AI1643" t="str">
        <f t="shared" si="548"/>
        <v>Velodrome</v>
      </c>
      <c r="AJ1643" s="18">
        <f t="shared" si="541"/>
        <v>2</v>
      </c>
      <c r="AP1643" s="18">
        <f t="shared" si="542"/>
        <v>0</v>
      </c>
      <c r="AQ1643">
        <f t="shared" si="543"/>
        <v>2160</v>
      </c>
      <c r="AR1643" s="23">
        <f t="shared" si="544"/>
        <v>2167</v>
      </c>
      <c r="AS1643">
        <f t="shared" si="549"/>
        <v>2162</v>
      </c>
      <c r="AT1643" s="21">
        <f t="shared" si="550"/>
        <v>2169</v>
      </c>
      <c r="AU1643" s="21"/>
      <c r="AV1643" s="21"/>
      <c r="AW1643" s="21"/>
    </row>
    <row r="1644" spans="1:49" x14ac:dyDescent="0.2">
      <c r="A1644">
        <v>871</v>
      </c>
      <c r="E1644">
        <f t="shared" si="545"/>
        <v>3</v>
      </c>
      <c r="J1644" t="str">
        <f t="shared" si="552"/>
        <v>17</v>
      </c>
      <c r="K1644" t="str">
        <f t="shared" si="553"/>
        <v>53</v>
      </c>
      <c r="L1644" t="str">
        <f t="shared" si="554"/>
        <v>17</v>
      </c>
      <c r="M1644" s="6" t="str">
        <f t="shared" si="555"/>
        <v>51</v>
      </c>
      <c r="N1644" t="str">
        <f t="shared" si="551"/>
        <v>Home</v>
      </c>
      <c r="O1644">
        <v>15</v>
      </c>
      <c r="P1644" t="s">
        <v>424</v>
      </c>
      <c r="Y1644" t="str">
        <f t="shared" si="538"/>
        <v/>
      </c>
      <c r="Z1644" t="str">
        <f t="shared" si="539"/>
        <v/>
      </c>
      <c r="AC1644" t="str">
        <f t="shared" si="535"/>
        <v>Zone_Entry_Exit</v>
      </c>
      <c r="AD1644" t="str">
        <f t="shared" si="536"/>
        <v>Zone_Entry</v>
      </c>
      <c r="AE1644" t="str">
        <f t="shared" si="537"/>
        <v>ZoneEntry-Rush</v>
      </c>
      <c r="AF1644" t="str">
        <f t="shared" si="540"/>
        <v>Offensive</v>
      </c>
      <c r="AG1644">
        <f t="shared" si="546"/>
        <v>18981</v>
      </c>
      <c r="AH1644" t="str">
        <f t="shared" si="547"/>
        <v>Nelson</v>
      </c>
      <c r="AI1644" t="str">
        <f t="shared" si="548"/>
        <v>Velodrome</v>
      </c>
      <c r="AJ1644" s="18">
        <f t="shared" si="541"/>
        <v>2</v>
      </c>
      <c r="AP1644" s="18">
        <f t="shared" si="542"/>
        <v>0</v>
      </c>
      <c r="AQ1644">
        <f t="shared" si="543"/>
        <v>2160</v>
      </c>
      <c r="AR1644" s="23">
        <f t="shared" si="544"/>
        <v>2167</v>
      </c>
      <c r="AS1644">
        <f t="shared" si="549"/>
        <v>2162</v>
      </c>
      <c r="AT1644" s="21">
        <f t="shared" si="550"/>
        <v>2169</v>
      </c>
      <c r="AU1644" s="21"/>
      <c r="AV1644" s="21"/>
      <c r="AW1644" s="21"/>
    </row>
    <row r="1645" spans="1:49" x14ac:dyDescent="0.2">
      <c r="A1645">
        <v>871</v>
      </c>
      <c r="E1645">
        <f t="shared" si="545"/>
        <v>3</v>
      </c>
      <c r="J1645" t="str">
        <f t="shared" si="552"/>
        <v>17</v>
      </c>
      <c r="K1645" t="str">
        <f t="shared" si="553"/>
        <v>53</v>
      </c>
      <c r="L1645" t="str">
        <f t="shared" si="554"/>
        <v>17</v>
      </c>
      <c r="M1645" s="6" t="str">
        <f t="shared" si="555"/>
        <v>51</v>
      </c>
      <c r="N1645" t="str">
        <f t="shared" si="551"/>
        <v>Home</v>
      </c>
      <c r="O1645">
        <v>14</v>
      </c>
      <c r="P1645" t="s">
        <v>425</v>
      </c>
      <c r="Y1645" t="str">
        <f t="shared" si="538"/>
        <v/>
      </c>
      <c r="Z1645" t="str">
        <f t="shared" si="539"/>
        <v/>
      </c>
      <c r="AC1645" t="str">
        <f t="shared" si="535"/>
        <v>Zone_Entry_Exit</v>
      </c>
      <c r="AD1645" t="str">
        <f t="shared" si="536"/>
        <v>Zone_Entry</v>
      </c>
      <c r="AE1645" t="str">
        <f t="shared" si="537"/>
        <v>ZoneEntry-Rush</v>
      </c>
      <c r="AF1645" t="str">
        <f t="shared" si="540"/>
        <v>Defensive</v>
      </c>
      <c r="AG1645">
        <f t="shared" si="546"/>
        <v>18981</v>
      </c>
      <c r="AH1645" t="str">
        <f t="shared" si="547"/>
        <v>Nelson</v>
      </c>
      <c r="AI1645" t="str">
        <f t="shared" si="548"/>
        <v>Velodrome</v>
      </c>
      <c r="AJ1645" s="18">
        <f t="shared" si="541"/>
        <v>2</v>
      </c>
      <c r="AP1645" s="18">
        <f t="shared" si="542"/>
        <v>0</v>
      </c>
      <c r="AQ1645">
        <f t="shared" si="543"/>
        <v>2160</v>
      </c>
      <c r="AR1645" s="23">
        <f t="shared" si="544"/>
        <v>2167</v>
      </c>
      <c r="AS1645">
        <f t="shared" si="549"/>
        <v>2162</v>
      </c>
      <c r="AT1645" s="21">
        <f t="shared" si="550"/>
        <v>2169</v>
      </c>
      <c r="AU1645" s="21"/>
      <c r="AV1645" s="21"/>
      <c r="AW1645" s="21"/>
    </row>
    <row r="1646" spans="1:49" x14ac:dyDescent="0.2">
      <c r="A1646">
        <v>871</v>
      </c>
      <c r="E1646">
        <f t="shared" si="545"/>
        <v>3</v>
      </c>
      <c r="J1646" t="str">
        <f t="shared" si="552"/>
        <v>17</v>
      </c>
      <c r="K1646" t="str">
        <f t="shared" si="553"/>
        <v>53</v>
      </c>
      <c r="L1646" t="str">
        <f t="shared" si="554"/>
        <v>17</v>
      </c>
      <c r="M1646" s="6" t="str">
        <f t="shared" si="555"/>
        <v>51</v>
      </c>
      <c r="N1646" t="str">
        <f t="shared" si="551"/>
        <v>Home</v>
      </c>
      <c r="O1646">
        <v>75</v>
      </c>
      <c r="P1646" t="s">
        <v>425</v>
      </c>
      <c r="Y1646" t="str">
        <f t="shared" si="538"/>
        <v/>
      </c>
      <c r="Z1646" t="str">
        <f t="shared" si="539"/>
        <v/>
      </c>
      <c r="AC1646" t="str">
        <f t="shared" si="535"/>
        <v>Zone_Entry_Exit</v>
      </c>
      <c r="AD1646" t="str">
        <f t="shared" si="536"/>
        <v>Zone_Entry</v>
      </c>
      <c r="AE1646" t="str">
        <f t="shared" si="537"/>
        <v>ZoneEntry-Rush</v>
      </c>
      <c r="AF1646" t="str">
        <f t="shared" si="540"/>
        <v>Defensive</v>
      </c>
      <c r="AG1646">
        <f t="shared" si="546"/>
        <v>18981</v>
      </c>
      <c r="AH1646" t="str">
        <f t="shared" si="547"/>
        <v>Nelson</v>
      </c>
      <c r="AI1646" t="str">
        <f t="shared" si="548"/>
        <v>Velodrome</v>
      </c>
      <c r="AJ1646" s="18">
        <f t="shared" si="541"/>
        <v>2</v>
      </c>
      <c r="AP1646" s="18">
        <f t="shared" si="542"/>
        <v>0</v>
      </c>
      <c r="AQ1646">
        <f t="shared" si="543"/>
        <v>2160</v>
      </c>
      <c r="AR1646" s="23">
        <f t="shared" si="544"/>
        <v>2167</v>
      </c>
      <c r="AS1646">
        <f t="shared" si="549"/>
        <v>2162</v>
      </c>
      <c r="AT1646" s="21">
        <f t="shared" si="550"/>
        <v>2169</v>
      </c>
      <c r="AU1646" s="21"/>
      <c r="AV1646" s="21"/>
      <c r="AW1646" s="21"/>
    </row>
    <row r="1647" spans="1:49" x14ac:dyDescent="0.2">
      <c r="A1647">
        <v>871</v>
      </c>
      <c r="E1647">
        <f t="shared" si="545"/>
        <v>3</v>
      </c>
      <c r="J1647" t="str">
        <f t="shared" si="552"/>
        <v>17</v>
      </c>
      <c r="K1647" t="str">
        <f t="shared" si="553"/>
        <v>53</v>
      </c>
      <c r="L1647" t="str">
        <f t="shared" si="554"/>
        <v>17</v>
      </c>
      <c r="M1647" s="6" t="str">
        <f t="shared" si="555"/>
        <v>51</v>
      </c>
      <c r="N1647" t="str">
        <f t="shared" si="551"/>
        <v>Home</v>
      </c>
      <c r="O1647">
        <v>9</v>
      </c>
      <c r="P1647" t="s">
        <v>425</v>
      </c>
      <c r="Y1647" t="str">
        <f t="shared" si="538"/>
        <v/>
      </c>
      <c r="Z1647" t="str">
        <f t="shared" si="539"/>
        <v/>
      </c>
      <c r="AC1647" t="str">
        <f t="shared" ref="AC1647:AC1710" si="556">IF(Q1647&lt;&gt;"",Q1647,IF($A1647=$A1646,AC1646,""))</f>
        <v>Zone_Entry_Exit</v>
      </c>
      <c r="AD1647" t="str">
        <f t="shared" ref="AD1647:AD1710" si="557">IF(R1647&lt;&gt;"",R1647,IF($A1647=$A1646,AD1646,""))</f>
        <v>Zone_Entry</v>
      </c>
      <c r="AE1647" t="str">
        <f t="shared" ref="AE1647:AE1710" si="558">IF(S1647&lt;&gt;"",S1647,IF($A1647=$A1646,AE1646,""))</f>
        <v>ZoneEntry-Rush</v>
      </c>
      <c r="AF1647" t="str">
        <f t="shared" si="540"/>
        <v>Defensive</v>
      </c>
      <c r="AG1647">
        <f t="shared" si="546"/>
        <v>18981</v>
      </c>
      <c r="AH1647" t="str">
        <f t="shared" si="547"/>
        <v>Nelson</v>
      </c>
      <c r="AI1647" t="str">
        <f t="shared" si="548"/>
        <v>Velodrome</v>
      </c>
      <c r="AJ1647" s="18">
        <f t="shared" si="541"/>
        <v>2</v>
      </c>
      <c r="AP1647" s="18">
        <f t="shared" si="542"/>
        <v>0</v>
      </c>
      <c r="AQ1647">
        <f t="shared" si="543"/>
        <v>2160</v>
      </c>
      <c r="AR1647" s="23">
        <f t="shared" si="544"/>
        <v>2167</v>
      </c>
      <c r="AS1647">
        <f t="shared" si="549"/>
        <v>2162</v>
      </c>
      <c r="AT1647" s="21">
        <f t="shared" si="550"/>
        <v>2169</v>
      </c>
      <c r="AU1647" s="21"/>
      <c r="AV1647" s="21"/>
      <c r="AW1647" s="21"/>
    </row>
    <row r="1648" spans="1:49" x14ac:dyDescent="0.2">
      <c r="A1648">
        <v>871</v>
      </c>
      <c r="E1648">
        <f t="shared" si="545"/>
        <v>3</v>
      </c>
      <c r="J1648" t="str">
        <f t="shared" si="552"/>
        <v>17</v>
      </c>
      <c r="K1648" t="str">
        <f t="shared" si="553"/>
        <v>53</v>
      </c>
      <c r="L1648" t="str">
        <f t="shared" si="554"/>
        <v>17</v>
      </c>
      <c r="M1648" s="6" t="str">
        <f t="shared" si="555"/>
        <v>51</v>
      </c>
      <c r="N1648" t="str">
        <f t="shared" si="551"/>
        <v>Home</v>
      </c>
      <c r="O1648">
        <v>84</v>
      </c>
      <c r="P1648" t="s">
        <v>425</v>
      </c>
      <c r="Y1648" t="str">
        <f t="shared" si="538"/>
        <v/>
      </c>
      <c r="Z1648" t="str">
        <f t="shared" si="539"/>
        <v/>
      </c>
      <c r="AC1648" t="str">
        <f t="shared" si="556"/>
        <v>Zone_Entry_Exit</v>
      </c>
      <c r="AD1648" t="str">
        <f t="shared" si="557"/>
        <v>Zone_Entry</v>
      </c>
      <c r="AE1648" t="str">
        <f t="shared" si="558"/>
        <v>ZoneEntry-Rush</v>
      </c>
      <c r="AF1648" t="str">
        <f t="shared" si="540"/>
        <v>Defensive</v>
      </c>
      <c r="AG1648">
        <f t="shared" si="546"/>
        <v>18981</v>
      </c>
      <c r="AH1648" t="str">
        <f t="shared" si="547"/>
        <v>Nelson</v>
      </c>
      <c r="AI1648" t="str">
        <f t="shared" si="548"/>
        <v>Velodrome</v>
      </c>
      <c r="AJ1648" s="18">
        <f t="shared" si="541"/>
        <v>2</v>
      </c>
      <c r="AP1648" s="18">
        <f t="shared" si="542"/>
        <v>0</v>
      </c>
      <c r="AQ1648">
        <f t="shared" si="543"/>
        <v>2160</v>
      </c>
      <c r="AR1648" s="23">
        <f t="shared" si="544"/>
        <v>2167</v>
      </c>
      <c r="AS1648">
        <f t="shared" si="549"/>
        <v>2162</v>
      </c>
      <c r="AT1648" s="21">
        <f t="shared" si="550"/>
        <v>2169</v>
      </c>
      <c r="AU1648" s="21"/>
      <c r="AV1648" s="21"/>
      <c r="AW1648" s="21"/>
    </row>
    <row r="1649" spans="1:49" x14ac:dyDescent="0.2">
      <c r="A1649">
        <v>872</v>
      </c>
      <c r="E1649">
        <f t="shared" si="545"/>
        <v>3</v>
      </c>
      <c r="F1649" s="5" t="s">
        <v>472</v>
      </c>
      <c r="G1649" s="5" t="s">
        <v>521</v>
      </c>
      <c r="J1649" t="str">
        <f t="shared" si="552"/>
        <v>17</v>
      </c>
      <c r="K1649" t="str">
        <f t="shared" si="553"/>
        <v>49</v>
      </c>
      <c r="L1649" t="str">
        <f t="shared" si="554"/>
        <v/>
      </c>
      <c r="M1649" s="6" t="str">
        <f t="shared" si="555"/>
        <v/>
      </c>
      <c r="N1649" t="s">
        <v>178</v>
      </c>
      <c r="O1649">
        <v>79</v>
      </c>
      <c r="P1649" t="s">
        <v>424</v>
      </c>
      <c r="Q1649" t="s">
        <v>8</v>
      </c>
      <c r="R1649" t="s">
        <v>199</v>
      </c>
      <c r="S1649" t="s">
        <v>438</v>
      </c>
      <c r="Y1649" t="str">
        <f t="shared" si="538"/>
        <v/>
      </c>
      <c r="Z1649" t="str">
        <f t="shared" si="539"/>
        <v/>
      </c>
      <c r="AC1649" t="str">
        <f t="shared" si="556"/>
        <v>Pass</v>
      </c>
      <c r="AD1649" t="str">
        <f t="shared" si="557"/>
        <v>Pass_Missed</v>
      </c>
      <c r="AE1649" t="str">
        <f t="shared" si="558"/>
        <v>Pass-Lob</v>
      </c>
      <c r="AF1649" t="str">
        <f t="shared" si="540"/>
        <v>Offensive</v>
      </c>
      <c r="AG1649">
        <f t="shared" si="546"/>
        <v>18981</v>
      </c>
      <c r="AH1649" t="str">
        <f t="shared" si="547"/>
        <v>Nelson</v>
      </c>
      <c r="AI1649" t="str">
        <f t="shared" si="548"/>
        <v>Velodrome</v>
      </c>
      <c r="AJ1649" s="18">
        <f t="shared" si="541"/>
        <v>0</v>
      </c>
      <c r="AP1649" s="18">
        <f t="shared" si="542"/>
        <v>0</v>
      </c>
      <c r="AQ1649">
        <f t="shared" si="543"/>
        <v>2160</v>
      </c>
      <c r="AR1649" s="23">
        <f t="shared" si="544"/>
        <v>2171</v>
      </c>
      <c r="AS1649">
        <f t="shared" si="549"/>
        <v>2166</v>
      </c>
      <c r="AT1649" s="21">
        <f t="shared" si="550"/>
        <v>2171</v>
      </c>
      <c r="AU1649" s="21"/>
      <c r="AV1649" s="21"/>
      <c r="AW1649" s="21"/>
    </row>
    <row r="1650" spans="1:49" x14ac:dyDescent="0.2">
      <c r="A1650">
        <v>872</v>
      </c>
      <c r="E1650">
        <f t="shared" si="545"/>
        <v>3</v>
      </c>
      <c r="J1650" t="str">
        <f t="shared" si="552"/>
        <v>17</v>
      </c>
      <c r="K1650" t="str">
        <f t="shared" si="553"/>
        <v>49</v>
      </c>
      <c r="L1650" t="str">
        <f t="shared" si="554"/>
        <v/>
      </c>
      <c r="M1650" s="6" t="str">
        <f t="shared" si="555"/>
        <v/>
      </c>
      <c r="N1650" t="str">
        <f t="shared" si="551"/>
        <v>Home</v>
      </c>
      <c r="O1650">
        <v>15</v>
      </c>
      <c r="P1650" t="s">
        <v>424</v>
      </c>
      <c r="Y1650" t="str">
        <f t="shared" si="538"/>
        <v/>
      </c>
      <c r="Z1650" t="str">
        <f t="shared" si="539"/>
        <v/>
      </c>
      <c r="AC1650" t="str">
        <f t="shared" si="556"/>
        <v>Pass</v>
      </c>
      <c r="AD1650" t="str">
        <f t="shared" si="557"/>
        <v>Pass_Missed</v>
      </c>
      <c r="AE1650" t="str">
        <f t="shared" si="558"/>
        <v>Pass-Lob</v>
      </c>
      <c r="AF1650" t="str">
        <f t="shared" si="540"/>
        <v>Offensive</v>
      </c>
      <c r="AG1650">
        <f t="shared" si="546"/>
        <v>18981</v>
      </c>
      <c r="AH1650" t="str">
        <f t="shared" si="547"/>
        <v>Nelson</v>
      </c>
      <c r="AI1650" t="str">
        <f t="shared" si="548"/>
        <v>Velodrome</v>
      </c>
      <c r="AJ1650" s="18">
        <f t="shared" si="541"/>
        <v>0</v>
      </c>
      <c r="AP1650" s="18">
        <f t="shared" si="542"/>
        <v>0</v>
      </c>
      <c r="AQ1650">
        <f t="shared" si="543"/>
        <v>2160</v>
      </c>
      <c r="AR1650" s="23">
        <f t="shared" si="544"/>
        <v>2171</v>
      </c>
      <c r="AS1650">
        <f t="shared" si="549"/>
        <v>2166</v>
      </c>
      <c r="AT1650" s="21">
        <f t="shared" si="550"/>
        <v>2171</v>
      </c>
      <c r="AU1650" s="21"/>
      <c r="AV1650" s="21"/>
      <c r="AW1650" s="21"/>
    </row>
    <row r="1651" spans="1:49" x14ac:dyDescent="0.2">
      <c r="A1651">
        <v>873</v>
      </c>
      <c r="E1651">
        <f t="shared" si="545"/>
        <v>3</v>
      </c>
      <c r="F1651" s="5" t="s">
        <v>472</v>
      </c>
      <c r="G1651" s="5" t="s">
        <v>518</v>
      </c>
      <c r="J1651" t="str">
        <f t="shared" si="552"/>
        <v>17</v>
      </c>
      <c r="K1651" t="str">
        <f t="shared" si="553"/>
        <v>46</v>
      </c>
      <c r="L1651" t="str">
        <f t="shared" si="554"/>
        <v/>
      </c>
      <c r="M1651" s="6" t="str">
        <f t="shared" si="555"/>
        <v/>
      </c>
      <c r="N1651" t="s">
        <v>178</v>
      </c>
      <c r="O1651">
        <v>80</v>
      </c>
      <c r="P1651" t="s">
        <v>424</v>
      </c>
      <c r="Q1651" t="s">
        <v>277</v>
      </c>
      <c r="R1651" t="s">
        <v>210</v>
      </c>
      <c r="S1651" t="s">
        <v>93</v>
      </c>
      <c r="Y1651" t="str">
        <f t="shared" si="538"/>
        <v/>
      </c>
      <c r="Z1651" t="str">
        <f t="shared" si="539"/>
        <v/>
      </c>
      <c r="AC1651" t="str">
        <f t="shared" si="556"/>
        <v>Zone_Entry_Exit</v>
      </c>
      <c r="AD1651" t="str">
        <f t="shared" si="557"/>
        <v>Zone_Keepin</v>
      </c>
      <c r="AE1651" t="str">
        <f t="shared" si="558"/>
        <v>Zone-KeepIn</v>
      </c>
      <c r="AF1651" t="str">
        <f t="shared" si="540"/>
        <v>Offensive</v>
      </c>
      <c r="AG1651">
        <f t="shared" si="546"/>
        <v>18981</v>
      </c>
      <c r="AH1651" t="str">
        <f t="shared" si="547"/>
        <v>Nelson</v>
      </c>
      <c r="AI1651" t="str">
        <f t="shared" si="548"/>
        <v>Velodrome</v>
      </c>
      <c r="AJ1651" s="18">
        <f t="shared" si="541"/>
        <v>0</v>
      </c>
      <c r="AP1651" s="18">
        <f t="shared" si="542"/>
        <v>0</v>
      </c>
      <c r="AQ1651">
        <f t="shared" si="543"/>
        <v>2160</v>
      </c>
      <c r="AR1651" s="23">
        <f t="shared" si="544"/>
        <v>2174</v>
      </c>
      <c r="AS1651">
        <f t="shared" si="549"/>
        <v>2169</v>
      </c>
      <c r="AT1651" s="21">
        <f t="shared" si="550"/>
        <v>2174</v>
      </c>
      <c r="AU1651" s="21"/>
      <c r="AV1651" s="21"/>
      <c r="AW1651" s="21"/>
    </row>
    <row r="1652" spans="1:49" x14ac:dyDescent="0.2">
      <c r="A1652">
        <v>873</v>
      </c>
      <c r="E1652">
        <f t="shared" si="545"/>
        <v>3</v>
      </c>
      <c r="J1652" t="str">
        <f t="shared" si="552"/>
        <v>17</v>
      </c>
      <c r="K1652" t="str">
        <f t="shared" si="553"/>
        <v>46</v>
      </c>
      <c r="L1652" t="str">
        <f t="shared" si="554"/>
        <v/>
      </c>
      <c r="M1652" s="6" t="str">
        <f t="shared" si="555"/>
        <v/>
      </c>
      <c r="N1652" t="str">
        <f t="shared" si="551"/>
        <v>Home</v>
      </c>
      <c r="O1652">
        <v>70</v>
      </c>
      <c r="P1652" t="s">
        <v>425</v>
      </c>
      <c r="Y1652" t="str">
        <f t="shared" si="538"/>
        <v/>
      </c>
      <c r="Z1652" t="str">
        <f t="shared" si="539"/>
        <v/>
      </c>
      <c r="AC1652" t="str">
        <f t="shared" si="556"/>
        <v>Zone_Entry_Exit</v>
      </c>
      <c r="AD1652" t="str">
        <f t="shared" si="557"/>
        <v>Zone_Keepin</v>
      </c>
      <c r="AE1652" t="str">
        <f t="shared" si="558"/>
        <v>Zone-KeepIn</v>
      </c>
      <c r="AF1652" t="str">
        <f t="shared" si="540"/>
        <v>Defensive</v>
      </c>
      <c r="AG1652">
        <f t="shared" si="546"/>
        <v>18981</v>
      </c>
      <c r="AH1652" t="str">
        <f t="shared" si="547"/>
        <v>Nelson</v>
      </c>
      <c r="AI1652" t="str">
        <f t="shared" si="548"/>
        <v>Velodrome</v>
      </c>
      <c r="AJ1652" s="18">
        <f t="shared" si="541"/>
        <v>0</v>
      </c>
      <c r="AP1652" s="18">
        <f t="shared" si="542"/>
        <v>0</v>
      </c>
      <c r="AQ1652">
        <f t="shared" si="543"/>
        <v>2160</v>
      </c>
      <c r="AR1652" s="23">
        <f t="shared" si="544"/>
        <v>2174</v>
      </c>
      <c r="AS1652">
        <f t="shared" si="549"/>
        <v>2169</v>
      </c>
      <c r="AT1652" s="21">
        <f t="shared" si="550"/>
        <v>2174</v>
      </c>
      <c r="AU1652" s="21"/>
      <c r="AV1652" s="21"/>
      <c r="AW1652" s="21"/>
    </row>
    <row r="1653" spans="1:49" x14ac:dyDescent="0.2">
      <c r="A1653">
        <v>874</v>
      </c>
      <c r="E1653">
        <f t="shared" si="545"/>
        <v>3</v>
      </c>
      <c r="F1653" s="5" t="s">
        <v>472</v>
      </c>
      <c r="G1653" s="5" t="s">
        <v>518</v>
      </c>
      <c r="H1653" s="5" t="s">
        <v>472</v>
      </c>
      <c r="I1653" s="7" t="s">
        <v>516</v>
      </c>
      <c r="J1653" t="str">
        <f t="shared" si="552"/>
        <v>17</v>
      </c>
      <c r="K1653" t="str">
        <f t="shared" si="553"/>
        <v>46</v>
      </c>
      <c r="L1653" t="str">
        <f t="shared" si="554"/>
        <v>17</v>
      </c>
      <c r="M1653" s="6" t="str">
        <f t="shared" si="555"/>
        <v>44</v>
      </c>
      <c r="N1653" t="s">
        <v>178</v>
      </c>
      <c r="O1653">
        <v>80</v>
      </c>
      <c r="P1653" t="s">
        <v>424</v>
      </c>
      <c r="Q1653" t="s">
        <v>15</v>
      </c>
      <c r="Y1653" t="str">
        <f t="shared" si="538"/>
        <v/>
      </c>
      <c r="Z1653" t="str">
        <f t="shared" si="539"/>
        <v/>
      </c>
      <c r="AC1653" t="str">
        <f t="shared" si="556"/>
        <v>Possession</v>
      </c>
      <c r="AD1653" t="str">
        <f t="shared" si="557"/>
        <v/>
      </c>
      <c r="AE1653" t="str">
        <f t="shared" si="558"/>
        <v/>
      </c>
      <c r="AF1653" t="str">
        <f t="shared" si="540"/>
        <v>Offensive</v>
      </c>
      <c r="AG1653">
        <f t="shared" si="546"/>
        <v>18981</v>
      </c>
      <c r="AH1653" t="str">
        <f t="shared" si="547"/>
        <v>Nelson</v>
      </c>
      <c r="AI1653" t="str">
        <f t="shared" si="548"/>
        <v>Velodrome</v>
      </c>
      <c r="AJ1653" s="18">
        <f t="shared" si="541"/>
        <v>2</v>
      </c>
      <c r="AP1653" s="18">
        <f t="shared" si="542"/>
        <v>0</v>
      </c>
      <c r="AQ1653">
        <f t="shared" si="543"/>
        <v>2160</v>
      </c>
      <c r="AR1653" s="23">
        <f t="shared" si="544"/>
        <v>2174</v>
      </c>
      <c r="AS1653">
        <f t="shared" si="549"/>
        <v>2169</v>
      </c>
      <c r="AT1653" s="21">
        <f t="shared" si="550"/>
        <v>2176</v>
      </c>
      <c r="AU1653" s="21"/>
      <c r="AV1653" s="21"/>
      <c r="AW1653" s="21"/>
    </row>
    <row r="1654" spans="1:49" x14ac:dyDescent="0.2">
      <c r="A1654">
        <v>874</v>
      </c>
      <c r="E1654">
        <f t="shared" si="545"/>
        <v>3</v>
      </c>
      <c r="J1654" t="str">
        <f t="shared" si="552"/>
        <v>17</v>
      </c>
      <c r="K1654" t="str">
        <f t="shared" si="553"/>
        <v>46</v>
      </c>
      <c r="L1654" t="str">
        <f t="shared" si="554"/>
        <v>17</v>
      </c>
      <c r="M1654" s="6" t="str">
        <f t="shared" si="555"/>
        <v>44</v>
      </c>
      <c r="N1654" t="str">
        <f t="shared" si="551"/>
        <v>Home</v>
      </c>
      <c r="O1654">
        <v>70</v>
      </c>
      <c r="P1654" t="s">
        <v>425</v>
      </c>
      <c r="Y1654" t="str">
        <f t="shared" si="538"/>
        <v/>
      </c>
      <c r="Z1654" t="str">
        <f t="shared" si="539"/>
        <v/>
      </c>
      <c r="AC1654" t="str">
        <f t="shared" si="556"/>
        <v>Possession</v>
      </c>
      <c r="AD1654" t="str">
        <f t="shared" si="557"/>
        <v/>
      </c>
      <c r="AE1654" t="str">
        <f t="shared" si="558"/>
        <v/>
      </c>
      <c r="AF1654" t="str">
        <f t="shared" si="540"/>
        <v>Defensive</v>
      </c>
      <c r="AG1654">
        <f t="shared" si="546"/>
        <v>18981</v>
      </c>
      <c r="AH1654" t="str">
        <f t="shared" si="547"/>
        <v>Nelson</v>
      </c>
      <c r="AI1654" t="str">
        <f t="shared" si="548"/>
        <v>Velodrome</v>
      </c>
      <c r="AJ1654" s="18">
        <f t="shared" si="541"/>
        <v>2</v>
      </c>
      <c r="AP1654" s="18">
        <f t="shared" si="542"/>
        <v>0</v>
      </c>
      <c r="AQ1654">
        <f t="shared" si="543"/>
        <v>2160</v>
      </c>
      <c r="AR1654" s="23">
        <f t="shared" si="544"/>
        <v>2174</v>
      </c>
      <c r="AS1654">
        <f t="shared" si="549"/>
        <v>2169</v>
      </c>
      <c r="AT1654" s="21">
        <f t="shared" si="550"/>
        <v>2176</v>
      </c>
      <c r="AU1654" s="21"/>
      <c r="AV1654" s="21"/>
      <c r="AW1654" s="21"/>
    </row>
    <row r="1655" spans="1:49" x14ac:dyDescent="0.2">
      <c r="A1655">
        <v>875</v>
      </c>
      <c r="E1655">
        <f t="shared" si="545"/>
        <v>3</v>
      </c>
      <c r="F1655" s="5" t="s">
        <v>472</v>
      </c>
      <c r="G1655" s="5" t="s">
        <v>516</v>
      </c>
      <c r="J1655" t="str">
        <f t="shared" si="552"/>
        <v>17</v>
      </c>
      <c r="K1655" t="str">
        <f t="shared" si="553"/>
        <v>44</v>
      </c>
      <c r="L1655" t="str">
        <f t="shared" si="554"/>
        <v/>
      </c>
      <c r="M1655" s="6" t="str">
        <f t="shared" si="555"/>
        <v/>
      </c>
      <c r="N1655" t="s">
        <v>178</v>
      </c>
      <c r="O1655">
        <v>80</v>
      </c>
      <c r="P1655" t="s">
        <v>424</v>
      </c>
      <c r="Q1655" t="s">
        <v>8</v>
      </c>
      <c r="R1655" t="s">
        <v>189</v>
      </c>
      <c r="S1655" t="s">
        <v>571</v>
      </c>
      <c r="Y1655" t="str">
        <f t="shared" si="538"/>
        <v/>
      </c>
      <c r="Z1655" t="str">
        <f t="shared" si="539"/>
        <v/>
      </c>
      <c r="AC1655" t="str">
        <f t="shared" si="556"/>
        <v>Pass</v>
      </c>
      <c r="AD1655" t="str">
        <f t="shared" si="557"/>
        <v>Pass_Completed</v>
      </c>
      <c r="AE1655" t="str">
        <f t="shared" si="558"/>
        <v>Pass-Deflected/TippedShot</v>
      </c>
      <c r="AF1655" t="str">
        <f t="shared" si="540"/>
        <v>Offensive</v>
      </c>
      <c r="AG1655">
        <f t="shared" si="546"/>
        <v>18981</v>
      </c>
      <c r="AH1655" t="str">
        <f t="shared" si="547"/>
        <v>Nelson</v>
      </c>
      <c r="AI1655" t="str">
        <f t="shared" si="548"/>
        <v>Velodrome</v>
      </c>
      <c r="AJ1655" s="18">
        <f t="shared" si="541"/>
        <v>0</v>
      </c>
      <c r="AP1655" s="18">
        <f t="shared" si="542"/>
        <v>0</v>
      </c>
      <c r="AQ1655">
        <f t="shared" si="543"/>
        <v>2160</v>
      </c>
      <c r="AR1655" s="23">
        <f t="shared" si="544"/>
        <v>2176</v>
      </c>
      <c r="AS1655">
        <f t="shared" si="549"/>
        <v>2171</v>
      </c>
      <c r="AT1655" s="21">
        <f t="shared" si="550"/>
        <v>2176</v>
      </c>
      <c r="AU1655" s="21"/>
      <c r="AV1655" s="21"/>
      <c r="AW1655" s="21"/>
    </row>
    <row r="1656" spans="1:49" x14ac:dyDescent="0.2">
      <c r="A1656">
        <v>875</v>
      </c>
      <c r="E1656">
        <f t="shared" si="545"/>
        <v>3</v>
      </c>
      <c r="J1656" t="str">
        <f t="shared" si="552"/>
        <v>17</v>
      </c>
      <c r="K1656" t="str">
        <f t="shared" si="553"/>
        <v>44</v>
      </c>
      <c r="L1656" t="str">
        <f t="shared" si="554"/>
        <v/>
      </c>
      <c r="M1656" s="6" t="str">
        <f t="shared" si="555"/>
        <v/>
      </c>
      <c r="N1656" t="str">
        <f t="shared" si="551"/>
        <v>Home</v>
      </c>
      <c r="O1656">
        <v>79</v>
      </c>
      <c r="P1656" t="s">
        <v>425</v>
      </c>
      <c r="Y1656" t="str">
        <f t="shared" si="538"/>
        <v/>
      </c>
      <c r="Z1656" t="str">
        <f t="shared" si="539"/>
        <v/>
      </c>
      <c r="AC1656" t="str">
        <f t="shared" si="556"/>
        <v>Pass</v>
      </c>
      <c r="AD1656" t="str">
        <f t="shared" si="557"/>
        <v>Pass_Completed</v>
      </c>
      <c r="AE1656" t="str">
        <f t="shared" si="558"/>
        <v>Pass-Deflected/TippedShot</v>
      </c>
      <c r="AF1656" t="str">
        <f t="shared" si="540"/>
        <v>Defensive</v>
      </c>
      <c r="AG1656">
        <f t="shared" si="546"/>
        <v>18981</v>
      </c>
      <c r="AH1656" t="str">
        <f t="shared" si="547"/>
        <v>Nelson</v>
      </c>
      <c r="AI1656" t="str">
        <f t="shared" si="548"/>
        <v>Velodrome</v>
      </c>
      <c r="AJ1656" s="18">
        <f t="shared" si="541"/>
        <v>0</v>
      </c>
      <c r="AP1656" s="18">
        <f t="shared" si="542"/>
        <v>0</v>
      </c>
      <c r="AQ1656">
        <f t="shared" si="543"/>
        <v>2160</v>
      </c>
      <c r="AR1656" s="23">
        <f t="shared" si="544"/>
        <v>2176</v>
      </c>
      <c r="AS1656">
        <f t="shared" si="549"/>
        <v>2171</v>
      </c>
      <c r="AT1656" s="21">
        <f t="shared" si="550"/>
        <v>2176</v>
      </c>
      <c r="AU1656" s="21"/>
      <c r="AV1656" s="21"/>
      <c r="AW1656" s="21"/>
    </row>
    <row r="1657" spans="1:49" x14ac:dyDescent="0.2">
      <c r="A1657">
        <v>875</v>
      </c>
      <c r="E1657">
        <f t="shared" si="545"/>
        <v>3</v>
      </c>
      <c r="J1657" t="str">
        <f t="shared" si="552"/>
        <v>17</v>
      </c>
      <c r="K1657" t="str">
        <f t="shared" si="553"/>
        <v>44</v>
      </c>
      <c r="L1657" t="str">
        <f t="shared" si="554"/>
        <v/>
      </c>
      <c r="M1657" s="6" t="str">
        <f t="shared" si="555"/>
        <v/>
      </c>
      <c r="N1657" t="str">
        <f t="shared" si="551"/>
        <v>Home</v>
      </c>
      <c r="O1657">
        <v>84</v>
      </c>
      <c r="P1657" t="s">
        <v>425</v>
      </c>
      <c r="Y1657" t="str">
        <f t="shared" si="538"/>
        <v/>
      </c>
      <c r="Z1657" t="str">
        <f t="shared" si="539"/>
        <v/>
      </c>
      <c r="AC1657" t="str">
        <f t="shared" si="556"/>
        <v>Pass</v>
      </c>
      <c r="AD1657" t="str">
        <f t="shared" si="557"/>
        <v>Pass_Completed</v>
      </c>
      <c r="AE1657" t="str">
        <f t="shared" si="558"/>
        <v>Pass-Deflected/TippedShot</v>
      </c>
      <c r="AF1657" t="str">
        <f t="shared" si="540"/>
        <v>Defensive</v>
      </c>
      <c r="AG1657">
        <f t="shared" si="546"/>
        <v>18981</v>
      </c>
      <c r="AH1657" t="str">
        <f t="shared" si="547"/>
        <v>Nelson</v>
      </c>
      <c r="AI1657" t="str">
        <f t="shared" si="548"/>
        <v>Velodrome</v>
      </c>
      <c r="AJ1657" s="18">
        <f t="shared" si="541"/>
        <v>0</v>
      </c>
      <c r="AP1657" s="18">
        <f t="shared" si="542"/>
        <v>0</v>
      </c>
      <c r="AQ1657">
        <f t="shared" si="543"/>
        <v>2160</v>
      </c>
      <c r="AR1657" s="23">
        <f t="shared" si="544"/>
        <v>2176</v>
      </c>
      <c r="AS1657">
        <f t="shared" si="549"/>
        <v>2171</v>
      </c>
      <c r="AT1657" s="21">
        <f t="shared" si="550"/>
        <v>2176</v>
      </c>
      <c r="AU1657" s="21"/>
      <c r="AV1657" s="21"/>
      <c r="AW1657" s="21"/>
    </row>
    <row r="1658" spans="1:49" x14ac:dyDescent="0.2">
      <c r="A1658">
        <v>875</v>
      </c>
      <c r="E1658">
        <f t="shared" si="545"/>
        <v>3</v>
      </c>
      <c r="J1658" t="str">
        <f t="shared" si="552"/>
        <v>17</v>
      </c>
      <c r="K1658" t="str">
        <f t="shared" si="553"/>
        <v>44</v>
      </c>
      <c r="L1658" t="str">
        <f t="shared" si="554"/>
        <v/>
      </c>
      <c r="M1658" s="6" t="str">
        <f t="shared" si="555"/>
        <v/>
      </c>
      <c r="N1658" t="s">
        <v>178</v>
      </c>
      <c r="O1658">
        <v>70</v>
      </c>
      <c r="P1658" t="s">
        <v>424</v>
      </c>
      <c r="Y1658" t="str">
        <f t="shared" si="538"/>
        <v/>
      </c>
      <c r="Z1658" t="str">
        <f t="shared" si="539"/>
        <v/>
      </c>
      <c r="AC1658" t="str">
        <f t="shared" si="556"/>
        <v>Pass</v>
      </c>
      <c r="AD1658" t="str">
        <f t="shared" si="557"/>
        <v>Pass_Completed</v>
      </c>
      <c r="AE1658" t="str">
        <f t="shared" si="558"/>
        <v>Pass-Deflected/TippedShot</v>
      </c>
      <c r="AF1658" t="str">
        <f t="shared" si="540"/>
        <v>Offensive</v>
      </c>
      <c r="AG1658">
        <f t="shared" si="546"/>
        <v>18981</v>
      </c>
      <c r="AH1658" t="str">
        <f t="shared" si="547"/>
        <v>Nelson</v>
      </c>
      <c r="AI1658" t="str">
        <f t="shared" si="548"/>
        <v>Velodrome</v>
      </c>
      <c r="AJ1658" s="18">
        <f t="shared" si="541"/>
        <v>0</v>
      </c>
      <c r="AP1658" s="18">
        <f t="shared" si="542"/>
        <v>0</v>
      </c>
      <c r="AQ1658">
        <f t="shared" si="543"/>
        <v>2160</v>
      </c>
      <c r="AR1658" s="23">
        <f t="shared" si="544"/>
        <v>2176</v>
      </c>
      <c r="AS1658">
        <f t="shared" si="549"/>
        <v>2171</v>
      </c>
      <c r="AT1658" s="21">
        <f t="shared" si="550"/>
        <v>2176</v>
      </c>
      <c r="AU1658" s="21"/>
      <c r="AV1658" s="21"/>
      <c r="AW1658" s="21"/>
    </row>
    <row r="1659" spans="1:49" x14ac:dyDescent="0.2">
      <c r="A1659">
        <v>876</v>
      </c>
      <c r="E1659">
        <f t="shared" si="545"/>
        <v>3</v>
      </c>
      <c r="F1659" s="5" t="s">
        <v>472</v>
      </c>
      <c r="G1659" s="5" t="s">
        <v>516</v>
      </c>
      <c r="J1659" t="str">
        <f t="shared" si="552"/>
        <v>17</v>
      </c>
      <c r="K1659" t="str">
        <f t="shared" si="553"/>
        <v>44</v>
      </c>
      <c r="L1659" t="str">
        <f t="shared" si="554"/>
        <v/>
      </c>
      <c r="M1659" s="6" t="str">
        <f t="shared" si="555"/>
        <v/>
      </c>
      <c r="N1659" t="s">
        <v>178</v>
      </c>
      <c r="O1659">
        <v>79</v>
      </c>
      <c r="P1659" t="s">
        <v>424</v>
      </c>
      <c r="Q1659" t="s">
        <v>7</v>
      </c>
      <c r="R1659" t="s">
        <v>198</v>
      </c>
      <c r="S1659" t="s">
        <v>221</v>
      </c>
      <c r="Y1659" t="str">
        <f t="shared" si="538"/>
        <v/>
      </c>
      <c r="Z1659" t="str">
        <f t="shared" si="539"/>
        <v/>
      </c>
      <c r="AC1659" t="str">
        <f t="shared" si="556"/>
        <v>Shot</v>
      </c>
      <c r="AD1659" t="str">
        <f t="shared" si="557"/>
        <v>Shot_Missed</v>
      </c>
      <c r="AE1659" t="str">
        <f t="shared" si="558"/>
        <v>Shot_Tipped</v>
      </c>
      <c r="AF1659" t="str">
        <f t="shared" si="540"/>
        <v>Offensive</v>
      </c>
      <c r="AG1659">
        <f t="shared" si="546"/>
        <v>18981</v>
      </c>
      <c r="AH1659" t="str">
        <f t="shared" si="547"/>
        <v>Nelson</v>
      </c>
      <c r="AI1659" t="str">
        <f t="shared" si="548"/>
        <v>Velodrome</v>
      </c>
      <c r="AJ1659" s="18">
        <f t="shared" si="541"/>
        <v>0</v>
      </c>
      <c r="AP1659" s="18">
        <f t="shared" si="542"/>
        <v>0</v>
      </c>
      <c r="AQ1659">
        <f t="shared" si="543"/>
        <v>2160</v>
      </c>
      <c r="AR1659" s="23">
        <f t="shared" si="544"/>
        <v>2176</v>
      </c>
      <c r="AS1659">
        <f t="shared" si="549"/>
        <v>2171</v>
      </c>
      <c r="AT1659" s="21">
        <f t="shared" si="550"/>
        <v>2176</v>
      </c>
      <c r="AU1659" s="21"/>
      <c r="AV1659" s="21"/>
      <c r="AW1659" s="21"/>
    </row>
    <row r="1660" spans="1:49" x14ac:dyDescent="0.2">
      <c r="A1660">
        <v>876</v>
      </c>
      <c r="E1660">
        <f t="shared" si="545"/>
        <v>3</v>
      </c>
      <c r="J1660" t="str">
        <f t="shared" si="552"/>
        <v>17</v>
      </c>
      <c r="K1660" t="str">
        <f t="shared" si="553"/>
        <v>44</v>
      </c>
      <c r="L1660" t="str">
        <f t="shared" si="554"/>
        <v/>
      </c>
      <c r="M1660" s="6" t="str">
        <f t="shared" si="555"/>
        <v/>
      </c>
      <c r="N1660" t="str">
        <f t="shared" si="551"/>
        <v>Home</v>
      </c>
      <c r="O1660">
        <v>84</v>
      </c>
      <c r="P1660" t="s">
        <v>425</v>
      </c>
      <c r="Y1660" t="str">
        <f t="shared" si="538"/>
        <v/>
      </c>
      <c r="Z1660" t="str">
        <f t="shared" si="539"/>
        <v/>
      </c>
      <c r="AC1660" t="str">
        <f t="shared" si="556"/>
        <v>Shot</v>
      </c>
      <c r="AD1660" t="str">
        <f t="shared" si="557"/>
        <v>Shot_Missed</v>
      </c>
      <c r="AE1660" t="str">
        <f t="shared" si="558"/>
        <v>Shot_Tipped</v>
      </c>
      <c r="AF1660" t="str">
        <f t="shared" si="540"/>
        <v>Defensive</v>
      </c>
      <c r="AG1660">
        <f t="shared" si="546"/>
        <v>18981</v>
      </c>
      <c r="AH1660" t="str">
        <f t="shared" si="547"/>
        <v>Nelson</v>
      </c>
      <c r="AI1660" t="str">
        <f t="shared" si="548"/>
        <v>Velodrome</v>
      </c>
      <c r="AJ1660" s="18">
        <f t="shared" si="541"/>
        <v>0</v>
      </c>
      <c r="AP1660" s="18">
        <f t="shared" si="542"/>
        <v>0</v>
      </c>
      <c r="AQ1660">
        <f t="shared" si="543"/>
        <v>2160</v>
      </c>
      <c r="AR1660" s="23">
        <f t="shared" si="544"/>
        <v>2176</v>
      </c>
      <c r="AS1660">
        <f t="shared" si="549"/>
        <v>2171</v>
      </c>
      <c r="AT1660" s="21">
        <f t="shared" si="550"/>
        <v>2176</v>
      </c>
      <c r="AU1660" s="21"/>
      <c r="AV1660" s="21"/>
      <c r="AW1660" s="21"/>
    </row>
    <row r="1661" spans="1:49" x14ac:dyDescent="0.2">
      <c r="A1661">
        <v>877</v>
      </c>
      <c r="E1661">
        <f t="shared" si="545"/>
        <v>3</v>
      </c>
      <c r="F1661" s="5" t="s">
        <v>472</v>
      </c>
      <c r="G1661" s="5" t="s">
        <v>513</v>
      </c>
      <c r="H1661" s="5" t="s">
        <v>472</v>
      </c>
      <c r="I1661" s="7" t="s">
        <v>511</v>
      </c>
      <c r="J1661" t="str">
        <f t="shared" si="552"/>
        <v>17</v>
      </c>
      <c r="K1661" t="str">
        <f t="shared" si="553"/>
        <v>41</v>
      </c>
      <c r="L1661" t="str">
        <f t="shared" si="554"/>
        <v>17</v>
      </c>
      <c r="M1661" s="6" t="str">
        <f t="shared" si="555"/>
        <v>39</v>
      </c>
      <c r="N1661" t="s">
        <v>179</v>
      </c>
      <c r="O1661">
        <v>9</v>
      </c>
      <c r="P1661" t="s">
        <v>424</v>
      </c>
      <c r="Q1661" t="s">
        <v>15</v>
      </c>
      <c r="Y1661" t="str">
        <f t="shared" si="538"/>
        <v/>
      </c>
      <c r="Z1661" t="str">
        <f t="shared" si="539"/>
        <v/>
      </c>
      <c r="AC1661" t="str">
        <f t="shared" si="556"/>
        <v>Possession</v>
      </c>
      <c r="AD1661" t="str">
        <f t="shared" si="557"/>
        <v/>
      </c>
      <c r="AE1661" t="str">
        <f t="shared" si="558"/>
        <v/>
      </c>
      <c r="AF1661" t="str">
        <f t="shared" si="540"/>
        <v>Offensive</v>
      </c>
      <c r="AG1661">
        <f t="shared" si="546"/>
        <v>18981</v>
      </c>
      <c r="AH1661" t="str">
        <f t="shared" si="547"/>
        <v>Nelson</v>
      </c>
      <c r="AI1661" t="str">
        <f t="shared" si="548"/>
        <v>Velodrome</v>
      </c>
      <c r="AJ1661" s="18">
        <f t="shared" si="541"/>
        <v>2</v>
      </c>
      <c r="AP1661" s="18">
        <f t="shared" si="542"/>
        <v>0</v>
      </c>
      <c r="AQ1661">
        <f t="shared" si="543"/>
        <v>2160</v>
      </c>
      <c r="AR1661" s="23">
        <f t="shared" si="544"/>
        <v>2179</v>
      </c>
      <c r="AS1661">
        <f t="shared" si="549"/>
        <v>2174</v>
      </c>
      <c r="AT1661" s="21">
        <f t="shared" si="550"/>
        <v>2181</v>
      </c>
      <c r="AU1661" s="21"/>
      <c r="AV1661" s="21"/>
      <c r="AW1661" s="21"/>
    </row>
    <row r="1662" spans="1:49" x14ac:dyDescent="0.2">
      <c r="A1662">
        <v>878</v>
      </c>
      <c r="E1662">
        <f t="shared" si="545"/>
        <v>3</v>
      </c>
      <c r="F1662" s="5" t="s">
        <v>472</v>
      </c>
      <c r="G1662" s="5" t="s">
        <v>511</v>
      </c>
      <c r="J1662" t="str">
        <f t="shared" si="552"/>
        <v>17</v>
      </c>
      <c r="K1662" t="str">
        <f t="shared" si="553"/>
        <v>39</v>
      </c>
      <c r="L1662" t="str">
        <f t="shared" si="554"/>
        <v/>
      </c>
      <c r="M1662" s="6" t="str">
        <f t="shared" si="555"/>
        <v/>
      </c>
      <c r="N1662" t="s">
        <v>179</v>
      </c>
      <c r="O1662">
        <v>9</v>
      </c>
      <c r="P1662" t="s">
        <v>424</v>
      </c>
      <c r="Q1662" t="s">
        <v>10</v>
      </c>
      <c r="R1662" t="s">
        <v>190</v>
      </c>
      <c r="S1662" t="s">
        <v>422</v>
      </c>
      <c r="Y1662" t="str">
        <f t="shared" si="538"/>
        <v/>
      </c>
      <c r="Z1662" t="str">
        <f t="shared" si="539"/>
        <v/>
      </c>
      <c r="AC1662" t="str">
        <f t="shared" si="556"/>
        <v>Turnover</v>
      </c>
      <c r="AD1662" t="str">
        <f t="shared" si="557"/>
        <v>Turnover_Giveaway</v>
      </c>
      <c r="AE1662" t="str">
        <f t="shared" si="558"/>
        <v>Giveaway-AttemptedZoneClear/Dump</v>
      </c>
      <c r="AF1662" t="str">
        <f t="shared" si="540"/>
        <v>Offensive</v>
      </c>
      <c r="AG1662">
        <f t="shared" si="546"/>
        <v>18981</v>
      </c>
      <c r="AH1662" t="str">
        <f t="shared" si="547"/>
        <v>Nelson</v>
      </c>
      <c r="AI1662" t="str">
        <f t="shared" si="548"/>
        <v>Velodrome</v>
      </c>
      <c r="AJ1662" s="18">
        <f t="shared" si="541"/>
        <v>0</v>
      </c>
      <c r="AP1662" s="18">
        <f t="shared" si="542"/>
        <v>0</v>
      </c>
      <c r="AQ1662">
        <f t="shared" si="543"/>
        <v>2160</v>
      </c>
      <c r="AR1662" s="23">
        <f t="shared" si="544"/>
        <v>2181</v>
      </c>
      <c r="AS1662">
        <f t="shared" si="549"/>
        <v>2176</v>
      </c>
      <c r="AT1662" s="21">
        <f t="shared" si="550"/>
        <v>2181</v>
      </c>
      <c r="AU1662" s="21"/>
      <c r="AV1662" s="21"/>
      <c r="AW1662" s="21"/>
    </row>
    <row r="1663" spans="1:49" x14ac:dyDescent="0.2">
      <c r="A1663">
        <v>879</v>
      </c>
      <c r="E1663">
        <f t="shared" si="545"/>
        <v>3</v>
      </c>
      <c r="F1663" s="5" t="s">
        <v>472</v>
      </c>
      <c r="G1663" s="5" t="s">
        <v>511</v>
      </c>
      <c r="J1663" t="str">
        <f t="shared" si="552"/>
        <v>17</v>
      </c>
      <c r="K1663" t="str">
        <f t="shared" si="553"/>
        <v>39</v>
      </c>
      <c r="L1663" t="str">
        <f t="shared" si="554"/>
        <v/>
      </c>
      <c r="M1663" s="6" t="str">
        <f t="shared" si="555"/>
        <v/>
      </c>
      <c r="N1663" t="s">
        <v>178</v>
      </c>
      <c r="O1663">
        <v>80</v>
      </c>
      <c r="P1663" t="s">
        <v>424</v>
      </c>
      <c r="Q1663" t="s">
        <v>277</v>
      </c>
      <c r="R1663" t="s">
        <v>210</v>
      </c>
      <c r="S1663" t="s">
        <v>93</v>
      </c>
      <c r="Y1663" t="str">
        <f t="shared" si="538"/>
        <v/>
      </c>
      <c r="Z1663" t="str">
        <f t="shared" si="539"/>
        <v/>
      </c>
      <c r="AC1663" t="str">
        <f t="shared" si="556"/>
        <v>Zone_Entry_Exit</v>
      </c>
      <c r="AD1663" t="str">
        <f t="shared" si="557"/>
        <v>Zone_Keepin</v>
      </c>
      <c r="AE1663" t="str">
        <f t="shared" si="558"/>
        <v>Zone-KeepIn</v>
      </c>
      <c r="AF1663" t="str">
        <f t="shared" si="540"/>
        <v>Offensive</v>
      </c>
      <c r="AG1663">
        <f t="shared" si="546"/>
        <v>18981</v>
      </c>
      <c r="AH1663" t="str">
        <f t="shared" si="547"/>
        <v>Nelson</v>
      </c>
      <c r="AI1663" t="str">
        <f t="shared" si="548"/>
        <v>Velodrome</v>
      </c>
      <c r="AJ1663" s="18">
        <f t="shared" si="541"/>
        <v>0</v>
      </c>
      <c r="AP1663" s="18">
        <f t="shared" si="542"/>
        <v>0</v>
      </c>
      <c r="AQ1663">
        <f t="shared" si="543"/>
        <v>2160</v>
      </c>
      <c r="AR1663" s="23">
        <f t="shared" si="544"/>
        <v>2181</v>
      </c>
      <c r="AS1663">
        <f t="shared" si="549"/>
        <v>2176</v>
      </c>
      <c r="AT1663" s="21">
        <f t="shared" si="550"/>
        <v>2181</v>
      </c>
      <c r="AU1663" s="21"/>
      <c r="AV1663" s="21"/>
      <c r="AW1663" s="21"/>
    </row>
    <row r="1664" spans="1:49" x14ac:dyDescent="0.2">
      <c r="A1664">
        <v>880</v>
      </c>
      <c r="E1664">
        <f t="shared" si="545"/>
        <v>3</v>
      </c>
      <c r="F1664" s="5" t="s">
        <v>472</v>
      </c>
      <c r="G1664" s="5" t="s">
        <v>511</v>
      </c>
      <c r="H1664" s="5" t="s">
        <v>472</v>
      </c>
      <c r="I1664" s="7" t="s">
        <v>509</v>
      </c>
      <c r="J1664" t="str">
        <f t="shared" si="552"/>
        <v>17</v>
      </c>
      <c r="K1664" t="str">
        <f t="shared" si="553"/>
        <v>39</v>
      </c>
      <c r="L1664" t="str">
        <f t="shared" si="554"/>
        <v>17</v>
      </c>
      <c r="M1664" s="6" t="str">
        <f t="shared" si="555"/>
        <v>37</v>
      </c>
      <c r="N1664" t="s">
        <v>178</v>
      </c>
      <c r="O1664">
        <v>80</v>
      </c>
      <c r="P1664" t="s">
        <v>424</v>
      </c>
      <c r="Q1664" t="s">
        <v>15</v>
      </c>
      <c r="Y1664" t="str">
        <f t="shared" si="538"/>
        <v/>
      </c>
      <c r="Z1664" t="str">
        <f t="shared" si="539"/>
        <v/>
      </c>
      <c r="AC1664" t="str">
        <f t="shared" si="556"/>
        <v>Possession</v>
      </c>
      <c r="AD1664" t="str">
        <f t="shared" si="557"/>
        <v/>
      </c>
      <c r="AE1664" t="str">
        <f t="shared" si="558"/>
        <v/>
      </c>
      <c r="AF1664" t="str">
        <f t="shared" si="540"/>
        <v>Offensive</v>
      </c>
      <c r="AG1664">
        <f t="shared" si="546"/>
        <v>18981</v>
      </c>
      <c r="AH1664" t="str">
        <f t="shared" si="547"/>
        <v>Nelson</v>
      </c>
      <c r="AI1664" t="str">
        <f t="shared" si="548"/>
        <v>Velodrome</v>
      </c>
      <c r="AJ1664" s="18">
        <f t="shared" si="541"/>
        <v>2</v>
      </c>
      <c r="AP1664" s="18">
        <f t="shared" si="542"/>
        <v>0</v>
      </c>
      <c r="AQ1664">
        <f t="shared" si="543"/>
        <v>2160</v>
      </c>
      <c r="AR1664" s="23">
        <f t="shared" si="544"/>
        <v>2181</v>
      </c>
      <c r="AS1664">
        <f t="shared" si="549"/>
        <v>2176</v>
      </c>
      <c r="AT1664" s="21">
        <f t="shared" si="550"/>
        <v>2183</v>
      </c>
      <c r="AU1664" s="21"/>
      <c r="AV1664" s="21"/>
      <c r="AW1664" s="21"/>
    </row>
    <row r="1665" spans="1:49" x14ac:dyDescent="0.2">
      <c r="A1665">
        <v>880</v>
      </c>
      <c r="E1665">
        <f t="shared" si="545"/>
        <v>3</v>
      </c>
      <c r="J1665" t="str">
        <f t="shared" si="552"/>
        <v>17</v>
      </c>
      <c r="K1665" t="str">
        <f t="shared" si="553"/>
        <v>39</v>
      </c>
      <c r="L1665" t="str">
        <f t="shared" si="554"/>
        <v>17</v>
      </c>
      <c r="M1665" s="6" t="str">
        <f t="shared" si="555"/>
        <v>37</v>
      </c>
      <c r="N1665" t="str">
        <f t="shared" si="551"/>
        <v>Home</v>
      </c>
      <c r="O1665">
        <v>70</v>
      </c>
      <c r="P1665" t="s">
        <v>425</v>
      </c>
      <c r="Y1665" t="str">
        <f t="shared" si="538"/>
        <v/>
      </c>
      <c r="Z1665" t="str">
        <f t="shared" si="539"/>
        <v/>
      </c>
      <c r="AC1665" t="str">
        <f t="shared" si="556"/>
        <v>Possession</v>
      </c>
      <c r="AD1665" t="str">
        <f t="shared" si="557"/>
        <v/>
      </c>
      <c r="AE1665" t="str">
        <f t="shared" si="558"/>
        <v/>
      </c>
      <c r="AF1665" t="str">
        <f t="shared" si="540"/>
        <v>Defensive</v>
      </c>
      <c r="AG1665">
        <f t="shared" si="546"/>
        <v>18981</v>
      </c>
      <c r="AH1665" t="str">
        <f t="shared" si="547"/>
        <v>Nelson</v>
      </c>
      <c r="AI1665" t="str">
        <f t="shared" si="548"/>
        <v>Velodrome</v>
      </c>
      <c r="AJ1665" s="18">
        <f t="shared" si="541"/>
        <v>2</v>
      </c>
      <c r="AP1665" s="18">
        <f t="shared" si="542"/>
        <v>0</v>
      </c>
      <c r="AQ1665">
        <f t="shared" si="543"/>
        <v>2160</v>
      </c>
      <c r="AR1665" s="23">
        <f t="shared" si="544"/>
        <v>2181</v>
      </c>
      <c r="AS1665">
        <f t="shared" si="549"/>
        <v>2176</v>
      </c>
      <c r="AT1665" s="21">
        <f t="shared" si="550"/>
        <v>2183</v>
      </c>
      <c r="AU1665" s="21"/>
      <c r="AV1665" s="21"/>
      <c r="AW1665" s="21"/>
    </row>
    <row r="1666" spans="1:49" x14ac:dyDescent="0.2">
      <c r="A1666">
        <v>881</v>
      </c>
      <c r="E1666">
        <f t="shared" si="545"/>
        <v>3</v>
      </c>
      <c r="F1666" s="5" t="s">
        <v>472</v>
      </c>
      <c r="G1666" s="5" t="s">
        <v>509</v>
      </c>
      <c r="J1666" t="str">
        <f t="shared" si="552"/>
        <v>17</v>
      </c>
      <c r="K1666" t="str">
        <f t="shared" si="553"/>
        <v>37</v>
      </c>
      <c r="L1666" t="str">
        <f t="shared" si="554"/>
        <v/>
      </c>
      <c r="M1666" s="6" t="str">
        <f t="shared" si="555"/>
        <v/>
      </c>
      <c r="N1666" t="s">
        <v>178</v>
      </c>
      <c r="O1666">
        <v>80</v>
      </c>
      <c r="P1666" t="s">
        <v>424</v>
      </c>
      <c r="Q1666" t="s">
        <v>7</v>
      </c>
      <c r="R1666" t="s">
        <v>198</v>
      </c>
      <c r="S1666" t="s">
        <v>53</v>
      </c>
      <c r="Y1666" t="str">
        <f t="shared" si="538"/>
        <v/>
      </c>
      <c r="Z1666" t="str">
        <f t="shared" si="539"/>
        <v/>
      </c>
      <c r="AC1666" t="str">
        <f t="shared" si="556"/>
        <v>Shot</v>
      </c>
      <c r="AD1666" t="str">
        <f t="shared" si="557"/>
        <v>Shot_Missed</v>
      </c>
      <c r="AE1666" t="str">
        <f t="shared" si="558"/>
        <v>Shot-Wrist</v>
      </c>
      <c r="AF1666" t="str">
        <f t="shared" si="540"/>
        <v>Offensive</v>
      </c>
      <c r="AG1666">
        <f t="shared" si="546"/>
        <v>18981</v>
      </c>
      <c r="AH1666" t="str">
        <f t="shared" si="547"/>
        <v>Nelson</v>
      </c>
      <c r="AI1666" t="str">
        <f t="shared" si="548"/>
        <v>Velodrome</v>
      </c>
      <c r="AJ1666" s="18">
        <f t="shared" si="541"/>
        <v>0</v>
      </c>
      <c r="AP1666" s="18">
        <f t="shared" si="542"/>
        <v>0</v>
      </c>
      <c r="AQ1666">
        <f t="shared" si="543"/>
        <v>2160</v>
      </c>
      <c r="AR1666" s="23">
        <f t="shared" si="544"/>
        <v>2183</v>
      </c>
      <c r="AS1666">
        <f t="shared" si="549"/>
        <v>2178</v>
      </c>
      <c r="AT1666" s="21">
        <f t="shared" si="550"/>
        <v>2183</v>
      </c>
      <c r="AU1666" s="21"/>
      <c r="AV1666" s="21"/>
      <c r="AW1666" s="21"/>
    </row>
    <row r="1667" spans="1:49" x14ac:dyDescent="0.2">
      <c r="A1667">
        <v>881</v>
      </c>
      <c r="E1667">
        <f t="shared" si="545"/>
        <v>3</v>
      </c>
      <c r="J1667" t="str">
        <f t="shared" si="552"/>
        <v>17</v>
      </c>
      <c r="K1667" t="str">
        <f t="shared" si="553"/>
        <v>37</v>
      </c>
      <c r="L1667" t="str">
        <f t="shared" si="554"/>
        <v/>
      </c>
      <c r="M1667" s="6" t="str">
        <f t="shared" si="555"/>
        <v/>
      </c>
      <c r="N1667" t="str">
        <f t="shared" si="551"/>
        <v>Home</v>
      </c>
      <c r="O1667">
        <v>79</v>
      </c>
      <c r="P1667" t="s">
        <v>424</v>
      </c>
      <c r="Y1667" t="str">
        <f t="shared" ref="Y1667:Y1730" si="559">IF($N1667="","",IF(X1667="","",IF($N1667="Home",$X1667,IF($X1667="n","n",IF($X1667="d","o",IF($X1667="o","d",""))))))</f>
        <v/>
      </c>
      <c r="Z1667" t="str">
        <f t="shared" ref="Z1667:Z1730" si="560">IF($N1667="","",IF(X1667="","",IF($N1667="Away",$X1667,IF($X1667="n","n",IF($X1667="d","o",IF($X1667="o","d",""))))))</f>
        <v/>
      </c>
      <c r="AC1667" t="str">
        <f t="shared" si="556"/>
        <v>Shot</v>
      </c>
      <c r="AD1667" t="str">
        <f t="shared" si="557"/>
        <v>Shot_Missed</v>
      </c>
      <c r="AE1667" t="str">
        <f t="shared" si="558"/>
        <v>Shot-Wrist</v>
      </c>
      <c r="AF1667" t="str">
        <f t="shared" ref="AF1667:AF1730" si="561">IF(AND(P1667="e",OR(AC1667="Save",AD1667="Turnover_Takeaway",AD1667="Play_Defensive")),"Defensive",IF(AND(P1667="o",OR(AC1667="Save",AD1667="Turnover_Takeaway",AD1667="Play_Defensive")),"Offensive",IF(OR(AC1667="Deadice",AC1667="Stoppage",AC1667="Intermission"),"",IF(P1667="e","Offensive",IF(P1667="o","Defensive","")))))</f>
        <v>Offensive</v>
      </c>
      <c r="AG1667">
        <f t="shared" si="546"/>
        <v>18981</v>
      </c>
      <c r="AH1667" t="str">
        <f t="shared" si="547"/>
        <v>Nelson</v>
      </c>
      <c r="AI1667" t="str">
        <f t="shared" si="548"/>
        <v>Velodrome</v>
      </c>
      <c r="AJ1667" s="18">
        <f t="shared" ref="AJ1667:AJ1730" si="562">IF(AND(L1667="",M1667=""),0,((J1667*60)+K1667)-((L1667*60)+M1667))</f>
        <v>0</v>
      </c>
      <c r="AP1667" s="18">
        <f t="shared" ref="AP1667:AP1730" si="563">SUMIFS(AJ1667:AJ1667,Q1667:Q1667,"=Intermission")</f>
        <v>0</v>
      </c>
      <c r="AQ1667">
        <f t="shared" ref="AQ1667:AQ1730" si="564">IF(E1667=1,0,IF(E1667=2,1080+AP1667,IF(E1667=3,(1080*2)+AP1667,0)))</f>
        <v>2160</v>
      </c>
      <c r="AR1667" s="23">
        <f t="shared" ref="AR1667:AR1730" si="565">IF(Q1667="Intermission",AR1666,((1080)-((J1667*60)+K1667))+AQ1667)</f>
        <v>2183</v>
      </c>
      <c r="AS1667">
        <f t="shared" si="549"/>
        <v>2178</v>
      </c>
      <c r="AT1667" s="21">
        <f t="shared" si="550"/>
        <v>2183</v>
      </c>
      <c r="AU1667" s="21"/>
      <c r="AV1667" s="21"/>
      <c r="AW1667" s="21"/>
    </row>
    <row r="1668" spans="1:49" x14ac:dyDescent="0.2">
      <c r="A1668">
        <v>881</v>
      </c>
      <c r="E1668">
        <f t="shared" ref="E1668:E1731" si="566">IF(Q1668="Intermission",E1667+1,E1667)</f>
        <v>3</v>
      </c>
      <c r="J1668" t="str">
        <f t="shared" si="552"/>
        <v>17</v>
      </c>
      <c r="K1668" t="str">
        <f t="shared" si="553"/>
        <v>37</v>
      </c>
      <c r="L1668" t="str">
        <f t="shared" si="554"/>
        <v/>
      </c>
      <c r="M1668" s="6" t="str">
        <f t="shared" si="555"/>
        <v/>
      </c>
      <c r="N1668" t="str">
        <f t="shared" si="551"/>
        <v>Home</v>
      </c>
      <c r="O1668">
        <v>70</v>
      </c>
      <c r="P1668" t="s">
        <v>425</v>
      </c>
      <c r="Y1668" t="str">
        <f t="shared" si="559"/>
        <v/>
      </c>
      <c r="Z1668" t="str">
        <f t="shared" si="560"/>
        <v/>
      </c>
      <c r="AC1668" t="str">
        <f t="shared" si="556"/>
        <v>Shot</v>
      </c>
      <c r="AD1668" t="str">
        <f t="shared" si="557"/>
        <v>Shot_Missed</v>
      </c>
      <c r="AE1668" t="str">
        <f t="shared" si="558"/>
        <v>Shot-Wrist</v>
      </c>
      <c r="AF1668" t="str">
        <f t="shared" si="561"/>
        <v>Defensive</v>
      </c>
      <c r="AG1668">
        <f t="shared" ref="AG1668:AG1731" si="567">AG1667</f>
        <v>18981</v>
      </c>
      <c r="AH1668" t="str">
        <f t="shared" ref="AH1668:AH1731" si="568">AH1667</f>
        <v>Nelson</v>
      </c>
      <c r="AI1668" t="str">
        <f t="shared" ref="AI1668:AI1731" si="569">AI1667</f>
        <v>Velodrome</v>
      </c>
      <c r="AJ1668" s="18">
        <f t="shared" si="562"/>
        <v>0</v>
      </c>
      <c r="AP1668" s="18">
        <f t="shared" si="563"/>
        <v>0</v>
      </c>
      <c r="AQ1668">
        <f t="shared" si="564"/>
        <v>2160</v>
      </c>
      <c r="AR1668" s="23">
        <f t="shared" si="565"/>
        <v>2183</v>
      </c>
      <c r="AS1668">
        <f t="shared" ref="AS1668:AS1731" si="570">IF(AR1668&lt;5,0,AR1668-5)</f>
        <v>2178</v>
      </c>
      <c r="AT1668" s="21">
        <f t="shared" ref="AT1668:AT1731" si="571">AS1668+AJ1668+5</f>
        <v>2183</v>
      </c>
      <c r="AU1668" s="21"/>
      <c r="AV1668" s="21"/>
      <c r="AW1668" s="21"/>
    </row>
    <row r="1669" spans="1:49" x14ac:dyDescent="0.2">
      <c r="A1669">
        <v>881</v>
      </c>
      <c r="E1669">
        <f t="shared" si="566"/>
        <v>3</v>
      </c>
      <c r="J1669" t="str">
        <f t="shared" si="552"/>
        <v>17</v>
      </c>
      <c r="K1669" t="str">
        <f t="shared" si="553"/>
        <v>37</v>
      </c>
      <c r="L1669" t="str">
        <f t="shared" si="554"/>
        <v/>
      </c>
      <c r="M1669" s="6" t="str">
        <f t="shared" si="555"/>
        <v/>
      </c>
      <c r="N1669" t="str">
        <f t="shared" si="551"/>
        <v>Home</v>
      </c>
      <c r="O1669">
        <v>9</v>
      </c>
      <c r="P1669" t="s">
        <v>425</v>
      </c>
      <c r="Y1669" t="str">
        <f t="shared" si="559"/>
        <v/>
      </c>
      <c r="Z1669" t="str">
        <f t="shared" si="560"/>
        <v/>
      </c>
      <c r="AC1669" t="str">
        <f t="shared" si="556"/>
        <v>Shot</v>
      </c>
      <c r="AD1669" t="str">
        <f t="shared" si="557"/>
        <v>Shot_Missed</v>
      </c>
      <c r="AE1669" t="str">
        <f t="shared" si="558"/>
        <v>Shot-Wrist</v>
      </c>
      <c r="AF1669" t="str">
        <f t="shared" si="561"/>
        <v>Defensive</v>
      </c>
      <c r="AG1669">
        <f t="shared" si="567"/>
        <v>18981</v>
      </c>
      <c r="AH1669" t="str">
        <f t="shared" si="568"/>
        <v>Nelson</v>
      </c>
      <c r="AI1669" t="str">
        <f t="shared" si="569"/>
        <v>Velodrome</v>
      </c>
      <c r="AJ1669" s="18">
        <f t="shared" si="562"/>
        <v>0</v>
      </c>
      <c r="AP1669" s="18">
        <f t="shared" si="563"/>
        <v>0</v>
      </c>
      <c r="AQ1669">
        <f t="shared" si="564"/>
        <v>2160</v>
      </c>
      <c r="AR1669" s="23">
        <f t="shared" si="565"/>
        <v>2183</v>
      </c>
      <c r="AS1669">
        <f t="shared" si="570"/>
        <v>2178</v>
      </c>
      <c r="AT1669" s="21">
        <f t="shared" si="571"/>
        <v>2183</v>
      </c>
      <c r="AU1669" s="21"/>
      <c r="AV1669" s="21"/>
      <c r="AW1669" s="21"/>
    </row>
    <row r="1670" spans="1:49" x14ac:dyDescent="0.2">
      <c r="A1670">
        <v>881</v>
      </c>
      <c r="E1670">
        <f t="shared" si="566"/>
        <v>3</v>
      </c>
      <c r="J1670" t="str">
        <f t="shared" si="552"/>
        <v>17</v>
      </c>
      <c r="K1670" t="str">
        <f t="shared" si="553"/>
        <v>37</v>
      </c>
      <c r="L1670" t="str">
        <f t="shared" si="554"/>
        <v/>
      </c>
      <c r="M1670" s="6" t="str">
        <f t="shared" si="555"/>
        <v/>
      </c>
      <c r="N1670" t="str">
        <f t="shared" ref="N1670:N1732" si="572">IF(A1670=A1669,N1669,"")</f>
        <v>Home</v>
      </c>
      <c r="O1670">
        <v>84</v>
      </c>
      <c r="P1670" t="s">
        <v>425</v>
      </c>
      <c r="Y1670" t="str">
        <f t="shared" si="559"/>
        <v/>
      </c>
      <c r="Z1670" t="str">
        <f t="shared" si="560"/>
        <v/>
      </c>
      <c r="AC1670" t="str">
        <f t="shared" si="556"/>
        <v>Shot</v>
      </c>
      <c r="AD1670" t="str">
        <f t="shared" si="557"/>
        <v>Shot_Missed</v>
      </c>
      <c r="AE1670" t="str">
        <f t="shared" si="558"/>
        <v>Shot-Wrist</v>
      </c>
      <c r="AF1670" t="str">
        <f t="shared" si="561"/>
        <v>Defensive</v>
      </c>
      <c r="AG1670">
        <f t="shared" si="567"/>
        <v>18981</v>
      </c>
      <c r="AH1670" t="str">
        <f t="shared" si="568"/>
        <v>Nelson</v>
      </c>
      <c r="AI1670" t="str">
        <f t="shared" si="569"/>
        <v>Velodrome</v>
      </c>
      <c r="AJ1670" s="18">
        <f t="shared" si="562"/>
        <v>0</v>
      </c>
      <c r="AP1670" s="18">
        <f t="shared" si="563"/>
        <v>0</v>
      </c>
      <c r="AQ1670">
        <f t="shared" si="564"/>
        <v>2160</v>
      </c>
      <c r="AR1670" s="23">
        <f t="shared" si="565"/>
        <v>2183</v>
      </c>
      <c r="AS1670">
        <f t="shared" si="570"/>
        <v>2178</v>
      </c>
      <c r="AT1670" s="21">
        <f t="shared" si="571"/>
        <v>2183</v>
      </c>
      <c r="AU1670" s="21"/>
      <c r="AV1670" s="21"/>
      <c r="AW1670" s="21"/>
    </row>
    <row r="1671" spans="1:49" x14ac:dyDescent="0.2">
      <c r="A1671">
        <v>882</v>
      </c>
      <c r="E1671">
        <f t="shared" si="566"/>
        <v>3</v>
      </c>
      <c r="F1671" s="5" t="s">
        <v>472</v>
      </c>
      <c r="G1671" s="5" t="s">
        <v>506</v>
      </c>
      <c r="J1671" t="str">
        <f t="shared" si="552"/>
        <v>17</v>
      </c>
      <c r="K1671" t="str">
        <f t="shared" si="553"/>
        <v>34</v>
      </c>
      <c r="L1671" t="str">
        <f t="shared" si="554"/>
        <v/>
      </c>
      <c r="M1671" s="6" t="str">
        <f t="shared" si="555"/>
        <v/>
      </c>
      <c r="N1671" t="s">
        <v>178</v>
      </c>
      <c r="O1671">
        <v>15</v>
      </c>
      <c r="P1671" t="s">
        <v>424</v>
      </c>
      <c r="Q1671" t="s">
        <v>7</v>
      </c>
      <c r="R1671" t="s">
        <v>222</v>
      </c>
      <c r="S1671" t="s">
        <v>53</v>
      </c>
      <c r="Y1671" t="str">
        <f t="shared" si="559"/>
        <v/>
      </c>
      <c r="Z1671" t="str">
        <f t="shared" si="560"/>
        <v/>
      </c>
      <c r="AC1671" t="str">
        <f t="shared" si="556"/>
        <v>Shot</v>
      </c>
      <c r="AD1671" t="str">
        <f t="shared" si="557"/>
        <v>Shot_OnNetSaved</v>
      </c>
      <c r="AE1671" t="str">
        <f t="shared" si="558"/>
        <v>Shot-Wrist</v>
      </c>
      <c r="AF1671" t="str">
        <f t="shared" si="561"/>
        <v>Offensive</v>
      </c>
      <c r="AG1671">
        <f t="shared" si="567"/>
        <v>18981</v>
      </c>
      <c r="AH1671" t="str">
        <f t="shared" si="568"/>
        <v>Nelson</v>
      </c>
      <c r="AI1671" t="str">
        <f t="shared" si="569"/>
        <v>Velodrome</v>
      </c>
      <c r="AJ1671" s="18">
        <f t="shared" si="562"/>
        <v>0</v>
      </c>
      <c r="AP1671" s="18">
        <f t="shared" si="563"/>
        <v>0</v>
      </c>
      <c r="AQ1671">
        <f t="shared" si="564"/>
        <v>2160</v>
      </c>
      <c r="AR1671" s="23">
        <f t="shared" si="565"/>
        <v>2186</v>
      </c>
      <c r="AS1671">
        <f t="shared" si="570"/>
        <v>2181</v>
      </c>
      <c r="AT1671" s="21">
        <f t="shared" si="571"/>
        <v>2186</v>
      </c>
      <c r="AU1671" s="21"/>
      <c r="AV1671" s="21"/>
      <c r="AW1671" s="21"/>
    </row>
    <row r="1672" spans="1:49" x14ac:dyDescent="0.2">
      <c r="A1672">
        <v>882</v>
      </c>
      <c r="E1672">
        <f t="shared" si="566"/>
        <v>3</v>
      </c>
      <c r="J1672" t="str">
        <f t="shared" si="552"/>
        <v>17</v>
      </c>
      <c r="K1672" t="str">
        <f t="shared" si="553"/>
        <v>34</v>
      </c>
      <c r="L1672" t="str">
        <f t="shared" si="554"/>
        <v/>
      </c>
      <c r="M1672" s="6" t="str">
        <f t="shared" si="555"/>
        <v/>
      </c>
      <c r="N1672" t="str">
        <f t="shared" si="572"/>
        <v>Home</v>
      </c>
      <c r="O1672">
        <v>39</v>
      </c>
      <c r="P1672" t="s">
        <v>425</v>
      </c>
      <c r="Y1672" t="str">
        <f t="shared" si="559"/>
        <v/>
      </c>
      <c r="Z1672" t="str">
        <f t="shared" si="560"/>
        <v/>
      </c>
      <c r="AC1672" t="str">
        <f t="shared" si="556"/>
        <v>Shot</v>
      </c>
      <c r="AD1672" t="str">
        <f t="shared" si="557"/>
        <v>Shot_OnNetSaved</v>
      </c>
      <c r="AE1672" t="str">
        <f t="shared" si="558"/>
        <v>Shot-Wrist</v>
      </c>
      <c r="AF1672" t="str">
        <f t="shared" si="561"/>
        <v>Defensive</v>
      </c>
      <c r="AG1672">
        <f t="shared" si="567"/>
        <v>18981</v>
      </c>
      <c r="AH1672" t="str">
        <f t="shared" si="568"/>
        <v>Nelson</v>
      </c>
      <c r="AI1672" t="str">
        <f t="shared" si="569"/>
        <v>Velodrome</v>
      </c>
      <c r="AJ1672" s="18">
        <f t="shared" si="562"/>
        <v>0</v>
      </c>
      <c r="AP1672" s="18">
        <f t="shared" si="563"/>
        <v>0</v>
      </c>
      <c r="AQ1672">
        <f t="shared" si="564"/>
        <v>2160</v>
      </c>
      <c r="AR1672" s="23">
        <f t="shared" si="565"/>
        <v>2186</v>
      </c>
      <c r="AS1672">
        <f t="shared" si="570"/>
        <v>2181</v>
      </c>
      <c r="AT1672" s="21">
        <f t="shared" si="571"/>
        <v>2186</v>
      </c>
      <c r="AU1672" s="21"/>
      <c r="AV1672" s="21"/>
      <c r="AW1672" s="21"/>
    </row>
    <row r="1673" spans="1:49" x14ac:dyDescent="0.2">
      <c r="A1673">
        <v>882</v>
      </c>
      <c r="E1673">
        <f t="shared" si="566"/>
        <v>3</v>
      </c>
      <c r="J1673" t="str">
        <f t="shared" ref="J1673:J1736" si="573">IF(F1673&lt;&gt;"",F1673,IF($A1673=$A1672,J1672,J1673))</f>
        <v>17</v>
      </c>
      <c r="K1673" t="str">
        <f t="shared" ref="K1673:K1736" si="574">IF($A1673=$A1672,K1672,G1673)</f>
        <v>34</v>
      </c>
      <c r="L1673" t="str">
        <f t="shared" ref="L1673:L1736" si="575">IF(H1673&lt;&gt;"",H1673,IF($A1673=$A1672,L1672,""))</f>
        <v/>
      </c>
      <c r="M1673" s="6" t="str">
        <f t="shared" ref="M1673:M1736" si="576">IF(I1673&lt;&gt;"",I1673,IF($A1673=$A1672,M1672,""))</f>
        <v/>
      </c>
      <c r="N1673" t="str">
        <f t="shared" si="572"/>
        <v>Home</v>
      </c>
      <c r="O1673">
        <v>9</v>
      </c>
      <c r="P1673" t="s">
        <v>425</v>
      </c>
      <c r="Y1673" t="str">
        <f t="shared" si="559"/>
        <v/>
      </c>
      <c r="Z1673" t="str">
        <f t="shared" si="560"/>
        <v/>
      </c>
      <c r="AC1673" t="str">
        <f t="shared" si="556"/>
        <v>Shot</v>
      </c>
      <c r="AD1673" t="str">
        <f t="shared" si="557"/>
        <v>Shot_OnNetSaved</v>
      </c>
      <c r="AE1673" t="str">
        <f t="shared" si="558"/>
        <v>Shot-Wrist</v>
      </c>
      <c r="AF1673" t="str">
        <f t="shared" si="561"/>
        <v>Defensive</v>
      </c>
      <c r="AG1673">
        <f t="shared" si="567"/>
        <v>18981</v>
      </c>
      <c r="AH1673" t="str">
        <f t="shared" si="568"/>
        <v>Nelson</v>
      </c>
      <c r="AI1673" t="str">
        <f t="shared" si="569"/>
        <v>Velodrome</v>
      </c>
      <c r="AJ1673" s="18">
        <f t="shared" si="562"/>
        <v>0</v>
      </c>
      <c r="AP1673" s="18">
        <f t="shared" si="563"/>
        <v>0</v>
      </c>
      <c r="AQ1673">
        <f t="shared" si="564"/>
        <v>2160</v>
      </c>
      <c r="AR1673" s="23">
        <f t="shared" si="565"/>
        <v>2186</v>
      </c>
      <c r="AS1673">
        <f t="shared" si="570"/>
        <v>2181</v>
      </c>
      <c r="AT1673" s="21">
        <f t="shared" si="571"/>
        <v>2186</v>
      </c>
      <c r="AU1673" s="21"/>
      <c r="AV1673" s="21"/>
      <c r="AW1673" s="21"/>
    </row>
    <row r="1674" spans="1:49" x14ac:dyDescent="0.2">
      <c r="A1674">
        <v>883</v>
      </c>
      <c r="E1674">
        <f t="shared" si="566"/>
        <v>3</v>
      </c>
      <c r="F1674" s="5" t="s">
        <v>472</v>
      </c>
      <c r="G1674" s="5" t="s">
        <v>506</v>
      </c>
      <c r="J1674" t="str">
        <f t="shared" si="573"/>
        <v>17</v>
      </c>
      <c r="K1674" t="str">
        <f t="shared" si="574"/>
        <v>34</v>
      </c>
      <c r="L1674" t="str">
        <f t="shared" si="575"/>
        <v/>
      </c>
      <c r="M1674" s="6" t="str">
        <f t="shared" si="576"/>
        <v/>
      </c>
      <c r="N1674" t="s">
        <v>179</v>
      </c>
      <c r="O1674">
        <v>39</v>
      </c>
      <c r="P1674" t="s">
        <v>424</v>
      </c>
      <c r="Q1674" t="s">
        <v>17</v>
      </c>
      <c r="R1674" t="s">
        <v>196</v>
      </c>
      <c r="S1674" t="s">
        <v>99</v>
      </c>
      <c r="Y1674" t="str">
        <f t="shared" si="559"/>
        <v/>
      </c>
      <c r="Z1674" t="str">
        <f t="shared" si="560"/>
        <v/>
      </c>
      <c r="AC1674" t="str">
        <f t="shared" si="556"/>
        <v>Save</v>
      </c>
      <c r="AD1674" t="str">
        <f t="shared" si="557"/>
        <v>Save_Rebound</v>
      </c>
      <c r="AE1674" t="str">
        <f t="shared" si="558"/>
        <v>Save-RightPad</v>
      </c>
      <c r="AF1674" t="str">
        <f t="shared" si="561"/>
        <v>Defensive</v>
      </c>
      <c r="AG1674">
        <f t="shared" si="567"/>
        <v>18981</v>
      </c>
      <c r="AH1674" t="str">
        <f t="shared" si="568"/>
        <v>Nelson</v>
      </c>
      <c r="AI1674" t="str">
        <f t="shared" si="569"/>
        <v>Velodrome</v>
      </c>
      <c r="AJ1674" s="18">
        <f t="shared" si="562"/>
        <v>0</v>
      </c>
      <c r="AP1674" s="18">
        <f t="shared" si="563"/>
        <v>0</v>
      </c>
      <c r="AQ1674">
        <f t="shared" si="564"/>
        <v>2160</v>
      </c>
      <c r="AR1674" s="23">
        <f t="shared" si="565"/>
        <v>2186</v>
      </c>
      <c r="AS1674">
        <f t="shared" si="570"/>
        <v>2181</v>
      </c>
      <c r="AT1674" s="21">
        <f t="shared" si="571"/>
        <v>2186</v>
      </c>
      <c r="AU1674" s="21"/>
      <c r="AV1674" s="21"/>
      <c r="AW1674" s="21"/>
    </row>
    <row r="1675" spans="1:49" x14ac:dyDescent="0.2">
      <c r="A1675">
        <v>883</v>
      </c>
      <c r="E1675">
        <f t="shared" si="566"/>
        <v>3</v>
      </c>
      <c r="J1675" t="str">
        <f t="shared" si="573"/>
        <v>17</v>
      </c>
      <c r="K1675" t="str">
        <f t="shared" si="574"/>
        <v>34</v>
      </c>
      <c r="L1675" t="str">
        <f t="shared" si="575"/>
        <v/>
      </c>
      <c r="M1675" s="6" t="str">
        <f t="shared" si="576"/>
        <v/>
      </c>
      <c r="N1675" t="str">
        <f t="shared" si="572"/>
        <v>Away</v>
      </c>
      <c r="O1675">
        <v>9</v>
      </c>
      <c r="P1675" t="s">
        <v>424</v>
      </c>
      <c r="Y1675" t="str">
        <f t="shared" si="559"/>
        <v/>
      </c>
      <c r="Z1675" t="str">
        <f t="shared" si="560"/>
        <v/>
      </c>
      <c r="AC1675" t="str">
        <f t="shared" si="556"/>
        <v>Save</v>
      </c>
      <c r="AD1675" t="str">
        <f t="shared" si="557"/>
        <v>Save_Rebound</v>
      </c>
      <c r="AE1675" t="str">
        <f t="shared" si="558"/>
        <v>Save-RightPad</v>
      </c>
      <c r="AF1675" t="str">
        <f t="shared" si="561"/>
        <v>Defensive</v>
      </c>
      <c r="AG1675">
        <f t="shared" si="567"/>
        <v>18981</v>
      </c>
      <c r="AH1675" t="str">
        <f t="shared" si="568"/>
        <v>Nelson</v>
      </c>
      <c r="AI1675" t="str">
        <f t="shared" si="569"/>
        <v>Velodrome</v>
      </c>
      <c r="AJ1675" s="18">
        <f t="shared" si="562"/>
        <v>0</v>
      </c>
      <c r="AP1675" s="18">
        <f t="shared" si="563"/>
        <v>0</v>
      </c>
      <c r="AQ1675">
        <f t="shared" si="564"/>
        <v>2160</v>
      </c>
      <c r="AR1675" s="23">
        <f t="shared" si="565"/>
        <v>2186</v>
      </c>
      <c r="AS1675">
        <f t="shared" si="570"/>
        <v>2181</v>
      </c>
      <c r="AT1675" s="21">
        <f t="shared" si="571"/>
        <v>2186</v>
      </c>
      <c r="AU1675" s="21"/>
      <c r="AV1675" s="21"/>
      <c r="AW1675" s="21"/>
    </row>
    <row r="1676" spans="1:49" x14ac:dyDescent="0.2">
      <c r="A1676">
        <v>883</v>
      </c>
      <c r="E1676">
        <f t="shared" si="566"/>
        <v>3</v>
      </c>
      <c r="J1676" t="str">
        <f t="shared" si="573"/>
        <v>17</v>
      </c>
      <c r="K1676" t="str">
        <f t="shared" si="574"/>
        <v>34</v>
      </c>
      <c r="L1676" t="str">
        <f t="shared" si="575"/>
        <v/>
      </c>
      <c r="M1676" s="6" t="str">
        <f t="shared" si="576"/>
        <v/>
      </c>
      <c r="N1676" t="str">
        <f t="shared" si="572"/>
        <v>Away</v>
      </c>
      <c r="O1676">
        <v>15</v>
      </c>
      <c r="P1676" t="s">
        <v>425</v>
      </c>
      <c r="Y1676" t="str">
        <f t="shared" si="559"/>
        <v/>
      </c>
      <c r="Z1676" t="str">
        <f t="shared" si="560"/>
        <v/>
      </c>
      <c r="AC1676" t="str">
        <f t="shared" si="556"/>
        <v>Save</v>
      </c>
      <c r="AD1676" t="str">
        <f t="shared" si="557"/>
        <v>Save_Rebound</v>
      </c>
      <c r="AE1676" t="str">
        <f t="shared" si="558"/>
        <v>Save-RightPad</v>
      </c>
      <c r="AF1676" t="str">
        <f t="shared" si="561"/>
        <v>Offensive</v>
      </c>
      <c r="AG1676">
        <f t="shared" si="567"/>
        <v>18981</v>
      </c>
      <c r="AH1676" t="str">
        <f t="shared" si="568"/>
        <v>Nelson</v>
      </c>
      <c r="AI1676" t="str">
        <f t="shared" si="569"/>
        <v>Velodrome</v>
      </c>
      <c r="AJ1676" s="18">
        <f t="shared" si="562"/>
        <v>0</v>
      </c>
      <c r="AP1676" s="18">
        <f t="shared" si="563"/>
        <v>0</v>
      </c>
      <c r="AQ1676">
        <f t="shared" si="564"/>
        <v>2160</v>
      </c>
      <c r="AR1676" s="23">
        <f t="shared" si="565"/>
        <v>2186</v>
      </c>
      <c r="AS1676">
        <f t="shared" si="570"/>
        <v>2181</v>
      </c>
      <c r="AT1676" s="21">
        <f t="shared" si="571"/>
        <v>2186</v>
      </c>
      <c r="AU1676" s="21"/>
      <c r="AV1676" s="21"/>
      <c r="AW1676" s="21"/>
    </row>
    <row r="1677" spans="1:49" x14ac:dyDescent="0.2">
      <c r="A1677">
        <v>884</v>
      </c>
      <c r="E1677">
        <f t="shared" si="566"/>
        <v>3</v>
      </c>
      <c r="F1677" s="5" t="s">
        <v>472</v>
      </c>
      <c r="G1677" s="5" t="s">
        <v>506</v>
      </c>
      <c r="J1677" t="str">
        <f t="shared" si="573"/>
        <v>17</v>
      </c>
      <c r="K1677" t="str">
        <f t="shared" si="574"/>
        <v>34</v>
      </c>
      <c r="L1677" t="str">
        <f t="shared" si="575"/>
        <v/>
      </c>
      <c r="M1677" s="6" t="str">
        <f t="shared" si="576"/>
        <v/>
      </c>
      <c r="N1677" t="s">
        <v>179</v>
      </c>
      <c r="O1677">
        <v>39</v>
      </c>
      <c r="P1677" t="s">
        <v>424</v>
      </c>
      <c r="Q1677" t="s">
        <v>270</v>
      </c>
      <c r="R1677" t="s">
        <v>271</v>
      </c>
      <c r="Y1677" t="str">
        <f t="shared" si="559"/>
        <v/>
      </c>
      <c r="Z1677" t="str">
        <f t="shared" si="560"/>
        <v/>
      </c>
      <c r="AC1677" t="str">
        <f t="shared" si="556"/>
        <v>Rebound</v>
      </c>
      <c r="AD1677" t="str">
        <f t="shared" si="557"/>
        <v>Rebound_TeamRecovered</v>
      </c>
      <c r="AE1677" t="str">
        <f t="shared" si="558"/>
        <v/>
      </c>
      <c r="AF1677" t="str">
        <f t="shared" si="561"/>
        <v>Offensive</v>
      </c>
      <c r="AG1677">
        <f t="shared" si="567"/>
        <v>18981</v>
      </c>
      <c r="AH1677" t="str">
        <f t="shared" si="568"/>
        <v>Nelson</v>
      </c>
      <c r="AI1677" t="str">
        <f t="shared" si="569"/>
        <v>Velodrome</v>
      </c>
      <c r="AJ1677" s="18">
        <f t="shared" si="562"/>
        <v>0</v>
      </c>
      <c r="AP1677" s="18">
        <f t="shared" si="563"/>
        <v>0</v>
      </c>
      <c r="AQ1677">
        <f t="shared" si="564"/>
        <v>2160</v>
      </c>
      <c r="AR1677" s="23">
        <f t="shared" si="565"/>
        <v>2186</v>
      </c>
      <c r="AS1677">
        <f t="shared" si="570"/>
        <v>2181</v>
      </c>
      <c r="AT1677" s="21">
        <f t="shared" si="571"/>
        <v>2186</v>
      </c>
      <c r="AU1677" s="21"/>
      <c r="AV1677" s="21"/>
      <c r="AW1677" s="21"/>
    </row>
    <row r="1678" spans="1:49" x14ac:dyDescent="0.2">
      <c r="A1678">
        <v>885</v>
      </c>
      <c r="E1678">
        <f t="shared" si="566"/>
        <v>3</v>
      </c>
      <c r="F1678" s="5" t="s">
        <v>472</v>
      </c>
      <c r="G1678" s="5" t="s">
        <v>505</v>
      </c>
      <c r="H1678" s="5" t="s">
        <v>472</v>
      </c>
      <c r="I1678" s="7" t="s">
        <v>502</v>
      </c>
      <c r="J1678" t="str">
        <f t="shared" si="573"/>
        <v>17</v>
      </c>
      <c r="K1678" t="str">
        <f t="shared" si="574"/>
        <v>33</v>
      </c>
      <c r="L1678" t="str">
        <f t="shared" si="575"/>
        <v>17</v>
      </c>
      <c r="M1678" s="6" t="str">
        <f t="shared" si="576"/>
        <v>30</v>
      </c>
      <c r="N1678" t="s">
        <v>179</v>
      </c>
      <c r="O1678">
        <v>9</v>
      </c>
      <c r="P1678" t="s">
        <v>424</v>
      </c>
      <c r="Q1678" t="s">
        <v>15</v>
      </c>
      <c r="Y1678" t="str">
        <f t="shared" si="559"/>
        <v/>
      </c>
      <c r="Z1678" t="str">
        <f t="shared" si="560"/>
        <v/>
      </c>
      <c r="AC1678" t="str">
        <f t="shared" si="556"/>
        <v>Possession</v>
      </c>
      <c r="AD1678" t="str">
        <f t="shared" si="557"/>
        <v/>
      </c>
      <c r="AE1678" t="str">
        <f t="shared" si="558"/>
        <v/>
      </c>
      <c r="AF1678" t="str">
        <f t="shared" si="561"/>
        <v>Offensive</v>
      </c>
      <c r="AG1678">
        <f t="shared" si="567"/>
        <v>18981</v>
      </c>
      <c r="AH1678" t="str">
        <f t="shared" si="568"/>
        <v>Nelson</v>
      </c>
      <c r="AI1678" t="str">
        <f t="shared" si="569"/>
        <v>Velodrome</v>
      </c>
      <c r="AJ1678" s="18">
        <f t="shared" si="562"/>
        <v>3</v>
      </c>
      <c r="AP1678" s="18">
        <f t="shared" si="563"/>
        <v>0</v>
      </c>
      <c r="AQ1678">
        <f t="shared" si="564"/>
        <v>2160</v>
      </c>
      <c r="AR1678" s="23">
        <f t="shared" si="565"/>
        <v>2187</v>
      </c>
      <c r="AS1678">
        <f t="shared" si="570"/>
        <v>2182</v>
      </c>
      <c r="AT1678" s="21">
        <f t="shared" si="571"/>
        <v>2190</v>
      </c>
      <c r="AU1678" s="21"/>
      <c r="AV1678" s="21"/>
      <c r="AW1678" s="21"/>
    </row>
    <row r="1679" spans="1:49" x14ac:dyDescent="0.2">
      <c r="A1679">
        <v>885</v>
      </c>
      <c r="E1679">
        <f t="shared" si="566"/>
        <v>3</v>
      </c>
      <c r="J1679" t="str">
        <f t="shared" si="573"/>
        <v>17</v>
      </c>
      <c r="K1679" t="str">
        <f t="shared" si="574"/>
        <v>33</v>
      </c>
      <c r="L1679" t="str">
        <f t="shared" si="575"/>
        <v>17</v>
      </c>
      <c r="M1679" s="6" t="str">
        <f t="shared" si="576"/>
        <v>30</v>
      </c>
      <c r="N1679" t="str">
        <f t="shared" si="572"/>
        <v>Away</v>
      </c>
      <c r="O1679">
        <v>79</v>
      </c>
      <c r="P1679" t="s">
        <v>425</v>
      </c>
      <c r="Y1679" t="str">
        <f t="shared" si="559"/>
        <v/>
      </c>
      <c r="Z1679" t="str">
        <f t="shared" si="560"/>
        <v/>
      </c>
      <c r="AC1679" t="str">
        <f t="shared" si="556"/>
        <v>Possession</v>
      </c>
      <c r="AD1679" t="str">
        <f t="shared" si="557"/>
        <v/>
      </c>
      <c r="AE1679" t="str">
        <f t="shared" si="558"/>
        <v/>
      </c>
      <c r="AF1679" t="str">
        <f t="shared" si="561"/>
        <v>Defensive</v>
      </c>
      <c r="AG1679">
        <f t="shared" si="567"/>
        <v>18981</v>
      </c>
      <c r="AH1679" t="str">
        <f t="shared" si="568"/>
        <v>Nelson</v>
      </c>
      <c r="AI1679" t="str">
        <f t="shared" si="569"/>
        <v>Velodrome</v>
      </c>
      <c r="AJ1679" s="18">
        <f t="shared" si="562"/>
        <v>3</v>
      </c>
      <c r="AP1679" s="18">
        <f t="shared" si="563"/>
        <v>0</v>
      </c>
      <c r="AQ1679">
        <f t="shared" si="564"/>
        <v>2160</v>
      </c>
      <c r="AR1679" s="23">
        <f t="shared" si="565"/>
        <v>2187</v>
      </c>
      <c r="AS1679">
        <f t="shared" si="570"/>
        <v>2182</v>
      </c>
      <c r="AT1679" s="21">
        <f t="shared" si="571"/>
        <v>2190</v>
      </c>
      <c r="AU1679" s="21"/>
      <c r="AV1679" s="21"/>
      <c r="AW1679" s="21"/>
    </row>
    <row r="1680" spans="1:49" x14ac:dyDescent="0.2">
      <c r="A1680">
        <v>886</v>
      </c>
      <c r="E1680">
        <f t="shared" si="566"/>
        <v>3</v>
      </c>
      <c r="F1680" s="5" t="s">
        <v>472</v>
      </c>
      <c r="G1680" s="5" t="s">
        <v>502</v>
      </c>
      <c r="J1680" t="str">
        <f t="shared" si="573"/>
        <v>17</v>
      </c>
      <c r="K1680" t="str">
        <f t="shared" si="574"/>
        <v>30</v>
      </c>
      <c r="L1680" t="str">
        <f t="shared" si="575"/>
        <v/>
      </c>
      <c r="M1680" s="6" t="str">
        <f t="shared" si="576"/>
        <v/>
      </c>
      <c r="N1680" t="s">
        <v>179</v>
      </c>
      <c r="O1680">
        <v>9</v>
      </c>
      <c r="P1680" t="s">
        <v>424</v>
      </c>
      <c r="Q1680" t="s">
        <v>8</v>
      </c>
      <c r="R1680" t="s">
        <v>189</v>
      </c>
      <c r="S1680" t="s">
        <v>68</v>
      </c>
      <c r="Y1680" t="str">
        <f t="shared" si="559"/>
        <v/>
      </c>
      <c r="Z1680" t="str">
        <f t="shared" si="560"/>
        <v/>
      </c>
      <c r="AC1680" t="str">
        <f t="shared" si="556"/>
        <v>Pass</v>
      </c>
      <c r="AD1680" t="str">
        <f t="shared" si="557"/>
        <v>Pass_Completed</v>
      </c>
      <c r="AE1680" t="str">
        <f t="shared" si="558"/>
        <v>Pass-Rim/Wrap</v>
      </c>
      <c r="AF1680" t="str">
        <f t="shared" si="561"/>
        <v>Offensive</v>
      </c>
      <c r="AG1680">
        <f t="shared" si="567"/>
        <v>18981</v>
      </c>
      <c r="AH1680" t="str">
        <f t="shared" si="568"/>
        <v>Nelson</v>
      </c>
      <c r="AI1680" t="str">
        <f t="shared" si="569"/>
        <v>Velodrome</v>
      </c>
      <c r="AJ1680" s="18">
        <f t="shared" si="562"/>
        <v>0</v>
      </c>
      <c r="AP1680" s="18">
        <f t="shared" si="563"/>
        <v>0</v>
      </c>
      <c r="AQ1680">
        <f t="shared" si="564"/>
        <v>2160</v>
      </c>
      <c r="AR1680" s="23">
        <f t="shared" si="565"/>
        <v>2190</v>
      </c>
      <c r="AS1680">
        <f t="shared" si="570"/>
        <v>2185</v>
      </c>
      <c r="AT1680" s="21">
        <f t="shared" si="571"/>
        <v>2190</v>
      </c>
      <c r="AU1680" s="21"/>
      <c r="AV1680" s="21"/>
      <c r="AW1680" s="21"/>
    </row>
    <row r="1681" spans="1:49" x14ac:dyDescent="0.2">
      <c r="A1681">
        <v>886</v>
      </c>
      <c r="E1681">
        <f t="shared" si="566"/>
        <v>3</v>
      </c>
      <c r="J1681" t="str">
        <f t="shared" si="573"/>
        <v>17</v>
      </c>
      <c r="K1681" t="str">
        <f t="shared" si="574"/>
        <v>30</v>
      </c>
      <c r="L1681" t="str">
        <f t="shared" si="575"/>
        <v/>
      </c>
      <c r="M1681" s="6" t="str">
        <f t="shared" si="576"/>
        <v/>
      </c>
      <c r="N1681" t="str">
        <f t="shared" si="572"/>
        <v>Away</v>
      </c>
      <c r="O1681">
        <v>70</v>
      </c>
      <c r="P1681" t="s">
        <v>424</v>
      </c>
      <c r="Y1681" t="str">
        <f t="shared" si="559"/>
        <v/>
      </c>
      <c r="Z1681" t="str">
        <f t="shared" si="560"/>
        <v/>
      </c>
      <c r="AC1681" t="str">
        <f t="shared" si="556"/>
        <v>Pass</v>
      </c>
      <c r="AD1681" t="str">
        <f t="shared" si="557"/>
        <v>Pass_Completed</v>
      </c>
      <c r="AE1681" t="str">
        <f t="shared" si="558"/>
        <v>Pass-Rim/Wrap</v>
      </c>
      <c r="AF1681" t="str">
        <f t="shared" si="561"/>
        <v>Offensive</v>
      </c>
      <c r="AG1681">
        <f t="shared" si="567"/>
        <v>18981</v>
      </c>
      <c r="AH1681" t="str">
        <f t="shared" si="568"/>
        <v>Nelson</v>
      </c>
      <c r="AI1681" t="str">
        <f t="shared" si="569"/>
        <v>Velodrome</v>
      </c>
      <c r="AJ1681" s="18">
        <f t="shared" si="562"/>
        <v>0</v>
      </c>
      <c r="AP1681" s="18">
        <f t="shared" si="563"/>
        <v>0</v>
      </c>
      <c r="AQ1681">
        <f t="shared" si="564"/>
        <v>2160</v>
      </c>
      <c r="AR1681" s="23">
        <f t="shared" si="565"/>
        <v>2190</v>
      </c>
      <c r="AS1681">
        <f t="shared" si="570"/>
        <v>2185</v>
      </c>
      <c r="AT1681" s="21">
        <f t="shared" si="571"/>
        <v>2190</v>
      </c>
      <c r="AU1681" s="21"/>
      <c r="AV1681" s="21"/>
      <c r="AW1681" s="21"/>
    </row>
    <row r="1682" spans="1:49" x14ac:dyDescent="0.2">
      <c r="A1682">
        <v>886</v>
      </c>
      <c r="E1682">
        <f t="shared" si="566"/>
        <v>3</v>
      </c>
      <c r="J1682" t="str">
        <f t="shared" si="573"/>
        <v>17</v>
      </c>
      <c r="K1682" t="str">
        <f t="shared" si="574"/>
        <v>30</v>
      </c>
      <c r="L1682" t="str">
        <f t="shared" si="575"/>
        <v/>
      </c>
      <c r="M1682" s="6" t="str">
        <f t="shared" si="576"/>
        <v/>
      </c>
      <c r="N1682" t="str">
        <f t="shared" si="572"/>
        <v>Away</v>
      </c>
      <c r="O1682">
        <v>79</v>
      </c>
      <c r="P1682" t="s">
        <v>425</v>
      </c>
      <c r="Y1682" t="str">
        <f t="shared" si="559"/>
        <v/>
      </c>
      <c r="Z1682" t="str">
        <f t="shared" si="560"/>
        <v/>
      </c>
      <c r="AC1682" t="str">
        <f t="shared" si="556"/>
        <v>Pass</v>
      </c>
      <c r="AD1682" t="str">
        <f t="shared" si="557"/>
        <v>Pass_Completed</v>
      </c>
      <c r="AE1682" t="str">
        <f t="shared" si="558"/>
        <v>Pass-Rim/Wrap</v>
      </c>
      <c r="AF1682" t="str">
        <f t="shared" si="561"/>
        <v>Defensive</v>
      </c>
      <c r="AG1682">
        <f t="shared" si="567"/>
        <v>18981</v>
      </c>
      <c r="AH1682" t="str">
        <f t="shared" si="568"/>
        <v>Nelson</v>
      </c>
      <c r="AI1682" t="str">
        <f t="shared" si="569"/>
        <v>Velodrome</v>
      </c>
      <c r="AJ1682" s="18">
        <f t="shared" si="562"/>
        <v>0</v>
      </c>
      <c r="AP1682" s="18">
        <f t="shared" si="563"/>
        <v>0</v>
      </c>
      <c r="AQ1682">
        <f t="shared" si="564"/>
        <v>2160</v>
      </c>
      <c r="AR1682" s="23">
        <f t="shared" si="565"/>
        <v>2190</v>
      </c>
      <c r="AS1682">
        <f t="shared" si="570"/>
        <v>2185</v>
      </c>
      <c r="AT1682" s="21">
        <f t="shared" si="571"/>
        <v>2190</v>
      </c>
      <c r="AU1682" s="21"/>
      <c r="AV1682" s="21"/>
      <c r="AW1682" s="21"/>
    </row>
    <row r="1683" spans="1:49" x14ac:dyDescent="0.2">
      <c r="A1683">
        <v>886</v>
      </c>
      <c r="E1683">
        <f t="shared" si="566"/>
        <v>3</v>
      </c>
      <c r="J1683" t="str">
        <f t="shared" si="573"/>
        <v>17</v>
      </c>
      <c r="K1683" t="str">
        <f t="shared" si="574"/>
        <v>30</v>
      </c>
      <c r="L1683" t="str">
        <f t="shared" si="575"/>
        <v/>
      </c>
      <c r="M1683" s="6" t="str">
        <f t="shared" si="576"/>
        <v/>
      </c>
      <c r="N1683" t="str">
        <f t="shared" si="572"/>
        <v>Away</v>
      </c>
      <c r="O1683">
        <v>80</v>
      </c>
      <c r="P1683" t="s">
        <v>425</v>
      </c>
      <c r="Y1683" t="str">
        <f t="shared" si="559"/>
        <v/>
      </c>
      <c r="Z1683" t="str">
        <f t="shared" si="560"/>
        <v/>
      </c>
      <c r="AC1683" t="str">
        <f t="shared" si="556"/>
        <v>Pass</v>
      </c>
      <c r="AD1683" t="str">
        <f t="shared" si="557"/>
        <v>Pass_Completed</v>
      </c>
      <c r="AE1683" t="str">
        <f t="shared" si="558"/>
        <v>Pass-Rim/Wrap</v>
      </c>
      <c r="AF1683" t="str">
        <f t="shared" si="561"/>
        <v>Defensive</v>
      </c>
      <c r="AG1683">
        <f t="shared" si="567"/>
        <v>18981</v>
      </c>
      <c r="AH1683" t="str">
        <f t="shared" si="568"/>
        <v>Nelson</v>
      </c>
      <c r="AI1683" t="str">
        <f t="shared" si="569"/>
        <v>Velodrome</v>
      </c>
      <c r="AJ1683" s="18">
        <f t="shared" si="562"/>
        <v>0</v>
      </c>
      <c r="AP1683" s="18">
        <f t="shared" si="563"/>
        <v>0</v>
      </c>
      <c r="AQ1683">
        <f t="shared" si="564"/>
        <v>2160</v>
      </c>
      <c r="AR1683" s="23">
        <f t="shared" si="565"/>
        <v>2190</v>
      </c>
      <c r="AS1683">
        <f t="shared" si="570"/>
        <v>2185</v>
      </c>
      <c r="AT1683" s="21">
        <f t="shared" si="571"/>
        <v>2190</v>
      </c>
      <c r="AU1683" s="21"/>
      <c r="AV1683" s="21"/>
      <c r="AW1683" s="21"/>
    </row>
    <row r="1684" spans="1:49" x14ac:dyDescent="0.2">
      <c r="A1684">
        <v>887</v>
      </c>
      <c r="E1684">
        <f t="shared" si="566"/>
        <v>3</v>
      </c>
      <c r="F1684" s="5" t="s">
        <v>472</v>
      </c>
      <c r="G1684" s="5" t="s">
        <v>496</v>
      </c>
      <c r="J1684" t="str">
        <f t="shared" si="573"/>
        <v>17</v>
      </c>
      <c r="K1684" t="str">
        <f t="shared" si="574"/>
        <v>24</v>
      </c>
      <c r="L1684" t="str">
        <f t="shared" si="575"/>
        <v/>
      </c>
      <c r="M1684" s="6" t="str">
        <f t="shared" si="576"/>
        <v/>
      </c>
      <c r="N1684" t="s">
        <v>179</v>
      </c>
      <c r="O1684">
        <v>70</v>
      </c>
      <c r="P1684" t="s">
        <v>424</v>
      </c>
      <c r="Q1684" t="s">
        <v>277</v>
      </c>
      <c r="R1684" t="s">
        <v>201</v>
      </c>
      <c r="S1684" t="s">
        <v>431</v>
      </c>
      <c r="Y1684" t="str">
        <f t="shared" si="559"/>
        <v/>
      </c>
      <c r="Z1684" t="str">
        <f t="shared" si="560"/>
        <v/>
      </c>
      <c r="AC1684" t="str">
        <f t="shared" si="556"/>
        <v>Zone_Entry_Exit</v>
      </c>
      <c r="AD1684" t="str">
        <f t="shared" si="557"/>
        <v>Zone_Exit</v>
      </c>
      <c r="AE1684" t="str">
        <f t="shared" si="558"/>
        <v>ZoneExit-Chip</v>
      </c>
      <c r="AF1684" t="str">
        <f t="shared" si="561"/>
        <v>Offensive</v>
      </c>
      <c r="AG1684">
        <f t="shared" si="567"/>
        <v>18981</v>
      </c>
      <c r="AH1684" t="str">
        <f t="shared" si="568"/>
        <v>Nelson</v>
      </c>
      <c r="AI1684" t="str">
        <f t="shared" si="569"/>
        <v>Velodrome</v>
      </c>
      <c r="AJ1684" s="18">
        <f t="shared" si="562"/>
        <v>0</v>
      </c>
      <c r="AP1684" s="18">
        <f t="shared" si="563"/>
        <v>0</v>
      </c>
      <c r="AQ1684">
        <f t="shared" si="564"/>
        <v>2160</v>
      </c>
      <c r="AR1684" s="23">
        <f t="shared" si="565"/>
        <v>2196</v>
      </c>
      <c r="AS1684">
        <f t="shared" si="570"/>
        <v>2191</v>
      </c>
      <c r="AT1684" s="21">
        <f t="shared" si="571"/>
        <v>2196</v>
      </c>
      <c r="AU1684" s="21"/>
      <c r="AV1684" s="21"/>
      <c r="AW1684" s="21"/>
    </row>
    <row r="1685" spans="1:49" x14ac:dyDescent="0.2">
      <c r="A1685">
        <v>887</v>
      </c>
      <c r="E1685">
        <f t="shared" si="566"/>
        <v>3</v>
      </c>
      <c r="J1685" t="str">
        <f t="shared" si="573"/>
        <v>17</v>
      </c>
      <c r="K1685" t="str">
        <f t="shared" si="574"/>
        <v>24</v>
      </c>
      <c r="L1685" t="str">
        <f t="shared" si="575"/>
        <v/>
      </c>
      <c r="M1685" s="6" t="str">
        <f t="shared" si="576"/>
        <v/>
      </c>
      <c r="N1685" t="str">
        <f t="shared" si="572"/>
        <v>Away</v>
      </c>
      <c r="O1685">
        <v>80</v>
      </c>
      <c r="P1685" t="s">
        <v>425</v>
      </c>
      <c r="Y1685" t="str">
        <f t="shared" si="559"/>
        <v/>
      </c>
      <c r="Z1685" t="str">
        <f t="shared" si="560"/>
        <v/>
      </c>
      <c r="AC1685" t="str">
        <f t="shared" si="556"/>
        <v>Zone_Entry_Exit</v>
      </c>
      <c r="AD1685" t="str">
        <f t="shared" si="557"/>
        <v>Zone_Exit</v>
      </c>
      <c r="AE1685" t="str">
        <f t="shared" si="558"/>
        <v>ZoneExit-Chip</v>
      </c>
      <c r="AF1685" t="str">
        <f t="shared" si="561"/>
        <v>Defensive</v>
      </c>
      <c r="AG1685">
        <f t="shared" si="567"/>
        <v>18981</v>
      </c>
      <c r="AH1685" t="str">
        <f t="shared" si="568"/>
        <v>Nelson</v>
      </c>
      <c r="AI1685" t="str">
        <f t="shared" si="569"/>
        <v>Velodrome</v>
      </c>
      <c r="AJ1685" s="18">
        <f t="shared" si="562"/>
        <v>0</v>
      </c>
      <c r="AP1685" s="18">
        <f t="shared" si="563"/>
        <v>0</v>
      </c>
      <c r="AQ1685">
        <f t="shared" si="564"/>
        <v>2160</v>
      </c>
      <c r="AR1685" s="23">
        <f t="shared" si="565"/>
        <v>2196</v>
      </c>
      <c r="AS1685">
        <f t="shared" si="570"/>
        <v>2191</v>
      </c>
      <c r="AT1685" s="21">
        <f t="shared" si="571"/>
        <v>2196</v>
      </c>
      <c r="AU1685" s="21"/>
      <c r="AV1685" s="21"/>
      <c r="AW1685" s="21"/>
    </row>
    <row r="1686" spans="1:49" x14ac:dyDescent="0.2">
      <c r="A1686">
        <v>888</v>
      </c>
      <c r="E1686">
        <f t="shared" si="566"/>
        <v>3</v>
      </c>
      <c r="F1686" s="5" t="s">
        <v>472</v>
      </c>
      <c r="G1686" s="5" t="s">
        <v>496</v>
      </c>
      <c r="H1686" s="5" t="s">
        <v>472</v>
      </c>
      <c r="I1686" s="7" t="s">
        <v>492</v>
      </c>
      <c r="J1686" t="str">
        <f t="shared" si="573"/>
        <v>17</v>
      </c>
      <c r="K1686" t="str">
        <f t="shared" si="574"/>
        <v>24</v>
      </c>
      <c r="L1686" t="str">
        <f t="shared" si="575"/>
        <v>17</v>
      </c>
      <c r="M1686" s="6" t="str">
        <f t="shared" si="576"/>
        <v>20</v>
      </c>
      <c r="N1686" t="s">
        <v>179</v>
      </c>
      <c r="O1686">
        <v>87</v>
      </c>
      <c r="P1686" t="s">
        <v>424</v>
      </c>
      <c r="Q1686" t="s">
        <v>15</v>
      </c>
      <c r="Y1686" t="str">
        <f t="shared" si="559"/>
        <v/>
      </c>
      <c r="Z1686" t="str">
        <f t="shared" si="560"/>
        <v/>
      </c>
      <c r="AC1686" t="str">
        <f t="shared" si="556"/>
        <v>Possession</v>
      </c>
      <c r="AD1686" t="str">
        <f t="shared" si="557"/>
        <v/>
      </c>
      <c r="AE1686" t="str">
        <f t="shared" si="558"/>
        <v/>
      </c>
      <c r="AF1686" t="str">
        <f t="shared" si="561"/>
        <v>Offensive</v>
      </c>
      <c r="AG1686">
        <f t="shared" si="567"/>
        <v>18981</v>
      </c>
      <c r="AH1686" t="str">
        <f t="shared" si="568"/>
        <v>Nelson</v>
      </c>
      <c r="AI1686" t="str">
        <f t="shared" si="569"/>
        <v>Velodrome</v>
      </c>
      <c r="AJ1686" s="18">
        <f t="shared" si="562"/>
        <v>4</v>
      </c>
      <c r="AP1686" s="18">
        <f t="shared" si="563"/>
        <v>0</v>
      </c>
      <c r="AQ1686">
        <f t="shared" si="564"/>
        <v>2160</v>
      </c>
      <c r="AR1686" s="23">
        <f t="shared" si="565"/>
        <v>2196</v>
      </c>
      <c r="AS1686">
        <f t="shared" si="570"/>
        <v>2191</v>
      </c>
      <c r="AT1686" s="21">
        <f t="shared" si="571"/>
        <v>2200</v>
      </c>
      <c r="AU1686" s="21"/>
      <c r="AV1686" s="21"/>
      <c r="AW1686" s="21"/>
    </row>
    <row r="1687" spans="1:49" x14ac:dyDescent="0.2">
      <c r="A1687">
        <v>889</v>
      </c>
      <c r="E1687">
        <f t="shared" si="566"/>
        <v>3</v>
      </c>
      <c r="F1687" s="5" t="s">
        <v>472</v>
      </c>
      <c r="G1687" s="5" t="s">
        <v>492</v>
      </c>
      <c r="J1687" t="str">
        <f t="shared" si="573"/>
        <v>17</v>
      </c>
      <c r="K1687" t="str">
        <f t="shared" si="574"/>
        <v>20</v>
      </c>
      <c r="L1687" t="str">
        <f t="shared" si="575"/>
        <v/>
      </c>
      <c r="M1687" s="6" t="str">
        <f t="shared" si="576"/>
        <v/>
      </c>
      <c r="N1687" t="s">
        <v>179</v>
      </c>
      <c r="O1687">
        <v>87</v>
      </c>
      <c r="P1687" t="s">
        <v>424</v>
      </c>
      <c r="Q1687" t="s">
        <v>8</v>
      </c>
      <c r="R1687" t="s">
        <v>189</v>
      </c>
      <c r="S1687" t="s">
        <v>70</v>
      </c>
      <c r="Y1687" t="str">
        <f t="shared" si="559"/>
        <v/>
      </c>
      <c r="Z1687" t="str">
        <f t="shared" si="560"/>
        <v/>
      </c>
      <c r="AC1687" t="str">
        <f t="shared" si="556"/>
        <v>Pass</v>
      </c>
      <c r="AD1687" t="str">
        <f t="shared" si="557"/>
        <v>Pass_Completed</v>
      </c>
      <c r="AE1687" t="str">
        <f t="shared" si="558"/>
        <v>Pass-Forehand</v>
      </c>
      <c r="AF1687" t="str">
        <f t="shared" si="561"/>
        <v>Offensive</v>
      </c>
      <c r="AG1687">
        <f t="shared" si="567"/>
        <v>18981</v>
      </c>
      <c r="AH1687" t="str">
        <f t="shared" si="568"/>
        <v>Nelson</v>
      </c>
      <c r="AI1687" t="str">
        <f t="shared" si="569"/>
        <v>Velodrome</v>
      </c>
      <c r="AJ1687" s="18">
        <f t="shared" si="562"/>
        <v>0</v>
      </c>
      <c r="AP1687" s="18">
        <f t="shared" si="563"/>
        <v>0</v>
      </c>
      <c r="AQ1687">
        <f t="shared" si="564"/>
        <v>2160</v>
      </c>
      <c r="AR1687" s="23">
        <f t="shared" si="565"/>
        <v>2200</v>
      </c>
      <c r="AS1687">
        <f t="shared" si="570"/>
        <v>2195</v>
      </c>
      <c r="AT1687" s="21">
        <f t="shared" si="571"/>
        <v>2200</v>
      </c>
      <c r="AU1687" s="21"/>
      <c r="AV1687" s="21"/>
      <c r="AW1687" s="21"/>
    </row>
    <row r="1688" spans="1:49" x14ac:dyDescent="0.2">
      <c r="A1688">
        <v>889</v>
      </c>
      <c r="E1688">
        <f t="shared" si="566"/>
        <v>3</v>
      </c>
      <c r="J1688" t="str">
        <f t="shared" si="573"/>
        <v>17</v>
      </c>
      <c r="K1688" t="str">
        <f t="shared" si="574"/>
        <v>20</v>
      </c>
      <c r="L1688" t="str">
        <f t="shared" si="575"/>
        <v/>
      </c>
      <c r="M1688" s="6" t="str">
        <f t="shared" si="576"/>
        <v/>
      </c>
      <c r="N1688" t="str">
        <f t="shared" si="572"/>
        <v>Away</v>
      </c>
      <c r="O1688">
        <v>9</v>
      </c>
      <c r="P1688" t="s">
        <v>424</v>
      </c>
      <c r="Y1688" t="str">
        <f t="shared" si="559"/>
        <v/>
      </c>
      <c r="Z1688" t="str">
        <f t="shared" si="560"/>
        <v/>
      </c>
      <c r="AC1688" t="str">
        <f t="shared" si="556"/>
        <v>Pass</v>
      </c>
      <c r="AD1688" t="str">
        <f t="shared" si="557"/>
        <v>Pass_Completed</v>
      </c>
      <c r="AE1688" t="str">
        <f t="shared" si="558"/>
        <v>Pass-Forehand</v>
      </c>
      <c r="AF1688" t="str">
        <f t="shared" si="561"/>
        <v>Offensive</v>
      </c>
      <c r="AG1688">
        <f t="shared" si="567"/>
        <v>18981</v>
      </c>
      <c r="AH1688" t="str">
        <f t="shared" si="568"/>
        <v>Nelson</v>
      </c>
      <c r="AI1688" t="str">
        <f t="shared" si="569"/>
        <v>Velodrome</v>
      </c>
      <c r="AJ1688" s="18">
        <f t="shared" si="562"/>
        <v>0</v>
      </c>
      <c r="AP1688" s="18">
        <f t="shared" si="563"/>
        <v>0</v>
      </c>
      <c r="AQ1688">
        <f t="shared" si="564"/>
        <v>2160</v>
      </c>
      <c r="AR1688" s="23">
        <f t="shared" si="565"/>
        <v>2200</v>
      </c>
      <c r="AS1688">
        <f t="shared" si="570"/>
        <v>2195</v>
      </c>
      <c r="AT1688" s="21">
        <f t="shared" si="571"/>
        <v>2200</v>
      </c>
      <c r="AU1688" s="21"/>
      <c r="AV1688" s="21"/>
      <c r="AW1688" s="21"/>
    </row>
    <row r="1689" spans="1:49" x14ac:dyDescent="0.2">
      <c r="A1689">
        <v>890</v>
      </c>
      <c r="E1689">
        <f t="shared" si="566"/>
        <v>3</v>
      </c>
      <c r="F1689" s="5" t="s">
        <v>472</v>
      </c>
      <c r="G1689" s="5" t="s">
        <v>491</v>
      </c>
      <c r="H1689" s="5" t="s">
        <v>472</v>
      </c>
      <c r="I1689" s="7" t="s">
        <v>472</v>
      </c>
      <c r="J1689" t="str">
        <f t="shared" si="573"/>
        <v>17</v>
      </c>
      <c r="K1689" t="str">
        <f t="shared" si="574"/>
        <v>19</v>
      </c>
      <c r="L1689" t="str">
        <f t="shared" si="575"/>
        <v>17</v>
      </c>
      <c r="M1689" s="6" t="str">
        <f t="shared" si="576"/>
        <v>17</v>
      </c>
      <c r="N1689" t="s">
        <v>179</v>
      </c>
      <c r="O1689">
        <v>9</v>
      </c>
      <c r="P1689" t="s">
        <v>424</v>
      </c>
      <c r="Q1689" t="s">
        <v>277</v>
      </c>
      <c r="R1689" t="s">
        <v>191</v>
      </c>
      <c r="S1689" t="s">
        <v>87</v>
      </c>
      <c r="Y1689" t="str">
        <f t="shared" si="559"/>
        <v/>
      </c>
      <c r="Z1689" t="str">
        <f t="shared" si="560"/>
        <v/>
      </c>
      <c r="AC1689" t="str">
        <f t="shared" si="556"/>
        <v>Zone_Entry_Exit</v>
      </c>
      <c r="AD1689" t="str">
        <f t="shared" si="557"/>
        <v>Zone_Entry</v>
      </c>
      <c r="AE1689" t="str">
        <f t="shared" si="558"/>
        <v>ZoneEntry-Rush</v>
      </c>
      <c r="AF1689" t="str">
        <f t="shared" si="561"/>
        <v>Offensive</v>
      </c>
      <c r="AG1689">
        <f t="shared" si="567"/>
        <v>18981</v>
      </c>
      <c r="AH1689" t="str">
        <f t="shared" si="568"/>
        <v>Nelson</v>
      </c>
      <c r="AI1689" t="str">
        <f t="shared" si="569"/>
        <v>Velodrome</v>
      </c>
      <c r="AJ1689" s="18">
        <f t="shared" si="562"/>
        <v>2</v>
      </c>
      <c r="AP1689" s="18">
        <f t="shared" si="563"/>
        <v>0</v>
      </c>
      <c r="AQ1689">
        <f t="shared" si="564"/>
        <v>2160</v>
      </c>
      <c r="AR1689" s="23">
        <f t="shared" si="565"/>
        <v>2201</v>
      </c>
      <c r="AS1689">
        <f t="shared" si="570"/>
        <v>2196</v>
      </c>
      <c r="AT1689" s="21">
        <f t="shared" si="571"/>
        <v>2203</v>
      </c>
      <c r="AU1689" s="21"/>
      <c r="AV1689" s="21"/>
      <c r="AW1689" s="21"/>
    </row>
    <row r="1690" spans="1:49" x14ac:dyDescent="0.2">
      <c r="A1690">
        <v>890</v>
      </c>
      <c r="E1690">
        <f t="shared" si="566"/>
        <v>3</v>
      </c>
      <c r="J1690" t="str">
        <f t="shared" si="573"/>
        <v>17</v>
      </c>
      <c r="K1690" t="str">
        <f t="shared" si="574"/>
        <v>19</v>
      </c>
      <c r="L1690" t="str">
        <f t="shared" si="575"/>
        <v>17</v>
      </c>
      <c r="M1690" s="6" t="str">
        <f t="shared" si="576"/>
        <v>17</v>
      </c>
      <c r="N1690" t="str">
        <f t="shared" si="572"/>
        <v>Away</v>
      </c>
      <c r="O1690">
        <v>75</v>
      </c>
      <c r="P1690" t="s">
        <v>424</v>
      </c>
      <c r="Y1690" t="str">
        <f t="shared" si="559"/>
        <v/>
      </c>
      <c r="Z1690" t="str">
        <f t="shared" si="560"/>
        <v/>
      </c>
      <c r="AC1690" t="str">
        <f t="shared" si="556"/>
        <v>Zone_Entry_Exit</v>
      </c>
      <c r="AD1690" t="str">
        <f t="shared" si="557"/>
        <v>Zone_Entry</v>
      </c>
      <c r="AE1690" t="str">
        <f t="shared" si="558"/>
        <v>ZoneEntry-Rush</v>
      </c>
      <c r="AF1690" t="str">
        <f t="shared" si="561"/>
        <v>Offensive</v>
      </c>
      <c r="AG1690">
        <f t="shared" si="567"/>
        <v>18981</v>
      </c>
      <c r="AH1690" t="str">
        <f t="shared" si="568"/>
        <v>Nelson</v>
      </c>
      <c r="AI1690" t="str">
        <f t="shared" si="569"/>
        <v>Velodrome</v>
      </c>
      <c r="AJ1690" s="18">
        <f t="shared" si="562"/>
        <v>2</v>
      </c>
      <c r="AP1690" s="18">
        <f t="shared" si="563"/>
        <v>0</v>
      </c>
      <c r="AQ1690">
        <f t="shared" si="564"/>
        <v>2160</v>
      </c>
      <c r="AR1690" s="23">
        <f t="shared" si="565"/>
        <v>2201</v>
      </c>
      <c r="AS1690">
        <f t="shared" si="570"/>
        <v>2196</v>
      </c>
      <c r="AT1690" s="21">
        <f t="shared" si="571"/>
        <v>2203</v>
      </c>
      <c r="AU1690" s="21"/>
      <c r="AV1690" s="21"/>
      <c r="AW1690" s="21"/>
    </row>
    <row r="1691" spans="1:49" x14ac:dyDescent="0.2">
      <c r="A1691">
        <v>890</v>
      </c>
      <c r="E1691">
        <f t="shared" si="566"/>
        <v>3</v>
      </c>
      <c r="J1691" t="str">
        <f t="shared" si="573"/>
        <v>17</v>
      </c>
      <c r="K1691" t="str">
        <f t="shared" si="574"/>
        <v>19</v>
      </c>
      <c r="L1691" t="str">
        <f t="shared" si="575"/>
        <v>17</v>
      </c>
      <c r="M1691" s="6" t="str">
        <f t="shared" si="576"/>
        <v>17</v>
      </c>
      <c r="N1691" t="str">
        <f t="shared" si="572"/>
        <v>Away</v>
      </c>
      <c r="O1691">
        <v>8</v>
      </c>
      <c r="P1691" t="s">
        <v>425</v>
      </c>
      <c r="Y1691" t="str">
        <f t="shared" si="559"/>
        <v/>
      </c>
      <c r="Z1691" t="str">
        <f t="shared" si="560"/>
        <v/>
      </c>
      <c r="AC1691" t="str">
        <f t="shared" si="556"/>
        <v>Zone_Entry_Exit</v>
      </c>
      <c r="AD1691" t="str">
        <f t="shared" si="557"/>
        <v>Zone_Entry</v>
      </c>
      <c r="AE1691" t="str">
        <f t="shared" si="558"/>
        <v>ZoneEntry-Rush</v>
      </c>
      <c r="AF1691" t="str">
        <f t="shared" si="561"/>
        <v>Defensive</v>
      </c>
      <c r="AG1691">
        <f t="shared" si="567"/>
        <v>18981</v>
      </c>
      <c r="AH1691" t="str">
        <f t="shared" si="568"/>
        <v>Nelson</v>
      </c>
      <c r="AI1691" t="str">
        <f t="shared" si="569"/>
        <v>Velodrome</v>
      </c>
      <c r="AJ1691" s="18">
        <f t="shared" si="562"/>
        <v>2</v>
      </c>
      <c r="AP1691" s="18">
        <f t="shared" si="563"/>
        <v>0</v>
      </c>
      <c r="AQ1691">
        <f t="shared" si="564"/>
        <v>2160</v>
      </c>
      <c r="AR1691" s="23">
        <f t="shared" si="565"/>
        <v>2201</v>
      </c>
      <c r="AS1691">
        <f t="shared" si="570"/>
        <v>2196</v>
      </c>
      <c r="AT1691" s="21">
        <f t="shared" si="571"/>
        <v>2203</v>
      </c>
      <c r="AU1691" s="21"/>
      <c r="AV1691" s="21"/>
      <c r="AW1691" s="21"/>
    </row>
    <row r="1692" spans="1:49" x14ac:dyDescent="0.2">
      <c r="A1692">
        <v>890</v>
      </c>
      <c r="E1692">
        <f t="shared" si="566"/>
        <v>3</v>
      </c>
      <c r="J1692" t="str">
        <f t="shared" si="573"/>
        <v>17</v>
      </c>
      <c r="K1692" t="str">
        <f t="shared" si="574"/>
        <v>19</v>
      </c>
      <c r="L1692" t="str">
        <f t="shared" si="575"/>
        <v>17</v>
      </c>
      <c r="M1692" s="6" t="str">
        <f t="shared" si="576"/>
        <v>17</v>
      </c>
      <c r="N1692" t="str">
        <f t="shared" si="572"/>
        <v>Away</v>
      </c>
      <c r="O1692">
        <v>16</v>
      </c>
      <c r="P1692" t="s">
        <v>425</v>
      </c>
      <c r="Y1692" t="str">
        <f t="shared" si="559"/>
        <v/>
      </c>
      <c r="Z1692" t="str">
        <f t="shared" si="560"/>
        <v/>
      </c>
      <c r="AC1692" t="str">
        <f t="shared" si="556"/>
        <v>Zone_Entry_Exit</v>
      </c>
      <c r="AD1692" t="str">
        <f t="shared" si="557"/>
        <v>Zone_Entry</v>
      </c>
      <c r="AE1692" t="str">
        <f t="shared" si="558"/>
        <v>ZoneEntry-Rush</v>
      </c>
      <c r="AF1692" t="str">
        <f t="shared" si="561"/>
        <v>Defensive</v>
      </c>
      <c r="AG1692">
        <f t="shared" si="567"/>
        <v>18981</v>
      </c>
      <c r="AH1692" t="str">
        <f t="shared" si="568"/>
        <v>Nelson</v>
      </c>
      <c r="AI1692" t="str">
        <f t="shared" si="569"/>
        <v>Velodrome</v>
      </c>
      <c r="AJ1692" s="18">
        <f t="shared" si="562"/>
        <v>2</v>
      </c>
      <c r="AP1692" s="18">
        <f t="shared" si="563"/>
        <v>0</v>
      </c>
      <c r="AQ1692">
        <f t="shared" si="564"/>
        <v>2160</v>
      </c>
      <c r="AR1692" s="23">
        <f t="shared" si="565"/>
        <v>2201</v>
      </c>
      <c r="AS1692">
        <f t="shared" si="570"/>
        <v>2196</v>
      </c>
      <c r="AT1692" s="21">
        <f t="shared" si="571"/>
        <v>2203</v>
      </c>
      <c r="AU1692" s="21"/>
      <c r="AV1692" s="21"/>
      <c r="AW1692" s="21"/>
    </row>
    <row r="1693" spans="1:49" x14ac:dyDescent="0.2">
      <c r="A1693">
        <v>891</v>
      </c>
      <c r="E1693">
        <f t="shared" si="566"/>
        <v>3</v>
      </c>
      <c r="F1693" s="5" t="s">
        <v>472</v>
      </c>
      <c r="G1693" s="5" t="s">
        <v>472</v>
      </c>
      <c r="J1693" t="str">
        <f t="shared" si="573"/>
        <v>17</v>
      </c>
      <c r="K1693" t="str">
        <f t="shared" si="574"/>
        <v>17</v>
      </c>
      <c r="L1693" t="str">
        <f t="shared" si="575"/>
        <v/>
      </c>
      <c r="M1693" s="6" t="str">
        <f t="shared" si="576"/>
        <v/>
      </c>
      <c r="N1693" t="s">
        <v>179</v>
      </c>
      <c r="O1693">
        <v>9</v>
      </c>
      <c r="P1693" t="s">
        <v>424</v>
      </c>
      <c r="Q1693" t="s">
        <v>7</v>
      </c>
      <c r="R1693" t="s">
        <v>208</v>
      </c>
      <c r="S1693" t="s">
        <v>53</v>
      </c>
      <c r="Y1693" t="str">
        <f t="shared" si="559"/>
        <v/>
      </c>
      <c r="Z1693" t="str">
        <f t="shared" si="560"/>
        <v/>
      </c>
      <c r="AC1693" t="str">
        <f t="shared" si="556"/>
        <v>Shot</v>
      </c>
      <c r="AD1693" t="str">
        <f t="shared" si="557"/>
        <v>Shot_Blocked</v>
      </c>
      <c r="AE1693" t="str">
        <f t="shared" si="558"/>
        <v>Shot-Wrist</v>
      </c>
      <c r="AF1693" t="str">
        <f t="shared" si="561"/>
        <v>Offensive</v>
      </c>
      <c r="AG1693">
        <f t="shared" si="567"/>
        <v>18981</v>
      </c>
      <c r="AH1693" t="str">
        <f t="shared" si="568"/>
        <v>Nelson</v>
      </c>
      <c r="AI1693" t="str">
        <f t="shared" si="569"/>
        <v>Velodrome</v>
      </c>
      <c r="AJ1693" s="18">
        <f t="shared" si="562"/>
        <v>0</v>
      </c>
      <c r="AP1693" s="18">
        <f t="shared" si="563"/>
        <v>0</v>
      </c>
      <c r="AQ1693">
        <f t="shared" si="564"/>
        <v>2160</v>
      </c>
      <c r="AR1693" s="23">
        <f t="shared" si="565"/>
        <v>2203</v>
      </c>
      <c r="AS1693">
        <f t="shared" si="570"/>
        <v>2198</v>
      </c>
      <c r="AT1693" s="21">
        <f t="shared" si="571"/>
        <v>2203</v>
      </c>
      <c r="AU1693" s="21"/>
      <c r="AV1693" s="21"/>
      <c r="AW1693" s="21"/>
    </row>
    <row r="1694" spans="1:49" x14ac:dyDescent="0.2">
      <c r="A1694">
        <v>891</v>
      </c>
      <c r="E1694">
        <f t="shared" si="566"/>
        <v>3</v>
      </c>
      <c r="J1694" t="str">
        <f t="shared" si="573"/>
        <v>17</v>
      </c>
      <c r="K1694" t="str">
        <f t="shared" si="574"/>
        <v>17</v>
      </c>
      <c r="L1694" t="str">
        <f t="shared" si="575"/>
        <v/>
      </c>
      <c r="M1694" s="6" t="str">
        <f t="shared" si="576"/>
        <v/>
      </c>
      <c r="N1694" t="str">
        <f t="shared" si="572"/>
        <v>Away</v>
      </c>
      <c r="O1694">
        <v>8</v>
      </c>
      <c r="P1694" t="s">
        <v>425</v>
      </c>
      <c r="Y1694" t="str">
        <f t="shared" si="559"/>
        <v/>
      </c>
      <c r="Z1694" t="str">
        <f t="shared" si="560"/>
        <v/>
      </c>
      <c r="AC1694" t="str">
        <f t="shared" si="556"/>
        <v>Shot</v>
      </c>
      <c r="AD1694" t="str">
        <f t="shared" si="557"/>
        <v>Shot_Blocked</v>
      </c>
      <c r="AE1694" t="str">
        <f t="shared" si="558"/>
        <v>Shot-Wrist</v>
      </c>
      <c r="AF1694" t="str">
        <f t="shared" si="561"/>
        <v>Defensive</v>
      </c>
      <c r="AG1694">
        <f t="shared" si="567"/>
        <v>18981</v>
      </c>
      <c r="AH1694" t="str">
        <f t="shared" si="568"/>
        <v>Nelson</v>
      </c>
      <c r="AI1694" t="str">
        <f t="shared" si="569"/>
        <v>Velodrome</v>
      </c>
      <c r="AJ1694" s="18">
        <f t="shared" si="562"/>
        <v>0</v>
      </c>
      <c r="AP1694" s="18">
        <f t="shared" si="563"/>
        <v>0</v>
      </c>
      <c r="AQ1694">
        <f t="shared" si="564"/>
        <v>2160</v>
      </c>
      <c r="AR1694" s="23">
        <f t="shared" si="565"/>
        <v>2203</v>
      </c>
      <c r="AS1694">
        <f t="shared" si="570"/>
        <v>2198</v>
      </c>
      <c r="AT1694" s="21">
        <f t="shared" si="571"/>
        <v>2203</v>
      </c>
      <c r="AU1694" s="21"/>
      <c r="AV1694" s="21"/>
      <c r="AW1694" s="21"/>
    </row>
    <row r="1695" spans="1:49" x14ac:dyDescent="0.2">
      <c r="A1695">
        <v>892</v>
      </c>
      <c r="E1695">
        <f t="shared" si="566"/>
        <v>3</v>
      </c>
      <c r="F1695" s="5" t="s">
        <v>472</v>
      </c>
      <c r="G1695" s="5" t="s">
        <v>472</v>
      </c>
      <c r="J1695" t="str">
        <f t="shared" si="573"/>
        <v>17</v>
      </c>
      <c r="K1695" t="str">
        <f t="shared" si="574"/>
        <v>17</v>
      </c>
      <c r="L1695" t="str">
        <f t="shared" si="575"/>
        <v/>
      </c>
      <c r="M1695" s="6" t="str">
        <f t="shared" si="576"/>
        <v/>
      </c>
      <c r="N1695" t="s">
        <v>179</v>
      </c>
      <c r="O1695">
        <v>9</v>
      </c>
      <c r="P1695" t="s">
        <v>424</v>
      </c>
      <c r="Q1695" t="s">
        <v>10</v>
      </c>
      <c r="R1695" t="s">
        <v>190</v>
      </c>
      <c r="S1695" t="s">
        <v>78</v>
      </c>
      <c r="Y1695" t="str">
        <f t="shared" si="559"/>
        <v/>
      </c>
      <c r="Z1695" t="str">
        <f t="shared" si="560"/>
        <v/>
      </c>
      <c r="AC1695" t="str">
        <f t="shared" si="556"/>
        <v>Turnover</v>
      </c>
      <c r="AD1695" t="str">
        <f t="shared" si="557"/>
        <v>Turnover_Giveaway</v>
      </c>
      <c r="AE1695" t="str">
        <f t="shared" si="558"/>
        <v>Giveaway-ShotBlocked</v>
      </c>
      <c r="AF1695" t="str">
        <f t="shared" si="561"/>
        <v>Offensive</v>
      </c>
      <c r="AG1695">
        <f t="shared" si="567"/>
        <v>18981</v>
      </c>
      <c r="AH1695" t="str">
        <f t="shared" si="568"/>
        <v>Nelson</v>
      </c>
      <c r="AI1695" t="str">
        <f t="shared" si="569"/>
        <v>Velodrome</v>
      </c>
      <c r="AJ1695" s="18">
        <f t="shared" si="562"/>
        <v>0</v>
      </c>
      <c r="AP1695" s="18">
        <f t="shared" si="563"/>
        <v>0</v>
      </c>
      <c r="AQ1695">
        <f t="shared" si="564"/>
        <v>2160</v>
      </c>
      <c r="AR1695" s="23">
        <f t="shared" si="565"/>
        <v>2203</v>
      </c>
      <c r="AS1695">
        <f t="shared" si="570"/>
        <v>2198</v>
      </c>
      <c r="AT1695" s="21">
        <f t="shared" si="571"/>
        <v>2203</v>
      </c>
      <c r="AU1695" s="21"/>
      <c r="AV1695" s="21"/>
      <c r="AW1695" s="21"/>
    </row>
    <row r="1696" spans="1:49" x14ac:dyDescent="0.2">
      <c r="A1696">
        <v>893</v>
      </c>
      <c r="E1696">
        <f t="shared" si="566"/>
        <v>3</v>
      </c>
      <c r="F1696" s="5" t="s">
        <v>472</v>
      </c>
      <c r="G1696" s="5" t="s">
        <v>488</v>
      </c>
      <c r="J1696" t="str">
        <f t="shared" si="573"/>
        <v>17</v>
      </c>
      <c r="K1696" t="str">
        <f t="shared" si="574"/>
        <v>13</v>
      </c>
      <c r="L1696" t="str">
        <f t="shared" si="575"/>
        <v/>
      </c>
      <c r="M1696" s="6" t="str">
        <f t="shared" si="576"/>
        <v/>
      </c>
      <c r="N1696" t="s">
        <v>178</v>
      </c>
      <c r="O1696">
        <v>16</v>
      </c>
      <c r="P1696" t="s">
        <v>424</v>
      </c>
      <c r="Y1696" t="str">
        <f t="shared" si="559"/>
        <v/>
      </c>
      <c r="Z1696" t="str">
        <f t="shared" si="560"/>
        <v/>
      </c>
      <c r="AC1696" t="str">
        <f t="shared" si="556"/>
        <v/>
      </c>
      <c r="AD1696" t="str">
        <f t="shared" si="557"/>
        <v/>
      </c>
      <c r="AE1696" t="str">
        <f t="shared" si="558"/>
        <v/>
      </c>
      <c r="AF1696" t="str">
        <f t="shared" si="561"/>
        <v>Offensive</v>
      </c>
      <c r="AG1696">
        <f t="shared" si="567"/>
        <v>18981</v>
      </c>
      <c r="AH1696" t="str">
        <f t="shared" si="568"/>
        <v>Nelson</v>
      </c>
      <c r="AI1696" t="str">
        <f t="shared" si="569"/>
        <v>Velodrome</v>
      </c>
      <c r="AJ1696" s="18">
        <f t="shared" si="562"/>
        <v>0</v>
      </c>
      <c r="AP1696" s="18">
        <f t="shared" si="563"/>
        <v>0</v>
      </c>
      <c r="AQ1696">
        <f t="shared" si="564"/>
        <v>2160</v>
      </c>
      <c r="AR1696" s="23">
        <f t="shared" si="565"/>
        <v>2207</v>
      </c>
      <c r="AS1696">
        <f t="shared" si="570"/>
        <v>2202</v>
      </c>
      <c r="AT1696" s="21">
        <f t="shared" si="571"/>
        <v>2207</v>
      </c>
      <c r="AU1696" s="21"/>
      <c r="AV1696" s="21"/>
      <c r="AW1696" s="21"/>
    </row>
    <row r="1697" spans="1:49" x14ac:dyDescent="0.2">
      <c r="A1697">
        <v>893</v>
      </c>
      <c r="E1697">
        <f t="shared" si="566"/>
        <v>3</v>
      </c>
      <c r="J1697" t="str">
        <f t="shared" si="573"/>
        <v>17</v>
      </c>
      <c r="K1697" t="str">
        <f t="shared" si="574"/>
        <v>13</v>
      </c>
      <c r="L1697" t="str">
        <f t="shared" si="575"/>
        <v/>
      </c>
      <c r="M1697" s="6" t="str">
        <f t="shared" si="576"/>
        <v/>
      </c>
      <c r="N1697" t="str">
        <f t="shared" si="572"/>
        <v>Home</v>
      </c>
      <c r="O1697">
        <v>79</v>
      </c>
      <c r="P1697" t="s">
        <v>424</v>
      </c>
      <c r="Y1697" t="str">
        <f t="shared" si="559"/>
        <v/>
      </c>
      <c r="Z1697" t="str">
        <f t="shared" si="560"/>
        <v/>
      </c>
      <c r="AC1697" t="str">
        <f t="shared" si="556"/>
        <v/>
      </c>
      <c r="AD1697" t="str">
        <f t="shared" si="557"/>
        <v/>
      </c>
      <c r="AE1697" t="str">
        <f t="shared" si="558"/>
        <v/>
      </c>
      <c r="AF1697" t="str">
        <f t="shared" si="561"/>
        <v>Offensive</v>
      </c>
      <c r="AG1697">
        <f t="shared" si="567"/>
        <v>18981</v>
      </c>
      <c r="AH1697" t="str">
        <f t="shared" si="568"/>
        <v>Nelson</v>
      </c>
      <c r="AI1697" t="str">
        <f t="shared" si="569"/>
        <v>Velodrome</v>
      </c>
      <c r="AJ1697" s="18">
        <f t="shared" si="562"/>
        <v>0</v>
      </c>
      <c r="AP1697" s="18">
        <f t="shared" si="563"/>
        <v>0</v>
      </c>
      <c r="AQ1697">
        <f t="shared" si="564"/>
        <v>2160</v>
      </c>
      <c r="AR1697" s="23">
        <f t="shared" si="565"/>
        <v>2207</v>
      </c>
      <c r="AS1697">
        <f t="shared" si="570"/>
        <v>2202</v>
      </c>
      <c r="AT1697" s="21">
        <f t="shared" si="571"/>
        <v>2207</v>
      </c>
      <c r="AU1697" s="21"/>
      <c r="AV1697" s="21"/>
      <c r="AW1697" s="21"/>
    </row>
    <row r="1698" spans="1:49" x14ac:dyDescent="0.2">
      <c r="A1698">
        <v>894</v>
      </c>
      <c r="E1698">
        <f t="shared" si="566"/>
        <v>3</v>
      </c>
      <c r="F1698" s="5" t="s">
        <v>472</v>
      </c>
      <c r="G1698" s="5" t="s">
        <v>488</v>
      </c>
      <c r="J1698" t="str">
        <f t="shared" si="573"/>
        <v>17</v>
      </c>
      <c r="K1698" t="str">
        <f t="shared" si="574"/>
        <v>13</v>
      </c>
      <c r="L1698" t="str">
        <f t="shared" si="575"/>
        <v/>
      </c>
      <c r="M1698" s="6" t="str">
        <f t="shared" si="576"/>
        <v/>
      </c>
      <c r="N1698" t="s">
        <v>178</v>
      </c>
      <c r="O1698">
        <v>16</v>
      </c>
      <c r="P1698" t="s">
        <v>424</v>
      </c>
      <c r="Q1698" t="s">
        <v>10</v>
      </c>
      <c r="R1698" t="s">
        <v>190</v>
      </c>
      <c r="S1698" t="s">
        <v>76</v>
      </c>
      <c r="Y1698" t="str">
        <f t="shared" si="559"/>
        <v/>
      </c>
      <c r="Z1698" t="str">
        <f t="shared" si="560"/>
        <v/>
      </c>
      <c r="AC1698" t="str">
        <f t="shared" si="556"/>
        <v>Turnover</v>
      </c>
      <c r="AD1698" t="str">
        <f t="shared" si="557"/>
        <v>Turnover_Giveaway</v>
      </c>
      <c r="AE1698" t="str">
        <f t="shared" si="558"/>
        <v>Giveaway-PassMissed</v>
      </c>
      <c r="AF1698" t="str">
        <f t="shared" si="561"/>
        <v>Offensive</v>
      </c>
      <c r="AG1698">
        <f t="shared" si="567"/>
        <v>18981</v>
      </c>
      <c r="AH1698" t="str">
        <f t="shared" si="568"/>
        <v>Nelson</v>
      </c>
      <c r="AI1698" t="str">
        <f t="shared" si="569"/>
        <v>Velodrome</v>
      </c>
      <c r="AJ1698" s="18">
        <f t="shared" si="562"/>
        <v>0</v>
      </c>
      <c r="AP1698" s="18">
        <f t="shared" si="563"/>
        <v>0</v>
      </c>
      <c r="AQ1698">
        <f t="shared" si="564"/>
        <v>2160</v>
      </c>
      <c r="AR1698" s="23">
        <f t="shared" si="565"/>
        <v>2207</v>
      </c>
      <c r="AS1698">
        <f t="shared" si="570"/>
        <v>2202</v>
      </c>
      <c r="AT1698" s="21">
        <f t="shared" si="571"/>
        <v>2207</v>
      </c>
      <c r="AU1698" s="21"/>
      <c r="AV1698" s="21"/>
      <c r="AW1698" s="21"/>
    </row>
    <row r="1699" spans="1:49" x14ac:dyDescent="0.2">
      <c r="A1699">
        <v>895</v>
      </c>
      <c r="E1699">
        <f t="shared" si="566"/>
        <v>3</v>
      </c>
      <c r="F1699" s="5" t="s">
        <v>472</v>
      </c>
      <c r="G1699" s="5" t="s">
        <v>486</v>
      </c>
      <c r="J1699" t="str">
        <f t="shared" si="573"/>
        <v>17</v>
      </c>
      <c r="K1699" t="str">
        <f t="shared" si="574"/>
        <v>11</v>
      </c>
      <c r="L1699" t="str">
        <f t="shared" si="575"/>
        <v/>
      </c>
      <c r="M1699" s="6" t="str">
        <f t="shared" si="576"/>
        <v/>
      </c>
      <c r="N1699" t="s">
        <v>179</v>
      </c>
      <c r="O1699">
        <v>87</v>
      </c>
      <c r="P1699" t="s">
        <v>424</v>
      </c>
      <c r="Q1699" t="s">
        <v>277</v>
      </c>
      <c r="R1699" t="s">
        <v>210</v>
      </c>
      <c r="S1699" t="s">
        <v>93</v>
      </c>
      <c r="Y1699" t="str">
        <f t="shared" si="559"/>
        <v/>
      </c>
      <c r="Z1699" t="str">
        <f t="shared" si="560"/>
        <v/>
      </c>
      <c r="AC1699" t="str">
        <f t="shared" si="556"/>
        <v>Zone_Entry_Exit</v>
      </c>
      <c r="AD1699" t="str">
        <f t="shared" si="557"/>
        <v>Zone_Keepin</v>
      </c>
      <c r="AE1699" t="str">
        <f t="shared" si="558"/>
        <v>Zone-KeepIn</v>
      </c>
      <c r="AF1699" t="str">
        <f t="shared" si="561"/>
        <v>Offensive</v>
      </c>
      <c r="AG1699">
        <f t="shared" si="567"/>
        <v>18981</v>
      </c>
      <c r="AH1699" t="str">
        <f t="shared" si="568"/>
        <v>Nelson</v>
      </c>
      <c r="AI1699" t="str">
        <f t="shared" si="569"/>
        <v>Velodrome</v>
      </c>
      <c r="AJ1699" s="18">
        <f t="shared" si="562"/>
        <v>0</v>
      </c>
      <c r="AP1699" s="18">
        <f t="shared" si="563"/>
        <v>0</v>
      </c>
      <c r="AQ1699">
        <f t="shared" si="564"/>
        <v>2160</v>
      </c>
      <c r="AR1699" s="23">
        <f t="shared" si="565"/>
        <v>2209</v>
      </c>
      <c r="AS1699">
        <f t="shared" si="570"/>
        <v>2204</v>
      </c>
      <c r="AT1699" s="21">
        <f t="shared" si="571"/>
        <v>2209</v>
      </c>
      <c r="AU1699" s="21"/>
      <c r="AV1699" s="21"/>
      <c r="AW1699" s="21"/>
    </row>
    <row r="1700" spans="1:49" x14ac:dyDescent="0.2">
      <c r="A1700">
        <v>896</v>
      </c>
      <c r="E1700">
        <f t="shared" si="566"/>
        <v>3</v>
      </c>
      <c r="F1700" s="5" t="s">
        <v>472</v>
      </c>
      <c r="G1700" s="5" t="s">
        <v>486</v>
      </c>
      <c r="J1700" t="str">
        <f t="shared" si="573"/>
        <v>17</v>
      </c>
      <c r="K1700" t="str">
        <f t="shared" si="574"/>
        <v>11</v>
      </c>
      <c r="L1700" t="str">
        <f t="shared" si="575"/>
        <v/>
      </c>
      <c r="M1700" s="6" t="str">
        <f t="shared" si="576"/>
        <v/>
      </c>
      <c r="N1700" t="s">
        <v>179</v>
      </c>
      <c r="O1700">
        <v>87</v>
      </c>
      <c r="P1700" t="s">
        <v>424</v>
      </c>
      <c r="Q1700" t="s">
        <v>10</v>
      </c>
      <c r="R1700" t="s">
        <v>190</v>
      </c>
      <c r="S1700" t="s">
        <v>411</v>
      </c>
      <c r="Y1700" t="str">
        <f t="shared" si="559"/>
        <v/>
      </c>
      <c r="Z1700" t="str">
        <f t="shared" si="560"/>
        <v/>
      </c>
      <c r="AC1700" t="str">
        <f t="shared" si="556"/>
        <v>Turnover</v>
      </c>
      <c r="AD1700" t="str">
        <f t="shared" si="557"/>
        <v>Turnover_Giveaway</v>
      </c>
      <c r="AE1700" t="str">
        <f t="shared" si="558"/>
        <v>Giveaway-ZoneClear/Dump</v>
      </c>
      <c r="AF1700" t="str">
        <f t="shared" si="561"/>
        <v>Offensive</v>
      </c>
      <c r="AG1700">
        <f t="shared" si="567"/>
        <v>18981</v>
      </c>
      <c r="AH1700" t="str">
        <f t="shared" si="568"/>
        <v>Nelson</v>
      </c>
      <c r="AI1700" t="str">
        <f t="shared" si="569"/>
        <v>Velodrome</v>
      </c>
      <c r="AJ1700" s="18">
        <f t="shared" si="562"/>
        <v>0</v>
      </c>
      <c r="AP1700" s="18">
        <f t="shared" si="563"/>
        <v>0</v>
      </c>
      <c r="AQ1700">
        <f t="shared" si="564"/>
        <v>2160</v>
      </c>
      <c r="AR1700" s="23">
        <f t="shared" si="565"/>
        <v>2209</v>
      </c>
      <c r="AS1700">
        <f t="shared" si="570"/>
        <v>2204</v>
      </c>
      <c r="AT1700" s="21">
        <f t="shared" si="571"/>
        <v>2209</v>
      </c>
      <c r="AU1700" s="21"/>
      <c r="AV1700" s="21"/>
      <c r="AW1700" s="21"/>
    </row>
    <row r="1701" spans="1:49" x14ac:dyDescent="0.2">
      <c r="A1701">
        <v>897</v>
      </c>
      <c r="E1701">
        <f t="shared" si="566"/>
        <v>3</v>
      </c>
      <c r="F1701" s="5" t="s">
        <v>472</v>
      </c>
      <c r="G1701" s="5" t="s">
        <v>484</v>
      </c>
      <c r="J1701" t="str">
        <f t="shared" si="573"/>
        <v>17</v>
      </c>
      <c r="K1701" t="str">
        <f t="shared" si="574"/>
        <v>09</v>
      </c>
      <c r="L1701" t="str">
        <f t="shared" si="575"/>
        <v/>
      </c>
      <c r="M1701" s="6" t="str">
        <f t="shared" si="576"/>
        <v/>
      </c>
      <c r="N1701" t="s">
        <v>178</v>
      </c>
      <c r="O1701">
        <v>8</v>
      </c>
      <c r="P1701" t="s">
        <v>424</v>
      </c>
      <c r="Q1701" t="s">
        <v>277</v>
      </c>
      <c r="R1701" t="s">
        <v>201</v>
      </c>
      <c r="S1701" t="s">
        <v>92</v>
      </c>
      <c r="Y1701" t="str">
        <f t="shared" si="559"/>
        <v/>
      </c>
      <c r="Z1701" t="str">
        <f t="shared" si="560"/>
        <v/>
      </c>
      <c r="AC1701" t="str">
        <f t="shared" si="556"/>
        <v>Zone_Entry_Exit</v>
      </c>
      <c r="AD1701" t="str">
        <f t="shared" si="557"/>
        <v>Zone_Exit</v>
      </c>
      <c r="AE1701" t="str">
        <f t="shared" si="558"/>
        <v>ZoneExit-Clear</v>
      </c>
      <c r="AF1701" t="str">
        <f t="shared" si="561"/>
        <v>Offensive</v>
      </c>
      <c r="AG1701">
        <f t="shared" si="567"/>
        <v>18981</v>
      </c>
      <c r="AH1701" t="str">
        <f t="shared" si="568"/>
        <v>Nelson</v>
      </c>
      <c r="AI1701" t="str">
        <f t="shared" si="569"/>
        <v>Velodrome</v>
      </c>
      <c r="AJ1701" s="18">
        <f t="shared" si="562"/>
        <v>0</v>
      </c>
      <c r="AP1701" s="18">
        <f t="shared" si="563"/>
        <v>0</v>
      </c>
      <c r="AQ1701">
        <f t="shared" si="564"/>
        <v>2160</v>
      </c>
      <c r="AR1701" s="23">
        <f t="shared" si="565"/>
        <v>2211</v>
      </c>
      <c r="AS1701">
        <f t="shared" si="570"/>
        <v>2206</v>
      </c>
      <c r="AT1701" s="21">
        <f t="shared" si="571"/>
        <v>2211</v>
      </c>
      <c r="AU1701" s="21"/>
      <c r="AV1701" s="21"/>
      <c r="AW1701" s="21"/>
    </row>
    <row r="1702" spans="1:49" x14ac:dyDescent="0.2">
      <c r="A1702">
        <v>898</v>
      </c>
      <c r="E1702">
        <f t="shared" si="566"/>
        <v>3</v>
      </c>
      <c r="F1702" s="5" t="s">
        <v>472</v>
      </c>
      <c r="G1702" s="5" t="s">
        <v>484</v>
      </c>
      <c r="J1702" t="str">
        <f t="shared" si="573"/>
        <v>17</v>
      </c>
      <c r="K1702" t="str">
        <f t="shared" si="574"/>
        <v>09</v>
      </c>
      <c r="L1702" t="str">
        <f t="shared" si="575"/>
        <v/>
      </c>
      <c r="M1702" s="6" t="str">
        <f t="shared" si="576"/>
        <v/>
      </c>
      <c r="N1702" t="s">
        <v>178</v>
      </c>
      <c r="O1702">
        <v>8</v>
      </c>
      <c r="P1702" t="s">
        <v>424</v>
      </c>
      <c r="Q1702" t="s">
        <v>10</v>
      </c>
      <c r="R1702" t="s">
        <v>190</v>
      </c>
      <c r="S1702" t="s">
        <v>411</v>
      </c>
      <c r="Y1702" t="str">
        <f t="shared" si="559"/>
        <v/>
      </c>
      <c r="Z1702" t="str">
        <f t="shared" si="560"/>
        <v/>
      </c>
      <c r="AC1702" t="str">
        <f t="shared" si="556"/>
        <v>Turnover</v>
      </c>
      <c r="AD1702" t="str">
        <f t="shared" si="557"/>
        <v>Turnover_Giveaway</v>
      </c>
      <c r="AE1702" t="str">
        <f t="shared" si="558"/>
        <v>Giveaway-ZoneClear/Dump</v>
      </c>
      <c r="AF1702" t="str">
        <f t="shared" si="561"/>
        <v>Offensive</v>
      </c>
      <c r="AG1702">
        <f t="shared" si="567"/>
        <v>18981</v>
      </c>
      <c r="AH1702" t="str">
        <f t="shared" si="568"/>
        <v>Nelson</v>
      </c>
      <c r="AI1702" t="str">
        <f t="shared" si="569"/>
        <v>Velodrome</v>
      </c>
      <c r="AJ1702" s="18">
        <f t="shared" si="562"/>
        <v>0</v>
      </c>
      <c r="AP1702" s="18">
        <f t="shared" si="563"/>
        <v>0</v>
      </c>
      <c r="AQ1702">
        <f t="shared" si="564"/>
        <v>2160</v>
      </c>
      <c r="AR1702" s="23">
        <f t="shared" si="565"/>
        <v>2211</v>
      </c>
      <c r="AS1702">
        <f t="shared" si="570"/>
        <v>2206</v>
      </c>
      <c r="AT1702" s="21">
        <f t="shared" si="571"/>
        <v>2211</v>
      </c>
      <c r="AU1702" s="21"/>
      <c r="AV1702" s="21"/>
      <c r="AW1702" s="21"/>
    </row>
    <row r="1703" spans="1:49" x14ac:dyDescent="0.2">
      <c r="A1703">
        <v>899</v>
      </c>
      <c r="E1703">
        <f t="shared" si="566"/>
        <v>3</v>
      </c>
      <c r="F1703" s="5" t="s">
        <v>472</v>
      </c>
      <c r="G1703" s="5" t="s">
        <v>481</v>
      </c>
      <c r="H1703" s="5" t="s">
        <v>472</v>
      </c>
      <c r="I1703" s="7" t="s">
        <v>473</v>
      </c>
      <c r="J1703" t="str">
        <f t="shared" si="573"/>
        <v>17</v>
      </c>
      <c r="K1703" t="str">
        <f t="shared" si="574"/>
        <v>05</v>
      </c>
      <c r="L1703" t="str">
        <f t="shared" si="575"/>
        <v>17</v>
      </c>
      <c r="M1703" s="6" t="str">
        <f t="shared" si="576"/>
        <v>03</v>
      </c>
      <c r="N1703" t="s">
        <v>179</v>
      </c>
      <c r="O1703">
        <v>84</v>
      </c>
      <c r="P1703" t="s">
        <v>424</v>
      </c>
      <c r="Q1703" t="s">
        <v>15</v>
      </c>
      <c r="Y1703" t="str">
        <f t="shared" si="559"/>
        <v/>
      </c>
      <c r="Z1703" t="str">
        <f t="shared" si="560"/>
        <v/>
      </c>
      <c r="AC1703" t="str">
        <f t="shared" si="556"/>
        <v>Possession</v>
      </c>
      <c r="AD1703" t="str">
        <f t="shared" si="557"/>
        <v/>
      </c>
      <c r="AE1703" t="str">
        <f t="shared" si="558"/>
        <v/>
      </c>
      <c r="AF1703" t="str">
        <f t="shared" si="561"/>
        <v>Offensive</v>
      </c>
      <c r="AG1703">
        <f t="shared" si="567"/>
        <v>18981</v>
      </c>
      <c r="AH1703" t="str">
        <f t="shared" si="568"/>
        <v>Nelson</v>
      </c>
      <c r="AI1703" t="str">
        <f t="shared" si="569"/>
        <v>Velodrome</v>
      </c>
      <c r="AJ1703" s="18">
        <f t="shared" si="562"/>
        <v>2</v>
      </c>
      <c r="AP1703" s="18">
        <f t="shared" si="563"/>
        <v>0</v>
      </c>
      <c r="AQ1703">
        <f t="shared" si="564"/>
        <v>2160</v>
      </c>
      <c r="AR1703" s="23">
        <f t="shared" si="565"/>
        <v>2215</v>
      </c>
      <c r="AS1703">
        <f t="shared" si="570"/>
        <v>2210</v>
      </c>
      <c r="AT1703" s="21">
        <f t="shared" si="571"/>
        <v>2217</v>
      </c>
      <c r="AU1703" s="21"/>
      <c r="AV1703" s="21"/>
      <c r="AW1703" s="21"/>
    </row>
    <row r="1704" spans="1:49" x14ac:dyDescent="0.2">
      <c r="A1704">
        <v>900</v>
      </c>
      <c r="E1704">
        <f t="shared" si="566"/>
        <v>3</v>
      </c>
      <c r="F1704" s="5" t="s">
        <v>472</v>
      </c>
      <c r="G1704" s="5" t="s">
        <v>473</v>
      </c>
      <c r="H1704" s="5" t="s">
        <v>472</v>
      </c>
      <c r="I1704" s="7" t="s">
        <v>471</v>
      </c>
      <c r="J1704" t="str">
        <f t="shared" si="573"/>
        <v>17</v>
      </c>
      <c r="K1704" t="str">
        <f t="shared" si="574"/>
        <v>03</v>
      </c>
      <c r="L1704" t="str">
        <f t="shared" si="575"/>
        <v>17</v>
      </c>
      <c r="M1704" s="6" t="str">
        <f t="shared" si="576"/>
        <v>01</v>
      </c>
      <c r="N1704" t="s">
        <v>179</v>
      </c>
      <c r="O1704">
        <v>84</v>
      </c>
      <c r="P1704" t="s">
        <v>424</v>
      </c>
      <c r="Q1704" t="s">
        <v>277</v>
      </c>
      <c r="R1704" t="s">
        <v>191</v>
      </c>
      <c r="S1704" t="s">
        <v>87</v>
      </c>
      <c r="Y1704" t="str">
        <f t="shared" si="559"/>
        <v/>
      </c>
      <c r="Z1704" t="str">
        <f t="shared" si="560"/>
        <v/>
      </c>
      <c r="AC1704" t="str">
        <f t="shared" si="556"/>
        <v>Zone_Entry_Exit</v>
      </c>
      <c r="AD1704" t="str">
        <f t="shared" si="557"/>
        <v>Zone_Entry</v>
      </c>
      <c r="AE1704" t="str">
        <f t="shared" si="558"/>
        <v>ZoneEntry-Rush</v>
      </c>
      <c r="AF1704" t="str">
        <f t="shared" si="561"/>
        <v>Offensive</v>
      </c>
      <c r="AG1704">
        <f t="shared" si="567"/>
        <v>18981</v>
      </c>
      <c r="AH1704" t="str">
        <f t="shared" si="568"/>
        <v>Nelson</v>
      </c>
      <c r="AI1704" t="str">
        <f t="shared" si="569"/>
        <v>Velodrome</v>
      </c>
      <c r="AJ1704" s="18">
        <f t="shared" si="562"/>
        <v>2</v>
      </c>
      <c r="AP1704" s="18">
        <f t="shared" si="563"/>
        <v>0</v>
      </c>
      <c r="AQ1704">
        <f t="shared" si="564"/>
        <v>2160</v>
      </c>
      <c r="AR1704" s="23">
        <f t="shared" si="565"/>
        <v>2217</v>
      </c>
      <c r="AS1704">
        <f t="shared" si="570"/>
        <v>2212</v>
      </c>
      <c r="AT1704" s="21">
        <f t="shared" si="571"/>
        <v>2219</v>
      </c>
      <c r="AU1704" s="21"/>
      <c r="AV1704" s="21"/>
      <c r="AW1704" s="21"/>
    </row>
    <row r="1705" spans="1:49" x14ac:dyDescent="0.2">
      <c r="A1705">
        <v>900</v>
      </c>
      <c r="E1705">
        <f t="shared" si="566"/>
        <v>3</v>
      </c>
      <c r="J1705" t="str">
        <f t="shared" si="573"/>
        <v>17</v>
      </c>
      <c r="K1705" t="str">
        <f t="shared" si="574"/>
        <v>03</v>
      </c>
      <c r="L1705" t="str">
        <f t="shared" si="575"/>
        <v>17</v>
      </c>
      <c r="M1705" s="6" t="str">
        <f t="shared" si="576"/>
        <v>01</v>
      </c>
      <c r="N1705" t="str">
        <f t="shared" si="572"/>
        <v>Away</v>
      </c>
      <c r="O1705">
        <v>87</v>
      </c>
      <c r="P1705" t="s">
        <v>424</v>
      </c>
      <c r="Y1705" t="str">
        <f t="shared" si="559"/>
        <v/>
      </c>
      <c r="Z1705" t="str">
        <f t="shared" si="560"/>
        <v/>
      </c>
      <c r="AC1705" t="str">
        <f t="shared" si="556"/>
        <v>Zone_Entry_Exit</v>
      </c>
      <c r="AD1705" t="str">
        <f t="shared" si="557"/>
        <v>Zone_Entry</v>
      </c>
      <c r="AE1705" t="str">
        <f t="shared" si="558"/>
        <v>ZoneEntry-Rush</v>
      </c>
      <c r="AF1705" t="str">
        <f t="shared" si="561"/>
        <v>Offensive</v>
      </c>
      <c r="AG1705">
        <f t="shared" si="567"/>
        <v>18981</v>
      </c>
      <c r="AH1705" t="str">
        <f t="shared" si="568"/>
        <v>Nelson</v>
      </c>
      <c r="AI1705" t="str">
        <f t="shared" si="569"/>
        <v>Velodrome</v>
      </c>
      <c r="AJ1705" s="18">
        <f t="shared" si="562"/>
        <v>2</v>
      </c>
      <c r="AP1705" s="18">
        <f t="shared" si="563"/>
        <v>0</v>
      </c>
      <c r="AQ1705">
        <f t="shared" si="564"/>
        <v>2160</v>
      </c>
      <c r="AR1705" s="23">
        <f t="shared" si="565"/>
        <v>2217</v>
      </c>
      <c r="AS1705">
        <f t="shared" si="570"/>
        <v>2212</v>
      </c>
      <c r="AT1705" s="21">
        <f t="shared" si="571"/>
        <v>2219</v>
      </c>
      <c r="AU1705" s="21"/>
      <c r="AV1705" s="21"/>
      <c r="AW1705" s="21"/>
    </row>
    <row r="1706" spans="1:49" x14ac:dyDescent="0.2">
      <c r="A1706">
        <v>900</v>
      </c>
      <c r="E1706">
        <f t="shared" si="566"/>
        <v>3</v>
      </c>
      <c r="J1706" t="str">
        <f t="shared" si="573"/>
        <v>17</v>
      </c>
      <c r="K1706" t="str">
        <f t="shared" si="574"/>
        <v>03</v>
      </c>
      <c r="L1706" t="str">
        <f t="shared" si="575"/>
        <v>17</v>
      </c>
      <c r="M1706" s="6" t="str">
        <f t="shared" si="576"/>
        <v>01</v>
      </c>
      <c r="N1706" t="str">
        <f t="shared" si="572"/>
        <v>Away</v>
      </c>
      <c r="O1706">
        <v>79</v>
      </c>
      <c r="P1706" t="s">
        <v>425</v>
      </c>
      <c r="Y1706" t="str">
        <f t="shared" si="559"/>
        <v/>
      </c>
      <c r="Z1706" t="str">
        <f t="shared" si="560"/>
        <v/>
      </c>
      <c r="AC1706" t="str">
        <f t="shared" si="556"/>
        <v>Zone_Entry_Exit</v>
      </c>
      <c r="AD1706" t="str">
        <f t="shared" si="557"/>
        <v>Zone_Entry</v>
      </c>
      <c r="AE1706" t="str">
        <f t="shared" si="558"/>
        <v>ZoneEntry-Rush</v>
      </c>
      <c r="AF1706" t="str">
        <f t="shared" si="561"/>
        <v>Defensive</v>
      </c>
      <c r="AG1706">
        <f t="shared" si="567"/>
        <v>18981</v>
      </c>
      <c r="AH1706" t="str">
        <f t="shared" si="568"/>
        <v>Nelson</v>
      </c>
      <c r="AI1706" t="str">
        <f t="shared" si="569"/>
        <v>Velodrome</v>
      </c>
      <c r="AJ1706" s="18">
        <f t="shared" si="562"/>
        <v>2</v>
      </c>
      <c r="AP1706" s="18">
        <f t="shared" si="563"/>
        <v>0</v>
      </c>
      <c r="AQ1706">
        <f t="shared" si="564"/>
        <v>2160</v>
      </c>
      <c r="AR1706" s="23">
        <f t="shared" si="565"/>
        <v>2217</v>
      </c>
      <c r="AS1706">
        <f t="shared" si="570"/>
        <v>2212</v>
      </c>
      <c r="AT1706" s="21">
        <f t="shared" si="571"/>
        <v>2219</v>
      </c>
      <c r="AU1706" s="21"/>
      <c r="AV1706" s="21"/>
      <c r="AW1706" s="21"/>
    </row>
    <row r="1707" spans="1:49" x14ac:dyDescent="0.2">
      <c r="A1707">
        <v>900</v>
      </c>
      <c r="E1707">
        <f t="shared" si="566"/>
        <v>3</v>
      </c>
      <c r="J1707" t="str">
        <f t="shared" si="573"/>
        <v>17</v>
      </c>
      <c r="K1707" t="str">
        <f t="shared" si="574"/>
        <v>03</v>
      </c>
      <c r="L1707" t="str">
        <f t="shared" si="575"/>
        <v>17</v>
      </c>
      <c r="M1707" s="6" t="str">
        <f t="shared" si="576"/>
        <v>01</v>
      </c>
      <c r="N1707" t="str">
        <f t="shared" si="572"/>
        <v>Away</v>
      </c>
      <c r="O1707">
        <v>15</v>
      </c>
      <c r="P1707" t="s">
        <v>425</v>
      </c>
      <c r="Y1707" t="str">
        <f t="shared" si="559"/>
        <v/>
      </c>
      <c r="Z1707" t="str">
        <f t="shared" si="560"/>
        <v/>
      </c>
      <c r="AC1707" t="str">
        <f t="shared" si="556"/>
        <v>Zone_Entry_Exit</v>
      </c>
      <c r="AD1707" t="str">
        <f t="shared" si="557"/>
        <v>Zone_Entry</v>
      </c>
      <c r="AE1707" t="str">
        <f t="shared" si="558"/>
        <v>ZoneEntry-Rush</v>
      </c>
      <c r="AF1707" t="str">
        <f t="shared" si="561"/>
        <v>Defensive</v>
      </c>
      <c r="AG1707">
        <f t="shared" si="567"/>
        <v>18981</v>
      </c>
      <c r="AH1707" t="str">
        <f t="shared" si="568"/>
        <v>Nelson</v>
      </c>
      <c r="AI1707" t="str">
        <f t="shared" si="569"/>
        <v>Velodrome</v>
      </c>
      <c r="AJ1707" s="18">
        <f t="shared" si="562"/>
        <v>2</v>
      </c>
      <c r="AP1707" s="18">
        <f t="shared" si="563"/>
        <v>0</v>
      </c>
      <c r="AQ1707">
        <f t="shared" si="564"/>
        <v>2160</v>
      </c>
      <c r="AR1707" s="23">
        <f t="shared" si="565"/>
        <v>2217</v>
      </c>
      <c r="AS1707">
        <f t="shared" si="570"/>
        <v>2212</v>
      </c>
      <c r="AT1707" s="21">
        <f t="shared" si="571"/>
        <v>2219</v>
      </c>
      <c r="AU1707" s="21"/>
      <c r="AV1707" s="21"/>
      <c r="AW1707" s="21"/>
    </row>
    <row r="1708" spans="1:49" x14ac:dyDescent="0.2">
      <c r="A1708">
        <v>900</v>
      </c>
      <c r="E1708">
        <f t="shared" si="566"/>
        <v>3</v>
      </c>
      <c r="J1708" t="str">
        <f t="shared" si="573"/>
        <v>17</v>
      </c>
      <c r="K1708" t="str">
        <f t="shared" si="574"/>
        <v>03</v>
      </c>
      <c r="L1708" t="str">
        <f t="shared" si="575"/>
        <v>17</v>
      </c>
      <c r="M1708" s="6" t="str">
        <f t="shared" si="576"/>
        <v>01</v>
      </c>
      <c r="N1708" t="str">
        <f t="shared" si="572"/>
        <v>Away</v>
      </c>
      <c r="O1708">
        <v>8</v>
      </c>
      <c r="P1708" t="s">
        <v>425</v>
      </c>
      <c r="Y1708" t="str">
        <f t="shared" si="559"/>
        <v/>
      </c>
      <c r="Z1708" t="str">
        <f t="shared" si="560"/>
        <v/>
      </c>
      <c r="AC1708" t="str">
        <f t="shared" si="556"/>
        <v>Zone_Entry_Exit</v>
      </c>
      <c r="AD1708" t="str">
        <f t="shared" si="557"/>
        <v>Zone_Entry</v>
      </c>
      <c r="AE1708" t="str">
        <f t="shared" si="558"/>
        <v>ZoneEntry-Rush</v>
      </c>
      <c r="AF1708" t="str">
        <f t="shared" si="561"/>
        <v>Defensive</v>
      </c>
      <c r="AG1708">
        <f t="shared" si="567"/>
        <v>18981</v>
      </c>
      <c r="AH1708" t="str">
        <f t="shared" si="568"/>
        <v>Nelson</v>
      </c>
      <c r="AI1708" t="str">
        <f t="shared" si="569"/>
        <v>Velodrome</v>
      </c>
      <c r="AJ1708" s="18">
        <f t="shared" si="562"/>
        <v>2</v>
      </c>
      <c r="AP1708" s="18">
        <f t="shared" si="563"/>
        <v>0</v>
      </c>
      <c r="AQ1708">
        <f t="shared" si="564"/>
        <v>2160</v>
      </c>
      <c r="AR1708" s="23">
        <f t="shared" si="565"/>
        <v>2217</v>
      </c>
      <c r="AS1708">
        <f t="shared" si="570"/>
        <v>2212</v>
      </c>
      <c r="AT1708" s="21">
        <f t="shared" si="571"/>
        <v>2219</v>
      </c>
      <c r="AU1708" s="21"/>
      <c r="AV1708" s="21"/>
      <c r="AW1708" s="21"/>
    </row>
    <row r="1709" spans="1:49" x14ac:dyDescent="0.2">
      <c r="A1709">
        <v>900</v>
      </c>
      <c r="E1709">
        <f t="shared" si="566"/>
        <v>3</v>
      </c>
      <c r="J1709" t="str">
        <f t="shared" si="573"/>
        <v>17</v>
      </c>
      <c r="K1709" t="str">
        <f t="shared" si="574"/>
        <v>03</v>
      </c>
      <c r="L1709" t="str">
        <f t="shared" si="575"/>
        <v>17</v>
      </c>
      <c r="M1709" s="6" t="str">
        <f t="shared" si="576"/>
        <v>01</v>
      </c>
      <c r="N1709" t="str">
        <f t="shared" si="572"/>
        <v>Away</v>
      </c>
      <c r="O1709">
        <v>80</v>
      </c>
      <c r="P1709" t="s">
        <v>425</v>
      </c>
      <c r="Y1709" t="str">
        <f t="shared" si="559"/>
        <v/>
      </c>
      <c r="Z1709" t="str">
        <f t="shared" si="560"/>
        <v/>
      </c>
      <c r="AC1709" t="str">
        <f t="shared" si="556"/>
        <v>Zone_Entry_Exit</v>
      </c>
      <c r="AD1709" t="str">
        <f t="shared" si="557"/>
        <v>Zone_Entry</v>
      </c>
      <c r="AE1709" t="str">
        <f t="shared" si="558"/>
        <v>ZoneEntry-Rush</v>
      </c>
      <c r="AF1709" t="str">
        <f t="shared" si="561"/>
        <v>Defensive</v>
      </c>
      <c r="AG1709">
        <f t="shared" si="567"/>
        <v>18981</v>
      </c>
      <c r="AH1709" t="str">
        <f t="shared" si="568"/>
        <v>Nelson</v>
      </c>
      <c r="AI1709" t="str">
        <f t="shared" si="569"/>
        <v>Velodrome</v>
      </c>
      <c r="AJ1709" s="18">
        <f t="shared" si="562"/>
        <v>2</v>
      </c>
      <c r="AP1709" s="18">
        <f t="shared" si="563"/>
        <v>0</v>
      </c>
      <c r="AQ1709">
        <f t="shared" si="564"/>
        <v>2160</v>
      </c>
      <c r="AR1709" s="23">
        <f t="shared" si="565"/>
        <v>2217</v>
      </c>
      <c r="AS1709">
        <f t="shared" si="570"/>
        <v>2212</v>
      </c>
      <c r="AT1709" s="21">
        <f t="shared" si="571"/>
        <v>2219</v>
      </c>
      <c r="AU1709" s="21"/>
      <c r="AV1709" s="21"/>
      <c r="AW1709" s="21"/>
    </row>
    <row r="1710" spans="1:49" x14ac:dyDescent="0.2">
      <c r="A1710">
        <v>901</v>
      </c>
      <c r="E1710">
        <f t="shared" si="566"/>
        <v>3</v>
      </c>
      <c r="F1710" s="5" t="s">
        <v>472</v>
      </c>
      <c r="G1710" s="5" t="s">
        <v>471</v>
      </c>
      <c r="J1710" t="str">
        <f t="shared" si="573"/>
        <v>17</v>
      </c>
      <c r="K1710" t="str">
        <f t="shared" si="574"/>
        <v>01</v>
      </c>
      <c r="L1710" t="str">
        <f t="shared" si="575"/>
        <v/>
      </c>
      <c r="M1710" s="6" t="str">
        <f t="shared" si="576"/>
        <v/>
      </c>
      <c r="N1710" t="s">
        <v>179</v>
      </c>
      <c r="O1710">
        <v>84</v>
      </c>
      <c r="P1710" t="s">
        <v>424</v>
      </c>
      <c r="Q1710" t="s">
        <v>8</v>
      </c>
      <c r="R1710" t="s">
        <v>199</v>
      </c>
      <c r="S1710" t="s">
        <v>70</v>
      </c>
      <c r="Y1710" t="str">
        <f t="shared" si="559"/>
        <v/>
      </c>
      <c r="Z1710" t="str">
        <f t="shared" si="560"/>
        <v/>
      </c>
      <c r="AC1710" t="str">
        <f t="shared" si="556"/>
        <v>Pass</v>
      </c>
      <c r="AD1710" t="str">
        <f t="shared" si="557"/>
        <v>Pass_Missed</v>
      </c>
      <c r="AE1710" t="str">
        <f t="shared" si="558"/>
        <v>Pass-Forehand</v>
      </c>
      <c r="AF1710" t="str">
        <f t="shared" si="561"/>
        <v>Offensive</v>
      </c>
      <c r="AG1710">
        <f t="shared" si="567"/>
        <v>18981</v>
      </c>
      <c r="AH1710" t="str">
        <f t="shared" si="568"/>
        <v>Nelson</v>
      </c>
      <c r="AI1710" t="str">
        <f t="shared" si="569"/>
        <v>Velodrome</v>
      </c>
      <c r="AJ1710" s="18">
        <f t="shared" si="562"/>
        <v>0</v>
      </c>
      <c r="AP1710" s="18">
        <f t="shared" si="563"/>
        <v>0</v>
      </c>
      <c r="AQ1710">
        <f t="shared" si="564"/>
        <v>2160</v>
      </c>
      <c r="AR1710" s="23">
        <f t="shared" si="565"/>
        <v>2219</v>
      </c>
      <c r="AS1710">
        <f t="shared" si="570"/>
        <v>2214</v>
      </c>
      <c r="AT1710" s="21">
        <f t="shared" si="571"/>
        <v>2219</v>
      </c>
      <c r="AU1710" s="21"/>
      <c r="AV1710" s="21"/>
      <c r="AW1710" s="21"/>
    </row>
    <row r="1711" spans="1:49" x14ac:dyDescent="0.2">
      <c r="A1711">
        <v>901</v>
      </c>
      <c r="E1711">
        <f t="shared" si="566"/>
        <v>3</v>
      </c>
      <c r="J1711" t="str">
        <f t="shared" si="573"/>
        <v>17</v>
      </c>
      <c r="K1711" t="str">
        <f t="shared" si="574"/>
        <v>01</v>
      </c>
      <c r="L1711" t="str">
        <f t="shared" si="575"/>
        <v/>
      </c>
      <c r="M1711" s="6" t="str">
        <f t="shared" si="576"/>
        <v/>
      </c>
      <c r="N1711" t="str">
        <f t="shared" si="572"/>
        <v>Away</v>
      </c>
      <c r="O1711">
        <v>87</v>
      </c>
      <c r="P1711" t="s">
        <v>424</v>
      </c>
      <c r="Y1711" t="str">
        <f t="shared" si="559"/>
        <v/>
      </c>
      <c r="Z1711" t="str">
        <f t="shared" si="560"/>
        <v/>
      </c>
      <c r="AC1711" t="str">
        <f t="shared" ref="AC1711:AC1774" si="577">IF(Q1711&lt;&gt;"",Q1711,IF($A1711=$A1710,AC1710,""))</f>
        <v>Pass</v>
      </c>
      <c r="AD1711" t="str">
        <f t="shared" ref="AD1711:AD1774" si="578">IF(R1711&lt;&gt;"",R1711,IF($A1711=$A1710,AD1710,""))</f>
        <v>Pass_Missed</v>
      </c>
      <c r="AE1711" t="str">
        <f t="shared" ref="AE1711:AE1774" si="579">IF(S1711&lt;&gt;"",S1711,IF($A1711=$A1710,AE1710,""))</f>
        <v>Pass-Forehand</v>
      </c>
      <c r="AF1711" t="str">
        <f t="shared" si="561"/>
        <v>Offensive</v>
      </c>
      <c r="AG1711">
        <f t="shared" si="567"/>
        <v>18981</v>
      </c>
      <c r="AH1711" t="str">
        <f t="shared" si="568"/>
        <v>Nelson</v>
      </c>
      <c r="AI1711" t="str">
        <f t="shared" si="569"/>
        <v>Velodrome</v>
      </c>
      <c r="AJ1711" s="18">
        <f t="shared" si="562"/>
        <v>0</v>
      </c>
      <c r="AP1711" s="18">
        <f t="shared" si="563"/>
        <v>0</v>
      </c>
      <c r="AQ1711">
        <f t="shared" si="564"/>
        <v>2160</v>
      </c>
      <c r="AR1711" s="23">
        <f t="shared" si="565"/>
        <v>2219</v>
      </c>
      <c r="AS1711">
        <f t="shared" si="570"/>
        <v>2214</v>
      </c>
      <c r="AT1711" s="21">
        <f t="shared" si="571"/>
        <v>2219</v>
      </c>
      <c r="AU1711" s="21"/>
      <c r="AV1711" s="21"/>
      <c r="AW1711" s="21"/>
    </row>
    <row r="1712" spans="1:49" x14ac:dyDescent="0.2">
      <c r="A1712">
        <v>901</v>
      </c>
      <c r="E1712">
        <f t="shared" si="566"/>
        <v>3</v>
      </c>
      <c r="J1712" t="str">
        <f t="shared" si="573"/>
        <v>17</v>
      </c>
      <c r="K1712" t="str">
        <f t="shared" si="574"/>
        <v>01</v>
      </c>
      <c r="L1712" t="str">
        <f t="shared" si="575"/>
        <v/>
      </c>
      <c r="M1712" s="6" t="str">
        <f t="shared" si="576"/>
        <v/>
      </c>
      <c r="N1712" t="str">
        <f t="shared" si="572"/>
        <v>Away</v>
      </c>
      <c r="O1712">
        <v>8</v>
      </c>
      <c r="P1712" t="s">
        <v>425</v>
      </c>
      <c r="Y1712" t="str">
        <f t="shared" si="559"/>
        <v/>
      </c>
      <c r="Z1712" t="str">
        <f t="shared" si="560"/>
        <v/>
      </c>
      <c r="AC1712" t="str">
        <f t="shared" si="577"/>
        <v>Pass</v>
      </c>
      <c r="AD1712" t="str">
        <f t="shared" si="578"/>
        <v>Pass_Missed</v>
      </c>
      <c r="AE1712" t="str">
        <f t="shared" si="579"/>
        <v>Pass-Forehand</v>
      </c>
      <c r="AF1712" t="str">
        <f t="shared" si="561"/>
        <v>Defensive</v>
      </c>
      <c r="AG1712">
        <f t="shared" si="567"/>
        <v>18981</v>
      </c>
      <c r="AH1712" t="str">
        <f t="shared" si="568"/>
        <v>Nelson</v>
      </c>
      <c r="AI1712" t="str">
        <f t="shared" si="569"/>
        <v>Velodrome</v>
      </c>
      <c r="AJ1712" s="18">
        <f t="shared" si="562"/>
        <v>0</v>
      </c>
      <c r="AP1712" s="18">
        <f t="shared" si="563"/>
        <v>0</v>
      </c>
      <c r="AQ1712">
        <f t="shared" si="564"/>
        <v>2160</v>
      </c>
      <c r="AR1712" s="23">
        <f t="shared" si="565"/>
        <v>2219</v>
      </c>
      <c r="AS1712">
        <f t="shared" si="570"/>
        <v>2214</v>
      </c>
      <c r="AT1712" s="21">
        <f t="shared" si="571"/>
        <v>2219</v>
      </c>
      <c r="AU1712" s="21"/>
      <c r="AV1712" s="21"/>
      <c r="AW1712" s="21"/>
    </row>
    <row r="1713" spans="1:49" x14ac:dyDescent="0.2">
      <c r="A1713">
        <v>902</v>
      </c>
      <c r="E1713">
        <f t="shared" si="566"/>
        <v>3</v>
      </c>
      <c r="F1713" s="5" t="s">
        <v>472</v>
      </c>
      <c r="G1713" s="5" t="s">
        <v>471</v>
      </c>
      <c r="J1713" t="str">
        <f t="shared" si="573"/>
        <v>17</v>
      </c>
      <c r="K1713" t="str">
        <f t="shared" si="574"/>
        <v>01</v>
      </c>
      <c r="L1713" t="str">
        <f t="shared" si="575"/>
        <v/>
      </c>
      <c r="M1713" s="6" t="str">
        <f t="shared" si="576"/>
        <v/>
      </c>
      <c r="N1713" t="s">
        <v>179</v>
      </c>
      <c r="O1713">
        <v>84</v>
      </c>
      <c r="P1713" t="s">
        <v>424</v>
      </c>
      <c r="Q1713" t="s">
        <v>10</v>
      </c>
      <c r="R1713" t="s">
        <v>190</v>
      </c>
      <c r="S1713" t="s">
        <v>76</v>
      </c>
      <c r="Y1713" t="str">
        <f t="shared" si="559"/>
        <v/>
      </c>
      <c r="Z1713" t="str">
        <f t="shared" si="560"/>
        <v/>
      </c>
      <c r="AC1713" t="str">
        <f t="shared" si="577"/>
        <v>Turnover</v>
      </c>
      <c r="AD1713" t="str">
        <f t="shared" si="578"/>
        <v>Turnover_Giveaway</v>
      </c>
      <c r="AE1713" t="str">
        <f t="shared" si="579"/>
        <v>Giveaway-PassMissed</v>
      </c>
      <c r="AF1713" t="str">
        <f t="shared" si="561"/>
        <v>Offensive</v>
      </c>
      <c r="AG1713">
        <f t="shared" si="567"/>
        <v>18981</v>
      </c>
      <c r="AH1713" t="str">
        <f t="shared" si="568"/>
        <v>Nelson</v>
      </c>
      <c r="AI1713" t="str">
        <f t="shared" si="569"/>
        <v>Velodrome</v>
      </c>
      <c r="AJ1713" s="18">
        <f t="shared" si="562"/>
        <v>0</v>
      </c>
      <c r="AP1713" s="18">
        <f t="shared" si="563"/>
        <v>0</v>
      </c>
      <c r="AQ1713">
        <f t="shared" si="564"/>
        <v>2160</v>
      </c>
      <c r="AR1713" s="23">
        <f t="shared" si="565"/>
        <v>2219</v>
      </c>
      <c r="AS1713">
        <f t="shared" si="570"/>
        <v>2214</v>
      </c>
      <c r="AT1713" s="21">
        <f t="shared" si="571"/>
        <v>2219</v>
      </c>
      <c r="AU1713" s="21"/>
      <c r="AV1713" s="21"/>
      <c r="AW1713" s="21"/>
    </row>
    <row r="1714" spans="1:49" x14ac:dyDescent="0.2">
      <c r="A1714">
        <v>903</v>
      </c>
      <c r="E1714">
        <f t="shared" si="566"/>
        <v>3</v>
      </c>
      <c r="F1714" s="5" t="s">
        <v>477</v>
      </c>
      <c r="G1714" s="5" t="s">
        <v>529</v>
      </c>
      <c r="H1714" s="5" t="s">
        <v>477</v>
      </c>
      <c r="I1714" s="7" t="s">
        <v>520</v>
      </c>
      <c r="J1714" t="str">
        <f t="shared" si="573"/>
        <v>16</v>
      </c>
      <c r="K1714" t="str">
        <f t="shared" si="574"/>
        <v>57</v>
      </c>
      <c r="L1714" t="str">
        <f t="shared" si="575"/>
        <v>16</v>
      </c>
      <c r="M1714" s="6" t="str">
        <f t="shared" si="576"/>
        <v>48</v>
      </c>
      <c r="N1714" t="s">
        <v>178</v>
      </c>
      <c r="O1714">
        <v>16</v>
      </c>
      <c r="P1714" t="s">
        <v>424</v>
      </c>
      <c r="Q1714" t="s">
        <v>277</v>
      </c>
      <c r="R1714" t="s">
        <v>201</v>
      </c>
      <c r="S1714" t="s">
        <v>90</v>
      </c>
      <c r="Y1714" t="str">
        <f t="shared" si="559"/>
        <v/>
      </c>
      <c r="Z1714" t="str">
        <f t="shared" si="560"/>
        <v/>
      </c>
      <c r="AC1714" t="str">
        <f t="shared" si="577"/>
        <v>Zone_Entry_Exit</v>
      </c>
      <c r="AD1714" t="str">
        <f t="shared" si="578"/>
        <v>Zone_Exit</v>
      </c>
      <c r="AE1714" t="str">
        <f t="shared" si="579"/>
        <v>ZoneExit-Rush</v>
      </c>
      <c r="AF1714" t="str">
        <f t="shared" si="561"/>
        <v>Offensive</v>
      </c>
      <c r="AG1714">
        <f t="shared" si="567"/>
        <v>18981</v>
      </c>
      <c r="AH1714" t="str">
        <f t="shared" si="568"/>
        <v>Nelson</v>
      </c>
      <c r="AI1714" t="str">
        <f t="shared" si="569"/>
        <v>Velodrome</v>
      </c>
      <c r="AJ1714" s="18">
        <f t="shared" si="562"/>
        <v>9</v>
      </c>
      <c r="AP1714" s="18">
        <f t="shared" si="563"/>
        <v>0</v>
      </c>
      <c r="AQ1714">
        <f t="shared" si="564"/>
        <v>2160</v>
      </c>
      <c r="AR1714" s="23">
        <f t="shared" si="565"/>
        <v>2223</v>
      </c>
      <c r="AS1714">
        <f t="shared" si="570"/>
        <v>2218</v>
      </c>
      <c r="AT1714" s="21">
        <f t="shared" si="571"/>
        <v>2232</v>
      </c>
      <c r="AU1714" s="21"/>
      <c r="AV1714" s="21"/>
      <c r="AW1714" s="21"/>
    </row>
    <row r="1715" spans="1:49" x14ac:dyDescent="0.2">
      <c r="A1715">
        <v>903</v>
      </c>
      <c r="E1715">
        <f t="shared" si="566"/>
        <v>3</v>
      </c>
      <c r="J1715" t="str">
        <f t="shared" si="573"/>
        <v>16</v>
      </c>
      <c r="K1715" t="str">
        <f t="shared" si="574"/>
        <v>57</v>
      </c>
      <c r="L1715" t="str">
        <f t="shared" si="575"/>
        <v>16</v>
      </c>
      <c r="M1715" s="6" t="str">
        <f t="shared" si="576"/>
        <v>48</v>
      </c>
      <c r="N1715" t="str">
        <f t="shared" si="572"/>
        <v>Home</v>
      </c>
      <c r="O1715">
        <v>87</v>
      </c>
      <c r="P1715" t="s">
        <v>425</v>
      </c>
      <c r="Y1715" t="str">
        <f t="shared" si="559"/>
        <v/>
      </c>
      <c r="Z1715" t="str">
        <f t="shared" si="560"/>
        <v/>
      </c>
      <c r="AC1715" t="str">
        <f t="shared" si="577"/>
        <v>Zone_Entry_Exit</v>
      </c>
      <c r="AD1715" t="str">
        <f t="shared" si="578"/>
        <v>Zone_Exit</v>
      </c>
      <c r="AE1715" t="str">
        <f t="shared" si="579"/>
        <v>ZoneExit-Rush</v>
      </c>
      <c r="AF1715" t="str">
        <f t="shared" si="561"/>
        <v>Defensive</v>
      </c>
      <c r="AG1715">
        <f t="shared" si="567"/>
        <v>18981</v>
      </c>
      <c r="AH1715" t="str">
        <f t="shared" si="568"/>
        <v>Nelson</v>
      </c>
      <c r="AI1715" t="str">
        <f t="shared" si="569"/>
        <v>Velodrome</v>
      </c>
      <c r="AJ1715" s="18">
        <f t="shared" si="562"/>
        <v>9</v>
      </c>
      <c r="AP1715" s="18">
        <f t="shared" si="563"/>
        <v>0</v>
      </c>
      <c r="AQ1715">
        <f t="shared" si="564"/>
        <v>2160</v>
      </c>
      <c r="AR1715" s="23">
        <f t="shared" si="565"/>
        <v>2223</v>
      </c>
      <c r="AS1715">
        <f t="shared" si="570"/>
        <v>2218</v>
      </c>
      <c r="AT1715" s="21">
        <f t="shared" si="571"/>
        <v>2232</v>
      </c>
      <c r="AU1715" s="21"/>
      <c r="AV1715" s="21"/>
      <c r="AW1715" s="21"/>
    </row>
    <row r="1716" spans="1:49" x14ac:dyDescent="0.2">
      <c r="A1716">
        <v>904</v>
      </c>
      <c r="E1716">
        <f t="shared" si="566"/>
        <v>3</v>
      </c>
      <c r="F1716" s="5" t="s">
        <v>477</v>
      </c>
      <c r="G1716" s="5" t="s">
        <v>520</v>
      </c>
      <c r="H1716" s="5" t="s">
        <v>477</v>
      </c>
      <c r="I1716" s="7" t="s">
        <v>516</v>
      </c>
      <c r="J1716" t="str">
        <f t="shared" si="573"/>
        <v>16</v>
      </c>
      <c r="K1716" t="str">
        <f t="shared" si="574"/>
        <v>48</v>
      </c>
      <c r="L1716" t="str">
        <f t="shared" si="575"/>
        <v>16</v>
      </c>
      <c r="M1716" s="6" t="str">
        <f t="shared" si="576"/>
        <v>44</v>
      </c>
      <c r="N1716" t="s">
        <v>178</v>
      </c>
      <c r="O1716">
        <v>16</v>
      </c>
      <c r="P1716" t="s">
        <v>424</v>
      </c>
      <c r="Q1716" t="s">
        <v>15</v>
      </c>
      <c r="Y1716" t="str">
        <f t="shared" si="559"/>
        <v/>
      </c>
      <c r="Z1716" t="str">
        <f t="shared" si="560"/>
        <v/>
      </c>
      <c r="AC1716" t="str">
        <f t="shared" si="577"/>
        <v>Possession</v>
      </c>
      <c r="AD1716" t="str">
        <f t="shared" si="578"/>
        <v/>
      </c>
      <c r="AE1716" t="str">
        <f t="shared" si="579"/>
        <v/>
      </c>
      <c r="AF1716" t="str">
        <f t="shared" si="561"/>
        <v>Offensive</v>
      </c>
      <c r="AG1716">
        <f t="shared" si="567"/>
        <v>18981</v>
      </c>
      <c r="AH1716" t="str">
        <f t="shared" si="568"/>
        <v>Nelson</v>
      </c>
      <c r="AI1716" t="str">
        <f t="shared" si="569"/>
        <v>Velodrome</v>
      </c>
      <c r="AJ1716" s="18">
        <f t="shared" si="562"/>
        <v>4</v>
      </c>
      <c r="AP1716" s="18">
        <f t="shared" si="563"/>
        <v>0</v>
      </c>
      <c r="AQ1716">
        <f t="shared" si="564"/>
        <v>2160</v>
      </c>
      <c r="AR1716" s="23">
        <f t="shared" si="565"/>
        <v>2232</v>
      </c>
      <c r="AS1716">
        <f t="shared" si="570"/>
        <v>2227</v>
      </c>
      <c r="AT1716" s="21">
        <f t="shared" si="571"/>
        <v>2236</v>
      </c>
      <c r="AU1716" s="21"/>
      <c r="AV1716" s="21"/>
      <c r="AW1716" s="21"/>
    </row>
    <row r="1717" spans="1:49" x14ac:dyDescent="0.2">
      <c r="A1717">
        <v>904</v>
      </c>
      <c r="E1717">
        <f t="shared" si="566"/>
        <v>3</v>
      </c>
      <c r="J1717" t="str">
        <f t="shared" si="573"/>
        <v>16</v>
      </c>
      <c r="K1717" t="str">
        <f t="shared" si="574"/>
        <v>48</v>
      </c>
      <c r="L1717" t="str">
        <f t="shared" si="575"/>
        <v>16</v>
      </c>
      <c r="M1717" s="6" t="str">
        <f t="shared" si="576"/>
        <v>44</v>
      </c>
      <c r="N1717" t="str">
        <f t="shared" si="572"/>
        <v>Home</v>
      </c>
      <c r="O1717">
        <v>87</v>
      </c>
      <c r="P1717" t="s">
        <v>425</v>
      </c>
      <c r="Y1717" t="str">
        <f t="shared" si="559"/>
        <v/>
      </c>
      <c r="Z1717" t="str">
        <f t="shared" si="560"/>
        <v/>
      </c>
      <c r="AC1717" t="str">
        <f t="shared" si="577"/>
        <v>Possession</v>
      </c>
      <c r="AD1717" t="str">
        <f t="shared" si="578"/>
        <v/>
      </c>
      <c r="AE1717" t="str">
        <f t="shared" si="579"/>
        <v/>
      </c>
      <c r="AF1717" t="str">
        <f t="shared" si="561"/>
        <v>Defensive</v>
      </c>
      <c r="AG1717">
        <f t="shared" si="567"/>
        <v>18981</v>
      </c>
      <c r="AH1717" t="str">
        <f t="shared" si="568"/>
        <v>Nelson</v>
      </c>
      <c r="AI1717" t="str">
        <f t="shared" si="569"/>
        <v>Velodrome</v>
      </c>
      <c r="AJ1717" s="18">
        <f t="shared" si="562"/>
        <v>4</v>
      </c>
      <c r="AP1717" s="18">
        <f t="shared" si="563"/>
        <v>0</v>
      </c>
      <c r="AQ1717">
        <f t="shared" si="564"/>
        <v>2160</v>
      </c>
      <c r="AR1717" s="23">
        <f t="shared" si="565"/>
        <v>2232</v>
      </c>
      <c r="AS1717">
        <f t="shared" si="570"/>
        <v>2227</v>
      </c>
      <c r="AT1717" s="21">
        <f t="shared" si="571"/>
        <v>2236</v>
      </c>
      <c r="AU1717" s="21"/>
      <c r="AV1717" s="21"/>
      <c r="AW1717" s="21"/>
    </row>
    <row r="1718" spans="1:49" x14ac:dyDescent="0.2">
      <c r="A1718">
        <v>905</v>
      </c>
      <c r="E1718">
        <f t="shared" si="566"/>
        <v>3</v>
      </c>
      <c r="F1718" s="5" t="s">
        <v>477</v>
      </c>
      <c r="G1718" s="5" t="s">
        <v>516</v>
      </c>
      <c r="J1718" t="str">
        <f t="shared" si="573"/>
        <v>16</v>
      </c>
      <c r="K1718" t="str">
        <f t="shared" si="574"/>
        <v>44</v>
      </c>
      <c r="L1718" t="str">
        <f t="shared" si="575"/>
        <v/>
      </c>
      <c r="M1718" s="6" t="str">
        <f t="shared" si="576"/>
        <v/>
      </c>
      <c r="N1718" t="s">
        <v>179</v>
      </c>
      <c r="O1718">
        <v>70</v>
      </c>
      <c r="P1718" t="s">
        <v>424</v>
      </c>
      <c r="Q1718" t="s">
        <v>247</v>
      </c>
      <c r="R1718" t="s">
        <v>446</v>
      </c>
      <c r="S1718" t="s">
        <v>559</v>
      </c>
      <c r="Y1718" t="str">
        <f t="shared" si="559"/>
        <v/>
      </c>
      <c r="Z1718" t="str">
        <f t="shared" si="560"/>
        <v/>
      </c>
      <c r="AC1718" t="str">
        <f t="shared" si="577"/>
        <v>Play</v>
      </c>
      <c r="AD1718" t="str">
        <f t="shared" si="578"/>
        <v>Play_Defensive</v>
      </c>
      <c r="AE1718" t="str">
        <f t="shared" si="579"/>
        <v>Play-PokeCheck</v>
      </c>
      <c r="AF1718" t="str">
        <f t="shared" si="561"/>
        <v>Defensive</v>
      </c>
      <c r="AG1718">
        <f t="shared" si="567"/>
        <v>18981</v>
      </c>
      <c r="AH1718" t="str">
        <f t="shared" si="568"/>
        <v>Nelson</v>
      </c>
      <c r="AI1718" t="str">
        <f t="shared" si="569"/>
        <v>Velodrome</v>
      </c>
      <c r="AJ1718" s="18">
        <f t="shared" si="562"/>
        <v>0</v>
      </c>
      <c r="AP1718" s="18">
        <f t="shared" si="563"/>
        <v>0</v>
      </c>
      <c r="AQ1718">
        <f t="shared" si="564"/>
        <v>2160</v>
      </c>
      <c r="AR1718" s="23">
        <f t="shared" si="565"/>
        <v>2236</v>
      </c>
      <c r="AS1718">
        <f t="shared" si="570"/>
        <v>2231</v>
      </c>
      <c r="AT1718" s="21">
        <f t="shared" si="571"/>
        <v>2236</v>
      </c>
      <c r="AU1718" s="21"/>
      <c r="AV1718" s="21"/>
      <c r="AW1718" s="21"/>
    </row>
    <row r="1719" spans="1:49" x14ac:dyDescent="0.2">
      <c r="A1719">
        <v>905</v>
      </c>
      <c r="E1719">
        <f t="shared" si="566"/>
        <v>3</v>
      </c>
      <c r="J1719" t="str">
        <f t="shared" si="573"/>
        <v>16</v>
      </c>
      <c r="K1719" t="str">
        <f t="shared" si="574"/>
        <v>44</v>
      </c>
      <c r="L1719" t="str">
        <f t="shared" si="575"/>
        <v/>
      </c>
      <c r="M1719" s="6" t="str">
        <f t="shared" si="576"/>
        <v/>
      </c>
      <c r="N1719" t="str">
        <f t="shared" si="572"/>
        <v>Away</v>
      </c>
      <c r="O1719">
        <v>16</v>
      </c>
      <c r="P1719" t="s">
        <v>425</v>
      </c>
      <c r="Y1719" t="str">
        <f t="shared" si="559"/>
        <v/>
      </c>
      <c r="Z1719" t="str">
        <f t="shared" si="560"/>
        <v/>
      </c>
      <c r="AC1719" t="str">
        <f t="shared" si="577"/>
        <v>Play</v>
      </c>
      <c r="AD1719" t="str">
        <f t="shared" si="578"/>
        <v>Play_Defensive</v>
      </c>
      <c r="AE1719" t="str">
        <f t="shared" si="579"/>
        <v>Play-PokeCheck</v>
      </c>
      <c r="AF1719" t="str">
        <f t="shared" si="561"/>
        <v>Offensive</v>
      </c>
      <c r="AG1719">
        <f t="shared" si="567"/>
        <v>18981</v>
      </c>
      <c r="AH1719" t="str">
        <f t="shared" si="568"/>
        <v>Nelson</v>
      </c>
      <c r="AI1719" t="str">
        <f t="shared" si="569"/>
        <v>Velodrome</v>
      </c>
      <c r="AJ1719" s="18">
        <f t="shared" si="562"/>
        <v>0</v>
      </c>
      <c r="AP1719" s="18">
        <f t="shared" si="563"/>
        <v>0</v>
      </c>
      <c r="AQ1719">
        <f t="shared" si="564"/>
        <v>2160</v>
      </c>
      <c r="AR1719" s="23">
        <f t="shared" si="565"/>
        <v>2236</v>
      </c>
      <c r="AS1719">
        <f t="shared" si="570"/>
        <v>2231</v>
      </c>
      <c r="AT1719" s="21">
        <f t="shared" si="571"/>
        <v>2236</v>
      </c>
      <c r="AU1719" s="21"/>
      <c r="AV1719" s="21"/>
      <c r="AW1719" s="21"/>
    </row>
    <row r="1720" spans="1:49" x14ac:dyDescent="0.2">
      <c r="A1720">
        <v>906</v>
      </c>
      <c r="E1720">
        <f t="shared" si="566"/>
        <v>3</v>
      </c>
      <c r="F1720" s="5" t="s">
        <v>477</v>
      </c>
      <c r="G1720" s="5" t="s">
        <v>512</v>
      </c>
      <c r="J1720" t="str">
        <f t="shared" si="573"/>
        <v>16</v>
      </c>
      <c r="K1720" t="str">
        <f t="shared" si="574"/>
        <v>40</v>
      </c>
      <c r="L1720" t="str">
        <f t="shared" si="575"/>
        <v/>
      </c>
      <c r="M1720" s="6" t="str">
        <f t="shared" si="576"/>
        <v/>
      </c>
      <c r="N1720" t="s">
        <v>178</v>
      </c>
      <c r="O1720">
        <v>8</v>
      </c>
      <c r="P1720" t="s">
        <v>424</v>
      </c>
      <c r="Q1720" t="s">
        <v>277</v>
      </c>
      <c r="R1720" t="s">
        <v>191</v>
      </c>
      <c r="S1720" t="s">
        <v>89</v>
      </c>
      <c r="Y1720" t="str">
        <f t="shared" si="559"/>
        <v/>
      </c>
      <c r="Z1720" t="str">
        <f t="shared" si="560"/>
        <v/>
      </c>
      <c r="AC1720" t="str">
        <f t="shared" si="577"/>
        <v>Zone_Entry_Exit</v>
      </c>
      <c r="AD1720" t="str">
        <f t="shared" si="578"/>
        <v>Zone_Entry</v>
      </c>
      <c r="AE1720" t="str">
        <f t="shared" si="579"/>
        <v>ZoneEntry-DumpIn</v>
      </c>
      <c r="AF1720" t="str">
        <f t="shared" si="561"/>
        <v>Offensive</v>
      </c>
      <c r="AG1720">
        <f t="shared" si="567"/>
        <v>18981</v>
      </c>
      <c r="AH1720" t="str">
        <f t="shared" si="568"/>
        <v>Nelson</v>
      </c>
      <c r="AI1720" t="str">
        <f t="shared" si="569"/>
        <v>Velodrome</v>
      </c>
      <c r="AJ1720" s="18">
        <f t="shared" si="562"/>
        <v>0</v>
      </c>
      <c r="AP1720" s="18">
        <f t="shared" si="563"/>
        <v>0</v>
      </c>
      <c r="AQ1720">
        <f t="shared" si="564"/>
        <v>2160</v>
      </c>
      <c r="AR1720" s="23">
        <f t="shared" si="565"/>
        <v>2240</v>
      </c>
      <c r="AS1720">
        <f t="shared" si="570"/>
        <v>2235</v>
      </c>
      <c r="AT1720" s="21">
        <f t="shared" si="571"/>
        <v>2240</v>
      </c>
      <c r="AU1720" s="21"/>
      <c r="AV1720" s="21"/>
      <c r="AW1720" s="21"/>
    </row>
    <row r="1721" spans="1:49" x14ac:dyDescent="0.2">
      <c r="A1721">
        <v>907</v>
      </c>
      <c r="E1721">
        <f t="shared" si="566"/>
        <v>3</v>
      </c>
      <c r="F1721" s="5" t="s">
        <v>477</v>
      </c>
      <c r="G1721" s="5" t="s">
        <v>512</v>
      </c>
      <c r="J1721" t="str">
        <f t="shared" si="573"/>
        <v>16</v>
      </c>
      <c r="K1721" t="str">
        <f t="shared" si="574"/>
        <v>40</v>
      </c>
      <c r="L1721" t="str">
        <f t="shared" si="575"/>
        <v/>
      </c>
      <c r="M1721" s="6" t="str">
        <f t="shared" si="576"/>
        <v/>
      </c>
      <c r="N1721" t="s">
        <v>178</v>
      </c>
      <c r="O1721">
        <v>8</v>
      </c>
      <c r="P1721" t="s">
        <v>424</v>
      </c>
      <c r="Q1721" t="s">
        <v>10</v>
      </c>
      <c r="R1721" t="s">
        <v>190</v>
      </c>
      <c r="S1721" t="s">
        <v>411</v>
      </c>
      <c r="Y1721" t="str">
        <f t="shared" si="559"/>
        <v/>
      </c>
      <c r="Z1721" t="str">
        <f t="shared" si="560"/>
        <v/>
      </c>
      <c r="AC1721" t="str">
        <f t="shared" si="577"/>
        <v>Turnover</v>
      </c>
      <c r="AD1721" t="str">
        <f t="shared" si="578"/>
        <v>Turnover_Giveaway</v>
      </c>
      <c r="AE1721" t="str">
        <f t="shared" si="579"/>
        <v>Giveaway-ZoneClear/Dump</v>
      </c>
      <c r="AF1721" t="str">
        <f t="shared" si="561"/>
        <v>Offensive</v>
      </c>
      <c r="AG1721">
        <f t="shared" si="567"/>
        <v>18981</v>
      </c>
      <c r="AH1721" t="str">
        <f t="shared" si="568"/>
        <v>Nelson</v>
      </c>
      <c r="AI1721" t="str">
        <f t="shared" si="569"/>
        <v>Velodrome</v>
      </c>
      <c r="AJ1721" s="18">
        <f t="shared" si="562"/>
        <v>0</v>
      </c>
      <c r="AP1721" s="18">
        <f t="shared" si="563"/>
        <v>0</v>
      </c>
      <c r="AQ1721">
        <f t="shared" si="564"/>
        <v>2160</v>
      </c>
      <c r="AR1721" s="23">
        <f t="shared" si="565"/>
        <v>2240</v>
      </c>
      <c r="AS1721">
        <f t="shared" si="570"/>
        <v>2235</v>
      </c>
      <c r="AT1721" s="21">
        <f t="shared" si="571"/>
        <v>2240</v>
      </c>
      <c r="AU1721" s="21"/>
      <c r="AV1721" s="21"/>
      <c r="AW1721" s="21"/>
    </row>
    <row r="1722" spans="1:49" x14ac:dyDescent="0.2">
      <c r="A1722">
        <v>908</v>
      </c>
      <c r="E1722">
        <f t="shared" si="566"/>
        <v>3</v>
      </c>
      <c r="F1722" s="5" t="s">
        <v>477</v>
      </c>
      <c r="G1722" s="5" t="s">
        <v>512</v>
      </c>
      <c r="H1722" s="5" t="s">
        <v>477</v>
      </c>
      <c r="I1722" s="7" t="s">
        <v>510</v>
      </c>
      <c r="J1722" t="str">
        <f t="shared" si="573"/>
        <v>16</v>
      </c>
      <c r="K1722" t="str">
        <f t="shared" si="574"/>
        <v>40</v>
      </c>
      <c r="L1722" t="str">
        <f t="shared" si="575"/>
        <v>16</v>
      </c>
      <c r="M1722" s="6" t="str">
        <f t="shared" si="576"/>
        <v>38</v>
      </c>
      <c r="N1722" t="s">
        <v>179</v>
      </c>
      <c r="O1722">
        <v>84</v>
      </c>
      <c r="P1722" t="s">
        <v>424</v>
      </c>
      <c r="Q1722" t="s">
        <v>277</v>
      </c>
      <c r="R1722" t="s">
        <v>201</v>
      </c>
      <c r="S1722" t="s">
        <v>90</v>
      </c>
      <c r="Y1722" t="str">
        <f t="shared" si="559"/>
        <v/>
      </c>
      <c r="Z1722" t="str">
        <f t="shared" si="560"/>
        <v/>
      </c>
      <c r="AC1722" t="str">
        <f t="shared" si="577"/>
        <v>Zone_Entry_Exit</v>
      </c>
      <c r="AD1722" t="str">
        <f t="shared" si="578"/>
        <v>Zone_Exit</v>
      </c>
      <c r="AE1722" t="str">
        <f t="shared" si="579"/>
        <v>ZoneExit-Rush</v>
      </c>
      <c r="AF1722" t="str">
        <f t="shared" si="561"/>
        <v>Offensive</v>
      </c>
      <c r="AG1722">
        <f t="shared" si="567"/>
        <v>18981</v>
      </c>
      <c r="AH1722" t="str">
        <f t="shared" si="568"/>
        <v>Nelson</v>
      </c>
      <c r="AI1722" t="str">
        <f t="shared" si="569"/>
        <v>Velodrome</v>
      </c>
      <c r="AJ1722" s="18">
        <f t="shared" si="562"/>
        <v>2</v>
      </c>
      <c r="AP1722" s="18">
        <f t="shared" si="563"/>
        <v>0</v>
      </c>
      <c r="AQ1722">
        <f t="shared" si="564"/>
        <v>2160</v>
      </c>
      <c r="AR1722" s="23">
        <f t="shared" si="565"/>
        <v>2240</v>
      </c>
      <c r="AS1722">
        <f t="shared" si="570"/>
        <v>2235</v>
      </c>
      <c r="AT1722" s="21">
        <f t="shared" si="571"/>
        <v>2242</v>
      </c>
      <c r="AU1722" s="21"/>
      <c r="AV1722" s="21"/>
      <c r="AW1722" s="21"/>
    </row>
    <row r="1723" spans="1:49" x14ac:dyDescent="0.2">
      <c r="A1723">
        <v>909</v>
      </c>
      <c r="E1723">
        <f t="shared" si="566"/>
        <v>3</v>
      </c>
      <c r="F1723" s="5" t="s">
        <v>477</v>
      </c>
      <c r="G1723" s="5" t="s">
        <v>510</v>
      </c>
      <c r="H1723" s="5" t="s">
        <v>477</v>
      </c>
      <c r="I1723" s="7" t="s">
        <v>507</v>
      </c>
      <c r="J1723" t="str">
        <f t="shared" si="573"/>
        <v>16</v>
      </c>
      <c r="K1723" t="str">
        <f t="shared" si="574"/>
        <v>38</v>
      </c>
      <c r="L1723" t="str">
        <f t="shared" si="575"/>
        <v>16</v>
      </c>
      <c r="M1723" s="6" t="str">
        <f t="shared" si="576"/>
        <v>35</v>
      </c>
      <c r="N1723" t="s">
        <v>179</v>
      </c>
      <c r="O1723">
        <v>84</v>
      </c>
      <c r="P1723" t="s">
        <v>424</v>
      </c>
      <c r="Q1723" t="s">
        <v>15</v>
      </c>
      <c r="Y1723" t="str">
        <f t="shared" si="559"/>
        <v/>
      </c>
      <c r="Z1723" t="str">
        <f t="shared" si="560"/>
        <v/>
      </c>
      <c r="AC1723" t="str">
        <f t="shared" si="577"/>
        <v>Possession</v>
      </c>
      <c r="AD1723" t="str">
        <f t="shared" si="578"/>
        <v/>
      </c>
      <c r="AE1723" t="str">
        <f t="shared" si="579"/>
        <v/>
      </c>
      <c r="AF1723" t="str">
        <f t="shared" si="561"/>
        <v>Offensive</v>
      </c>
      <c r="AG1723">
        <f t="shared" si="567"/>
        <v>18981</v>
      </c>
      <c r="AH1723" t="str">
        <f t="shared" si="568"/>
        <v>Nelson</v>
      </c>
      <c r="AI1723" t="str">
        <f t="shared" si="569"/>
        <v>Velodrome</v>
      </c>
      <c r="AJ1723" s="18">
        <f t="shared" si="562"/>
        <v>3</v>
      </c>
      <c r="AP1723" s="18">
        <f t="shared" si="563"/>
        <v>0</v>
      </c>
      <c r="AQ1723">
        <f t="shared" si="564"/>
        <v>2160</v>
      </c>
      <c r="AR1723" s="23">
        <f t="shared" si="565"/>
        <v>2242</v>
      </c>
      <c r="AS1723">
        <f t="shared" si="570"/>
        <v>2237</v>
      </c>
      <c r="AT1723" s="21">
        <f t="shared" si="571"/>
        <v>2245</v>
      </c>
      <c r="AU1723" s="21"/>
      <c r="AV1723" s="21"/>
      <c r="AW1723" s="21"/>
    </row>
    <row r="1724" spans="1:49" x14ac:dyDescent="0.2">
      <c r="A1724">
        <v>909</v>
      </c>
      <c r="E1724">
        <f t="shared" si="566"/>
        <v>3</v>
      </c>
      <c r="J1724" t="str">
        <f t="shared" si="573"/>
        <v>16</v>
      </c>
      <c r="K1724" t="str">
        <f t="shared" si="574"/>
        <v>38</v>
      </c>
      <c r="L1724" t="str">
        <f t="shared" si="575"/>
        <v>16</v>
      </c>
      <c r="M1724" s="6" t="str">
        <f t="shared" si="576"/>
        <v>35</v>
      </c>
      <c r="N1724" t="str">
        <f t="shared" si="572"/>
        <v>Away</v>
      </c>
      <c r="O1724">
        <v>16</v>
      </c>
      <c r="P1724" t="s">
        <v>425</v>
      </c>
      <c r="Y1724" t="str">
        <f t="shared" si="559"/>
        <v/>
      </c>
      <c r="Z1724" t="str">
        <f t="shared" si="560"/>
        <v/>
      </c>
      <c r="AC1724" t="str">
        <f t="shared" si="577"/>
        <v>Possession</v>
      </c>
      <c r="AD1724" t="str">
        <f t="shared" si="578"/>
        <v/>
      </c>
      <c r="AE1724" t="str">
        <f t="shared" si="579"/>
        <v/>
      </c>
      <c r="AF1724" t="str">
        <f t="shared" si="561"/>
        <v>Defensive</v>
      </c>
      <c r="AG1724">
        <f t="shared" si="567"/>
        <v>18981</v>
      </c>
      <c r="AH1724" t="str">
        <f t="shared" si="568"/>
        <v>Nelson</v>
      </c>
      <c r="AI1724" t="str">
        <f t="shared" si="569"/>
        <v>Velodrome</v>
      </c>
      <c r="AJ1724" s="18">
        <f t="shared" si="562"/>
        <v>3</v>
      </c>
      <c r="AP1724" s="18">
        <f t="shared" si="563"/>
        <v>0</v>
      </c>
      <c r="AQ1724">
        <f t="shared" si="564"/>
        <v>2160</v>
      </c>
      <c r="AR1724" s="23">
        <f t="shared" si="565"/>
        <v>2242</v>
      </c>
      <c r="AS1724">
        <f t="shared" si="570"/>
        <v>2237</v>
      </c>
      <c r="AT1724" s="21">
        <f t="shared" si="571"/>
        <v>2245</v>
      </c>
      <c r="AU1724" s="21"/>
      <c r="AV1724" s="21"/>
      <c r="AW1724" s="21"/>
    </row>
    <row r="1725" spans="1:49" x14ac:dyDescent="0.2">
      <c r="A1725">
        <v>909</v>
      </c>
      <c r="E1725">
        <f t="shared" si="566"/>
        <v>3</v>
      </c>
      <c r="J1725" t="str">
        <f t="shared" si="573"/>
        <v>16</v>
      </c>
      <c r="K1725" t="str">
        <f t="shared" si="574"/>
        <v>38</v>
      </c>
      <c r="L1725" t="str">
        <f t="shared" si="575"/>
        <v>16</v>
      </c>
      <c r="M1725" s="6" t="str">
        <f t="shared" si="576"/>
        <v>35</v>
      </c>
      <c r="N1725" t="str">
        <f t="shared" si="572"/>
        <v>Away</v>
      </c>
      <c r="O1725">
        <v>3</v>
      </c>
      <c r="P1725" t="s">
        <v>425</v>
      </c>
      <c r="Y1725" t="str">
        <f t="shared" si="559"/>
        <v/>
      </c>
      <c r="Z1725" t="str">
        <f t="shared" si="560"/>
        <v/>
      </c>
      <c r="AC1725" t="str">
        <f t="shared" si="577"/>
        <v>Possession</v>
      </c>
      <c r="AD1725" t="str">
        <f t="shared" si="578"/>
        <v/>
      </c>
      <c r="AE1725" t="str">
        <f t="shared" si="579"/>
        <v/>
      </c>
      <c r="AF1725" t="str">
        <f t="shared" si="561"/>
        <v>Defensive</v>
      </c>
      <c r="AG1725">
        <f t="shared" si="567"/>
        <v>18981</v>
      </c>
      <c r="AH1725" t="str">
        <f t="shared" si="568"/>
        <v>Nelson</v>
      </c>
      <c r="AI1725" t="str">
        <f t="shared" si="569"/>
        <v>Velodrome</v>
      </c>
      <c r="AJ1725" s="18">
        <f t="shared" si="562"/>
        <v>3</v>
      </c>
      <c r="AP1725" s="18">
        <f t="shared" si="563"/>
        <v>0</v>
      </c>
      <c r="AQ1725">
        <f t="shared" si="564"/>
        <v>2160</v>
      </c>
      <c r="AR1725" s="23">
        <f t="shared" si="565"/>
        <v>2242</v>
      </c>
      <c r="AS1725">
        <f t="shared" si="570"/>
        <v>2237</v>
      </c>
      <c r="AT1725" s="21">
        <f t="shared" si="571"/>
        <v>2245</v>
      </c>
      <c r="AU1725" s="21"/>
      <c r="AV1725" s="21"/>
      <c r="AW1725" s="21"/>
    </row>
    <row r="1726" spans="1:49" x14ac:dyDescent="0.2">
      <c r="A1726">
        <v>910</v>
      </c>
      <c r="E1726">
        <f t="shared" si="566"/>
        <v>3</v>
      </c>
      <c r="F1726" s="5" t="s">
        <v>477</v>
      </c>
      <c r="G1726" s="5" t="s">
        <v>507</v>
      </c>
      <c r="H1726" s="5" t="s">
        <v>477</v>
      </c>
      <c r="I1726" s="7" t="s">
        <v>505</v>
      </c>
      <c r="J1726" t="str">
        <f t="shared" si="573"/>
        <v>16</v>
      </c>
      <c r="K1726" t="str">
        <f t="shared" si="574"/>
        <v>35</v>
      </c>
      <c r="L1726" t="str">
        <f t="shared" si="575"/>
        <v>16</v>
      </c>
      <c r="M1726" s="6" t="str">
        <f t="shared" si="576"/>
        <v>33</v>
      </c>
      <c r="N1726" t="s">
        <v>179</v>
      </c>
      <c r="O1726">
        <v>84</v>
      </c>
      <c r="P1726" t="s">
        <v>424</v>
      </c>
      <c r="Q1726" t="s">
        <v>277</v>
      </c>
      <c r="R1726" t="s">
        <v>191</v>
      </c>
      <c r="S1726" t="s">
        <v>87</v>
      </c>
      <c r="Y1726" t="str">
        <f t="shared" si="559"/>
        <v/>
      </c>
      <c r="Z1726" t="str">
        <f t="shared" si="560"/>
        <v/>
      </c>
      <c r="AC1726" t="str">
        <f t="shared" si="577"/>
        <v>Zone_Entry_Exit</v>
      </c>
      <c r="AD1726" t="str">
        <f t="shared" si="578"/>
        <v>Zone_Entry</v>
      </c>
      <c r="AE1726" t="str">
        <f t="shared" si="579"/>
        <v>ZoneEntry-Rush</v>
      </c>
      <c r="AF1726" t="str">
        <f t="shared" si="561"/>
        <v>Offensive</v>
      </c>
      <c r="AG1726">
        <f t="shared" si="567"/>
        <v>18981</v>
      </c>
      <c r="AH1726" t="str">
        <f t="shared" si="568"/>
        <v>Nelson</v>
      </c>
      <c r="AI1726" t="str">
        <f t="shared" si="569"/>
        <v>Velodrome</v>
      </c>
      <c r="AJ1726" s="18">
        <f t="shared" si="562"/>
        <v>2</v>
      </c>
      <c r="AP1726" s="18">
        <f t="shared" si="563"/>
        <v>0</v>
      </c>
      <c r="AQ1726">
        <f t="shared" si="564"/>
        <v>2160</v>
      </c>
      <c r="AR1726" s="23">
        <f t="shared" si="565"/>
        <v>2245</v>
      </c>
      <c r="AS1726">
        <f t="shared" si="570"/>
        <v>2240</v>
      </c>
      <c r="AT1726" s="21">
        <f t="shared" si="571"/>
        <v>2247</v>
      </c>
      <c r="AU1726" s="21"/>
      <c r="AV1726" s="21"/>
      <c r="AW1726" s="21"/>
    </row>
    <row r="1727" spans="1:49" x14ac:dyDescent="0.2">
      <c r="A1727">
        <v>910</v>
      </c>
      <c r="E1727">
        <f t="shared" si="566"/>
        <v>3</v>
      </c>
      <c r="J1727" t="str">
        <f t="shared" si="573"/>
        <v>16</v>
      </c>
      <c r="K1727" t="str">
        <f t="shared" si="574"/>
        <v>35</v>
      </c>
      <c r="L1727" t="str">
        <f t="shared" si="575"/>
        <v>16</v>
      </c>
      <c r="M1727" s="6" t="str">
        <f t="shared" si="576"/>
        <v>33</v>
      </c>
      <c r="N1727" t="str">
        <f t="shared" si="572"/>
        <v>Away</v>
      </c>
      <c r="O1727">
        <v>3</v>
      </c>
      <c r="P1727" t="s">
        <v>425</v>
      </c>
      <c r="Y1727" t="str">
        <f t="shared" si="559"/>
        <v/>
      </c>
      <c r="Z1727" t="str">
        <f t="shared" si="560"/>
        <v/>
      </c>
      <c r="AC1727" t="str">
        <f t="shared" si="577"/>
        <v>Zone_Entry_Exit</v>
      </c>
      <c r="AD1727" t="str">
        <f t="shared" si="578"/>
        <v>Zone_Entry</v>
      </c>
      <c r="AE1727" t="str">
        <f t="shared" si="579"/>
        <v>ZoneEntry-Rush</v>
      </c>
      <c r="AF1727" t="str">
        <f t="shared" si="561"/>
        <v>Defensive</v>
      </c>
      <c r="AG1727">
        <f t="shared" si="567"/>
        <v>18981</v>
      </c>
      <c r="AH1727" t="str">
        <f t="shared" si="568"/>
        <v>Nelson</v>
      </c>
      <c r="AI1727" t="str">
        <f t="shared" si="569"/>
        <v>Velodrome</v>
      </c>
      <c r="AJ1727" s="18">
        <f t="shared" si="562"/>
        <v>2</v>
      </c>
      <c r="AP1727" s="18">
        <f t="shared" si="563"/>
        <v>0</v>
      </c>
      <c r="AQ1727">
        <f t="shared" si="564"/>
        <v>2160</v>
      </c>
      <c r="AR1727" s="23">
        <f t="shared" si="565"/>
        <v>2245</v>
      </c>
      <c r="AS1727">
        <f t="shared" si="570"/>
        <v>2240</v>
      </c>
      <c r="AT1727" s="21">
        <f t="shared" si="571"/>
        <v>2247</v>
      </c>
      <c r="AU1727" s="21"/>
      <c r="AV1727" s="21"/>
      <c r="AW1727" s="21"/>
    </row>
    <row r="1728" spans="1:49" x14ac:dyDescent="0.2">
      <c r="A1728">
        <v>910</v>
      </c>
      <c r="E1728">
        <f t="shared" si="566"/>
        <v>3</v>
      </c>
      <c r="J1728" t="str">
        <f t="shared" si="573"/>
        <v>16</v>
      </c>
      <c r="K1728" t="str">
        <f t="shared" si="574"/>
        <v>35</v>
      </c>
      <c r="L1728" t="str">
        <f t="shared" si="575"/>
        <v>16</v>
      </c>
      <c r="M1728" s="6" t="str">
        <f t="shared" si="576"/>
        <v>33</v>
      </c>
      <c r="N1728" t="str">
        <f t="shared" si="572"/>
        <v>Away</v>
      </c>
      <c r="O1728">
        <v>8</v>
      </c>
      <c r="P1728" t="s">
        <v>425</v>
      </c>
      <c r="Y1728" t="str">
        <f t="shared" si="559"/>
        <v/>
      </c>
      <c r="Z1728" t="str">
        <f t="shared" si="560"/>
        <v/>
      </c>
      <c r="AC1728" t="str">
        <f t="shared" si="577"/>
        <v>Zone_Entry_Exit</v>
      </c>
      <c r="AD1728" t="str">
        <f t="shared" si="578"/>
        <v>Zone_Entry</v>
      </c>
      <c r="AE1728" t="str">
        <f t="shared" si="579"/>
        <v>ZoneEntry-Rush</v>
      </c>
      <c r="AF1728" t="str">
        <f t="shared" si="561"/>
        <v>Defensive</v>
      </c>
      <c r="AG1728">
        <f t="shared" si="567"/>
        <v>18981</v>
      </c>
      <c r="AH1728" t="str">
        <f t="shared" si="568"/>
        <v>Nelson</v>
      </c>
      <c r="AI1728" t="str">
        <f t="shared" si="569"/>
        <v>Velodrome</v>
      </c>
      <c r="AJ1728" s="18">
        <f t="shared" si="562"/>
        <v>2</v>
      </c>
      <c r="AP1728" s="18">
        <f t="shared" si="563"/>
        <v>0</v>
      </c>
      <c r="AQ1728">
        <f t="shared" si="564"/>
        <v>2160</v>
      </c>
      <c r="AR1728" s="23">
        <f t="shared" si="565"/>
        <v>2245</v>
      </c>
      <c r="AS1728">
        <f t="shared" si="570"/>
        <v>2240</v>
      </c>
      <c r="AT1728" s="21">
        <f t="shared" si="571"/>
        <v>2247</v>
      </c>
      <c r="AU1728" s="21"/>
      <c r="AV1728" s="21"/>
      <c r="AW1728" s="21"/>
    </row>
    <row r="1729" spans="1:49" x14ac:dyDescent="0.2">
      <c r="A1729">
        <v>910</v>
      </c>
      <c r="E1729">
        <f t="shared" si="566"/>
        <v>3</v>
      </c>
      <c r="J1729" t="str">
        <f t="shared" si="573"/>
        <v>16</v>
      </c>
      <c r="K1729" t="str">
        <f t="shared" si="574"/>
        <v>35</v>
      </c>
      <c r="L1729" t="str">
        <f t="shared" si="575"/>
        <v>16</v>
      </c>
      <c r="M1729" s="6" t="str">
        <f t="shared" si="576"/>
        <v>33</v>
      </c>
      <c r="N1729" t="str">
        <f t="shared" si="572"/>
        <v>Away</v>
      </c>
      <c r="O1729">
        <v>80</v>
      </c>
      <c r="P1729" t="s">
        <v>425</v>
      </c>
      <c r="Y1729" t="str">
        <f t="shared" si="559"/>
        <v/>
      </c>
      <c r="Z1729" t="str">
        <f t="shared" si="560"/>
        <v/>
      </c>
      <c r="AC1729" t="str">
        <f t="shared" si="577"/>
        <v>Zone_Entry_Exit</v>
      </c>
      <c r="AD1729" t="str">
        <f t="shared" si="578"/>
        <v>Zone_Entry</v>
      </c>
      <c r="AE1729" t="str">
        <f t="shared" si="579"/>
        <v>ZoneEntry-Rush</v>
      </c>
      <c r="AF1729" t="str">
        <f t="shared" si="561"/>
        <v>Defensive</v>
      </c>
      <c r="AG1729">
        <f t="shared" si="567"/>
        <v>18981</v>
      </c>
      <c r="AH1729" t="str">
        <f t="shared" si="568"/>
        <v>Nelson</v>
      </c>
      <c r="AI1729" t="str">
        <f t="shared" si="569"/>
        <v>Velodrome</v>
      </c>
      <c r="AJ1729" s="18">
        <f t="shared" si="562"/>
        <v>2</v>
      </c>
      <c r="AP1729" s="18">
        <f t="shared" si="563"/>
        <v>0</v>
      </c>
      <c r="AQ1729">
        <f t="shared" si="564"/>
        <v>2160</v>
      </c>
      <c r="AR1729" s="23">
        <f t="shared" si="565"/>
        <v>2245</v>
      </c>
      <c r="AS1729">
        <f t="shared" si="570"/>
        <v>2240</v>
      </c>
      <c r="AT1729" s="21">
        <f t="shared" si="571"/>
        <v>2247</v>
      </c>
      <c r="AU1729" s="21"/>
      <c r="AV1729" s="21"/>
      <c r="AW1729" s="21"/>
    </row>
    <row r="1730" spans="1:49" x14ac:dyDescent="0.2">
      <c r="A1730">
        <v>911</v>
      </c>
      <c r="E1730">
        <f t="shared" si="566"/>
        <v>3</v>
      </c>
      <c r="F1730" s="5" t="s">
        <v>477</v>
      </c>
      <c r="G1730" s="5" t="s">
        <v>505</v>
      </c>
      <c r="H1730" s="5" t="s">
        <v>477</v>
      </c>
      <c r="I1730" s="7" t="s">
        <v>503</v>
      </c>
      <c r="J1730" t="str">
        <f t="shared" si="573"/>
        <v>16</v>
      </c>
      <c r="K1730" t="str">
        <f t="shared" si="574"/>
        <v>33</v>
      </c>
      <c r="L1730" t="str">
        <f t="shared" si="575"/>
        <v>16</v>
      </c>
      <c r="M1730" s="6" t="str">
        <f t="shared" si="576"/>
        <v>31</v>
      </c>
      <c r="N1730" t="s">
        <v>179</v>
      </c>
      <c r="O1730">
        <v>84</v>
      </c>
      <c r="P1730" t="s">
        <v>424</v>
      </c>
      <c r="Q1730" t="s">
        <v>15</v>
      </c>
      <c r="Y1730" t="str">
        <f t="shared" si="559"/>
        <v/>
      </c>
      <c r="Z1730" t="str">
        <f t="shared" si="560"/>
        <v/>
      </c>
      <c r="AC1730" t="str">
        <f t="shared" si="577"/>
        <v>Possession</v>
      </c>
      <c r="AD1730" t="str">
        <f t="shared" si="578"/>
        <v/>
      </c>
      <c r="AE1730" t="str">
        <f t="shared" si="579"/>
        <v/>
      </c>
      <c r="AF1730" t="str">
        <f t="shared" si="561"/>
        <v>Offensive</v>
      </c>
      <c r="AG1730">
        <f t="shared" si="567"/>
        <v>18981</v>
      </c>
      <c r="AH1730" t="str">
        <f t="shared" si="568"/>
        <v>Nelson</v>
      </c>
      <c r="AI1730" t="str">
        <f t="shared" si="569"/>
        <v>Velodrome</v>
      </c>
      <c r="AJ1730" s="18">
        <f t="shared" si="562"/>
        <v>2</v>
      </c>
      <c r="AP1730" s="18">
        <f t="shared" si="563"/>
        <v>0</v>
      </c>
      <c r="AQ1730">
        <f t="shared" si="564"/>
        <v>2160</v>
      </c>
      <c r="AR1730" s="23">
        <f t="shared" si="565"/>
        <v>2247</v>
      </c>
      <c r="AS1730">
        <f t="shared" si="570"/>
        <v>2242</v>
      </c>
      <c r="AT1730" s="21">
        <f t="shared" si="571"/>
        <v>2249</v>
      </c>
      <c r="AU1730" s="21"/>
      <c r="AV1730" s="21"/>
      <c r="AW1730" s="21"/>
    </row>
    <row r="1731" spans="1:49" x14ac:dyDescent="0.2">
      <c r="A1731">
        <v>911</v>
      </c>
      <c r="E1731">
        <f t="shared" si="566"/>
        <v>3</v>
      </c>
      <c r="J1731" t="str">
        <f t="shared" si="573"/>
        <v>16</v>
      </c>
      <c r="K1731" t="str">
        <f t="shared" si="574"/>
        <v>33</v>
      </c>
      <c r="L1731" t="str">
        <f t="shared" si="575"/>
        <v>16</v>
      </c>
      <c r="M1731" s="6" t="str">
        <f t="shared" si="576"/>
        <v>31</v>
      </c>
      <c r="N1731" t="str">
        <f t="shared" si="572"/>
        <v>Away</v>
      </c>
      <c r="O1731">
        <v>8</v>
      </c>
      <c r="P1731" t="s">
        <v>425</v>
      </c>
      <c r="Y1731" t="str">
        <f t="shared" ref="Y1731:Y1794" si="580">IF($N1731="","",IF(X1731="","",IF($N1731="Home",$X1731,IF($X1731="n","n",IF($X1731="d","o",IF($X1731="o","d",""))))))</f>
        <v/>
      </c>
      <c r="Z1731" t="str">
        <f t="shared" ref="Z1731:Z1794" si="581">IF($N1731="","",IF(X1731="","",IF($N1731="Away",$X1731,IF($X1731="n","n",IF($X1731="d","o",IF($X1731="o","d",""))))))</f>
        <v/>
      </c>
      <c r="AC1731" t="str">
        <f t="shared" si="577"/>
        <v>Possession</v>
      </c>
      <c r="AD1731" t="str">
        <f t="shared" si="578"/>
        <v/>
      </c>
      <c r="AE1731" t="str">
        <f t="shared" si="579"/>
        <v/>
      </c>
      <c r="AF1731" t="str">
        <f t="shared" ref="AF1731:AF1794" si="582">IF(AND(P1731="e",OR(AC1731="Save",AD1731="Turnover_Takeaway",AD1731="Play_Defensive")),"Defensive",IF(AND(P1731="o",OR(AC1731="Save",AD1731="Turnover_Takeaway",AD1731="Play_Defensive")),"Offensive",IF(OR(AC1731="Deadice",AC1731="Stoppage",AC1731="Intermission"),"",IF(P1731="e","Offensive",IF(P1731="o","Defensive","")))))</f>
        <v>Defensive</v>
      </c>
      <c r="AG1731">
        <f t="shared" si="567"/>
        <v>18981</v>
      </c>
      <c r="AH1731" t="str">
        <f t="shared" si="568"/>
        <v>Nelson</v>
      </c>
      <c r="AI1731" t="str">
        <f t="shared" si="569"/>
        <v>Velodrome</v>
      </c>
      <c r="AJ1731" s="18">
        <f t="shared" ref="AJ1731:AJ1794" si="583">IF(AND(L1731="",M1731=""),0,((J1731*60)+K1731)-((L1731*60)+M1731))</f>
        <v>2</v>
      </c>
      <c r="AP1731" s="18">
        <f t="shared" ref="AP1731:AP1794" si="584">SUMIFS(AJ1731:AJ1731,Q1731:Q1731,"=Intermission")</f>
        <v>0</v>
      </c>
      <c r="AQ1731">
        <f t="shared" ref="AQ1731:AQ1794" si="585">IF(E1731=1,0,IF(E1731=2,1080+AP1731,IF(E1731=3,(1080*2)+AP1731,0)))</f>
        <v>2160</v>
      </c>
      <c r="AR1731" s="23">
        <f t="shared" ref="AR1731:AR1794" si="586">IF(Q1731="Intermission",AR1730,((1080)-((J1731*60)+K1731))+AQ1731)</f>
        <v>2247</v>
      </c>
      <c r="AS1731">
        <f t="shared" si="570"/>
        <v>2242</v>
      </c>
      <c r="AT1731" s="21">
        <f t="shared" si="571"/>
        <v>2249</v>
      </c>
      <c r="AU1731" s="21"/>
      <c r="AV1731" s="21"/>
      <c r="AW1731" s="21"/>
    </row>
    <row r="1732" spans="1:49" x14ac:dyDescent="0.2">
      <c r="A1732">
        <v>911</v>
      </c>
      <c r="E1732">
        <f t="shared" ref="E1732:E1795" si="587">IF(Q1732="Intermission",E1731+1,E1731)</f>
        <v>3</v>
      </c>
      <c r="J1732" t="str">
        <f t="shared" si="573"/>
        <v>16</v>
      </c>
      <c r="K1732" t="str">
        <f t="shared" si="574"/>
        <v>33</v>
      </c>
      <c r="L1732" t="str">
        <f t="shared" si="575"/>
        <v>16</v>
      </c>
      <c r="M1732" s="6" t="str">
        <f t="shared" si="576"/>
        <v>31</v>
      </c>
      <c r="N1732" t="str">
        <f t="shared" si="572"/>
        <v>Away</v>
      </c>
      <c r="O1732">
        <v>80</v>
      </c>
      <c r="P1732" t="s">
        <v>425</v>
      </c>
      <c r="Y1732" t="str">
        <f t="shared" si="580"/>
        <v/>
      </c>
      <c r="Z1732" t="str">
        <f t="shared" si="581"/>
        <v/>
      </c>
      <c r="AC1732" t="str">
        <f t="shared" si="577"/>
        <v>Possession</v>
      </c>
      <c r="AD1732" t="str">
        <f t="shared" si="578"/>
        <v/>
      </c>
      <c r="AE1732" t="str">
        <f t="shared" si="579"/>
        <v/>
      </c>
      <c r="AF1732" t="str">
        <f t="shared" si="582"/>
        <v>Defensive</v>
      </c>
      <c r="AG1732">
        <f t="shared" ref="AG1732:AG1795" si="588">AG1731</f>
        <v>18981</v>
      </c>
      <c r="AH1732" t="str">
        <f t="shared" ref="AH1732:AH1795" si="589">AH1731</f>
        <v>Nelson</v>
      </c>
      <c r="AI1732" t="str">
        <f t="shared" ref="AI1732:AI1795" si="590">AI1731</f>
        <v>Velodrome</v>
      </c>
      <c r="AJ1732" s="18">
        <f t="shared" si="583"/>
        <v>2</v>
      </c>
      <c r="AP1732" s="18">
        <f t="shared" si="584"/>
        <v>0</v>
      </c>
      <c r="AQ1732">
        <f t="shared" si="585"/>
        <v>2160</v>
      </c>
      <c r="AR1732" s="23">
        <f t="shared" si="586"/>
        <v>2247</v>
      </c>
      <c r="AS1732">
        <f t="shared" ref="AS1732:AS1795" si="591">IF(AR1732&lt;5,0,AR1732-5)</f>
        <v>2242</v>
      </c>
      <c r="AT1732" s="21">
        <f t="shared" ref="AT1732:AT1795" si="592">AS1732+AJ1732+5</f>
        <v>2249</v>
      </c>
      <c r="AU1732" s="21"/>
      <c r="AV1732" s="21"/>
      <c r="AW1732" s="21"/>
    </row>
    <row r="1733" spans="1:49" x14ac:dyDescent="0.2">
      <c r="A1733">
        <v>912</v>
      </c>
      <c r="E1733">
        <f t="shared" si="587"/>
        <v>3</v>
      </c>
      <c r="F1733" s="5" t="s">
        <v>477</v>
      </c>
      <c r="G1733" s="5" t="s">
        <v>503</v>
      </c>
      <c r="J1733" t="str">
        <f t="shared" si="573"/>
        <v>16</v>
      </c>
      <c r="K1733" t="str">
        <f t="shared" si="574"/>
        <v>31</v>
      </c>
      <c r="L1733" t="str">
        <f t="shared" si="575"/>
        <v/>
      </c>
      <c r="M1733" s="6" t="str">
        <f t="shared" si="576"/>
        <v/>
      </c>
      <c r="N1733" t="s">
        <v>179</v>
      </c>
      <c r="O1733">
        <v>84</v>
      </c>
      <c r="P1733" t="s">
        <v>424</v>
      </c>
      <c r="Q1733" t="s">
        <v>8</v>
      </c>
      <c r="R1733" t="s">
        <v>189</v>
      </c>
      <c r="S1733" t="s">
        <v>70</v>
      </c>
      <c r="Y1733" t="str">
        <f t="shared" si="580"/>
        <v/>
      </c>
      <c r="Z1733" t="str">
        <f t="shared" si="581"/>
        <v/>
      </c>
      <c r="AC1733" t="str">
        <f t="shared" si="577"/>
        <v>Pass</v>
      </c>
      <c r="AD1733" t="str">
        <f t="shared" si="578"/>
        <v>Pass_Completed</v>
      </c>
      <c r="AE1733" t="str">
        <f t="shared" si="579"/>
        <v>Pass-Forehand</v>
      </c>
      <c r="AF1733" t="str">
        <f t="shared" si="582"/>
        <v>Offensive</v>
      </c>
      <c r="AG1733">
        <f t="shared" si="588"/>
        <v>18981</v>
      </c>
      <c r="AH1733" t="str">
        <f t="shared" si="589"/>
        <v>Nelson</v>
      </c>
      <c r="AI1733" t="str">
        <f t="shared" si="590"/>
        <v>Velodrome</v>
      </c>
      <c r="AJ1733" s="18">
        <f t="shared" si="583"/>
        <v>0</v>
      </c>
      <c r="AP1733" s="18">
        <f t="shared" si="584"/>
        <v>0</v>
      </c>
      <c r="AQ1733">
        <f t="shared" si="585"/>
        <v>2160</v>
      </c>
      <c r="AR1733" s="23">
        <f t="shared" si="586"/>
        <v>2249</v>
      </c>
      <c r="AS1733">
        <f t="shared" si="591"/>
        <v>2244</v>
      </c>
      <c r="AT1733" s="21">
        <f t="shared" si="592"/>
        <v>2249</v>
      </c>
      <c r="AU1733" s="21"/>
      <c r="AV1733" s="21"/>
      <c r="AW1733" s="21"/>
    </row>
    <row r="1734" spans="1:49" x14ac:dyDescent="0.2">
      <c r="A1734">
        <v>912</v>
      </c>
      <c r="E1734">
        <f t="shared" si="587"/>
        <v>3</v>
      </c>
      <c r="J1734" t="str">
        <f t="shared" si="573"/>
        <v>16</v>
      </c>
      <c r="K1734" t="str">
        <f t="shared" si="574"/>
        <v>31</v>
      </c>
      <c r="L1734" t="str">
        <f t="shared" si="575"/>
        <v/>
      </c>
      <c r="M1734" s="6" t="str">
        <f t="shared" si="576"/>
        <v/>
      </c>
      <c r="N1734" t="str">
        <f t="shared" ref="N1734:N1797" si="593">IF(A1734=A1733,N1733,"")</f>
        <v>Away</v>
      </c>
      <c r="O1734">
        <v>22</v>
      </c>
      <c r="P1734" t="s">
        <v>424</v>
      </c>
      <c r="Y1734" t="str">
        <f t="shared" si="580"/>
        <v/>
      </c>
      <c r="Z1734" t="str">
        <f t="shared" si="581"/>
        <v/>
      </c>
      <c r="AC1734" t="str">
        <f t="shared" si="577"/>
        <v>Pass</v>
      </c>
      <c r="AD1734" t="str">
        <f t="shared" si="578"/>
        <v>Pass_Completed</v>
      </c>
      <c r="AE1734" t="str">
        <f t="shared" si="579"/>
        <v>Pass-Forehand</v>
      </c>
      <c r="AF1734" t="str">
        <f t="shared" si="582"/>
        <v>Offensive</v>
      </c>
      <c r="AG1734">
        <f t="shared" si="588"/>
        <v>18981</v>
      </c>
      <c r="AH1734" t="str">
        <f t="shared" si="589"/>
        <v>Nelson</v>
      </c>
      <c r="AI1734" t="str">
        <f t="shared" si="590"/>
        <v>Velodrome</v>
      </c>
      <c r="AJ1734" s="18">
        <f t="shared" si="583"/>
        <v>0</v>
      </c>
      <c r="AP1734" s="18">
        <f t="shared" si="584"/>
        <v>0</v>
      </c>
      <c r="AQ1734">
        <f t="shared" si="585"/>
        <v>2160</v>
      </c>
      <c r="AR1734" s="23">
        <f t="shared" si="586"/>
        <v>2249</v>
      </c>
      <c r="AS1734">
        <f t="shared" si="591"/>
        <v>2244</v>
      </c>
      <c r="AT1734" s="21">
        <f t="shared" si="592"/>
        <v>2249</v>
      </c>
      <c r="AU1734" s="21"/>
      <c r="AV1734" s="21"/>
      <c r="AW1734" s="21"/>
    </row>
    <row r="1735" spans="1:49" x14ac:dyDescent="0.2">
      <c r="A1735">
        <v>912</v>
      </c>
      <c r="E1735">
        <f t="shared" si="587"/>
        <v>3</v>
      </c>
      <c r="J1735" t="str">
        <f t="shared" si="573"/>
        <v>16</v>
      </c>
      <c r="K1735" t="str">
        <f t="shared" si="574"/>
        <v>31</v>
      </c>
      <c r="L1735" t="str">
        <f t="shared" si="575"/>
        <v/>
      </c>
      <c r="M1735" s="6" t="str">
        <f t="shared" si="576"/>
        <v/>
      </c>
      <c r="N1735" t="str">
        <f t="shared" si="593"/>
        <v>Away</v>
      </c>
      <c r="O1735">
        <v>80</v>
      </c>
      <c r="P1735" t="s">
        <v>425</v>
      </c>
      <c r="Y1735" t="str">
        <f t="shared" si="580"/>
        <v/>
      </c>
      <c r="Z1735" t="str">
        <f t="shared" si="581"/>
        <v/>
      </c>
      <c r="AC1735" t="str">
        <f t="shared" si="577"/>
        <v>Pass</v>
      </c>
      <c r="AD1735" t="str">
        <f t="shared" si="578"/>
        <v>Pass_Completed</v>
      </c>
      <c r="AE1735" t="str">
        <f t="shared" si="579"/>
        <v>Pass-Forehand</v>
      </c>
      <c r="AF1735" t="str">
        <f t="shared" si="582"/>
        <v>Defensive</v>
      </c>
      <c r="AG1735">
        <f t="shared" si="588"/>
        <v>18981</v>
      </c>
      <c r="AH1735" t="str">
        <f t="shared" si="589"/>
        <v>Nelson</v>
      </c>
      <c r="AI1735" t="str">
        <f t="shared" si="590"/>
        <v>Velodrome</v>
      </c>
      <c r="AJ1735" s="18">
        <f t="shared" si="583"/>
        <v>0</v>
      </c>
      <c r="AP1735" s="18">
        <f t="shared" si="584"/>
        <v>0</v>
      </c>
      <c r="AQ1735">
        <f t="shared" si="585"/>
        <v>2160</v>
      </c>
      <c r="AR1735" s="23">
        <f t="shared" si="586"/>
        <v>2249</v>
      </c>
      <c r="AS1735">
        <f t="shared" si="591"/>
        <v>2244</v>
      </c>
      <c r="AT1735" s="21">
        <f t="shared" si="592"/>
        <v>2249</v>
      </c>
      <c r="AU1735" s="21"/>
      <c r="AV1735" s="21"/>
      <c r="AW1735" s="21"/>
    </row>
    <row r="1736" spans="1:49" x14ac:dyDescent="0.2">
      <c r="A1736">
        <v>912</v>
      </c>
      <c r="E1736">
        <f t="shared" si="587"/>
        <v>3</v>
      </c>
      <c r="J1736" t="str">
        <f t="shared" si="573"/>
        <v>16</v>
      </c>
      <c r="K1736" t="str">
        <f t="shared" si="574"/>
        <v>31</v>
      </c>
      <c r="L1736" t="str">
        <f t="shared" si="575"/>
        <v/>
      </c>
      <c r="M1736" s="6" t="str">
        <f t="shared" si="576"/>
        <v/>
      </c>
      <c r="N1736" t="str">
        <f t="shared" si="593"/>
        <v>Away</v>
      </c>
      <c r="O1736">
        <v>79</v>
      </c>
      <c r="P1736" t="s">
        <v>425</v>
      </c>
      <c r="Y1736" t="str">
        <f t="shared" si="580"/>
        <v/>
      </c>
      <c r="Z1736" t="str">
        <f t="shared" si="581"/>
        <v/>
      </c>
      <c r="AC1736" t="str">
        <f t="shared" si="577"/>
        <v>Pass</v>
      </c>
      <c r="AD1736" t="str">
        <f t="shared" si="578"/>
        <v>Pass_Completed</v>
      </c>
      <c r="AE1736" t="str">
        <f t="shared" si="579"/>
        <v>Pass-Forehand</v>
      </c>
      <c r="AF1736" t="str">
        <f t="shared" si="582"/>
        <v>Defensive</v>
      </c>
      <c r="AG1736">
        <f t="shared" si="588"/>
        <v>18981</v>
      </c>
      <c r="AH1736" t="str">
        <f t="shared" si="589"/>
        <v>Nelson</v>
      </c>
      <c r="AI1736" t="str">
        <f t="shared" si="590"/>
        <v>Velodrome</v>
      </c>
      <c r="AJ1736" s="18">
        <f t="shared" si="583"/>
        <v>0</v>
      </c>
      <c r="AP1736" s="18">
        <f t="shared" si="584"/>
        <v>0</v>
      </c>
      <c r="AQ1736">
        <f t="shared" si="585"/>
        <v>2160</v>
      </c>
      <c r="AR1736" s="23">
        <f t="shared" si="586"/>
        <v>2249</v>
      </c>
      <c r="AS1736">
        <f t="shared" si="591"/>
        <v>2244</v>
      </c>
      <c r="AT1736" s="21">
        <f t="shared" si="592"/>
        <v>2249</v>
      </c>
      <c r="AU1736" s="21"/>
      <c r="AV1736" s="21"/>
      <c r="AW1736" s="21"/>
    </row>
    <row r="1737" spans="1:49" x14ac:dyDescent="0.2">
      <c r="A1737">
        <v>913</v>
      </c>
      <c r="E1737">
        <f t="shared" si="587"/>
        <v>3</v>
      </c>
      <c r="F1737" s="5" t="s">
        <v>477</v>
      </c>
      <c r="G1737" s="5" t="s">
        <v>500</v>
      </c>
      <c r="H1737" s="5" t="s">
        <v>477</v>
      </c>
      <c r="I1737" s="7" t="s">
        <v>498</v>
      </c>
      <c r="J1737" t="str">
        <f t="shared" ref="J1737:J1800" si="594">IF(F1737&lt;&gt;"",F1737,IF($A1737=$A1736,J1736,J1737))</f>
        <v>16</v>
      </c>
      <c r="K1737" t="str">
        <f t="shared" ref="K1737:K1800" si="595">IF($A1737=$A1736,K1736,G1737)</f>
        <v>28</v>
      </c>
      <c r="L1737" t="str">
        <f t="shared" ref="L1737:L1800" si="596">IF(H1737&lt;&gt;"",H1737,IF($A1737=$A1736,L1736,""))</f>
        <v>16</v>
      </c>
      <c r="M1737" s="6" t="str">
        <f t="shared" ref="M1737:M1800" si="597">IF(I1737&lt;&gt;"",I1737,IF($A1737=$A1736,M1736,""))</f>
        <v>26</v>
      </c>
      <c r="N1737" t="s">
        <v>179</v>
      </c>
      <c r="O1737">
        <v>22</v>
      </c>
      <c r="P1737" t="s">
        <v>424</v>
      </c>
      <c r="Q1737" t="s">
        <v>15</v>
      </c>
      <c r="Y1737" t="str">
        <f t="shared" si="580"/>
        <v/>
      </c>
      <c r="Z1737" t="str">
        <f t="shared" si="581"/>
        <v/>
      </c>
      <c r="AC1737" t="str">
        <f t="shared" si="577"/>
        <v>Possession</v>
      </c>
      <c r="AD1737" t="str">
        <f t="shared" si="578"/>
        <v/>
      </c>
      <c r="AE1737" t="str">
        <f t="shared" si="579"/>
        <v/>
      </c>
      <c r="AF1737" t="str">
        <f t="shared" si="582"/>
        <v>Offensive</v>
      </c>
      <c r="AG1737">
        <f t="shared" si="588"/>
        <v>18981</v>
      </c>
      <c r="AH1737" t="str">
        <f t="shared" si="589"/>
        <v>Nelson</v>
      </c>
      <c r="AI1737" t="str">
        <f t="shared" si="590"/>
        <v>Velodrome</v>
      </c>
      <c r="AJ1737" s="18">
        <f t="shared" si="583"/>
        <v>2</v>
      </c>
      <c r="AP1737" s="18">
        <f t="shared" si="584"/>
        <v>0</v>
      </c>
      <c r="AQ1737">
        <f t="shared" si="585"/>
        <v>2160</v>
      </c>
      <c r="AR1737" s="23">
        <f t="shared" si="586"/>
        <v>2252</v>
      </c>
      <c r="AS1737">
        <f t="shared" si="591"/>
        <v>2247</v>
      </c>
      <c r="AT1737" s="21">
        <f t="shared" si="592"/>
        <v>2254</v>
      </c>
      <c r="AU1737" s="21"/>
      <c r="AV1737" s="21"/>
      <c r="AW1737" s="21"/>
    </row>
    <row r="1738" spans="1:49" x14ac:dyDescent="0.2">
      <c r="A1738">
        <v>914</v>
      </c>
      <c r="E1738">
        <f t="shared" si="587"/>
        <v>3</v>
      </c>
      <c r="F1738" s="5" t="s">
        <v>477</v>
      </c>
      <c r="G1738" s="5" t="s">
        <v>498</v>
      </c>
      <c r="J1738" t="str">
        <f t="shared" si="594"/>
        <v>16</v>
      </c>
      <c r="K1738" t="str">
        <f t="shared" si="595"/>
        <v>26</v>
      </c>
      <c r="L1738" t="str">
        <f t="shared" si="596"/>
        <v/>
      </c>
      <c r="M1738" s="6" t="str">
        <f t="shared" si="597"/>
        <v/>
      </c>
      <c r="N1738" t="s">
        <v>179</v>
      </c>
      <c r="O1738">
        <v>22</v>
      </c>
      <c r="P1738" t="s">
        <v>424</v>
      </c>
      <c r="Q1738" t="s">
        <v>8</v>
      </c>
      <c r="R1738" t="s">
        <v>189</v>
      </c>
      <c r="S1738" t="s">
        <v>70</v>
      </c>
      <c r="Y1738" t="str">
        <f t="shared" si="580"/>
        <v/>
      </c>
      <c r="Z1738" t="str">
        <f t="shared" si="581"/>
        <v/>
      </c>
      <c r="AC1738" t="str">
        <f t="shared" si="577"/>
        <v>Pass</v>
      </c>
      <c r="AD1738" t="str">
        <f t="shared" si="578"/>
        <v>Pass_Completed</v>
      </c>
      <c r="AE1738" t="str">
        <f t="shared" si="579"/>
        <v>Pass-Forehand</v>
      </c>
      <c r="AF1738" t="str">
        <f t="shared" si="582"/>
        <v>Offensive</v>
      </c>
      <c r="AG1738">
        <f t="shared" si="588"/>
        <v>18981</v>
      </c>
      <c r="AH1738" t="str">
        <f t="shared" si="589"/>
        <v>Nelson</v>
      </c>
      <c r="AI1738" t="str">
        <f t="shared" si="590"/>
        <v>Velodrome</v>
      </c>
      <c r="AJ1738" s="18">
        <f t="shared" si="583"/>
        <v>0</v>
      </c>
      <c r="AP1738" s="18">
        <f t="shared" si="584"/>
        <v>0</v>
      </c>
      <c r="AQ1738">
        <f t="shared" si="585"/>
        <v>2160</v>
      </c>
      <c r="AR1738" s="23">
        <f t="shared" si="586"/>
        <v>2254</v>
      </c>
      <c r="AS1738">
        <f t="shared" si="591"/>
        <v>2249</v>
      </c>
      <c r="AT1738" s="21">
        <f t="shared" si="592"/>
        <v>2254</v>
      </c>
      <c r="AU1738" s="21"/>
      <c r="AV1738" s="21"/>
      <c r="AW1738" s="21"/>
    </row>
    <row r="1739" spans="1:49" x14ac:dyDescent="0.2">
      <c r="A1739">
        <v>914</v>
      </c>
      <c r="E1739">
        <f t="shared" si="587"/>
        <v>3</v>
      </c>
      <c r="J1739" t="str">
        <f t="shared" si="594"/>
        <v>16</v>
      </c>
      <c r="K1739" t="str">
        <f t="shared" si="595"/>
        <v>26</v>
      </c>
      <c r="L1739" t="str">
        <f t="shared" si="596"/>
        <v/>
      </c>
      <c r="M1739" s="6" t="str">
        <f t="shared" si="597"/>
        <v/>
      </c>
      <c r="N1739" t="str">
        <f t="shared" si="593"/>
        <v>Away</v>
      </c>
      <c r="O1739">
        <v>87</v>
      </c>
      <c r="P1739" t="s">
        <v>424</v>
      </c>
      <c r="Y1739" t="str">
        <f t="shared" si="580"/>
        <v/>
      </c>
      <c r="Z1739" t="str">
        <f t="shared" si="581"/>
        <v/>
      </c>
      <c r="AC1739" t="str">
        <f t="shared" si="577"/>
        <v>Pass</v>
      </c>
      <c r="AD1739" t="str">
        <f t="shared" si="578"/>
        <v>Pass_Completed</v>
      </c>
      <c r="AE1739" t="str">
        <f t="shared" si="579"/>
        <v>Pass-Forehand</v>
      </c>
      <c r="AF1739" t="str">
        <f t="shared" si="582"/>
        <v>Offensive</v>
      </c>
      <c r="AG1739">
        <f t="shared" si="588"/>
        <v>18981</v>
      </c>
      <c r="AH1739" t="str">
        <f t="shared" si="589"/>
        <v>Nelson</v>
      </c>
      <c r="AI1739" t="str">
        <f t="shared" si="590"/>
        <v>Velodrome</v>
      </c>
      <c r="AJ1739" s="18">
        <f t="shared" si="583"/>
        <v>0</v>
      </c>
      <c r="AP1739" s="18">
        <f t="shared" si="584"/>
        <v>0</v>
      </c>
      <c r="AQ1739">
        <f t="shared" si="585"/>
        <v>2160</v>
      </c>
      <c r="AR1739" s="23">
        <f t="shared" si="586"/>
        <v>2254</v>
      </c>
      <c r="AS1739">
        <f t="shared" si="591"/>
        <v>2249</v>
      </c>
      <c r="AT1739" s="21">
        <f t="shared" si="592"/>
        <v>2254</v>
      </c>
      <c r="AU1739" s="21"/>
      <c r="AV1739" s="21"/>
      <c r="AW1739" s="21"/>
    </row>
    <row r="1740" spans="1:49" x14ac:dyDescent="0.2">
      <c r="A1740">
        <v>915</v>
      </c>
      <c r="E1740">
        <f t="shared" si="587"/>
        <v>3</v>
      </c>
      <c r="F1740" s="5" t="s">
        <v>477</v>
      </c>
      <c r="G1740" s="5" t="s">
        <v>498</v>
      </c>
      <c r="H1740" s="5" t="s">
        <v>477</v>
      </c>
      <c r="I1740" s="7" t="s">
        <v>495</v>
      </c>
      <c r="J1740" t="str">
        <f t="shared" si="594"/>
        <v>16</v>
      </c>
      <c r="K1740" t="str">
        <f t="shared" si="595"/>
        <v>26</v>
      </c>
      <c r="L1740" t="str">
        <f t="shared" si="596"/>
        <v>16</v>
      </c>
      <c r="M1740" s="6" t="str">
        <f t="shared" si="597"/>
        <v>23</v>
      </c>
      <c r="N1740" t="s">
        <v>179</v>
      </c>
      <c r="O1740">
        <v>87</v>
      </c>
      <c r="P1740" t="s">
        <v>424</v>
      </c>
      <c r="Q1740" t="s">
        <v>15</v>
      </c>
      <c r="Y1740" t="str">
        <f t="shared" si="580"/>
        <v/>
      </c>
      <c r="Z1740" t="str">
        <f t="shared" si="581"/>
        <v/>
      </c>
      <c r="AC1740" t="str">
        <f t="shared" si="577"/>
        <v>Possession</v>
      </c>
      <c r="AD1740" t="str">
        <f t="shared" si="578"/>
        <v/>
      </c>
      <c r="AE1740" t="str">
        <f t="shared" si="579"/>
        <v/>
      </c>
      <c r="AF1740" t="str">
        <f t="shared" si="582"/>
        <v>Offensive</v>
      </c>
      <c r="AG1740">
        <f t="shared" si="588"/>
        <v>18981</v>
      </c>
      <c r="AH1740" t="str">
        <f t="shared" si="589"/>
        <v>Nelson</v>
      </c>
      <c r="AI1740" t="str">
        <f t="shared" si="590"/>
        <v>Velodrome</v>
      </c>
      <c r="AJ1740" s="18">
        <f t="shared" si="583"/>
        <v>3</v>
      </c>
      <c r="AP1740" s="18">
        <f t="shared" si="584"/>
        <v>0</v>
      </c>
      <c r="AQ1740">
        <f t="shared" si="585"/>
        <v>2160</v>
      </c>
      <c r="AR1740" s="23">
        <f t="shared" si="586"/>
        <v>2254</v>
      </c>
      <c r="AS1740">
        <f t="shared" si="591"/>
        <v>2249</v>
      </c>
      <c r="AT1740" s="21">
        <f t="shared" si="592"/>
        <v>2257</v>
      </c>
      <c r="AU1740" s="21"/>
      <c r="AV1740" s="21"/>
      <c r="AW1740" s="21"/>
    </row>
    <row r="1741" spans="1:49" x14ac:dyDescent="0.2">
      <c r="A1741">
        <v>915</v>
      </c>
      <c r="E1741">
        <f t="shared" si="587"/>
        <v>3</v>
      </c>
      <c r="J1741" t="str">
        <f t="shared" si="594"/>
        <v>16</v>
      </c>
      <c r="K1741" t="str">
        <f t="shared" si="595"/>
        <v>26</v>
      </c>
      <c r="L1741" t="str">
        <f t="shared" si="596"/>
        <v>16</v>
      </c>
      <c r="M1741" s="6" t="str">
        <f t="shared" si="597"/>
        <v>23</v>
      </c>
      <c r="N1741" t="str">
        <f t="shared" si="593"/>
        <v>Away</v>
      </c>
      <c r="O1741">
        <v>80</v>
      </c>
      <c r="P1741" t="s">
        <v>425</v>
      </c>
      <c r="Y1741" t="str">
        <f t="shared" si="580"/>
        <v/>
      </c>
      <c r="Z1741" t="str">
        <f t="shared" si="581"/>
        <v/>
      </c>
      <c r="AC1741" t="str">
        <f t="shared" si="577"/>
        <v>Possession</v>
      </c>
      <c r="AD1741" t="str">
        <f t="shared" si="578"/>
        <v/>
      </c>
      <c r="AE1741" t="str">
        <f t="shared" si="579"/>
        <v/>
      </c>
      <c r="AF1741" t="str">
        <f t="shared" si="582"/>
        <v>Defensive</v>
      </c>
      <c r="AG1741">
        <f t="shared" si="588"/>
        <v>18981</v>
      </c>
      <c r="AH1741" t="str">
        <f t="shared" si="589"/>
        <v>Nelson</v>
      </c>
      <c r="AI1741" t="str">
        <f t="shared" si="590"/>
        <v>Velodrome</v>
      </c>
      <c r="AJ1741" s="18">
        <f t="shared" si="583"/>
        <v>3</v>
      </c>
      <c r="AP1741" s="18">
        <f t="shared" si="584"/>
        <v>0</v>
      </c>
      <c r="AQ1741">
        <f t="shared" si="585"/>
        <v>2160</v>
      </c>
      <c r="AR1741" s="23">
        <f t="shared" si="586"/>
        <v>2254</v>
      </c>
      <c r="AS1741">
        <f t="shared" si="591"/>
        <v>2249</v>
      </c>
      <c r="AT1741" s="21">
        <f t="shared" si="592"/>
        <v>2257</v>
      </c>
      <c r="AU1741" s="21"/>
      <c r="AV1741" s="21"/>
      <c r="AW1741" s="21"/>
    </row>
    <row r="1742" spans="1:49" x14ac:dyDescent="0.2">
      <c r="A1742">
        <v>915</v>
      </c>
      <c r="E1742">
        <f t="shared" si="587"/>
        <v>3</v>
      </c>
      <c r="J1742" t="str">
        <f t="shared" si="594"/>
        <v>16</v>
      </c>
      <c r="K1742" t="str">
        <f t="shared" si="595"/>
        <v>26</v>
      </c>
      <c r="L1742" t="str">
        <f t="shared" si="596"/>
        <v>16</v>
      </c>
      <c r="M1742" s="6" t="str">
        <f t="shared" si="597"/>
        <v>23</v>
      </c>
      <c r="N1742" t="str">
        <f t="shared" si="593"/>
        <v>Away</v>
      </c>
      <c r="O1742">
        <v>79</v>
      </c>
      <c r="P1742" t="s">
        <v>425</v>
      </c>
      <c r="Y1742" t="str">
        <f t="shared" si="580"/>
        <v/>
      </c>
      <c r="Z1742" t="str">
        <f t="shared" si="581"/>
        <v/>
      </c>
      <c r="AC1742" t="str">
        <f t="shared" si="577"/>
        <v>Possession</v>
      </c>
      <c r="AD1742" t="str">
        <f t="shared" si="578"/>
        <v/>
      </c>
      <c r="AE1742" t="str">
        <f t="shared" si="579"/>
        <v/>
      </c>
      <c r="AF1742" t="str">
        <f t="shared" si="582"/>
        <v>Defensive</v>
      </c>
      <c r="AG1742">
        <f t="shared" si="588"/>
        <v>18981</v>
      </c>
      <c r="AH1742" t="str">
        <f t="shared" si="589"/>
        <v>Nelson</v>
      </c>
      <c r="AI1742" t="str">
        <f t="shared" si="590"/>
        <v>Velodrome</v>
      </c>
      <c r="AJ1742" s="18">
        <f t="shared" si="583"/>
        <v>3</v>
      </c>
      <c r="AP1742" s="18">
        <f t="shared" si="584"/>
        <v>0</v>
      </c>
      <c r="AQ1742">
        <f t="shared" si="585"/>
        <v>2160</v>
      </c>
      <c r="AR1742" s="23">
        <f t="shared" si="586"/>
        <v>2254</v>
      </c>
      <c r="AS1742">
        <f t="shared" si="591"/>
        <v>2249</v>
      </c>
      <c r="AT1742" s="21">
        <f t="shared" si="592"/>
        <v>2257</v>
      </c>
      <c r="AU1742" s="21"/>
      <c r="AV1742" s="21"/>
      <c r="AW1742" s="21"/>
    </row>
    <row r="1743" spans="1:49" x14ac:dyDescent="0.2">
      <c r="A1743">
        <v>916</v>
      </c>
      <c r="E1743">
        <f t="shared" si="587"/>
        <v>3</v>
      </c>
      <c r="F1743" s="5" t="s">
        <v>477</v>
      </c>
      <c r="G1743" s="5" t="s">
        <v>495</v>
      </c>
      <c r="J1743" t="str">
        <f t="shared" si="594"/>
        <v>16</v>
      </c>
      <c r="K1743" t="str">
        <f t="shared" si="595"/>
        <v>23</v>
      </c>
      <c r="L1743" t="str">
        <f t="shared" si="596"/>
        <v/>
      </c>
      <c r="M1743" s="6" t="str">
        <f t="shared" si="597"/>
        <v/>
      </c>
      <c r="N1743" t="s">
        <v>178</v>
      </c>
      <c r="O1743">
        <v>80</v>
      </c>
      <c r="P1743" t="s">
        <v>424</v>
      </c>
      <c r="Q1743" t="s">
        <v>10</v>
      </c>
      <c r="R1743" t="s">
        <v>200</v>
      </c>
      <c r="S1743" t="s">
        <v>82</v>
      </c>
      <c r="Y1743" t="str">
        <f t="shared" si="580"/>
        <v/>
      </c>
      <c r="Z1743" t="str">
        <f t="shared" si="581"/>
        <v/>
      </c>
      <c r="AC1743" t="str">
        <f t="shared" si="577"/>
        <v>Turnover</v>
      </c>
      <c r="AD1743" t="str">
        <f t="shared" si="578"/>
        <v>Turnover_Takeaway</v>
      </c>
      <c r="AE1743" t="str">
        <f t="shared" si="579"/>
        <v>Takeaway-PokeCheck</v>
      </c>
      <c r="AF1743" t="str">
        <f t="shared" si="582"/>
        <v>Defensive</v>
      </c>
      <c r="AG1743">
        <f t="shared" si="588"/>
        <v>18981</v>
      </c>
      <c r="AH1743" t="str">
        <f t="shared" si="589"/>
        <v>Nelson</v>
      </c>
      <c r="AI1743" t="str">
        <f t="shared" si="590"/>
        <v>Velodrome</v>
      </c>
      <c r="AJ1743" s="18">
        <f t="shared" si="583"/>
        <v>0</v>
      </c>
      <c r="AP1743" s="18">
        <f t="shared" si="584"/>
        <v>0</v>
      </c>
      <c r="AQ1743">
        <f t="shared" si="585"/>
        <v>2160</v>
      </c>
      <c r="AR1743" s="23">
        <f t="shared" si="586"/>
        <v>2257</v>
      </c>
      <c r="AS1743">
        <f t="shared" si="591"/>
        <v>2252</v>
      </c>
      <c r="AT1743" s="21">
        <f t="shared" si="592"/>
        <v>2257</v>
      </c>
      <c r="AU1743" s="21"/>
      <c r="AV1743" s="21"/>
      <c r="AW1743" s="21"/>
    </row>
    <row r="1744" spans="1:49" x14ac:dyDescent="0.2">
      <c r="A1744">
        <v>916</v>
      </c>
      <c r="E1744">
        <f t="shared" si="587"/>
        <v>3</v>
      </c>
      <c r="J1744" t="str">
        <f t="shared" si="594"/>
        <v>16</v>
      </c>
      <c r="K1744" t="str">
        <f t="shared" si="595"/>
        <v>23</v>
      </c>
      <c r="L1744" t="str">
        <f t="shared" si="596"/>
        <v/>
      </c>
      <c r="M1744" s="6" t="str">
        <f t="shared" si="597"/>
        <v/>
      </c>
      <c r="N1744" t="str">
        <f t="shared" si="593"/>
        <v>Home</v>
      </c>
      <c r="O1744">
        <v>87</v>
      </c>
      <c r="P1744" t="s">
        <v>425</v>
      </c>
      <c r="Y1744" t="str">
        <f t="shared" si="580"/>
        <v/>
      </c>
      <c r="Z1744" t="str">
        <f t="shared" si="581"/>
        <v/>
      </c>
      <c r="AC1744" t="str">
        <f t="shared" si="577"/>
        <v>Turnover</v>
      </c>
      <c r="AD1744" t="str">
        <f t="shared" si="578"/>
        <v>Turnover_Takeaway</v>
      </c>
      <c r="AE1744" t="str">
        <f t="shared" si="579"/>
        <v>Takeaway-PokeCheck</v>
      </c>
      <c r="AF1744" t="str">
        <f t="shared" si="582"/>
        <v>Offensive</v>
      </c>
      <c r="AG1744">
        <f t="shared" si="588"/>
        <v>18981</v>
      </c>
      <c r="AH1744" t="str">
        <f t="shared" si="589"/>
        <v>Nelson</v>
      </c>
      <c r="AI1744" t="str">
        <f t="shared" si="590"/>
        <v>Velodrome</v>
      </c>
      <c r="AJ1744" s="18">
        <f t="shared" si="583"/>
        <v>0</v>
      </c>
      <c r="AP1744" s="18">
        <f t="shared" si="584"/>
        <v>0</v>
      </c>
      <c r="AQ1744">
        <f t="shared" si="585"/>
        <v>2160</v>
      </c>
      <c r="AR1744" s="23">
        <f t="shared" si="586"/>
        <v>2257</v>
      </c>
      <c r="AS1744">
        <f t="shared" si="591"/>
        <v>2252</v>
      </c>
      <c r="AT1744" s="21">
        <f t="shared" si="592"/>
        <v>2257</v>
      </c>
      <c r="AU1744" s="21"/>
      <c r="AV1744" s="21"/>
      <c r="AW1744" s="21"/>
    </row>
    <row r="1745" spans="1:49" x14ac:dyDescent="0.2">
      <c r="A1745">
        <v>917</v>
      </c>
      <c r="E1745">
        <f t="shared" si="587"/>
        <v>3</v>
      </c>
      <c r="F1745" s="5" t="s">
        <v>477</v>
      </c>
      <c r="G1745" s="5" t="s">
        <v>495</v>
      </c>
      <c r="H1745" s="5" t="s">
        <v>477</v>
      </c>
      <c r="I1745" s="7" t="s">
        <v>492</v>
      </c>
      <c r="J1745" t="str">
        <f t="shared" si="594"/>
        <v>16</v>
      </c>
      <c r="K1745" t="str">
        <f t="shared" si="595"/>
        <v>23</v>
      </c>
      <c r="L1745" t="str">
        <f t="shared" si="596"/>
        <v>16</v>
      </c>
      <c r="M1745" s="6" t="str">
        <f t="shared" si="597"/>
        <v>20</v>
      </c>
      <c r="N1745" t="s">
        <v>178</v>
      </c>
      <c r="O1745">
        <v>80</v>
      </c>
      <c r="P1745" t="s">
        <v>424</v>
      </c>
      <c r="Q1745" t="s">
        <v>15</v>
      </c>
      <c r="Y1745" t="str">
        <f t="shared" si="580"/>
        <v/>
      </c>
      <c r="Z1745" t="str">
        <f t="shared" si="581"/>
        <v/>
      </c>
      <c r="AC1745" t="str">
        <f t="shared" si="577"/>
        <v>Possession</v>
      </c>
      <c r="AD1745" t="str">
        <f t="shared" si="578"/>
        <v/>
      </c>
      <c r="AE1745" t="str">
        <f t="shared" si="579"/>
        <v/>
      </c>
      <c r="AF1745" t="str">
        <f t="shared" si="582"/>
        <v>Offensive</v>
      </c>
      <c r="AG1745">
        <f t="shared" si="588"/>
        <v>18981</v>
      </c>
      <c r="AH1745" t="str">
        <f t="shared" si="589"/>
        <v>Nelson</v>
      </c>
      <c r="AI1745" t="str">
        <f t="shared" si="590"/>
        <v>Velodrome</v>
      </c>
      <c r="AJ1745" s="18">
        <f t="shared" si="583"/>
        <v>3</v>
      </c>
      <c r="AP1745" s="18">
        <f t="shared" si="584"/>
        <v>0</v>
      </c>
      <c r="AQ1745">
        <f t="shared" si="585"/>
        <v>2160</v>
      </c>
      <c r="AR1745" s="23">
        <f t="shared" si="586"/>
        <v>2257</v>
      </c>
      <c r="AS1745">
        <f t="shared" si="591"/>
        <v>2252</v>
      </c>
      <c r="AT1745" s="21">
        <f t="shared" si="592"/>
        <v>2260</v>
      </c>
      <c r="AU1745" s="21"/>
      <c r="AV1745" s="21"/>
      <c r="AW1745" s="21"/>
    </row>
    <row r="1746" spans="1:49" x14ac:dyDescent="0.2">
      <c r="A1746">
        <v>917</v>
      </c>
      <c r="E1746">
        <f t="shared" si="587"/>
        <v>3</v>
      </c>
      <c r="J1746" t="str">
        <f t="shared" si="594"/>
        <v>16</v>
      </c>
      <c r="K1746" t="str">
        <f t="shared" si="595"/>
        <v>23</v>
      </c>
      <c r="L1746" t="str">
        <f t="shared" si="596"/>
        <v>16</v>
      </c>
      <c r="M1746" s="6" t="str">
        <f t="shared" si="597"/>
        <v>20</v>
      </c>
      <c r="N1746" t="str">
        <f t="shared" si="593"/>
        <v>Home</v>
      </c>
      <c r="O1746">
        <v>87</v>
      </c>
      <c r="P1746" t="s">
        <v>425</v>
      </c>
      <c r="Y1746" t="str">
        <f t="shared" si="580"/>
        <v/>
      </c>
      <c r="Z1746" t="str">
        <f t="shared" si="581"/>
        <v/>
      </c>
      <c r="AC1746" t="str">
        <f t="shared" si="577"/>
        <v>Possession</v>
      </c>
      <c r="AD1746" t="str">
        <f t="shared" si="578"/>
        <v/>
      </c>
      <c r="AE1746" t="str">
        <f t="shared" si="579"/>
        <v/>
      </c>
      <c r="AF1746" t="str">
        <f t="shared" si="582"/>
        <v>Defensive</v>
      </c>
      <c r="AG1746">
        <f t="shared" si="588"/>
        <v>18981</v>
      </c>
      <c r="AH1746" t="str">
        <f t="shared" si="589"/>
        <v>Nelson</v>
      </c>
      <c r="AI1746" t="str">
        <f t="shared" si="590"/>
        <v>Velodrome</v>
      </c>
      <c r="AJ1746" s="18">
        <f t="shared" si="583"/>
        <v>3</v>
      </c>
      <c r="AP1746" s="18">
        <f t="shared" si="584"/>
        <v>0</v>
      </c>
      <c r="AQ1746">
        <f t="shared" si="585"/>
        <v>2160</v>
      </c>
      <c r="AR1746" s="23">
        <f t="shared" si="586"/>
        <v>2257</v>
      </c>
      <c r="AS1746">
        <f t="shared" si="591"/>
        <v>2252</v>
      </c>
      <c r="AT1746" s="21">
        <f t="shared" si="592"/>
        <v>2260</v>
      </c>
      <c r="AU1746" s="21"/>
      <c r="AV1746" s="21"/>
      <c r="AW1746" s="21"/>
    </row>
    <row r="1747" spans="1:49" x14ac:dyDescent="0.2">
      <c r="A1747">
        <v>917</v>
      </c>
      <c r="E1747">
        <f t="shared" si="587"/>
        <v>3</v>
      </c>
      <c r="J1747" t="str">
        <f t="shared" si="594"/>
        <v>16</v>
      </c>
      <c r="K1747" t="str">
        <f t="shared" si="595"/>
        <v>23</v>
      </c>
      <c r="L1747" t="str">
        <f t="shared" si="596"/>
        <v>16</v>
      </c>
      <c r="M1747" s="6" t="str">
        <f t="shared" si="597"/>
        <v>20</v>
      </c>
      <c r="N1747" t="str">
        <f t="shared" si="593"/>
        <v>Home</v>
      </c>
      <c r="O1747">
        <v>75</v>
      </c>
      <c r="P1747" t="s">
        <v>425</v>
      </c>
      <c r="Y1747" t="str">
        <f t="shared" si="580"/>
        <v/>
      </c>
      <c r="Z1747" t="str">
        <f t="shared" si="581"/>
        <v/>
      </c>
      <c r="AC1747" t="str">
        <f t="shared" si="577"/>
        <v>Possession</v>
      </c>
      <c r="AD1747" t="str">
        <f t="shared" si="578"/>
        <v/>
      </c>
      <c r="AE1747" t="str">
        <f t="shared" si="579"/>
        <v/>
      </c>
      <c r="AF1747" t="str">
        <f t="shared" si="582"/>
        <v>Defensive</v>
      </c>
      <c r="AG1747">
        <f t="shared" si="588"/>
        <v>18981</v>
      </c>
      <c r="AH1747" t="str">
        <f t="shared" si="589"/>
        <v>Nelson</v>
      </c>
      <c r="AI1747" t="str">
        <f t="shared" si="590"/>
        <v>Velodrome</v>
      </c>
      <c r="AJ1747" s="18">
        <f t="shared" si="583"/>
        <v>3</v>
      </c>
      <c r="AP1747" s="18">
        <f t="shared" si="584"/>
        <v>0</v>
      </c>
      <c r="AQ1747">
        <f t="shared" si="585"/>
        <v>2160</v>
      </c>
      <c r="AR1747" s="23">
        <f t="shared" si="586"/>
        <v>2257</v>
      </c>
      <c r="AS1747">
        <f t="shared" si="591"/>
        <v>2252</v>
      </c>
      <c r="AT1747" s="21">
        <f t="shared" si="592"/>
        <v>2260</v>
      </c>
      <c r="AU1747" s="21"/>
      <c r="AV1747" s="21"/>
      <c r="AW1747" s="21"/>
    </row>
    <row r="1748" spans="1:49" x14ac:dyDescent="0.2">
      <c r="A1748">
        <v>918</v>
      </c>
      <c r="E1748">
        <f t="shared" si="587"/>
        <v>3</v>
      </c>
      <c r="F1748" s="5" t="s">
        <v>477</v>
      </c>
      <c r="G1748" s="5" t="s">
        <v>478</v>
      </c>
      <c r="H1748" s="5" t="s">
        <v>477</v>
      </c>
      <c r="I1748" s="7" t="s">
        <v>488</v>
      </c>
      <c r="J1748" t="str">
        <f t="shared" si="594"/>
        <v>16</v>
      </c>
      <c r="K1748" t="str">
        <f t="shared" si="595"/>
        <v>15</v>
      </c>
      <c r="L1748" t="str">
        <f t="shared" si="596"/>
        <v>16</v>
      </c>
      <c r="M1748" s="6" t="str">
        <f t="shared" si="597"/>
        <v>13</v>
      </c>
      <c r="N1748" t="s">
        <v>178</v>
      </c>
      <c r="O1748">
        <v>79</v>
      </c>
      <c r="P1748" t="s">
        <v>424</v>
      </c>
      <c r="Q1748" t="s">
        <v>15</v>
      </c>
      <c r="Y1748" t="str">
        <f t="shared" si="580"/>
        <v/>
      </c>
      <c r="Z1748" t="str">
        <f t="shared" si="581"/>
        <v/>
      </c>
      <c r="AC1748" t="str">
        <f t="shared" si="577"/>
        <v>Possession</v>
      </c>
      <c r="AD1748" t="str">
        <f t="shared" si="578"/>
        <v/>
      </c>
      <c r="AE1748" t="str">
        <f t="shared" si="579"/>
        <v/>
      </c>
      <c r="AF1748" t="str">
        <f t="shared" si="582"/>
        <v>Offensive</v>
      </c>
      <c r="AG1748">
        <f t="shared" si="588"/>
        <v>18981</v>
      </c>
      <c r="AH1748" t="str">
        <f t="shared" si="589"/>
        <v>Nelson</v>
      </c>
      <c r="AI1748" t="str">
        <f t="shared" si="590"/>
        <v>Velodrome</v>
      </c>
      <c r="AJ1748" s="18">
        <f t="shared" si="583"/>
        <v>2</v>
      </c>
      <c r="AP1748" s="18">
        <f t="shared" si="584"/>
        <v>0</v>
      </c>
      <c r="AQ1748">
        <f t="shared" si="585"/>
        <v>2160</v>
      </c>
      <c r="AR1748" s="23">
        <f t="shared" si="586"/>
        <v>2265</v>
      </c>
      <c r="AS1748">
        <f t="shared" si="591"/>
        <v>2260</v>
      </c>
      <c r="AT1748" s="21">
        <f t="shared" si="592"/>
        <v>2267</v>
      </c>
      <c r="AU1748" s="21"/>
      <c r="AV1748" s="21"/>
      <c r="AW1748" s="21"/>
    </row>
    <row r="1749" spans="1:49" x14ac:dyDescent="0.2">
      <c r="A1749">
        <v>918</v>
      </c>
      <c r="E1749">
        <f t="shared" si="587"/>
        <v>3</v>
      </c>
      <c r="J1749" t="str">
        <f t="shared" si="594"/>
        <v>16</v>
      </c>
      <c r="K1749" t="str">
        <f t="shared" si="595"/>
        <v>15</v>
      </c>
      <c r="L1749" t="str">
        <f t="shared" si="596"/>
        <v>16</v>
      </c>
      <c r="M1749" s="6" t="str">
        <f t="shared" si="597"/>
        <v>13</v>
      </c>
      <c r="N1749" t="str">
        <f t="shared" si="593"/>
        <v>Home</v>
      </c>
      <c r="O1749">
        <v>70</v>
      </c>
      <c r="P1749" t="s">
        <v>425</v>
      </c>
      <c r="Y1749" t="str">
        <f t="shared" si="580"/>
        <v/>
      </c>
      <c r="Z1749" t="str">
        <f t="shared" si="581"/>
        <v/>
      </c>
      <c r="AC1749" t="str">
        <f t="shared" si="577"/>
        <v>Possession</v>
      </c>
      <c r="AD1749" t="str">
        <f t="shared" si="578"/>
        <v/>
      </c>
      <c r="AE1749" t="str">
        <f t="shared" si="579"/>
        <v/>
      </c>
      <c r="AF1749" t="str">
        <f t="shared" si="582"/>
        <v>Defensive</v>
      </c>
      <c r="AG1749">
        <f t="shared" si="588"/>
        <v>18981</v>
      </c>
      <c r="AH1749" t="str">
        <f t="shared" si="589"/>
        <v>Nelson</v>
      </c>
      <c r="AI1749" t="str">
        <f t="shared" si="590"/>
        <v>Velodrome</v>
      </c>
      <c r="AJ1749" s="18">
        <f t="shared" si="583"/>
        <v>2</v>
      </c>
      <c r="AP1749" s="18">
        <f t="shared" si="584"/>
        <v>0</v>
      </c>
      <c r="AQ1749">
        <f t="shared" si="585"/>
        <v>2160</v>
      </c>
      <c r="AR1749" s="23">
        <f t="shared" si="586"/>
        <v>2265</v>
      </c>
      <c r="AS1749">
        <f t="shared" si="591"/>
        <v>2260</v>
      </c>
      <c r="AT1749" s="21">
        <f t="shared" si="592"/>
        <v>2267</v>
      </c>
      <c r="AU1749" s="21"/>
      <c r="AV1749" s="21"/>
      <c r="AW1749" s="21"/>
    </row>
    <row r="1750" spans="1:49" x14ac:dyDescent="0.2">
      <c r="A1750">
        <v>919</v>
      </c>
      <c r="E1750">
        <f t="shared" si="587"/>
        <v>3</v>
      </c>
      <c r="F1750" s="5" t="s">
        <v>477</v>
      </c>
      <c r="G1750" s="5" t="s">
        <v>488</v>
      </c>
      <c r="J1750" t="str">
        <f t="shared" si="594"/>
        <v>16</v>
      </c>
      <c r="K1750" t="str">
        <f t="shared" si="595"/>
        <v>13</v>
      </c>
      <c r="L1750" t="str">
        <f t="shared" si="596"/>
        <v/>
      </c>
      <c r="M1750" s="6" t="str">
        <f t="shared" si="597"/>
        <v/>
      </c>
      <c r="N1750" t="s">
        <v>179</v>
      </c>
      <c r="O1750">
        <v>70</v>
      </c>
      <c r="P1750" t="s">
        <v>424</v>
      </c>
      <c r="Q1750" t="s">
        <v>10</v>
      </c>
      <c r="R1750" t="s">
        <v>200</v>
      </c>
      <c r="S1750" t="s">
        <v>82</v>
      </c>
      <c r="Y1750" t="str">
        <f t="shared" si="580"/>
        <v/>
      </c>
      <c r="Z1750" t="str">
        <f t="shared" si="581"/>
        <v/>
      </c>
      <c r="AC1750" t="str">
        <f t="shared" si="577"/>
        <v>Turnover</v>
      </c>
      <c r="AD1750" t="str">
        <f t="shared" si="578"/>
        <v>Turnover_Takeaway</v>
      </c>
      <c r="AE1750" t="str">
        <f t="shared" si="579"/>
        <v>Takeaway-PokeCheck</v>
      </c>
      <c r="AF1750" t="str">
        <f t="shared" si="582"/>
        <v>Defensive</v>
      </c>
      <c r="AG1750">
        <f t="shared" si="588"/>
        <v>18981</v>
      </c>
      <c r="AH1750" t="str">
        <f t="shared" si="589"/>
        <v>Nelson</v>
      </c>
      <c r="AI1750" t="str">
        <f t="shared" si="590"/>
        <v>Velodrome</v>
      </c>
      <c r="AJ1750" s="18">
        <f t="shared" si="583"/>
        <v>0</v>
      </c>
      <c r="AP1750" s="18">
        <f t="shared" si="584"/>
        <v>0</v>
      </c>
      <c r="AQ1750">
        <f t="shared" si="585"/>
        <v>2160</v>
      </c>
      <c r="AR1750" s="23">
        <f t="shared" si="586"/>
        <v>2267</v>
      </c>
      <c r="AS1750">
        <f t="shared" si="591"/>
        <v>2262</v>
      </c>
      <c r="AT1750" s="21">
        <f t="shared" si="592"/>
        <v>2267</v>
      </c>
      <c r="AU1750" s="21"/>
      <c r="AV1750" s="21"/>
      <c r="AW1750" s="21"/>
    </row>
    <row r="1751" spans="1:49" x14ac:dyDescent="0.2">
      <c r="A1751">
        <v>919</v>
      </c>
      <c r="E1751">
        <f t="shared" si="587"/>
        <v>3</v>
      </c>
      <c r="J1751" t="str">
        <f t="shared" si="594"/>
        <v>16</v>
      </c>
      <c r="K1751" t="str">
        <f t="shared" si="595"/>
        <v>13</v>
      </c>
      <c r="L1751" t="str">
        <f t="shared" si="596"/>
        <v/>
      </c>
      <c r="M1751" s="6" t="str">
        <f t="shared" si="597"/>
        <v/>
      </c>
      <c r="N1751" t="str">
        <f t="shared" si="593"/>
        <v>Away</v>
      </c>
      <c r="O1751">
        <v>79</v>
      </c>
      <c r="P1751" t="s">
        <v>425</v>
      </c>
      <c r="Y1751" t="str">
        <f t="shared" si="580"/>
        <v/>
      </c>
      <c r="Z1751" t="str">
        <f t="shared" si="581"/>
        <v/>
      </c>
      <c r="AC1751" t="str">
        <f t="shared" si="577"/>
        <v>Turnover</v>
      </c>
      <c r="AD1751" t="str">
        <f t="shared" si="578"/>
        <v>Turnover_Takeaway</v>
      </c>
      <c r="AE1751" t="str">
        <f t="shared" si="579"/>
        <v>Takeaway-PokeCheck</v>
      </c>
      <c r="AF1751" t="str">
        <f t="shared" si="582"/>
        <v>Offensive</v>
      </c>
      <c r="AG1751">
        <f t="shared" si="588"/>
        <v>18981</v>
      </c>
      <c r="AH1751" t="str">
        <f t="shared" si="589"/>
        <v>Nelson</v>
      </c>
      <c r="AI1751" t="str">
        <f t="shared" si="590"/>
        <v>Velodrome</v>
      </c>
      <c r="AJ1751" s="18">
        <f t="shared" si="583"/>
        <v>0</v>
      </c>
      <c r="AP1751" s="18">
        <f t="shared" si="584"/>
        <v>0</v>
      </c>
      <c r="AQ1751">
        <f t="shared" si="585"/>
        <v>2160</v>
      </c>
      <c r="AR1751" s="23">
        <f t="shared" si="586"/>
        <v>2267</v>
      </c>
      <c r="AS1751">
        <f t="shared" si="591"/>
        <v>2262</v>
      </c>
      <c r="AT1751" s="21">
        <f t="shared" si="592"/>
        <v>2267</v>
      </c>
      <c r="AU1751" s="21"/>
      <c r="AV1751" s="21"/>
      <c r="AW1751" s="21"/>
    </row>
    <row r="1752" spans="1:49" x14ac:dyDescent="0.2">
      <c r="A1752">
        <v>920</v>
      </c>
      <c r="E1752">
        <f t="shared" si="587"/>
        <v>3</v>
      </c>
      <c r="F1752" s="5" t="s">
        <v>477</v>
      </c>
      <c r="G1752" s="5" t="s">
        <v>484</v>
      </c>
      <c r="J1752" t="str">
        <f t="shared" si="594"/>
        <v>16</v>
      </c>
      <c r="K1752" t="str">
        <f t="shared" si="595"/>
        <v>09</v>
      </c>
      <c r="L1752" t="str">
        <f t="shared" si="596"/>
        <v/>
      </c>
      <c r="M1752" s="6" t="str">
        <f t="shared" si="597"/>
        <v/>
      </c>
      <c r="N1752" t="s">
        <v>179</v>
      </c>
      <c r="O1752">
        <v>70</v>
      </c>
      <c r="P1752" t="s">
        <v>424</v>
      </c>
      <c r="Q1752" t="s">
        <v>8</v>
      </c>
      <c r="R1752" t="s">
        <v>189</v>
      </c>
      <c r="S1752" t="s">
        <v>70</v>
      </c>
      <c r="Y1752" t="str">
        <f t="shared" si="580"/>
        <v/>
      </c>
      <c r="Z1752" t="str">
        <f t="shared" si="581"/>
        <v/>
      </c>
      <c r="AC1752" t="str">
        <f t="shared" si="577"/>
        <v>Pass</v>
      </c>
      <c r="AD1752" t="str">
        <f t="shared" si="578"/>
        <v>Pass_Completed</v>
      </c>
      <c r="AE1752" t="str">
        <f t="shared" si="579"/>
        <v>Pass-Forehand</v>
      </c>
      <c r="AF1752" t="str">
        <f t="shared" si="582"/>
        <v>Offensive</v>
      </c>
      <c r="AG1752">
        <f t="shared" si="588"/>
        <v>18981</v>
      </c>
      <c r="AH1752" t="str">
        <f t="shared" si="589"/>
        <v>Nelson</v>
      </c>
      <c r="AI1752" t="str">
        <f t="shared" si="590"/>
        <v>Velodrome</v>
      </c>
      <c r="AJ1752" s="18">
        <f t="shared" si="583"/>
        <v>0</v>
      </c>
      <c r="AP1752" s="18">
        <f t="shared" si="584"/>
        <v>0</v>
      </c>
      <c r="AQ1752">
        <f t="shared" si="585"/>
        <v>2160</v>
      </c>
      <c r="AR1752" s="23">
        <f t="shared" si="586"/>
        <v>2271</v>
      </c>
      <c r="AS1752">
        <f t="shared" si="591"/>
        <v>2266</v>
      </c>
      <c r="AT1752" s="21">
        <f t="shared" si="592"/>
        <v>2271</v>
      </c>
      <c r="AU1752" s="21"/>
      <c r="AV1752" s="21"/>
      <c r="AW1752" s="21"/>
    </row>
    <row r="1753" spans="1:49" x14ac:dyDescent="0.2">
      <c r="A1753">
        <v>920</v>
      </c>
      <c r="E1753">
        <f t="shared" si="587"/>
        <v>3</v>
      </c>
      <c r="J1753" t="str">
        <f t="shared" si="594"/>
        <v>16</v>
      </c>
      <c r="K1753" t="str">
        <f t="shared" si="595"/>
        <v>09</v>
      </c>
      <c r="L1753" t="str">
        <f t="shared" si="596"/>
        <v/>
      </c>
      <c r="M1753" s="6" t="str">
        <f t="shared" si="597"/>
        <v/>
      </c>
      <c r="N1753" t="str">
        <f t="shared" si="593"/>
        <v>Away</v>
      </c>
      <c r="O1753">
        <v>52</v>
      </c>
      <c r="P1753" t="s">
        <v>424</v>
      </c>
      <c r="Y1753" t="str">
        <f t="shared" si="580"/>
        <v/>
      </c>
      <c r="Z1753" t="str">
        <f t="shared" si="581"/>
        <v/>
      </c>
      <c r="AC1753" t="str">
        <f t="shared" si="577"/>
        <v>Pass</v>
      </c>
      <c r="AD1753" t="str">
        <f t="shared" si="578"/>
        <v>Pass_Completed</v>
      </c>
      <c r="AE1753" t="str">
        <f t="shared" si="579"/>
        <v>Pass-Forehand</v>
      </c>
      <c r="AF1753" t="str">
        <f t="shared" si="582"/>
        <v>Offensive</v>
      </c>
      <c r="AG1753">
        <f t="shared" si="588"/>
        <v>18981</v>
      </c>
      <c r="AH1753" t="str">
        <f t="shared" si="589"/>
        <v>Nelson</v>
      </c>
      <c r="AI1753" t="str">
        <f t="shared" si="590"/>
        <v>Velodrome</v>
      </c>
      <c r="AJ1753" s="18">
        <f t="shared" si="583"/>
        <v>0</v>
      </c>
      <c r="AP1753" s="18">
        <f t="shared" si="584"/>
        <v>0</v>
      </c>
      <c r="AQ1753">
        <f t="shared" si="585"/>
        <v>2160</v>
      </c>
      <c r="AR1753" s="23">
        <f t="shared" si="586"/>
        <v>2271</v>
      </c>
      <c r="AS1753">
        <f t="shared" si="591"/>
        <v>2266</v>
      </c>
      <c r="AT1753" s="21">
        <f t="shared" si="592"/>
        <v>2271</v>
      </c>
      <c r="AU1753" s="21"/>
      <c r="AV1753" s="21"/>
      <c r="AW1753" s="21"/>
    </row>
    <row r="1754" spans="1:49" x14ac:dyDescent="0.2">
      <c r="A1754">
        <v>921</v>
      </c>
      <c r="E1754">
        <f t="shared" si="587"/>
        <v>3</v>
      </c>
      <c r="F1754" s="5" t="s">
        <v>477</v>
      </c>
      <c r="G1754" s="5" t="s">
        <v>483</v>
      </c>
      <c r="J1754" t="str">
        <f t="shared" si="594"/>
        <v>16</v>
      </c>
      <c r="K1754" t="str">
        <f t="shared" si="595"/>
        <v>08</v>
      </c>
      <c r="L1754" t="str">
        <f t="shared" si="596"/>
        <v/>
      </c>
      <c r="M1754" s="6" t="str">
        <f t="shared" si="597"/>
        <v/>
      </c>
      <c r="N1754" t="s">
        <v>179</v>
      </c>
      <c r="O1754">
        <v>52</v>
      </c>
      <c r="P1754" t="s">
        <v>424</v>
      </c>
      <c r="Q1754" t="s">
        <v>10</v>
      </c>
      <c r="R1754" t="s">
        <v>190</v>
      </c>
      <c r="S1754" t="s">
        <v>448</v>
      </c>
      <c r="Y1754" t="str">
        <f t="shared" si="580"/>
        <v/>
      </c>
      <c r="Z1754" t="str">
        <f t="shared" si="581"/>
        <v/>
      </c>
      <c r="AC1754" t="str">
        <f t="shared" si="577"/>
        <v>Turnover</v>
      </c>
      <c r="AD1754" t="str">
        <f t="shared" si="578"/>
        <v>Turnover_Giveaway</v>
      </c>
      <c r="AE1754" t="str">
        <f t="shared" si="579"/>
        <v>Giveaway-DumpInZone</v>
      </c>
      <c r="AF1754" t="str">
        <f t="shared" si="582"/>
        <v>Offensive</v>
      </c>
      <c r="AG1754">
        <f t="shared" si="588"/>
        <v>18981</v>
      </c>
      <c r="AH1754" t="str">
        <f t="shared" si="589"/>
        <v>Nelson</v>
      </c>
      <c r="AI1754" t="str">
        <f t="shared" si="590"/>
        <v>Velodrome</v>
      </c>
      <c r="AJ1754" s="18">
        <f t="shared" si="583"/>
        <v>0</v>
      </c>
      <c r="AP1754" s="18">
        <f t="shared" si="584"/>
        <v>0</v>
      </c>
      <c r="AQ1754">
        <f t="shared" si="585"/>
        <v>2160</v>
      </c>
      <c r="AR1754" s="23">
        <f t="shared" si="586"/>
        <v>2272</v>
      </c>
      <c r="AS1754">
        <f t="shared" si="591"/>
        <v>2267</v>
      </c>
      <c r="AT1754" s="21">
        <f t="shared" si="592"/>
        <v>2272</v>
      </c>
      <c r="AU1754" s="21"/>
      <c r="AV1754" s="21"/>
      <c r="AW1754" s="21"/>
    </row>
    <row r="1755" spans="1:49" x14ac:dyDescent="0.2">
      <c r="A1755">
        <v>921</v>
      </c>
      <c r="E1755">
        <f t="shared" si="587"/>
        <v>3</v>
      </c>
      <c r="J1755" t="str">
        <f t="shared" si="594"/>
        <v>16</v>
      </c>
      <c r="K1755" t="str">
        <f t="shared" si="595"/>
        <v>08</v>
      </c>
      <c r="L1755" t="str">
        <f t="shared" si="596"/>
        <v/>
      </c>
      <c r="M1755" s="6" t="str">
        <f t="shared" si="597"/>
        <v/>
      </c>
      <c r="N1755" t="str">
        <f t="shared" si="593"/>
        <v>Away</v>
      </c>
      <c r="O1755">
        <v>79</v>
      </c>
      <c r="P1755" t="s">
        <v>425</v>
      </c>
      <c r="Y1755" t="str">
        <f t="shared" si="580"/>
        <v/>
      </c>
      <c r="Z1755" t="str">
        <f t="shared" si="581"/>
        <v/>
      </c>
      <c r="AC1755" t="str">
        <f t="shared" si="577"/>
        <v>Turnover</v>
      </c>
      <c r="AD1755" t="str">
        <f t="shared" si="578"/>
        <v>Turnover_Giveaway</v>
      </c>
      <c r="AE1755" t="str">
        <f t="shared" si="579"/>
        <v>Giveaway-DumpInZone</v>
      </c>
      <c r="AF1755" t="str">
        <f t="shared" si="582"/>
        <v>Defensive</v>
      </c>
      <c r="AG1755">
        <f t="shared" si="588"/>
        <v>18981</v>
      </c>
      <c r="AH1755" t="str">
        <f t="shared" si="589"/>
        <v>Nelson</v>
      </c>
      <c r="AI1755" t="str">
        <f t="shared" si="590"/>
        <v>Velodrome</v>
      </c>
      <c r="AJ1755" s="18">
        <f t="shared" si="583"/>
        <v>0</v>
      </c>
      <c r="AP1755" s="18">
        <f t="shared" si="584"/>
        <v>0</v>
      </c>
      <c r="AQ1755">
        <f t="shared" si="585"/>
        <v>2160</v>
      </c>
      <c r="AR1755" s="23">
        <f t="shared" si="586"/>
        <v>2272</v>
      </c>
      <c r="AS1755">
        <f t="shared" si="591"/>
        <v>2267</v>
      </c>
      <c r="AT1755" s="21">
        <f t="shared" si="592"/>
        <v>2272</v>
      </c>
      <c r="AU1755" s="21"/>
      <c r="AV1755" s="21"/>
      <c r="AW1755" s="21"/>
    </row>
    <row r="1756" spans="1:49" x14ac:dyDescent="0.2">
      <c r="A1756">
        <v>922</v>
      </c>
      <c r="E1756">
        <f t="shared" si="587"/>
        <v>3</v>
      </c>
      <c r="F1756" s="5" t="s">
        <v>477</v>
      </c>
      <c r="G1756" s="5" t="s">
        <v>483</v>
      </c>
      <c r="J1756" t="str">
        <f t="shared" si="594"/>
        <v>16</v>
      </c>
      <c r="K1756" t="str">
        <f t="shared" si="595"/>
        <v>08</v>
      </c>
      <c r="L1756" t="str">
        <f t="shared" si="596"/>
        <v/>
      </c>
      <c r="M1756" s="6" t="str">
        <f t="shared" si="597"/>
        <v/>
      </c>
      <c r="N1756" t="s">
        <v>178</v>
      </c>
      <c r="O1756">
        <v>8</v>
      </c>
      <c r="P1756" t="s">
        <v>424</v>
      </c>
      <c r="Q1756" t="s">
        <v>8</v>
      </c>
      <c r="R1756" t="s">
        <v>189</v>
      </c>
      <c r="S1756" t="s">
        <v>67</v>
      </c>
      <c r="Y1756" t="str">
        <f t="shared" si="580"/>
        <v/>
      </c>
      <c r="Z1756" t="str">
        <f t="shared" si="581"/>
        <v/>
      </c>
      <c r="AC1756" t="str">
        <f t="shared" si="577"/>
        <v>Pass</v>
      </c>
      <c r="AD1756" t="str">
        <f t="shared" si="578"/>
        <v>Pass_Completed</v>
      </c>
      <c r="AE1756" t="str">
        <f t="shared" si="579"/>
        <v>Pass-Stretch</v>
      </c>
      <c r="AF1756" t="str">
        <f t="shared" si="582"/>
        <v>Offensive</v>
      </c>
      <c r="AG1756">
        <f t="shared" si="588"/>
        <v>18981</v>
      </c>
      <c r="AH1756" t="str">
        <f t="shared" si="589"/>
        <v>Nelson</v>
      </c>
      <c r="AI1756" t="str">
        <f t="shared" si="590"/>
        <v>Velodrome</v>
      </c>
      <c r="AJ1756" s="18">
        <f t="shared" si="583"/>
        <v>0</v>
      </c>
      <c r="AP1756" s="18">
        <f t="shared" si="584"/>
        <v>0</v>
      </c>
      <c r="AQ1756">
        <f t="shared" si="585"/>
        <v>2160</v>
      </c>
      <c r="AR1756" s="23">
        <f t="shared" si="586"/>
        <v>2272</v>
      </c>
      <c r="AS1756">
        <f t="shared" si="591"/>
        <v>2267</v>
      </c>
      <c r="AT1756" s="21">
        <f t="shared" si="592"/>
        <v>2272</v>
      </c>
      <c r="AU1756" s="21"/>
      <c r="AV1756" s="21"/>
      <c r="AW1756" s="21"/>
    </row>
    <row r="1757" spans="1:49" x14ac:dyDescent="0.2">
      <c r="A1757">
        <v>922</v>
      </c>
      <c r="E1757">
        <f t="shared" si="587"/>
        <v>3</v>
      </c>
      <c r="J1757" t="str">
        <f t="shared" si="594"/>
        <v>16</v>
      </c>
      <c r="K1757" t="str">
        <f t="shared" si="595"/>
        <v>08</v>
      </c>
      <c r="L1757" t="str">
        <f t="shared" si="596"/>
        <v/>
      </c>
      <c r="M1757" s="6" t="str">
        <f t="shared" si="597"/>
        <v/>
      </c>
      <c r="N1757" t="str">
        <f t="shared" si="593"/>
        <v>Home</v>
      </c>
      <c r="O1757">
        <v>44</v>
      </c>
      <c r="P1757" t="s">
        <v>424</v>
      </c>
      <c r="Y1757" t="str">
        <f t="shared" si="580"/>
        <v/>
      </c>
      <c r="Z1757" t="str">
        <f t="shared" si="581"/>
        <v/>
      </c>
      <c r="AC1757" t="str">
        <f t="shared" si="577"/>
        <v>Pass</v>
      </c>
      <c r="AD1757" t="str">
        <f t="shared" si="578"/>
        <v>Pass_Completed</v>
      </c>
      <c r="AE1757" t="str">
        <f t="shared" si="579"/>
        <v>Pass-Stretch</v>
      </c>
      <c r="AF1757" t="str">
        <f t="shared" si="582"/>
        <v>Offensive</v>
      </c>
      <c r="AG1757">
        <f t="shared" si="588"/>
        <v>18981</v>
      </c>
      <c r="AH1757" t="str">
        <f t="shared" si="589"/>
        <v>Nelson</v>
      </c>
      <c r="AI1757" t="str">
        <f t="shared" si="590"/>
        <v>Velodrome</v>
      </c>
      <c r="AJ1757" s="18">
        <f t="shared" si="583"/>
        <v>0</v>
      </c>
      <c r="AP1757" s="18">
        <f t="shared" si="584"/>
        <v>0</v>
      </c>
      <c r="AQ1757">
        <f t="shared" si="585"/>
        <v>2160</v>
      </c>
      <c r="AR1757" s="23">
        <f t="shared" si="586"/>
        <v>2272</v>
      </c>
      <c r="AS1757">
        <f t="shared" si="591"/>
        <v>2267</v>
      </c>
      <c r="AT1757" s="21">
        <f t="shared" si="592"/>
        <v>2272</v>
      </c>
      <c r="AU1757" s="21"/>
      <c r="AV1757" s="21"/>
      <c r="AW1757" s="21"/>
    </row>
    <row r="1758" spans="1:49" x14ac:dyDescent="0.2">
      <c r="A1758">
        <v>923</v>
      </c>
      <c r="E1758">
        <f t="shared" si="587"/>
        <v>3</v>
      </c>
      <c r="F1758" s="5" t="s">
        <v>477</v>
      </c>
      <c r="G1758" s="5" t="s">
        <v>483</v>
      </c>
      <c r="J1758" t="str">
        <f t="shared" si="594"/>
        <v>16</v>
      </c>
      <c r="K1758" t="str">
        <f t="shared" si="595"/>
        <v>08</v>
      </c>
      <c r="L1758" t="str">
        <f t="shared" si="596"/>
        <v/>
      </c>
      <c r="M1758" s="6" t="str">
        <f t="shared" si="597"/>
        <v/>
      </c>
      <c r="N1758" t="s">
        <v>178</v>
      </c>
      <c r="O1758">
        <v>8</v>
      </c>
      <c r="P1758" t="s">
        <v>424</v>
      </c>
      <c r="Q1758" t="s">
        <v>277</v>
      </c>
      <c r="R1758" t="s">
        <v>201</v>
      </c>
      <c r="S1758" t="s">
        <v>91</v>
      </c>
      <c r="Y1758" t="str">
        <f t="shared" si="580"/>
        <v/>
      </c>
      <c r="Z1758" t="str">
        <f t="shared" si="581"/>
        <v/>
      </c>
      <c r="AC1758" t="str">
        <f t="shared" si="577"/>
        <v>Zone_Entry_Exit</v>
      </c>
      <c r="AD1758" t="str">
        <f t="shared" si="578"/>
        <v>Zone_Exit</v>
      </c>
      <c r="AE1758" t="str">
        <f t="shared" si="579"/>
        <v>ZoneExit-Pass</v>
      </c>
      <c r="AF1758" t="str">
        <f t="shared" si="582"/>
        <v>Offensive</v>
      </c>
      <c r="AG1758">
        <f t="shared" si="588"/>
        <v>18981</v>
      </c>
      <c r="AH1758" t="str">
        <f t="shared" si="589"/>
        <v>Nelson</v>
      </c>
      <c r="AI1758" t="str">
        <f t="shared" si="590"/>
        <v>Velodrome</v>
      </c>
      <c r="AJ1758" s="18">
        <f t="shared" si="583"/>
        <v>0</v>
      </c>
      <c r="AP1758" s="18">
        <f t="shared" si="584"/>
        <v>0</v>
      </c>
      <c r="AQ1758">
        <f t="shared" si="585"/>
        <v>2160</v>
      </c>
      <c r="AR1758" s="23">
        <f t="shared" si="586"/>
        <v>2272</v>
      </c>
      <c r="AS1758">
        <f t="shared" si="591"/>
        <v>2267</v>
      </c>
      <c r="AT1758" s="21">
        <f t="shared" si="592"/>
        <v>2272</v>
      </c>
      <c r="AU1758" s="21"/>
      <c r="AV1758" s="21"/>
      <c r="AW1758" s="21"/>
    </row>
    <row r="1759" spans="1:49" x14ac:dyDescent="0.2">
      <c r="A1759">
        <v>923</v>
      </c>
      <c r="E1759">
        <f t="shared" si="587"/>
        <v>3</v>
      </c>
      <c r="J1759" t="str">
        <f t="shared" si="594"/>
        <v>16</v>
      </c>
      <c r="K1759" t="str">
        <f t="shared" si="595"/>
        <v>08</v>
      </c>
      <c r="L1759" t="str">
        <f t="shared" si="596"/>
        <v/>
      </c>
      <c r="M1759" s="6" t="str">
        <f t="shared" si="597"/>
        <v/>
      </c>
      <c r="N1759" t="str">
        <f t="shared" si="593"/>
        <v>Home</v>
      </c>
      <c r="O1759">
        <v>44</v>
      </c>
      <c r="P1759" t="s">
        <v>424</v>
      </c>
      <c r="Y1759" t="str">
        <f t="shared" si="580"/>
        <v/>
      </c>
      <c r="Z1759" t="str">
        <f t="shared" si="581"/>
        <v/>
      </c>
      <c r="AC1759" t="str">
        <f t="shared" si="577"/>
        <v>Zone_Entry_Exit</v>
      </c>
      <c r="AD1759" t="str">
        <f t="shared" si="578"/>
        <v>Zone_Exit</v>
      </c>
      <c r="AE1759" t="str">
        <f t="shared" si="579"/>
        <v>ZoneExit-Pass</v>
      </c>
      <c r="AF1759" t="str">
        <f t="shared" si="582"/>
        <v>Offensive</v>
      </c>
      <c r="AG1759">
        <f t="shared" si="588"/>
        <v>18981</v>
      </c>
      <c r="AH1759" t="str">
        <f t="shared" si="589"/>
        <v>Nelson</v>
      </c>
      <c r="AI1759" t="str">
        <f t="shared" si="590"/>
        <v>Velodrome</v>
      </c>
      <c r="AJ1759" s="18">
        <f t="shared" si="583"/>
        <v>0</v>
      </c>
      <c r="AP1759" s="18">
        <f t="shared" si="584"/>
        <v>0</v>
      </c>
      <c r="AQ1759">
        <f t="shared" si="585"/>
        <v>2160</v>
      </c>
      <c r="AR1759" s="23">
        <f t="shared" si="586"/>
        <v>2272</v>
      </c>
      <c r="AS1759">
        <f t="shared" si="591"/>
        <v>2267</v>
      </c>
      <c r="AT1759" s="21">
        <f t="shared" si="592"/>
        <v>2272</v>
      </c>
      <c r="AU1759" s="21"/>
      <c r="AV1759" s="21"/>
      <c r="AW1759" s="21"/>
    </row>
    <row r="1760" spans="1:49" x14ac:dyDescent="0.2">
      <c r="A1760">
        <v>924</v>
      </c>
      <c r="E1760">
        <f t="shared" si="587"/>
        <v>3</v>
      </c>
      <c r="F1760" s="5" t="s">
        <v>477</v>
      </c>
      <c r="G1760" s="5" t="s">
        <v>476</v>
      </c>
      <c r="H1760" s="5" t="s">
        <v>477</v>
      </c>
      <c r="I1760" s="7" t="s">
        <v>471</v>
      </c>
      <c r="J1760" t="str">
        <f t="shared" si="594"/>
        <v>16</v>
      </c>
      <c r="K1760" t="str">
        <f t="shared" si="595"/>
        <v>06</v>
      </c>
      <c r="L1760" t="str">
        <f t="shared" si="596"/>
        <v>16</v>
      </c>
      <c r="M1760" s="6" t="str">
        <f t="shared" si="597"/>
        <v>01</v>
      </c>
      <c r="N1760" t="s">
        <v>178</v>
      </c>
      <c r="O1760">
        <v>44</v>
      </c>
      <c r="P1760" t="s">
        <v>424</v>
      </c>
      <c r="Q1760" t="s">
        <v>15</v>
      </c>
      <c r="Y1760" t="str">
        <f t="shared" si="580"/>
        <v/>
      </c>
      <c r="Z1760" t="str">
        <f t="shared" si="581"/>
        <v/>
      </c>
      <c r="AC1760" t="str">
        <f t="shared" si="577"/>
        <v>Possession</v>
      </c>
      <c r="AD1760" t="str">
        <f t="shared" si="578"/>
        <v/>
      </c>
      <c r="AE1760" t="str">
        <f t="shared" si="579"/>
        <v/>
      </c>
      <c r="AF1760" t="str">
        <f t="shared" si="582"/>
        <v>Offensive</v>
      </c>
      <c r="AG1760">
        <f t="shared" si="588"/>
        <v>18981</v>
      </c>
      <c r="AH1760" t="str">
        <f t="shared" si="589"/>
        <v>Nelson</v>
      </c>
      <c r="AI1760" t="str">
        <f t="shared" si="590"/>
        <v>Velodrome</v>
      </c>
      <c r="AJ1760" s="18">
        <f t="shared" si="583"/>
        <v>5</v>
      </c>
      <c r="AP1760" s="18">
        <f t="shared" si="584"/>
        <v>0</v>
      </c>
      <c r="AQ1760">
        <f t="shared" si="585"/>
        <v>2160</v>
      </c>
      <c r="AR1760" s="23">
        <f t="shared" si="586"/>
        <v>2274</v>
      </c>
      <c r="AS1760">
        <f t="shared" si="591"/>
        <v>2269</v>
      </c>
      <c r="AT1760" s="21">
        <f t="shared" si="592"/>
        <v>2279</v>
      </c>
      <c r="AU1760" s="21"/>
      <c r="AV1760" s="21"/>
      <c r="AW1760" s="21"/>
    </row>
    <row r="1761" spans="1:49" x14ac:dyDescent="0.2">
      <c r="A1761">
        <v>925</v>
      </c>
      <c r="E1761">
        <f t="shared" si="587"/>
        <v>3</v>
      </c>
      <c r="F1761" s="5" t="s">
        <v>477</v>
      </c>
      <c r="G1761" s="5" t="s">
        <v>471</v>
      </c>
      <c r="H1761" s="5" t="s">
        <v>477</v>
      </c>
      <c r="I1761" s="7" t="s">
        <v>475</v>
      </c>
      <c r="J1761" t="str">
        <f t="shared" si="594"/>
        <v>16</v>
      </c>
      <c r="K1761" t="str">
        <f t="shared" si="595"/>
        <v>01</v>
      </c>
      <c r="L1761" t="str">
        <f t="shared" si="596"/>
        <v>16</v>
      </c>
      <c r="M1761" s="6" t="str">
        <f t="shared" si="597"/>
        <v>00</v>
      </c>
      <c r="N1761" t="s">
        <v>178</v>
      </c>
      <c r="O1761">
        <v>44</v>
      </c>
      <c r="P1761" t="s">
        <v>424</v>
      </c>
      <c r="Q1761" t="s">
        <v>277</v>
      </c>
      <c r="R1761" t="s">
        <v>191</v>
      </c>
      <c r="S1761" t="s">
        <v>87</v>
      </c>
      <c r="Y1761" t="str">
        <f t="shared" si="580"/>
        <v/>
      </c>
      <c r="Z1761" t="str">
        <f t="shared" si="581"/>
        <v/>
      </c>
      <c r="AC1761" t="str">
        <f t="shared" si="577"/>
        <v>Zone_Entry_Exit</v>
      </c>
      <c r="AD1761" t="str">
        <f t="shared" si="578"/>
        <v>Zone_Entry</v>
      </c>
      <c r="AE1761" t="str">
        <f t="shared" si="579"/>
        <v>ZoneEntry-Rush</v>
      </c>
      <c r="AF1761" t="str">
        <f t="shared" si="582"/>
        <v>Offensive</v>
      </c>
      <c r="AG1761">
        <f t="shared" si="588"/>
        <v>18981</v>
      </c>
      <c r="AH1761" t="str">
        <f t="shared" si="589"/>
        <v>Nelson</v>
      </c>
      <c r="AI1761" t="str">
        <f t="shared" si="590"/>
        <v>Velodrome</v>
      </c>
      <c r="AJ1761" s="18">
        <f t="shared" si="583"/>
        <v>1</v>
      </c>
      <c r="AP1761" s="18">
        <f t="shared" si="584"/>
        <v>0</v>
      </c>
      <c r="AQ1761">
        <f t="shared" si="585"/>
        <v>2160</v>
      </c>
      <c r="AR1761" s="23">
        <f t="shared" si="586"/>
        <v>2279</v>
      </c>
      <c r="AS1761">
        <f t="shared" si="591"/>
        <v>2274</v>
      </c>
      <c r="AT1761" s="21">
        <f t="shared" si="592"/>
        <v>2280</v>
      </c>
      <c r="AU1761" s="21"/>
      <c r="AV1761" s="21"/>
      <c r="AW1761" s="21"/>
    </row>
    <row r="1762" spans="1:49" x14ac:dyDescent="0.2">
      <c r="A1762">
        <v>925</v>
      </c>
      <c r="E1762">
        <f t="shared" si="587"/>
        <v>3</v>
      </c>
      <c r="J1762" t="str">
        <f t="shared" si="594"/>
        <v>16</v>
      </c>
      <c r="K1762" t="str">
        <f t="shared" si="595"/>
        <v>01</v>
      </c>
      <c r="L1762" t="str">
        <f t="shared" si="596"/>
        <v>16</v>
      </c>
      <c r="M1762" s="6" t="str">
        <f t="shared" si="597"/>
        <v>00</v>
      </c>
      <c r="N1762" t="str">
        <f t="shared" si="593"/>
        <v>Home</v>
      </c>
      <c r="O1762">
        <v>3</v>
      </c>
      <c r="P1762" t="s">
        <v>424</v>
      </c>
      <c r="Y1762" t="str">
        <f t="shared" si="580"/>
        <v/>
      </c>
      <c r="Z1762" t="str">
        <f t="shared" si="581"/>
        <v/>
      </c>
      <c r="AC1762" t="str">
        <f t="shared" si="577"/>
        <v>Zone_Entry_Exit</v>
      </c>
      <c r="AD1762" t="str">
        <f t="shared" si="578"/>
        <v>Zone_Entry</v>
      </c>
      <c r="AE1762" t="str">
        <f t="shared" si="579"/>
        <v>ZoneEntry-Rush</v>
      </c>
      <c r="AF1762" t="str">
        <f t="shared" si="582"/>
        <v>Offensive</v>
      </c>
      <c r="AG1762">
        <f t="shared" si="588"/>
        <v>18981</v>
      </c>
      <c r="AH1762" t="str">
        <f t="shared" si="589"/>
        <v>Nelson</v>
      </c>
      <c r="AI1762" t="str">
        <f t="shared" si="590"/>
        <v>Velodrome</v>
      </c>
      <c r="AJ1762" s="18">
        <f t="shared" si="583"/>
        <v>1</v>
      </c>
      <c r="AP1762" s="18">
        <f t="shared" si="584"/>
        <v>0</v>
      </c>
      <c r="AQ1762">
        <f t="shared" si="585"/>
        <v>2160</v>
      </c>
      <c r="AR1762" s="23">
        <f t="shared" si="586"/>
        <v>2279</v>
      </c>
      <c r="AS1762">
        <f t="shared" si="591"/>
        <v>2274</v>
      </c>
      <c r="AT1762" s="21">
        <f t="shared" si="592"/>
        <v>2280</v>
      </c>
      <c r="AU1762" s="21"/>
      <c r="AV1762" s="21"/>
      <c r="AW1762" s="21"/>
    </row>
    <row r="1763" spans="1:49" x14ac:dyDescent="0.2">
      <c r="A1763">
        <v>925</v>
      </c>
      <c r="E1763">
        <f t="shared" si="587"/>
        <v>3</v>
      </c>
      <c r="J1763" t="str">
        <f t="shared" si="594"/>
        <v>16</v>
      </c>
      <c r="K1763" t="str">
        <f t="shared" si="595"/>
        <v>01</v>
      </c>
      <c r="L1763" t="str">
        <f t="shared" si="596"/>
        <v>16</v>
      </c>
      <c r="M1763" s="6" t="str">
        <f t="shared" si="597"/>
        <v>00</v>
      </c>
      <c r="N1763" t="str">
        <f t="shared" si="593"/>
        <v>Home</v>
      </c>
      <c r="O1763">
        <v>22</v>
      </c>
      <c r="P1763" t="s">
        <v>425</v>
      </c>
      <c r="Y1763" t="str">
        <f t="shared" si="580"/>
        <v/>
      </c>
      <c r="Z1763" t="str">
        <f t="shared" si="581"/>
        <v/>
      </c>
      <c r="AC1763" t="str">
        <f t="shared" si="577"/>
        <v>Zone_Entry_Exit</v>
      </c>
      <c r="AD1763" t="str">
        <f t="shared" si="578"/>
        <v>Zone_Entry</v>
      </c>
      <c r="AE1763" t="str">
        <f t="shared" si="579"/>
        <v>ZoneEntry-Rush</v>
      </c>
      <c r="AF1763" t="str">
        <f t="shared" si="582"/>
        <v>Defensive</v>
      </c>
      <c r="AG1763">
        <f t="shared" si="588"/>
        <v>18981</v>
      </c>
      <c r="AH1763" t="str">
        <f t="shared" si="589"/>
        <v>Nelson</v>
      </c>
      <c r="AI1763" t="str">
        <f t="shared" si="590"/>
        <v>Velodrome</v>
      </c>
      <c r="AJ1763" s="18">
        <f t="shared" si="583"/>
        <v>1</v>
      </c>
      <c r="AP1763" s="18">
        <f t="shared" si="584"/>
        <v>0</v>
      </c>
      <c r="AQ1763">
        <f t="shared" si="585"/>
        <v>2160</v>
      </c>
      <c r="AR1763" s="23">
        <f t="shared" si="586"/>
        <v>2279</v>
      </c>
      <c r="AS1763">
        <f t="shared" si="591"/>
        <v>2274</v>
      </c>
      <c r="AT1763" s="21">
        <f t="shared" si="592"/>
        <v>2280</v>
      </c>
      <c r="AU1763" s="21"/>
      <c r="AV1763" s="21"/>
      <c r="AW1763" s="21"/>
    </row>
    <row r="1764" spans="1:49" x14ac:dyDescent="0.2">
      <c r="A1764">
        <v>925</v>
      </c>
      <c r="E1764">
        <f t="shared" si="587"/>
        <v>3</v>
      </c>
      <c r="J1764" t="str">
        <f t="shared" si="594"/>
        <v>16</v>
      </c>
      <c r="K1764" t="str">
        <f t="shared" si="595"/>
        <v>01</v>
      </c>
      <c r="L1764" t="str">
        <f t="shared" si="596"/>
        <v>16</v>
      </c>
      <c r="M1764" s="6" t="str">
        <f t="shared" si="597"/>
        <v>00</v>
      </c>
      <c r="N1764" t="str">
        <f t="shared" si="593"/>
        <v>Home</v>
      </c>
      <c r="O1764">
        <v>52</v>
      </c>
      <c r="P1764" t="s">
        <v>425</v>
      </c>
      <c r="Y1764" t="str">
        <f t="shared" si="580"/>
        <v/>
      </c>
      <c r="Z1764" t="str">
        <f t="shared" si="581"/>
        <v/>
      </c>
      <c r="AC1764" t="str">
        <f t="shared" si="577"/>
        <v>Zone_Entry_Exit</v>
      </c>
      <c r="AD1764" t="str">
        <f t="shared" si="578"/>
        <v>Zone_Entry</v>
      </c>
      <c r="AE1764" t="str">
        <f t="shared" si="579"/>
        <v>ZoneEntry-Rush</v>
      </c>
      <c r="AF1764" t="str">
        <f t="shared" si="582"/>
        <v>Defensive</v>
      </c>
      <c r="AG1764">
        <f t="shared" si="588"/>
        <v>18981</v>
      </c>
      <c r="AH1764" t="str">
        <f t="shared" si="589"/>
        <v>Nelson</v>
      </c>
      <c r="AI1764" t="str">
        <f t="shared" si="590"/>
        <v>Velodrome</v>
      </c>
      <c r="AJ1764" s="18">
        <f t="shared" si="583"/>
        <v>1</v>
      </c>
      <c r="AP1764" s="18">
        <f t="shared" si="584"/>
        <v>0</v>
      </c>
      <c r="AQ1764">
        <f t="shared" si="585"/>
        <v>2160</v>
      </c>
      <c r="AR1764" s="23">
        <f t="shared" si="586"/>
        <v>2279</v>
      </c>
      <c r="AS1764">
        <f t="shared" si="591"/>
        <v>2274</v>
      </c>
      <c r="AT1764" s="21">
        <f t="shared" si="592"/>
        <v>2280</v>
      </c>
      <c r="AU1764" s="21"/>
      <c r="AV1764" s="21"/>
      <c r="AW1764" s="21"/>
    </row>
    <row r="1765" spans="1:49" x14ac:dyDescent="0.2">
      <c r="A1765">
        <v>926</v>
      </c>
      <c r="E1765">
        <f t="shared" si="587"/>
        <v>3</v>
      </c>
      <c r="F1765" s="5" t="s">
        <v>477</v>
      </c>
      <c r="G1765" s="5" t="s">
        <v>475</v>
      </c>
      <c r="J1765" t="str">
        <f t="shared" si="594"/>
        <v>16</v>
      </c>
      <c r="K1765" t="str">
        <f t="shared" si="595"/>
        <v>00</v>
      </c>
      <c r="L1765" t="str">
        <f t="shared" si="596"/>
        <v/>
      </c>
      <c r="M1765" s="6" t="str">
        <f t="shared" si="597"/>
        <v/>
      </c>
      <c r="N1765" t="s">
        <v>178</v>
      </c>
      <c r="O1765">
        <v>44</v>
      </c>
      <c r="P1765" t="s">
        <v>424</v>
      </c>
      <c r="Q1765" t="s">
        <v>7</v>
      </c>
      <c r="R1765" t="s">
        <v>198</v>
      </c>
      <c r="S1765" t="s">
        <v>53</v>
      </c>
      <c r="Y1765" t="str">
        <f t="shared" si="580"/>
        <v/>
      </c>
      <c r="Z1765" t="str">
        <f t="shared" si="581"/>
        <v/>
      </c>
      <c r="AC1765" t="str">
        <f t="shared" si="577"/>
        <v>Shot</v>
      </c>
      <c r="AD1765" t="str">
        <f t="shared" si="578"/>
        <v>Shot_Missed</v>
      </c>
      <c r="AE1765" t="str">
        <f t="shared" si="579"/>
        <v>Shot-Wrist</v>
      </c>
      <c r="AF1765" t="str">
        <f t="shared" si="582"/>
        <v>Offensive</v>
      </c>
      <c r="AG1765">
        <f t="shared" si="588"/>
        <v>18981</v>
      </c>
      <c r="AH1765" t="str">
        <f t="shared" si="589"/>
        <v>Nelson</v>
      </c>
      <c r="AI1765" t="str">
        <f t="shared" si="590"/>
        <v>Velodrome</v>
      </c>
      <c r="AJ1765" s="18">
        <f t="shared" si="583"/>
        <v>0</v>
      </c>
      <c r="AP1765" s="18">
        <f t="shared" si="584"/>
        <v>0</v>
      </c>
      <c r="AQ1765">
        <f t="shared" si="585"/>
        <v>2160</v>
      </c>
      <c r="AR1765" s="23">
        <f t="shared" si="586"/>
        <v>2280</v>
      </c>
      <c r="AS1765">
        <f t="shared" si="591"/>
        <v>2275</v>
      </c>
      <c r="AT1765" s="21">
        <f t="shared" si="592"/>
        <v>2280</v>
      </c>
      <c r="AU1765" s="21"/>
      <c r="AV1765" s="21"/>
      <c r="AW1765" s="21"/>
    </row>
    <row r="1766" spans="1:49" x14ac:dyDescent="0.2">
      <c r="A1766">
        <v>926</v>
      </c>
      <c r="E1766">
        <f t="shared" si="587"/>
        <v>3</v>
      </c>
      <c r="J1766" t="str">
        <f t="shared" si="594"/>
        <v>16</v>
      </c>
      <c r="K1766" t="str">
        <f t="shared" si="595"/>
        <v>00</v>
      </c>
      <c r="L1766" t="str">
        <f t="shared" si="596"/>
        <v/>
      </c>
      <c r="M1766" s="6" t="str">
        <f t="shared" si="597"/>
        <v/>
      </c>
      <c r="N1766" t="str">
        <f t="shared" si="593"/>
        <v>Home</v>
      </c>
      <c r="O1766">
        <v>22</v>
      </c>
      <c r="P1766" t="s">
        <v>425</v>
      </c>
      <c r="Y1766" t="str">
        <f t="shared" si="580"/>
        <v/>
      </c>
      <c r="Z1766" t="str">
        <f t="shared" si="581"/>
        <v/>
      </c>
      <c r="AC1766" t="str">
        <f t="shared" si="577"/>
        <v>Shot</v>
      </c>
      <c r="AD1766" t="str">
        <f t="shared" si="578"/>
        <v>Shot_Missed</v>
      </c>
      <c r="AE1766" t="str">
        <f t="shared" si="579"/>
        <v>Shot-Wrist</v>
      </c>
      <c r="AF1766" t="str">
        <f t="shared" si="582"/>
        <v>Defensive</v>
      </c>
      <c r="AG1766">
        <f t="shared" si="588"/>
        <v>18981</v>
      </c>
      <c r="AH1766" t="str">
        <f t="shared" si="589"/>
        <v>Nelson</v>
      </c>
      <c r="AI1766" t="str">
        <f t="shared" si="590"/>
        <v>Velodrome</v>
      </c>
      <c r="AJ1766" s="18">
        <f t="shared" si="583"/>
        <v>0</v>
      </c>
      <c r="AP1766" s="18">
        <f t="shared" si="584"/>
        <v>0</v>
      </c>
      <c r="AQ1766">
        <f t="shared" si="585"/>
        <v>2160</v>
      </c>
      <c r="AR1766" s="23">
        <f t="shared" si="586"/>
        <v>2280</v>
      </c>
      <c r="AS1766">
        <f t="shared" si="591"/>
        <v>2275</v>
      </c>
      <c r="AT1766" s="21">
        <f t="shared" si="592"/>
        <v>2280</v>
      </c>
      <c r="AU1766" s="21"/>
      <c r="AV1766" s="21"/>
      <c r="AW1766" s="21"/>
    </row>
    <row r="1767" spans="1:49" x14ac:dyDescent="0.2">
      <c r="A1767">
        <v>927</v>
      </c>
      <c r="E1767">
        <f t="shared" si="587"/>
        <v>3</v>
      </c>
      <c r="F1767" s="5" t="s">
        <v>478</v>
      </c>
      <c r="G1767" s="5" t="s">
        <v>525</v>
      </c>
      <c r="J1767" t="str">
        <f t="shared" si="594"/>
        <v>15</v>
      </c>
      <c r="K1767" t="str">
        <f t="shared" si="595"/>
        <v>53</v>
      </c>
      <c r="L1767" t="str">
        <f t="shared" si="596"/>
        <v/>
      </c>
      <c r="M1767" s="6" t="str">
        <f t="shared" si="597"/>
        <v/>
      </c>
      <c r="N1767" t="s">
        <v>179</v>
      </c>
      <c r="O1767">
        <v>22</v>
      </c>
      <c r="P1767" t="s">
        <v>424</v>
      </c>
      <c r="Q1767" t="s">
        <v>247</v>
      </c>
      <c r="R1767" t="s">
        <v>446</v>
      </c>
      <c r="S1767" t="s">
        <v>575</v>
      </c>
      <c r="Y1767" t="str">
        <f t="shared" si="580"/>
        <v/>
      </c>
      <c r="Z1767" t="str">
        <f t="shared" si="581"/>
        <v/>
      </c>
      <c r="AC1767" t="str">
        <f t="shared" si="577"/>
        <v>Play</v>
      </c>
      <c r="AD1767" t="str">
        <f t="shared" si="578"/>
        <v>Play_Defensive</v>
      </c>
      <c r="AE1767" t="str">
        <f t="shared" si="579"/>
        <v>Play-AttemptedClear</v>
      </c>
      <c r="AF1767" t="str">
        <f t="shared" si="582"/>
        <v>Defensive</v>
      </c>
      <c r="AG1767">
        <f t="shared" si="588"/>
        <v>18981</v>
      </c>
      <c r="AH1767" t="str">
        <f t="shared" si="589"/>
        <v>Nelson</v>
      </c>
      <c r="AI1767" t="str">
        <f t="shared" si="590"/>
        <v>Velodrome</v>
      </c>
      <c r="AJ1767" s="18">
        <f t="shared" si="583"/>
        <v>0</v>
      </c>
      <c r="AP1767" s="18">
        <f t="shared" si="584"/>
        <v>0</v>
      </c>
      <c r="AQ1767">
        <f t="shared" si="585"/>
        <v>2160</v>
      </c>
      <c r="AR1767" s="23">
        <f t="shared" si="586"/>
        <v>2287</v>
      </c>
      <c r="AS1767">
        <f t="shared" si="591"/>
        <v>2282</v>
      </c>
      <c r="AT1767" s="21">
        <f t="shared" si="592"/>
        <v>2287</v>
      </c>
      <c r="AU1767" s="21"/>
      <c r="AV1767" s="21"/>
      <c r="AW1767" s="21"/>
    </row>
    <row r="1768" spans="1:49" x14ac:dyDescent="0.2">
      <c r="A1768">
        <v>928</v>
      </c>
      <c r="E1768">
        <f t="shared" si="587"/>
        <v>3</v>
      </c>
      <c r="F1768" s="5" t="s">
        <v>478</v>
      </c>
      <c r="G1768" s="5" t="s">
        <v>520</v>
      </c>
      <c r="H1768" s="5" t="s">
        <v>478</v>
      </c>
      <c r="I1768" s="7" t="s">
        <v>519</v>
      </c>
      <c r="J1768" t="str">
        <f t="shared" si="594"/>
        <v>15</v>
      </c>
      <c r="K1768" t="str">
        <f t="shared" si="595"/>
        <v>48</v>
      </c>
      <c r="L1768" t="str">
        <f t="shared" si="596"/>
        <v>15</v>
      </c>
      <c r="M1768" s="6" t="str">
        <f t="shared" si="597"/>
        <v>47</v>
      </c>
      <c r="N1768" t="s">
        <v>179</v>
      </c>
      <c r="O1768">
        <v>70</v>
      </c>
      <c r="P1768" t="s">
        <v>424</v>
      </c>
      <c r="Q1768" t="s">
        <v>277</v>
      </c>
      <c r="R1768" t="s">
        <v>201</v>
      </c>
      <c r="S1768" t="s">
        <v>90</v>
      </c>
      <c r="Y1768" t="str">
        <f t="shared" si="580"/>
        <v/>
      </c>
      <c r="Z1768" t="str">
        <f t="shared" si="581"/>
        <v/>
      </c>
      <c r="AC1768" t="str">
        <f t="shared" si="577"/>
        <v>Zone_Entry_Exit</v>
      </c>
      <c r="AD1768" t="str">
        <f t="shared" si="578"/>
        <v>Zone_Exit</v>
      </c>
      <c r="AE1768" t="str">
        <f t="shared" si="579"/>
        <v>ZoneExit-Rush</v>
      </c>
      <c r="AF1768" t="str">
        <f t="shared" si="582"/>
        <v>Offensive</v>
      </c>
      <c r="AG1768">
        <f t="shared" si="588"/>
        <v>18981</v>
      </c>
      <c r="AH1768" t="str">
        <f t="shared" si="589"/>
        <v>Nelson</v>
      </c>
      <c r="AI1768" t="str">
        <f t="shared" si="590"/>
        <v>Velodrome</v>
      </c>
      <c r="AJ1768" s="18">
        <f t="shared" si="583"/>
        <v>1</v>
      </c>
      <c r="AP1768" s="18">
        <f t="shared" si="584"/>
        <v>0</v>
      </c>
      <c r="AQ1768">
        <f t="shared" si="585"/>
        <v>2160</v>
      </c>
      <c r="AR1768" s="23">
        <f t="shared" si="586"/>
        <v>2292</v>
      </c>
      <c r="AS1768">
        <f t="shared" si="591"/>
        <v>2287</v>
      </c>
      <c r="AT1768" s="21">
        <f t="shared" si="592"/>
        <v>2293</v>
      </c>
      <c r="AU1768" s="21"/>
      <c r="AV1768" s="21"/>
      <c r="AW1768" s="21"/>
    </row>
    <row r="1769" spans="1:49" x14ac:dyDescent="0.2">
      <c r="A1769">
        <v>929</v>
      </c>
      <c r="E1769">
        <f t="shared" si="587"/>
        <v>3</v>
      </c>
      <c r="F1769" s="5" t="s">
        <v>478</v>
      </c>
      <c r="G1769" s="5" t="s">
        <v>519</v>
      </c>
      <c r="H1769" s="5" t="s">
        <v>478</v>
      </c>
      <c r="I1769" s="7" t="s">
        <v>517</v>
      </c>
      <c r="J1769" t="str">
        <f t="shared" si="594"/>
        <v>15</v>
      </c>
      <c r="K1769" t="str">
        <f t="shared" si="595"/>
        <v>47</v>
      </c>
      <c r="L1769" t="str">
        <f t="shared" si="596"/>
        <v>15</v>
      </c>
      <c r="M1769" s="6" t="str">
        <f t="shared" si="597"/>
        <v>45</v>
      </c>
      <c r="N1769" t="s">
        <v>179</v>
      </c>
      <c r="O1769">
        <v>70</v>
      </c>
      <c r="P1769" t="s">
        <v>424</v>
      </c>
      <c r="Q1769" t="s">
        <v>15</v>
      </c>
      <c r="Y1769" t="str">
        <f t="shared" si="580"/>
        <v/>
      </c>
      <c r="Z1769" t="str">
        <f t="shared" si="581"/>
        <v/>
      </c>
      <c r="AC1769" t="str">
        <f t="shared" si="577"/>
        <v>Possession</v>
      </c>
      <c r="AD1769" t="str">
        <f t="shared" si="578"/>
        <v/>
      </c>
      <c r="AE1769" t="str">
        <f t="shared" si="579"/>
        <v/>
      </c>
      <c r="AF1769" t="str">
        <f t="shared" si="582"/>
        <v>Offensive</v>
      </c>
      <c r="AG1769">
        <f t="shared" si="588"/>
        <v>18981</v>
      </c>
      <c r="AH1769" t="str">
        <f t="shared" si="589"/>
        <v>Nelson</v>
      </c>
      <c r="AI1769" t="str">
        <f t="shared" si="590"/>
        <v>Velodrome</v>
      </c>
      <c r="AJ1769" s="18">
        <f t="shared" si="583"/>
        <v>2</v>
      </c>
      <c r="AP1769" s="18">
        <f t="shared" si="584"/>
        <v>0</v>
      </c>
      <c r="AQ1769">
        <f t="shared" si="585"/>
        <v>2160</v>
      </c>
      <c r="AR1769" s="23">
        <f t="shared" si="586"/>
        <v>2293</v>
      </c>
      <c r="AS1769">
        <f t="shared" si="591"/>
        <v>2288</v>
      </c>
      <c r="AT1769" s="21">
        <f t="shared" si="592"/>
        <v>2295</v>
      </c>
      <c r="AU1769" s="21"/>
      <c r="AV1769" s="21"/>
      <c r="AW1769" s="21"/>
    </row>
    <row r="1770" spans="1:49" x14ac:dyDescent="0.2">
      <c r="A1770">
        <v>930</v>
      </c>
      <c r="E1770">
        <f t="shared" si="587"/>
        <v>3</v>
      </c>
      <c r="F1770" s="5" t="s">
        <v>478</v>
      </c>
      <c r="G1770" s="5" t="s">
        <v>517</v>
      </c>
      <c r="H1770" s="5" t="s">
        <v>478</v>
      </c>
      <c r="I1770" s="7" t="s">
        <v>515</v>
      </c>
      <c r="J1770" t="str">
        <f t="shared" si="594"/>
        <v>15</v>
      </c>
      <c r="K1770" t="str">
        <f t="shared" si="595"/>
        <v>45</v>
      </c>
      <c r="L1770" t="str">
        <f t="shared" si="596"/>
        <v>15</v>
      </c>
      <c r="M1770" s="6" t="str">
        <f t="shared" si="597"/>
        <v>43</v>
      </c>
      <c r="N1770" t="s">
        <v>179</v>
      </c>
      <c r="O1770">
        <v>70</v>
      </c>
      <c r="P1770" t="s">
        <v>424</v>
      </c>
      <c r="Q1770" t="s">
        <v>277</v>
      </c>
      <c r="R1770" t="s">
        <v>191</v>
      </c>
      <c r="S1770" t="s">
        <v>87</v>
      </c>
      <c r="Y1770" t="str">
        <f t="shared" si="580"/>
        <v/>
      </c>
      <c r="Z1770" t="str">
        <f t="shared" si="581"/>
        <v/>
      </c>
      <c r="AC1770" t="str">
        <f t="shared" si="577"/>
        <v>Zone_Entry_Exit</v>
      </c>
      <c r="AD1770" t="str">
        <f t="shared" si="578"/>
        <v>Zone_Entry</v>
      </c>
      <c r="AE1770" t="str">
        <f t="shared" si="579"/>
        <v>ZoneEntry-Rush</v>
      </c>
      <c r="AF1770" t="str">
        <f t="shared" si="582"/>
        <v>Offensive</v>
      </c>
      <c r="AG1770">
        <f t="shared" si="588"/>
        <v>18981</v>
      </c>
      <c r="AH1770" t="str">
        <f t="shared" si="589"/>
        <v>Nelson</v>
      </c>
      <c r="AI1770" t="str">
        <f t="shared" si="590"/>
        <v>Velodrome</v>
      </c>
      <c r="AJ1770" s="18">
        <f t="shared" si="583"/>
        <v>2</v>
      </c>
      <c r="AP1770" s="18">
        <f t="shared" si="584"/>
        <v>0</v>
      </c>
      <c r="AQ1770">
        <f t="shared" si="585"/>
        <v>2160</v>
      </c>
      <c r="AR1770" s="23">
        <f t="shared" si="586"/>
        <v>2295</v>
      </c>
      <c r="AS1770">
        <f t="shared" si="591"/>
        <v>2290</v>
      </c>
      <c r="AT1770" s="21">
        <f t="shared" si="592"/>
        <v>2297</v>
      </c>
      <c r="AU1770" s="21"/>
      <c r="AV1770" s="21"/>
      <c r="AW1770" s="21"/>
    </row>
    <row r="1771" spans="1:49" x14ac:dyDescent="0.2">
      <c r="A1771">
        <v>930</v>
      </c>
      <c r="E1771">
        <f t="shared" si="587"/>
        <v>3</v>
      </c>
      <c r="J1771" t="str">
        <f t="shared" si="594"/>
        <v>15</v>
      </c>
      <c r="K1771" t="str">
        <f t="shared" si="595"/>
        <v>45</v>
      </c>
      <c r="L1771" t="str">
        <f t="shared" si="596"/>
        <v>15</v>
      </c>
      <c r="M1771" s="6" t="str">
        <f t="shared" si="597"/>
        <v>43</v>
      </c>
      <c r="N1771" t="str">
        <f t="shared" si="593"/>
        <v>Away</v>
      </c>
      <c r="O1771">
        <v>87</v>
      </c>
      <c r="P1771" t="s">
        <v>424</v>
      </c>
      <c r="Y1771" t="str">
        <f t="shared" si="580"/>
        <v/>
      </c>
      <c r="Z1771" t="str">
        <f t="shared" si="581"/>
        <v/>
      </c>
      <c r="AC1771" t="str">
        <f t="shared" si="577"/>
        <v>Zone_Entry_Exit</v>
      </c>
      <c r="AD1771" t="str">
        <f t="shared" si="578"/>
        <v>Zone_Entry</v>
      </c>
      <c r="AE1771" t="str">
        <f t="shared" si="579"/>
        <v>ZoneEntry-Rush</v>
      </c>
      <c r="AF1771" t="str">
        <f t="shared" si="582"/>
        <v>Offensive</v>
      </c>
      <c r="AG1771">
        <f t="shared" si="588"/>
        <v>18981</v>
      </c>
      <c r="AH1771" t="str">
        <f t="shared" si="589"/>
        <v>Nelson</v>
      </c>
      <c r="AI1771" t="str">
        <f t="shared" si="590"/>
        <v>Velodrome</v>
      </c>
      <c r="AJ1771" s="18">
        <f t="shared" si="583"/>
        <v>2</v>
      </c>
      <c r="AP1771" s="18">
        <f t="shared" si="584"/>
        <v>0</v>
      </c>
      <c r="AQ1771">
        <f t="shared" si="585"/>
        <v>2160</v>
      </c>
      <c r="AR1771" s="23">
        <f t="shared" si="586"/>
        <v>2295</v>
      </c>
      <c r="AS1771">
        <f t="shared" si="591"/>
        <v>2290</v>
      </c>
      <c r="AT1771" s="21">
        <f t="shared" si="592"/>
        <v>2297</v>
      </c>
      <c r="AU1771" s="21"/>
      <c r="AV1771" s="21"/>
      <c r="AW1771" s="21"/>
    </row>
    <row r="1772" spans="1:49" x14ac:dyDescent="0.2">
      <c r="A1772">
        <v>930</v>
      </c>
      <c r="E1772">
        <f t="shared" si="587"/>
        <v>3</v>
      </c>
      <c r="J1772" t="str">
        <f t="shared" si="594"/>
        <v>15</v>
      </c>
      <c r="K1772" t="str">
        <f t="shared" si="595"/>
        <v>45</v>
      </c>
      <c r="L1772" t="str">
        <f t="shared" si="596"/>
        <v>15</v>
      </c>
      <c r="M1772" s="6" t="str">
        <f t="shared" si="597"/>
        <v>43</v>
      </c>
      <c r="N1772" t="str">
        <f t="shared" si="593"/>
        <v>Away</v>
      </c>
      <c r="O1772">
        <v>80</v>
      </c>
      <c r="P1772" t="s">
        <v>425</v>
      </c>
      <c r="Y1772" t="str">
        <f t="shared" si="580"/>
        <v/>
      </c>
      <c r="Z1772" t="str">
        <f t="shared" si="581"/>
        <v/>
      </c>
      <c r="AC1772" t="str">
        <f t="shared" si="577"/>
        <v>Zone_Entry_Exit</v>
      </c>
      <c r="AD1772" t="str">
        <f t="shared" si="578"/>
        <v>Zone_Entry</v>
      </c>
      <c r="AE1772" t="str">
        <f t="shared" si="579"/>
        <v>ZoneEntry-Rush</v>
      </c>
      <c r="AF1772" t="str">
        <f t="shared" si="582"/>
        <v>Defensive</v>
      </c>
      <c r="AG1772">
        <f t="shared" si="588"/>
        <v>18981</v>
      </c>
      <c r="AH1772" t="str">
        <f t="shared" si="589"/>
        <v>Nelson</v>
      </c>
      <c r="AI1772" t="str">
        <f t="shared" si="590"/>
        <v>Velodrome</v>
      </c>
      <c r="AJ1772" s="18">
        <f t="shared" si="583"/>
        <v>2</v>
      </c>
      <c r="AP1772" s="18">
        <f t="shared" si="584"/>
        <v>0</v>
      </c>
      <c r="AQ1772">
        <f t="shared" si="585"/>
        <v>2160</v>
      </c>
      <c r="AR1772" s="23">
        <f t="shared" si="586"/>
        <v>2295</v>
      </c>
      <c r="AS1772">
        <f t="shared" si="591"/>
        <v>2290</v>
      </c>
      <c r="AT1772" s="21">
        <f t="shared" si="592"/>
        <v>2297</v>
      </c>
      <c r="AU1772" s="21"/>
      <c r="AV1772" s="21"/>
      <c r="AW1772" s="21"/>
    </row>
    <row r="1773" spans="1:49" x14ac:dyDescent="0.2">
      <c r="A1773">
        <v>931</v>
      </c>
      <c r="E1773">
        <f t="shared" si="587"/>
        <v>3</v>
      </c>
      <c r="F1773" s="5" t="s">
        <v>478</v>
      </c>
      <c r="G1773" s="5" t="s">
        <v>515</v>
      </c>
      <c r="J1773" t="str">
        <f t="shared" si="594"/>
        <v>15</v>
      </c>
      <c r="K1773" t="str">
        <f t="shared" si="595"/>
        <v>43</v>
      </c>
      <c r="L1773" t="str">
        <f t="shared" si="596"/>
        <v/>
      </c>
      <c r="M1773" s="6" t="str">
        <f t="shared" si="597"/>
        <v/>
      </c>
      <c r="N1773" t="s">
        <v>179</v>
      </c>
      <c r="O1773">
        <v>70</v>
      </c>
      <c r="P1773" t="s">
        <v>424</v>
      </c>
      <c r="Q1773" t="s">
        <v>8</v>
      </c>
      <c r="R1773" t="s">
        <v>189</v>
      </c>
      <c r="S1773" t="s">
        <v>70</v>
      </c>
      <c r="Y1773" t="str">
        <f t="shared" si="580"/>
        <v/>
      </c>
      <c r="Z1773" t="str">
        <f t="shared" si="581"/>
        <v/>
      </c>
      <c r="AC1773" t="str">
        <f t="shared" si="577"/>
        <v>Pass</v>
      </c>
      <c r="AD1773" t="str">
        <f t="shared" si="578"/>
        <v>Pass_Completed</v>
      </c>
      <c r="AE1773" t="str">
        <f t="shared" si="579"/>
        <v>Pass-Forehand</v>
      </c>
      <c r="AF1773" t="str">
        <f t="shared" si="582"/>
        <v>Offensive</v>
      </c>
      <c r="AG1773">
        <f t="shared" si="588"/>
        <v>18981</v>
      </c>
      <c r="AH1773" t="str">
        <f t="shared" si="589"/>
        <v>Nelson</v>
      </c>
      <c r="AI1773" t="str">
        <f t="shared" si="590"/>
        <v>Velodrome</v>
      </c>
      <c r="AJ1773" s="18">
        <f t="shared" si="583"/>
        <v>0</v>
      </c>
      <c r="AP1773" s="18">
        <f t="shared" si="584"/>
        <v>0</v>
      </c>
      <c r="AQ1773">
        <f t="shared" si="585"/>
        <v>2160</v>
      </c>
      <c r="AR1773" s="23">
        <f t="shared" si="586"/>
        <v>2297</v>
      </c>
      <c r="AS1773">
        <f t="shared" si="591"/>
        <v>2292</v>
      </c>
      <c r="AT1773" s="21">
        <f t="shared" si="592"/>
        <v>2297</v>
      </c>
      <c r="AU1773" s="21"/>
      <c r="AV1773" s="21"/>
      <c r="AW1773" s="21"/>
    </row>
    <row r="1774" spans="1:49" x14ac:dyDescent="0.2">
      <c r="A1774">
        <v>931</v>
      </c>
      <c r="E1774">
        <f t="shared" si="587"/>
        <v>3</v>
      </c>
      <c r="J1774" t="str">
        <f t="shared" si="594"/>
        <v>15</v>
      </c>
      <c r="K1774" t="str">
        <f t="shared" si="595"/>
        <v>43</v>
      </c>
      <c r="L1774" t="str">
        <f t="shared" si="596"/>
        <v/>
      </c>
      <c r="M1774" s="6" t="str">
        <f t="shared" si="597"/>
        <v/>
      </c>
      <c r="N1774" t="str">
        <f t="shared" si="593"/>
        <v>Away</v>
      </c>
      <c r="O1774">
        <v>87</v>
      </c>
      <c r="P1774" t="s">
        <v>424</v>
      </c>
      <c r="Y1774" t="str">
        <f t="shared" si="580"/>
        <v/>
      </c>
      <c r="Z1774" t="str">
        <f t="shared" si="581"/>
        <v/>
      </c>
      <c r="AC1774" t="str">
        <f t="shared" si="577"/>
        <v>Pass</v>
      </c>
      <c r="AD1774" t="str">
        <f t="shared" si="578"/>
        <v>Pass_Completed</v>
      </c>
      <c r="AE1774" t="str">
        <f t="shared" si="579"/>
        <v>Pass-Forehand</v>
      </c>
      <c r="AF1774" t="str">
        <f t="shared" si="582"/>
        <v>Offensive</v>
      </c>
      <c r="AG1774">
        <f t="shared" si="588"/>
        <v>18981</v>
      </c>
      <c r="AH1774" t="str">
        <f t="shared" si="589"/>
        <v>Nelson</v>
      </c>
      <c r="AI1774" t="str">
        <f t="shared" si="590"/>
        <v>Velodrome</v>
      </c>
      <c r="AJ1774" s="18">
        <f t="shared" si="583"/>
        <v>0</v>
      </c>
      <c r="AP1774" s="18">
        <f t="shared" si="584"/>
        <v>0</v>
      </c>
      <c r="AQ1774">
        <f t="shared" si="585"/>
        <v>2160</v>
      </c>
      <c r="AR1774" s="23">
        <f t="shared" si="586"/>
        <v>2297</v>
      </c>
      <c r="AS1774">
        <f t="shared" si="591"/>
        <v>2292</v>
      </c>
      <c r="AT1774" s="21">
        <f t="shared" si="592"/>
        <v>2297</v>
      </c>
      <c r="AU1774" s="21"/>
      <c r="AV1774" s="21"/>
      <c r="AW1774" s="21"/>
    </row>
    <row r="1775" spans="1:49" x14ac:dyDescent="0.2">
      <c r="A1775">
        <v>931</v>
      </c>
      <c r="E1775">
        <f t="shared" si="587"/>
        <v>3</v>
      </c>
      <c r="J1775" t="str">
        <f t="shared" si="594"/>
        <v>15</v>
      </c>
      <c r="K1775" t="str">
        <f t="shared" si="595"/>
        <v>43</v>
      </c>
      <c r="L1775" t="str">
        <f t="shared" si="596"/>
        <v/>
      </c>
      <c r="M1775" s="6" t="str">
        <f t="shared" si="597"/>
        <v/>
      </c>
      <c r="N1775" t="str">
        <f t="shared" si="593"/>
        <v>Away</v>
      </c>
      <c r="O1775">
        <v>80</v>
      </c>
      <c r="P1775" t="s">
        <v>425</v>
      </c>
      <c r="Y1775" t="str">
        <f t="shared" si="580"/>
        <v/>
      </c>
      <c r="Z1775" t="str">
        <f t="shared" si="581"/>
        <v/>
      </c>
      <c r="AC1775" t="str">
        <f t="shared" ref="AC1775:AC1838" si="598">IF(Q1775&lt;&gt;"",Q1775,IF($A1775=$A1774,AC1774,""))</f>
        <v>Pass</v>
      </c>
      <c r="AD1775" t="str">
        <f t="shared" ref="AD1775:AD1838" si="599">IF(R1775&lt;&gt;"",R1775,IF($A1775=$A1774,AD1774,""))</f>
        <v>Pass_Completed</v>
      </c>
      <c r="AE1775" t="str">
        <f t="shared" ref="AE1775:AE1838" si="600">IF(S1775&lt;&gt;"",S1775,IF($A1775=$A1774,AE1774,""))</f>
        <v>Pass-Forehand</v>
      </c>
      <c r="AF1775" t="str">
        <f t="shared" si="582"/>
        <v>Defensive</v>
      </c>
      <c r="AG1775">
        <f t="shared" si="588"/>
        <v>18981</v>
      </c>
      <c r="AH1775" t="str">
        <f t="shared" si="589"/>
        <v>Nelson</v>
      </c>
      <c r="AI1775" t="str">
        <f t="shared" si="590"/>
        <v>Velodrome</v>
      </c>
      <c r="AJ1775" s="18">
        <f t="shared" si="583"/>
        <v>0</v>
      </c>
      <c r="AP1775" s="18">
        <f t="shared" si="584"/>
        <v>0</v>
      </c>
      <c r="AQ1775">
        <f t="shared" si="585"/>
        <v>2160</v>
      </c>
      <c r="AR1775" s="23">
        <f t="shared" si="586"/>
        <v>2297</v>
      </c>
      <c r="AS1775">
        <f t="shared" si="591"/>
        <v>2292</v>
      </c>
      <c r="AT1775" s="21">
        <f t="shared" si="592"/>
        <v>2297</v>
      </c>
      <c r="AU1775" s="21"/>
      <c r="AV1775" s="21"/>
      <c r="AW1775" s="21"/>
    </row>
    <row r="1776" spans="1:49" x14ac:dyDescent="0.2">
      <c r="A1776">
        <v>932</v>
      </c>
      <c r="E1776">
        <f t="shared" si="587"/>
        <v>3</v>
      </c>
      <c r="F1776" s="5" t="s">
        <v>478</v>
      </c>
      <c r="G1776" s="5" t="s">
        <v>515</v>
      </c>
      <c r="H1776" s="5" t="s">
        <v>478</v>
      </c>
      <c r="I1776" s="7" t="s">
        <v>514</v>
      </c>
      <c r="J1776" t="str">
        <f t="shared" si="594"/>
        <v>15</v>
      </c>
      <c r="K1776" t="str">
        <f t="shared" si="595"/>
        <v>43</v>
      </c>
      <c r="L1776" t="str">
        <f t="shared" si="596"/>
        <v>15</v>
      </c>
      <c r="M1776" s="6" t="str">
        <f t="shared" si="597"/>
        <v>42</v>
      </c>
      <c r="N1776" t="s">
        <v>179</v>
      </c>
      <c r="O1776">
        <v>87</v>
      </c>
      <c r="P1776" t="s">
        <v>424</v>
      </c>
      <c r="Q1776" t="s">
        <v>15</v>
      </c>
      <c r="Y1776" t="str">
        <f t="shared" si="580"/>
        <v/>
      </c>
      <c r="Z1776" t="str">
        <f t="shared" si="581"/>
        <v/>
      </c>
      <c r="AC1776" t="str">
        <f t="shared" si="598"/>
        <v>Possession</v>
      </c>
      <c r="AD1776" t="str">
        <f t="shared" si="599"/>
        <v/>
      </c>
      <c r="AE1776" t="str">
        <f t="shared" si="600"/>
        <v/>
      </c>
      <c r="AF1776" t="str">
        <f t="shared" si="582"/>
        <v>Offensive</v>
      </c>
      <c r="AG1776">
        <f t="shared" si="588"/>
        <v>18981</v>
      </c>
      <c r="AH1776" t="str">
        <f t="shared" si="589"/>
        <v>Nelson</v>
      </c>
      <c r="AI1776" t="str">
        <f t="shared" si="590"/>
        <v>Velodrome</v>
      </c>
      <c r="AJ1776" s="18">
        <f t="shared" si="583"/>
        <v>1</v>
      </c>
      <c r="AP1776" s="18">
        <f t="shared" si="584"/>
        <v>0</v>
      </c>
      <c r="AQ1776">
        <f t="shared" si="585"/>
        <v>2160</v>
      </c>
      <c r="AR1776" s="23">
        <f t="shared" si="586"/>
        <v>2297</v>
      </c>
      <c r="AS1776">
        <f t="shared" si="591"/>
        <v>2292</v>
      </c>
      <c r="AT1776" s="21">
        <f t="shared" si="592"/>
        <v>2298</v>
      </c>
      <c r="AU1776" s="21"/>
      <c r="AV1776" s="21"/>
      <c r="AW1776" s="21"/>
    </row>
    <row r="1777" spans="1:49" x14ac:dyDescent="0.2">
      <c r="A1777">
        <v>932</v>
      </c>
      <c r="E1777">
        <f t="shared" si="587"/>
        <v>3</v>
      </c>
      <c r="J1777" t="str">
        <f t="shared" si="594"/>
        <v>15</v>
      </c>
      <c r="K1777" t="str">
        <f t="shared" si="595"/>
        <v>43</v>
      </c>
      <c r="L1777" t="str">
        <f t="shared" si="596"/>
        <v>15</v>
      </c>
      <c r="M1777" s="6" t="str">
        <f t="shared" si="597"/>
        <v>42</v>
      </c>
      <c r="N1777" t="str">
        <f t="shared" si="593"/>
        <v>Away</v>
      </c>
      <c r="O1777">
        <v>8</v>
      </c>
      <c r="P1777" t="s">
        <v>425</v>
      </c>
      <c r="Y1777" t="str">
        <f t="shared" si="580"/>
        <v/>
      </c>
      <c r="Z1777" t="str">
        <f t="shared" si="581"/>
        <v/>
      </c>
      <c r="AC1777" t="str">
        <f t="shared" si="598"/>
        <v>Possession</v>
      </c>
      <c r="AD1777" t="str">
        <f t="shared" si="599"/>
        <v/>
      </c>
      <c r="AE1777" t="str">
        <f t="shared" si="600"/>
        <v/>
      </c>
      <c r="AF1777" t="str">
        <f t="shared" si="582"/>
        <v>Defensive</v>
      </c>
      <c r="AG1777">
        <f t="shared" si="588"/>
        <v>18981</v>
      </c>
      <c r="AH1777" t="str">
        <f t="shared" si="589"/>
        <v>Nelson</v>
      </c>
      <c r="AI1777" t="str">
        <f t="shared" si="590"/>
        <v>Velodrome</v>
      </c>
      <c r="AJ1777" s="18">
        <f t="shared" si="583"/>
        <v>1</v>
      </c>
      <c r="AP1777" s="18">
        <f t="shared" si="584"/>
        <v>0</v>
      </c>
      <c r="AQ1777">
        <f t="shared" si="585"/>
        <v>2160</v>
      </c>
      <c r="AR1777" s="23">
        <f t="shared" si="586"/>
        <v>2297</v>
      </c>
      <c r="AS1777">
        <f t="shared" si="591"/>
        <v>2292</v>
      </c>
      <c r="AT1777" s="21">
        <f t="shared" si="592"/>
        <v>2298</v>
      </c>
      <c r="AU1777" s="21"/>
      <c r="AV1777" s="21"/>
      <c r="AW1777" s="21"/>
    </row>
    <row r="1778" spans="1:49" x14ac:dyDescent="0.2">
      <c r="A1778">
        <v>933</v>
      </c>
      <c r="E1778">
        <f t="shared" si="587"/>
        <v>3</v>
      </c>
      <c r="F1778" s="5" t="s">
        <v>478</v>
      </c>
      <c r="G1778" s="5" t="s">
        <v>514</v>
      </c>
      <c r="J1778" t="str">
        <f t="shared" si="594"/>
        <v>15</v>
      </c>
      <c r="K1778" t="str">
        <f t="shared" si="595"/>
        <v>42</v>
      </c>
      <c r="L1778" t="str">
        <f t="shared" si="596"/>
        <v/>
      </c>
      <c r="M1778" s="6" t="str">
        <f t="shared" si="597"/>
        <v/>
      </c>
      <c r="N1778" t="s">
        <v>179</v>
      </c>
      <c r="O1778">
        <v>87</v>
      </c>
      <c r="P1778" t="s">
        <v>424</v>
      </c>
      <c r="Q1778" t="s">
        <v>247</v>
      </c>
      <c r="R1778" t="s">
        <v>445</v>
      </c>
      <c r="S1778" t="s">
        <v>574</v>
      </c>
      <c r="Y1778" t="str">
        <f t="shared" si="580"/>
        <v/>
      </c>
      <c r="Z1778" t="str">
        <f t="shared" si="581"/>
        <v/>
      </c>
      <c r="AC1778" t="str">
        <f t="shared" si="598"/>
        <v>Play</v>
      </c>
      <c r="AD1778" t="str">
        <f t="shared" si="599"/>
        <v>Play_Offensive</v>
      </c>
      <c r="AE1778" t="str">
        <f t="shared" si="600"/>
        <v>Play-Deke</v>
      </c>
      <c r="AF1778" t="str">
        <f t="shared" si="582"/>
        <v>Offensive</v>
      </c>
      <c r="AG1778">
        <f t="shared" si="588"/>
        <v>18981</v>
      </c>
      <c r="AH1778" t="str">
        <f t="shared" si="589"/>
        <v>Nelson</v>
      </c>
      <c r="AI1778" t="str">
        <f t="shared" si="590"/>
        <v>Velodrome</v>
      </c>
      <c r="AJ1778" s="18">
        <f t="shared" si="583"/>
        <v>0</v>
      </c>
      <c r="AP1778" s="18">
        <f t="shared" si="584"/>
        <v>0</v>
      </c>
      <c r="AQ1778">
        <f t="shared" si="585"/>
        <v>2160</v>
      </c>
      <c r="AR1778" s="23">
        <f t="shared" si="586"/>
        <v>2298</v>
      </c>
      <c r="AS1778">
        <f t="shared" si="591"/>
        <v>2293</v>
      </c>
      <c r="AT1778" s="21">
        <f t="shared" si="592"/>
        <v>2298</v>
      </c>
      <c r="AU1778" s="21"/>
      <c r="AV1778" s="21"/>
      <c r="AW1778" s="21"/>
    </row>
    <row r="1779" spans="1:49" x14ac:dyDescent="0.2">
      <c r="A1779">
        <v>933</v>
      </c>
      <c r="E1779">
        <f t="shared" si="587"/>
        <v>3</v>
      </c>
      <c r="J1779" t="str">
        <f t="shared" si="594"/>
        <v>15</v>
      </c>
      <c r="K1779" t="str">
        <f t="shared" si="595"/>
        <v>42</v>
      </c>
      <c r="L1779" t="str">
        <f t="shared" si="596"/>
        <v/>
      </c>
      <c r="M1779" s="6" t="str">
        <f t="shared" si="597"/>
        <v/>
      </c>
      <c r="N1779" t="str">
        <f t="shared" si="593"/>
        <v>Away</v>
      </c>
      <c r="O1779">
        <v>8</v>
      </c>
      <c r="P1779" t="s">
        <v>425</v>
      </c>
      <c r="Y1779" t="str">
        <f t="shared" si="580"/>
        <v/>
      </c>
      <c r="Z1779" t="str">
        <f t="shared" si="581"/>
        <v/>
      </c>
      <c r="AC1779" t="str">
        <f t="shared" si="598"/>
        <v>Play</v>
      </c>
      <c r="AD1779" t="str">
        <f t="shared" si="599"/>
        <v>Play_Offensive</v>
      </c>
      <c r="AE1779" t="str">
        <f t="shared" si="600"/>
        <v>Play-Deke</v>
      </c>
      <c r="AF1779" t="str">
        <f t="shared" si="582"/>
        <v>Defensive</v>
      </c>
      <c r="AG1779">
        <f t="shared" si="588"/>
        <v>18981</v>
      </c>
      <c r="AH1779" t="str">
        <f t="shared" si="589"/>
        <v>Nelson</v>
      </c>
      <c r="AI1779" t="str">
        <f t="shared" si="590"/>
        <v>Velodrome</v>
      </c>
      <c r="AJ1779" s="18">
        <f t="shared" si="583"/>
        <v>0</v>
      </c>
      <c r="AP1779" s="18">
        <f t="shared" si="584"/>
        <v>0</v>
      </c>
      <c r="AQ1779">
        <f t="shared" si="585"/>
        <v>2160</v>
      </c>
      <c r="AR1779" s="23">
        <f t="shared" si="586"/>
        <v>2298</v>
      </c>
      <c r="AS1779">
        <f t="shared" si="591"/>
        <v>2293</v>
      </c>
      <c r="AT1779" s="21">
        <f t="shared" si="592"/>
        <v>2298</v>
      </c>
      <c r="AU1779" s="21"/>
      <c r="AV1779" s="21"/>
      <c r="AW1779" s="21"/>
    </row>
    <row r="1780" spans="1:49" x14ac:dyDescent="0.2">
      <c r="A1780">
        <v>934</v>
      </c>
      <c r="E1780">
        <f t="shared" si="587"/>
        <v>3</v>
      </c>
      <c r="F1780" s="5" t="s">
        <v>478</v>
      </c>
      <c r="G1780" s="5" t="s">
        <v>514</v>
      </c>
      <c r="J1780" t="str">
        <f t="shared" si="594"/>
        <v>15</v>
      </c>
      <c r="K1780" t="str">
        <f t="shared" si="595"/>
        <v>42</v>
      </c>
      <c r="L1780" t="str">
        <f t="shared" si="596"/>
        <v/>
      </c>
      <c r="M1780" s="6" t="str">
        <f t="shared" si="597"/>
        <v/>
      </c>
      <c r="N1780" t="s">
        <v>179</v>
      </c>
      <c r="O1780">
        <v>87</v>
      </c>
      <c r="P1780" t="s">
        <v>424</v>
      </c>
      <c r="Q1780" t="s">
        <v>7</v>
      </c>
      <c r="R1780" t="s">
        <v>222</v>
      </c>
      <c r="S1780" t="s">
        <v>55</v>
      </c>
      <c r="Y1780" t="str">
        <f t="shared" si="580"/>
        <v/>
      </c>
      <c r="Z1780" t="str">
        <f t="shared" si="581"/>
        <v/>
      </c>
      <c r="AC1780" t="str">
        <f t="shared" si="598"/>
        <v>Shot</v>
      </c>
      <c r="AD1780" t="str">
        <f t="shared" si="599"/>
        <v>Shot_OnNetSaved</v>
      </c>
      <c r="AE1780" t="str">
        <f t="shared" si="600"/>
        <v>Shot-Backhand</v>
      </c>
      <c r="AF1780" t="str">
        <f t="shared" si="582"/>
        <v>Offensive</v>
      </c>
      <c r="AG1780">
        <f t="shared" si="588"/>
        <v>18981</v>
      </c>
      <c r="AH1780" t="str">
        <f t="shared" si="589"/>
        <v>Nelson</v>
      </c>
      <c r="AI1780" t="str">
        <f t="shared" si="590"/>
        <v>Velodrome</v>
      </c>
      <c r="AJ1780" s="18">
        <f t="shared" si="583"/>
        <v>0</v>
      </c>
      <c r="AP1780" s="18">
        <f t="shared" si="584"/>
        <v>0</v>
      </c>
      <c r="AQ1780">
        <f t="shared" si="585"/>
        <v>2160</v>
      </c>
      <c r="AR1780" s="23">
        <f t="shared" si="586"/>
        <v>2298</v>
      </c>
      <c r="AS1780">
        <f t="shared" si="591"/>
        <v>2293</v>
      </c>
      <c r="AT1780" s="21">
        <f t="shared" si="592"/>
        <v>2298</v>
      </c>
      <c r="AU1780" s="21"/>
      <c r="AV1780" s="21"/>
      <c r="AW1780" s="21"/>
    </row>
    <row r="1781" spans="1:49" x14ac:dyDescent="0.2">
      <c r="A1781">
        <v>934</v>
      </c>
      <c r="E1781">
        <f t="shared" si="587"/>
        <v>3</v>
      </c>
      <c r="J1781" t="str">
        <f t="shared" si="594"/>
        <v>15</v>
      </c>
      <c r="K1781" t="str">
        <f t="shared" si="595"/>
        <v>42</v>
      </c>
      <c r="L1781" t="str">
        <f t="shared" si="596"/>
        <v/>
      </c>
      <c r="M1781" s="6" t="str">
        <f t="shared" si="597"/>
        <v/>
      </c>
      <c r="N1781" t="str">
        <f t="shared" si="593"/>
        <v>Away</v>
      </c>
      <c r="O1781">
        <v>31</v>
      </c>
      <c r="P1781" t="s">
        <v>425</v>
      </c>
      <c r="Y1781" t="str">
        <f t="shared" si="580"/>
        <v/>
      </c>
      <c r="Z1781" t="str">
        <f t="shared" si="581"/>
        <v/>
      </c>
      <c r="AC1781" t="str">
        <f t="shared" si="598"/>
        <v>Shot</v>
      </c>
      <c r="AD1781" t="str">
        <f t="shared" si="599"/>
        <v>Shot_OnNetSaved</v>
      </c>
      <c r="AE1781" t="str">
        <f t="shared" si="600"/>
        <v>Shot-Backhand</v>
      </c>
      <c r="AF1781" t="str">
        <f t="shared" si="582"/>
        <v>Defensive</v>
      </c>
      <c r="AG1781">
        <f t="shared" si="588"/>
        <v>18981</v>
      </c>
      <c r="AH1781" t="str">
        <f t="shared" si="589"/>
        <v>Nelson</v>
      </c>
      <c r="AI1781" t="str">
        <f t="shared" si="590"/>
        <v>Velodrome</v>
      </c>
      <c r="AJ1781" s="18">
        <f t="shared" si="583"/>
        <v>0</v>
      </c>
      <c r="AP1781" s="18">
        <f t="shared" si="584"/>
        <v>0</v>
      </c>
      <c r="AQ1781">
        <f t="shared" si="585"/>
        <v>2160</v>
      </c>
      <c r="AR1781" s="23">
        <f t="shared" si="586"/>
        <v>2298</v>
      </c>
      <c r="AS1781">
        <f t="shared" si="591"/>
        <v>2293</v>
      </c>
      <c r="AT1781" s="21">
        <f t="shared" si="592"/>
        <v>2298</v>
      </c>
      <c r="AU1781" s="21"/>
      <c r="AV1781" s="21"/>
      <c r="AW1781" s="21"/>
    </row>
    <row r="1782" spans="1:49" x14ac:dyDescent="0.2">
      <c r="A1782">
        <v>935</v>
      </c>
      <c r="E1782">
        <f t="shared" si="587"/>
        <v>3</v>
      </c>
      <c r="F1782" s="5" t="s">
        <v>478</v>
      </c>
      <c r="G1782" s="5" t="s">
        <v>514</v>
      </c>
      <c r="J1782" t="str">
        <f t="shared" si="594"/>
        <v>15</v>
      </c>
      <c r="K1782" t="str">
        <f t="shared" si="595"/>
        <v>42</v>
      </c>
      <c r="L1782" t="str">
        <f t="shared" si="596"/>
        <v/>
      </c>
      <c r="M1782" s="6" t="str">
        <f t="shared" si="597"/>
        <v/>
      </c>
      <c r="N1782" t="s">
        <v>178</v>
      </c>
      <c r="O1782">
        <v>31</v>
      </c>
      <c r="P1782" t="s">
        <v>424</v>
      </c>
      <c r="Q1782" t="s">
        <v>17</v>
      </c>
      <c r="R1782" t="s">
        <v>196</v>
      </c>
      <c r="S1782" t="s">
        <v>104</v>
      </c>
      <c r="Y1782" t="str">
        <f t="shared" si="580"/>
        <v/>
      </c>
      <c r="Z1782" t="str">
        <f t="shared" si="581"/>
        <v/>
      </c>
      <c r="AC1782" t="str">
        <f t="shared" si="598"/>
        <v>Save</v>
      </c>
      <c r="AD1782" t="str">
        <f t="shared" si="599"/>
        <v>Save_Rebound</v>
      </c>
      <c r="AE1782" t="str">
        <f t="shared" si="600"/>
        <v>Save-Other</v>
      </c>
      <c r="AF1782" t="str">
        <f t="shared" si="582"/>
        <v>Defensive</v>
      </c>
      <c r="AG1782">
        <f t="shared" si="588"/>
        <v>18981</v>
      </c>
      <c r="AH1782" t="str">
        <f t="shared" si="589"/>
        <v>Nelson</v>
      </c>
      <c r="AI1782" t="str">
        <f t="shared" si="590"/>
        <v>Velodrome</v>
      </c>
      <c r="AJ1782" s="18">
        <f t="shared" si="583"/>
        <v>0</v>
      </c>
      <c r="AP1782" s="18">
        <f t="shared" si="584"/>
        <v>0</v>
      </c>
      <c r="AQ1782">
        <f t="shared" si="585"/>
        <v>2160</v>
      </c>
      <c r="AR1782" s="23">
        <f t="shared" si="586"/>
        <v>2298</v>
      </c>
      <c r="AS1782">
        <f t="shared" si="591"/>
        <v>2293</v>
      </c>
      <c r="AT1782" s="21">
        <f t="shared" si="592"/>
        <v>2298</v>
      </c>
      <c r="AU1782" s="21"/>
      <c r="AV1782" s="21"/>
      <c r="AW1782" s="21"/>
    </row>
    <row r="1783" spans="1:49" x14ac:dyDescent="0.2">
      <c r="A1783">
        <v>935</v>
      </c>
      <c r="E1783">
        <f t="shared" si="587"/>
        <v>3</v>
      </c>
      <c r="J1783" t="str">
        <f t="shared" si="594"/>
        <v>15</v>
      </c>
      <c r="K1783" t="str">
        <f t="shared" si="595"/>
        <v>42</v>
      </c>
      <c r="L1783" t="str">
        <f t="shared" si="596"/>
        <v/>
      </c>
      <c r="M1783" s="6" t="str">
        <f t="shared" si="597"/>
        <v/>
      </c>
      <c r="N1783" t="str">
        <f t="shared" si="593"/>
        <v>Home</v>
      </c>
      <c r="O1783">
        <v>87</v>
      </c>
      <c r="P1783" t="s">
        <v>425</v>
      </c>
      <c r="Y1783" t="str">
        <f t="shared" si="580"/>
        <v/>
      </c>
      <c r="Z1783" t="str">
        <f t="shared" si="581"/>
        <v/>
      </c>
      <c r="AC1783" t="str">
        <f t="shared" si="598"/>
        <v>Save</v>
      </c>
      <c r="AD1783" t="str">
        <f t="shared" si="599"/>
        <v>Save_Rebound</v>
      </c>
      <c r="AE1783" t="str">
        <f t="shared" si="600"/>
        <v>Save-Other</v>
      </c>
      <c r="AF1783" t="str">
        <f t="shared" si="582"/>
        <v>Offensive</v>
      </c>
      <c r="AG1783">
        <f t="shared" si="588"/>
        <v>18981</v>
      </c>
      <c r="AH1783" t="str">
        <f t="shared" si="589"/>
        <v>Nelson</v>
      </c>
      <c r="AI1783" t="str">
        <f t="shared" si="590"/>
        <v>Velodrome</v>
      </c>
      <c r="AJ1783" s="18">
        <f t="shared" si="583"/>
        <v>0</v>
      </c>
      <c r="AP1783" s="18">
        <f t="shared" si="584"/>
        <v>0</v>
      </c>
      <c r="AQ1783">
        <f t="shared" si="585"/>
        <v>2160</v>
      </c>
      <c r="AR1783" s="23">
        <f t="shared" si="586"/>
        <v>2298</v>
      </c>
      <c r="AS1783">
        <f t="shared" si="591"/>
        <v>2293</v>
      </c>
      <c r="AT1783" s="21">
        <f t="shared" si="592"/>
        <v>2298</v>
      </c>
      <c r="AU1783" s="21"/>
      <c r="AV1783" s="21"/>
      <c r="AW1783" s="21"/>
    </row>
    <row r="1784" spans="1:49" x14ac:dyDescent="0.2">
      <c r="A1784">
        <v>936</v>
      </c>
      <c r="E1784">
        <f t="shared" si="587"/>
        <v>3</v>
      </c>
      <c r="F1784" s="5" t="s">
        <v>478</v>
      </c>
      <c r="G1784" s="5" t="s">
        <v>514</v>
      </c>
      <c r="J1784" t="str">
        <f t="shared" si="594"/>
        <v>15</v>
      </c>
      <c r="K1784" t="str">
        <f t="shared" si="595"/>
        <v>42</v>
      </c>
      <c r="L1784" t="str">
        <f t="shared" si="596"/>
        <v/>
      </c>
      <c r="M1784" s="6" t="str">
        <f t="shared" si="597"/>
        <v/>
      </c>
      <c r="N1784" t="s">
        <v>178</v>
      </c>
      <c r="O1784">
        <v>31</v>
      </c>
      <c r="P1784" t="s">
        <v>424</v>
      </c>
      <c r="Q1784" t="s">
        <v>270</v>
      </c>
      <c r="R1784" t="s">
        <v>274</v>
      </c>
      <c r="Y1784" t="str">
        <f t="shared" si="580"/>
        <v/>
      </c>
      <c r="Z1784" t="str">
        <f t="shared" si="581"/>
        <v/>
      </c>
      <c r="AC1784" t="str">
        <f t="shared" si="598"/>
        <v>Rebound</v>
      </c>
      <c r="AD1784" t="str">
        <f t="shared" si="599"/>
        <v>Rebound_FlurryGenerated</v>
      </c>
      <c r="AE1784" t="str">
        <f t="shared" si="600"/>
        <v/>
      </c>
      <c r="AF1784" t="str">
        <f t="shared" si="582"/>
        <v>Offensive</v>
      </c>
      <c r="AG1784">
        <f t="shared" si="588"/>
        <v>18981</v>
      </c>
      <c r="AH1784" t="str">
        <f t="shared" si="589"/>
        <v>Nelson</v>
      </c>
      <c r="AI1784" t="str">
        <f t="shared" si="590"/>
        <v>Velodrome</v>
      </c>
      <c r="AJ1784" s="18">
        <f t="shared" si="583"/>
        <v>0</v>
      </c>
      <c r="AP1784" s="18">
        <f t="shared" si="584"/>
        <v>0</v>
      </c>
      <c r="AQ1784">
        <f t="shared" si="585"/>
        <v>2160</v>
      </c>
      <c r="AR1784" s="23">
        <f t="shared" si="586"/>
        <v>2298</v>
      </c>
      <c r="AS1784">
        <f t="shared" si="591"/>
        <v>2293</v>
      </c>
      <c r="AT1784" s="21">
        <f t="shared" si="592"/>
        <v>2298</v>
      </c>
      <c r="AU1784" s="21"/>
      <c r="AV1784" s="21"/>
      <c r="AW1784" s="21"/>
    </row>
    <row r="1785" spans="1:49" x14ac:dyDescent="0.2">
      <c r="A1785">
        <v>937</v>
      </c>
      <c r="E1785">
        <f t="shared" si="587"/>
        <v>3</v>
      </c>
      <c r="F1785" s="5" t="s">
        <v>478</v>
      </c>
      <c r="G1785" s="5" t="s">
        <v>512</v>
      </c>
      <c r="J1785" t="str">
        <f t="shared" si="594"/>
        <v>15</v>
      </c>
      <c r="K1785" t="str">
        <f t="shared" si="595"/>
        <v>40</v>
      </c>
      <c r="L1785" t="str">
        <f t="shared" si="596"/>
        <v/>
      </c>
      <c r="M1785" s="6" t="str">
        <f t="shared" si="597"/>
        <v/>
      </c>
      <c r="N1785" t="s">
        <v>179</v>
      </c>
      <c r="O1785">
        <v>70</v>
      </c>
      <c r="P1785" t="s">
        <v>424</v>
      </c>
      <c r="Q1785" t="s">
        <v>7</v>
      </c>
      <c r="R1785" t="s">
        <v>222</v>
      </c>
      <c r="S1785" t="s">
        <v>58</v>
      </c>
      <c r="Y1785" t="str">
        <f t="shared" si="580"/>
        <v/>
      </c>
      <c r="Z1785" t="str">
        <f t="shared" si="581"/>
        <v/>
      </c>
      <c r="AC1785" t="str">
        <f t="shared" si="598"/>
        <v>Shot</v>
      </c>
      <c r="AD1785" t="str">
        <f t="shared" si="599"/>
        <v>Shot_OnNetSaved</v>
      </c>
      <c r="AE1785" t="str">
        <f t="shared" si="600"/>
        <v>Shot-WrapAround</v>
      </c>
      <c r="AF1785" t="str">
        <f t="shared" si="582"/>
        <v>Offensive</v>
      </c>
      <c r="AG1785">
        <f t="shared" si="588"/>
        <v>18981</v>
      </c>
      <c r="AH1785" t="str">
        <f t="shared" si="589"/>
        <v>Nelson</v>
      </c>
      <c r="AI1785" t="str">
        <f t="shared" si="590"/>
        <v>Velodrome</v>
      </c>
      <c r="AJ1785" s="18">
        <f t="shared" si="583"/>
        <v>0</v>
      </c>
      <c r="AP1785" s="18">
        <f t="shared" si="584"/>
        <v>0</v>
      </c>
      <c r="AQ1785">
        <f t="shared" si="585"/>
        <v>2160</v>
      </c>
      <c r="AR1785" s="23">
        <f t="shared" si="586"/>
        <v>2300</v>
      </c>
      <c r="AS1785">
        <f t="shared" si="591"/>
        <v>2295</v>
      </c>
      <c r="AT1785" s="21">
        <f t="shared" si="592"/>
        <v>2300</v>
      </c>
      <c r="AU1785" s="21"/>
      <c r="AV1785" s="21"/>
      <c r="AW1785" s="21"/>
    </row>
    <row r="1786" spans="1:49" x14ac:dyDescent="0.2">
      <c r="A1786">
        <v>937</v>
      </c>
      <c r="E1786">
        <f t="shared" si="587"/>
        <v>3</v>
      </c>
      <c r="J1786" t="str">
        <f t="shared" si="594"/>
        <v>15</v>
      </c>
      <c r="K1786" t="str">
        <f t="shared" si="595"/>
        <v>40</v>
      </c>
      <c r="L1786" t="str">
        <f t="shared" si="596"/>
        <v/>
      </c>
      <c r="M1786" s="6" t="str">
        <f t="shared" si="597"/>
        <v/>
      </c>
      <c r="N1786" t="str">
        <f t="shared" si="593"/>
        <v>Away</v>
      </c>
      <c r="O1786">
        <v>31</v>
      </c>
      <c r="P1786" t="s">
        <v>425</v>
      </c>
      <c r="Y1786" t="str">
        <f t="shared" si="580"/>
        <v/>
      </c>
      <c r="Z1786" t="str">
        <f t="shared" si="581"/>
        <v/>
      </c>
      <c r="AC1786" t="str">
        <f t="shared" si="598"/>
        <v>Shot</v>
      </c>
      <c r="AD1786" t="str">
        <f t="shared" si="599"/>
        <v>Shot_OnNetSaved</v>
      </c>
      <c r="AE1786" t="str">
        <f t="shared" si="600"/>
        <v>Shot-WrapAround</v>
      </c>
      <c r="AF1786" t="str">
        <f t="shared" si="582"/>
        <v>Defensive</v>
      </c>
      <c r="AG1786">
        <f t="shared" si="588"/>
        <v>18981</v>
      </c>
      <c r="AH1786" t="str">
        <f t="shared" si="589"/>
        <v>Nelson</v>
      </c>
      <c r="AI1786" t="str">
        <f t="shared" si="590"/>
        <v>Velodrome</v>
      </c>
      <c r="AJ1786" s="18">
        <f t="shared" si="583"/>
        <v>0</v>
      </c>
      <c r="AP1786" s="18">
        <f t="shared" si="584"/>
        <v>0</v>
      </c>
      <c r="AQ1786">
        <f t="shared" si="585"/>
        <v>2160</v>
      </c>
      <c r="AR1786" s="23">
        <f t="shared" si="586"/>
        <v>2300</v>
      </c>
      <c r="AS1786">
        <f t="shared" si="591"/>
        <v>2295</v>
      </c>
      <c r="AT1786" s="21">
        <f t="shared" si="592"/>
        <v>2300</v>
      </c>
      <c r="AU1786" s="21"/>
      <c r="AV1786" s="21"/>
      <c r="AW1786" s="21"/>
    </row>
    <row r="1787" spans="1:49" x14ac:dyDescent="0.2">
      <c r="A1787">
        <v>938</v>
      </c>
      <c r="E1787">
        <f t="shared" si="587"/>
        <v>3</v>
      </c>
      <c r="F1787" s="5" t="s">
        <v>478</v>
      </c>
      <c r="G1787" s="5" t="s">
        <v>512</v>
      </c>
      <c r="J1787" t="str">
        <f t="shared" si="594"/>
        <v>15</v>
      </c>
      <c r="K1787" t="str">
        <f t="shared" si="595"/>
        <v>40</v>
      </c>
      <c r="L1787" t="str">
        <f t="shared" si="596"/>
        <v/>
      </c>
      <c r="M1787" s="6" t="str">
        <f t="shared" si="597"/>
        <v/>
      </c>
      <c r="N1787" t="s">
        <v>178</v>
      </c>
      <c r="O1787">
        <v>31</v>
      </c>
      <c r="P1787" t="s">
        <v>424</v>
      </c>
      <c r="Q1787" t="s">
        <v>17</v>
      </c>
      <c r="R1787" t="s">
        <v>196</v>
      </c>
      <c r="S1787" t="s">
        <v>99</v>
      </c>
      <c r="Y1787" t="str">
        <f t="shared" si="580"/>
        <v/>
      </c>
      <c r="Z1787" t="str">
        <f t="shared" si="581"/>
        <v/>
      </c>
      <c r="AC1787" t="str">
        <f t="shared" si="598"/>
        <v>Save</v>
      </c>
      <c r="AD1787" t="str">
        <f t="shared" si="599"/>
        <v>Save_Rebound</v>
      </c>
      <c r="AE1787" t="str">
        <f t="shared" si="600"/>
        <v>Save-RightPad</v>
      </c>
      <c r="AF1787" t="str">
        <f t="shared" si="582"/>
        <v>Defensive</v>
      </c>
      <c r="AG1787">
        <f t="shared" si="588"/>
        <v>18981</v>
      </c>
      <c r="AH1787" t="str">
        <f t="shared" si="589"/>
        <v>Nelson</v>
      </c>
      <c r="AI1787" t="str">
        <f t="shared" si="590"/>
        <v>Velodrome</v>
      </c>
      <c r="AJ1787" s="18">
        <f t="shared" si="583"/>
        <v>0</v>
      </c>
      <c r="AP1787" s="18">
        <f t="shared" si="584"/>
        <v>0</v>
      </c>
      <c r="AQ1787">
        <f t="shared" si="585"/>
        <v>2160</v>
      </c>
      <c r="AR1787" s="23">
        <f t="shared" si="586"/>
        <v>2300</v>
      </c>
      <c r="AS1787">
        <f t="shared" si="591"/>
        <v>2295</v>
      </c>
      <c r="AT1787" s="21">
        <f t="shared" si="592"/>
        <v>2300</v>
      </c>
      <c r="AU1787" s="21"/>
      <c r="AV1787" s="21"/>
      <c r="AW1787" s="21"/>
    </row>
    <row r="1788" spans="1:49" x14ac:dyDescent="0.2">
      <c r="A1788">
        <v>938</v>
      </c>
      <c r="E1788">
        <f t="shared" si="587"/>
        <v>3</v>
      </c>
      <c r="J1788" t="str">
        <f t="shared" si="594"/>
        <v>15</v>
      </c>
      <c r="K1788" t="str">
        <f t="shared" si="595"/>
        <v>40</v>
      </c>
      <c r="L1788" t="str">
        <f t="shared" si="596"/>
        <v/>
      </c>
      <c r="M1788" s="6" t="str">
        <f t="shared" si="597"/>
        <v/>
      </c>
      <c r="N1788" t="str">
        <f t="shared" si="593"/>
        <v>Home</v>
      </c>
      <c r="O1788">
        <v>70</v>
      </c>
      <c r="P1788" t="s">
        <v>425</v>
      </c>
      <c r="Y1788" t="str">
        <f t="shared" si="580"/>
        <v/>
      </c>
      <c r="Z1788" t="str">
        <f t="shared" si="581"/>
        <v/>
      </c>
      <c r="AC1788" t="str">
        <f t="shared" si="598"/>
        <v>Save</v>
      </c>
      <c r="AD1788" t="str">
        <f t="shared" si="599"/>
        <v>Save_Rebound</v>
      </c>
      <c r="AE1788" t="str">
        <f t="shared" si="600"/>
        <v>Save-RightPad</v>
      </c>
      <c r="AF1788" t="str">
        <f t="shared" si="582"/>
        <v>Offensive</v>
      </c>
      <c r="AG1788">
        <f t="shared" si="588"/>
        <v>18981</v>
      </c>
      <c r="AH1788" t="str">
        <f t="shared" si="589"/>
        <v>Nelson</v>
      </c>
      <c r="AI1788" t="str">
        <f t="shared" si="590"/>
        <v>Velodrome</v>
      </c>
      <c r="AJ1788" s="18">
        <f t="shared" si="583"/>
        <v>0</v>
      </c>
      <c r="AP1788" s="18">
        <f t="shared" si="584"/>
        <v>0</v>
      </c>
      <c r="AQ1788">
        <f t="shared" si="585"/>
        <v>2160</v>
      </c>
      <c r="AR1788" s="23">
        <f t="shared" si="586"/>
        <v>2300</v>
      </c>
      <c r="AS1788">
        <f t="shared" si="591"/>
        <v>2295</v>
      </c>
      <c r="AT1788" s="21">
        <f t="shared" si="592"/>
        <v>2300</v>
      </c>
      <c r="AU1788" s="21"/>
      <c r="AV1788" s="21"/>
      <c r="AW1788" s="21"/>
    </row>
    <row r="1789" spans="1:49" x14ac:dyDescent="0.2">
      <c r="A1789">
        <v>939</v>
      </c>
      <c r="E1789">
        <f t="shared" si="587"/>
        <v>3</v>
      </c>
      <c r="F1789" s="5" t="s">
        <v>478</v>
      </c>
      <c r="G1789" s="5" t="s">
        <v>512</v>
      </c>
      <c r="J1789" t="str">
        <f t="shared" si="594"/>
        <v>15</v>
      </c>
      <c r="K1789" t="str">
        <f t="shared" si="595"/>
        <v>40</v>
      </c>
      <c r="L1789" t="str">
        <f t="shared" si="596"/>
        <v/>
      </c>
      <c r="M1789" s="6" t="str">
        <f t="shared" si="597"/>
        <v/>
      </c>
      <c r="N1789" t="s">
        <v>178</v>
      </c>
      <c r="O1789">
        <v>31</v>
      </c>
      <c r="P1789" t="s">
        <v>424</v>
      </c>
      <c r="Q1789" t="s">
        <v>270</v>
      </c>
      <c r="R1789" t="s">
        <v>272</v>
      </c>
      <c r="Y1789" t="str">
        <f t="shared" si="580"/>
        <v/>
      </c>
      <c r="Z1789" t="str">
        <f t="shared" si="581"/>
        <v/>
      </c>
      <c r="AC1789" t="str">
        <f t="shared" si="598"/>
        <v>Rebound</v>
      </c>
      <c r="AD1789" t="str">
        <f t="shared" si="599"/>
        <v>Rebound_OppTeamRecovered</v>
      </c>
      <c r="AE1789" t="str">
        <f t="shared" si="600"/>
        <v/>
      </c>
      <c r="AF1789" t="str">
        <f t="shared" si="582"/>
        <v>Offensive</v>
      </c>
      <c r="AG1789">
        <f t="shared" si="588"/>
        <v>18981</v>
      </c>
      <c r="AH1789" t="str">
        <f t="shared" si="589"/>
        <v>Nelson</v>
      </c>
      <c r="AI1789" t="str">
        <f t="shared" si="590"/>
        <v>Velodrome</v>
      </c>
      <c r="AJ1789" s="18">
        <f t="shared" si="583"/>
        <v>0</v>
      </c>
      <c r="AP1789" s="18">
        <f t="shared" si="584"/>
        <v>0</v>
      </c>
      <c r="AQ1789">
        <f t="shared" si="585"/>
        <v>2160</v>
      </c>
      <c r="AR1789" s="23">
        <f t="shared" si="586"/>
        <v>2300</v>
      </c>
      <c r="AS1789">
        <f t="shared" si="591"/>
        <v>2295</v>
      </c>
      <c r="AT1789" s="21">
        <f t="shared" si="592"/>
        <v>2300</v>
      </c>
      <c r="AU1789" s="21"/>
      <c r="AV1789" s="21"/>
      <c r="AW1789" s="21"/>
    </row>
    <row r="1790" spans="1:49" x14ac:dyDescent="0.2">
      <c r="A1790">
        <v>940</v>
      </c>
      <c r="E1790">
        <f t="shared" si="587"/>
        <v>3</v>
      </c>
      <c r="F1790" s="5" t="s">
        <v>478</v>
      </c>
      <c r="G1790" s="5" t="s">
        <v>510</v>
      </c>
      <c r="J1790" t="str">
        <f t="shared" si="594"/>
        <v>15</v>
      </c>
      <c r="K1790" t="str">
        <f t="shared" si="595"/>
        <v>38</v>
      </c>
      <c r="L1790" t="str">
        <f t="shared" si="596"/>
        <v/>
      </c>
      <c r="M1790" s="6" t="str">
        <f t="shared" si="597"/>
        <v/>
      </c>
      <c r="N1790" t="s">
        <v>179</v>
      </c>
      <c r="O1790">
        <v>87</v>
      </c>
      <c r="P1790" t="s">
        <v>424</v>
      </c>
      <c r="Q1790" t="s">
        <v>13</v>
      </c>
      <c r="R1790" t="s">
        <v>204</v>
      </c>
      <c r="S1790" t="s">
        <v>114</v>
      </c>
      <c r="Y1790" t="str">
        <f t="shared" si="580"/>
        <v/>
      </c>
      <c r="Z1790" t="str">
        <f t="shared" si="581"/>
        <v/>
      </c>
      <c r="AC1790" t="str">
        <f t="shared" si="598"/>
        <v>Stoppage</v>
      </c>
      <c r="AD1790" t="str">
        <f t="shared" si="599"/>
        <v>Stoppage_Play</v>
      </c>
      <c r="AE1790" t="str">
        <f t="shared" si="600"/>
        <v>Stoppage-HandPass</v>
      </c>
      <c r="AF1790" t="str">
        <f t="shared" si="582"/>
        <v/>
      </c>
      <c r="AG1790">
        <f t="shared" si="588"/>
        <v>18981</v>
      </c>
      <c r="AH1790" t="str">
        <f t="shared" si="589"/>
        <v>Nelson</v>
      </c>
      <c r="AI1790" t="str">
        <f t="shared" si="590"/>
        <v>Velodrome</v>
      </c>
      <c r="AJ1790" s="18">
        <f t="shared" si="583"/>
        <v>0</v>
      </c>
      <c r="AP1790" s="18">
        <f t="shared" si="584"/>
        <v>0</v>
      </c>
      <c r="AQ1790">
        <f t="shared" si="585"/>
        <v>2160</v>
      </c>
      <c r="AR1790" s="23">
        <f t="shared" si="586"/>
        <v>2302</v>
      </c>
      <c r="AS1790">
        <f t="shared" si="591"/>
        <v>2297</v>
      </c>
      <c r="AT1790" s="21">
        <f t="shared" si="592"/>
        <v>2302</v>
      </c>
      <c r="AU1790" s="21"/>
      <c r="AV1790" s="21"/>
      <c r="AW1790" s="21"/>
    </row>
    <row r="1791" spans="1:49" x14ac:dyDescent="0.2">
      <c r="A1791">
        <v>941</v>
      </c>
      <c r="E1791">
        <f t="shared" si="587"/>
        <v>3</v>
      </c>
      <c r="F1791" s="5" t="s">
        <v>478</v>
      </c>
      <c r="G1791" s="5" t="s">
        <v>510</v>
      </c>
      <c r="H1791" s="5" t="s">
        <v>478</v>
      </c>
      <c r="I1791" s="7" t="s">
        <v>474</v>
      </c>
      <c r="J1791" t="str">
        <f t="shared" si="594"/>
        <v>15</v>
      </c>
      <c r="K1791" t="str">
        <f t="shared" si="595"/>
        <v>38</v>
      </c>
      <c r="L1791" t="str">
        <f t="shared" si="596"/>
        <v>15</v>
      </c>
      <c r="M1791" s="6" t="str">
        <f t="shared" si="597"/>
        <v>02</v>
      </c>
      <c r="N1791" t="s">
        <v>179</v>
      </c>
      <c r="O1791">
        <v>87</v>
      </c>
      <c r="P1791" t="s">
        <v>424</v>
      </c>
      <c r="Q1791" t="s">
        <v>282</v>
      </c>
      <c r="Y1791" t="str">
        <f t="shared" si="580"/>
        <v/>
      </c>
      <c r="Z1791" t="str">
        <f t="shared" si="581"/>
        <v/>
      </c>
      <c r="AC1791" t="str">
        <f t="shared" si="598"/>
        <v>DeadIce</v>
      </c>
      <c r="AD1791" t="str">
        <f t="shared" si="599"/>
        <v/>
      </c>
      <c r="AE1791" t="str">
        <f t="shared" si="600"/>
        <v/>
      </c>
      <c r="AF1791" t="str">
        <f t="shared" si="582"/>
        <v/>
      </c>
      <c r="AG1791">
        <f t="shared" si="588"/>
        <v>18981</v>
      </c>
      <c r="AH1791" t="str">
        <f t="shared" si="589"/>
        <v>Nelson</v>
      </c>
      <c r="AI1791" t="str">
        <f t="shared" si="590"/>
        <v>Velodrome</v>
      </c>
      <c r="AJ1791" s="18">
        <f t="shared" si="583"/>
        <v>36</v>
      </c>
      <c r="AP1791" s="18">
        <f t="shared" si="584"/>
        <v>0</v>
      </c>
      <c r="AQ1791">
        <f t="shared" si="585"/>
        <v>2160</v>
      </c>
      <c r="AR1791" s="23">
        <f t="shared" si="586"/>
        <v>2302</v>
      </c>
      <c r="AS1791">
        <f t="shared" si="591"/>
        <v>2297</v>
      </c>
      <c r="AT1791" s="21">
        <f t="shared" si="592"/>
        <v>2338</v>
      </c>
      <c r="AU1791" s="21"/>
      <c r="AV1791" s="21"/>
      <c r="AW1791" s="21"/>
    </row>
    <row r="1792" spans="1:49" x14ac:dyDescent="0.2">
      <c r="A1792">
        <v>942</v>
      </c>
      <c r="E1792">
        <f t="shared" si="587"/>
        <v>3</v>
      </c>
      <c r="F1792" s="5" t="s">
        <v>478</v>
      </c>
      <c r="G1792" s="5" t="s">
        <v>474</v>
      </c>
      <c r="J1792" t="str">
        <f t="shared" si="594"/>
        <v>15</v>
      </c>
      <c r="K1792" t="str">
        <f t="shared" si="595"/>
        <v>02</v>
      </c>
      <c r="L1792" t="str">
        <f t="shared" si="596"/>
        <v/>
      </c>
      <c r="M1792" s="6" t="str">
        <f t="shared" si="597"/>
        <v/>
      </c>
      <c r="N1792" t="s">
        <v>178</v>
      </c>
      <c r="O1792">
        <v>10</v>
      </c>
      <c r="P1792" t="s">
        <v>424</v>
      </c>
      <c r="Q1792" t="s">
        <v>6</v>
      </c>
      <c r="R1792" t="s">
        <v>275</v>
      </c>
      <c r="Y1792" t="str">
        <f t="shared" si="580"/>
        <v/>
      </c>
      <c r="Z1792" t="str">
        <f t="shared" si="581"/>
        <v/>
      </c>
      <c r="AC1792" t="str">
        <f t="shared" si="598"/>
        <v>Faceoff</v>
      </c>
      <c r="AD1792" t="str">
        <f t="shared" si="599"/>
        <v>Faceoff_AfterStoppage</v>
      </c>
      <c r="AE1792" t="str">
        <f t="shared" si="600"/>
        <v/>
      </c>
      <c r="AF1792" t="str">
        <f t="shared" si="582"/>
        <v>Offensive</v>
      </c>
      <c r="AG1792">
        <f t="shared" si="588"/>
        <v>18981</v>
      </c>
      <c r="AH1792" t="str">
        <f t="shared" si="589"/>
        <v>Nelson</v>
      </c>
      <c r="AI1792" t="str">
        <f t="shared" si="590"/>
        <v>Velodrome</v>
      </c>
      <c r="AJ1792" s="18">
        <f t="shared" si="583"/>
        <v>0</v>
      </c>
      <c r="AP1792" s="18">
        <f t="shared" si="584"/>
        <v>0</v>
      </c>
      <c r="AQ1792">
        <f t="shared" si="585"/>
        <v>2160</v>
      </c>
      <c r="AR1792" s="23">
        <f t="shared" si="586"/>
        <v>2338</v>
      </c>
      <c r="AS1792">
        <f t="shared" si="591"/>
        <v>2333</v>
      </c>
      <c r="AT1792" s="21">
        <f t="shared" si="592"/>
        <v>2338</v>
      </c>
      <c r="AU1792" s="21"/>
      <c r="AV1792" s="21"/>
      <c r="AW1792" s="21"/>
    </row>
    <row r="1793" spans="1:49" x14ac:dyDescent="0.2">
      <c r="A1793">
        <v>942</v>
      </c>
      <c r="E1793">
        <f t="shared" si="587"/>
        <v>3</v>
      </c>
      <c r="J1793" t="str">
        <f t="shared" si="594"/>
        <v>15</v>
      </c>
      <c r="K1793" t="str">
        <f t="shared" si="595"/>
        <v>02</v>
      </c>
      <c r="L1793" t="str">
        <f t="shared" si="596"/>
        <v/>
      </c>
      <c r="M1793" s="6" t="str">
        <f t="shared" si="597"/>
        <v/>
      </c>
      <c r="N1793" t="str">
        <f t="shared" si="593"/>
        <v>Home</v>
      </c>
      <c r="O1793">
        <v>23</v>
      </c>
      <c r="P1793" t="s">
        <v>424</v>
      </c>
      <c r="Y1793" t="str">
        <f t="shared" si="580"/>
        <v/>
      </c>
      <c r="Z1793" t="str">
        <f t="shared" si="581"/>
        <v/>
      </c>
      <c r="AC1793" t="str">
        <f t="shared" si="598"/>
        <v>Faceoff</v>
      </c>
      <c r="AD1793" t="str">
        <f t="shared" si="599"/>
        <v>Faceoff_AfterStoppage</v>
      </c>
      <c r="AE1793" t="str">
        <f t="shared" si="600"/>
        <v/>
      </c>
      <c r="AF1793" t="str">
        <f t="shared" si="582"/>
        <v>Offensive</v>
      </c>
      <c r="AG1793">
        <f t="shared" si="588"/>
        <v>18981</v>
      </c>
      <c r="AH1793" t="str">
        <f t="shared" si="589"/>
        <v>Nelson</v>
      </c>
      <c r="AI1793" t="str">
        <f t="shared" si="590"/>
        <v>Velodrome</v>
      </c>
      <c r="AJ1793" s="18">
        <f t="shared" si="583"/>
        <v>0</v>
      </c>
      <c r="AP1793" s="18">
        <f t="shared" si="584"/>
        <v>0</v>
      </c>
      <c r="AQ1793">
        <f t="shared" si="585"/>
        <v>2160</v>
      </c>
      <c r="AR1793" s="23">
        <f t="shared" si="586"/>
        <v>2338</v>
      </c>
      <c r="AS1793">
        <f t="shared" si="591"/>
        <v>2333</v>
      </c>
      <c r="AT1793" s="21">
        <f t="shared" si="592"/>
        <v>2338</v>
      </c>
      <c r="AU1793" s="21"/>
      <c r="AV1793" s="21"/>
      <c r="AW1793" s="21"/>
    </row>
    <row r="1794" spans="1:49" x14ac:dyDescent="0.2">
      <c r="A1794">
        <v>942</v>
      </c>
      <c r="E1794">
        <f t="shared" si="587"/>
        <v>3</v>
      </c>
      <c r="J1794" t="str">
        <f t="shared" si="594"/>
        <v>15</v>
      </c>
      <c r="K1794" t="str">
        <f t="shared" si="595"/>
        <v>02</v>
      </c>
      <c r="L1794" t="str">
        <f t="shared" si="596"/>
        <v/>
      </c>
      <c r="M1794" s="6" t="str">
        <f t="shared" si="597"/>
        <v/>
      </c>
      <c r="N1794" t="str">
        <f t="shared" si="593"/>
        <v>Home</v>
      </c>
      <c r="O1794">
        <v>42</v>
      </c>
      <c r="P1794" t="s">
        <v>425</v>
      </c>
      <c r="Y1794" t="str">
        <f t="shared" si="580"/>
        <v/>
      </c>
      <c r="Z1794" t="str">
        <f t="shared" si="581"/>
        <v/>
      </c>
      <c r="AC1794" t="str">
        <f t="shared" si="598"/>
        <v>Faceoff</v>
      </c>
      <c r="AD1794" t="str">
        <f t="shared" si="599"/>
        <v>Faceoff_AfterStoppage</v>
      </c>
      <c r="AE1794" t="str">
        <f t="shared" si="600"/>
        <v/>
      </c>
      <c r="AF1794" t="str">
        <f t="shared" si="582"/>
        <v>Defensive</v>
      </c>
      <c r="AG1794">
        <f t="shared" si="588"/>
        <v>18981</v>
      </c>
      <c r="AH1794" t="str">
        <f t="shared" si="589"/>
        <v>Nelson</v>
      </c>
      <c r="AI1794" t="str">
        <f t="shared" si="590"/>
        <v>Velodrome</v>
      </c>
      <c r="AJ1794" s="18">
        <f t="shared" si="583"/>
        <v>0</v>
      </c>
      <c r="AP1794" s="18">
        <f t="shared" si="584"/>
        <v>0</v>
      </c>
      <c r="AQ1794">
        <f t="shared" si="585"/>
        <v>2160</v>
      </c>
      <c r="AR1794" s="23">
        <f t="shared" si="586"/>
        <v>2338</v>
      </c>
      <c r="AS1794">
        <f t="shared" si="591"/>
        <v>2333</v>
      </c>
      <c r="AT1794" s="21">
        <f t="shared" si="592"/>
        <v>2338</v>
      </c>
      <c r="AU1794" s="21"/>
      <c r="AV1794" s="21"/>
      <c r="AW1794" s="21"/>
    </row>
    <row r="1795" spans="1:49" x14ac:dyDescent="0.2">
      <c r="A1795">
        <v>943</v>
      </c>
      <c r="E1795">
        <f t="shared" si="587"/>
        <v>3</v>
      </c>
      <c r="F1795" s="5" t="s">
        <v>489</v>
      </c>
      <c r="G1795" s="5" t="s">
        <v>479</v>
      </c>
      <c r="H1795" s="5" t="s">
        <v>489</v>
      </c>
      <c r="I1795" s="7" t="s">
        <v>529</v>
      </c>
      <c r="J1795" t="str">
        <f t="shared" si="594"/>
        <v>14</v>
      </c>
      <c r="K1795" t="str">
        <f t="shared" si="595"/>
        <v>59</v>
      </c>
      <c r="L1795" t="str">
        <f t="shared" si="596"/>
        <v>14</v>
      </c>
      <c r="M1795" s="6" t="str">
        <f t="shared" si="597"/>
        <v>57</v>
      </c>
      <c r="N1795" t="s">
        <v>178</v>
      </c>
      <c r="O1795">
        <v>23</v>
      </c>
      <c r="P1795" t="s">
        <v>424</v>
      </c>
      <c r="Q1795" t="s">
        <v>15</v>
      </c>
      <c r="Y1795" t="str">
        <f t="shared" ref="Y1795:Y1858" si="601">IF($N1795="","",IF(X1795="","",IF($N1795="Home",$X1795,IF($X1795="n","n",IF($X1795="d","o",IF($X1795="o","d",""))))))</f>
        <v/>
      </c>
      <c r="Z1795" t="str">
        <f t="shared" ref="Z1795:Z1858" si="602">IF($N1795="","",IF(X1795="","",IF($N1795="Away",$X1795,IF($X1795="n","n",IF($X1795="d","o",IF($X1795="o","d",""))))))</f>
        <v/>
      </c>
      <c r="AC1795" t="str">
        <f t="shared" si="598"/>
        <v>Possession</v>
      </c>
      <c r="AD1795" t="str">
        <f t="shared" si="599"/>
        <v/>
      </c>
      <c r="AE1795" t="str">
        <f t="shared" si="600"/>
        <v/>
      </c>
      <c r="AF1795" t="str">
        <f t="shared" ref="AF1795:AF1858" si="603">IF(AND(P1795="e",OR(AC1795="Save",AD1795="Turnover_Takeaway",AD1795="Play_Defensive")),"Defensive",IF(AND(P1795="o",OR(AC1795="Save",AD1795="Turnover_Takeaway",AD1795="Play_Defensive")),"Offensive",IF(OR(AC1795="Deadice",AC1795="Stoppage",AC1795="Intermission"),"",IF(P1795="e","Offensive",IF(P1795="o","Defensive","")))))</f>
        <v>Offensive</v>
      </c>
      <c r="AG1795">
        <f t="shared" si="588"/>
        <v>18981</v>
      </c>
      <c r="AH1795" t="str">
        <f t="shared" si="589"/>
        <v>Nelson</v>
      </c>
      <c r="AI1795" t="str">
        <f t="shared" si="590"/>
        <v>Velodrome</v>
      </c>
      <c r="AJ1795" s="18">
        <f t="shared" ref="AJ1795:AJ1858" si="604">IF(AND(L1795="",M1795=""),0,((J1795*60)+K1795)-((L1795*60)+M1795))</f>
        <v>2</v>
      </c>
      <c r="AP1795" s="18">
        <f t="shared" ref="AP1795:AP1858" si="605">SUMIFS(AJ1795:AJ1795,Q1795:Q1795,"=Intermission")</f>
        <v>0</v>
      </c>
      <c r="AQ1795">
        <f t="shared" ref="AQ1795:AQ1858" si="606">IF(E1795=1,0,IF(E1795=2,1080+AP1795,IF(E1795=3,(1080*2)+AP1795,0)))</f>
        <v>2160</v>
      </c>
      <c r="AR1795" s="23">
        <f t="shared" ref="AR1795:AR1858" si="607">IF(Q1795="Intermission",AR1794,((1080)-((J1795*60)+K1795))+AQ1795)</f>
        <v>2341</v>
      </c>
      <c r="AS1795">
        <f t="shared" si="591"/>
        <v>2336</v>
      </c>
      <c r="AT1795" s="21">
        <f t="shared" si="592"/>
        <v>2343</v>
      </c>
      <c r="AU1795" s="21"/>
      <c r="AV1795" s="21"/>
      <c r="AW1795" s="21"/>
    </row>
    <row r="1796" spans="1:49" x14ac:dyDescent="0.2">
      <c r="A1796">
        <v>944</v>
      </c>
      <c r="E1796">
        <f t="shared" ref="E1796:E1859" si="608">IF(Q1796="Intermission",E1795+1,E1795)</f>
        <v>3</v>
      </c>
      <c r="F1796" s="5" t="s">
        <v>489</v>
      </c>
      <c r="G1796" s="5" t="s">
        <v>529</v>
      </c>
      <c r="J1796" t="str">
        <f t="shared" si="594"/>
        <v>14</v>
      </c>
      <c r="K1796" t="str">
        <f t="shared" si="595"/>
        <v>57</v>
      </c>
      <c r="L1796" t="str">
        <f t="shared" si="596"/>
        <v/>
      </c>
      <c r="M1796" s="6" t="str">
        <f t="shared" si="597"/>
        <v/>
      </c>
      <c r="N1796" t="s">
        <v>178</v>
      </c>
      <c r="O1796">
        <v>23</v>
      </c>
      <c r="P1796" t="s">
        <v>424</v>
      </c>
      <c r="Q1796" t="s">
        <v>8</v>
      </c>
      <c r="R1796" t="s">
        <v>189</v>
      </c>
      <c r="S1796" t="s">
        <v>71</v>
      </c>
      <c r="Y1796" t="str">
        <f t="shared" si="601"/>
        <v/>
      </c>
      <c r="Z1796" t="str">
        <f t="shared" si="602"/>
        <v/>
      </c>
      <c r="AC1796" t="str">
        <f t="shared" si="598"/>
        <v>Pass</v>
      </c>
      <c r="AD1796" t="str">
        <f t="shared" si="599"/>
        <v>Pass_Completed</v>
      </c>
      <c r="AE1796" t="str">
        <f t="shared" si="600"/>
        <v>Pass-Bank</v>
      </c>
      <c r="AF1796" t="str">
        <f t="shared" si="603"/>
        <v>Offensive</v>
      </c>
      <c r="AG1796">
        <f t="shared" ref="AG1796:AG1859" si="609">AG1795</f>
        <v>18981</v>
      </c>
      <c r="AH1796" t="str">
        <f t="shared" ref="AH1796:AH1859" si="610">AH1795</f>
        <v>Nelson</v>
      </c>
      <c r="AI1796" t="str">
        <f t="shared" ref="AI1796:AI1859" si="611">AI1795</f>
        <v>Velodrome</v>
      </c>
      <c r="AJ1796" s="18">
        <f t="shared" si="604"/>
        <v>0</v>
      </c>
      <c r="AP1796" s="18">
        <f t="shared" si="605"/>
        <v>0</v>
      </c>
      <c r="AQ1796">
        <f t="shared" si="606"/>
        <v>2160</v>
      </c>
      <c r="AR1796" s="23">
        <f t="shared" si="607"/>
        <v>2343</v>
      </c>
      <c r="AS1796">
        <f t="shared" ref="AS1796:AS1859" si="612">IF(AR1796&lt;5,0,AR1796-5)</f>
        <v>2338</v>
      </c>
      <c r="AT1796" s="21">
        <f t="shared" ref="AT1796:AT1859" si="613">AS1796+AJ1796+5</f>
        <v>2343</v>
      </c>
      <c r="AU1796" s="21"/>
      <c r="AV1796" s="21"/>
      <c r="AW1796" s="21"/>
    </row>
    <row r="1797" spans="1:49" x14ac:dyDescent="0.2">
      <c r="A1797">
        <v>944</v>
      </c>
      <c r="E1797">
        <f t="shared" si="608"/>
        <v>3</v>
      </c>
      <c r="J1797" t="str">
        <f t="shared" si="594"/>
        <v>14</v>
      </c>
      <c r="K1797" t="str">
        <f t="shared" si="595"/>
        <v>57</v>
      </c>
      <c r="L1797" t="str">
        <f t="shared" si="596"/>
        <v/>
      </c>
      <c r="M1797" s="6" t="str">
        <f t="shared" si="597"/>
        <v/>
      </c>
      <c r="N1797" t="str">
        <f t="shared" si="593"/>
        <v>Home</v>
      </c>
      <c r="O1797">
        <v>7</v>
      </c>
      <c r="P1797" t="s">
        <v>424</v>
      </c>
      <c r="Y1797" t="str">
        <f t="shared" si="601"/>
        <v/>
      </c>
      <c r="Z1797" t="str">
        <f t="shared" si="602"/>
        <v/>
      </c>
      <c r="AC1797" t="str">
        <f t="shared" si="598"/>
        <v>Pass</v>
      </c>
      <c r="AD1797" t="str">
        <f t="shared" si="599"/>
        <v>Pass_Completed</v>
      </c>
      <c r="AE1797" t="str">
        <f t="shared" si="600"/>
        <v>Pass-Bank</v>
      </c>
      <c r="AF1797" t="str">
        <f t="shared" si="603"/>
        <v>Offensive</v>
      </c>
      <c r="AG1797">
        <f t="shared" si="609"/>
        <v>18981</v>
      </c>
      <c r="AH1797" t="str">
        <f t="shared" si="610"/>
        <v>Nelson</v>
      </c>
      <c r="AI1797" t="str">
        <f t="shared" si="611"/>
        <v>Velodrome</v>
      </c>
      <c r="AJ1797" s="18">
        <f t="shared" si="604"/>
        <v>0</v>
      </c>
      <c r="AP1797" s="18">
        <f t="shared" si="605"/>
        <v>0</v>
      </c>
      <c r="AQ1797">
        <f t="shared" si="606"/>
        <v>2160</v>
      </c>
      <c r="AR1797" s="23">
        <f t="shared" si="607"/>
        <v>2343</v>
      </c>
      <c r="AS1797">
        <f t="shared" si="612"/>
        <v>2338</v>
      </c>
      <c r="AT1797" s="21">
        <f t="shared" si="613"/>
        <v>2343</v>
      </c>
      <c r="AU1797" s="21"/>
      <c r="AV1797" s="21"/>
      <c r="AW1797" s="21"/>
    </row>
    <row r="1798" spans="1:49" x14ac:dyDescent="0.2">
      <c r="A1798">
        <v>945</v>
      </c>
      <c r="E1798">
        <f t="shared" si="608"/>
        <v>3</v>
      </c>
      <c r="F1798" s="5" t="s">
        <v>489</v>
      </c>
      <c r="G1798" s="5" t="s">
        <v>528</v>
      </c>
      <c r="J1798" t="str">
        <f t="shared" si="594"/>
        <v>14</v>
      </c>
      <c r="K1798" t="str">
        <f t="shared" si="595"/>
        <v>56</v>
      </c>
      <c r="L1798" t="str">
        <f t="shared" si="596"/>
        <v/>
      </c>
      <c r="M1798" s="6" t="str">
        <f t="shared" si="597"/>
        <v/>
      </c>
      <c r="N1798" t="s">
        <v>178</v>
      </c>
      <c r="O1798">
        <v>7</v>
      </c>
      <c r="P1798" t="s">
        <v>424</v>
      </c>
      <c r="Q1798" t="s">
        <v>8</v>
      </c>
      <c r="R1798" t="s">
        <v>189</v>
      </c>
      <c r="S1798" t="s">
        <v>70</v>
      </c>
      <c r="Y1798" t="str">
        <f t="shared" si="601"/>
        <v/>
      </c>
      <c r="Z1798" t="str">
        <f t="shared" si="602"/>
        <v/>
      </c>
      <c r="AC1798" t="str">
        <f t="shared" si="598"/>
        <v>Pass</v>
      </c>
      <c r="AD1798" t="str">
        <f t="shared" si="599"/>
        <v>Pass_Completed</v>
      </c>
      <c r="AE1798" t="str">
        <f t="shared" si="600"/>
        <v>Pass-Forehand</v>
      </c>
      <c r="AF1798" t="str">
        <f t="shared" si="603"/>
        <v>Offensive</v>
      </c>
      <c r="AG1798">
        <f t="shared" si="609"/>
        <v>18981</v>
      </c>
      <c r="AH1798" t="str">
        <f t="shared" si="610"/>
        <v>Nelson</v>
      </c>
      <c r="AI1798" t="str">
        <f t="shared" si="611"/>
        <v>Velodrome</v>
      </c>
      <c r="AJ1798" s="18">
        <f t="shared" si="604"/>
        <v>0</v>
      </c>
      <c r="AP1798" s="18">
        <f t="shared" si="605"/>
        <v>0</v>
      </c>
      <c r="AQ1798">
        <f t="shared" si="606"/>
        <v>2160</v>
      </c>
      <c r="AR1798" s="23">
        <f t="shared" si="607"/>
        <v>2344</v>
      </c>
      <c r="AS1798">
        <f t="shared" si="612"/>
        <v>2339</v>
      </c>
      <c r="AT1798" s="21">
        <f t="shared" si="613"/>
        <v>2344</v>
      </c>
      <c r="AU1798" s="21"/>
      <c r="AV1798" s="21"/>
      <c r="AW1798" s="21"/>
    </row>
    <row r="1799" spans="1:49" x14ac:dyDescent="0.2">
      <c r="A1799">
        <v>945</v>
      </c>
      <c r="E1799">
        <f t="shared" si="608"/>
        <v>3</v>
      </c>
      <c r="J1799" t="str">
        <f t="shared" si="594"/>
        <v>14</v>
      </c>
      <c r="K1799" t="str">
        <f t="shared" si="595"/>
        <v>56</v>
      </c>
      <c r="L1799" t="str">
        <f t="shared" si="596"/>
        <v/>
      </c>
      <c r="M1799" s="6" t="str">
        <f t="shared" si="597"/>
        <v/>
      </c>
      <c r="N1799" t="s">
        <v>178</v>
      </c>
      <c r="O1799">
        <v>10</v>
      </c>
      <c r="P1799" t="s">
        <v>424</v>
      </c>
      <c r="Y1799" t="str">
        <f t="shared" si="601"/>
        <v/>
      </c>
      <c r="Z1799" t="str">
        <f t="shared" si="602"/>
        <v/>
      </c>
      <c r="AC1799" t="str">
        <f t="shared" si="598"/>
        <v>Pass</v>
      </c>
      <c r="AD1799" t="str">
        <f t="shared" si="599"/>
        <v>Pass_Completed</v>
      </c>
      <c r="AE1799" t="str">
        <f t="shared" si="600"/>
        <v>Pass-Forehand</v>
      </c>
      <c r="AF1799" t="str">
        <f t="shared" si="603"/>
        <v>Offensive</v>
      </c>
      <c r="AG1799">
        <f t="shared" si="609"/>
        <v>18981</v>
      </c>
      <c r="AH1799" t="str">
        <f t="shared" si="610"/>
        <v>Nelson</v>
      </c>
      <c r="AI1799" t="str">
        <f t="shared" si="611"/>
        <v>Velodrome</v>
      </c>
      <c r="AJ1799" s="18">
        <f t="shared" si="604"/>
        <v>0</v>
      </c>
      <c r="AP1799" s="18">
        <f t="shared" si="605"/>
        <v>0</v>
      </c>
      <c r="AQ1799">
        <f t="shared" si="606"/>
        <v>2160</v>
      </c>
      <c r="AR1799" s="23">
        <f t="shared" si="607"/>
        <v>2344</v>
      </c>
      <c r="AS1799">
        <f t="shared" si="612"/>
        <v>2339</v>
      </c>
      <c r="AT1799" s="21">
        <f t="shared" si="613"/>
        <v>2344</v>
      </c>
      <c r="AU1799" s="21"/>
      <c r="AV1799" s="21"/>
      <c r="AW1799" s="21"/>
    </row>
    <row r="1800" spans="1:49" x14ac:dyDescent="0.2">
      <c r="A1800">
        <v>946</v>
      </c>
      <c r="E1800">
        <f t="shared" si="608"/>
        <v>3</v>
      </c>
      <c r="F1800" s="5" t="s">
        <v>489</v>
      </c>
      <c r="G1800" s="5" t="s">
        <v>528</v>
      </c>
      <c r="J1800" t="str">
        <f t="shared" si="594"/>
        <v>14</v>
      </c>
      <c r="K1800" t="str">
        <f t="shared" si="595"/>
        <v>56</v>
      </c>
      <c r="L1800" t="str">
        <f t="shared" si="596"/>
        <v/>
      </c>
      <c r="M1800" s="6" t="str">
        <f t="shared" si="597"/>
        <v/>
      </c>
      <c r="N1800" t="s">
        <v>178</v>
      </c>
      <c r="O1800">
        <v>7</v>
      </c>
      <c r="P1800" t="s">
        <v>424</v>
      </c>
      <c r="Q1800" t="s">
        <v>277</v>
      </c>
      <c r="R1800" t="s">
        <v>201</v>
      </c>
      <c r="S1800" t="s">
        <v>91</v>
      </c>
      <c r="Y1800" t="str">
        <f t="shared" si="601"/>
        <v/>
      </c>
      <c r="Z1800" t="str">
        <f t="shared" si="602"/>
        <v/>
      </c>
      <c r="AC1800" t="str">
        <f t="shared" si="598"/>
        <v>Zone_Entry_Exit</v>
      </c>
      <c r="AD1800" t="str">
        <f t="shared" si="599"/>
        <v>Zone_Exit</v>
      </c>
      <c r="AE1800" t="str">
        <f t="shared" si="600"/>
        <v>ZoneExit-Pass</v>
      </c>
      <c r="AF1800" t="str">
        <f t="shared" si="603"/>
        <v>Offensive</v>
      </c>
      <c r="AG1800">
        <f t="shared" si="609"/>
        <v>18981</v>
      </c>
      <c r="AH1800" t="str">
        <f t="shared" si="610"/>
        <v>Nelson</v>
      </c>
      <c r="AI1800" t="str">
        <f t="shared" si="611"/>
        <v>Velodrome</v>
      </c>
      <c r="AJ1800" s="18">
        <f t="shared" si="604"/>
        <v>0</v>
      </c>
      <c r="AP1800" s="18">
        <f t="shared" si="605"/>
        <v>0</v>
      </c>
      <c r="AQ1800">
        <f t="shared" si="606"/>
        <v>2160</v>
      </c>
      <c r="AR1800" s="23">
        <f t="shared" si="607"/>
        <v>2344</v>
      </c>
      <c r="AS1800">
        <f t="shared" si="612"/>
        <v>2339</v>
      </c>
      <c r="AT1800" s="21">
        <f t="shared" si="613"/>
        <v>2344</v>
      </c>
      <c r="AU1800" s="21"/>
      <c r="AV1800" s="21"/>
      <c r="AW1800" s="21"/>
    </row>
    <row r="1801" spans="1:49" x14ac:dyDescent="0.2">
      <c r="A1801">
        <v>946</v>
      </c>
      <c r="E1801">
        <f t="shared" si="608"/>
        <v>3</v>
      </c>
      <c r="J1801" t="str">
        <f t="shared" ref="J1801:J1864" si="614">IF(F1801&lt;&gt;"",F1801,IF($A1801=$A1800,J1800,J1801))</f>
        <v>14</v>
      </c>
      <c r="K1801" t="str">
        <f t="shared" ref="K1801:K1864" si="615">IF($A1801=$A1800,K1800,G1801)</f>
        <v>56</v>
      </c>
      <c r="L1801" t="str">
        <f t="shared" ref="L1801:L1864" si="616">IF(H1801&lt;&gt;"",H1801,IF($A1801=$A1800,L1800,""))</f>
        <v/>
      </c>
      <c r="M1801" s="6" t="str">
        <f t="shared" ref="M1801:M1864" si="617">IF(I1801&lt;&gt;"",I1801,IF($A1801=$A1800,M1800,""))</f>
        <v/>
      </c>
      <c r="N1801" t="str">
        <f t="shared" ref="N1801:N1859" si="618">IF(A1801=A1800,N1800,"")</f>
        <v>Home</v>
      </c>
      <c r="O1801">
        <v>10</v>
      </c>
      <c r="P1801" t="s">
        <v>424</v>
      </c>
      <c r="Y1801" t="str">
        <f t="shared" si="601"/>
        <v/>
      </c>
      <c r="Z1801" t="str">
        <f t="shared" si="602"/>
        <v/>
      </c>
      <c r="AC1801" t="str">
        <f t="shared" si="598"/>
        <v>Zone_Entry_Exit</v>
      </c>
      <c r="AD1801" t="str">
        <f t="shared" si="599"/>
        <v>Zone_Exit</v>
      </c>
      <c r="AE1801" t="str">
        <f t="shared" si="600"/>
        <v>ZoneExit-Pass</v>
      </c>
      <c r="AF1801" t="str">
        <f t="shared" si="603"/>
        <v>Offensive</v>
      </c>
      <c r="AG1801">
        <f t="shared" si="609"/>
        <v>18981</v>
      </c>
      <c r="AH1801" t="str">
        <f t="shared" si="610"/>
        <v>Nelson</v>
      </c>
      <c r="AI1801" t="str">
        <f t="shared" si="611"/>
        <v>Velodrome</v>
      </c>
      <c r="AJ1801" s="18">
        <f t="shared" si="604"/>
        <v>0</v>
      </c>
      <c r="AP1801" s="18">
        <f t="shared" si="605"/>
        <v>0</v>
      </c>
      <c r="AQ1801">
        <f t="shared" si="606"/>
        <v>2160</v>
      </c>
      <c r="AR1801" s="23">
        <f t="shared" si="607"/>
        <v>2344</v>
      </c>
      <c r="AS1801">
        <f t="shared" si="612"/>
        <v>2339</v>
      </c>
      <c r="AT1801" s="21">
        <f t="shared" si="613"/>
        <v>2344</v>
      </c>
      <c r="AU1801" s="21"/>
      <c r="AV1801" s="21"/>
      <c r="AW1801" s="21"/>
    </row>
    <row r="1802" spans="1:49" x14ac:dyDescent="0.2">
      <c r="A1802">
        <v>947</v>
      </c>
      <c r="E1802">
        <f t="shared" si="608"/>
        <v>3</v>
      </c>
      <c r="F1802" s="5" t="s">
        <v>489</v>
      </c>
      <c r="G1802" s="5" t="s">
        <v>528</v>
      </c>
      <c r="H1802" s="5" t="s">
        <v>489</v>
      </c>
      <c r="I1802" s="7" t="s">
        <v>525</v>
      </c>
      <c r="J1802" t="str">
        <f t="shared" si="614"/>
        <v>14</v>
      </c>
      <c r="K1802" t="str">
        <f t="shared" si="615"/>
        <v>56</v>
      </c>
      <c r="L1802" t="str">
        <f t="shared" si="616"/>
        <v>14</v>
      </c>
      <c r="M1802" s="6" t="str">
        <f t="shared" si="617"/>
        <v>53</v>
      </c>
      <c r="N1802" t="s">
        <v>178</v>
      </c>
      <c r="O1802">
        <v>10</v>
      </c>
      <c r="P1802" t="s">
        <v>424</v>
      </c>
      <c r="Q1802" t="s">
        <v>15</v>
      </c>
      <c r="Y1802" t="str">
        <f t="shared" si="601"/>
        <v/>
      </c>
      <c r="Z1802" t="str">
        <f t="shared" si="602"/>
        <v/>
      </c>
      <c r="AC1802" t="str">
        <f t="shared" si="598"/>
        <v>Possession</v>
      </c>
      <c r="AD1802" t="str">
        <f t="shared" si="599"/>
        <v/>
      </c>
      <c r="AE1802" t="str">
        <f t="shared" si="600"/>
        <v/>
      </c>
      <c r="AF1802" t="str">
        <f t="shared" si="603"/>
        <v>Offensive</v>
      </c>
      <c r="AG1802">
        <f t="shared" si="609"/>
        <v>18981</v>
      </c>
      <c r="AH1802" t="str">
        <f t="shared" si="610"/>
        <v>Nelson</v>
      </c>
      <c r="AI1802" t="str">
        <f t="shared" si="611"/>
        <v>Velodrome</v>
      </c>
      <c r="AJ1802" s="18">
        <f t="shared" si="604"/>
        <v>3</v>
      </c>
      <c r="AP1802" s="18">
        <f t="shared" si="605"/>
        <v>0</v>
      </c>
      <c r="AQ1802">
        <f t="shared" si="606"/>
        <v>2160</v>
      </c>
      <c r="AR1802" s="23">
        <f t="shared" si="607"/>
        <v>2344</v>
      </c>
      <c r="AS1802">
        <f t="shared" si="612"/>
        <v>2339</v>
      </c>
      <c r="AT1802" s="21">
        <f t="shared" si="613"/>
        <v>2347</v>
      </c>
      <c r="AU1802" s="21"/>
      <c r="AV1802" s="21"/>
      <c r="AW1802" s="21"/>
    </row>
    <row r="1803" spans="1:49" x14ac:dyDescent="0.2">
      <c r="A1803">
        <v>948</v>
      </c>
      <c r="E1803">
        <f t="shared" si="608"/>
        <v>3</v>
      </c>
      <c r="F1803" s="5" t="s">
        <v>489</v>
      </c>
      <c r="G1803" s="5" t="s">
        <v>525</v>
      </c>
      <c r="H1803" s="5" t="s">
        <v>489</v>
      </c>
      <c r="I1803" s="7" t="s">
        <v>523</v>
      </c>
      <c r="J1803" t="str">
        <f t="shared" si="614"/>
        <v>14</v>
      </c>
      <c r="K1803" t="str">
        <f t="shared" si="615"/>
        <v>53</v>
      </c>
      <c r="L1803" t="str">
        <f t="shared" si="616"/>
        <v>14</v>
      </c>
      <c r="M1803" s="6" t="str">
        <f t="shared" si="617"/>
        <v>51</v>
      </c>
      <c r="N1803" t="s">
        <v>178</v>
      </c>
      <c r="O1803">
        <v>10</v>
      </c>
      <c r="P1803" t="s">
        <v>424</v>
      </c>
      <c r="Q1803" t="s">
        <v>277</v>
      </c>
      <c r="R1803" t="s">
        <v>191</v>
      </c>
      <c r="S1803" t="s">
        <v>87</v>
      </c>
      <c r="Y1803" t="str">
        <f t="shared" si="601"/>
        <v/>
      </c>
      <c r="Z1803" t="str">
        <f t="shared" si="602"/>
        <v/>
      </c>
      <c r="AC1803" t="str">
        <f t="shared" si="598"/>
        <v>Zone_Entry_Exit</v>
      </c>
      <c r="AD1803" t="str">
        <f t="shared" si="599"/>
        <v>Zone_Entry</v>
      </c>
      <c r="AE1803" t="str">
        <f t="shared" si="600"/>
        <v>ZoneEntry-Rush</v>
      </c>
      <c r="AF1803" t="str">
        <f t="shared" si="603"/>
        <v>Offensive</v>
      </c>
      <c r="AG1803">
        <f t="shared" si="609"/>
        <v>18981</v>
      </c>
      <c r="AH1803" t="str">
        <f t="shared" si="610"/>
        <v>Nelson</v>
      </c>
      <c r="AI1803" t="str">
        <f t="shared" si="611"/>
        <v>Velodrome</v>
      </c>
      <c r="AJ1803" s="18">
        <f t="shared" si="604"/>
        <v>2</v>
      </c>
      <c r="AP1803" s="18">
        <f t="shared" si="605"/>
        <v>0</v>
      </c>
      <c r="AQ1803">
        <f t="shared" si="606"/>
        <v>2160</v>
      </c>
      <c r="AR1803" s="23">
        <f t="shared" si="607"/>
        <v>2347</v>
      </c>
      <c r="AS1803">
        <f t="shared" si="612"/>
        <v>2342</v>
      </c>
      <c r="AT1803" s="21">
        <f t="shared" si="613"/>
        <v>2349</v>
      </c>
      <c r="AU1803" s="21"/>
      <c r="AV1803" s="21"/>
      <c r="AW1803" s="21"/>
    </row>
    <row r="1804" spans="1:49" x14ac:dyDescent="0.2">
      <c r="A1804">
        <v>948</v>
      </c>
      <c r="E1804">
        <f t="shared" si="608"/>
        <v>3</v>
      </c>
      <c r="J1804" t="str">
        <f t="shared" si="614"/>
        <v>14</v>
      </c>
      <c r="K1804" t="str">
        <f t="shared" si="615"/>
        <v>53</v>
      </c>
      <c r="L1804" t="str">
        <f t="shared" si="616"/>
        <v>14</v>
      </c>
      <c r="M1804" s="6" t="str">
        <f t="shared" si="617"/>
        <v>51</v>
      </c>
      <c r="N1804" t="str">
        <f t="shared" si="618"/>
        <v>Home</v>
      </c>
      <c r="O1804">
        <v>44</v>
      </c>
      <c r="P1804" t="s">
        <v>424</v>
      </c>
      <c r="Y1804" t="str">
        <f t="shared" si="601"/>
        <v/>
      </c>
      <c r="Z1804" t="str">
        <f t="shared" si="602"/>
        <v/>
      </c>
      <c r="AC1804" t="str">
        <f t="shared" si="598"/>
        <v>Zone_Entry_Exit</v>
      </c>
      <c r="AD1804" t="str">
        <f t="shared" si="599"/>
        <v>Zone_Entry</v>
      </c>
      <c r="AE1804" t="str">
        <f t="shared" si="600"/>
        <v>ZoneEntry-Rush</v>
      </c>
      <c r="AF1804" t="str">
        <f t="shared" si="603"/>
        <v>Offensive</v>
      </c>
      <c r="AG1804">
        <f t="shared" si="609"/>
        <v>18981</v>
      </c>
      <c r="AH1804" t="str">
        <f t="shared" si="610"/>
        <v>Nelson</v>
      </c>
      <c r="AI1804" t="str">
        <f t="shared" si="611"/>
        <v>Velodrome</v>
      </c>
      <c r="AJ1804" s="18">
        <f t="shared" si="604"/>
        <v>2</v>
      </c>
      <c r="AP1804" s="18">
        <f t="shared" si="605"/>
        <v>0</v>
      </c>
      <c r="AQ1804">
        <f t="shared" si="606"/>
        <v>2160</v>
      </c>
      <c r="AR1804" s="23">
        <f t="shared" si="607"/>
        <v>2347</v>
      </c>
      <c r="AS1804">
        <f t="shared" si="612"/>
        <v>2342</v>
      </c>
      <c r="AT1804" s="21">
        <f t="shared" si="613"/>
        <v>2349</v>
      </c>
      <c r="AU1804" s="21"/>
      <c r="AV1804" s="21"/>
      <c r="AW1804" s="21"/>
    </row>
    <row r="1805" spans="1:49" x14ac:dyDescent="0.2">
      <c r="A1805">
        <v>948</v>
      </c>
      <c r="E1805">
        <f t="shared" si="608"/>
        <v>3</v>
      </c>
      <c r="J1805" t="str">
        <f t="shared" si="614"/>
        <v>14</v>
      </c>
      <c r="K1805" t="str">
        <f t="shared" si="615"/>
        <v>53</v>
      </c>
      <c r="L1805" t="str">
        <f t="shared" si="616"/>
        <v>14</v>
      </c>
      <c r="M1805" s="6" t="str">
        <f t="shared" si="617"/>
        <v>51</v>
      </c>
      <c r="N1805" t="str">
        <f t="shared" si="618"/>
        <v>Home</v>
      </c>
      <c r="O1805">
        <v>52</v>
      </c>
      <c r="P1805" t="s">
        <v>425</v>
      </c>
      <c r="Y1805" t="str">
        <f t="shared" si="601"/>
        <v/>
      </c>
      <c r="Z1805" t="str">
        <f t="shared" si="602"/>
        <v/>
      </c>
      <c r="AC1805" t="str">
        <f t="shared" si="598"/>
        <v>Zone_Entry_Exit</v>
      </c>
      <c r="AD1805" t="str">
        <f t="shared" si="599"/>
        <v>Zone_Entry</v>
      </c>
      <c r="AE1805" t="str">
        <f t="shared" si="600"/>
        <v>ZoneEntry-Rush</v>
      </c>
      <c r="AF1805" t="str">
        <f t="shared" si="603"/>
        <v>Defensive</v>
      </c>
      <c r="AG1805">
        <f t="shared" si="609"/>
        <v>18981</v>
      </c>
      <c r="AH1805" t="str">
        <f t="shared" si="610"/>
        <v>Nelson</v>
      </c>
      <c r="AI1805" t="str">
        <f t="shared" si="611"/>
        <v>Velodrome</v>
      </c>
      <c r="AJ1805" s="18">
        <f t="shared" si="604"/>
        <v>2</v>
      </c>
      <c r="AP1805" s="18">
        <f t="shared" si="605"/>
        <v>0</v>
      </c>
      <c r="AQ1805">
        <f t="shared" si="606"/>
        <v>2160</v>
      </c>
      <c r="AR1805" s="23">
        <f t="shared" si="607"/>
        <v>2347</v>
      </c>
      <c r="AS1805">
        <f t="shared" si="612"/>
        <v>2342</v>
      </c>
      <c r="AT1805" s="21">
        <f t="shared" si="613"/>
        <v>2349</v>
      </c>
      <c r="AU1805" s="21"/>
      <c r="AV1805" s="21"/>
      <c r="AW1805" s="21"/>
    </row>
    <row r="1806" spans="1:49" x14ac:dyDescent="0.2">
      <c r="A1806">
        <v>948</v>
      </c>
      <c r="E1806">
        <f t="shared" si="608"/>
        <v>3</v>
      </c>
      <c r="J1806" t="str">
        <f t="shared" si="614"/>
        <v>14</v>
      </c>
      <c r="K1806" t="str">
        <f t="shared" si="615"/>
        <v>53</v>
      </c>
      <c r="L1806" t="str">
        <f t="shared" si="616"/>
        <v>14</v>
      </c>
      <c r="M1806" s="6" t="str">
        <f t="shared" si="617"/>
        <v>51</v>
      </c>
      <c r="N1806" t="str">
        <f t="shared" si="618"/>
        <v>Home</v>
      </c>
      <c r="O1806">
        <v>22</v>
      </c>
      <c r="P1806" t="s">
        <v>425</v>
      </c>
      <c r="Y1806" t="str">
        <f t="shared" si="601"/>
        <v/>
      </c>
      <c r="Z1806" t="str">
        <f t="shared" si="602"/>
        <v/>
      </c>
      <c r="AC1806" t="str">
        <f t="shared" si="598"/>
        <v>Zone_Entry_Exit</v>
      </c>
      <c r="AD1806" t="str">
        <f t="shared" si="599"/>
        <v>Zone_Entry</v>
      </c>
      <c r="AE1806" t="str">
        <f t="shared" si="600"/>
        <v>ZoneEntry-Rush</v>
      </c>
      <c r="AF1806" t="str">
        <f t="shared" si="603"/>
        <v>Defensive</v>
      </c>
      <c r="AG1806">
        <f t="shared" si="609"/>
        <v>18981</v>
      </c>
      <c r="AH1806" t="str">
        <f t="shared" si="610"/>
        <v>Nelson</v>
      </c>
      <c r="AI1806" t="str">
        <f t="shared" si="611"/>
        <v>Velodrome</v>
      </c>
      <c r="AJ1806" s="18">
        <f t="shared" si="604"/>
        <v>2</v>
      </c>
      <c r="AP1806" s="18">
        <f t="shared" si="605"/>
        <v>0</v>
      </c>
      <c r="AQ1806">
        <f t="shared" si="606"/>
        <v>2160</v>
      </c>
      <c r="AR1806" s="23">
        <f t="shared" si="607"/>
        <v>2347</v>
      </c>
      <c r="AS1806">
        <f t="shared" si="612"/>
        <v>2342</v>
      </c>
      <c r="AT1806" s="21">
        <f t="shared" si="613"/>
        <v>2349</v>
      </c>
      <c r="AU1806" s="21"/>
      <c r="AV1806" s="21"/>
      <c r="AW1806" s="21"/>
    </row>
    <row r="1807" spans="1:49" x14ac:dyDescent="0.2">
      <c r="A1807">
        <v>949</v>
      </c>
      <c r="E1807">
        <f t="shared" si="608"/>
        <v>3</v>
      </c>
      <c r="F1807" s="5" t="s">
        <v>489</v>
      </c>
      <c r="G1807" s="5" t="s">
        <v>523</v>
      </c>
      <c r="H1807" s="5" t="s">
        <v>489</v>
      </c>
      <c r="I1807" s="7" t="s">
        <v>517</v>
      </c>
      <c r="J1807" t="str">
        <f t="shared" si="614"/>
        <v>14</v>
      </c>
      <c r="K1807" t="str">
        <f t="shared" si="615"/>
        <v>51</v>
      </c>
      <c r="L1807" t="str">
        <f t="shared" si="616"/>
        <v>14</v>
      </c>
      <c r="M1807" s="6" t="str">
        <f t="shared" si="617"/>
        <v>45</v>
      </c>
      <c r="N1807" t="s">
        <v>178</v>
      </c>
      <c r="O1807">
        <v>10</v>
      </c>
      <c r="P1807" t="s">
        <v>424</v>
      </c>
      <c r="Q1807" t="s">
        <v>15</v>
      </c>
      <c r="Y1807" t="str">
        <f t="shared" si="601"/>
        <v/>
      </c>
      <c r="Z1807" t="str">
        <f t="shared" si="602"/>
        <v/>
      </c>
      <c r="AC1807" t="str">
        <f t="shared" si="598"/>
        <v>Possession</v>
      </c>
      <c r="AD1807" t="str">
        <f t="shared" si="599"/>
        <v/>
      </c>
      <c r="AE1807" t="str">
        <f t="shared" si="600"/>
        <v/>
      </c>
      <c r="AF1807" t="str">
        <f t="shared" si="603"/>
        <v>Offensive</v>
      </c>
      <c r="AG1807">
        <f t="shared" si="609"/>
        <v>18981</v>
      </c>
      <c r="AH1807" t="str">
        <f t="shared" si="610"/>
        <v>Nelson</v>
      </c>
      <c r="AI1807" t="str">
        <f t="shared" si="611"/>
        <v>Velodrome</v>
      </c>
      <c r="AJ1807" s="18">
        <f t="shared" si="604"/>
        <v>6</v>
      </c>
      <c r="AP1807" s="18">
        <f t="shared" si="605"/>
        <v>0</v>
      </c>
      <c r="AQ1807">
        <f t="shared" si="606"/>
        <v>2160</v>
      </c>
      <c r="AR1807" s="23">
        <f t="shared" si="607"/>
        <v>2349</v>
      </c>
      <c r="AS1807">
        <f t="shared" si="612"/>
        <v>2344</v>
      </c>
      <c r="AT1807" s="21">
        <f t="shared" si="613"/>
        <v>2355</v>
      </c>
      <c r="AU1807" s="21"/>
      <c r="AV1807" s="21"/>
      <c r="AW1807" s="21"/>
    </row>
    <row r="1808" spans="1:49" x14ac:dyDescent="0.2">
      <c r="A1808">
        <v>949</v>
      </c>
      <c r="E1808">
        <f t="shared" si="608"/>
        <v>3</v>
      </c>
      <c r="J1808" t="str">
        <f t="shared" si="614"/>
        <v>14</v>
      </c>
      <c r="K1808" t="str">
        <f t="shared" si="615"/>
        <v>51</v>
      </c>
      <c r="L1808" t="str">
        <f t="shared" si="616"/>
        <v>14</v>
      </c>
      <c r="M1808" s="6" t="str">
        <f t="shared" si="617"/>
        <v>45</v>
      </c>
      <c r="N1808" t="str">
        <f t="shared" si="618"/>
        <v>Home</v>
      </c>
      <c r="O1808">
        <v>22</v>
      </c>
      <c r="P1808" t="s">
        <v>425</v>
      </c>
      <c r="Y1808" t="str">
        <f t="shared" si="601"/>
        <v/>
      </c>
      <c r="Z1808" t="str">
        <f t="shared" si="602"/>
        <v/>
      </c>
      <c r="AC1808" t="str">
        <f t="shared" si="598"/>
        <v>Possession</v>
      </c>
      <c r="AD1808" t="str">
        <f t="shared" si="599"/>
        <v/>
      </c>
      <c r="AE1808" t="str">
        <f t="shared" si="600"/>
        <v/>
      </c>
      <c r="AF1808" t="str">
        <f t="shared" si="603"/>
        <v>Defensive</v>
      </c>
      <c r="AG1808">
        <f t="shared" si="609"/>
        <v>18981</v>
      </c>
      <c r="AH1808" t="str">
        <f t="shared" si="610"/>
        <v>Nelson</v>
      </c>
      <c r="AI1808" t="str">
        <f t="shared" si="611"/>
        <v>Velodrome</v>
      </c>
      <c r="AJ1808" s="18">
        <f t="shared" si="604"/>
        <v>6</v>
      </c>
      <c r="AP1808" s="18">
        <f t="shared" si="605"/>
        <v>0</v>
      </c>
      <c r="AQ1808">
        <f t="shared" si="606"/>
        <v>2160</v>
      </c>
      <c r="AR1808" s="23">
        <f t="shared" si="607"/>
        <v>2349</v>
      </c>
      <c r="AS1808">
        <f t="shared" si="612"/>
        <v>2344</v>
      </c>
      <c r="AT1808" s="21">
        <f t="shared" si="613"/>
        <v>2355</v>
      </c>
      <c r="AU1808" s="21"/>
      <c r="AV1808" s="21"/>
      <c r="AW1808" s="21"/>
    </row>
    <row r="1809" spans="1:49" x14ac:dyDescent="0.2">
      <c r="A1809">
        <v>950</v>
      </c>
      <c r="E1809">
        <f t="shared" si="608"/>
        <v>3</v>
      </c>
      <c r="F1809" s="5" t="s">
        <v>489</v>
      </c>
      <c r="G1809" s="5" t="s">
        <v>517</v>
      </c>
      <c r="J1809" t="str">
        <f t="shared" si="614"/>
        <v>14</v>
      </c>
      <c r="K1809" t="str">
        <f t="shared" si="615"/>
        <v>45</v>
      </c>
      <c r="L1809" t="str">
        <f t="shared" si="616"/>
        <v/>
      </c>
      <c r="M1809" s="6" t="str">
        <f t="shared" si="617"/>
        <v/>
      </c>
      <c r="N1809" t="s">
        <v>178</v>
      </c>
      <c r="O1809">
        <v>10</v>
      </c>
      <c r="P1809" t="s">
        <v>424</v>
      </c>
      <c r="Q1809" t="s">
        <v>8</v>
      </c>
      <c r="R1809" t="s">
        <v>189</v>
      </c>
      <c r="S1809" t="s">
        <v>70</v>
      </c>
      <c r="Y1809" t="str">
        <f t="shared" si="601"/>
        <v/>
      </c>
      <c r="Z1809" t="str">
        <f t="shared" si="602"/>
        <v/>
      </c>
      <c r="AC1809" t="str">
        <f t="shared" si="598"/>
        <v>Pass</v>
      </c>
      <c r="AD1809" t="str">
        <f t="shared" si="599"/>
        <v>Pass_Completed</v>
      </c>
      <c r="AE1809" t="str">
        <f t="shared" si="600"/>
        <v>Pass-Forehand</v>
      </c>
      <c r="AF1809" t="str">
        <f t="shared" si="603"/>
        <v>Offensive</v>
      </c>
      <c r="AG1809">
        <f t="shared" si="609"/>
        <v>18981</v>
      </c>
      <c r="AH1809" t="str">
        <f t="shared" si="610"/>
        <v>Nelson</v>
      </c>
      <c r="AI1809" t="str">
        <f t="shared" si="611"/>
        <v>Velodrome</v>
      </c>
      <c r="AJ1809" s="18">
        <f t="shared" si="604"/>
        <v>0</v>
      </c>
      <c r="AP1809" s="18">
        <f t="shared" si="605"/>
        <v>0</v>
      </c>
      <c r="AQ1809">
        <f t="shared" si="606"/>
        <v>2160</v>
      </c>
      <c r="AR1809" s="23">
        <f t="shared" si="607"/>
        <v>2355</v>
      </c>
      <c r="AS1809">
        <f t="shared" si="612"/>
        <v>2350</v>
      </c>
      <c r="AT1809" s="21">
        <f t="shared" si="613"/>
        <v>2355</v>
      </c>
      <c r="AU1809" s="21"/>
      <c r="AV1809" s="21"/>
      <c r="AW1809" s="21"/>
    </row>
    <row r="1810" spans="1:49" x14ac:dyDescent="0.2">
      <c r="A1810">
        <v>950</v>
      </c>
      <c r="E1810">
        <f t="shared" si="608"/>
        <v>3</v>
      </c>
      <c r="J1810" t="str">
        <f t="shared" si="614"/>
        <v>14</v>
      </c>
      <c r="K1810" t="str">
        <f t="shared" si="615"/>
        <v>45</v>
      </c>
      <c r="L1810" t="str">
        <f t="shared" si="616"/>
        <v/>
      </c>
      <c r="M1810" s="6" t="str">
        <f t="shared" si="617"/>
        <v/>
      </c>
      <c r="N1810" t="str">
        <f t="shared" si="618"/>
        <v>Home</v>
      </c>
      <c r="O1810">
        <v>23</v>
      </c>
      <c r="P1810" t="s">
        <v>424</v>
      </c>
      <c r="Y1810" t="str">
        <f t="shared" si="601"/>
        <v/>
      </c>
      <c r="Z1810" t="str">
        <f t="shared" si="602"/>
        <v/>
      </c>
      <c r="AC1810" t="str">
        <f t="shared" si="598"/>
        <v>Pass</v>
      </c>
      <c r="AD1810" t="str">
        <f t="shared" si="599"/>
        <v>Pass_Completed</v>
      </c>
      <c r="AE1810" t="str">
        <f t="shared" si="600"/>
        <v>Pass-Forehand</v>
      </c>
      <c r="AF1810" t="str">
        <f t="shared" si="603"/>
        <v>Offensive</v>
      </c>
      <c r="AG1810">
        <f t="shared" si="609"/>
        <v>18981</v>
      </c>
      <c r="AH1810" t="str">
        <f t="shared" si="610"/>
        <v>Nelson</v>
      </c>
      <c r="AI1810" t="str">
        <f t="shared" si="611"/>
        <v>Velodrome</v>
      </c>
      <c r="AJ1810" s="18">
        <f t="shared" si="604"/>
        <v>0</v>
      </c>
      <c r="AP1810" s="18">
        <f t="shared" si="605"/>
        <v>0</v>
      </c>
      <c r="AQ1810">
        <f t="shared" si="606"/>
        <v>2160</v>
      </c>
      <c r="AR1810" s="23">
        <f t="shared" si="607"/>
        <v>2355</v>
      </c>
      <c r="AS1810">
        <f t="shared" si="612"/>
        <v>2350</v>
      </c>
      <c r="AT1810" s="21">
        <f t="shared" si="613"/>
        <v>2355</v>
      </c>
      <c r="AU1810" s="21"/>
      <c r="AV1810" s="21"/>
      <c r="AW1810" s="21"/>
    </row>
    <row r="1811" spans="1:49" x14ac:dyDescent="0.2">
      <c r="A1811">
        <v>951</v>
      </c>
      <c r="E1811">
        <f t="shared" si="608"/>
        <v>3</v>
      </c>
      <c r="F1811" s="5" t="s">
        <v>489</v>
      </c>
      <c r="G1811" s="5" t="s">
        <v>517</v>
      </c>
      <c r="H1811" s="5" t="s">
        <v>489</v>
      </c>
      <c r="I1811" s="7" t="s">
        <v>514</v>
      </c>
      <c r="J1811" t="str">
        <f t="shared" si="614"/>
        <v>14</v>
      </c>
      <c r="K1811" t="str">
        <f t="shared" si="615"/>
        <v>45</v>
      </c>
      <c r="L1811" t="str">
        <f t="shared" si="616"/>
        <v>14</v>
      </c>
      <c r="M1811" s="6" t="str">
        <f t="shared" si="617"/>
        <v>42</v>
      </c>
      <c r="N1811" t="s">
        <v>178</v>
      </c>
      <c r="O1811">
        <v>23</v>
      </c>
      <c r="P1811" t="s">
        <v>424</v>
      </c>
      <c r="Q1811" t="s">
        <v>15</v>
      </c>
      <c r="Y1811" t="str">
        <f t="shared" si="601"/>
        <v/>
      </c>
      <c r="Z1811" t="str">
        <f t="shared" si="602"/>
        <v/>
      </c>
      <c r="AC1811" t="str">
        <f t="shared" si="598"/>
        <v>Possession</v>
      </c>
      <c r="AD1811" t="str">
        <f t="shared" si="599"/>
        <v/>
      </c>
      <c r="AE1811" t="str">
        <f t="shared" si="600"/>
        <v/>
      </c>
      <c r="AF1811" t="str">
        <f t="shared" si="603"/>
        <v>Offensive</v>
      </c>
      <c r="AG1811">
        <f t="shared" si="609"/>
        <v>18981</v>
      </c>
      <c r="AH1811" t="str">
        <f t="shared" si="610"/>
        <v>Nelson</v>
      </c>
      <c r="AI1811" t="str">
        <f t="shared" si="611"/>
        <v>Velodrome</v>
      </c>
      <c r="AJ1811" s="18">
        <f t="shared" si="604"/>
        <v>3</v>
      </c>
      <c r="AP1811" s="18">
        <f t="shared" si="605"/>
        <v>0</v>
      </c>
      <c r="AQ1811">
        <f t="shared" si="606"/>
        <v>2160</v>
      </c>
      <c r="AR1811" s="23">
        <f t="shared" si="607"/>
        <v>2355</v>
      </c>
      <c r="AS1811">
        <f t="shared" si="612"/>
        <v>2350</v>
      </c>
      <c r="AT1811" s="21">
        <f t="shared" si="613"/>
        <v>2358</v>
      </c>
      <c r="AU1811" s="21"/>
      <c r="AV1811" s="21"/>
      <c r="AW1811" s="21"/>
    </row>
    <row r="1812" spans="1:49" x14ac:dyDescent="0.2">
      <c r="A1812">
        <v>952</v>
      </c>
      <c r="E1812">
        <f t="shared" si="608"/>
        <v>3</v>
      </c>
      <c r="F1812" s="5" t="s">
        <v>489</v>
      </c>
      <c r="G1812" s="5" t="s">
        <v>514</v>
      </c>
      <c r="J1812" t="str">
        <f t="shared" si="614"/>
        <v>14</v>
      </c>
      <c r="K1812" t="str">
        <f t="shared" si="615"/>
        <v>42</v>
      </c>
      <c r="L1812" t="str">
        <f t="shared" si="616"/>
        <v/>
      </c>
      <c r="M1812" s="6" t="str">
        <f t="shared" si="617"/>
        <v/>
      </c>
      <c r="N1812" t="s">
        <v>178</v>
      </c>
      <c r="O1812">
        <v>23</v>
      </c>
      <c r="P1812" t="s">
        <v>424</v>
      </c>
      <c r="Q1812" t="s">
        <v>7</v>
      </c>
      <c r="R1812" t="s">
        <v>208</v>
      </c>
      <c r="S1812" t="s">
        <v>53</v>
      </c>
      <c r="Y1812" t="str">
        <f t="shared" si="601"/>
        <v/>
      </c>
      <c r="Z1812" t="str">
        <f t="shared" si="602"/>
        <v/>
      </c>
      <c r="AC1812" t="str">
        <f t="shared" si="598"/>
        <v>Shot</v>
      </c>
      <c r="AD1812" t="str">
        <f t="shared" si="599"/>
        <v>Shot_Blocked</v>
      </c>
      <c r="AE1812" t="str">
        <f t="shared" si="600"/>
        <v>Shot-Wrist</v>
      </c>
      <c r="AF1812" t="str">
        <f t="shared" si="603"/>
        <v>Offensive</v>
      </c>
      <c r="AG1812">
        <f t="shared" si="609"/>
        <v>18981</v>
      </c>
      <c r="AH1812" t="str">
        <f t="shared" si="610"/>
        <v>Nelson</v>
      </c>
      <c r="AI1812" t="str">
        <f t="shared" si="611"/>
        <v>Velodrome</v>
      </c>
      <c r="AJ1812" s="18">
        <f t="shared" si="604"/>
        <v>0</v>
      </c>
      <c r="AP1812" s="18">
        <f t="shared" si="605"/>
        <v>0</v>
      </c>
      <c r="AQ1812">
        <f t="shared" si="606"/>
        <v>2160</v>
      </c>
      <c r="AR1812" s="23">
        <f t="shared" si="607"/>
        <v>2358</v>
      </c>
      <c r="AS1812">
        <f t="shared" si="612"/>
        <v>2353</v>
      </c>
      <c r="AT1812" s="21">
        <f t="shared" si="613"/>
        <v>2358</v>
      </c>
      <c r="AU1812" s="21"/>
      <c r="AV1812" s="21"/>
      <c r="AW1812" s="21"/>
    </row>
    <row r="1813" spans="1:49" x14ac:dyDescent="0.2">
      <c r="A1813">
        <v>952</v>
      </c>
      <c r="E1813">
        <f t="shared" si="608"/>
        <v>3</v>
      </c>
      <c r="J1813" t="str">
        <f t="shared" si="614"/>
        <v>14</v>
      </c>
      <c r="K1813" t="str">
        <f t="shared" si="615"/>
        <v>42</v>
      </c>
      <c r="L1813" t="str">
        <f t="shared" si="616"/>
        <v/>
      </c>
      <c r="M1813" s="6" t="str">
        <f t="shared" si="617"/>
        <v/>
      </c>
      <c r="N1813" t="str">
        <f t="shared" si="618"/>
        <v>Home</v>
      </c>
      <c r="O1813">
        <v>22</v>
      </c>
      <c r="P1813" t="s">
        <v>425</v>
      </c>
      <c r="Y1813" t="str">
        <f t="shared" si="601"/>
        <v/>
      </c>
      <c r="Z1813" t="str">
        <f t="shared" si="602"/>
        <v/>
      </c>
      <c r="AC1813" t="str">
        <f t="shared" si="598"/>
        <v>Shot</v>
      </c>
      <c r="AD1813" t="str">
        <f t="shared" si="599"/>
        <v>Shot_Blocked</v>
      </c>
      <c r="AE1813" t="str">
        <f t="shared" si="600"/>
        <v>Shot-Wrist</v>
      </c>
      <c r="AF1813" t="str">
        <f t="shared" si="603"/>
        <v>Defensive</v>
      </c>
      <c r="AG1813">
        <f t="shared" si="609"/>
        <v>18981</v>
      </c>
      <c r="AH1813" t="str">
        <f t="shared" si="610"/>
        <v>Nelson</v>
      </c>
      <c r="AI1813" t="str">
        <f t="shared" si="611"/>
        <v>Velodrome</v>
      </c>
      <c r="AJ1813" s="18">
        <f t="shared" si="604"/>
        <v>0</v>
      </c>
      <c r="AP1813" s="18">
        <f t="shared" si="605"/>
        <v>0</v>
      </c>
      <c r="AQ1813">
        <f t="shared" si="606"/>
        <v>2160</v>
      </c>
      <c r="AR1813" s="23">
        <f t="shared" si="607"/>
        <v>2358</v>
      </c>
      <c r="AS1813">
        <f t="shared" si="612"/>
        <v>2353</v>
      </c>
      <c r="AT1813" s="21">
        <f t="shared" si="613"/>
        <v>2358</v>
      </c>
      <c r="AU1813" s="21"/>
      <c r="AV1813" s="21"/>
      <c r="AW1813" s="21"/>
    </row>
    <row r="1814" spans="1:49" x14ac:dyDescent="0.2">
      <c r="A1814">
        <v>953</v>
      </c>
      <c r="E1814">
        <f t="shared" si="608"/>
        <v>3</v>
      </c>
      <c r="F1814" s="5" t="s">
        <v>489</v>
      </c>
      <c r="G1814" s="5" t="s">
        <v>512</v>
      </c>
      <c r="J1814" t="str">
        <f t="shared" si="614"/>
        <v>14</v>
      </c>
      <c r="K1814" t="str">
        <f t="shared" si="615"/>
        <v>40</v>
      </c>
      <c r="L1814" t="str">
        <f t="shared" si="616"/>
        <v/>
      </c>
      <c r="M1814" s="6" t="str">
        <f t="shared" si="617"/>
        <v/>
      </c>
      <c r="N1814" t="s">
        <v>178</v>
      </c>
      <c r="O1814">
        <v>23</v>
      </c>
      <c r="P1814" t="s">
        <v>424</v>
      </c>
      <c r="Q1814" t="s">
        <v>10</v>
      </c>
      <c r="R1814" t="s">
        <v>190</v>
      </c>
      <c r="S1814" t="s">
        <v>78</v>
      </c>
      <c r="Y1814" t="str">
        <f t="shared" si="601"/>
        <v/>
      </c>
      <c r="Z1814" t="str">
        <f t="shared" si="602"/>
        <v/>
      </c>
      <c r="AC1814" t="str">
        <f t="shared" si="598"/>
        <v>Turnover</v>
      </c>
      <c r="AD1814" t="str">
        <f t="shared" si="599"/>
        <v>Turnover_Giveaway</v>
      </c>
      <c r="AE1814" t="str">
        <f t="shared" si="600"/>
        <v>Giveaway-ShotBlocked</v>
      </c>
      <c r="AF1814" t="str">
        <f t="shared" si="603"/>
        <v>Offensive</v>
      </c>
      <c r="AG1814">
        <f t="shared" si="609"/>
        <v>18981</v>
      </c>
      <c r="AH1814" t="str">
        <f t="shared" si="610"/>
        <v>Nelson</v>
      </c>
      <c r="AI1814" t="str">
        <f t="shared" si="611"/>
        <v>Velodrome</v>
      </c>
      <c r="AJ1814" s="18">
        <f t="shared" si="604"/>
        <v>0</v>
      </c>
      <c r="AP1814" s="18">
        <f t="shared" si="605"/>
        <v>0</v>
      </c>
      <c r="AQ1814">
        <f t="shared" si="606"/>
        <v>2160</v>
      </c>
      <c r="AR1814" s="23">
        <f t="shared" si="607"/>
        <v>2360</v>
      </c>
      <c r="AS1814">
        <f t="shared" si="612"/>
        <v>2355</v>
      </c>
      <c r="AT1814" s="21">
        <f t="shared" si="613"/>
        <v>2360</v>
      </c>
      <c r="AU1814" s="21"/>
      <c r="AV1814" s="21"/>
      <c r="AW1814" s="21"/>
    </row>
    <row r="1815" spans="1:49" x14ac:dyDescent="0.2">
      <c r="A1815">
        <v>954</v>
      </c>
      <c r="E1815">
        <f t="shared" si="608"/>
        <v>3</v>
      </c>
      <c r="F1815" s="5" t="s">
        <v>489</v>
      </c>
      <c r="G1815" s="5" t="s">
        <v>511</v>
      </c>
      <c r="H1815" s="5" t="s">
        <v>489</v>
      </c>
      <c r="I1815" s="7" t="s">
        <v>507</v>
      </c>
      <c r="J1815" t="str">
        <f t="shared" si="614"/>
        <v>14</v>
      </c>
      <c r="K1815" t="str">
        <f t="shared" si="615"/>
        <v>39</v>
      </c>
      <c r="L1815" t="str">
        <f t="shared" si="616"/>
        <v>14</v>
      </c>
      <c r="M1815" s="6" t="str">
        <f t="shared" si="617"/>
        <v>35</v>
      </c>
      <c r="N1815" t="s">
        <v>179</v>
      </c>
      <c r="O1815">
        <v>42</v>
      </c>
      <c r="P1815" t="s">
        <v>424</v>
      </c>
      <c r="Q1815" t="s">
        <v>15</v>
      </c>
      <c r="Y1815" t="str">
        <f t="shared" si="601"/>
        <v/>
      </c>
      <c r="Z1815" t="str">
        <f t="shared" si="602"/>
        <v/>
      </c>
      <c r="AC1815" t="str">
        <f t="shared" si="598"/>
        <v>Possession</v>
      </c>
      <c r="AD1815" t="str">
        <f t="shared" si="599"/>
        <v/>
      </c>
      <c r="AE1815" t="str">
        <f t="shared" si="600"/>
        <v/>
      </c>
      <c r="AF1815" t="str">
        <f t="shared" si="603"/>
        <v>Offensive</v>
      </c>
      <c r="AG1815">
        <f t="shared" si="609"/>
        <v>18981</v>
      </c>
      <c r="AH1815" t="str">
        <f t="shared" si="610"/>
        <v>Nelson</v>
      </c>
      <c r="AI1815" t="str">
        <f t="shared" si="611"/>
        <v>Velodrome</v>
      </c>
      <c r="AJ1815" s="18">
        <f t="shared" si="604"/>
        <v>4</v>
      </c>
      <c r="AP1815" s="18">
        <f t="shared" si="605"/>
        <v>0</v>
      </c>
      <c r="AQ1815">
        <f t="shared" si="606"/>
        <v>2160</v>
      </c>
      <c r="AR1815" s="23">
        <f t="shared" si="607"/>
        <v>2361</v>
      </c>
      <c r="AS1815">
        <f t="shared" si="612"/>
        <v>2356</v>
      </c>
      <c r="AT1815" s="21">
        <f t="shared" si="613"/>
        <v>2365</v>
      </c>
      <c r="AU1815" s="21"/>
      <c r="AV1815" s="21"/>
      <c r="AW1815" s="21"/>
    </row>
    <row r="1816" spans="1:49" x14ac:dyDescent="0.2">
      <c r="A1816">
        <v>955</v>
      </c>
      <c r="E1816">
        <f t="shared" si="608"/>
        <v>3</v>
      </c>
      <c r="F1816" s="5" t="s">
        <v>489</v>
      </c>
      <c r="G1816" s="5" t="s">
        <v>507</v>
      </c>
      <c r="J1816" t="str">
        <f t="shared" si="614"/>
        <v>14</v>
      </c>
      <c r="K1816" t="str">
        <f t="shared" si="615"/>
        <v>35</v>
      </c>
      <c r="L1816" t="str">
        <f t="shared" si="616"/>
        <v/>
      </c>
      <c r="M1816" s="6" t="str">
        <f t="shared" si="617"/>
        <v/>
      </c>
      <c r="N1816" t="s">
        <v>179</v>
      </c>
      <c r="O1816">
        <v>42</v>
      </c>
      <c r="P1816" t="s">
        <v>424</v>
      </c>
      <c r="Q1816" t="s">
        <v>8</v>
      </c>
      <c r="R1816" t="s">
        <v>189</v>
      </c>
      <c r="S1816" t="s">
        <v>70</v>
      </c>
      <c r="Y1816" t="str">
        <f t="shared" si="601"/>
        <v/>
      </c>
      <c r="Z1816" t="str">
        <f t="shared" si="602"/>
        <v/>
      </c>
      <c r="AC1816" t="str">
        <f t="shared" si="598"/>
        <v>Pass</v>
      </c>
      <c r="AD1816" t="str">
        <f t="shared" si="599"/>
        <v>Pass_Completed</v>
      </c>
      <c r="AE1816" t="str">
        <f t="shared" si="600"/>
        <v>Pass-Forehand</v>
      </c>
      <c r="AF1816" t="str">
        <f t="shared" si="603"/>
        <v>Offensive</v>
      </c>
      <c r="AG1816">
        <f t="shared" si="609"/>
        <v>18981</v>
      </c>
      <c r="AH1816" t="str">
        <f t="shared" si="610"/>
        <v>Nelson</v>
      </c>
      <c r="AI1816" t="str">
        <f t="shared" si="611"/>
        <v>Velodrome</v>
      </c>
      <c r="AJ1816" s="18">
        <f t="shared" si="604"/>
        <v>0</v>
      </c>
      <c r="AP1816" s="18">
        <f t="shared" si="605"/>
        <v>0</v>
      </c>
      <c r="AQ1816">
        <f t="shared" si="606"/>
        <v>2160</v>
      </c>
      <c r="AR1816" s="23">
        <f t="shared" si="607"/>
        <v>2365</v>
      </c>
      <c r="AS1816">
        <f t="shared" si="612"/>
        <v>2360</v>
      </c>
      <c r="AT1816" s="21">
        <f t="shared" si="613"/>
        <v>2365</v>
      </c>
      <c r="AU1816" s="21"/>
      <c r="AV1816" s="21"/>
      <c r="AW1816" s="21"/>
    </row>
    <row r="1817" spans="1:49" x14ac:dyDescent="0.2">
      <c r="A1817">
        <v>955</v>
      </c>
      <c r="E1817">
        <f t="shared" si="608"/>
        <v>3</v>
      </c>
      <c r="J1817" t="str">
        <f t="shared" si="614"/>
        <v>14</v>
      </c>
      <c r="K1817" t="str">
        <f t="shared" si="615"/>
        <v>35</v>
      </c>
      <c r="L1817" t="str">
        <f t="shared" si="616"/>
        <v/>
      </c>
      <c r="M1817" s="6" t="str">
        <f t="shared" si="617"/>
        <v/>
      </c>
      <c r="N1817" t="str">
        <f t="shared" si="618"/>
        <v>Away</v>
      </c>
      <c r="O1817">
        <v>91</v>
      </c>
      <c r="P1817" t="s">
        <v>424</v>
      </c>
      <c r="Y1817" t="str">
        <f t="shared" si="601"/>
        <v/>
      </c>
      <c r="Z1817" t="str">
        <f t="shared" si="602"/>
        <v/>
      </c>
      <c r="AC1817" t="str">
        <f t="shared" si="598"/>
        <v>Pass</v>
      </c>
      <c r="AD1817" t="str">
        <f t="shared" si="599"/>
        <v>Pass_Completed</v>
      </c>
      <c r="AE1817" t="str">
        <f t="shared" si="600"/>
        <v>Pass-Forehand</v>
      </c>
      <c r="AF1817" t="str">
        <f t="shared" si="603"/>
        <v>Offensive</v>
      </c>
      <c r="AG1817">
        <f t="shared" si="609"/>
        <v>18981</v>
      </c>
      <c r="AH1817" t="str">
        <f t="shared" si="610"/>
        <v>Nelson</v>
      </c>
      <c r="AI1817" t="str">
        <f t="shared" si="611"/>
        <v>Velodrome</v>
      </c>
      <c r="AJ1817" s="18">
        <f t="shared" si="604"/>
        <v>0</v>
      </c>
      <c r="AP1817" s="18">
        <f t="shared" si="605"/>
        <v>0</v>
      </c>
      <c r="AQ1817">
        <f t="shared" si="606"/>
        <v>2160</v>
      </c>
      <c r="AR1817" s="23">
        <f t="shared" si="607"/>
        <v>2365</v>
      </c>
      <c r="AS1817">
        <f t="shared" si="612"/>
        <v>2360</v>
      </c>
      <c r="AT1817" s="21">
        <f t="shared" si="613"/>
        <v>2365</v>
      </c>
      <c r="AU1817" s="21"/>
      <c r="AV1817" s="21"/>
      <c r="AW1817" s="21"/>
    </row>
    <row r="1818" spans="1:49" x14ac:dyDescent="0.2">
      <c r="A1818">
        <v>956</v>
      </c>
      <c r="E1818">
        <f t="shared" si="608"/>
        <v>3</v>
      </c>
      <c r="F1818" s="5" t="s">
        <v>489</v>
      </c>
      <c r="G1818" s="5" t="s">
        <v>507</v>
      </c>
      <c r="J1818" t="str">
        <f t="shared" si="614"/>
        <v>14</v>
      </c>
      <c r="K1818" t="str">
        <f t="shared" si="615"/>
        <v>35</v>
      </c>
      <c r="L1818" t="str">
        <f t="shared" si="616"/>
        <v/>
      </c>
      <c r="M1818" s="6" t="str">
        <f t="shared" si="617"/>
        <v/>
      </c>
      <c r="N1818" t="s">
        <v>179</v>
      </c>
      <c r="O1818">
        <v>42</v>
      </c>
      <c r="P1818" t="s">
        <v>424</v>
      </c>
      <c r="Q1818" t="s">
        <v>277</v>
      </c>
      <c r="R1818" t="s">
        <v>201</v>
      </c>
      <c r="S1818" t="s">
        <v>91</v>
      </c>
      <c r="Y1818" t="str">
        <f t="shared" si="601"/>
        <v/>
      </c>
      <c r="Z1818" t="str">
        <f t="shared" si="602"/>
        <v/>
      </c>
      <c r="AC1818" t="str">
        <f t="shared" si="598"/>
        <v>Zone_Entry_Exit</v>
      </c>
      <c r="AD1818" t="str">
        <f t="shared" si="599"/>
        <v>Zone_Exit</v>
      </c>
      <c r="AE1818" t="str">
        <f t="shared" si="600"/>
        <v>ZoneExit-Pass</v>
      </c>
      <c r="AF1818" t="str">
        <f t="shared" si="603"/>
        <v>Offensive</v>
      </c>
      <c r="AG1818">
        <f t="shared" si="609"/>
        <v>18981</v>
      </c>
      <c r="AH1818" t="str">
        <f t="shared" si="610"/>
        <v>Nelson</v>
      </c>
      <c r="AI1818" t="str">
        <f t="shared" si="611"/>
        <v>Velodrome</v>
      </c>
      <c r="AJ1818" s="18">
        <f t="shared" si="604"/>
        <v>0</v>
      </c>
      <c r="AP1818" s="18">
        <f t="shared" si="605"/>
        <v>0</v>
      </c>
      <c r="AQ1818">
        <f t="shared" si="606"/>
        <v>2160</v>
      </c>
      <c r="AR1818" s="23">
        <f t="shared" si="607"/>
        <v>2365</v>
      </c>
      <c r="AS1818">
        <f t="shared" si="612"/>
        <v>2360</v>
      </c>
      <c r="AT1818" s="21">
        <f t="shared" si="613"/>
        <v>2365</v>
      </c>
      <c r="AU1818" s="21"/>
      <c r="AV1818" s="21"/>
      <c r="AW1818" s="21"/>
    </row>
    <row r="1819" spans="1:49" x14ac:dyDescent="0.2">
      <c r="A1819">
        <v>956</v>
      </c>
      <c r="E1819">
        <f t="shared" si="608"/>
        <v>3</v>
      </c>
      <c r="J1819" t="str">
        <f t="shared" si="614"/>
        <v>14</v>
      </c>
      <c r="K1819" t="str">
        <f t="shared" si="615"/>
        <v>35</v>
      </c>
      <c r="L1819" t="str">
        <f t="shared" si="616"/>
        <v/>
      </c>
      <c r="M1819" s="6" t="str">
        <f t="shared" si="617"/>
        <v/>
      </c>
      <c r="N1819" t="str">
        <f t="shared" si="618"/>
        <v>Away</v>
      </c>
      <c r="O1819">
        <v>91</v>
      </c>
      <c r="P1819" t="s">
        <v>424</v>
      </c>
      <c r="Y1819" t="str">
        <f t="shared" si="601"/>
        <v/>
      </c>
      <c r="Z1819" t="str">
        <f t="shared" si="602"/>
        <v/>
      </c>
      <c r="AC1819" t="str">
        <f t="shared" si="598"/>
        <v>Zone_Entry_Exit</v>
      </c>
      <c r="AD1819" t="str">
        <f t="shared" si="599"/>
        <v>Zone_Exit</v>
      </c>
      <c r="AE1819" t="str">
        <f t="shared" si="600"/>
        <v>ZoneExit-Pass</v>
      </c>
      <c r="AF1819" t="str">
        <f t="shared" si="603"/>
        <v>Offensive</v>
      </c>
      <c r="AG1819">
        <f t="shared" si="609"/>
        <v>18981</v>
      </c>
      <c r="AH1819" t="str">
        <f t="shared" si="610"/>
        <v>Nelson</v>
      </c>
      <c r="AI1819" t="str">
        <f t="shared" si="611"/>
        <v>Velodrome</v>
      </c>
      <c r="AJ1819" s="18">
        <f t="shared" si="604"/>
        <v>0</v>
      </c>
      <c r="AP1819" s="18">
        <f t="shared" si="605"/>
        <v>0</v>
      </c>
      <c r="AQ1819">
        <f t="shared" si="606"/>
        <v>2160</v>
      </c>
      <c r="AR1819" s="23">
        <f t="shared" si="607"/>
        <v>2365</v>
      </c>
      <c r="AS1819">
        <f t="shared" si="612"/>
        <v>2360</v>
      </c>
      <c r="AT1819" s="21">
        <f t="shared" si="613"/>
        <v>2365</v>
      </c>
      <c r="AU1819" s="21"/>
      <c r="AV1819" s="21"/>
      <c r="AW1819" s="21"/>
    </row>
    <row r="1820" spans="1:49" x14ac:dyDescent="0.2">
      <c r="A1820">
        <v>957</v>
      </c>
      <c r="E1820">
        <f t="shared" si="608"/>
        <v>3</v>
      </c>
      <c r="F1820" s="5" t="s">
        <v>489</v>
      </c>
      <c r="G1820" s="5" t="s">
        <v>505</v>
      </c>
      <c r="H1820" s="5" t="s">
        <v>489</v>
      </c>
      <c r="I1820" s="7" t="s">
        <v>503</v>
      </c>
      <c r="J1820" t="str">
        <f t="shared" si="614"/>
        <v>14</v>
      </c>
      <c r="K1820" t="str">
        <f t="shared" si="615"/>
        <v>33</v>
      </c>
      <c r="L1820" t="str">
        <f t="shared" si="616"/>
        <v>14</v>
      </c>
      <c r="M1820" s="6" t="str">
        <f t="shared" si="617"/>
        <v>31</v>
      </c>
      <c r="N1820" t="s">
        <v>179</v>
      </c>
      <c r="O1820">
        <v>91</v>
      </c>
      <c r="P1820" t="s">
        <v>424</v>
      </c>
      <c r="Q1820" t="s">
        <v>15</v>
      </c>
      <c r="Y1820" t="str">
        <f t="shared" si="601"/>
        <v/>
      </c>
      <c r="Z1820" t="str">
        <f t="shared" si="602"/>
        <v/>
      </c>
      <c r="AC1820" t="str">
        <f t="shared" si="598"/>
        <v>Possession</v>
      </c>
      <c r="AD1820" t="str">
        <f t="shared" si="599"/>
        <v/>
      </c>
      <c r="AE1820" t="str">
        <f t="shared" si="600"/>
        <v/>
      </c>
      <c r="AF1820" t="str">
        <f t="shared" si="603"/>
        <v>Offensive</v>
      </c>
      <c r="AG1820">
        <f t="shared" si="609"/>
        <v>18981</v>
      </c>
      <c r="AH1820" t="str">
        <f t="shared" si="610"/>
        <v>Nelson</v>
      </c>
      <c r="AI1820" t="str">
        <f t="shared" si="611"/>
        <v>Velodrome</v>
      </c>
      <c r="AJ1820" s="18">
        <f t="shared" si="604"/>
        <v>2</v>
      </c>
      <c r="AP1820" s="18">
        <f t="shared" si="605"/>
        <v>0</v>
      </c>
      <c r="AQ1820">
        <f t="shared" si="606"/>
        <v>2160</v>
      </c>
      <c r="AR1820" s="23">
        <f t="shared" si="607"/>
        <v>2367</v>
      </c>
      <c r="AS1820">
        <f t="shared" si="612"/>
        <v>2362</v>
      </c>
      <c r="AT1820" s="21">
        <f t="shared" si="613"/>
        <v>2369</v>
      </c>
      <c r="AU1820" s="21"/>
      <c r="AV1820" s="21"/>
      <c r="AW1820" s="21"/>
    </row>
    <row r="1821" spans="1:49" x14ac:dyDescent="0.2">
      <c r="A1821">
        <v>958</v>
      </c>
      <c r="E1821">
        <f t="shared" si="608"/>
        <v>3</v>
      </c>
      <c r="F1821" s="5" t="s">
        <v>489</v>
      </c>
      <c r="G1821" s="5" t="s">
        <v>503</v>
      </c>
      <c r="J1821" t="str">
        <f t="shared" si="614"/>
        <v>14</v>
      </c>
      <c r="K1821" t="str">
        <f t="shared" si="615"/>
        <v>31</v>
      </c>
      <c r="L1821" t="str">
        <f t="shared" si="616"/>
        <v/>
      </c>
      <c r="M1821" s="6" t="str">
        <f t="shared" si="617"/>
        <v/>
      </c>
      <c r="N1821" t="s">
        <v>179</v>
      </c>
      <c r="O1821">
        <v>91</v>
      </c>
      <c r="P1821" t="s">
        <v>424</v>
      </c>
      <c r="Q1821" t="s">
        <v>8</v>
      </c>
      <c r="R1821" t="s">
        <v>199</v>
      </c>
      <c r="S1821" t="s">
        <v>70</v>
      </c>
      <c r="Y1821" t="str">
        <f t="shared" si="601"/>
        <v/>
      </c>
      <c r="Z1821" t="str">
        <f t="shared" si="602"/>
        <v/>
      </c>
      <c r="AC1821" t="str">
        <f t="shared" si="598"/>
        <v>Pass</v>
      </c>
      <c r="AD1821" t="str">
        <f t="shared" si="599"/>
        <v>Pass_Missed</v>
      </c>
      <c r="AE1821" t="str">
        <f t="shared" si="600"/>
        <v>Pass-Forehand</v>
      </c>
      <c r="AF1821" t="str">
        <f t="shared" si="603"/>
        <v>Offensive</v>
      </c>
      <c r="AG1821">
        <f t="shared" si="609"/>
        <v>18981</v>
      </c>
      <c r="AH1821" t="str">
        <f t="shared" si="610"/>
        <v>Nelson</v>
      </c>
      <c r="AI1821" t="str">
        <f t="shared" si="611"/>
        <v>Velodrome</v>
      </c>
      <c r="AJ1821" s="18">
        <f t="shared" si="604"/>
        <v>0</v>
      </c>
      <c r="AP1821" s="18">
        <f t="shared" si="605"/>
        <v>0</v>
      </c>
      <c r="AQ1821">
        <f t="shared" si="606"/>
        <v>2160</v>
      </c>
      <c r="AR1821" s="23">
        <f t="shared" si="607"/>
        <v>2369</v>
      </c>
      <c r="AS1821">
        <f t="shared" si="612"/>
        <v>2364</v>
      </c>
      <c r="AT1821" s="21">
        <f t="shared" si="613"/>
        <v>2369</v>
      </c>
      <c r="AU1821" s="21"/>
      <c r="AV1821" s="21"/>
      <c r="AW1821" s="21"/>
    </row>
    <row r="1822" spans="1:49" x14ac:dyDescent="0.2">
      <c r="A1822">
        <v>958</v>
      </c>
      <c r="E1822">
        <f t="shared" si="608"/>
        <v>3</v>
      </c>
      <c r="J1822" t="str">
        <f t="shared" si="614"/>
        <v>14</v>
      </c>
      <c r="K1822" t="str">
        <f t="shared" si="615"/>
        <v>31</v>
      </c>
      <c r="L1822" t="str">
        <f t="shared" si="616"/>
        <v/>
      </c>
      <c r="M1822" s="6" t="str">
        <f t="shared" si="617"/>
        <v/>
      </c>
      <c r="N1822" t="str">
        <f t="shared" si="618"/>
        <v>Away</v>
      </c>
      <c r="O1822">
        <v>24</v>
      </c>
      <c r="P1822" t="s">
        <v>424</v>
      </c>
      <c r="Y1822" t="str">
        <f t="shared" si="601"/>
        <v/>
      </c>
      <c r="Z1822" t="str">
        <f t="shared" si="602"/>
        <v/>
      </c>
      <c r="AC1822" t="str">
        <f t="shared" si="598"/>
        <v>Pass</v>
      </c>
      <c r="AD1822" t="str">
        <f t="shared" si="599"/>
        <v>Pass_Missed</v>
      </c>
      <c r="AE1822" t="str">
        <f t="shared" si="600"/>
        <v>Pass-Forehand</v>
      </c>
      <c r="AF1822" t="str">
        <f t="shared" si="603"/>
        <v>Offensive</v>
      </c>
      <c r="AG1822">
        <f t="shared" si="609"/>
        <v>18981</v>
      </c>
      <c r="AH1822" t="str">
        <f t="shared" si="610"/>
        <v>Nelson</v>
      </c>
      <c r="AI1822" t="str">
        <f t="shared" si="611"/>
        <v>Velodrome</v>
      </c>
      <c r="AJ1822" s="18">
        <f t="shared" si="604"/>
        <v>0</v>
      </c>
      <c r="AP1822" s="18">
        <f t="shared" si="605"/>
        <v>0</v>
      </c>
      <c r="AQ1822">
        <f t="shared" si="606"/>
        <v>2160</v>
      </c>
      <c r="AR1822" s="23">
        <f t="shared" si="607"/>
        <v>2369</v>
      </c>
      <c r="AS1822">
        <f t="shared" si="612"/>
        <v>2364</v>
      </c>
      <c r="AT1822" s="21">
        <f t="shared" si="613"/>
        <v>2369</v>
      </c>
      <c r="AU1822" s="21"/>
      <c r="AV1822" s="21"/>
      <c r="AW1822" s="21"/>
    </row>
    <row r="1823" spans="1:49" x14ac:dyDescent="0.2">
      <c r="A1823">
        <v>958</v>
      </c>
      <c r="E1823">
        <f t="shared" si="608"/>
        <v>3</v>
      </c>
      <c r="J1823" t="str">
        <f t="shared" si="614"/>
        <v>14</v>
      </c>
      <c r="K1823" t="str">
        <f t="shared" si="615"/>
        <v>31</v>
      </c>
      <c r="L1823" t="str">
        <f t="shared" si="616"/>
        <v/>
      </c>
      <c r="M1823" s="6" t="str">
        <f t="shared" si="617"/>
        <v/>
      </c>
      <c r="N1823" t="str">
        <f t="shared" si="618"/>
        <v>Away</v>
      </c>
      <c r="O1823">
        <v>37</v>
      </c>
      <c r="P1823" t="s">
        <v>425</v>
      </c>
      <c r="Y1823" t="str">
        <f t="shared" si="601"/>
        <v/>
      </c>
      <c r="Z1823" t="str">
        <f t="shared" si="602"/>
        <v/>
      </c>
      <c r="AC1823" t="str">
        <f t="shared" si="598"/>
        <v>Pass</v>
      </c>
      <c r="AD1823" t="str">
        <f t="shared" si="599"/>
        <v>Pass_Missed</v>
      </c>
      <c r="AE1823" t="str">
        <f t="shared" si="600"/>
        <v>Pass-Forehand</v>
      </c>
      <c r="AF1823" t="str">
        <f t="shared" si="603"/>
        <v>Defensive</v>
      </c>
      <c r="AG1823">
        <f t="shared" si="609"/>
        <v>18981</v>
      </c>
      <c r="AH1823" t="str">
        <f t="shared" si="610"/>
        <v>Nelson</v>
      </c>
      <c r="AI1823" t="str">
        <f t="shared" si="611"/>
        <v>Velodrome</v>
      </c>
      <c r="AJ1823" s="18">
        <f t="shared" si="604"/>
        <v>0</v>
      </c>
      <c r="AP1823" s="18">
        <f t="shared" si="605"/>
        <v>0</v>
      </c>
      <c r="AQ1823">
        <f t="shared" si="606"/>
        <v>2160</v>
      </c>
      <c r="AR1823" s="23">
        <f t="shared" si="607"/>
        <v>2369</v>
      </c>
      <c r="AS1823">
        <f t="shared" si="612"/>
        <v>2364</v>
      </c>
      <c r="AT1823" s="21">
        <f t="shared" si="613"/>
        <v>2369</v>
      </c>
      <c r="AU1823" s="21"/>
      <c r="AV1823" s="21"/>
      <c r="AW1823" s="21"/>
    </row>
    <row r="1824" spans="1:49" x14ac:dyDescent="0.2">
      <c r="A1824">
        <v>959</v>
      </c>
      <c r="E1824">
        <f t="shared" si="608"/>
        <v>3</v>
      </c>
      <c r="F1824" s="5" t="s">
        <v>489</v>
      </c>
      <c r="G1824" s="5" t="s">
        <v>503</v>
      </c>
      <c r="J1824" t="str">
        <f t="shared" si="614"/>
        <v>14</v>
      </c>
      <c r="K1824" t="str">
        <f t="shared" si="615"/>
        <v>31</v>
      </c>
      <c r="L1824" t="str">
        <f t="shared" si="616"/>
        <v/>
      </c>
      <c r="M1824" s="6" t="str">
        <f t="shared" si="617"/>
        <v/>
      </c>
      <c r="N1824" t="s">
        <v>179</v>
      </c>
      <c r="O1824">
        <v>91</v>
      </c>
      <c r="P1824" t="s">
        <v>424</v>
      </c>
      <c r="Q1824" t="s">
        <v>277</v>
      </c>
      <c r="R1824" t="s">
        <v>191</v>
      </c>
      <c r="S1824" t="s">
        <v>447</v>
      </c>
      <c r="Y1824" t="str">
        <f t="shared" si="601"/>
        <v/>
      </c>
      <c r="Z1824" t="str">
        <f t="shared" si="602"/>
        <v/>
      </c>
      <c r="AC1824" t="str">
        <f t="shared" si="598"/>
        <v>Zone_Entry_Exit</v>
      </c>
      <c r="AD1824" t="str">
        <f t="shared" si="599"/>
        <v>Zone_Entry</v>
      </c>
      <c r="AE1824" t="str">
        <f t="shared" si="600"/>
        <v>ZoneEntry-PassMiss/Misplay</v>
      </c>
      <c r="AF1824" t="str">
        <f t="shared" si="603"/>
        <v>Offensive</v>
      </c>
      <c r="AG1824">
        <f t="shared" si="609"/>
        <v>18981</v>
      </c>
      <c r="AH1824" t="str">
        <f t="shared" si="610"/>
        <v>Nelson</v>
      </c>
      <c r="AI1824" t="str">
        <f t="shared" si="611"/>
        <v>Velodrome</v>
      </c>
      <c r="AJ1824" s="18">
        <f t="shared" si="604"/>
        <v>0</v>
      </c>
      <c r="AP1824" s="18">
        <f t="shared" si="605"/>
        <v>0</v>
      </c>
      <c r="AQ1824">
        <f t="shared" si="606"/>
        <v>2160</v>
      </c>
      <c r="AR1824" s="23">
        <f t="shared" si="607"/>
        <v>2369</v>
      </c>
      <c r="AS1824">
        <f t="shared" si="612"/>
        <v>2364</v>
      </c>
      <c r="AT1824" s="21">
        <f t="shared" si="613"/>
        <v>2369</v>
      </c>
      <c r="AU1824" s="21"/>
      <c r="AV1824" s="21"/>
      <c r="AW1824" s="21"/>
    </row>
    <row r="1825" spans="1:49" x14ac:dyDescent="0.2">
      <c r="A1825">
        <v>960</v>
      </c>
      <c r="E1825">
        <f t="shared" si="608"/>
        <v>3</v>
      </c>
      <c r="F1825" s="5" t="s">
        <v>489</v>
      </c>
      <c r="G1825" s="5" t="s">
        <v>503</v>
      </c>
      <c r="J1825" t="str">
        <f t="shared" si="614"/>
        <v>14</v>
      </c>
      <c r="K1825" t="str">
        <f t="shared" si="615"/>
        <v>31</v>
      </c>
      <c r="L1825" t="str">
        <f t="shared" si="616"/>
        <v/>
      </c>
      <c r="M1825" s="6" t="str">
        <f t="shared" si="617"/>
        <v/>
      </c>
      <c r="N1825" t="s">
        <v>179</v>
      </c>
      <c r="O1825">
        <v>91</v>
      </c>
      <c r="P1825" t="s">
        <v>424</v>
      </c>
      <c r="Q1825" t="s">
        <v>10</v>
      </c>
      <c r="R1825" t="s">
        <v>190</v>
      </c>
      <c r="S1825" t="s">
        <v>76</v>
      </c>
      <c r="Y1825" t="str">
        <f t="shared" si="601"/>
        <v/>
      </c>
      <c r="Z1825" t="str">
        <f t="shared" si="602"/>
        <v/>
      </c>
      <c r="AC1825" t="str">
        <f t="shared" si="598"/>
        <v>Turnover</v>
      </c>
      <c r="AD1825" t="str">
        <f t="shared" si="599"/>
        <v>Turnover_Giveaway</v>
      </c>
      <c r="AE1825" t="str">
        <f t="shared" si="600"/>
        <v>Giveaway-PassMissed</v>
      </c>
      <c r="AF1825" t="str">
        <f t="shared" si="603"/>
        <v>Offensive</v>
      </c>
      <c r="AG1825">
        <f t="shared" si="609"/>
        <v>18981</v>
      </c>
      <c r="AH1825" t="str">
        <f t="shared" si="610"/>
        <v>Nelson</v>
      </c>
      <c r="AI1825" t="str">
        <f t="shared" si="611"/>
        <v>Velodrome</v>
      </c>
      <c r="AJ1825" s="18">
        <f t="shared" si="604"/>
        <v>0</v>
      </c>
      <c r="AP1825" s="18">
        <f t="shared" si="605"/>
        <v>0</v>
      </c>
      <c r="AQ1825">
        <f t="shared" si="606"/>
        <v>2160</v>
      </c>
      <c r="AR1825" s="23">
        <f t="shared" si="607"/>
        <v>2369</v>
      </c>
      <c r="AS1825">
        <f t="shared" si="612"/>
        <v>2364</v>
      </c>
      <c r="AT1825" s="21">
        <f t="shared" si="613"/>
        <v>2369</v>
      </c>
      <c r="AU1825" s="21"/>
      <c r="AV1825" s="21"/>
      <c r="AW1825" s="21"/>
    </row>
    <row r="1826" spans="1:49" x14ac:dyDescent="0.2">
      <c r="A1826">
        <v>961</v>
      </c>
      <c r="E1826">
        <f t="shared" si="608"/>
        <v>3</v>
      </c>
      <c r="F1826" s="5" t="s">
        <v>489</v>
      </c>
      <c r="G1826" s="5" t="s">
        <v>500</v>
      </c>
      <c r="H1826" s="5" t="s">
        <v>489</v>
      </c>
      <c r="I1826" s="7" t="s">
        <v>497</v>
      </c>
      <c r="J1826" t="str">
        <f t="shared" si="614"/>
        <v>14</v>
      </c>
      <c r="K1826" t="str">
        <f t="shared" si="615"/>
        <v>28</v>
      </c>
      <c r="L1826" t="str">
        <f t="shared" si="616"/>
        <v>14</v>
      </c>
      <c r="M1826" s="6" t="str">
        <f t="shared" si="617"/>
        <v>25</v>
      </c>
      <c r="N1826" t="s">
        <v>178</v>
      </c>
      <c r="O1826">
        <v>37</v>
      </c>
      <c r="P1826" t="s">
        <v>424</v>
      </c>
      <c r="Q1826" t="s">
        <v>15</v>
      </c>
      <c r="Y1826" t="str">
        <f t="shared" si="601"/>
        <v/>
      </c>
      <c r="Z1826" t="str">
        <f t="shared" si="602"/>
        <v/>
      </c>
      <c r="AC1826" t="str">
        <f t="shared" si="598"/>
        <v>Possession</v>
      </c>
      <c r="AD1826" t="str">
        <f t="shared" si="599"/>
        <v/>
      </c>
      <c r="AE1826" t="str">
        <f t="shared" si="600"/>
        <v/>
      </c>
      <c r="AF1826" t="str">
        <f t="shared" si="603"/>
        <v>Offensive</v>
      </c>
      <c r="AG1826">
        <f t="shared" si="609"/>
        <v>18981</v>
      </c>
      <c r="AH1826" t="str">
        <f t="shared" si="610"/>
        <v>Nelson</v>
      </c>
      <c r="AI1826" t="str">
        <f t="shared" si="611"/>
        <v>Velodrome</v>
      </c>
      <c r="AJ1826" s="18">
        <f t="shared" si="604"/>
        <v>3</v>
      </c>
      <c r="AP1826" s="18">
        <f t="shared" si="605"/>
        <v>0</v>
      </c>
      <c r="AQ1826">
        <f t="shared" si="606"/>
        <v>2160</v>
      </c>
      <c r="AR1826" s="23">
        <f t="shared" si="607"/>
        <v>2372</v>
      </c>
      <c r="AS1826">
        <f t="shared" si="612"/>
        <v>2367</v>
      </c>
      <c r="AT1826" s="21">
        <f t="shared" si="613"/>
        <v>2375</v>
      </c>
      <c r="AU1826" s="21"/>
      <c r="AV1826" s="21"/>
      <c r="AW1826" s="21"/>
    </row>
    <row r="1827" spans="1:49" x14ac:dyDescent="0.2">
      <c r="A1827">
        <v>962</v>
      </c>
      <c r="E1827">
        <f t="shared" si="608"/>
        <v>3</v>
      </c>
      <c r="F1827" s="5" t="s">
        <v>489</v>
      </c>
      <c r="G1827" s="5" t="s">
        <v>497</v>
      </c>
      <c r="J1827" t="str">
        <f t="shared" si="614"/>
        <v>14</v>
      </c>
      <c r="K1827" t="str">
        <f t="shared" si="615"/>
        <v>25</v>
      </c>
      <c r="L1827" t="str">
        <f t="shared" si="616"/>
        <v/>
      </c>
      <c r="M1827" s="6" t="str">
        <f t="shared" si="617"/>
        <v/>
      </c>
      <c r="N1827" t="s">
        <v>178</v>
      </c>
      <c r="O1827">
        <v>37</v>
      </c>
      <c r="P1827" t="s">
        <v>424</v>
      </c>
      <c r="Q1827" t="s">
        <v>8</v>
      </c>
      <c r="R1827" t="s">
        <v>189</v>
      </c>
      <c r="S1827" t="s">
        <v>67</v>
      </c>
      <c r="Y1827" t="str">
        <f t="shared" si="601"/>
        <v/>
      </c>
      <c r="Z1827" t="str">
        <f t="shared" si="602"/>
        <v/>
      </c>
      <c r="AC1827" t="str">
        <f t="shared" si="598"/>
        <v>Pass</v>
      </c>
      <c r="AD1827" t="str">
        <f t="shared" si="599"/>
        <v>Pass_Completed</v>
      </c>
      <c r="AE1827" t="str">
        <f t="shared" si="600"/>
        <v>Pass-Stretch</v>
      </c>
      <c r="AF1827" t="str">
        <f t="shared" si="603"/>
        <v>Offensive</v>
      </c>
      <c r="AG1827">
        <f t="shared" si="609"/>
        <v>18981</v>
      </c>
      <c r="AH1827" t="str">
        <f t="shared" si="610"/>
        <v>Nelson</v>
      </c>
      <c r="AI1827" t="str">
        <f t="shared" si="611"/>
        <v>Velodrome</v>
      </c>
      <c r="AJ1827" s="18">
        <f t="shared" si="604"/>
        <v>0</v>
      </c>
      <c r="AP1827" s="18">
        <f t="shared" si="605"/>
        <v>0</v>
      </c>
      <c r="AQ1827">
        <f t="shared" si="606"/>
        <v>2160</v>
      </c>
      <c r="AR1827" s="23">
        <f t="shared" si="607"/>
        <v>2375</v>
      </c>
      <c r="AS1827">
        <f t="shared" si="612"/>
        <v>2370</v>
      </c>
      <c r="AT1827" s="21">
        <f t="shared" si="613"/>
        <v>2375</v>
      </c>
      <c r="AU1827" s="21"/>
      <c r="AV1827" s="21"/>
      <c r="AW1827" s="21"/>
    </row>
    <row r="1828" spans="1:49" x14ac:dyDescent="0.2">
      <c r="A1828">
        <v>962</v>
      </c>
      <c r="E1828">
        <f t="shared" si="608"/>
        <v>3</v>
      </c>
      <c r="J1828" t="str">
        <f t="shared" si="614"/>
        <v>14</v>
      </c>
      <c r="K1828" t="str">
        <f t="shared" si="615"/>
        <v>25</v>
      </c>
      <c r="L1828" t="str">
        <f t="shared" si="616"/>
        <v/>
      </c>
      <c r="M1828" s="6" t="str">
        <f t="shared" si="617"/>
        <v/>
      </c>
      <c r="N1828" t="str">
        <f t="shared" si="618"/>
        <v>Home</v>
      </c>
      <c r="O1828">
        <v>7</v>
      </c>
      <c r="P1828" t="s">
        <v>424</v>
      </c>
      <c r="Y1828" t="str">
        <f t="shared" si="601"/>
        <v/>
      </c>
      <c r="Z1828" t="str">
        <f t="shared" si="602"/>
        <v/>
      </c>
      <c r="AC1828" t="str">
        <f t="shared" si="598"/>
        <v>Pass</v>
      </c>
      <c r="AD1828" t="str">
        <f t="shared" si="599"/>
        <v>Pass_Completed</v>
      </c>
      <c r="AE1828" t="str">
        <f t="shared" si="600"/>
        <v>Pass-Stretch</v>
      </c>
      <c r="AF1828" t="str">
        <f t="shared" si="603"/>
        <v>Offensive</v>
      </c>
      <c r="AG1828">
        <f t="shared" si="609"/>
        <v>18981</v>
      </c>
      <c r="AH1828" t="str">
        <f t="shared" si="610"/>
        <v>Nelson</v>
      </c>
      <c r="AI1828" t="str">
        <f t="shared" si="611"/>
        <v>Velodrome</v>
      </c>
      <c r="AJ1828" s="18">
        <f t="shared" si="604"/>
        <v>0</v>
      </c>
      <c r="AP1828" s="18">
        <f t="shared" si="605"/>
        <v>0</v>
      </c>
      <c r="AQ1828">
        <f t="shared" si="606"/>
        <v>2160</v>
      </c>
      <c r="AR1828" s="23">
        <f t="shared" si="607"/>
        <v>2375</v>
      </c>
      <c r="AS1828">
        <f t="shared" si="612"/>
        <v>2370</v>
      </c>
      <c r="AT1828" s="21">
        <f t="shared" si="613"/>
        <v>2375</v>
      </c>
      <c r="AU1828" s="21"/>
      <c r="AV1828" s="21"/>
      <c r="AW1828" s="21"/>
    </row>
    <row r="1829" spans="1:49" x14ac:dyDescent="0.2">
      <c r="A1829">
        <v>963</v>
      </c>
      <c r="E1829">
        <f t="shared" si="608"/>
        <v>3</v>
      </c>
      <c r="F1829" s="5" t="s">
        <v>489</v>
      </c>
      <c r="G1829" s="5" t="s">
        <v>497</v>
      </c>
      <c r="J1829" t="str">
        <f t="shared" si="614"/>
        <v>14</v>
      </c>
      <c r="K1829" t="str">
        <f t="shared" si="615"/>
        <v>25</v>
      </c>
      <c r="L1829" t="str">
        <f t="shared" si="616"/>
        <v/>
      </c>
      <c r="M1829" s="6" t="str">
        <f t="shared" si="617"/>
        <v/>
      </c>
      <c r="N1829" t="s">
        <v>178</v>
      </c>
      <c r="O1829">
        <v>37</v>
      </c>
      <c r="P1829" t="s">
        <v>424</v>
      </c>
      <c r="Q1829" t="s">
        <v>277</v>
      </c>
      <c r="R1829" t="s">
        <v>201</v>
      </c>
      <c r="S1829" t="s">
        <v>91</v>
      </c>
      <c r="Y1829" t="str">
        <f t="shared" si="601"/>
        <v/>
      </c>
      <c r="Z1829" t="str">
        <f t="shared" si="602"/>
        <v/>
      </c>
      <c r="AC1829" t="str">
        <f t="shared" si="598"/>
        <v>Zone_Entry_Exit</v>
      </c>
      <c r="AD1829" t="str">
        <f t="shared" si="599"/>
        <v>Zone_Exit</v>
      </c>
      <c r="AE1829" t="str">
        <f t="shared" si="600"/>
        <v>ZoneExit-Pass</v>
      </c>
      <c r="AF1829" t="str">
        <f t="shared" si="603"/>
        <v>Offensive</v>
      </c>
      <c r="AG1829">
        <f t="shared" si="609"/>
        <v>18981</v>
      </c>
      <c r="AH1829" t="str">
        <f t="shared" si="610"/>
        <v>Nelson</v>
      </c>
      <c r="AI1829" t="str">
        <f t="shared" si="611"/>
        <v>Velodrome</v>
      </c>
      <c r="AJ1829" s="18">
        <f t="shared" si="604"/>
        <v>0</v>
      </c>
      <c r="AP1829" s="18">
        <f t="shared" si="605"/>
        <v>0</v>
      </c>
      <c r="AQ1829">
        <f t="shared" si="606"/>
        <v>2160</v>
      </c>
      <c r="AR1829" s="23">
        <f t="shared" si="607"/>
        <v>2375</v>
      </c>
      <c r="AS1829">
        <f t="shared" si="612"/>
        <v>2370</v>
      </c>
      <c r="AT1829" s="21">
        <f t="shared" si="613"/>
        <v>2375</v>
      </c>
      <c r="AU1829" s="21"/>
      <c r="AV1829" s="21"/>
      <c r="AW1829" s="21"/>
    </row>
    <row r="1830" spans="1:49" x14ac:dyDescent="0.2">
      <c r="A1830">
        <v>963</v>
      </c>
      <c r="E1830">
        <f t="shared" si="608"/>
        <v>3</v>
      </c>
      <c r="J1830" t="str">
        <f t="shared" si="614"/>
        <v>14</v>
      </c>
      <c r="K1830" t="str">
        <f t="shared" si="615"/>
        <v>25</v>
      </c>
      <c r="L1830" t="str">
        <f t="shared" si="616"/>
        <v/>
      </c>
      <c r="M1830" s="6" t="str">
        <f t="shared" si="617"/>
        <v/>
      </c>
      <c r="N1830" t="str">
        <f t="shared" si="618"/>
        <v>Home</v>
      </c>
      <c r="O1830">
        <v>7</v>
      </c>
      <c r="P1830" t="s">
        <v>424</v>
      </c>
      <c r="Y1830" t="str">
        <f t="shared" si="601"/>
        <v/>
      </c>
      <c r="Z1830" t="str">
        <f t="shared" si="602"/>
        <v/>
      </c>
      <c r="AC1830" t="str">
        <f t="shared" si="598"/>
        <v>Zone_Entry_Exit</v>
      </c>
      <c r="AD1830" t="str">
        <f t="shared" si="599"/>
        <v>Zone_Exit</v>
      </c>
      <c r="AE1830" t="str">
        <f t="shared" si="600"/>
        <v>ZoneExit-Pass</v>
      </c>
      <c r="AF1830" t="str">
        <f t="shared" si="603"/>
        <v>Offensive</v>
      </c>
      <c r="AG1830">
        <f t="shared" si="609"/>
        <v>18981</v>
      </c>
      <c r="AH1830" t="str">
        <f t="shared" si="610"/>
        <v>Nelson</v>
      </c>
      <c r="AI1830" t="str">
        <f t="shared" si="611"/>
        <v>Velodrome</v>
      </c>
      <c r="AJ1830" s="18">
        <f t="shared" si="604"/>
        <v>0</v>
      </c>
      <c r="AP1830" s="18">
        <f t="shared" si="605"/>
        <v>0</v>
      </c>
      <c r="AQ1830">
        <f t="shared" si="606"/>
        <v>2160</v>
      </c>
      <c r="AR1830" s="23">
        <f t="shared" si="607"/>
        <v>2375</v>
      </c>
      <c r="AS1830">
        <f t="shared" si="612"/>
        <v>2370</v>
      </c>
      <c r="AT1830" s="21">
        <f t="shared" si="613"/>
        <v>2375</v>
      </c>
      <c r="AU1830" s="21"/>
      <c r="AV1830" s="21"/>
      <c r="AW1830" s="21"/>
    </row>
    <row r="1831" spans="1:49" x14ac:dyDescent="0.2">
      <c r="A1831">
        <v>964</v>
      </c>
      <c r="E1831">
        <f t="shared" si="608"/>
        <v>3</v>
      </c>
      <c r="F1831" s="5" t="s">
        <v>489</v>
      </c>
      <c r="G1831" s="5" t="s">
        <v>496</v>
      </c>
      <c r="H1831" s="5" t="s">
        <v>489</v>
      </c>
      <c r="I1831" s="7" t="s">
        <v>494</v>
      </c>
      <c r="J1831" t="str">
        <f t="shared" si="614"/>
        <v>14</v>
      </c>
      <c r="K1831" t="str">
        <f t="shared" si="615"/>
        <v>24</v>
      </c>
      <c r="L1831" t="str">
        <f t="shared" si="616"/>
        <v>14</v>
      </c>
      <c r="M1831" s="6" t="str">
        <f t="shared" si="617"/>
        <v>22</v>
      </c>
      <c r="N1831" t="s">
        <v>178</v>
      </c>
      <c r="O1831">
        <v>7</v>
      </c>
      <c r="P1831" t="s">
        <v>424</v>
      </c>
      <c r="Q1831" t="s">
        <v>15</v>
      </c>
      <c r="Y1831" t="str">
        <f t="shared" si="601"/>
        <v/>
      </c>
      <c r="Z1831" t="str">
        <f t="shared" si="602"/>
        <v/>
      </c>
      <c r="AC1831" t="str">
        <f t="shared" si="598"/>
        <v>Possession</v>
      </c>
      <c r="AD1831" t="str">
        <f t="shared" si="599"/>
        <v/>
      </c>
      <c r="AE1831" t="str">
        <f t="shared" si="600"/>
        <v/>
      </c>
      <c r="AF1831" t="str">
        <f t="shared" si="603"/>
        <v>Offensive</v>
      </c>
      <c r="AG1831">
        <f t="shared" si="609"/>
        <v>18981</v>
      </c>
      <c r="AH1831" t="str">
        <f t="shared" si="610"/>
        <v>Nelson</v>
      </c>
      <c r="AI1831" t="str">
        <f t="shared" si="611"/>
        <v>Velodrome</v>
      </c>
      <c r="AJ1831" s="18">
        <f t="shared" si="604"/>
        <v>2</v>
      </c>
      <c r="AP1831" s="18">
        <f t="shared" si="605"/>
        <v>0</v>
      </c>
      <c r="AQ1831">
        <f t="shared" si="606"/>
        <v>2160</v>
      </c>
      <c r="AR1831" s="23">
        <f t="shared" si="607"/>
        <v>2376</v>
      </c>
      <c r="AS1831">
        <f t="shared" si="612"/>
        <v>2371</v>
      </c>
      <c r="AT1831" s="21">
        <f t="shared" si="613"/>
        <v>2378</v>
      </c>
      <c r="AU1831" s="21"/>
      <c r="AV1831" s="21"/>
      <c r="AW1831" s="21"/>
    </row>
    <row r="1832" spans="1:49" x14ac:dyDescent="0.2">
      <c r="A1832">
        <v>965</v>
      </c>
      <c r="E1832">
        <f t="shared" si="608"/>
        <v>3</v>
      </c>
      <c r="F1832" s="5" t="s">
        <v>489</v>
      </c>
      <c r="G1832" s="5" t="s">
        <v>494</v>
      </c>
      <c r="J1832" t="str">
        <f t="shared" si="614"/>
        <v>14</v>
      </c>
      <c r="K1832" t="str">
        <f t="shared" si="615"/>
        <v>22</v>
      </c>
      <c r="L1832" t="str">
        <f t="shared" si="616"/>
        <v/>
      </c>
      <c r="M1832" s="6" t="str">
        <f t="shared" si="617"/>
        <v/>
      </c>
      <c r="N1832" t="s">
        <v>178</v>
      </c>
      <c r="O1832">
        <v>7</v>
      </c>
      <c r="P1832" t="s">
        <v>424</v>
      </c>
      <c r="Q1832" t="s">
        <v>8</v>
      </c>
      <c r="R1832" t="s">
        <v>199</v>
      </c>
      <c r="S1832" t="s">
        <v>69</v>
      </c>
      <c r="Y1832" t="str">
        <f t="shared" si="601"/>
        <v/>
      </c>
      <c r="Z1832" t="str">
        <f t="shared" si="602"/>
        <v/>
      </c>
      <c r="AC1832" t="str">
        <f t="shared" si="598"/>
        <v>Pass</v>
      </c>
      <c r="AD1832" t="str">
        <f t="shared" si="599"/>
        <v>Pass_Missed</v>
      </c>
      <c r="AE1832" t="str">
        <f t="shared" si="600"/>
        <v>Pass-Backhand</v>
      </c>
      <c r="AF1832" t="str">
        <f t="shared" si="603"/>
        <v>Offensive</v>
      </c>
      <c r="AG1832">
        <f t="shared" si="609"/>
        <v>18981</v>
      </c>
      <c r="AH1832" t="str">
        <f t="shared" si="610"/>
        <v>Nelson</v>
      </c>
      <c r="AI1832" t="str">
        <f t="shared" si="611"/>
        <v>Velodrome</v>
      </c>
      <c r="AJ1832" s="18">
        <f t="shared" si="604"/>
        <v>0</v>
      </c>
      <c r="AP1832" s="18">
        <f t="shared" si="605"/>
        <v>0</v>
      </c>
      <c r="AQ1832">
        <f t="shared" si="606"/>
        <v>2160</v>
      </c>
      <c r="AR1832" s="23">
        <f t="shared" si="607"/>
        <v>2378</v>
      </c>
      <c r="AS1832">
        <f t="shared" si="612"/>
        <v>2373</v>
      </c>
      <c r="AT1832" s="21">
        <f t="shared" si="613"/>
        <v>2378</v>
      </c>
      <c r="AU1832" s="21"/>
      <c r="AV1832" s="21"/>
      <c r="AW1832" s="21"/>
    </row>
    <row r="1833" spans="1:49" x14ac:dyDescent="0.2">
      <c r="A1833">
        <v>965</v>
      </c>
      <c r="E1833">
        <f t="shared" si="608"/>
        <v>3</v>
      </c>
      <c r="J1833" t="str">
        <f t="shared" si="614"/>
        <v>14</v>
      </c>
      <c r="K1833" t="str">
        <f t="shared" si="615"/>
        <v>22</v>
      </c>
      <c r="L1833" t="str">
        <f t="shared" si="616"/>
        <v/>
      </c>
      <c r="M1833" s="6" t="str">
        <f t="shared" si="617"/>
        <v/>
      </c>
      <c r="N1833" t="str">
        <f t="shared" si="618"/>
        <v>Home</v>
      </c>
      <c r="O1833">
        <v>44</v>
      </c>
      <c r="P1833" t="s">
        <v>424</v>
      </c>
      <c r="Y1833" t="str">
        <f t="shared" si="601"/>
        <v/>
      </c>
      <c r="Z1833" t="str">
        <f t="shared" si="602"/>
        <v/>
      </c>
      <c r="AC1833" t="str">
        <f t="shared" si="598"/>
        <v>Pass</v>
      </c>
      <c r="AD1833" t="str">
        <f t="shared" si="599"/>
        <v>Pass_Missed</v>
      </c>
      <c r="AE1833" t="str">
        <f t="shared" si="600"/>
        <v>Pass-Backhand</v>
      </c>
      <c r="AF1833" t="str">
        <f t="shared" si="603"/>
        <v>Offensive</v>
      </c>
      <c r="AG1833">
        <f t="shared" si="609"/>
        <v>18981</v>
      </c>
      <c r="AH1833" t="str">
        <f t="shared" si="610"/>
        <v>Nelson</v>
      </c>
      <c r="AI1833" t="str">
        <f t="shared" si="611"/>
        <v>Velodrome</v>
      </c>
      <c r="AJ1833" s="18">
        <f t="shared" si="604"/>
        <v>0</v>
      </c>
      <c r="AP1833" s="18">
        <f t="shared" si="605"/>
        <v>0</v>
      </c>
      <c r="AQ1833">
        <f t="shared" si="606"/>
        <v>2160</v>
      </c>
      <c r="AR1833" s="23">
        <f t="shared" si="607"/>
        <v>2378</v>
      </c>
      <c r="AS1833">
        <f t="shared" si="612"/>
        <v>2373</v>
      </c>
      <c r="AT1833" s="21">
        <f t="shared" si="613"/>
        <v>2378</v>
      </c>
      <c r="AU1833" s="21"/>
      <c r="AV1833" s="21"/>
      <c r="AW1833" s="21"/>
    </row>
    <row r="1834" spans="1:49" x14ac:dyDescent="0.2">
      <c r="A1834">
        <v>966</v>
      </c>
      <c r="E1834">
        <f t="shared" si="608"/>
        <v>3</v>
      </c>
      <c r="F1834" s="5" t="s">
        <v>489</v>
      </c>
      <c r="G1834" s="5" t="s">
        <v>494</v>
      </c>
      <c r="J1834" t="str">
        <f t="shared" si="614"/>
        <v>14</v>
      </c>
      <c r="K1834" t="str">
        <f t="shared" si="615"/>
        <v>22</v>
      </c>
      <c r="L1834" t="str">
        <f t="shared" si="616"/>
        <v/>
      </c>
      <c r="M1834" s="6" t="str">
        <f t="shared" si="617"/>
        <v/>
      </c>
      <c r="N1834" t="s">
        <v>178</v>
      </c>
      <c r="O1834">
        <v>7</v>
      </c>
      <c r="P1834" t="s">
        <v>424</v>
      </c>
      <c r="Q1834" t="s">
        <v>277</v>
      </c>
      <c r="R1834" t="s">
        <v>191</v>
      </c>
      <c r="S1834" t="s">
        <v>447</v>
      </c>
      <c r="Y1834" t="str">
        <f t="shared" si="601"/>
        <v/>
      </c>
      <c r="Z1834" t="str">
        <f t="shared" si="602"/>
        <v/>
      </c>
      <c r="AC1834" t="str">
        <f t="shared" si="598"/>
        <v>Zone_Entry_Exit</v>
      </c>
      <c r="AD1834" t="str">
        <f t="shared" si="599"/>
        <v>Zone_Entry</v>
      </c>
      <c r="AE1834" t="str">
        <f t="shared" si="600"/>
        <v>ZoneEntry-PassMiss/Misplay</v>
      </c>
      <c r="AF1834" t="str">
        <f t="shared" si="603"/>
        <v>Offensive</v>
      </c>
      <c r="AG1834">
        <f t="shared" si="609"/>
        <v>18981</v>
      </c>
      <c r="AH1834" t="str">
        <f t="shared" si="610"/>
        <v>Nelson</v>
      </c>
      <c r="AI1834" t="str">
        <f t="shared" si="611"/>
        <v>Velodrome</v>
      </c>
      <c r="AJ1834" s="18">
        <f t="shared" si="604"/>
        <v>0</v>
      </c>
      <c r="AP1834" s="18">
        <f t="shared" si="605"/>
        <v>0</v>
      </c>
      <c r="AQ1834">
        <f t="shared" si="606"/>
        <v>2160</v>
      </c>
      <c r="AR1834" s="23">
        <f t="shared" si="607"/>
        <v>2378</v>
      </c>
      <c r="AS1834">
        <f t="shared" si="612"/>
        <v>2373</v>
      </c>
      <c r="AT1834" s="21">
        <f t="shared" si="613"/>
        <v>2378</v>
      </c>
      <c r="AU1834" s="21"/>
      <c r="AV1834" s="21"/>
      <c r="AW1834" s="21"/>
    </row>
    <row r="1835" spans="1:49" x14ac:dyDescent="0.2">
      <c r="A1835">
        <v>967</v>
      </c>
      <c r="E1835">
        <f t="shared" si="608"/>
        <v>3</v>
      </c>
      <c r="F1835" s="5" t="s">
        <v>489</v>
      </c>
      <c r="G1835" s="5" t="s">
        <v>494</v>
      </c>
      <c r="J1835" t="str">
        <f t="shared" si="614"/>
        <v>14</v>
      </c>
      <c r="K1835" t="str">
        <f t="shared" si="615"/>
        <v>22</v>
      </c>
      <c r="L1835" t="str">
        <f t="shared" si="616"/>
        <v/>
      </c>
      <c r="M1835" s="6" t="str">
        <f t="shared" si="617"/>
        <v/>
      </c>
      <c r="N1835" t="s">
        <v>178</v>
      </c>
      <c r="O1835">
        <v>7</v>
      </c>
      <c r="P1835" t="s">
        <v>424</v>
      </c>
      <c r="Q1835" t="s">
        <v>10</v>
      </c>
      <c r="R1835" t="s">
        <v>190</v>
      </c>
      <c r="S1835" t="s">
        <v>76</v>
      </c>
      <c r="Y1835" t="str">
        <f t="shared" si="601"/>
        <v/>
      </c>
      <c r="Z1835" t="str">
        <f t="shared" si="602"/>
        <v/>
      </c>
      <c r="AC1835" t="str">
        <f t="shared" si="598"/>
        <v>Turnover</v>
      </c>
      <c r="AD1835" t="str">
        <f t="shared" si="599"/>
        <v>Turnover_Giveaway</v>
      </c>
      <c r="AE1835" t="str">
        <f t="shared" si="600"/>
        <v>Giveaway-PassMissed</v>
      </c>
      <c r="AF1835" t="str">
        <f t="shared" si="603"/>
        <v>Offensive</v>
      </c>
      <c r="AG1835">
        <f t="shared" si="609"/>
        <v>18981</v>
      </c>
      <c r="AH1835" t="str">
        <f t="shared" si="610"/>
        <v>Nelson</v>
      </c>
      <c r="AI1835" t="str">
        <f t="shared" si="611"/>
        <v>Velodrome</v>
      </c>
      <c r="AJ1835" s="18">
        <f t="shared" si="604"/>
        <v>0</v>
      </c>
      <c r="AP1835" s="18">
        <f t="shared" si="605"/>
        <v>0</v>
      </c>
      <c r="AQ1835">
        <f t="shared" si="606"/>
        <v>2160</v>
      </c>
      <c r="AR1835" s="23">
        <f t="shared" si="607"/>
        <v>2378</v>
      </c>
      <c r="AS1835">
        <f t="shared" si="612"/>
        <v>2373</v>
      </c>
      <c r="AT1835" s="21">
        <f t="shared" si="613"/>
        <v>2378</v>
      </c>
      <c r="AU1835" s="21"/>
      <c r="AV1835" s="21"/>
      <c r="AW1835" s="21"/>
    </row>
    <row r="1836" spans="1:49" x14ac:dyDescent="0.2">
      <c r="A1836">
        <v>968</v>
      </c>
      <c r="E1836">
        <f t="shared" si="608"/>
        <v>3</v>
      </c>
      <c r="F1836" s="5" t="s">
        <v>489</v>
      </c>
      <c r="G1836" s="5" t="s">
        <v>491</v>
      </c>
      <c r="H1836" s="5" t="s">
        <v>489</v>
      </c>
      <c r="I1836" s="7" t="s">
        <v>472</v>
      </c>
      <c r="J1836" t="str">
        <f t="shared" si="614"/>
        <v>14</v>
      </c>
      <c r="K1836" t="str">
        <f t="shared" si="615"/>
        <v>19</v>
      </c>
      <c r="L1836" t="str">
        <f t="shared" si="616"/>
        <v>14</v>
      </c>
      <c r="M1836" s="6" t="str">
        <f t="shared" si="617"/>
        <v>17</v>
      </c>
      <c r="N1836" t="s">
        <v>179</v>
      </c>
      <c r="O1836">
        <v>9</v>
      </c>
      <c r="P1836" t="s">
        <v>424</v>
      </c>
      <c r="Q1836" t="s">
        <v>15</v>
      </c>
      <c r="Y1836" t="str">
        <f t="shared" si="601"/>
        <v/>
      </c>
      <c r="Z1836" t="str">
        <f t="shared" si="602"/>
        <v/>
      </c>
      <c r="AC1836" t="str">
        <f t="shared" si="598"/>
        <v>Possession</v>
      </c>
      <c r="AD1836" t="str">
        <f t="shared" si="599"/>
        <v/>
      </c>
      <c r="AE1836" t="str">
        <f t="shared" si="600"/>
        <v/>
      </c>
      <c r="AF1836" t="str">
        <f t="shared" si="603"/>
        <v>Offensive</v>
      </c>
      <c r="AG1836">
        <f t="shared" si="609"/>
        <v>18981</v>
      </c>
      <c r="AH1836" t="str">
        <f t="shared" si="610"/>
        <v>Nelson</v>
      </c>
      <c r="AI1836" t="str">
        <f t="shared" si="611"/>
        <v>Velodrome</v>
      </c>
      <c r="AJ1836" s="18">
        <f t="shared" si="604"/>
        <v>2</v>
      </c>
      <c r="AP1836" s="18">
        <f t="shared" si="605"/>
        <v>0</v>
      </c>
      <c r="AQ1836">
        <f t="shared" si="606"/>
        <v>2160</v>
      </c>
      <c r="AR1836" s="23">
        <f t="shared" si="607"/>
        <v>2381</v>
      </c>
      <c r="AS1836">
        <f t="shared" si="612"/>
        <v>2376</v>
      </c>
      <c r="AT1836" s="21">
        <f t="shared" si="613"/>
        <v>2383</v>
      </c>
      <c r="AU1836" s="21"/>
      <c r="AV1836" s="21"/>
      <c r="AW1836" s="21"/>
    </row>
    <row r="1837" spans="1:49" x14ac:dyDescent="0.2">
      <c r="A1837">
        <v>969</v>
      </c>
      <c r="E1837">
        <f t="shared" si="608"/>
        <v>3</v>
      </c>
      <c r="F1837" s="5" t="s">
        <v>489</v>
      </c>
      <c r="G1837" s="5" t="s">
        <v>472</v>
      </c>
      <c r="J1837" t="str">
        <f t="shared" si="614"/>
        <v>14</v>
      </c>
      <c r="K1837" t="str">
        <f t="shared" si="615"/>
        <v>17</v>
      </c>
      <c r="L1837" t="str">
        <f t="shared" si="616"/>
        <v/>
      </c>
      <c r="M1837" s="6" t="str">
        <f t="shared" si="617"/>
        <v/>
      </c>
      <c r="N1837" t="s">
        <v>179</v>
      </c>
      <c r="O1837">
        <v>9</v>
      </c>
      <c r="P1837" t="s">
        <v>424</v>
      </c>
      <c r="Q1837" t="s">
        <v>8</v>
      </c>
      <c r="R1837" t="s">
        <v>189</v>
      </c>
      <c r="S1837" t="s">
        <v>68</v>
      </c>
      <c r="Y1837" t="str">
        <f t="shared" si="601"/>
        <v/>
      </c>
      <c r="Z1837" t="str">
        <f t="shared" si="602"/>
        <v/>
      </c>
      <c r="AC1837" t="str">
        <f t="shared" si="598"/>
        <v>Pass</v>
      </c>
      <c r="AD1837" t="str">
        <f t="shared" si="599"/>
        <v>Pass_Completed</v>
      </c>
      <c r="AE1837" t="str">
        <f t="shared" si="600"/>
        <v>Pass-Rim/Wrap</v>
      </c>
      <c r="AF1837" t="str">
        <f t="shared" si="603"/>
        <v>Offensive</v>
      </c>
      <c r="AG1837">
        <f t="shared" si="609"/>
        <v>18981</v>
      </c>
      <c r="AH1837" t="str">
        <f t="shared" si="610"/>
        <v>Nelson</v>
      </c>
      <c r="AI1837" t="str">
        <f t="shared" si="611"/>
        <v>Velodrome</v>
      </c>
      <c r="AJ1837" s="18">
        <f t="shared" si="604"/>
        <v>0</v>
      </c>
      <c r="AP1837" s="18">
        <f t="shared" si="605"/>
        <v>0</v>
      </c>
      <c r="AQ1837">
        <f t="shared" si="606"/>
        <v>2160</v>
      </c>
      <c r="AR1837" s="23">
        <f t="shared" si="607"/>
        <v>2383</v>
      </c>
      <c r="AS1837">
        <f t="shared" si="612"/>
        <v>2378</v>
      </c>
      <c r="AT1837" s="21">
        <f t="shared" si="613"/>
        <v>2383</v>
      </c>
      <c r="AU1837" s="21"/>
      <c r="AV1837" s="21"/>
      <c r="AW1837" s="21"/>
    </row>
    <row r="1838" spans="1:49" x14ac:dyDescent="0.2">
      <c r="A1838">
        <v>969</v>
      </c>
      <c r="E1838">
        <f t="shared" si="608"/>
        <v>3</v>
      </c>
      <c r="J1838" t="str">
        <f t="shared" si="614"/>
        <v>14</v>
      </c>
      <c r="K1838" t="str">
        <f t="shared" si="615"/>
        <v>17</v>
      </c>
      <c r="L1838" t="str">
        <f t="shared" si="616"/>
        <v/>
      </c>
      <c r="M1838" s="6" t="str">
        <f t="shared" si="617"/>
        <v/>
      </c>
      <c r="N1838" t="str">
        <f t="shared" si="618"/>
        <v>Away</v>
      </c>
      <c r="O1838">
        <v>42</v>
      </c>
      <c r="P1838" t="s">
        <v>424</v>
      </c>
      <c r="Y1838" t="str">
        <f t="shared" si="601"/>
        <v/>
      </c>
      <c r="Z1838" t="str">
        <f t="shared" si="602"/>
        <v/>
      </c>
      <c r="AC1838" t="str">
        <f t="shared" si="598"/>
        <v>Pass</v>
      </c>
      <c r="AD1838" t="str">
        <f t="shared" si="599"/>
        <v>Pass_Completed</v>
      </c>
      <c r="AE1838" t="str">
        <f t="shared" si="600"/>
        <v>Pass-Rim/Wrap</v>
      </c>
      <c r="AF1838" t="str">
        <f t="shared" si="603"/>
        <v>Offensive</v>
      </c>
      <c r="AG1838">
        <f t="shared" si="609"/>
        <v>18981</v>
      </c>
      <c r="AH1838" t="str">
        <f t="shared" si="610"/>
        <v>Nelson</v>
      </c>
      <c r="AI1838" t="str">
        <f t="shared" si="611"/>
        <v>Velodrome</v>
      </c>
      <c r="AJ1838" s="18">
        <f t="shared" si="604"/>
        <v>0</v>
      </c>
      <c r="AP1838" s="18">
        <f t="shared" si="605"/>
        <v>0</v>
      </c>
      <c r="AQ1838">
        <f t="shared" si="606"/>
        <v>2160</v>
      </c>
      <c r="AR1838" s="23">
        <f t="shared" si="607"/>
        <v>2383</v>
      </c>
      <c r="AS1838">
        <f t="shared" si="612"/>
        <v>2378</v>
      </c>
      <c r="AT1838" s="21">
        <f t="shared" si="613"/>
        <v>2383</v>
      </c>
      <c r="AU1838" s="21"/>
      <c r="AV1838" s="21"/>
      <c r="AW1838" s="21"/>
    </row>
    <row r="1839" spans="1:49" x14ac:dyDescent="0.2">
      <c r="A1839">
        <v>970</v>
      </c>
      <c r="E1839">
        <f t="shared" si="608"/>
        <v>3</v>
      </c>
      <c r="F1839" s="5" t="s">
        <v>489</v>
      </c>
      <c r="G1839" s="5" t="s">
        <v>488</v>
      </c>
      <c r="J1839" t="str">
        <f t="shared" si="614"/>
        <v>14</v>
      </c>
      <c r="K1839" t="str">
        <f t="shared" si="615"/>
        <v>13</v>
      </c>
      <c r="L1839" t="str">
        <f t="shared" si="616"/>
        <v/>
      </c>
      <c r="M1839" s="6" t="str">
        <f t="shared" si="617"/>
        <v/>
      </c>
      <c r="N1839" t="s">
        <v>179</v>
      </c>
      <c r="O1839">
        <v>42</v>
      </c>
      <c r="P1839" t="s">
        <v>424</v>
      </c>
      <c r="Q1839" t="s">
        <v>8</v>
      </c>
      <c r="R1839" t="s">
        <v>199</v>
      </c>
      <c r="S1839" t="s">
        <v>70</v>
      </c>
      <c r="Y1839" t="str">
        <f t="shared" si="601"/>
        <v/>
      </c>
      <c r="Z1839" t="str">
        <f t="shared" si="602"/>
        <v/>
      </c>
      <c r="AC1839" t="str">
        <f t="shared" ref="AC1839:AC1902" si="619">IF(Q1839&lt;&gt;"",Q1839,IF($A1839=$A1838,AC1838,""))</f>
        <v>Pass</v>
      </c>
      <c r="AD1839" t="str">
        <f t="shared" ref="AD1839:AD1902" si="620">IF(R1839&lt;&gt;"",R1839,IF($A1839=$A1838,AD1838,""))</f>
        <v>Pass_Missed</v>
      </c>
      <c r="AE1839" t="str">
        <f t="shared" ref="AE1839:AE1902" si="621">IF(S1839&lt;&gt;"",S1839,IF($A1839=$A1838,AE1838,""))</f>
        <v>Pass-Forehand</v>
      </c>
      <c r="AF1839" t="str">
        <f t="shared" si="603"/>
        <v>Offensive</v>
      </c>
      <c r="AG1839">
        <f t="shared" si="609"/>
        <v>18981</v>
      </c>
      <c r="AH1839" t="str">
        <f t="shared" si="610"/>
        <v>Nelson</v>
      </c>
      <c r="AI1839" t="str">
        <f t="shared" si="611"/>
        <v>Velodrome</v>
      </c>
      <c r="AJ1839" s="18">
        <f t="shared" si="604"/>
        <v>0</v>
      </c>
      <c r="AP1839" s="18">
        <f t="shared" si="605"/>
        <v>0</v>
      </c>
      <c r="AQ1839">
        <f t="shared" si="606"/>
        <v>2160</v>
      </c>
      <c r="AR1839" s="23">
        <f t="shared" si="607"/>
        <v>2387</v>
      </c>
      <c r="AS1839">
        <f t="shared" si="612"/>
        <v>2382</v>
      </c>
      <c r="AT1839" s="21">
        <f t="shared" si="613"/>
        <v>2387</v>
      </c>
      <c r="AU1839" s="21"/>
      <c r="AV1839" s="21"/>
      <c r="AW1839" s="21"/>
    </row>
    <row r="1840" spans="1:49" x14ac:dyDescent="0.2">
      <c r="A1840">
        <v>970</v>
      </c>
      <c r="E1840">
        <f t="shared" si="608"/>
        <v>3</v>
      </c>
      <c r="J1840" t="str">
        <f t="shared" si="614"/>
        <v>14</v>
      </c>
      <c r="K1840" t="str">
        <f t="shared" si="615"/>
        <v>13</v>
      </c>
      <c r="L1840" t="str">
        <f t="shared" si="616"/>
        <v/>
      </c>
      <c r="M1840" s="6" t="str">
        <f t="shared" si="617"/>
        <v/>
      </c>
      <c r="N1840" t="str">
        <f t="shared" si="618"/>
        <v>Away</v>
      </c>
      <c r="O1840">
        <v>91</v>
      </c>
      <c r="P1840" t="s">
        <v>424</v>
      </c>
      <c r="Y1840" t="str">
        <f t="shared" si="601"/>
        <v/>
      </c>
      <c r="Z1840" t="str">
        <f t="shared" si="602"/>
        <v/>
      </c>
      <c r="AC1840" t="str">
        <f t="shared" si="619"/>
        <v>Pass</v>
      </c>
      <c r="AD1840" t="str">
        <f t="shared" si="620"/>
        <v>Pass_Missed</v>
      </c>
      <c r="AE1840" t="str">
        <f t="shared" si="621"/>
        <v>Pass-Forehand</v>
      </c>
      <c r="AF1840" t="str">
        <f t="shared" si="603"/>
        <v>Offensive</v>
      </c>
      <c r="AG1840">
        <f t="shared" si="609"/>
        <v>18981</v>
      </c>
      <c r="AH1840" t="str">
        <f t="shared" si="610"/>
        <v>Nelson</v>
      </c>
      <c r="AI1840" t="str">
        <f t="shared" si="611"/>
        <v>Velodrome</v>
      </c>
      <c r="AJ1840" s="18">
        <f t="shared" si="604"/>
        <v>0</v>
      </c>
      <c r="AP1840" s="18">
        <f t="shared" si="605"/>
        <v>0</v>
      </c>
      <c r="AQ1840">
        <f t="shared" si="606"/>
        <v>2160</v>
      </c>
      <c r="AR1840" s="23">
        <f t="shared" si="607"/>
        <v>2387</v>
      </c>
      <c r="AS1840">
        <f t="shared" si="612"/>
        <v>2382</v>
      </c>
      <c r="AT1840" s="21">
        <f t="shared" si="613"/>
        <v>2387</v>
      </c>
      <c r="AU1840" s="21"/>
      <c r="AV1840" s="21"/>
      <c r="AW1840" s="21"/>
    </row>
    <row r="1841" spans="1:49" x14ac:dyDescent="0.2">
      <c r="A1841">
        <v>971</v>
      </c>
      <c r="E1841">
        <f t="shared" si="608"/>
        <v>3</v>
      </c>
      <c r="F1841" s="5" t="s">
        <v>489</v>
      </c>
      <c r="G1841" s="5" t="s">
        <v>488</v>
      </c>
      <c r="J1841" t="str">
        <f t="shared" si="614"/>
        <v>14</v>
      </c>
      <c r="K1841" t="str">
        <f t="shared" si="615"/>
        <v>13</v>
      </c>
      <c r="L1841" t="str">
        <f t="shared" si="616"/>
        <v/>
      </c>
      <c r="M1841" s="6" t="str">
        <f t="shared" si="617"/>
        <v/>
      </c>
      <c r="N1841" t="s">
        <v>179</v>
      </c>
      <c r="O1841">
        <v>42</v>
      </c>
      <c r="P1841" t="s">
        <v>424</v>
      </c>
      <c r="Q1841" t="s">
        <v>277</v>
      </c>
      <c r="R1841" t="s">
        <v>201</v>
      </c>
      <c r="S1841" t="s">
        <v>433</v>
      </c>
      <c r="Y1841" t="str">
        <f t="shared" si="601"/>
        <v/>
      </c>
      <c r="Z1841" t="str">
        <f t="shared" si="602"/>
        <v/>
      </c>
      <c r="AC1841" t="str">
        <f t="shared" si="619"/>
        <v>Zone_Entry_Exit</v>
      </c>
      <c r="AD1841" t="str">
        <f t="shared" si="620"/>
        <v>Zone_Exit</v>
      </c>
      <c r="AE1841" t="str">
        <f t="shared" si="621"/>
        <v>ZoneExit-PassMiss/Misplay</v>
      </c>
      <c r="AF1841" t="str">
        <f t="shared" si="603"/>
        <v>Offensive</v>
      </c>
      <c r="AG1841">
        <f t="shared" si="609"/>
        <v>18981</v>
      </c>
      <c r="AH1841" t="str">
        <f t="shared" si="610"/>
        <v>Nelson</v>
      </c>
      <c r="AI1841" t="str">
        <f t="shared" si="611"/>
        <v>Velodrome</v>
      </c>
      <c r="AJ1841" s="18">
        <f t="shared" si="604"/>
        <v>0</v>
      </c>
      <c r="AP1841" s="18">
        <f t="shared" si="605"/>
        <v>0</v>
      </c>
      <c r="AQ1841">
        <f t="shared" si="606"/>
        <v>2160</v>
      </c>
      <c r="AR1841" s="23">
        <f t="shared" si="607"/>
        <v>2387</v>
      </c>
      <c r="AS1841">
        <f t="shared" si="612"/>
        <v>2382</v>
      </c>
      <c r="AT1841" s="21">
        <f t="shared" si="613"/>
        <v>2387</v>
      </c>
      <c r="AU1841" s="21"/>
      <c r="AV1841" s="21"/>
      <c r="AW1841" s="21"/>
    </row>
    <row r="1842" spans="1:49" x14ac:dyDescent="0.2">
      <c r="A1842">
        <v>971</v>
      </c>
      <c r="E1842">
        <f t="shared" si="608"/>
        <v>3</v>
      </c>
      <c r="J1842" t="str">
        <f t="shared" si="614"/>
        <v>14</v>
      </c>
      <c r="K1842" t="str">
        <f t="shared" si="615"/>
        <v>13</v>
      </c>
      <c r="L1842" t="str">
        <f t="shared" si="616"/>
        <v/>
      </c>
      <c r="M1842" s="6" t="str">
        <f t="shared" si="617"/>
        <v/>
      </c>
      <c r="N1842" t="str">
        <f t="shared" si="618"/>
        <v>Away</v>
      </c>
      <c r="O1842">
        <v>91</v>
      </c>
      <c r="P1842" t="s">
        <v>424</v>
      </c>
      <c r="Y1842" t="str">
        <f t="shared" si="601"/>
        <v/>
      </c>
      <c r="Z1842" t="str">
        <f t="shared" si="602"/>
        <v/>
      </c>
      <c r="AC1842" t="str">
        <f t="shared" si="619"/>
        <v>Zone_Entry_Exit</v>
      </c>
      <c r="AD1842" t="str">
        <f t="shared" si="620"/>
        <v>Zone_Exit</v>
      </c>
      <c r="AE1842" t="str">
        <f t="shared" si="621"/>
        <v>ZoneExit-PassMiss/Misplay</v>
      </c>
      <c r="AF1842" t="str">
        <f t="shared" si="603"/>
        <v>Offensive</v>
      </c>
      <c r="AG1842">
        <f t="shared" si="609"/>
        <v>18981</v>
      </c>
      <c r="AH1842" t="str">
        <f t="shared" si="610"/>
        <v>Nelson</v>
      </c>
      <c r="AI1842" t="str">
        <f t="shared" si="611"/>
        <v>Velodrome</v>
      </c>
      <c r="AJ1842" s="18">
        <f t="shared" si="604"/>
        <v>0</v>
      </c>
      <c r="AP1842" s="18">
        <f t="shared" si="605"/>
        <v>0</v>
      </c>
      <c r="AQ1842">
        <f t="shared" si="606"/>
        <v>2160</v>
      </c>
      <c r="AR1842" s="23">
        <f t="shared" si="607"/>
        <v>2387</v>
      </c>
      <c r="AS1842">
        <f t="shared" si="612"/>
        <v>2382</v>
      </c>
      <c r="AT1842" s="21">
        <f t="shared" si="613"/>
        <v>2387</v>
      </c>
      <c r="AU1842" s="21"/>
      <c r="AV1842" s="21"/>
      <c r="AW1842" s="21"/>
    </row>
    <row r="1843" spans="1:49" x14ac:dyDescent="0.2">
      <c r="A1843">
        <v>972</v>
      </c>
      <c r="E1843">
        <f t="shared" si="608"/>
        <v>3</v>
      </c>
      <c r="F1843" s="5" t="s">
        <v>489</v>
      </c>
      <c r="G1843" s="5" t="s">
        <v>482</v>
      </c>
      <c r="H1843" s="5" t="s">
        <v>489</v>
      </c>
      <c r="I1843" s="7" t="s">
        <v>481</v>
      </c>
      <c r="J1843" t="str">
        <f t="shared" si="614"/>
        <v>14</v>
      </c>
      <c r="K1843" t="str">
        <f t="shared" si="615"/>
        <v>07</v>
      </c>
      <c r="L1843" t="str">
        <f t="shared" si="616"/>
        <v>14</v>
      </c>
      <c r="M1843" s="6" t="str">
        <f t="shared" si="617"/>
        <v>05</v>
      </c>
      <c r="N1843" t="s">
        <v>178</v>
      </c>
      <c r="O1843">
        <v>44</v>
      </c>
      <c r="P1843" t="s">
        <v>424</v>
      </c>
      <c r="Q1843" t="s">
        <v>15</v>
      </c>
      <c r="Y1843" t="str">
        <f t="shared" si="601"/>
        <v/>
      </c>
      <c r="Z1843" t="str">
        <f t="shared" si="602"/>
        <v/>
      </c>
      <c r="AC1843" t="str">
        <f t="shared" si="619"/>
        <v>Possession</v>
      </c>
      <c r="AD1843" t="str">
        <f t="shared" si="620"/>
        <v/>
      </c>
      <c r="AE1843" t="str">
        <f t="shared" si="621"/>
        <v/>
      </c>
      <c r="AF1843" t="str">
        <f t="shared" si="603"/>
        <v>Offensive</v>
      </c>
      <c r="AG1843">
        <f t="shared" si="609"/>
        <v>18981</v>
      </c>
      <c r="AH1843" t="str">
        <f t="shared" si="610"/>
        <v>Nelson</v>
      </c>
      <c r="AI1843" t="str">
        <f t="shared" si="611"/>
        <v>Velodrome</v>
      </c>
      <c r="AJ1843" s="18">
        <f t="shared" si="604"/>
        <v>2</v>
      </c>
      <c r="AP1843" s="18">
        <f t="shared" si="605"/>
        <v>0</v>
      </c>
      <c r="AQ1843">
        <f t="shared" si="606"/>
        <v>2160</v>
      </c>
      <c r="AR1843" s="23">
        <f t="shared" si="607"/>
        <v>2393</v>
      </c>
      <c r="AS1843">
        <f t="shared" si="612"/>
        <v>2388</v>
      </c>
      <c r="AT1843" s="21">
        <f t="shared" si="613"/>
        <v>2395</v>
      </c>
      <c r="AU1843" s="21"/>
      <c r="AV1843" s="21"/>
      <c r="AW1843" s="21"/>
    </row>
    <row r="1844" spans="1:49" x14ac:dyDescent="0.2">
      <c r="A1844">
        <v>973</v>
      </c>
      <c r="E1844">
        <f t="shared" si="608"/>
        <v>3</v>
      </c>
      <c r="F1844" s="5" t="s">
        <v>489</v>
      </c>
      <c r="G1844" s="5" t="s">
        <v>481</v>
      </c>
      <c r="J1844" t="str">
        <f t="shared" si="614"/>
        <v>14</v>
      </c>
      <c r="K1844" t="str">
        <f t="shared" si="615"/>
        <v>05</v>
      </c>
      <c r="L1844" t="str">
        <f t="shared" si="616"/>
        <v/>
      </c>
      <c r="M1844" s="6" t="str">
        <f t="shared" si="617"/>
        <v/>
      </c>
      <c r="N1844" t="s">
        <v>178</v>
      </c>
      <c r="O1844">
        <v>44</v>
      </c>
      <c r="P1844" t="s">
        <v>424</v>
      </c>
      <c r="Q1844" t="s">
        <v>8</v>
      </c>
      <c r="R1844" t="s">
        <v>209</v>
      </c>
      <c r="S1844" t="s">
        <v>70</v>
      </c>
      <c r="Y1844" t="str">
        <f t="shared" si="601"/>
        <v/>
      </c>
      <c r="Z1844" t="str">
        <f t="shared" si="602"/>
        <v/>
      </c>
      <c r="AC1844" t="str">
        <f t="shared" si="619"/>
        <v>Pass</v>
      </c>
      <c r="AD1844" t="str">
        <f t="shared" si="620"/>
        <v>Pass_Deflected</v>
      </c>
      <c r="AE1844" t="str">
        <f t="shared" si="621"/>
        <v>Pass-Forehand</v>
      </c>
      <c r="AF1844" t="str">
        <f t="shared" si="603"/>
        <v>Offensive</v>
      </c>
      <c r="AG1844">
        <f t="shared" si="609"/>
        <v>18981</v>
      </c>
      <c r="AH1844" t="str">
        <f t="shared" si="610"/>
        <v>Nelson</v>
      </c>
      <c r="AI1844" t="str">
        <f t="shared" si="611"/>
        <v>Velodrome</v>
      </c>
      <c r="AJ1844" s="18">
        <f t="shared" si="604"/>
        <v>0</v>
      </c>
      <c r="AP1844" s="18">
        <f t="shared" si="605"/>
        <v>0</v>
      </c>
      <c r="AQ1844">
        <f t="shared" si="606"/>
        <v>2160</v>
      </c>
      <c r="AR1844" s="23">
        <f t="shared" si="607"/>
        <v>2395</v>
      </c>
      <c r="AS1844">
        <f t="shared" si="612"/>
        <v>2390</v>
      </c>
      <c r="AT1844" s="21">
        <f t="shared" si="613"/>
        <v>2395</v>
      </c>
      <c r="AU1844" s="21"/>
      <c r="AV1844" s="21"/>
      <c r="AW1844" s="21"/>
    </row>
    <row r="1845" spans="1:49" x14ac:dyDescent="0.2">
      <c r="A1845">
        <v>973</v>
      </c>
      <c r="E1845">
        <f t="shared" si="608"/>
        <v>3</v>
      </c>
      <c r="J1845" t="str">
        <f t="shared" si="614"/>
        <v>14</v>
      </c>
      <c r="K1845" t="str">
        <f t="shared" si="615"/>
        <v>05</v>
      </c>
      <c r="L1845" t="str">
        <f t="shared" si="616"/>
        <v/>
      </c>
      <c r="M1845" s="6" t="str">
        <f t="shared" si="617"/>
        <v/>
      </c>
      <c r="N1845" t="str">
        <f t="shared" si="618"/>
        <v>Home</v>
      </c>
      <c r="O1845">
        <v>70</v>
      </c>
      <c r="P1845" t="s">
        <v>424</v>
      </c>
      <c r="Y1845" t="str">
        <f t="shared" si="601"/>
        <v/>
      </c>
      <c r="Z1845" t="str">
        <f t="shared" si="602"/>
        <v/>
      </c>
      <c r="AC1845" t="str">
        <f t="shared" si="619"/>
        <v>Pass</v>
      </c>
      <c r="AD1845" t="str">
        <f t="shared" si="620"/>
        <v>Pass_Deflected</v>
      </c>
      <c r="AE1845" t="str">
        <f t="shared" si="621"/>
        <v>Pass-Forehand</v>
      </c>
      <c r="AF1845" t="str">
        <f t="shared" si="603"/>
        <v>Offensive</v>
      </c>
      <c r="AG1845">
        <f t="shared" si="609"/>
        <v>18981</v>
      </c>
      <c r="AH1845" t="str">
        <f t="shared" si="610"/>
        <v>Nelson</v>
      </c>
      <c r="AI1845" t="str">
        <f t="shared" si="611"/>
        <v>Velodrome</v>
      </c>
      <c r="AJ1845" s="18">
        <f t="shared" si="604"/>
        <v>0</v>
      </c>
      <c r="AP1845" s="18">
        <f t="shared" si="605"/>
        <v>0</v>
      </c>
      <c r="AQ1845">
        <f t="shared" si="606"/>
        <v>2160</v>
      </c>
      <c r="AR1845" s="23">
        <f t="shared" si="607"/>
        <v>2395</v>
      </c>
      <c r="AS1845">
        <f t="shared" si="612"/>
        <v>2390</v>
      </c>
      <c r="AT1845" s="21">
        <f t="shared" si="613"/>
        <v>2395</v>
      </c>
      <c r="AU1845" s="21"/>
      <c r="AV1845" s="21"/>
      <c r="AW1845" s="21"/>
    </row>
    <row r="1846" spans="1:49" x14ac:dyDescent="0.2">
      <c r="A1846">
        <v>973</v>
      </c>
      <c r="E1846">
        <f t="shared" si="608"/>
        <v>3</v>
      </c>
      <c r="J1846" t="str">
        <f t="shared" si="614"/>
        <v>14</v>
      </c>
      <c r="K1846" t="str">
        <f t="shared" si="615"/>
        <v>05</v>
      </c>
      <c r="L1846" t="str">
        <f t="shared" si="616"/>
        <v/>
      </c>
      <c r="M1846" s="6" t="str">
        <f t="shared" si="617"/>
        <v/>
      </c>
      <c r="N1846" t="str">
        <f t="shared" si="618"/>
        <v>Home</v>
      </c>
      <c r="O1846">
        <v>24</v>
      </c>
      <c r="P1846" t="s">
        <v>425</v>
      </c>
      <c r="Y1846" t="str">
        <f t="shared" si="601"/>
        <v/>
      </c>
      <c r="Z1846" t="str">
        <f t="shared" si="602"/>
        <v/>
      </c>
      <c r="AC1846" t="str">
        <f t="shared" si="619"/>
        <v>Pass</v>
      </c>
      <c r="AD1846" t="str">
        <f t="shared" si="620"/>
        <v>Pass_Deflected</v>
      </c>
      <c r="AE1846" t="str">
        <f t="shared" si="621"/>
        <v>Pass-Forehand</v>
      </c>
      <c r="AF1846" t="str">
        <f t="shared" si="603"/>
        <v>Defensive</v>
      </c>
      <c r="AG1846">
        <f t="shared" si="609"/>
        <v>18981</v>
      </c>
      <c r="AH1846" t="str">
        <f t="shared" si="610"/>
        <v>Nelson</v>
      </c>
      <c r="AI1846" t="str">
        <f t="shared" si="611"/>
        <v>Velodrome</v>
      </c>
      <c r="AJ1846" s="18">
        <f t="shared" si="604"/>
        <v>0</v>
      </c>
      <c r="AP1846" s="18">
        <f t="shared" si="605"/>
        <v>0</v>
      </c>
      <c r="AQ1846">
        <f t="shared" si="606"/>
        <v>2160</v>
      </c>
      <c r="AR1846" s="23">
        <f t="shared" si="607"/>
        <v>2395</v>
      </c>
      <c r="AS1846">
        <f t="shared" si="612"/>
        <v>2390</v>
      </c>
      <c r="AT1846" s="21">
        <f t="shared" si="613"/>
        <v>2395</v>
      </c>
      <c r="AU1846" s="21"/>
      <c r="AV1846" s="21"/>
      <c r="AW1846" s="21"/>
    </row>
    <row r="1847" spans="1:49" x14ac:dyDescent="0.2">
      <c r="A1847">
        <v>974</v>
      </c>
      <c r="E1847">
        <f t="shared" si="608"/>
        <v>3</v>
      </c>
      <c r="F1847" s="5" t="s">
        <v>489</v>
      </c>
      <c r="G1847" s="5" t="s">
        <v>480</v>
      </c>
      <c r="J1847" t="str">
        <f t="shared" si="614"/>
        <v>14</v>
      </c>
      <c r="K1847" t="str">
        <f t="shared" si="615"/>
        <v>04</v>
      </c>
      <c r="L1847" t="str">
        <f t="shared" si="616"/>
        <v/>
      </c>
      <c r="M1847" s="6" t="str">
        <f t="shared" si="617"/>
        <v/>
      </c>
      <c r="N1847" t="s">
        <v>178</v>
      </c>
      <c r="O1847">
        <v>44</v>
      </c>
      <c r="P1847" t="s">
        <v>424</v>
      </c>
      <c r="Q1847" t="s">
        <v>277</v>
      </c>
      <c r="R1847" t="s">
        <v>191</v>
      </c>
      <c r="S1847" t="s">
        <v>447</v>
      </c>
      <c r="Y1847" t="str">
        <f t="shared" si="601"/>
        <v/>
      </c>
      <c r="Z1847" t="str">
        <f t="shared" si="602"/>
        <v/>
      </c>
      <c r="AC1847" t="str">
        <f t="shared" si="619"/>
        <v>Zone_Entry_Exit</v>
      </c>
      <c r="AD1847" t="str">
        <f t="shared" si="620"/>
        <v>Zone_Entry</v>
      </c>
      <c r="AE1847" t="str">
        <f t="shared" si="621"/>
        <v>ZoneEntry-PassMiss/Misplay</v>
      </c>
      <c r="AF1847" t="str">
        <f t="shared" si="603"/>
        <v>Offensive</v>
      </c>
      <c r="AG1847">
        <f t="shared" si="609"/>
        <v>18981</v>
      </c>
      <c r="AH1847" t="str">
        <f t="shared" si="610"/>
        <v>Nelson</v>
      </c>
      <c r="AI1847" t="str">
        <f t="shared" si="611"/>
        <v>Velodrome</v>
      </c>
      <c r="AJ1847" s="18">
        <f t="shared" si="604"/>
        <v>0</v>
      </c>
      <c r="AP1847" s="18">
        <f t="shared" si="605"/>
        <v>0</v>
      </c>
      <c r="AQ1847">
        <f t="shared" si="606"/>
        <v>2160</v>
      </c>
      <c r="AR1847" s="23">
        <f t="shared" si="607"/>
        <v>2396</v>
      </c>
      <c r="AS1847">
        <f t="shared" si="612"/>
        <v>2391</v>
      </c>
      <c r="AT1847" s="21">
        <f t="shared" si="613"/>
        <v>2396</v>
      </c>
      <c r="AU1847" s="21"/>
      <c r="AV1847" s="21"/>
      <c r="AW1847" s="21"/>
    </row>
    <row r="1848" spans="1:49" x14ac:dyDescent="0.2">
      <c r="A1848">
        <v>974</v>
      </c>
      <c r="E1848">
        <f t="shared" si="608"/>
        <v>3</v>
      </c>
      <c r="J1848" t="str">
        <f t="shared" si="614"/>
        <v>14</v>
      </c>
      <c r="K1848" t="str">
        <f t="shared" si="615"/>
        <v>04</v>
      </c>
      <c r="L1848" t="str">
        <f t="shared" si="616"/>
        <v/>
      </c>
      <c r="M1848" s="6" t="str">
        <f t="shared" si="617"/>
        <v/>
      </c>
      <c r="N1848" t="str">
        <f t="shared" si="618"/>
        <v>Home</v>
      </c>
      <c r="O1848">
        <v>10</v>
      </c>
      <c r="P1848" t="s">
        <v>424</v>
      </c>
      <c r="Y1848" t="str">
        <f t="shared" si="601"/>
        <v/>
      </c>
      <c r="Z1848" t="str">
        <f t="shared" si="602"/>
        <v/>
      </c>
      <c r="AC1848" t="str">
        <f t="shared" si="619"/>
        <v>Zone_Entry_Exit</v>
      </c>
      <c r="AD1848" t="str">
        <f t="shared" si="620"/>
        <v>Zone_Entry</v>
      </c>
      <c r="AE1848" t="str">
        <f t="shared" si="621"/>
        <v>ZoneEntry-PassMiss/Misplay</v>
      </c>
      <c r="AF1848" t="str">
        <f t="shared" si="603"/>
        <v>Offensive</v>
      </c>
      <c r="AG1848">
        <f t="shared" si="609"/>
        <v>18981</v>
      </c>
      <c r="AH1848" t="str">
        <f t="shared" si="610"/>
        <v>Nelson</v>
      </c>
      <c r="AI1848" t="str">
        <f t="shared" si="611"/>
        <v>Velodrome</v>
      </c>
      <c r="AJ1848" s="18">
        <f t="shared" si="604"/>
        <v>0</v>
      </c>
      <c r="AP1848" s="18">
        <f t="shared" si="605"/>
        <v>0</v>
      </c>
      <c r="AQ1848">
        <f t="shared" si="606"/>
        <v>2160</v>
      </c>
      <c r="AR1848" s="23">
        <f t="shared" si="607"/>
        <v>2396</v>
      </c>
      <c r="AS1848">
        <f t="shared" si="612"/>
        <v>2391</v>
      </c>
      <c r="AT1848" s="21">
        <f t="shared" si="613"/>
        <v>2396</v>
      </c>
      <c r="AU1848" s="21"/>
      <c r="AV1848" s="21"/>
      <c r="AW1848" s="21"/>
    </row>
    <row r="1849" spans="1:49" x14ac:dyDescent="0.2">
      <c r="A1849">
        <v>974</v>
      </c>
      <c r="E1849">
        <f t="shared" si="608"/>
        <v>3</v>
      </c>
      <c r="J1849" t="str">
        <f t="shared" si="614"/>
        <v>14</v>
      </c>
      <c r="K1849" t="str">
        <f t="shared" si="615"/>
        <v>04</v>
      </c>
      <c r="L1849" t="str">
        <f t="shared" si="616"/>
        <v/>
      </c>
      <c r="M1849" s="6" t="str">
        <f t="shared" si="617"/>
        <v/>
      </c>
      <c r="N1849" t="str">
        <f t="shared" si="618"/>
        <v>Home</v>
      </c>
      <c r="O1849">
        <v>24</v>
      </c>
      <c r="P1849" t="s">
        <v>425</v>
      </c>
      <c r="Y1849" t="str">
        <f t="shared" si="601"/>
        <v/>
      </c>
      <c r="Z1849" t="str">
        <f t="shared" si="602"/>
        <v/>
      </c>
      <c r="AC1849" t="str">
        <f t="shared" si="619"/>
        <v>Zone_Entry_Exit</v>
      </c>
      <c r="AD1849" t="str">
        <f t="shared" si="620"/>
        <v>Zone_Entry</v>
      </c>
      <c r="AE1849" t="str">
        <f t="shared" si="621"/>
        <v>ZoneEntry-PassMiss/Misplay</v>
      </c>
      <c r="AF1849" t="str">
        <f t="shared" si="603"/>
        <v>Defensive</v>
      </c>
      <c r="AG1849">
        <f t="shared" si="609"/>
        <v>18981</v>
      </c>
      <c r="AH1849" t="str">
        <f t="shared" si="610"/>
        <v>Nelson</v>
      </c>
      <c r="AI1849" t="str">
        <f t="shared" si="611"/>
        <v>Velodrome</v>
      </c>
      <c r="AJ1849" s="18">
        <f t="shared" si="604"/>
        <v>0</v>
      </c>
      <c r="AP1849" s="18">
        <f t="shared" si="605"/>
        <v>0</v>
      </c>
      <c r="AQ1849">
        <f t="shared" si="606"/>
        <v>2160</v>
      </c>
      <c r="AR1849" s="23">
        <f t="shared" si="607"/>
        <v>2396</v>
      </c>
      <c r="AS1849">
        <f t="shared" si="612"/>
        <v>2391</v>
      </c>
      <c r="AT1849" s="21">
        <f t="shared" si="613"/>
        <v>2396</v>
      </c>
      <c r="AU1849" s="21"/>
      <c r="AV1849" s="21"/>
      <c r="AW1849" s="21"/>
    </row>
    <row r="1850" spans="1:49" x14ac:dyDescent="0.2">
      <c r="A1850">
        <v>975</v>
      </c>
      <c r="E1850">
        <f t="shared" si="608"/>
        <v>3</v>
      </c>
      <c r="F1850" s="5" t="s">
        <v>489</v>
      </c>
      <c r="G1850" s="5" t="s">
        <v>474</v>
      </c>
      <c r="H1850" s="5" t="s">
        <v>489</v>
      </c>
      <c r="I1850" s="7" t="s">
        <v>475</v>
      </c>
      <c r="J1850" t="str">
        <f t="shared" si="614"/>
        <v>14</v>
      </c>
      <c r="K1850" t="str">
        <f t="shared" si="615"/>
        <v>02</v>
      </c>
      <c r="L1850" t="str">
        <f t="shared" si="616"/>
        <v>14</v>
      </c>
      <c r="M1850" s="6" t="str">
        <f t="shared" si="617"/>
        <v>00</v>
      </c>
      <c r="N1850" t="s">
        <v>178</v>
      </c>
      <c r="O1850">
        <v>10</v>
      </c>
      <c r="P1850" t="s">
        <v>424</v>
      </c>
      <c r="Q1850" t="s">
        <v>15</v>
      </c>
      <c r="Y1850" t="str">
        <f t="shared" si="601"/>
        <v/>
      </c>
      <c r="Z1850" t="str">
        <f t="shared" si="602"/>
        <v/>
      </c>
      <c r="AC1850" t="str">
        <f t="shared" si="619"/>
        <v>Possession</v>
      </c>
      <c r="AD1850" t="str">
        <f t="shared" si="620"/>
        <v/>
      </c>
      <c r="AE1850" t="str">
        <f t="shared" si="621"/>
        <v/>
      </c>
      <c r="AF1850" t="str">
        <f t="shared" si="603"/>
        <v>Offensive</v>
      </c>
      <c r="AG1850">
        <f t="shared" si="609"/>
        <v>18981</v>
      </c>
      <c r="AH1850" t="str">
        <f t="shared" si="610"/>
        <v>Nelson</v>
      </c>
      <c r="AI1850" t="str">
        <f t="shared" si="611"/>
        <v>Velodrome</v>
      </c>
      <c r="AJ1850" s="18">
        <f t="shared" si="604"/>
        <v>2</v>
      </c>
      <c r="AP1850" s="18">
        <f t="shared" si="605"/>
        <v>0</v>
      </c>
      <c r="AQ1850">
        <f t="shared" si="606"/>
        <v>2160</v>
      </c>
      <c r="AR1850" s="23">
        <f t="shared" si="607"/>
        <v>2398</v>
      </c>
      <c r="AS1850">
        <f t="shared" si="612"/>
        <v>2393</v>
      </c>
      <c r="AT1850" s="21">
        <f t="shared" si="613"/>
        <v>2400</v>
      </c>
      <c r="AU1850" s="21"/>
      <c r="AV1850" s="21"/>
      <c r="AW1850" s="21"/>
    </row>
    <row r="1851" spans="1:49" x14ac:dyDescent="0.2">
      <c r="A1851">
        <v>975</v>
      </c>
      <c r="E1851">
        <f t="shared" si="608"/>
        <v>3</v>
      </c>
      <c r="J1851" t="str">
        <f t="shared" si="614"/>
        <v>14</v>
      </c>
      <c r="K1851" t="str">
        <f t="shared" si="615"/>
        <v>02</v>
      </c>
      <c r="L1851" t="str">
        <f t="shared" si="616"/>
        <v>14</v>
      </c>
      <c r="M1851" s="6" t="str">
        <f t="shared" si="617"/>
        <v>00</v>
      </c>
      <c r="N1851" t="str">
        <f t="shared" si="618"/>
        <v>Home</v>
      </c>
      <c r="O1851">
        <v>9</v>
      </c>
      <c r="P1851" t="s">
        <v>425</v>
      </c>
      <c r="Y1851" t="str">
        <f t="shared" si="601"/>
        <v/>
      </c>
      <c r="Z1851" t="str">
        <f t="shared" si="602"/>
        <v/>
      </c>
      <c r="AC1851" t="str">
        <f t="shared" si="619"/>
        <v>Possession</v>
      </c>
      <c r="AD1851" t="str">
        <f t="shared" si="620"/>
        <v/>
      </c>
      <c r="AE1851" t="str">
        <f t="shared" si="621"/>
        <v/>
      </c>
      <c r="AF1851" t="str">
        <f t="shared" si="603"/>
        <v>Defensive</v>
      </c>
      <c r="AG1851">
        <f t="shared" si="609"/>
        <v>18981</v>
      </c>
      <c r="AH1851" t="str">
        <f t="shared" si="610"/>
        <v>Nelson</v>
      </c>
      <c r="AI1851" t="str">
        <f t="shared" si="611"/>
        <v>Velodrome</v>
      </c>
      <c r="AJ1851" s="18">
        <f t="shared" si="604"/>
        <v>2</v>
      </c>
      <c r="AP1851" s="18">
        <f t="shared" si="605"/>
        <v>0</v>
      </c>
      <c r="AQ1851">
        <f t="shared" si="606"/>
        <v>2160</v>
      </c>
      <c r="AR1851" s="23">
        <f t="shared" si="607"/>
        <v>2398</v>
      </c>
      <c r="AS1851">
        <f t="shared" si="612"/>
        <v>2393</v>
      </c>
      <c r="AT1851" s="21">
        <f t="shared" si="613"/>
        <v>2400</v>
      </c>
      <c r="AU1851" s="21"/>
      <c r="AV1851" s="21"/>
      <c r="AW1851" s="21"/>
    </row>
    <row r="1852" spans="1:49" x14ac:dyDescent="0.2">
      <c r="A1852">
        <v>976</v>
      </c>
      <c r="E1852">
        <f t="shared" si="608"/>
        <v>3</v>
      </c>
      <c r="F1852" s="5" t="s">
        <v>489</v>
      </c>
      <c r="G1852" s="5" t="s">
        <v>475</v>
      </c>
      <c r="J1852" t="str">
        <f t="shared" si="614"/>
        <v>14</v>
      </c>
      <c r="K1852" t="str">
        <f t="shared" si="615"/>
        <v>00</v>
      </c>
      <c r="L1852" t="str">
        <f t="shared" si="616"/>
        <v/>
      </c>
      <c r="M1852" s="6" t="str">
        <f t="shared" si="617"/>
        <v/>
      </c>
      <c r="N1852" t="s">
        <v>178</v>
      </c>
      <c r="O1852">
        <v>10</v>
      </c>
      <c r="P1852" t="s">
        <v>424</v>
      </c>
      <c r="Q1852" t="s">
        <v>8</v>
      </c>
      <c r="R1852" t="s">
        <v>189</v>
      </c>
      <c r="S1852" t="s">
        <v>70</v>
      </c>
      <c r="Y1852" t="str">
        <f t="shared" si="601"/>
        <v/>
      </c>
      <c r="Z1852" t="str">
        <f t="shared" si="602"/>
        <v/>
      </c>
      <c r="AC1852" t="str">
        <f t="shared" si="619"/>
        <v>Pass</v>
      </c>
      <c r="AD1852" t="str">
        <f t="shared" si="620"/>
        <v>Pass_Completed</v>
      </c>
      <c r="AE1852" t="str">
        <f t="shared" si="621"/>
        <v>Pass-Forehand</v>
      </c>
      <c r="AF1852" t="str">
        <f t="shared" si="603"/>
        <v>Offensive</v>
      </c>
      <c r="AG1852">
        <f t="shared" si="609"/>
        <v>18981</v>
      </c>
      <c r="AH1852" t="str">
        <f t="shared" si="610"/>
        <v>Nelson</v>
      </c>
      <c r="AI1852" t="str">
        <f t="shared" si="611"/>
        <v>Velodrome</v>
      </c>
      <c r="AJ1852" s="18">
        <f t="shared" si="604"/>
        <v>0</v>
      </c>
      <c r="AP1852" s="18">
        <f t="shared" si="605"/>
        <v>0</v>
      </c>
      <c r="AQ1852">
        <f t="shared" si="606"/>
        <v>2160</v>
      </c>
      <c r="AR1852" s="23">
        <f t="shared" si="607"/>
        <v>2400</v>
      </c>
      <c r="AS1852">
        <f t="shared" si="612"/>
        <v>2395</v>
      </c>
      <c r="AT1852" s="21">
        <f t="shared" si="613"/>
        <v>2400</v>
      </c>
      <c r="AU1852" s="21"/>
      <c r="AV1852" s="21"/>
      <c r="AW1852" s="21"/>
    </row>
    <row r="1853" spans="1:49" x14ac:dyDescent="0.2">
      <c r="A1853">
        <v>976</v>
      </c>
      <c r="E1853">
        <f t="shared" si="608"/>
        <v>3</v>
      </c>
      <c r="J1853" t="str">
        <f t="shared" si="614"/>
        <v>14</v>
      </c>
      <c r="K1853" t="str">
        <f t="shared" si="615"/>
        <v>00</v>
      </c>
      <c r="L1853" t="str">
        <f t="shared" si="616"/>
        <v/>
      </c>
      <c r="M1853" s="6" t="str">
        <f t="shared" si="617"/>
        <v/>
      </c>
      <c r="N1853" t="str">
        <f t="shared" si="618"/>
        <v>Home</v>
      </c>
      <c r="O1853">
        <v>44</v>
      </c>
      <c r="P1853" t="s">
        <v>424</v>
      </c>
      <c r="Y1853" t="str">
        <f t="shared" si="601"/>
        <v/>
      </c>
      <c r="Z1853" t="str">
        <f t="shared" si="602"/>
        <v/>
      </c>
      <c r="AC1853" t="str">
        <f t="shared" si="619"/>
        <v>Pass</v>
      </c>
      <c r="AD1853" t="str">
        <f t="shared" si="620"/>
        <v>Pass_Completed</v>
      </c>
      <c r="AE1853" t="str">
        <f t="shared" si="621"/>
        <v>Pass-Forehand</v>
      </c>
      <c r="AF1853" t="str">
        <f t="shared" si="603"/>
        <v>Offensive</v>
      </c>
      <c r="AG1853">
        <f t="shared" si="609"/>
        <v>18981</v>
      </c>
      <c r="AH1853" t="str">
        <f t="shared" si="610"/>
        <v>Nelson</v>
      </c>
      <c r="AI1853" t="str">
        <f t="shared" si="611"/>
        <v>Velodrome</v>
      </c>
      <c r="AJ1853" s="18">
        <f t="shared" si="604"/>
        <v>0</v>
      </c>
      <c r="AP1853" s="18">
        <f t="shared" si="605"/>
        <v>0</v>
      </c>
      <c r="AQ1853">
        <f t="shared" si="606"/>
        <v>2160</v>
      </c>
      <c r="AR1853" s="23">
        <f t="shared" si="607"/>
        <v>2400</v>
      </c>
      <c r="AS1853">
        <f t="shared" si="612"/>
        <v>2395</v>
      </c>
      <c r="AT1853" s="21">
        <f t="shared" si="613"/>
        <v>2400</v>
      </c>
      <c r="AU1853" s="21"/>
      <c r="AV1853" s="21"/>
      <c r="AW1853" s="21"/>
    </row>
    <row r="1854" spans="1:49" x14ac:dyDescent="0.2">
      <c r="A1854">
        <v>977</v>
      </c>
      <c r="E1854">
        <f t="shared" si="608"/>
        <v>3</v>
      </c>
      <c r="F1854" s="5" t="s">
        <v>488</v>
      </c>
      <c r="G1854" s="5" t="s">
        <v>479</v>
      </c>
      <c r="J1854" t="str">
        <f t="shared" si="614"/>
        <v>13</v>
      </c>
      <c r="K1854" t="str">
        <f t="shared" si="615"/>
        <v>59</v>
      </c>
      <c r="L1854" t="str">
        <f t="shared" si="616"/>
        <v/>
      </c>
      <c r="M1854" s="6" t="str">
        <f t="shared" si="617"/>
        <v/>
      </c>
      <c r="N1854" t="s">
        <v>179</v>
      </c>
      <c r="O1854">
        <v>52</v>
      </c>
      <c r="P1854" t="s">
        <v>424</v>
      </c>
      <c r="Q1854" t="s">
        <v>10</v>
      </c>
      <c r="R1854" t="s">
        <v>200</v>
      </c>
      <c r="S1854" t="s">
        <v>82</v>
      </c>
      <c r="Y1854" t="str">
        <f t="shared" si="601"/>
        <v/>
      </c>
      <c r="Z1854" t="str">
        <f t="shared" si="602"/>
        <v/>
      </c>
      <c r="AC1854" t="str">
        <f t="shared" si="619"/>
        <v>Turnover</v>
      </c>
      <c r="AD1854" t="str">
        <f t="shared" si="620"/>
        <v>Turnover_Takeaway</v>
      </c>
      <c r="AE1854" t="str">
        <f t="shared" si="621"/>
        <v>Takeaway-PokeCheck</v>
      </c>
      <c r="AF1854" t="str">
        <f t="shared" si="603"/>
        <v>Defensive</v>
      </c>
      <c r="AG1854">
        <f t="shared" si="609"/>
        <v>18981</v>
      </c>
      <c r="AH1854" t="str">
        <f t="shared" si="610"/>
        <v>Nelson</v>
      </c>
      <c r="AI1854" t="str">
        <f t="shared" si="611"/>
        <v>Velodrome</v>
      </c>
      <c r="AJ1854" s="18">
        <f t="shared" si="604"/>
        <v>0</v>
      </c>
      <c r="AP1854" s="18">
        <f t="shared" si="605"/>
        <v>0</v>
      </c>
      <c r="AQ1854">
        <f t="shared" si="606"/>
        <v>2160</v>
      </c>
      <c r="AR1854" s="23">
        <f t="shared" si="607"/>
        <v>2401</v>
      </c>
      <c r="AS1854">
        <f t="shared" si="612"/>
        <v>2396</v>
      </c>
      <c r="AT1854" s="21">
        <f t="shared" si="613"/>
        <v>2401</v>
      </c>
      <c r="AU1854" s="21"/>
      <c r="AV1854" s="21"/>
      <c r="AW1854" s="21"/>
    </row>
    <row r="1855" spans="1:49" x14ac:dyDescent="0.2">
      <c r="A1855">
        <v>977</v>
      </c>
      <c r="E1855">
        <f t="shared" si="608"/>
        <v>3</v>
      </c>
      <c r="J1855" t="str">
        <f t="shared" si="614"/>
        <v>13</v>
      </c>
      <c r="K1855" t="str">
        <f t="shared" si="615"/>
        <v>59</v>
      </c>
      <c r="L1855" t="str">
        <f t="shared" si="616"/>
        <v/>
      </c>
      <c r="M1855" s="6" t="str">
        <f t="shared" si="617"/>
        <v/>
      </c>
      <c r="N1855" t="str">
        <f t="shared" si="618"/>
        <v>Away</v>
      </c>
      <c r="O1855">
        <v>44</v>
      </c>
      <c r="P1855" t="s">
        <v>425</v>
      </c>
      <c r="Y1855" t="str">
        <f t="shared" si="601"/>
        <v/>
      </c>
      <c r="Z1855" t="str">
        <f t="shared" si="602"/>
        <v/>
      </c>
      <c r="AC1855" t="str">
        <f t="shared" si="619"/>
        <v>Turnover</v>
      </c>
      <c r="AD1855" t="str">
        <f t="shared" si="620"/>
        <v>Turnover_Takeaway</v>
      </c>
      <c r="AE1855" t="str">
        <f t="shared" si="621"/>
        <v>Takeaway-PokeCheck</v>
      </c>
      <c r="AF1855" t="str">
        <f t="shared" si="603"/>
        <v>Offensive</v>
      </c>
      <c r="AG1855">
        <f t="shared" si="609"/>
        <v>18981</v>
      </c>
      <c r="AH1855" t="str">
        <f t="shared" si="610"/>
        <v>Nelson</v>
      </c>
      <c r="AI1855" t="str">
        <f t="shared" si="611"/>
        <v>Velodrome</v>
      </c>
      <c r="AJ1855" s="18">
        <f t="shared" si="604"/>
        <v>0</v>
      </c>
      <c r="AP1855" s="18">
        <f t="shared" si="605"/>
        <v>0</v>
      </c>
      <c r="AQ1855">
        <f t="shared" si="606"/>
        <v>2160</v>
      </c>
      <c r="AR1855" s="23">
        <f t="shared" si="607"/>
        <v>2401</v>
      </c>
      <c r="AS1855">
        <f t="shared" si="612"/>
        <v>2396</v>
      </c>
      <c r="AT1855" s="21">
        <f t="shared" si="613"/>
        <v>2401</v>
      </c>
      <c r="AU1855" s="21"/>
      <c r="AV1855" s="21"/>
      <c r="AW1855" s="21"/>
    </row>
    <row r="1856" spans="1:49" x14ac:dyDescent="0.2">
      <c r="A1856">
        <v>978</v>
      </c>
      <c r="E1856">
        <f t="shared" si="608"/>
        <v>3</v>
      </c>
      <c r="F1856" s="5" t="s">
        <v>488</v>
      </c>
      <c r="G1856" s="5" t="s">
        <v>526</v>
      </c>
      <c r="J1856" t="str">
        <f t="shared" si="614"/>
        <v>13</v>
      </c>
      <c r="K1856" t="str">
        <f t="shared" si="615"/>
        <v>54</v>
      </c>
      <c r="L1856" t="str">
        <f t="shared" si="616"/>
        <v/>
      </c>
      <c r="M1856" s="6" t="str">
        <f t="shared" si="617"/>
        <v/>
      </c>
      <c r="N1856" t="s">
        <v>179</v>
      </c>
      <c r="O1856">
        <v>42</v>
      </c>
      <c r="P1856" t="s">
        <v>424</v>
      </c>
      <c r="Q1856" t="s">
        <v>8</v>
      </c>
      <c r="R1856" t="s">
        <v>189</v>
      </c>
      <c r="S1856" t="s">
        <v>71</v>
      </c>
      <c r="Y1856" t="str">
        <f t="shared" si="601"/>
        <v/>
      </c>
      <c r="Z1856" t="str">
        <f t="shared" si="602"/>
        <v/>
      </c>
      <c r="AC1856" t="str">
        <f t="shared" si="619"/>
        <v>Pass</v>
      </c>
      <c r="AD1856" t="str">
        <f t="shared" si="620"/>
        <v>Pass_Completed</v>
      </c>
      <c r="AE1856" t="str">
        <f t="shared" si="621"/>
        <v>Pass-Bank</v>
      </c>
      <c r="AF1856" t="str">
        <f t="shared" si="603"/>
        <v>Offensive</v>
      </c>
      <c r="AG1856">
        <f t="shared" si="609"/>
        <v>18981</v>
      </c>
      <c r="AH1856" t="str">
        <f t="shared" si="610"/>
        <v>Nelson</v>
      </c>
      <c r="AI1856" t="str">
        <f t="shared" si="611"/>
        <v>Velodrome</v>
      </c>
      <c r="AJ1856" s="18">
        <f t="shared" si="604"/>
        <v>0</v>
      </c>
      <c r="AP1856" s="18">
        <f t="shared" si="605"/>
        <v>0</v>
      </c>
      <c r="AQ1856">
        <f t="shared" si="606"/>
        <v>2160</v>
      </c>
      <c r="AR1856" s="23">
        <f t="shared" si="607"/>
        <v>2406</v>
      </c>
      <c r="AS1856">
        <f t="shared" si="612"/>
        <v>2401</v>
      </c>
      <c r="AT1856" s="21">
        <f t="shared" si="613"/>
        <v>2406</v>
      </c>
      <c r="AU1856" s="21"/>
      <c r="AV1856" s="21"/>
      <c r="AW1856" s="21"/>
    </row>
    <row r="1857" spans="1:49" x14ac:dyDescent="0.2">
      <c r="A1857">
        <v>978</v>
      </c>
      <c r="E1857">
        <f t="shared" si="608"/>
        <v>3</v>
      </c>
      <c r="J1857" t="str">
        <f t="shared" si="614"/>
        <v>13</v>
      </c>
      <c r="K1857" t="str">
        <f t="shared" si="615"/>
        <v>54</v>
      </c>
      <c r="L1857" t="str">
        <f t="shared" si="616"/>
        <v/>
      </c>
      <c r="M1857" s="6" t="str">
        <f t="shared" si="617"/>
        <v/>
      </c>
      <c r="N1857" t="str">
        <f t="shared" si="618"/>
        <v>Away</v>
      </c>
      <c r="O1857">
        <v>91</v>
      </c>
      <c r="P1857" t="s">
        <v>424</v>
      </c>
      <c r="Y1857" t="str">
        <f t="shared" si="601"/>
        <v/>
      </c>
      <c r="Z1857" t="str">
        <f t="shared" si="602"/>
        <v/>
      </c>
      <c r="AC1857" t="str">
        <f t="shared" si="619"/>
        <v>Pass</v>
      </c>
      <c r="AD1857" t="str">
        <f t="shared" si="620"/>
        <v>Pass_Completed</v>
      </c>
      <c r="AE1857" t="str">
        <f t="shared" si="621"/>
        <v>Pass-Bank</v>
      </c>
      <c r="AF1857" t="str">
        <f t="shared" si="603"/>
        <v>Offensive</v>
      </c>
      <c r="AG1857">
        <f t="shared" si="609"/>
        <v>18981</v>
      </c>
      <c r="AH1857" t="str">
        <f t="shared" si="610"/>
        <v>Nelson</v>
      </c>
      <c r="AI1857" t="str">
        <f t="shared" si="611"/>
        <v>Velodrome</v>
      </c>
      <c r="AJ1857" s="18">
        <f t="shared" si="604"/>
        <v>0</v>
      </c>
      <c r="AP1857" s="18">
        <f t="shared" si="605"/>
        <v>0</v>
      </c>
      <c r="AQ1857">
        <f t="shared" si="606"/>
        <v>2160</v>
      </c>
      <c r="AR1857" s="23">
        <f t="shared" si="607"/>
        <v>2406</v>
      </c>
      <c r="AS1857">
        <f t="shared" si="612"/>
        <v>2401</v>
      </c>
      <c r="AT1857" s="21">
        <f t="shared" si="613"/>
        <v>2406</v>
      </c>
      <c r="AU1857" s="21"/>
      <c r="AV1857" s="21"/>
      <c r="AW1857" s="21"/>
    </row>
    <row r="1858" spans="1:49" x14ac:dyDescent="0.2">
      <c r="A1858">
        <v>979</v>
      </c>
      <c r="E1858">
        <f t="shared" si="608"/>
        <v>3</v>
      </c>
      <c r="F1858" s="5" t="s">
        <v>488</v>
      </c>
      <c r="G1858" s="5" t="s">
        <v>525</v>
      </c>
      <c r="J1858" t="str">
        <f t="shared" si="614"/>
        <v>13</v>
      </c>
      <c r="K1858" t="str">
        <f t="shared" si="615"/>
        <v>53</v>
      </c>
      <c r="L1858" t="str">
        <f t="shared" si="616"/>
        <v/>
      </c>
      <c r="M1858" s="6" t="str">
        <f t="shared" si="617"/>
        <v/>
      </c>
      <c r="N1858" t="s">
        <v>179</v>
      </c>
      <c r="O1858">
        <v>91</v>
      </c>
      <c r="P1858" t="s">
        <v>424</v>
      </c>
      <c r="Q1858" t="s">
        <v>8</v>
      </c>
      <c r="R1858" t="s">
        <v>189</v>
      </c>
      <c r="S1858" t="s">
        <v>70</v>
      </c>
      <c r="Y1858" t="str">
        <f t="shared" si="601"/>
        <v/>
      </c>
      <c r="Z1858" t="str">
        <f t="shared" si="602"/>
        <v/>
      </c>
      <c r="AC1858" t="str">
        <f t="shared" si="619"/>
        <v>Pass</v>
      </c>
      <c r="AD1858" t="str">
        <f t="shared" si="620"/>
        <v>Pass_Completed</v>
      </c>
      <c r="AE1858" t="str">
        <f t="shared" si="621"/>
        <v>Pass-Forehand</v>
      </c>
      <c r="AF1858" t="str">
        <f t="shared" si="603"/>
        <v>Offensive</v>
      </c>
      <c r="AG1858">
        <f t="shared" si="609"/>
        <v>18981</v>
      </c>
      <c r="AH1858" t="str">
        <f t="shared" si="610"/>
        <v>Nelson</v>
      </c>
      <c r="AI1858" t="str">
        <f t="shared" si="611"/>
        <v>Velodrome</v>
      </c>
      <c r="AJ1858" s="18">
        <f t="shared" si="604"/>
        <v>0</v>
      </c>
      <c r="AP1858" s="18">
        <f t="shared" si="605"/>
        <v>0</v>
      </c>
      <c r="AQ1858">
        <f t="shared" si="606"/>
        <v>2160</v>
      </c>
      <c r="AR1858" s="23">
        <f t="shared" si="607"/>
        <v>2407</v>
      </c>
      <c r="AS1858">
        <f t="shared" si="612"/>
        <v>2402</v>
      </c>
      <c r="AT1858" s="21">
        <f t="shared" si="613"/>
        <v>2407</v>
      </c>
      <c r="AU1858" s="21"/>
      <c r="AV1858" s="21"/>
      <c r="AW1858" s="21"/>
    </row>
    <row r="1859" spans="1:49" x14ac:dyDescent="0.2">
      <c r="A1859">
        <v>979</v>
      </c>
      <c r="E1859">
        <f t="shared" si="608"/>
        <v>3</v>
      </c>
      <c r="J1859" t="str">
        <f t="shared" si="614"/>
        <v>13</v>
      </c>
      <c r="K1859" t="str">
        <f t="shared" si="615"/>
        <v>53</v>
      </c>
      <c r="L1859" t="str">
        <f t="shared" si="616"/>
        <v/>
      </c>
      <c r="M1859" s="6" t="str">
        <f t="shared" si="617"/>
        <v/>
      </c>
      <c r="N1859" t="str">
        <f t="shared" si="618"/>
        <v>Away</v>
      </c>
      <c r="O1859">
        <v>42</v>
      </c>
      <c r="P1859" t="s">
        <v>424</v>
      </c>
      <c r="Y1859" t="str">
        <f t="shared" ref="Y1859:Y1922" si="622">IF($N1859="","",IF(X1859="","",IF($N1859="Home",$X1859,IF($X1859="n","n",IF($X1859="d","o",IF($X1859="o","d",""))))))</f>
        <v/>
      </c>
      <c r="Z1859" t="str">
        <f t="shared" ref="Z1859:Z1922" si="623">IF($N1859="","",IF(X1859="","",IF($N1859="Away",$X1859,IF($X1859="n","n",IF($X1859="d","o",IF($X1859="o","d",""))))))</f>
        <v/>
      </c>
      <c r="AC1859" t="str">
        <f t="shared" si="619"/>
        <v>Pass</v>
      </c>
      <c r="AD1859" t="str">
        <f t="shared" si="620"/>
        <v>Pass_Completed</v>
      </c>
      <c r="AE1859" t="str">
        <f t="shared" si="621"/>
        <v>Pass-Forehand</v>
      </c>
      <c r="AF1859" t="str">
        <f t="shared" ref="AF1859:AF1922" si="624">IF(AND(P1859="e",OR(AC1859="Save",AD1859="Turnover_Takeaway",AD1859="Play_Defensive")),"Defensive",IF(AND(P1859="o",OR(AC1859="Save",AD1859="Turnover_Takeaway",AD1859="Play_Defensive")),"Offensive",IF(OR(AC1859="Deadice",AC1859="Stoppage",AC1859="Intermission"),"",IF(P1859="e","Offensive",IF(P1859="o","Defensive","")))))</f>
        <v>Offensive</v>
      </c>
      <c r="AG1859">
        <f t="shared" si="609"/>
        <v>18981</v>
      </c>
      <c r="AH1859" t="str">
        <f t="shared" si="610"/>
        <v>Nelson</v>
      </c>
      <c r="AI1859" t="str">
        <f t="shared" si="611"/>
        <v>Velodrome</v>
      </c>
      <c r="AJ1859" s="18">
        <f t="shared" ref="AJ1859:AJ1922" si="625">IF(AND(L1859="",M1859=""),0,((J1859*60)+K1859)-((L1859*60)+M1859))</f>
        <v>0</v>
      </c>
      <c r="AP1859" s="18">
        <f t="shared" ref="AP1859:AP1922" si="626">SUMIFS(AJ1859:AJ1859,Q1859:Q1859,"=Intermission")</f>
        <v>0</v>
      </c>
      <c r="AQ1859">
        <f t="shared" ref="AQ1859:AQ1922" si="627">IF(E1859=1,0,IF(E1859=2,1080+AP1859,IF(E1859=3,(1080*2)+AP1859,0)))</f>
        <v>2160</v>
      </c>
      <c r="AR1859" s="23">
        <f t="shared" ref="AR1859:AR1922" si="628">IF(Q1859="Intermission",AR1858,((1080)-((J1859*60)+K1859))+AQ1859)</f>
        <v>2407</v>
      </c>
      <c r="AS1859">
        <f t="shared" si="612"/>
        <v>2402</v>
      </c>
      <c r="AT1859" s="21">
        <f t="shared" si="613"/>
        <v>2407</v>
      </c>
      <c r="AU1859" s="21"/>
      <c r="AV1859" s="21"/>
      <c r="AW1859" s="21"/>
    </row>
    <row r="1860" spans="1:49" x14ac:dyDescent="0.2">
      <c r="A1860">
        <v>980</v>
      </c>
      <c r="E1860">
        <f t="shared" ref="E1860:E1923" si="629">IF(Q1860="Intermission",E1859+1,E1859)</f>
        <v>3</v>
      </c>
      <c r="F1860" s="5" t="s">
        <v>488</v>
      </c>
      <c r="G1860" s="5" t="s">
        <v>525</v>
      </c>
      <c r="H1860" s="5" t="s">
        <v>488</v>
      </c>
      <c r="I1860" s="7" t="s">
        <v>523</v>
      </c>
      <c r="J1860" t="str">
        <f t="shared" si="614"/>
        <v>13</v>
      </c>
      <c r="K1860" t="str">
        <f t="shared" si="615"/>
        <v>53</v>
      </c>
      <c r="L1860" t="str">
        <f t="shared" si="616"/>
        <v>13</v>
      </c>
      <c r="M1860" s="6" t="str">
        <f t="shared" si="617"/>
        <v>51</v>
      </c>
      <c r="N1860" t="s">
        <v>179</v>
      </c>
      <c r="O1860">
        <v>42</v>
      </c>
      <c r="P1860" t="s">
        <v>424</v>
      </c>
      <c r="Q1860" t="s">
        <v>277</v>
      </c>
      <c r="R1860" t="s">
        <v>201</v>
      </c>
      <c r="S1860" t="s">
        <v>90</v>
      </c>
      <c r="Y1860" t="str">
        <f t="shared" si="622"/>
        <v/>
      </c>
      <c r="Z1860" t="str">
        <f t="shared" si="623"/>
        <v/>
      </c>
      <c r="AC1860" t="str">
        <f t="shared" si="619"/>
        <v>Zone_Entry_Exit</v>
      </c>
      <c r="AD1860" t="str">
        <f t="shared" si="620"/>
        <v>Zone_Exit</v>
      </c>
      <c r="AE1860" t="str">
        <f t="shared" si="621"/>
        <v>ZoneExit-Rush</v>
      </c>
      <c r="AF1860" t="str">
        <f t="shared" si="624"/>
        <v>Offensive</v>
      </c>
      <c r="AG1860">
        <f t="shared" ref="AG1860:AG1923" si="630">AG1859</f>
        <v>18981</v>
      </c>
      <c r="AH1860" t="str">
        <f t="shared" ref="AH1860:AH1923" si="631">AH1859</f>
        <v>Nelson</v>
      </c>
      <c r="AI1860" t="str">
        <f t="shared" ref="AI1860:AI1923" si="632">AI1859</f>
        <v>Velodrome</v>
      </c>
      <c r="AJ1860" s="18">
        <f t="shared" si="625"/>
        <v>2</v>
      </c>
      <c r="AP1860" s="18">
        <f t="shared" si="626"/>
        <v>0</v>
      </c>
      <c r="AQ1860">
        <f t="shared" si="627"/>
        <v>2160</v>
      </c>
      <c r="AR1860" s="23">
        <f t="shared" si="628"/>
        <v>2407</v>
      </c>
      <c r="AS1860">
        <f t="shared" ref="AS1860:AS1923" si="633">IF(AR1860&lt;5,0,AR1860-5)</f>
        <v>2402</v>
      </c>
      <c r="AT1860" s="21">
        <f t="shared" ref="AT1860:AT1923" si="634">AS1860+AJ1860+5</f>
        <v>2409</v>
      </c>
      <c r="AU1860" s="21"/>
      <c r="AV1860" s="21"/>
      <c r="AW1860" s="21"/>
    </row>
    <row r="1861" spans="1:49" x14ac:dyDescent="0.2">
      <c r="A1861">
        <v>981</v>
      </c>
      <c r="E1861">
        <f t="shared" si="629"/>
        <v>3</v>
      </c>
      <c r="F1861" s="5" t="s">
        <v>488</v>
      </c>
      <c r="G1861" s="5" t="s">
        <v>523</v>
      </c>
      <c r="H1861" s="5" t="s">
        <v>488</v>
      </c>
      <c r="I1861" s="7" t="s">
        <v>521</v>
      </c>
      <c r="J1861" t="str">
        <f t="shared" si="614"/>
        <v>13</v>
      </c>
      <c r="K1861" t="str">
        <f t="shared" si="615"/>
        <v>51</v>
      </c>
      <c r="L1861" t="str">
        <f t="shared" si="616"/>
        <v>13</v>
      </c>
      <c r="M1861" s="6" t="str">
        <f t="shared" si="617"/>
        <v>49</v>
      </c>
      <c r="N1861" t="s">
        <v>179</v>
      </c>
      <c r="O1861">
        <v>42</v>
      </c>
      <c r="P1861" t="s">
        <v>424</v>
      </c>
      <c r="Q1861" t="s">
        <v>15</v>
      </c>
      <c r="Y1861" t="str">
        <f t="shared" si="622"/>
        <v/>
      </c>
      <c r="Z1861" t="str">
        <f t="shared" si="623"/>
        <v/>
      </c>
      <c r="AC1861" t="str">
        <f t="shared" si="619"/>
        <v>Possession</v>
      </c>
      <c r="AD1861" t="str">
        <f t="shared" si="620"/>
        <v/>
      </c>
      <c r="AE1861" t="str">
        <f t="shared" si="621"/>
        <v/>
      </c>
      <c r="AF1861" t="str">
        <f t="shared" si="624"/>
        <v>Offensive</v>
      </c>
      <c r="AG1861">
        <f t="shared" si="630"/>
        <v>18981</v>
      </c>
      <c r="AH1861" t="str">
        <f t="shared" si="631"/>
        <v>Nelson</v>
      </c>
      <c r="AI1861" t="str">
        <f t="shared" si="632"/>
        <v>Velodrome</v>
      </c>
      <c r="AJ1861" s="18">
        <f t="shared" si="625"/>
        <v>2</v>
      </c>
      <c r="AP1861" s="18">
        <f t="shared" si="626"/>
        <v>0</v>
      </c>
      <c r="AQ1861">
        <f t="shared" si="627"/>
        <v>2160</v>
      </c>
      <c r="AR1861" s="23">
        <f t="shared" si="628"/>
        <v>2409</v>
      </c>
      <c r="AS1861">
        <f t="shared" si="633"/>
        <v>2404</v>
      </c>
      <c r="AT1861" s="21">
        <f t="shared" si="634"/>
        <v>2411</v>
      </c>
      <c r="AU1861" s="21"/>
      <c r="AV1861" s="21"/>
      <c r="AW1861" s="21"/>
    </row>
    <row r="1862" spans="1:49" x14ac:dyDescent="0.2">
      <c r="A1862">
        <v>982</v>
      </c>
      <c r="E1862">
        <f t="shared" si="629"/>
        <v>3</v>
      </c>
      <c r="F1862" s="5" t="s">
        <v>488</v>
      </c>
      <c r="G1862" s="5" t="s">
        <v>521</v>
      </c>
      <c r="H1862" s="5" t="s">
        <v>488</v>
      </c>
      <c r="I1862" s="7" t="s">
        <v>519</v>
      </c>
      <c r="J1862" t="str">
        <f t="shared" si="614"/>
        <v>13</v>
      </c>
      <c r="K1862" t="str">
        <f t="shared" si="615"/>
        <v>49</v>
      </c>
      <c r="L1862" t="str">
        <f t="shared" si="616"/>
        <v>13</v>
      </c>
      <c r="M1862" s="6" t="str">
        <f t="shared" si="617"/>
        <v>47</v>
      </c>
      <c r="N1862" t="s">
        <v>179</v>
      </c>
      <c r="O1862">
        <v>42</v>
      </c>
      <c r="P1862" t="s">
        <v>424</v>
      </c>
      <c r="Q1862" t="s">
        <v>277</v>
      </c>
      <c r="R1862" t="s">
        <v>191</v>
      </c>
      <c r="S1862" t="s">
        <v>87</v>
      </c>
      <c r="Y1862" t="str">
        <f t="shared" si="622"/>
        <v/>
      </c>
      <c r="Z1862" t="str">
        <f t="shared" si="623"/>
        <v/>
      </c>
      <c r="AC1862" t="str">
        <f t="shared" si="619"/>
        <v>Zone_Entry_Exit</v>
      </c>
      <c r="AD1862" t="str">
        <f t="shared" si="620"/>
        <v>Zone_Entry</v>
      </c>
      <c r="AE1862" t="str">
        <f t="shared" si="621"/>
        <v>ZoneEntry-Rush</v>
      </c>
      <c r="AF1862" t="str">
        <f t="shared" si="624"/>
        <v>Offensive</v>
      </c>
      <c r="AG1862">
        <f t="shared" si="630"/>
        <v>18981</v>
      </c>
      <c r="AH1862" t="str">
        <f t="shared" si="631"/>
        <v>Nelson</v>
      </c>
      <c r="AI1862" t="str">
        <f t="shared" si="632"/>
        <v>Velodrome</v>
      </c>
      <c r="AJ1862" s="18">
        <f t="shared" si="625"/>
        <v>2</v>
      </c>
      <c r="AP1862" s="18">
        <f t="shared" si="626"/>
        <v>0</v>
      </c>
      <c r="AQ1862">
        <f t="shared" si="627"/>
        <v>2160</v>
      </c>
      <c r="AR1862" s="23">
        <f t="shared" si="628"/>
        <v>2411</v>
      </c>
      <c r="AS1862">
        <f t="shared" si="633"/>
        <v>2406</v>
      </c>
      <c r="AT1862" s="21">
        <f t="shared" si="634"/>
        <v>2413</v>
      </c>
      <c r="AU1862" s="21"/>
      <c r="AV1862" s="21"/>
      <c r="AW1862" s="21"/>
    </row>
    <row r="1863" spans="1:49" x14ac:dyDescent="0.2">
      <c r="A1863">
        <v>982</v>
      </c>
      <c r="E1863">
        <f t="shared" si="629"/>
        <v>3</v>
      </c>
      <c r="J1863" t="str">
        <f t="shared" si="614"/>
        <v>13</v>
      </c>
      <c r="K1863" t="str">
        <f t="shared" si="615"/>
        <v>49</v>
      </c>
      <c r="L1863" t="str">
        <f t="shared" si="616"/>
        <v>13</v>
      </c>
      <c r="M1863" s="6" t="str">
        <f t="shared" si="617"/>
        <v>47</v>
      </c>
      <c r="N1863" t="str">
        <f t="shared" ref="N1863:N1925" si="635">IF(A1863=A1862,N1862,"")</f>
        <v>Away</v>
      </c>
      <c r="O1863">
        <v>24</v>
      </c>
      <c r="P1863" t="s">
        <v>424</v>
      </c>
      <c r="Y1863" t="str">
        <f t="shared" si="622"/>
        <v/>
      </c>
      <c r="Z1863" t="str">
        <f t="shared" si="623"/>
        <v/>
      </c>
      <c r="AC1863" t="str">
        <f t="shared" si="619"/>
        <v>Zone_Entry_Exit</v>
      </c>
      <c r="AD1863" t="str">
        <f t="shared" si="620"/>
        <v>Zone_Entry</v>
      </c>
      <c r="AE1863" t="str">
        <f t="shared" si="621"/>
        <v>ZoneEntry-Rush</v>
      </c>
      <c r="AF1863" t="str">
        <f t="shared" si="624"/>
        <v>Offensive</v>
      </c>
      <c r="AG1863">
        <f t="shared" si="630"/>
        <v>18981</v>
      </c>
      <c r="AH1863" t="str">
        <f t="shared" si="631"/>
        <v>Nelson</v>
      </c>
      <c r="AI1863" t="str">
        <f t="shared" si="632"/>
        <v>Velodrome</v>
      </c>
      <c r="AJ1863" s="18">
        <f t="shared" si="625"/>
        <v>2</v>
      </c>
      <c r="AP1863" s="18">
        <f t="shared" si="626"/>
        <v>0</v>
      </c>
      <c r="AQ1863">
        <f t="shared" si="627"/>
        <v>2160</v>
      </c>
      <c r="AR1863" s="23">
        <f t="shared" si="628"/>
        <v>2411</v>
      </c>
      <c r="AS1863">
        <f t="shared" si="633"/>
        <v>2406</v>
      </c>
      <c r="AT1863" s="21">
        <f t="shared" si="634"/>
        <v>2413</v>
      </c>
      <c r="AU1863" s="21"/>
      <c r="AV1863" s="21"/>
      <c r="AW1863" s="21"/>
    </row>
    <row r="1864" spans="1:49" x14ac:dyDescent="0.2">
      <c r="A1864">
        <v>982</v>
      </c>
      <c r="E1864">
        <f t="shared" si="629"/>
        <v>3</v>
      </c>
      <c r="J1864" t="str">
        <f t="shared" si="614"/>
        <v>13</v>
      </c>
      <c r="K1864" t="str">
        <f t="shared" si="615"/>
        <v>49</v>
      </c>
      <c r="L1864" t="str">
        <f t="shared" si="616"/>
        <v>13</v>
      </c>
      <c r="M1864" s="6" t="str">
        <f t="shared" si="617"/>
        <v>47</v>
      </c>
      <c r="N1864" t="str">
        <f t="shared" si="635"/>
        <v>Away</v>
      </c>
      <c r="O1864">
        <v>23</v>
      </c>
      <c r="P1864" t="s">
        <v>425</v>
      </c>
      <c r="Y1864" t="str">
        <f t="shared" si="622"/>
        <v/>
      </c>
      <c r="Z1864" t="str">
        <f t="shared" si="623"/>
        <v/>
      </c>
      <c r="AC1864" t="str">
        <f t="shared" si="619"/>
        <v>Zone_Entry_Exit</v>
      </c>
      <c r="AD1864" t="str">
        <f t="shared" si="620"/>
        <v>Zone_Entry</v>
      </c>
      <c r="AE1864" t="str">
        <f t="shared" si="621"/>
        <v>ZoneEntry-Rush</v>
      </c>
      <c r="AF1864" t="str">
        <f t="shared" si="624"/>
        <v>Defensive</v>
      </c>
      <c r="AG1864">
        <f t="shared" si="630"/>
        <v>18981</v>
      </c>
      <c r="AH1864" t="str">
        <f t="shared" si="631"/>
        <v>Nelson</v>
      </c>
      <c r="AI1864" t="str">
        <f t="shared" si="632"/>
        <v>Velodrome</v>
      </c>
      <c r="AJ1864" s="18">
        <f t="shared" si="625"/>
        <v>2</v>
      </c>
      <c r="AP1864" s="18">
        <f t="shared" si="626"/>
        <v>0</v>
      </c>
      <c r="AQ1864">
        <f t="shared" si="627"/>
        <v>2160</v>
      </c>
      <c r="AR1864" s="23">
        <f t="shared" si="628"/>
        <v>2411</v>
      </c>
      <c r="AS1864">
        <f t="shared" si="633"/>
        <v>2406</v>
      </c>
      <c r="AT1864" s="21">
        <f t="shared" si="634"/>
        <v>2413</v>
      </c>
      <c r="AU1864" s="21"/>
      <c r="AV1864" s="21"/>
      <c r="AW1864" s="21"/>
    </row>
    <row r="1865" spans="1:49" x14ac:dyDescent="0.2">
      <c r="A1865">
        <v>982</v>
      </c>
      <c r="E1865">
        <f t="shared" si="629"/>
        <v>3</v>
      </c>
      <c r="J1865" t="str">
        <f t="shared" ref="J1865:J1928" si="636">IF(F1865&lt;&gt;"",F1865,IF($A1865=$A1864,J1864,J1865))</f>
        <v>13</v>
      </c>
      <c r="K1865" t="str">
        <f t="shared" ref="K1865:K1928" si="637">IF($A1865=$A1864,K1864,G1865)</f>
        <v>49</v>
      </c>
      <c r="L1865" t="str">
        <f t="shared" ref="L1865:L1928" si="638">IF(H1865&lt;&gt;"",H1865,IF($A1865=$A1864,L1864,""))</f>
        <v>13</v>
      </c>
      <c r="M1865" s="6" t="str">
        <f t="shared" ref="M1865:M1928" si="639">IF(I1865&lt;&gt;"",I1865,IF($A1865=$A1864,M1864,""))</f>
        <v>47</v>
      </c>
      <c r="N1865" t="str">
        <f t="shared" si="635"/>
        <v>Away</v>
      </c>
      <c r="O1865">
        <v>37</v>
      </c>
      <c r="P1865" t="s">
        <v>425</v>
      </c>
      <c r="Y1865" t="str">
        <f t="shared" si="622"/>
        <v/>
      </c>
      <c r="Z1865" t="str">
        <f t="shared" si="623"/>
        <v/>
      </c>
      <c r="AC1865" t="str">
        <f t="shared" si="619"/>
        <v>Zone_Entry_Exit</v>
      </c>
      <c r="AD1865" t="str">
        <f t="shared" si="620"/>
        <v>Zone_Entry</v>
      </c>
      <c r="AE1865" t="str">
        <f t="shared" si="621"/>
        <v>ZoneEntry-Rush</v>
      </c>
      <c r="AF1865" t="str">
        <f t="shared" si="624"/>
        <v>Defensive</v>
      </c>
      <c r="AG1865">
        <f t="shared" si="630"/>
        <v>18981</v>
      </c>
      <c r="AH1865" t="str">
        <f t="shared" si="631"/>
        <v>Nelson</v>
      </c>
      <c r="AI1865" t="str">
        <f t="shared" si="632"/>
        <v>Velodrome</v>
      </c>
      <c r="AJ1865" s="18">
        <f t="shared" si="625"/>
        <v>2</v>
      </c>
      <c r="AP1865" s="18">
        <f t="shared" si="626"/>
        <v>0</v>
      </c>
      <c r="AQ1865">
        <f t="shared" si="627"/>
        <v>2160</v>
      </c>
      <c r="AR1865" s="23">
        <f t="shared" si="628"/>
        <v>2411</v>
      </c>
      <c r="AS1865">
        <f t="shared" si="633"/>
        <v>2406</v>
      </c>
      <c r="AT1865" s="21">
        <f t="shared" si="634"/>
        <v>2413</v>
      </c>
      <c r="AU1865" s="21"/>
      <c r="AV1865" s="21"/>
      <c r="AW1865" s="21"/>
    </row>
    <row r="1866" spans="1:49" x14ac:dyDescent="0.2">
      <c r="A1866">
        <v>983</v>
      </c>
      <c r="E1866">
        <f t="shared" si="629"/>
        <v>3</v>
      </c>
      <c r="F1866" s="5" t="s">
        <v>488</v>
      </c>
      <c r="G1866" s="5" t="s">
        <v>519</v>
      </c>
      <c r="J1866" t="str">
        <f t="shared" si="636"/>
        <v>13</v>
      </c>
      <c r="K1866" t="str">
        <f t="shared" si="637"/>
        <v>47</v>
      </c>
      <c r="L1866" t="str">
        <f t="shared" si="638"/>
        <v/>
      </c>
      <c r="M1866" s="6" t="str">
        <f t="shared" si="639"/>
        <v/>
      </c>
      <c r="N1866" t="s">
        <v>178</v>
      </c>
      <c r="O1866">
        <v>37</v>
      </c>
      <c r="P1866" t="s">
        <v>424</v>
      </c>
      <c r="Q1866" t="s">
        <v>10</v>
      </c>
      <c r="R1866" t="s">
        <v>200</v>
      </c>
      <c r="S1866" t="s">
        <v>82</v>
      </c>
      <c r="Y1866" t="str">
        <f t="shared" si="622"/>
        <v/>
      </c>
      <c r="Z1866" t="str">
        <f t="shared" si="623"/>
        <v/>
      </c>
      <c r="AC1866" t="str">
        <f t="shared" si="619"/>
        <v>Turnover</v>
      </c>
      <c r="AD1866" t="str">
        <f t="shared" si="620"/>
        <v>Turnover_Takeaway</v>
      </c>
      <c r="AE1866" t="str">
        <f t="shared" si="621"/>
        <v>Takeaway-PokeCheck</v>
      </c>
      <c r="AF1866" t="str">
        <f t="shared" si="624"/>
        <v>Defensive</v>
      </c>
      <c r="AG1866">
        <f t="shared" si="630"/>
        <v>18981</v>
      </c>
      <c r="AH1866" t="str">
        <f t="shared" si="631"/>
        <v>Nelson</v>
      </c>
      <c r="AI1866" t="str">
        <f t="shared" si="632"/>
        <v>Velodrome</v>
      </c>
      <c r="AJ1866" s="18">
        <f t="shared" si="625"/>
        <v>0</v>
      </c>
      <c r="AP1866" s="18">
        <f t="shared" si="626"/>
        <v>0</v>
      </c>
      <c r="AQ1866">
        <f t="shared" si="627"/>
        <v>2160</v>
      </c>
      <c r="AR1866" s="23">
        <f t="shared" si="628"/>
        <v>2413</v>
      </c>
      <c r="AS1866">
        <f t="shared" si="633"/>
        <v>2408</v>
      </c>
      <c r="AT1866" s="21">
        <f t="shared" si="634"/>
        <v>2413</v>
      </c>
      <c r="AU1866" s="21"/>
      <c r="AV1866" s="21"/>
      <c r="AW1866" s="21"/>
    </row>
    <row r="1867" spans="1:49" x14ac:dyDescent="0.2">
      <c r="A1867">
        <v>983</v>
      </c>
      <c r="E1867">
        <f t="shared" si="629"/>
        <v>3</v>
      </c>
      <c r="J1867" t="str">
        <f t="shared" si="636"/>
        <v>13</v>
      </c>
      <c r="K1867" t="str">
        <f t="shared" si="637"/>
        <v>47</v>
      </c>
      <c r="L1867" t="str">
        <f t="shared" si="638"/>
        <v/>
      </c>
      <c r="M1867" s="6" t="str">
        <f t="shared" si="639"/>
        <v/>
      </c>
      <c r="N1867" t="str">
        <f t="shared" si="635"/>
        <v>Home</v>
      </c>
      <c r="O1867">
        <v>42</v>
      </c>
      <c r="P1867" t="s">
        <v>425</v>
      </c>
      <c r="Y1867" t="str">
        <f t="shared" si="622"/>
        <v/>
      </c>
      <c r="Z1867" t="str">
        <f t="shared" si="623"/>
        <v/>
      </c>
      <c r="AC1867" t="str">
        <f t="shared" si="619"/>
        <v>Turnover</v>
      </c>
      <c r="AD1867" t="str">
        <f t="shared" si="620"/>
        <v>Turnover_Takeaway</v>
      </c>
      <c r="AE1867" t="str">
        <f t="shared" si="621"/>
        <v>Takeaway-PokeCheck</v>
      </c>
      <c r="AF1867" t="str">
        <f t="shared" si="624"/>
        <v>Offensive</v>
      </c>
      <c r="AG1867">
        <f t="shared" si="630"/>
        <v>18981</v>
      </c>
      <c r="AH1867" t="str">
        <f t="shared" si="631"/>
        <v>Nelson</v>
      </c>
      <c r="AI1867" t="str">
        <f t="shared" si="632"/>
        <v>Velodrome</v>
      </c>
      <c r="AJ1867" s="18">
        <f t="shared" si="625"/>
        <v>0</v>
      </c>
      <c r="AP1867" s="18">
        <f t="shared" si="626"/>
        <v>0</v>
      </c>
      <c r="AQ1867">
        <f t="shared" si="627"/>
        <v>2160</v>
      </c>
      <c r="AR1867" s="23">
        <f t="shared" si="628"/>
        <v>2413</v>
      </c>
      <c r="AS1867">
        <f t="shared" si="633"/>
        <v>2408</v>
      </c>
      <c r="AT1867" s="21">
        <f t="shared" si="634"/>
        <v>2413</v>
      </c>
      <c r="AU1867" s="21"/>
      <c r="AV1867" s="21"/>
      <c r="AW1867" s="21"/>
    </row>
    <row r="1868" spans="1:49" x14ac:dyDescent="0.2">
      <c r="A1868">
        <v>984</v>
      </c>
      <c r="E1868">
        <f t="shared" si="629"/>
        <v>3</v>
      </c>
      <c r="F1868" s="5" t="s">
        <v>488</v>
      </c>
      <c r="G1868" s="5" t="s">
        <v>518</v>
      </c>
      <c r="H1868" s="5" t="s">
        <v>488</v>
      </c>
      <c r="I1868" s="7" t="s">
        <v>516</v>
      </c>
      <c r="J1868" t="str">
        <f t="shared" si="636"/>
        <v>13</v>
      </c>
      <c r="K1868" t="str">
        <f t="shared" si="637"/>
        <v>46</v>
      </c>
      <c r="L1868" t="str">
        <f t="shared" si="638"/>
        <v>13</v>
      </c>
      <c r="M1868" s="6" t="str">
        <f t="shared" si="639"/>
        <v>44</v>
      </c>
      <c r="N1868" t="s">
        <v>178</v>
      </c>
      <c r="O1868">
        <v>37</v>
      </c>
      <c r="P1868" t="s">
        <v>424</v>
      </c>
      <c r="Q1868" t="s">
        <v>15</v>
      </c>
      <c r="Y1868" t="str">
        <f t="shared" si="622"/>
        <v/>
      </c>
      <c r="Z1868" t="str">
        <f t="shared" si="623"/>
        <v/>
      </c>
      <c r="AC1868" t="str">
        <f t="shared" si="619"/>
        <v>Possession</v>
      </c>
      <c r="AD1868" t="str">
        <f t="shared" si="620"/>
        <v/>
      </c>
      <c r="AE1868" t="str">
        <f t="shared" si="621"/>
        <v/>
      </c>
      <c r="AF1868" t="str">
        <f t="shared" si="624"/>
        <v>Offensive</v>
      </c>
      <c r="AG1868">
        <f t="shared" si="630"/>
        <v>18981</v>
      </c>
      <c r="AH1868" t="str">
        <f t="shared" si="631"/>
        <v>Nelson</v>
      </c>
      <c r="AI1868" t="str">
        <f t="shared" si="632"/>
        <v>Velodrome</v>
      </c>
      <c r="AJ1868" s="18">
        <f t="shared" si="625"/>
        <v>2</v>
      </c>
      <c r="AP1868" s="18">
        <f t="shared" si="626"/>
        <v>0</v>
      </c>
      <c r="AQ1868">
        <f t="shared" si="627"/>
        <v>2160</v>
      </c>
      <c r="AR1868" s="23">
        <f t="shared" si="628"/>
        <v>2414</v>
      </c>
      <c r="AS1868">
        <f t="shared" si="633"/>
        <v>2409</v>
      </c>
      <c r="AT1868" s="21">
        <f t="shared" si="634"/>
        <v>2416</v>
      </c>
      <c r="AU1868" s="21"/>
      <c r="AV1868" s="21"/>
      <c r="AW1868" s="21"/>
    </row>
    <row r="1869" spans="1:49" x14ac:dyDescent="0.2">
      <c r="A1869">
        <v>984</v>
      </c>
      <c r="E1869">
        <f t="shared" si="629"/>
        <v>3</v>
      </c>
      <c r="J1869" t="str">
        <f t="shared" si="636"/>
        <v>13</v>
      </c>
      <c r="K1869" t="str">
        <f t="shared" si="637"/>
        <v>46</v>
      </c>
      <c r="L1869" t="str">
        <f t="shared" si="638"/>
        <v>13</v>
      </c>
      <c r="M1869" s="6" t="str">
        <f t="shared" si="639"/>
        <v>44</v>
      </c>
      <c r="N1869" t="str">
        <f t="shared" si="635"/>
        <v>Home</v>
      </c>
      <c r="O1869">
        <v>42</v>
      </c>
      <c r="P1869" t="s">
        <v>425</v>
      </c>
      <c r="Y1869" t="str">
        <f t="shared" si="622"/>
        <v/>
      </c>
      <c r="Z1869" t="str">
        <f t="shared" si="623"/>
        <v/>
      </c>
      <c r="AC1869" t="str">
        <f t="shared" si="619"/>
        <v>Possession</v>
      </c>
      <c r="AD1869" t="str">
        <f t="shared" si="620"/>
        <v/>
      </c>
      <c r="AE1869" t="str">
        <f t="shared" si="621"/>
        <v/>
      </c>
      <c r="AF1869" t="str">
        <f t="shared" si="624"/>
        <v>Defensive</v>
      </c>
      <c r="AG1869">
        <f t="shared" si="630"/>
        <v>18981</v>
      </c>
      <c r="AH1869" t="str">
        <f t="shared" si="631"/>
        <v>Nelson</v>
      </c>
      <c r="AI1869" t="str">
        <f t="shared" si="632"/>
        <v>Velodrome</v>
      </c>
      <c r="AJ1869" s="18">
        <f t="shared" si="625"/>
        <v>2</v>
      </c>
      <c r="AP1869" s="18">
        <f t="shared" si="626"/>
        <v>0</v>
      </c>
      <c r="AQ1869">
        <f t="shared" si="627"/>
        <v>2160</v>
      </c>
      <c r="AR1869" s="23">
        <f t="shared" si="628"/>
        <v>2414</v>
      </c>
      <c r="AS1869">
        <f t="shared" si="633"/>
        <v>2409</v>
      </c>
      <c r="AT1869" s="21">
        <f t="shared" si="634"/>
        <v>2416</v>
      </c>
      <c r="AU1869" s="21"/>
      <c r="AV1869" s="21"/>
      <c r="AW1869" s="21"/>
    </row>
    <row r="1870" spans="1:49" x14ac:dyDescent="0.2">
      <c r="A1870">
        <v>985</v>
      </c>
      <c r="E1870">
        <f t="shared" si="629"/>
        <v>3</v>
      </c>
      <c r="F1870" s="5" t="s">
        <v>488</v>
      </c>
      <c r="G1870" s="5" t="s">
        <v>516</v>
      </c>
      <c r="J1870" t="str">
        <f t="shared" si="636"/>
        <v>13</v>
      </c>
      <c r="K1870" t="str">
        <f t="shared" si="637"/>
        <v>44</v>
      </c>
      <c r="L1870" t="str">
        <f t="shared" si="638"/>
        <v/>
      </c>
      <c r="M1870" s="6" t="str">
        <f t="shared" si="639"/>
        <v/>
      </c>
      <c r="N1870" t="s">
        <v>178</v>
      </c>
      <c r="O1870">
        <v>37</v>
      </c>
      <c r="P1870" t="s">
        <v>424</v>
      </c>
      <c r="Q1870" t="s">
        <v>10</v>
      </c>
      <c r="R1870" t="s">
        <v>190</v>
      </c>
      <c r="S1870" t="s">
        <v>422</v>
      </c>
      <c r="Y1870" t="str">
        <f t="shared" si="622"/>
        <v/>
      </c>
      <c r="Z1870" t="str">
        <f t="shared" si="623"/>
        <v/>
      </c>
      <c r="AC1870" t="str">
        <f t="shared" si="619"/>
        <v>Turnover</v>
      </c>
      <c r="AD1870" t="str">
        <f t="shared" si="620"/>
        <v>Turnover_Giveaway</v>
      </c>
      <c r="AE1870" t="str">
        <f t="shared" si="621"/>
        <v>Giveaway-AttemptedZoneClear/Dump</v>
      </c>
      <c r="AF1870" t="str">
        <f t="shared" si="624"/>
        <v>Offensive</v>
      </c>
      <c r="AG1870">
        <f t="shared" si="630"/>
        <v>18981</v>
      </c>
      <c r="AH1870" t="str">
        <f t="shared" si="631"/>
        <v>Nelson</v>
      </c>
      <c r="AI1870" t="str">
        <f t="shared" si="632"/>
        <v>Velodrome</v>
      </c>
      <c r="AJ1870" s="18">
        <f t="shared" si="625"/>
        <v>0</v>
      </c>
      <c r="AP1870" s="18">
        <f t="shared" si="626"/>
        <v>0</v>
      </c>
      <c r="AQ1870">
        <f t="shared" si="627"/>
        <v>2160</v>
      </c>
      <c r="AR1870" s="23">
        <f t="shared" si="628"/>
        <v>2416</v>
      </c>
      <c r="AS1870">
        <f t="shared" si="633"/>
        <v>2411</v>
      </c>
      <c r="AT1870" s="21">
        <f t="shared" si="634"/>
        <v>2416</v>
      </c>
      <c r="AU1870" s="21"/>
      <c r="AV1870" s="21"/>
      <c r="AW1870" s="21"/>
    </row>
    <row r="1871" spans="1:49" x14ac:dyDescent="0.2">
      <c r="A1871">
        <v>986</v>
      </c>
      <c r="E1871">
        <f t="shared" si="629"/>
        <v>3</v>
      </c>
      <c r="F1871" s="5" t="s">
        <v>488</v>
      </c>
      <c r="G1871" s="5" t="s">
        <v>516</v>
      </c>
      <c r="J1871" t="str">
        <f t="shared" si="636"/>
        <v>13</v>
      </c>
      <c r="K1871" t="str">
        <f t="shared" si="637"/>
        <v>44</v>
      </c>
      <c r="L1871" t="str">
        <f t="shared" si="638"/>
        <v/>
      </c>
      <c r="M1871" s="6" t="str">
        <f t="shared" si="639"/>
        <v/>
      </c>
      <c r="N1871" t="s">
        <v>179</v>
      </c>
      <c r="O1871">
        <v>9</v>
      </c>
      <c r="P1871" t="s">
        <v>424</v>
      </c>
      <c r="Q1871" t="s">
        <v>277</v>
      </c>
      <c r="R1871" t="s">
        <v>210</v>
      </c>
      <c r="S1871" t="s">
        <v>93</v>
      </c>
      <c r="Y1871" t="str">
        <f t="shared" si="622"/>
        <v/>
      </c>
      <c r="Z1871" t="str">
        <f t="shared" si="623"/>
        <v/>
      </c>
      <c r="AC1871" t="str">
        <f t="shared" si="619"/>
        <v>Zone_Entry_Exit</v>
      </c>
      <c r="AD1871" t="str">
        <f t="shared" si="620"/>
        <v>Zone_Keepin</v>
      </c>
      <c r="AE1871" t="str">
        <f t="shared" si="621"/>
        <v>Zone-KeepIn</v>
      </c>
      <c r="AF1871" t="str">
        <f t="shared" si="624"/>
        <v>Offensive</v>
      </c>
      <c r="AG1871">
        <f t="shared" si="630"/>
        <v>18981</v>
      </c>
      <c r="AH1871" t="str">
        <f t="shared" si="631"/>
        <v>Nelson</v>
      </c>
      <c r="AI1871" t="str">
        <f t="shared" si="632"/>
        <v>Velodrome</v>
      </c>
      <c r="AJ1871" s="18">
        <f t="shared" si="625"/>
        <v>0</v>
      </c>
      <c r="AP1871" s="18">
        <f t="shared" si="626"/>
        <v>0</v>
      </c>
      <c r="AQ1871">
        <f t="shared" si="627"/>
        <v>2160</v>
      </c>
      <c r="AR1871" s="23">
        <f t="shared" si="628"/>
        <v>2416</v>
      </c>
      <c r="AS1871">
        <f t="shared" si="633"/>
        <v>2411</v>
      </c>
      <c r="AT1871" s="21">
        <f t="shared" si="634"/>
        <v>2416</v>
      </c>
      <c r="AU1871" s="21"/>
      <c r="AV1871" s="21"/>
      <c r="AW1871" s="21"/>
    </row>
    <row r="1872" spans="1:49" x14ac:dyDescent="0.2">
      <c r="A1872">
        <v>986</v>
      </c>
      <c r="E1872">
        <f t="shared" si="629"/>
        <v>3</v>
      </c>
      <c r="J1872" t="str">
        <f t="shared" si="636"/>
        <v>13</v>
      </c>
      <c r="K1872" t="str">
        <f t="shared" si="637"/>
        <v>44</v>
      </c>
      <c r="L1872" t="str">
        <f t="shared" si="638"/>
        <v/>
      </c>
      <c r="M1872" s="6" t="str">
        <f t="shared" si="639"/>
        <v/>
      </c>
      <c r="N1872" t="str">
        <f t="shared" si="635"/>
        <v>Away</v>
      </c>
      <c r="O1872">
        <v>44</v>
      </c>
      <c r="P1872" t="s">
        <v>425</v>
      </c>
      <c r="Y1872" t="str">
        <f t="shared" si="622"/>
        <v/>
      </c>
      <c r="Z1872" t="str">
        <f t="shared" si="623"/>
        <v/>
      </c>
      <c r="AC1872" t="str">
        <f t="shared" si="619"/>
        <v>Zone_Entry_Exit</v>
      </c>
      <c r="AD1872" t="str">
        <f t="shared" si="620"/>
        <v>Zone_Keepin</v>
      </c>
      <c r="AE1872" t="str">
        <f t="shared" si="621"/>
        <v>Zone-KeepIn</v>
      </c>
      <c r="AF1872" t="str">
        <f t="shared" si="624"/>
        <v>Defensive</v>
      </c>
      <c r="AG1872">
        <f t="shared" si="630"/>
        <v>18981</v>
      </c>
      <c r="AH1872" t="str">
        <f t="shared" si="631"/>
        <v>Nelson</v>
      </c>
      <c r="AI1872" t="str">
        <f t="shared" si="632"/>
        <v>Velodrome</v>
      </c>
      <c r="AJ1872" s="18">
        <f t="shared" si="625"/>
        <v>0</v>
      </c>
      <c r="AP1872" s="18">
        <f t="shared" si="626"/>
        <v>0</v>
      </c>
      <c r="AQ1872">
        <f t="shared" si="627"/>
        <v>2160</v>
      </c>
      <c r="AR1872" s="23">
        <f t="shared" si="628"/>
        <v>2416</v>
      </c>
      <c r="AS1872">
        <f t="shared" si="633"/>
        <v>2411</v>
      </c>
      <c r="AT1872" s="21">
        <f t="shared" si="634"/>
        <v>2416</v>
      </c>
      <c r="AU1872" s="21"/>
      <c r="AV1872" s="21"/>
      <c r="AW1872" s="21"/>
    </row>
    <row r="1873" spans="1:49" x14ac:dyDescent="0.2">
      <c r="A1873">
        <v>987</v>
      </c>
      <c r="E1873">
        <f t="shared" si="629"/>
        <v>3</v>
      </c>
      <c r="F1873" s="5" t="s">
        <v>488</v>
      </c>
      <c r="G1873" s="5" t="s">
        <v>516</v>
      </c>
      <c r="H1873" s="5" t="s">
        <v>488</v>
      </c>
      <c r="I1873" s="7" t="s">
        <v>514</v>
      </c>
      <c r="J1873" t="str">
        <f t="shared" si="636"/>
        <v>13</v>
      </c>
      <c r="K1873" t="str">
        <f t="shared" si="637"/>
        <v>44</v>
      </c>
      <c r="L1873" t="str">
        <f t="shared" si="638"/>
        <v>13</v>
      </c>
      <c r="M1873" s="6" t="str">
        <f t="shared" si="639"/>
        <v>42</v>
      </c>
      <c r="N1873" t="s">
        <v>179</v>
      </c>
      <c r="O1873">
        <v>9</v>
      </c>
      <c r="P1873" t="s">
        <v>424</v>
      </c>
      <c r="Q1873" t="s">
        <v>15</v>
      </c>
      <c r="Y1873" t="str">
        <f t="shared" si="622"/>
        <v/>
      </c>
      <c r="Z1873" t="str">
        <f t="shared" si="623"/>
        <v/>
      </c>
      <c r="AC1873" t="str">
        <f t="shared" si="619"/>
        <v>Possession</v>
      </c>
      <c r="AD1873" t="str">
        <f t="shared" si="620"/>
        <v/>
      </c>
      <c r="AE1873" t="str">
        <f t="shared" si="621"/>
        <v/>
      </c>
      <c r="AF1873" t="str">
        <f t="shared" si="624"/>
        <v>Offensive</v>
      </c>
      <c r="AG1873">
        <f t="shared" si="630"/>
        <v>18981</v>
      </c>
      <c r="AH1873" t="str">
        <f t="shared" si="631"/>
        <v>Nelson</v>
      </c>
      <c r="AI1873" t="str">
        <f t="shared" si="632"/>
        <v>Velodrome</v>
      </c>
      <c r="AJ1873" s="18">
        <f t="shared" si="625"/>
        <v>2</v>
      </c>
      <c r="AP1873" s="18">
        <f t="shared" si="626"/>
        <v>0</v>
      </c>
      <c r="AQ1873">
        <f t="shared" si="627"/>
        <v>2160</v>
      </c>
      <c r="AR1873" s="23">
        <f t="shared" si="628"/>
        <v>2416</v>
      </c>
      <c r="AS1873">
        <f t="shared" si="633"/>
        <v>2411</v>
      </c>
      <c r="AT1873" s="21">
        <f t="shared" si="634"/>
        <v>2418</v>
      </c>
      <c r="AU1873" s="21"/>
      <c r="AV1873" s="21"/>
      <c r="AW1873" s="21"/>
    </row>
    <row r="1874" spans="1:49" x14ac:dyDescent="0.2">
      <c r="A1874">
        <v>987</v>
      </c>
      <c r="E1874">
        <f t="shared" si="629"/>
        <v>3</v>
      </c>
      <c r="J1874" t="str">
        <f t="shared" si="636"/>
        <v>13</v>
      </c>
      <c r="K1874" t="str">
        <f t="shared" si="637"/>
        <v>44</v>
      </c>
      <c r="L1874" t="str">
        <f t="shared" si="638"/>
        <v>13</v>
      </c>
      <c r="M1874" s="6" t="str">
        <f t="shared" si="639"/>
        <v>42</v>
      </c>
      <c r="N1874" t="str">
        <f t="shared" si="635"/>
        <v>Away</v>
      </c>
      <c r="O1874">
        <v>44</v>
      </c>
      <c r="P1874" t="s">
        <v>425</v>
      </c>
      <c r="Y1874" t="str">
        <f t="shared" si="622"/>
        <v/>
      </c>
      <c r="Z1874" t="str">
        <f t="shared" si="623"/>
        <v/>
      </c>
      <c r="AC1874" t="str">
        <f t="shared" si="619"/>
        <v>Possession</v>
      </c>
      <c r="AD1874" t="str">
        <f t="shared" si="620"/>
        <v/>
      </c>
      <c r="AE1874" t="str">
        <f t="shared" si="621"/>
        <v/>
      </c>
      <c r="AF1874" t="str">
        <f t="shared" si="624"/>
        <v>Defensive</v>
      </c>
      <c r="AG1874">
        <f t="shared" si="630"/>
        <v>18981</v>
      </c>
      <c r="AH1874" t="str">
        <f t="shared" si="631"/>
        <v>Nelson</v>
      </c>
      <c r="AI1874" t="str">
        <f t="shared" si="632"/>
        <v>Velodrome</v>
      </c>
      <c r="AJ1874" s="18">
        <f t="shared" si="625"/>
        <v>2</v>
      </c>
      <c r="AP1874" s="18">
        <f t="shared" si="626"/>
        <v>0</v>
      </c>
      <c r="AQ1874">
        <f t="shared" si="627"/>
        <v>2160</v>
      </c>
      <c r="AR1874" s="23">
        <f t="shared" si="628"/>
        <v>2416</v>
      </c>
      <c r="AS1874">
        <f t="shared" si="633"/>
        <v>2411</v>
      </c>
      <c r="AT1874" s="21">
        <f t="shared" si="634"/>
        <v>2418</v>
      </c>
      <c r="AU1874" s="21"/>
      <c r="AV1874" s="21"/>
      <c r="AW1874" s="21"/>
    </row>
    <row r="1875" spans="1:49" x14ac:dyDescent="0.2">
      <c r="A1875">
        <v>988</v>
      </c>
      <c r="E1875">
        <f t="shared" si="629"/>
        <v>3</v>
      </c>
      <c r="F1875" s="5" t="s">
        <v>488</v>
      </c>
      <c r="G1875" s="5" t="s">
        <v>514</v>
      </c>
      <c r="J1875" t="str">
        <f t="shared" si="636"/>
        <v>13</v>
      </c>
      <c r="K1875" t="str">
        <f t="shared" si="637"/>
        <v>42</v>
      </c>
      <c r="L1875" t="str">
        <f t="shared" si="638"/>
        <v/>
      </c>
      <c r="M1875" s="6" t="str">
        <f t="shared" si="639"/>
        <v/>
      </c>
      <c r="N1875" t="s">
        <v>179</v>
      </c>
      <c r="O1875">
        <v>9</v>
      </c>
      <c r="P1875" t="s">
        <v>424</v>
      </c>
      <c r="Q1875" t="s">
        <v>7</v>
      </c>
      <c r="R1875" t="s">
        <v>208</v>
      </c>
      <c r="S1875" t="s">
        <v>53</v>
      </c>
      <c r="Y1875" t="str">
        <f t="shared" si="622"/>
        <v/>
      </c>
      <c r="Z1875" t="str">
        <f t="shared" si="623"/>
        <v/>
      </c>
      <c r="AC1875" t="str">
        <f t="shared" si="619"/>
        <v>Shot</v>
      </c>
      <c r="AD1875" t="str">
        <f t="shared" si="620"/>
        <v>Shot_Blocked</v>
      </c>
      <c r="AE1875" t="str">
        <f t="shared" si="621"/>
        <v>Shot-Wrist</v>
      </c>
      <c r="AF1875" t="str">
        <f t="shared" si="624"/>
        <v>Offensive</v>
      </c>
      <c r="AG1875">
        <f t="shared" si="630"/>
        <v>18981</v>
      </c>
      <c r="AH1875" t="str">
        <f t="shared" si="631"/>
        <v>Nelson</v>
      </c>
      <c r="AI1875" t="str">
        <f t="shared" si="632"/>
        <v>Velodrome</v>
      </c>
      <c r="AJ1875" s="18">
        <f t="shared" si="625"/>
        <v>0</v>
      </c>
      <c r="AP1875" s="18">
        <f t="shared" si="626"/>
        <v>0</v>
      </c>
      <c r="AQ1875">
        <f t="shared" si="627"/>
        <v>2160</v>
      </c>
      <c r="AR1875" s="23">
        <f t="shared" si="628"/>
        <v>2418</v>
      </c>
      <c r="AS1875">
        <f t="shared" si="633"/>
        <v>2413</v>
      </c>
      <c r="AT1875" s="21">
        <f t="shared" si="634"/>
        <v>2418</v>
      </c>
      <c r="AU1875" s="21"/>
      <c r="AV1875" s="21"/>
      <c r="AW1875" s="21"/>
    </row>
    <row r="1876" spans="1:49" x14ac:dyDescent="0.2">
      <c r="A1876">
        <v>988</v>
      </c>
      <c r="E1876">
        <f t="shared" si="629"/>
        <v>3</v>
      </c>
      <c r="J1876" t="str">
        <f t="shared" si="636"/>
        <v>13</v>
      </c>
      <c r="K1876" t="str">
        <f t="shared" si="637"/>
        <v>42</v>
      </c>
      <c r="L1876" t="str">
        <f t="shared" si="638"/>
        <v/>
      </c>
      <c r="M1876" s="6" t="str">
        <f t="shared" si="639"/>
        <v/>
      </c>
      <c r="N1876" t="str">
        <f t="shared" si="635"/>
        <v>Away</v>
      </c>
      <c r="O1876">
        <v>44</v>
      </c>
      <c r="P1876" t="s">
        <v>425</v>
      </c>
      <c r="Y1876" t="str">
        <f t="shared" si="622"/>
        <v/>
      </c>
      <c r="Z1876" t="str">
        <f t="shared" si="623"/>
        <v/>
      </c>
      <c r="AC1876" t="str">
        <f t="shared" si="619"/>
        <v>Shot</v>
      </c>
      <c r="AD1876" t="str">
        <f t="shared" si="620"/>
        <v>Shot_Blocked</v>
      </c>
      <c r="AE1876" t="str">
        <f t="shared" si="621"/>
        <v>Shot-Wrist</v>
      </c>
      <c r="AF1876" t="str">
        <f t="shared" si="624"/>
        <v>Defensive</v>
      </c>
      <c r="AG1876">
        <f t="shared" si="630"/>
        <v>18981</v>
      </c>
      <c r="AH1876" t="str">
        <f t="shared" si="631"/>
        <v>Nelson</v>
      </c>
      <c r="AI1876" t="str">
        <f t="shared" si="632"/>
        <v>Velodrome</v>
      </c>
      <c r="AJ1876" s="18">
        <f t="shared" si="625"/>
        <v>0</v>
      </c>
      <c r="AP1876" s="18">
        <f t="shared" si="626"/>
        <v>0</v>
      </c>
      <c r="AQ1876">
        <f t="shared" si="627"/>
        <v>2160</v>
      </c>
      <c r="AR1876" s="23">
        <f t="shared" si="628"/>
        <v>2418</v>
      </c>
      <c r="AS1876">
        <f t="shared" si="633"/>
        <v>2413</v>
      </c>
      <c r="AT1876" s="21">
        <f t="shared" si="634"/>
        <v>2418</v>
      </c>
      <c r="AU1876" s="21"/>
      <c r="AV1876" s="21"/>
      <c r="AW1876" s="21"/>
    </row>
    <row r="1877" spans="1:49" x14ac:dyDescent="0.2">
      <c r="A1877">
        <v>989</v>
      </c>
      <c r="E1877">
        <f t="shared" si="629"/>
        <v>3</v>
      </c>
      <c r="F1877" s="5" t="s">
        <v>488</v>
      </c>
      <c r="G1877" s="5" t="s">
        <v>513</v>
      </c>
      <c r="H1877" s="5" t="s">
        <v>488</v>
      </c>
      <c r="I1877" s="7" t="s">
        <v>511</v>
      </c>
      <c r="J1877" t="str">
        <f t="shared" si="636"/>
        <v>13</v>
      </c>
      <c r="K1877" t="str">
        <f t="shared" si="637"/>
        <v>41</v>
      </c>
      <c r="L1877" t="str">
        <f t="shared" si="638"/>
        <v>13</v>
      </c>
      <c r="M1877" s="6" t="str">
        <f t="shared" si="639"/>
        <v>39</v>
      </c>
      <c r="N1877" t="s">
        <v>179</v>
      </c>
      <c r="O1877">
        <v>24</v>
      </c>
      <c r="P1877" t="s">
        <v>424</v>
      </c>
      <c r="Q1877" t="s">
        <v>15</v>
      </c>
      <c r="Y1877" t="str">
        <f t="shared" si="622"/>
        <v/>
      </c>
      <c r="Z1877" t="str">
        <f t="shared" si="623"/>
        <v/>
      </c>
      <c r="AC1877" t="str">
        <f t="shared" si="619"/>
        <v>Possession</v>
      </c>
      <c r="AD1877" t="str">
        <f t="shared" si="620"/>
        <v/>
      </c>
      <c r="AE1877" t="str">
        <f t="shared" si="621"/>
        <v/>
      </c>
      <c r="AF1877" t="str">
        <f t="shared" si="624"/>
        <v>Offensive</v>
      </c>
      <c r="AG1877">
        <f t="shared" si="630"/>
        <v>18981</v>
      </c>
      <c r="AH1877" t="str">
        <f t="shared" si="631"/>
        <v>Nelson</v>
      </c>
      <c r="AI1877" t="str">
        <f t="shared" si="632"/>
        <v>Velodrome</v>
      </c>
      <c r="AJ1877" s="18">
        <f t="shared" si="625"/>
        <v>2</v>
      </c>
      <c r="AP1877" s="18">
        <f t="shared" si="626"/>
        <v>0</v>
      </c>
      <c r="AQ1877">
        <f t="shared" si="627"/>
        <v>2160</v>
      </c>
      <c r="AR1877" s="23">
        <f t="shared" si="628"/>
        <v>2419</v>
      </c>
      <c r="AS1877">
        <f t="shared" si="633"/>
        <v>2414</v>
      </c>
      <c r="AT1877" s="21">
        <f t="shared" si="634"/>
        <v>2421</v>
      </c>
      <c r="AU1877" s="21"/>
      <c r="AV1877" s="21"/>
      <c r="AW1877" s="21"/>
    </row>
    <row r="1878" spans="1:49" x14ac:dyDescent="0.2">
      <c r="A1878">
        <v>989</v>
      </c>
      <c r="E1878">
        <f t="shared" si="629"/>
        <v>3</v>
      </c>
      <c r="J1878" t="str">
        <f t="shared" si="636"/>
        <v>13</v>
      </c>
      <c r="K1878" t="str">
        <f t="shared" si="637"/>
        <v>41</v>
      </c>
      <c r="L1878" t="str">
        <f t="shared" si="638"/>
        <v>13</v>
      </c>
      <c r="M1878" s="6" t="str">
        <f t="shared" si="639"/>
        <v>39</v>
      </c>
      <c r="N1878" t="str">
        <f t="shared" si="635"/>
        <v>Away</v>
      </c>
      <c r="O1878">
        <v>37</v>
      </c>
      <c r="P1878" t="s">
        <v>425</v>
      </c>
      <c r="Y1878" t="str">
        <f t="shared" si="622"/>
        <v/>
      </c>
      <c r="Z1878" t="str">
        <f t="shared" si="623"/>
        <v/>
      </c>
      <c r="AC1878" t="str">
        <f t="shared" si="619"/>
        <v>Possession</v>
      </c>
      <c r="AD1878" t="str">
        <f t="shared" si="620"/>
        <v/>
      </c>
      <c r="AE1878" t="str">
        <f t="shared" si="621"/>
        <v/>
      </c>
      <c r="AF1878" t="str">
        <f t="shared" si="624"/>
        <v>Defensive</v>
      </c>
      <c r="AG1878">
        <f t="shared" si="630"/>
        <v>18981</v>
      </c>
      <c r="AH1878" t="str">
        <f t="shared" si="631"/>
        <v>Nelson</v>
      </c>
      <c r="AI1878" t="str">
        <f t="shared" si="632"/>
        <v>Velodrome</v>
      </c>
      <c r="AJ1878" s="18">
        <f t="shared" si="625"/>
        <v>2</v>
      </c>
      <c r="AP1878" s="18">
        <f t="shared" si="626"/>
        <v>0</v>
      </c>
      <c r="AQ1878">
        <f t="shared" si="627"/>
        <v>2160</v>
      </c>
      <c r="AR1878" s="23">
        <f t="shared" si="628"/>
        <v>2419</v>
      </c>
      <c r="AS1878">
        <f t="shared" si="633"/>
        <v>2414</v>
      </c>
      <c r="AT1878" s="21">
        <f t="shared" si="634"/>
        <v>2421</v>
      </c>
      <c r="AU1878" s="21"/>
      <c r="AV1878" s="21"/>
      <c r="AW1878" s="21"/>
    </row>
    <row r="1879" spans="1:49" x14ac:dyDescent="0.2">
      <c r="A1879">
        <v>990</v>
      </c>
      <c r="E1879">
        <f t="shared" si="629"/>
        <v>3</v>
      </c>
      <c r="F1879" s="5" t="s">
        <v>488</v>
      </c>
      <c r="G1879" s="5" t="s">
        <v>511</v>
      </c>
      <c r="J1879" t="str">
        <f t="shared" si="636"/>
        <v>13</v>
      </c>
      <c r="K1879" t="str">
        <f t="shared" si="637"/>
        <v>39</v>
      </c>
      <c r="L1879" t="str">
        <f t="shared" si="638"/>
        <v/>
      </c>
      <c r="M1879" s="6" t="str">
        <f t="shared" si="639"/>
        <v/>
      </c>
      <c r="N1879" t="s">
        <v>179</v>
      </c>
      <c r="O1879">
        <v>24</v>
      </c>
      <c r="P1879" t="s">
        <v>424</v>
      </c>
      <c r="Q1879" t="s">
        <v>8</v>
      </c>
      <c r="R1879" t="s">
        <v>209</v>
      </c>
      <c r="S1879" t="s">
        <v>70</v>
      </c>
      <c r="Y1879" t="str">
        <f t="shared" si="622"/>
        <v/>
      </c>
      <c r="Z1879" t="str">
        <f t="shared" si="623"/>
        <v/>
      </c>
      <c r="AC1879" t="str">
        <f t="shared" si="619"/>
        <v>Pass</v>
      </c>
      <c r="AD1879" t="str">
        <f t="shared" si="620"/>
        <v>Pass_Deflected</v>
      </c>
      <c r="AE1879" t="str">
        <f t="shared" si="621"/>
        <v>Pass-Forehand</v>
      </c>
      <c r="AF1879" t="str">
        <f t="shared" si="624"/>
        <v>Offensive</v>
      </c>
      <c r="AG1879">
        <f t="shared" si="630"/>
        <v>18981</v>
      </c>
      <c r="AH1879" t="str">
        <f t="shared" si="631"/>
        <v>Nelson</v>
      </c>
      <c r="AI1879" t="str">
        <f t="shared" si="632"/>
        <v>Velodrome</v>
      </c>
      <c r="AJ1879" s="18">
        <f t="shared" si="625"/>
        <v>0</v>
      </c>
      <c r="AP1879" s="18">
        <f t="shared" si="626"/>
        <v>0</v>
      </c>
      <c r="AQ1879">
        <f t="shared" si="627"/>
        <v>2160</v>
      </c>
      <c r="AR1879" s="23">
        <f t="shared" si="628"/>
        <v>2421</v>
      </c>
      <c r="AS1879">
        <f t="shared" si="633"/>
        <v>2416</v>
      </c>
      <c r="AT1879" s="21">
        <f t="shared" si="634"/>
        <v>2421</v>
      </c>
      <c r="AU1879" s="21"/>
      <c r="AV1879" s="21"/>
      <c r="AW1879" s="21"/>
    </row>
    <row r="1880" spans="1:49" x14ac:dyDescent="0.2">
      <c r="A1880">
        <v>990</v>
      </c>
      <c r="E1880">
        <f t="shared" si="629"/>
        <v>3</v>
      </c>
      <c r="J1880" t="str">
        <f t="shared" si="636"/>
        <v>13</v>
      </c>
      <c r="K1880" t="str">
        <f t="shared" si="637"/>
        <v>39</v>
      </c>
      <c r="L1880" t="str">
        <f t="shared" si="638"/>
        <v/>
      </c>
      <c r="M1880" s="6" t="str">
        <f t="shared" si="639"/>
        <v/>
      </c>
      <c r="N1880" t="str">
        <f t="shared" si="635"/>
        <v>Away</v>
      </c>
      <c r="O1880">
        <v>42</v>
      </c>
      <c r="P1880" t="s">
        <v>424</v>
      </c>
      <c r="Y1880" t="str">
        <f t="shared" si="622"/>
        <v/>
      </c>
      <c r="Z1880" t="str">
        <f t="shared" si="623"/>
        <v/>
      </c>
      <c r="AC1880" t="str">
        <f t="shared" si="619"/>
        <v>Pass</v>
      </c>
      <c r="AD1880" t="str">
        <f t="shared" si="620"/>
        <v>Pass_Deflected</v>
      </c>
      <c r="AE1880" t="str">
        <f t="shared" si="621"/>
        <v>Pass-Forehand</v>
      </c>
      <c r="AF1880" t="str">
        <f t="shared" si="624"/>
        <v>Offensive</v>
      </c>
      <c r="AG1880">
        <f t="shared" si="630"/>
        <v>18981</v>
      </c>
      <c r="AH1880" t="str">
        <f t="shared" si="631"/>
        <v>Nelson</v>
      </c>
      <c r="AI1880" t="str">
        <f t="shared" si="632"/>
        <v>Velodrome</v>
      </c>
      <c r="AJ1880" s="18">
        <f t="shared" si="625"/>
        <v>0</v>
      </c>
      <c r="AP1880" s="18">
        <f t="shared" si="626"/>
        <v>0</v>
      </c>
      <c r="AQ1880">
        <f t="shared" si="627"/>
        <v>2160</v>
      </c>
      <c r="AR1880" s="23">
        <f t="shared" si="628"/>
        <v>2421</v>
      </c>
      <c r="AS1880">
        <f t="shared" si="633"/>
        <v>2416</v>
      </c>
      <c r="AT1880" s="21">
        <f t="shared" si="634"/>
        <v>2421</v>
      </c>
      <c r="AU1880" s="21"/>
      <c r="AV1880" s="21"/>
      <c r="AW1880" s="21"/>
    </row>
    <row r="1881" spans="1:49" x14ac:dyDescent="0.2">
      <c r="A1881">
        <v>990</v>
      </c>
      <c r="E1881">
        <f t="shared" si="629"/>
        <v>3</v>
      </c>
      <c r="J1881" t="str">
        <f t="shared" si="636"/>
        <v>13</v>
      </c>
      <c r="K1881" t="str">
        <f t="shared" si="637"/>
        <v>39</v>
      </c>
      <c r="L1881" t="str">
        <f t="shared" si="638"/>
        <v/>
      </c>
      <c r="M1881" s="6" t="str">
        <f t="shared" si="639"/>
        <v/>
      </c>
      <c r="N1881" t="str">
        <f t="shared" si="635"/>
        <v>Away</v>
      </c>
      <c r="O1881">
        <v>37</v>
      </c>
      <c r="P1881" t="s">
        <v>425</v>
      </c>
      <c r="Y1881" t="str">
        <f t="shared" si="622"/>
        <v/>
      </c>
      <c r="Z1881" t="str">
        <f t="shared" si="623"/>
        <v/>
      </c>
      <c r="AC1881" t="str">
        <f t="shared" si="619"/>
        <v>Pass</v>
      </c>
      <c r="AD1881" t="str">
        <f t="shared" si="620"/>
        <v>Pass_Deflected</v>
      </c>
      <c r="AE1881" t="str">
        <f t="shared" si="621"/>
        <v>Pass-Forehand</v>
      </c>
      <c r="AF1881" t="str">
        <f t="shared" si="624"/>
        <v>Defensive</v>
      </c>
      <c r="AG1881">
        <f t="shared" si="630"/>
        <v>18981</v>
      </c>
      <c r="AH1881" t="str">
        <f t="shared" si="631"/>
        <v>Nelson</v>
      </c>
      <c r="AI1881" t="str">
        <f t="shared" si="632"/>
        <v>Velodrome</v>
      </c>
      <c r="AJ1881" s="18">
        <f t="shared" si="625"/>
        <v>0</v>
      </c>
      <c r="AP1881" s="18">
        <f t="shared" si="626"/>
        <v>0</v>
      </c>
      <c r="AQ1881">
        <f t="shared" si="627"/>
        <v>2160</v>
      </c>
      <c r="AR1881" s="23">
        <f t="shared" si="628"/>
        <v>2421</v>
      </c>
      <c r="AS1881">
        <f t="shared" si="633"/>
        <v>2416</v>
      </c>
      <c r="AT1881" s="21">
        <f t="shared" si="634"/>
        <v>2421</v>
      </c>
      <c r="AU1881" s="21"/>
      <c r="AV1881" s="21"/>
      <c r="AW1881" s="21"/>
    </row>
    <row r="1882" spans="1:49" x14ac:dyDescent="0.2">
      <c r="A1882">
        <v>991</v>
      </c>
      <c r="E1882">
        <f t="shared" si="629"/>
        <v>3</v>
      </c>
      <c r="F1882" s="5" t="s">
        <v>488</v>
      </c>
      <c r="G1882" s="5" t="s">
        <v>508</v>
      </c>
      <c r="H1882" s="5" t="s">
        <v>488</v>
      </c>
      <c r="I1882" s="7" t="s">
        <v>505</v>
      </c>
      <c r="J1882" t="str">
        <f t="shared" si="636"/>
        <v>13</v>
      </c>
      <c r="K1882" t="str">
        <f t="shared" si="637"/>
        <v>36</v>
      </c>
      <c r="L1882" t="str">
        <f t="shared" si="638"/>
        <v>13</v>
      </c>
      <c r="M1882" s="6" t="str">
        <f t="shared" si="639"/>
        <v>33</v>
      </c>
      <c r="N1882" t="s">
        <v>179</v>
      </c>
      <c r="O1882">
        <v>91</v>
      </c>
      <c r="P1882" t="s">
        <v>424</v>
      </c>
      <c r="Q1882" t="s">
        <v>15</v>
      </c>
      <c r="Y1882" t="str">
        <f t="shared" si="622"/>
        <v/>
      </c>
      <c r="Z1882" t="str">
        <f t="shared" si="623"/>
        <v/>
      </c>
      <c r="AC1882" t="str">
        <f t="shared" si="619"/>
        <v>Possession</v>
      </c>
      <c r="AD1882" t="str">
        <f t="shared" si="620"/>
        <v/>
      </c>
      <c r="AE1882" t="str">
        <f t="shared" si="621"/>
        <v/>
      </c>
      <c r="AF1882" t="str">
        <f t="shared" si="624"/>
        <v>Offensive</v>
      </c>
      <c r="AG1882">
        <f t="shared" si="630"/>
        <v>18981</v>
      </c>
      <c r="AH1882" t="str">
        <f t="shared" si="631"/>
        <v>Nelson</v>
      </c>
      <c r="AI1882" t="str">
        <f t="shared" si="632"/>
        <v>Velodrome</v>
      </c>
      <c r="AJ1882" s="18">
        <f t="shared" si="625"/>
        <v>3</v>
      </c>
      <c r="AP1882" s="18">
        <f t="shared" si="626"/>
        <v>0</v>
      </c>
      <c r="AQ1882">
        <f t="shared" si="627"/>
        <v>2160</v>
      </c>
      <c r="AR1882" s="23">
        <f t="shared" si="628"/>
        <v>2424</v>
      </c>
      <c r="AS1882">
        <f t="shared" si="633"/>
        <v>2419</v>
      </c>
      <c r="AT1882" s="21">
        <f t="shared" si="634"/>
        <v>2427</v>
      </c>
      <c r="AU1882" s="21"/>
      <c r="AV1882" s="21"/>
      <c r="AW1882" s="21"/>
    </row>
    <row r="1883" spans="1:49" x14ac:dyDescent="0.2">
      <c r="A1883">
        <v>992</v>
      </c>
      <c r="E1883">
        <f t="shared" si="629"/>
        <v>3</v>
      </c>
      <c r="F1883" s="5" t="s">
        <v>488</v>
      </c>
      <c r="G1883" s="5" t="s">
        <v>505</v>
      </c>
      <c r="J1883" t="str">
        <f t="shared" si="636"/>
        <v>13</v>
      </c>
      <c r="K1883" t="str">
        <f t="shared" si="637"/>
        <v>33</v>
      </c>
      <c r="L1883" t="str">
        <f t="shared" si="638"/>
        <v/>
      </c>
      <c r="M1883" s="6" t="str">
        <f t="shared" si="639"/>
        <v/>
      </c>
      <c r="N1883" t="s">
        <v>179</v>
      </c>
      <c r="O1883">
        <v>91</v>
      </c>
      <c r="P1883" t="s">
        <v>424</v>
      </c>
      <c r="Q1883" t="s">
        <v>10</v>
      </c>
      <c r="R1883" t="s">
        <v>190</v>
      </c>
      <c r="S1883" t="s">
        <v>448</v>
      </c>
      <c r="Y1883" t="str">
        <f t="shared" si="622"/>
        <v/>
      </c>
      <c r="Z1883" t="str">
        <f t="shared" si="623"/>
        <v/>
      </c>
      <c r="AC1883" t="str">
        <f t="shared" si="619"/>
        <v>Turnover</v>
      </c>
      <c r="AD1883" t="str">
        <f t="shared" si="620"/>
        <v>Turnover_Giveaway</v>
      </c>
      <c r="AE1883" t="str">
        <f t="shared" si="621"/>
        <v>Giveaway-DumpInZone</v>
      </c>
      <c r="AF1883" t="str">
        <f t="shared" si="624"/>
        <v>Offensive</v>
      </c>
      <c r="AG1883">
        <f t="shared" si="630"/>
        <v>18981</v>
      </c>
      <c r="AH1883" t="str">
        <f t="shared" si="631"/>
        <v>Nelson</v>
      </c>
      <c r="AI1883" t="str">
        <f t="shared" si="632"/>
        <v>Velodrome</v>
      </c>
      <c r="AJ1883" s="18">
        <f t="shared" si="625"/>
        <v>0</v>
      </c>
      <c r="AP1883" s="18">
        <f t="shared" si="626"/>
        <v>0</v>
      </c>
      <c r="AQ1883">
        <f t="shared" si="627"/>
        <v>2160</v>
      </c>
      <c r="AR1883" s="23">
        <f t="shared" si="628"/>
        <v>2427</v>
      </c>
      <c r="AS1883">
        <f t="shared" si="633"/>
        <v>2422</v>
      </c>
      <c r="AT1883" s="21">
        <f t="shared" si="634"/>
        <v>2427</v>
      </c>
      <c r="AU1883" s="21"/>
      <c r="AV1883" s="21"/>
      <c r="AW1883" s="21"/>
    </row>
    <row r="1884" spans="1:49" x14ac:dyDescent="0.2">
      <c r="A1884">
        <v>993</v>
      </c>
      <c r="E1884">
        <f t="shared" si="629"/>
        <v>3</v>
      </c>
      <c r="F1884" s="5" t="s">
        <v>488</v>
      </c>
      <c r="G1884" s="5" t="s">
        <v>502</v>
      </c>
      <c r="J1884" t="str">
        <f t="shared" si="636"/>
        <v>13</v>
      </c>
      <c r="K1884" t="str">
        <f t="shared" si="637"/>
        <v>30</v>
      </c>
      <c r="L1884" t="str">
        <f t="shared" si="638"/>
        <v/>
      </c>
      <c r="M1884" s="6" t="str">
        <f t="shared" si="639"/>
        <v/>
      </c>
      <c r="N1884" t="s">
        <v>178</v>
      </c>
      <c r="O1884">
        <v>37</v>
      </c>
      <c r="P1884" t="s">
        <v>424</v>
      </c>
      <c r="Q1884" t="s">
        <v>10</v>
      </c>
      <c r="R1884" t="s">
        <v>190</v>
      </c>
      <c r="S1884" t="s">
        <v>422</v>
      </c>
      <c r="Y1884" t="str">
        <f t="shared" si="622"/>
        <v/>
      </c>
      <c r="Z1884" t="str">
        <f t="shared" si="623"/>
        <v/>
      </c>
      <c r="AC1884" t="str">
        <f t="shared" si="619"/>
        <v>Turnover</v>
      </c>
      <c r="AD1884" t="str">
        <f t="shared" si="620"/>
        <v>Turnover_Giveaway</v>
      </c>
      <c r="AE1884" t="str">
        <f t="shared" si="621"/>
        <v>Giveaway-AttemptedZoneClear/Dump</v>
      </c>
      <c r="AF1884" t="str">
        <f t="shared" si="624"/>
        <v>Offensive</v>
      </c>
      <c r="AG1884">
        <f t="shared" si="630"/>
        <v>18981</v>
      </c>
      <c r="AH1884" t="str">
        <f t="shared" si="631"/>
        <v>Nelson</v>
      </c>
      <c r="AI1884" t="str">
        <f t="shared" si="632"/>
        <v>Velodrome</v>
      </c>
      <c r="AJ1884" s="18">
        <f t="shared" si="625"/>
        <v>0</v>
      </c>
      <c r="AP1884" s="18">
        <f t="shared" si="626"/>
        <v>0</v>
      </c>
      <c r="AQ1884">
        <f t="shared" si="627"/>
        <v>2160</v>
      </c>
      <c r="AR1884" s="23">
        <f t="shared" si="628"/>
        <v>2430</v>
      </c>
      <c r="AS1884">
        <f t="shared" si="633"/>
        <v>2425</v>
      </c>
      <c r="AT1884" s="21">
        <f t="shared" si="634"/>
        <v>2430</v>
      </c>
      <c r="AU1884" s="21"/>
      <c r="AV1884" s="21"/>
      <c r="AW1884" s="21"/>
    </row>
    <row r="1885" spans="1:49" x14ac:dyDescent="0.2">
      <c r="A1885">
        <v>994</v>
      </c>
      <c r="E1885">
        <f t="shared" si="629"/>
        <v>3</v>
      </c>
      <c r="F1885" s="5" t="s">
        <v>488</v>
      </c>
      <c r="G1885" s="5" t="s">
        <v>501</v>
      </c>
      <c r="J1885" t="str">
        <f t="shared" si="636"/>
        <v>13</v>
      </c>
      <c r="K1885" t="str">
        <f t="shared" si="637"/>
        <v>29</v>
      </c>
      <c r="L1885" t="str">
        <f t="shared" si="638"/>
        <v/>
      </c>
      <c r="M1885" s="6" t="str">
        <f t="shared" si="639"/>
        <v/>
      </c>
      <c r="N1885" t="s">
        <v>179</v>
      </c>
      <c r="O1885">
        <v>9</v>
      </c>
      <c r="P1885" t="s">
        <v>424</v>
      </c>
      <c r="Q1885" t="s">
        <v>277</v>
      </c>
      <c r="R1885" t="s">
        <v>210</v>
      </c>
      <c r="S1885" t="s">
        <v>93</v>
      </c>
      <c r="Y1885" t="str">
        <f t="shared" si="622"/>
        <v/>
      </c>
      <c r="Z1885" t="str">
        <f t="shared" si="623"/>
        <v/>
      </c>
      <c r="AC1885" t="str">
        <f t="shared" si="619"/>
        <v>Zone_Entry_Exit</v>
      </c>
      <c r="AD1885" t="str">
        <f t="shared" si="620"/>
        <v>Zone_Keepin</v>
      </c>
      <c r="AE1885" t="str">
        <f t="shared" si="621"/>
        <v>Zone-KeepIn</v>
      </c>
      <c r="AF1885" t="str">
        <f t="shared" si="624"/>
        <v>Offensive</v>
      </c>
      <c r="AG1885">
        <f t="shared" si="630"/>
        <v>18981</v>
      </c>
      <c r="AH1885" t="str">
        <f t="shared" si="631"/>
        <v>Nelson</v>
      </c>
      <c r="AI1885" t="str">
        <f t="shared" si="632"/>
        <v>Velodrome</v>
      </c>
      <c r="AJ1885" s="18">
        <f t="shared" si="625"/>
        <v>0</v>
      </c>
      <c r="AP1885" s="18">
        <f t="shared" si="626"/>
        <v>0</v>
      </c>
      <c r="AQ1885">
        <f t="shared" si="627"/>
        <v>2160</v>
      </c>
      <c r="AR1885" s="23">
        <f t="shared" si="628"/>
        <v>2431</v>
      </c>
      <c r="AS1885">
        <f t="shared" si="633"/>
        <v>2426</v>
      </c>
      <c r="AT1885" s="21">
        <f t="shared" si="634"/>
        <v>2431</v>
      </c>
      <c r="AU1885" s="21"/>
      <c r="AV1885" s="21"/>
      <c r="AW1885" s="21"/>
    </row>
    <row r="1886" spans="1:49" x14ac:dyDescent="0.2">
      <c r="A1886">
        <v>994</v>
      </c>
      <c r="E1886">
        <f t="shared" si="629"/>
        <v>3</v>
      </c>
      <c r="J1886" t="str">
        <f t="shared" si="636"/>
        <v>13</v>
      </c>
      <c r="K1886" t="str">
        <f t="shared" si="637"/>
        <v>29</v>
      </c>
      <c r="L1886" t="str">
        <f t="shared" si="638"/>
        <v/>
      </c>
      <c r="M1886" s="6" t="str">
        <f t="shared" si="639"/>
        <v/>
      </c>
      <c r="N1886" t="str">
        <f t="shared" si="635"/>
        <v>Away</v>
      </c>
      <c r="O1886">
        <v>44</v>
      </c>
      <c r="P1886" t="s">
        <v>425</v>
      </c>
      <c r="Y1886" t="str">
        <f t="shared" si="622"/>
        <v/>
      </c>
      <c r="Z1886" t="str">
        <f t="shared" si="623"/>
        <v/>
      </c>
      <c r="AC1886" t="str">
        <f t="shared" si="619"/>
        <v>Zone_Entry_Exit</v>
      </c>
      <c r="AD1886" t="str">
        <f t="shared" si="620"/>
        <v>Zone_Keepin</v>
      </c>
      <c r="AE1886" t="str">
        <f t="shared" si="621"/>
        <v>Zone-KeepIn</v>
      </c>
      <c r="AF1886" t="str">
        <f t="shared" si="624"/>
        <v>Defensive</v>
      </c>
      <c r="AG1886">
        <f t="shared" si="630"/>
        <v>18981</v>
      </c>
      <c r="AH1886" t="str">
        <f t="shared" si="631"/>
        <v>Nelson</v>
      </c>
      <c r="AI1886" t="str">
        <f t="shared" si="632"/>
        <v>Velodrome</v>
      </c>
      <c r="AJ1886" s="18">
        <f t="shared" si="625"/>
        <v>0</v>
      </c>
      <c r="AP1886" s="18">
        <f t="shared" si="626"/>
        <v>0</v>
      </c>
      <c r="AQ1886">
        <f t="shared" si="627"/>
        <v>2160</v>
      </c>
      <c r="AR1886" s="23">
        <f t="shared" si="628"/>
        <v>2431</v>
      </c>
      <c r="AS1886">
        <f t="shared" si="633"/>
        <v>2426</v>
      </c>
      <c r="AT1886" s="21">
        <f t="shared" si="634"/>
        <v>2431</v>
      </c>
      <c r="AU1886" s="21"/>
      <c r="AV1886" s="21"/>
      <c r="AW1886" s="21"/>
    </row>
    <row r="1887" spans="1:49" x14ac:dyDescent="0.2">
      <c r="A1887">
        <v>995</v>
      </c>
      <c r="E1887">
        <f t="shared" si="629"/>
        <v>3</v>
      </c>
      <c r="F1887" s="5" t="s">
        <v>488</v>
      </c>
      <c r="G1887" s="5" t="s">
        <v>501</v>
      </c>
      <c r="H1887" s="5" t="s">
        <v>488</v>
      </c>
      <c r="I1887" s="7" t="s">
        <v>499</v>
      </c>
      <c r="J1887" t="str">
        <f t="shared" si="636"/>
        <v>13</v>
      </c>
      <c r="K1887" t="str">
        <f t="shared" si="637"/>
        <v>29</v>
      </c>
      <c r="L1887" t="str">
        <f t="shared" si="638"/>
        <v>13</v>
      </c>
      <c r="M1887" s="6" t="str">
        <f t="shared" si="639"/>
        <v>27</v>
      </c>
      <c r="N1887" t="s">
        <v>179</v>
      </c>
      <c r="O1887">
        <v>9</v>
      </c>
      <c r="P1887" t="s">
        <v>424</v>
      </c>
      <c r="Q1887" t="s">
        <v>15</v>
      </c>
      <c r="Y1887" t="str">
        <f t="shared" si="622"/>
        <v/>
      </c>
      <c r="Z1887" t="str">
        <f t="shared" si="623"/>
        <v/>
      </c>
      <c r="AC1887" t="str">
        <f t="shared" si="619"/>
        <v>Possession</v>
      </c>
      <c r="AD1887" t="str">
        <f t="shared" si="620"/>
        <v/>
      </c>
      <c r="AE1887" t="str">
        <f t="shared" si="621"/>
        <v/>
      </c>
      <c r="AF1887" t="str">
        <f t="shared" si="624"/>
        <v>Offensive</v>
      </c>
      <c r="AG1887">
        <f t="shared" si="630"/>
        <v>18981</v>
      </c>
      <c r="AH1887" t="str">
        <f t="shared" si="631"/>
        <v>Nelson</v>
      </c>
      <c r="AI1887" t="str">
        <f t="shared" si="632"/>
        <v>Velodrome</v>
      </c>
      <c r="AJ1887" s="18">
        <f t="shared" si="625"/>
        <v>2</v>
      </c>
      <c r="AP1887" s="18">
        <f t="shared" si="626"/>
        <v>0</v>
      </c>
      <c r="AQ1887">
        <f t="shared" si="627"/>
        <v>2160</v>
      </c>
      <c r="AR1887" s="23">
        <f t="shared" si="628"/>
        <v>2431</v>
      </c>
      <c r="AS1887">
        <f t="shared" si="633"/>
        <v>2426</v>
      </c>
      <c r="AT1887" s="21">
        <f t="shared" si="634"/>
        <v>2433</v>
      </c>
      <c r="AU1887" s="21"/>
      <c r="AV1887" s="21"/>
      <c r="AW1887" s="21"/>
    </row>
    <row r="1888" spans="1:49" x14ac:dyDescent="0.2">
      <c r="A1888">
        <v>995</v>
      </c>
      <c r="E1888">
        <f t="shared" si="629"/>
        <v>3</v>
      </c>
      <c r="J1888" t="str">
        <f t="shared" si="636"/>
        <v>13</v>
      </c>
      <c r="K1888" t="str">
        <f t="shared" si="637"/>
        <v>29</v>
      </c>
      <c r="L1888" t="str">
        <f t="shared" si="638"/>
        <v>13</v>
      </c>
      <c r="M1888" s="6" t="str">
        <f t="shared" si="639"/>
        <v>27</v>
      </c>
      <c r="N1888" t="str">
        <f t="shared" si="635"/>
        <v>Away</v>
      </c>
      <c r="O1888">
        <v>44</v>
      </c>
      <c r="P1888" t="s">
        <v>425</v>
      </c>
      <c r="Y1888" t="str">
        <f t="shared" si="622"/>
        <v/>
      </c>
      <c r="Z1888" t="str">
        <f t="shared" si="623"/>
        <v/>
      </c>
      <c r="AC1888" t="str">
        <f t="shared" si="619"/>
        <v>Possession</v>
      </c>
      <c r="AD1888" t="str">
        <f t="shared" si="620"/>
        <v/>
      </c>
      <c r="AE1888" t="str">
        <f t="shared" si="621"/>
        <v/>
      </c>
      <c r="AF1888" t="str">
        <f t="shared" si="624"/>
        <v>Defensive</v>
      </c>
      <c r="AG1888">
        <f t="shared" si="630"/>
        <v>18981</v>
      </c>
      <c r="AH1888" t="str">
        <f t="shared" si="631"/>
        <v>Nelson</v>
      </c>
      <c r="AI1888" t="str">
        <f t="shared" si="632"/>
        <v>Velodrome</v>
      </c>
      <c r="AJ1888" s="18">
        <f t="shared" si="625"/>
        <v>2</v>
      </c>
      <c r="AP1888" s="18">
        <f t="shared" si="626"/>
        <v>0</v>
      </c>
      <c r="AQ1888">
        <f t="shared" si="627"/>
        <v>2160</v>
      </c>
      <c r="AR1888" s="23">
        <f t="shared" si="628"/>
        <v>2431</v>
      </c>
      <c r="AS1888">
        <f t="shared" si="633"/>
        <v>2426</v>
      </c>
      <c r="AT1888" s="21">
        <f t="shared" si="634"/>
        <v>2433</v>
      </c>
      <c r="AU1888" s="21"/>
      <c r="AV1888" s="21"/>
      <c r="AW1888" s="21"/>
    </row>
    <row r="1889" spans="1:49" x14ac:dyDescent="0.2">
      <c r="A1889">
        <v>996</v>
      </c>
      <c r="E1889">
        <f t="shared" si="629"/>
        <v>3</v>
      </c>
      <c r="F1889" s="5" t="s">
        <v>488</v>
      </c>
      <c r="G1889" s="5" t="s">
        <v>499</v>
      </c>
      <c r="J1889" t="str">
        <f t="shared" si="636"/>
        <v>13</v>
      </c>
      <c r="K1889" t="str">
        <f t="shared" si="637"/>
        <v>27</v>
      </c>
      <c r="L1889" t="str">
        <f t="shared" si="638"/>
        <v/>
      </c>
      <c r="M1889" s="6" t="str">
        <f t="shared" si="639"/>
        <v/>
      </c>
      <c r="N1889" t="s">
        <v>179</v>
      </c>
      <c r="O1889">
        <v>9</v>
      </c>
      <c r="P1889" t="s">
        <v>424</v>
      </c>
      <c r="Q1889" t="s">
        <v>8</v>
      </c>
      <c r="R1889" t="s">
        <v>199</v>
      </c>
      <c r="S1889" t="s">
        <v>70</v>
      </c>
      <c r="Y1889" t="str">
        <f t="shared" si="622"/>
        <v/>
      </c>
      <c r="Z1889" t="str">
        <f t="shared" si="623"/>
        <v/>
      </c>
      <c r="AC1889" t="str">
        <f t="shared" si="619"/>
        <v>Pass</v>
      </c>
      <c r="AD1889" t="str">
        <f t="shared" si="620"/>
        <v>Pass_Missed</v>
      </c>
      <c r="AE1889" t="str">
        <f t="shared" si="621"/>
        <v>Pass-Forehand</v>
      </c>
      <c r="AF1889" t="str">
        <f t="shared" si="624"/>
        <v>Offensive</v>
      </c>
      <c r="AG1889">
        <f t="shared" si="630"/>
        <v>18981</v>
      </c>
      <c r="AH1889" t="str">
        <f t="shared" si="631"/>
        <v>Nelson</v>
      </c>
      <c r="AI1889" t="str">
        <f t="shared" si="632"/>
        <v>Velodrome</v>
      </c>
      <c r="AJ1889" s="18">
        <f t="shared" si="625"/>
        <v>0</v>
      </c>
      <c r="AP1889" s="18">
        <f t="shared" si="626"/>
        <v>0</v>
      </c>
      <c r="AQ1889">
        <f t="shared" si="627"/>
        <v>2160</v>
      </c>
      <c r="AR1889" s="23">
        <f t="shared" si="628"/>
        <v>2433</v>
      </c>
      <c r="AS1889">
        <f t="shared" si="633"/>
        <v>2428</v>
      </c>
      <c r="AT1889" s="21">
        <f t="shared" si="634"/>
        <v>2433</v>
      </c>
      <c r="AU1889" s="21"/>
      <c r="AV1889" s="21"/>
      <c r="AW1889" s="21"/>
    </row>
    <row r="1890" spans="1:49" x14ac:dyDescent="0.2">
      <c r="A1890">
        <v>996</v>
      </c>
      <c r="E1890">
        <f t="shared" si="629"/>
        <v>3</v>
      </c>
      <c r="J1890" t="str">
        <f t="shared" si="636"/>
        <v>13</v>
      </c>
      <c r="K1890" t="str">
        <f t="shared" si="637"/>
        <v>27</v>
      </c>
      <c r="L1890" t="str">
        <f t="shared" si="638"/>
        <v/>
      </c>
      <c r="M1890" s="6" t="str">
        <f t="shared" si="639"/>
        <v/>
      </c>
      <c r="N1890" t="str">
        <f t="shared" si="635"/>
        <v>Away</v>
      </c>
      <c r="O1890">
        <v>42</v>
      </c>
      <c r="P1890" t="s">
        <v>424</v>
      </c>
      <c r="Y1890" t="str">
        <f t="shared" si="622"/>
        <v/>
      </c>
      <c r="Z1890" t="str">
        <f t="shared" si="623"/>
        <v/>
      </c>
      <c r="AC1890" t="str">
        <f t="shared" si="619"/>
        <v>Pass</v>
      </c>
      <c r="AD1890" t="str">
        <f t="shared" si="620"/>
        <v>Pass_Missed</v>
      </c>
      <c r="AE1890" t="str">
        <f t="shared" si="621"/>
        <v>Pass-Forehand</v>
      </c>
      <c r="AF1890" t="str">
        <f t="shared" si="624"/>
        <v>Offensive</v>
      </c>
      <c r="AG1890">
        <f t="shared" si="630"/>
        <v>18981</v>
      </c>
      <c r="AH1890" t="str">
        <f t="shared" si="631"/>
        <v>Nelson</v>
      </c>
      <c r="AI1890" t="str">
        <f t="shared" si="632"/>
        <v>Velodrome</v>
      </c>
      <c r="AJ1890" s="18">
        <f t="shared" si="625"/>
        <v>0</v>
      </c>
      <c r="AP1890" s="18">
        <f t="shared" si="626"/>
        <v>0</v>
      </c>
      <c r="AQ1890">
        <f t="shared" si="627"/>
        <v>2160</v>
      </c>
      <c r="AR1890" s="23">
        <f t="shared" si="628"/>
        <v>2433</v>
      </c>
      <c r="AS1890">
        <f t="shared" si="633"/>
        <v>2428</v>
      </c>
      <c r="AT1890" s="21">
        <f t="shared" si="634"/>
        <v>2433</v>
      </c>
      <c r="AU1890" s="21"/>
      <c r="AV1890" s="21"/>
      <c r="AW1890" s="21"/>
    </row>
    <row r="1891" spans="1:49" x14ac:dyDescent="0.2">
      <c r="A1891">
        <v>996</v>
      </c>
      <c r="E1891">
        <f t="shared" si="629"/>
        <v>3</v>
      </c>
      <c r="J1891" t="str">
        <f t="shared" si="636"/>
        <v>13</v>
      </c>
      <c r="K1891" t="str">
        <f t="shared" si="637"/>
        <v>27</v>
      </c>
      <c r="L1891" t="str">
        <f t="shared" si="638"/>
        <v/>
      </c>
      <c r="M1891" s="6" t="str">
        <f t="shared" si="639"/>
        <v/>
      </c>
      <c r="N1891" t="str">
        <f t="shared" si="635"/>
        <v>Away</v>
      </c>
      <c r="O1891">
        <v>44</v>
      </c>
      <c r="P1891" t="s">
        <v>425</v>
      </c>
      <c r="Y1891" t="str">
        <f t="shared" si="622"/>
        <v/>
      </c>
      <c r="Z1891" t="str">
        <f t="shared" si="623"/>
        <v/>
      </c>
      <c r="AC1891" t="str">
        <f t="shared" si="619"/>
        <v>Pass</v>
      </c>
      <c r="AD1891" t="str">
        <f t="shared" si="620"/>
        <v>Pass_Missed</v>
      </c>
      <c r="AE1891" t="str">
        <f t="shared" si="621"/>
        <v>Pass-Forehand</v>
      </c>
      <c r="AF1891" t="str">
        <f t="shared" si="624"/>
        <v>Defensive</v>
      </c>
      <c r="AG1891">
        <f t="shared" si="630"/>
        <v>18981</v>
      </c>
      <c r="AH1891" t="str">
        <f t="shared" si="631"/>
        <v>Nelson</v>
      </c>
      <c r="AI1891" t="str">
        <f t="shared" si="632"/>
        <v>Velodrome</v>
      </c>
      <c r="AJ1891" s="18">
        <f t="shared" si="625"/>
        <v>0</v>
      </c>
      <c r="AP1891" s="18">
        <f t="shared" si="626"/>
        <v>0</v>
      </c>
      <c r="AQ1891">
        <f t="shared" si="627"/>
        <v>2160</v>
      </c>
      <c r="AR1891" s="23">
        <f t="shared" si="628"/>
        <v>2433</v>
      </c>
      <c r="AS1891">
        <f t="shared" si="633"/>
        <v>2428</v>
      </c>
      <c r="AT1891" s="21">
        <f t="shared" si="634"/>
        <v>2433</v>
      </c>
      <c r="AU1891" s="21"/>
      <c r="AV1891" s="21"/>
      <c r="AW1891" s="21"/>
    </row>
    <row r="1892" spans="1:49" x14ac:dyDescent="0.2">
      <c r="A1892">
        <v>997</v>
      </c>
      <c r="E1892">
        <f t="shared" si="629"/>
        <v>3</v>
      </c>
      <c r="F1892" s="5" t="s">
        <v>488</v>
      </c>
      <c r="G1892" s="5" t="s">
        <v>499</v>
      </c>
      <c r="J1892" t="str">
        <f t="shared" si="636"/>
        <v>13</v>
      </c>
      <c r="K1892" t="str">
        <f t="shared" si="637"/>
        <v>27</v>
      </c>
      <c r="L1892" t="str">
        <f t="shared" si="638"/>
        <v/>
      </c>
      <c r="M1892" s="6" t="str">
        <f t="shared" si="639"/>
        <v/>
      </c>
      <c r="N1892" t="s">
        <v>179</v>
      </c>
      <c r="O1892">
        <v>9</v>
      </c>
      <c r="P1892" t="s">
        <v>424</v>
      </c>
      <c r="Q1892" t="s">
        <v>10</v>
      </c>
      <c r="R1892" t="s">
        <v>190</v>
      </c>
      <c r="S1892" t="s">
        <v>76</v>
      </c>
      <c r="Y1892" t="str">
        <f t="shared" si="622"/>
        <v/>
      </c>
      <c r="Z1892" t="str">
        <f t="shared" si="623"/>
        <v/>
      </c>
      <c r="AC1892" t="str">
        <f t="shared" si="619"/>
        <v>Turnover</v>
      </c>
      <c r="AD1892" t="str">
        <f t="shared" si="620"/>
        <v>Turnover_Giveaway</v>
      </c>
      <c r="AE1892" t="str">
        <f t="shared" si="621"/>
        <v>Giveaway-PassMissed</v>
      </c>
      <c r="AF1892" t="str">
        <f t="shared" si="624"/>
        <v>Offensive</v>
      </c>
      <c r="AG1892">
        <f t="shared" si="630"/>
        <v>18981</v>
      </c>
      <c r="AH1892" t="str">
        <f t="shared" si="631"/>
        <v>Nelson</v>
      </c>
      <c r="AI1892" t="str">
        <f t="shared" si="632"/>
        <v>Velodrome</v>
      </c>
      <c r="AJ1892" s="18">
        <f t="shared" si="625"/>
        <v>0</v>
      </c>
      <c r="AP1892" s="18">
        <f t="shared" si="626"/>
        <v>0</v>
      </c>
      <c r="AQ1892">
        <f t="shared" si="627"/>
        <v>2160</v>
      </c>
      <c r="AR1892" s="23">
        <f t="shared" si="628"/>
        <v>2433</v>
      </c>
      <c r="AS1892">
        <f t="shared" si="633"/>
        <v>2428</v>
      </c>
      <c r="AT1892" s="21">
        <f t="shared" si="634"/>
        <v>2433</v>
      </c>
      <c r="AU1892" s="21"/>
      <c r="AV1892" s="21"/>
      <c r="AW1892" s="21"/>
    </row>
    <row r="1893" spans="1:49" x14ac:dyDescent="0.2">
      <c r="A1893">
        <v>998</v>
      </c>
      <c r="E1893">
        <f t="shared" si="629"/>
        <v>3</v>
      </c>
      <c r="F1893" s="5" t="s">
        <v>488</v>
      </c>
      <c r="G1893" s="5" t="s">
        <v>498</v>
      </c>
      <c r="H1893" s="5" t="s">
        <v>488</v>
      </c>
      <c r="I1893" s="7" t="s">
        <v>494</v>
      </c>
      <c r="J1893" t="str">
        <f t="shared" si="636"/>
        <v>13</v>
      </c>
      <c r="K1893" t="str">
        <f t="shared" si="637"/>
        <v>26</v>
      </c>
      <c r="L1893" t="str">
        <f t="shared" si="638"/>
        <v>13</v>
      </c>
      <c r="M1893" s="6" t="str">
        <f t="shared" si="639"/>
        <v>22</v>
      </c>
      <c r="N1893" t="s">
        <v>178</v>
      </c>
      <c r="O1893">
        <v>23</v>
      </c>
      <c r="P1893" t="s">
        <v>424</v>
      </c>
      <c r="Q1893" t="s">
        <v>15</v>
      </c>
      <c r="Y1893" t="str">
        <f t="shared" si="622"/>
        <v/>
      </c>
      <c r="Z1893" t="str">
        <f t="shared" si="623"/>
        <v/>
      </c>
      <c r="AC1893" t="str">
        <f t="shared" si="619"/>
        <v>Possession</v>
      </c>
      <c r="AD1893" t="str">
        <f t="shared" si="620"/>
        <v/>
      </c>
      <c r="AE1893" t="str">
        <f t="shared" si="621"/>
        <v/>
      </c>
      <c r="AF1893" t="str">
        <f t="shared" si="624"/>
        <v>Offensive</v>
      </c>
      <c r="AG1893">
        <f t="shared" si="630"/>
        <v>18981</v>
      </c>
      <c r="AH1893" t="str">
        <f t="shared" si="631"/>
        <v>Nelson</v>
      </c>
      <c r="AI1893" t="str">
        <f t="shared" si="632"/>
        <v>Velodrome</v>
      </c>
      <c r="AJ1893" s="18">
        <f t="shared" si="625"/>
        <v>4</v>
      </c>
      <c r="AP1893" s="18">
        <f t="shared" si="626"/>
        <v>0</v>
      </c>
      <c r="AQ1893">
        <f t="shared" si="627"/>
        <v>2160</v>
      </c>
      <c r="AR1893" s="23">
        <f t="shared" si="628"/>
        <v>2434</v>
      </c>
      <c r="AS1893">
        <f t="shared" si="633"/>
        <v>2429</v>
      </c>
      <c r="AT1893" s="21">
        <f t="shared" si="634"/>
        <v>2438</v>
      </c>
      <c r="AU1893" s="21"/>
      <c r="AV1893" s="21"/>
      <c r="AW1893" s="21"/>
    </row>
    <row r="1894" spans="1:49" x14ac:dyDescent="0.2">
      <c r="A1894">
        <v>999</v>
      </c>
      <c r="E1894">
        <f t="shared" si="629"/>
        <v>3</v>
      </c>
      <c r="F1894" s="5" t="s">
        <v>488</v>
      </c>
      <c r="G1894" s="5" t="s">
        <v>494</v>
      </c>
      <c r="J1894" t="str">
        <f t="shared" si="636"/>
        <v>13</v>
      </c>
      <c r="K1894" t="str">
        <f t="shared" si="637"/>
        <v>22</v>
      </c>
      <c r="L1894" t="str">
        <f t="shared" si="638"/>
        <v/>
      </c>
      <c r="M1894" s="6" t="str">
        <f t="shared" si="639"/>
        <v/>
      </c>
      <c r="N1894" t="s">
        <v>178</v>
      </c>
      <c r="O1894">
        <v>23</v>
      </c>
      <c r="P1894" t="s">
        <v>424</v>
      </c>
      <c r="Q1894" t="s">
        <v>8</v>
      </c>
      <c r="R1894" t="s">
        <v>199</v>
      </c>
      <c r="S1894" t="s">
        <v>70</v>
      </c>
      <c r="Y1894" t="str">
        <f t="shared" si="622"/>
        <v/>
      </c>
      <c r="Z1894" t="str">
        <f t="shared" si="623"/>
        <v/>
      </c>
      <c r="AC1894" t="str">
        <f t="shared" si="619"/>
        <v>Pass</v>
      </c>
      <c r="AD1894" t="str">
        <f t="shared" si="620"/>
        <v>Pass_Missed</v>
      </c>
      <c r="AE1894" t="str">
        <f t="shared" si="621"/>
        <v>Pass-Forehand</v>
      </c>
      <c r="AF1894" t="str">
        <f t="shared" si="624"/>
        <v>Offensive</v>
      </c>
      <c r="AG1894">
        <f t="shared" si="630"/>
        <v>18981</v>
      </c>
      <c r="AH1894" t="str">
        <f t="shared" si="631"/>
        <v>Nelson</v>
      </c>
      <c r="AI1894" t="str">
        <f t="shared" si="632"/>
        <v>Velodrome</v>
      </c>
      <c r="AJ1894" s="18">
        <f t="shared" si="625"/>
        <v>0</v>
      </c>
      <c r="AP1894" s="18">
        <f t="shared" si="626"/>
        <v>0</v>
      </c>
      <c r="AQ1894">
        <f t="shared" si="627"/>
        <v>2160</v>
      </c>
      <c r="AR1894" s="23">
        <f t="shared" si="628"/>
        <v>2438</v>
      </c>
      <c r="AS1894">
        <f t="shared" si="633"/>
        <v>2433</v>
      </c>
      <c r="AT1894" s="21">
        <f t="shared" si="634"/>
        <v>2438</v>
      </c>
      <c r="AU1894" s="21"/>
      <c r="AV1894" s="21"/>
      <c r="AW1894" s="21"/>
    </row>
    <row r="1895" spans="1:49" x14ac:dyDescent="0.2">
      <c r="A1895">
        <v>999</v>
      </c>
      <c r="E1895">
        <f t="shared" si="629"/>
        <v>3</v>
      </c>
      <c r="J1895" t="str">
        <f t="shared" si="636"/>
        <v>13</v>
      </c>
      <c r="K1895" t="str">
        <f t="shared" si="637"/>
        <v>22</v>
      </c>
      <c r="L1895" t="str">
        <f t="shared" si="638"/>
        <v/>
      </c>
      <c r="M1895" s="6" t="str">
        <f t="shared" si="639"/>
        <v/>
      </c>
      <c r="N1895" t="str">
        <f t="shared" si="635"/>
        <v>Home</v>
      </c>
      <c r="O1895">
        <v>44</v>
      </c>
      <c r="P1895" t="s">
        <v>424</v>
      </c>
      <c r="Y1895" t="str">
        <f t="shared" si="622"/>
        <v/>
      </c>
      <c r="Z1895" t="str">
        <f t="shared" si="623"/>
        <v/>
      </c>
      <c r="AC1895" t="str">
        <f t="shared" si="619"/>
        <v>Pass</v>
      </c>
      <c r="AD1895" t="str">
        <f t="shared" si="620"/>
        <v>Pass_Missed</v>
      </c>
      <c r="AE1895" t="str">
        <f t="shared" si="621"/>
        <v>Pass-Forehand</v>
      </c>
      <c r="AF1895" t="str">
        <f t="shared" si="624"/>
        <v>Offensive</v>
      </c>
      <c r="AG1895">
        <f t="shared" si="630"/>
        <v>18981</v>
      </c>
      <c r="AH1895" t="str">
        <f t="shared" si="631"/>
        <v>Nelson</v>
      </c>
      <c r="AI1895" t="str">
        <f t="shared" si="632"/>
        <v>Velodrome</v>
      </c>
      <c r="AJ1895" s="18">
        <f t="shared" si="625"/>
        <v>0</v>
      </c>
      <c r="AP1895" s="18">
        <f t="shared" si="626"/>
        <v>0</v>
      </c>
      <c r="AQ1895">
        <f t="shared" si="627"/>
        <v>2160</v>
      </c>
      <c r="AR1895" s="23">
        <f t="shared" si="628"/>
        <v>2438</v>
      </c>
      <c r="AS1895">
        <f t="shared" si="633"/>
        <v>2433</v>
      </c>
      <c r="AT1895" s="21">
        <f t="shared" si="634"/>
        <v>2438</v>
      </c>
      <c r="AU1895" s="21"/>
      <c r="AV1895" s="21"/>
      <c r="AW1895" s="21"/>
    </row>
    <row r="1896" spans="1:49" x14ac:dyDescent="0.2">
      <c r="A1896">
        <v>1000</v>
      </c>
      <c r="E1896">
        <f t="shared" si="629"/>
        <v>3</v>
      </c>
      <c r="F1896" s="5" t="s">
        <v>488</v>
      </c>
      <c r="G1896" s="5" t="s">
        <v>494</v>
      </c>
      <c r="J1896" t="str">
        <f t="shared" si="636"/>
        <v>13</v>
      </c>
      <c r="K1896" t="str">
        <f t="shared" si="637"/>
        <v>22</v>
      </c>
      <c r="L1896" t="str">
        <f t="shared" si="638"/>
        <v/>
      </c>
      <c r="M1896" s="6" t="str">
        <f t="shared" si="639"/>
        <v/>
      </c>
      <c r="N1896" t="s">
        <v>178</v>
      </c>
      <c r="O1896">
        <v>23</v>
      </c>
      <c r="P1896" t="s">
        <v>424</v>
      </c>
      <c r="Q1896" t="s">
        <v>277</v>
      </c>
      <c r="R1896" t="s">
        <v>201</v>
      </c>
      <c r="S1896" t="s">
        <v>433</v>
      </c>
      <c r="Y1896" t="str">
        <f t="shared" si="622"/>
        <v/>
      </c>
      <c r="Z1896" t="str">
        <f t="shared" si="623"/>
        <v/>
      </c>
      <c r="AC1896" t="str">
        <f t="shared" si="619"/>
        <v>Zone_Entry_Exit</v>
      </c>
      <c r="AD1896" t="str">
        <f t="shared" si="620"/>
        <v>Zone_Exit</v>
      </c>
      <c r="AE1896" t="str">
        <f t="shared" si="621"/>
        <v>ZoneExit-PassMiss/Misplay</v>
      </c>
      <c r="AF1896" t="str">
        <f t="shared" si="624"/>
        <v>Offensive</v>
      </c>
      <c r="AG1896">
        <f t="shared" si="630"/>
        <v>18981</v>
      </c>
      <c r="AH1896" t="str">
        <f t="shared" si="631"/>
        <v>Nelson</v>
      </c>
      <c r="AI1896" t="str">
        <f t="shared" si="632"/>
        <v>Velodrome</v>
      </c>
      <c r="AJ1896" s="18">
        <f t="shared" si="625"/>
        <v>0</v>
      </c>
      <c r="AP1896" s="18">
        <f t="shared" si="626"/>
        <v>0</v>
      </c>
      <c r="AQ1896">
        <f t="shared" si="627"/>
        <v>2160</v>
      </c>
      <c r="AR1896" s="23">
        <f t="shared" si="628"/>
        <v>2438</v>
      </c>
      <c r="AS1896">
        <f t="shared" si="633"/>
        <v>2433</v>
      </c>
      <c r="AT1896" s="21">
        <f t="shared" si="634"/>
        <v>2438</v>
      </c>
      <c r="AU1896" s="21"/>
      <c r="AV1896" s="21"/>
      <c r="AW1896" s="21"/>
    </row>
    <row r="1897" spans="1:49" x14ac:dyDescent="0.2">
      <c r="A1897">
        <v>1000</v>
      </c>
      <c r="E1897">
        <f t="shared" si="629"/>
        <v>3</v>
      </c>
      <c r="J1897" t="str">
        <f t="shared" si="636"/>
        <v>13</v>
      </c>
      <c r="K1897" t="str">
        <f t="shared" si="637"/>
        <v>22</v>
      </c>
      <c r="L1897" t="str">
        <f t="shared" si="638"/>
        <v/>
      </c>
      <c r="M1897" s="6" t="str">
        <f t="shared" si="639"/>
        <v/>
      </c>
      <c r="N1897" t="str">
        <f t="shared" si="635"/>
        <v>Home</v>
      </c>
      <c r="O1897">
        <v>44</v>
      </c>
      <c r="P1897" t="s">
        <v>424</v>
      </c>
      <c r="Y1897" t="str">
        <f t="shared" si="622"/>
        <v/>
      </c>
      <c r="Z1897" t="str">
        <f t="shared" si="623"/>
        <v/>
      </c>
      <c r="AC1897" t="str">
        <f t="shared" si="619"/>
        <v>Zone_Entry_Exit</v>
      </c>
      <c r="AD1897" t="str">
        <f t="shared" si="620"/>
        <v>Zone_Exit</v>
      </c>
      <c r="AE1897" t="str">
        <f t="shared" si="621"/>
        <v>ZoneExit-PassMiss/Misplay</v>
      </c>
      <c r="AF1897" t="str">
        <f t="shared" si="624"/>
        <v>Offensive</v>
      </c>
      <c r="AG1897">
        <f t="shared" si="630"/>
        <v>18981</v>
      </c>
      <c r="AH1897" t="str">
        <f t="shared" si="631"/>
        <v>Nelson</v>
      </c>
      <c r="AI1897" t="str">
        <f t="shared" si="632"/>
        <v>Velodrome</v>
      </c>
      <c r="AJ1897" s="18">
        <f t="shared" si="625"/>
        <v>0</v>
      </c>
      <c r="AP1897" s="18">
        <f t="shared" si="626"/>
        <v>0</v>
      </c>
      <c r="AQ1897">
        <f t="shared" si="627"/>
        <v>2160</v>
      </c>
      <c r="AR1897" s="23">
        <f t="shared" si="628"/>
        <v>2438</v>
      </c>
      <c r="AS1897">
        <f t="shared" si="633"/>
        <v>2433</v>
      </c>
      <c r="AT1897" s="21">
        <f t="shared" si="634"/>
        <v>2438</v>
      </c>
      <c r="AU1897" s="21"/>
      <c r="AV1897" s="21"/>
      <c r="AW1897" s="21"/>
    </row>
    <row r="1898" spans="1:49" x14ac:dyDescent="0.2">
      <c r="A1898">
        <v>1001</v>
      </c>
      <c r="E1898">
        <f t="shared" si="629"/>
        <v>3</v>
      </c>
      <c r="F1898" s="5" t="s">
        <v>488</v>
      </c>
      <c r="G1898" s="5" t="s">
        <v>494</v>
      </c>
      <c r="J1898" t="str">
        <f t="shared" si="636"/>
        <v>13</v>
      </c>
      <c r="K1898" t="str">
        <f t="shared" si="637"/>
        <v>22</v>
      </c>
      <c r="L1898" t="str">
        <f t="shared" si="638"/>
        <v/>
      </c>
      <c r="M1898" s="6" t="str">
        <f t="shared" si="639"/>
        <v/>
      </c>
      <c r="N1898" t="s">
        <v>178</v>
      </c>
      <c r="O1898">
        <v>23</v>
      </c>
      <c r="P1898" t="s">
        <v>424</v>
      </c>
      <c r="Q1898" t="s">
        <v>10</v>
      </c>
      <c r="R1898" t="s">
        <v>190</v>
      </c>
      <c r="S1898" t="s">
        <v>76</v>
      </c>
      <c r="Y1898" t="str">
        <f t="shared" si="622"/>
        <v/>
      </c>
      <c r="Z1898" t="str">
        <f t="shared" si="623"/>
        <v/>
      </c>
      <c r="AC1898" t="str">
        <f t="shared" si="619"/>
        <v>Turnover</v>
      </c>
      <c r="AD1898" t="str">
        <f t="shared" si="620"/>
        <v>Turnover_Giveaway</v>
      </c>
      <c r="AE1898" t="str">
        <f t="shared" si="621"/>
        <v>Giveaway-PassMissed</v>
      </c>
      <c r="AF1898" t="str">
        <f t="shared" si="624"/>
        <v>Offensive</v>
      </c>
      <c r="AG1898">
        <f t="shared" si="630"/>
        <v>18981</v>
      </c>
      <c r="AH1898" t="str">
        <f t="shared" si="631"/>
        <v>Nelson</v>
      </c>
      <c r="AI1898" t="str">
        <f t="shared" si="632"/>
        <v>Velodrome</v>
      </c>
      <c r="AJ1898" s="18">
        <f t="shared" si="625"/>
        <v>0</v>
      </c>
      <c r="AP1898" s="18">
        <f t="shared" si="626"/>
        <v>0</v>
      </c>
      <c r="AQ1898">
        <f t="shared" si="627"/>
        <v>2160</v>
      </c>
      <c r="AR1898" s="23">
        <f t="shared" si="628"/>
        <v>2438</v>
      </c>
      <c r="AS1898">
        <f t="shared" si="633"/>
        <v>2433</v>
      </c>
      <c r="AT1898" s="21">
        <f t="shared" si="634"/>
        <v>2438</v>
      </c>
      <c r="AU1898" s="21"/>
      <c r="AV1898" s="21"/>
      <c r="AW1898" s="21"/>
    </row>
    <row r="1899" spans="1:49" x14ac:dyDescent="0.2">
      <c r="A1899">
        <v>1002</v>
      </c>
      <c r="E1899">
        <f t="shared" si="629"/>
        <v>3</v>
      </c>
      <c r="F1899" s="5" t="s">
        <v>488</v>
      </c>
      <c r="G1899" s="5" t="s">
        <v>490</v>
      </c>
      <c r="J1899" t="str">
        <f t="shared" si="636"/>
        <v>13</v>
      </c>
      <c r="K1899" t="str">
        <f t="shared" si="637"/>
        <v>18</v>
      </c>
      <c r="L1899" t="str">
        <f t="shared" si="638"/>
        <v/>
      </c>
      <c r="M1899" s="6" t="str">
        <f t="shared" si="639"/>
        <v/>
      </c>
      <c r="N1899" t="s">
        <v>179</v>
      </c>
      <c r="O1899">
        <v>9</v>
      </c>
      <c r="P1899" t="s">
        <v>424</v>
      </c>
      <c r="Q1899" t="s">
        <v>10</v>
      </c>
      <c r="R1899" t="s">
        <v>190</v>
      </c>
      <c r="S1899" t="s">
        <v>422</v>
      </c>
      <c r="Y1899" t="str">
        <f t="shared" si="622"/>
        <v/>
      </c>
      <c r="Z1899" t="str">
        <f t="shared" si="623"/>
        <v/>
      </c>
      <c r="AC1899" t="str">
        <f t="shared" si="619"/>
        <v>Turnover</v>
      </c>
      <c r="AD1899" t="str">
        <f t="shared" si="620"/>
        <v>Turnover_Giveaway</v>
      </c>
      <c r="AE1899" t="str">
        <f t="shared" si="621"/>
        <v>Giveaway-AttemptedZoneClear/Dump</v>
      </c>
      <c r="AF1899" t="str">
        <f t="shared" si="624"/>
        <v>Offensive</v>
      </c>
      <c r="AG1899">
        <f t="shared" si="630"/>
        <v>18981</v>
      </c>
      <c r="AH1899" t="str">
        <f t="shared" si="631"/>
        <v>Nelson</v>
      </c>
      <c r="AI1899" t="str">
        <f t="shared" si="632"/>
        <v>Velodrome</v>
      </c>
      <c r="AJ1899" s="18">
        <f t="shared" si="625"/>
        <v>0</v>
      </c>
      <c r="AP1899" s="18">
        <f t="shared" si="626"/>
        <v>0</v>
      </c>
      <c r="AQ1899">
        <f t="shared" si="627"/>
        <v>2160</v>
      </c>
      <c r="AR1899" s="23">
        <f t="shared" si="628"/>
        <v>2442</v>
      </c>
      <c r="AS1899">
        <f t="shared" si="633"/>
        <v>2437</v>
      </c>
      <c r="AT1899" s="21">
        <f t="shared" si="634"/>
        <v>2442</v>
      </c>
      <c r="AU1899" s="21"/>
      <c r="AV1899" s="21"/>
      <c r="AW1899" s="21"/>
    </row>
    <row r="1900" spans="1:49" x14ac:dyDescent="0.2">
      <c r="A1900">
        <v>1003</v>
      </c>
      <c r="E1900">
        <f t="shared" si="629"/>
        <v>3</v>
      </c>
      <c r="F1900" s="5" t="s">
        <v>488</v>
      </c>
      <c r="G1900" s="5" t="s">
        <v>477</v>
      </c>
      <c r="H1900" s="5" t="s">
        <v>488</v>
      </c>
      <c r="I1900" s="7" t="s">
        <v>489</v>
      </c>
      <c r="J1900" t="str">
        <f t="shared" si="636"/>
        <v>13</v>
      </c>
      <c r="K1900" t="str">
        <f t="shared" si="637"/>
        <v>16</v>
      </c>
      <c r="L1900" t="str">
        <f t="shared" si="638"/>
        <v>13</v>
      </c>
      <c r="M1900" s="6" t="str">
        <f t="shared" si="639"/>
        <v>14</v>
      </c>
      <c r="N1900" t="s">
        <v>178</v>
      </c>
      <c r="O1900">
        <v>10</v>
      </c>
      <c r="P1900" t="s">
        <v>424</v>
      </c>
      <c r="Q1900" t="s">
        <v>15</v>
      </c>
      <c r="Y1900" t="str">
        <f t="shared" si="622"/>
        <v/>
      </c>
      <c r="Z1900" t="str">
        <f t="shared" si="623"/>
        <v/>
      </c>
      <c r="AC1900" t="str">
        <f t="shared" si="619"/>
        <v>Possession</v>
      </c>
      <c r="AD1900" t="str">
        <f t="shared" si="620"/>
        <v/>
      </c>
      <c r="AE1900" t="str">
        <f t="shared" si="621"/>
        <v/>
      </c>
      <c r="AF1900" t="str">
        <f t="shared" si="624"/>
        <v>Offensive</v>
      </c>
      <c r="AG1900">
        <f t="shared" si="630"/>
        <v>18981</v>
      </c>
      <c r="AH1900" t="str">
        <f t="shared" si="631"/>
        <v>Nelson</v>
      </c>
      <c r="AI1900" t="str">
        <f t="shared" si="632"/>
        <v>Velodrome</v>
      </c>
      <c r="AJ1900" s="18">
        <f t="shared" si="625"/>
        <v>2</v>
      </c>
      <c r="AP1900" s="18">
        <f t="shared" si="626"/>
        <v>0</v>
      </c>
      <c r="AQ1900">
        <f t="shared" si="627"/>
        <v>2160</v>
      </c>
      <c r="AR1900" s="23">
        <f t="shared" si="628"/>
        <v>2444</v>
      </c>
      <c r="AS1900">
        <f t="shared" si="633"/>
        <v>2439</v>
      </c>
      <c r="AT1900" s="21">
        <f t="shared" si="634"/>
        <v>2446</v>
      </c>
      <c r="AU1900" s="21"/>
      <c r="AV1900" s="21"/>
      <c r="AW1900" s="21"/>
    </row>
    <row r="1901" spans="1:49" x14ac:dyDescent="0.2">
      <c r="A1901">
        <v>1004</v>
      </c>
      <c r="E1901">
        <f t="shared" si="629"/>
        <v>3</v>
      </c>
      <c r="F1901" s="5" t="s">
        <v>488</v>
      </c>
      <c r="G1901" s="5" t="s">
        <v>489</v>
      </c>
      <c r="H1901" s="5" t="s">
        <v>488</v>
      </c>
      <c r="I1901" s="7" t="s">
        <v>489</v>
      </c>
      <c r="J1901" t="str">
        <f t="shared" si="636"/>
        <v>13</v>
      </c>
      <c r="K1901" t="str">
        <f t="shared" si="637"/>
        <v>14</v>
      </c>
      <c r="L1901" t="str">
        <f t="shared" si="638"/>
        <v>13</v>
      </c>
      <c r="M1901" s="6" t="str">
        <f t="shared" si="639"/>
        <v>14</v>
      </c>
      <c r="N1901" t="s">
        <v>178</v>
      </c>
      <c r="O1901">
        <v>10</v>
      </c>
      <c r="P1901" t="s">
        <v>424</v>
      </c>
      <c r="Q1901" t="s">
        <v>277</v>
      </c>
      <c r="R1901" t="s">
        <v>191</v>
      </c>
      <c r="S1901" t="s">
        <v>87</v>
      </c>
      <c r="Y1901" t="str">
        <f t="shared" si="622"/>
        <v/>
      </c>
      <c r="Z1901" t="str">
        <f t="shared" si="623"/>
        <v/>
      </c>
      <c r="AC1901" t="str">
        <f t="shared" si="619"/>
        <v>Zone_Entry_Exit</v>
      </c>
      <c r="AD1901" t="str">
        <f t="shared" si="620"/>
        <v>Zone_Entry</v>
      </c>
      <c r="AE1901" t="str">
        <f t="shared" si="621"/>
        <v>ZoneEntry-Rush</v>
      </c>
      <c r="AF1901" t="str">
        <f t="shared" si="624"/>
        <v>Offensive</v>
      </c>
      <c r="AG1901">
        <f t="shared" si="630"/>
        <v>18981</v>
      </c>
      <c r="AH1901" t="str">
        <f t="shared" si="631"/>
        <v>Nelson</v>
      </c>
      <c r="AI1901" t="str">
        <f t="shared" si="632"/>
        <v>Velodrome</v>
      </c>
      <c r="AJ1901" s="18">
        <f t="shared" si="625"/>
        <v>0</v>
      </c>
      <c r="AP1901" s="18">
        <f t="shared" si="626"/>
        <v>0</v>
      </c>
      <c r="AQ1901">
        <f t="shared" si="627"/>
        <v>2160</v>
      </c>
      <c r="AR1901" s="23">
        <f t="shared" si="628"/>
        <v>2446</v>
      </c>
      <c r="AS1901">
        <f t="shared" si="633"/>
        <v>2441</v>
      </c>
      <c r="AT1901" s="21">
        <f t="shared" si="634"/>
        <v>2446</v>
      </c>
      <c r="AU1901" s="21"/>
      <c r="AV1901" s="21"/>
      <c r="AW1901" s="21"/>
    </row>
    <row r="1902" spans="1:49" x14ac:dyDescent="0.2">
      <c r="A1902">
        <v>1004</v>
      </c>
      <c r="E1902">
        <f t="shared" si="629"/>
        <v>3</v>
      </c>
      <c r="J1902" t="str">
        <f t="shared" si="636"/>
        <v>13</v>
      </c>
      <c r="K1902" t="str">
        <f t="shared" si="637"/>
        <v>14</v>
      </c>
      <c r="L1902" t="str">
        <f t="shared" si="638"/>
        <v>13</v>
      </c>
      <c r="M1902" s="6" t="str">
        <f t="shared" si="639"/>
        <v>14</v>
      </c>
      <c r="N1902" t="str">
        <f t="shared" si="635"/>
        <v>Home</v>
      </c>
      <c r="O1902">
        <v>9</v>
      </c>
      <c r="P1902" t="s">
        <v>425</v>
      </c>
      <c r="Y1902" t="str">
        <f t="shared" si="622"/>
        <v/>
      </c>
      <c r="Z1902" t="str">
        <f t="shared" si="623"/>
        <v/>
      </c>
      <c r="AC1902" t="str">
        <f t="shared" si="619"/>
        <v>Zone_Entry_Exit</v>
      </c>
      <c r="AD1902" t="str">
        <f t="shared" si="620"/>
        <v>Zone_Entry</v>
      </c>
      <c r="AE1902" t="str">
        <f t="shared" si="621"/>
        <v>ZoneEntry-Rush</v>
      </c>
      <c r="AF1902" t="str">
        <f t="shared" si="624"/>
        <v>Defensive</v>
      </c>
      <c r="AG1902">
        <f t="shared" si="630"/>
        <v>18981</v>
      </c>
      <c r="AH1902" t="str">
        <f t="shared" si="631"/>
        <v>Nelson</v>
      </c>
      <c r="AI1902" t="str">
        <f t="shared" si="632"/>
        <v>Velodrome</v>
      </c>
      <c r="AJ1902" s="18">
        <f t="shared" si="625"/>
        <v>0</v>
      </c>
      <c r="AP1902" s="18">
        <f t="shared" si="626"/>
        <v>0</v>
      </c>
      <c r="AQ1902">
        <f t="shared" si="627"/>
        <v>2160</v>
      </c>
      <c r="AR1902" s="23">
        <f t="shared" si="628"/>
        <v>2446</v>
      </c>
      <c r="AS1902">
        <f t="shared" si="633"/>
        <v>2441</v>
      </c>
      <c r="AT1902" s="21">
        <f t="shared" si="634"/>
        <v>2446</v>
      </c>
      <c r="AU1902" s="21"/>
      <c r="AV1902" s="21"/>
      <c r="AW1902" s="21"/>
    </row>
    <row r="1903" spans="1:49" x14ac:dyDescent="0.2">
      <c r="A1903">
        <v>1004</v>
      </c>
      <c r="E1903">
        <f t="shared" si="629"/>
        <v>3</v>
      </c>
      <c r="J1903" t="str">
        <f t="shared" si="636"/>
        <v>13</v>
      </c>
      <c r="K1903" t="str">
        <f t="shared" si="637"/>
        <v>14</v>
      </c>
      <c r="L1903" t="str">
        <f t="shared" si="638"/>
        <v>13</v>
      </c>
      <c r="M1903" s="6" t="str">
        <f t="shared" si="639"/>
        <v>14</v>
      </c>
      <c r="N1903" t="str">
        <f t="shared" si="635"/>
        <v>Home</v>
      </c>
      <c r="O1903">
        <v>14</v>
      </c>
      <c r="P1903" t="s">
        <v>425</v>
      </c>
      <c r="Y1903" t="str">
        <f t="shared" si="622"/>
        <v/>
      </c>
      <c r="Z1903" t="str">
        <f t="shared" si="623"/>
        <v/>
      </c>
      <c r="AC1903" t="str">
        <f t="shared" ref="AC1903:AC1966" si="640">IF(Q1903&lt;&gt;"",Q1903,IF($A1903=$A1902,AC1902,""))</f>
        <v>Zone_Entry_Exit</v>
      </c>
      <c r="AD1903" t="str">
        <f t="shared" ref="AD1903:AD1966" si="641">IF(R1903&lt;&gt;"",R1903,IF($A1903=$A1902,AD1902,""))</f>
        <v>Zone_Entry</v>
      </c>
      <c r="AE1903" t="str">
        <f t="shared" ref="AE1903:AE1966" si="642">IF(S1903&lt;&gt;"",S1903,IF($A1903=$A1902,AE1902,""))</f>
        <v>ZoneEntry-Rush</v>
      </c>
      <c r="AF1903" t="str">
        <f t="shared" si="624"/>
        <v>Defensive</v>
      </c>
      <c r="AG1903">
        <f t="shared" si="630"/>
        <v>18981</v>
      </c>
      <c r="AH1903" t="str">
        <f t="shared" si="631"/>
        <v>Nelson</v>
      </c>
      <c r="AI1903" t="str">
        <f t="shared" si="632"/>
        <v>Velodrome</v>
      </c>
      <c r="AJ1903" s="18">
        <f t="shared" si="625"/>
        <v>0</v>
      </c>
      <c r="AP1903" s="18">
        <f t="shared" si="626"/>
        <v>0</v>
      </c>
      <c r="AQ1903">
        <f t="shared" si="627"/>
        <v>2160</v>
      </c>
      <c r="AR1903" s="23">
        <f t="shared" si="628"/>
        <v>2446</v>
      </c>
      <c r="AS1903">
        <f t="shared" si="633"/>
        <v>2441</v>
      </c>
      <c r="AT1903" s="21">
        <f t="shared" si="634"/>
        <v>2446</v>
      </c>
      <c r="AU1903" s="21"/>
      <c r="AV1903" s="21"/>
      <c r="AW1903" s="21"/>
    </row>
    <row r="1904" spans="1:49" x14ac:dyDescent="0.2">
      <c r="A1904">
        <v>1005</v>
      </c>
      <c r="E1904">
        <f t="shared" si="629"/>
        <v>3</v>
      </c>
      <c r="F1904" s="5" t="s">
        <v>488</v>
      </c>
      <c r="G1904" s="5" t="s">
        <v>489</v>
      </c>
      <c r="J1904" t="str">
        <f t="shared" si="636"/>
        <v>13</v>
      </c>
      <c r="K1904" t="str">
        <f t="shared" si="637"/>
        <v>14</v>
      </c>
      <c r="L1904" t="str">
        <f t="shared" si="638"/>
        <v/>
      </c>
      <c r="M1904" s="6" t="str">
        <f t="shared" si="639"/>
        <v/>
      </c>
      <c r="N1904" t="s">
        <v>178</v>
      </c>
      <c r="O1904">
        <v>10</v>
      </c>
      <c r="P1904" t="s">
        <v>424</v>
      </c>
      <c r="Q1904" t="s">
        <v>7</v>
      </c>
      <c r="R1904" t="s">
        <v>222</v>
      </c>
      <c r="S1904" t="s">
        <v>53</v>
      </c>
      <c r="Y1904" t="str">
        <f t="shared" si="622"/>
        <v/>
      </c>
      <c r="Z1904" t="str">
        <f t="shared" si="623"/>
        <v/>
      </c>
      <c r="AC1904" t="str">
        <f t="shared" si="640"/>
        <v>Shot</v>
      </c>
      <c r="AD1904" t="str">
        <f t="shared" si="641"/>
        <v>Shot_OnNetSaved</v>
      </c>
      <c r="AE1904" t="str">
        <f t="shared" si="642"/>
        <v>Shot-Wrist</v>
      </c>
      <c r="AF1904" t="str">
        <f t="shared" si="624"/>
        <v>Offensive</v>
      </c>
      <c r="AG1904">
        <f t="shared" si="630"/>
        <v>18981</v>
      </c>
      <c r="AH1904" t="str">
        <f t="shared" si="631"/>
        <v>Nelson</v>
      </c>
      <c r="AI1904" t="str">
        <f t="shared" si="632"/>
        <v>Velodrome</v>
      </c>
      <c r="AJ1904" s="18">
        <f t="shared" si="625"/>
        <v>0</v>
      </c>
      <c r="AP1904" s="18">
        <f t="shared" si="626"/>
        <v>0</v>
      </c>
      <c r="AQ1904">
        <f t="shared" si="627"/>
        <v>2160</v>
      </c>
      <c r="AR1904" s="23">
        <f t="shared" si="628"/>
        <v>2446</v>
      </c>
      <c r="AS1904">
        <f t="shared" si="633"/>
        <v>2441</v>
      </c>
      <c r="AT1904" s="21">
        <f t="shared" si="634"/>
        <v>2446</v>
      </c>
      <c r="AU1904" s="21"/>
      <c r="AV1904" s="21"/>
      <c r="AW1904" s="21"/>
    </row>
    <row r="1905" spans="1:49" x14ac:dyDescent="0.2">
      <c r="A1905">
        <v>1005</v>
      </c>
      <c r="E1905">
        <f t="shared" si="629"/>
        <v>3</v>
      </c>
      <c r="J1905" t="str">
        <f t="shared" si="636"/>
        <v>13</v>
      </c>
      <c r="K1905" t="str">
        <f t="shared" si="637"/>
        <v>14</v>
      </c>
      <c r="L1905" t="str">
        <f t="shared" si="638"/>
        <v/>
      </c>
      <c r="M1905" s="6" t="str">
        <f t="shared" si="639"/>
        <v/>
      </c>
      <c r="N1905" t="str">
        <f t="shared" si="635"/>
        <v>Home</v>
      </c>
      <c r="O1905">
        <v>39</v>
      </c>
      <c r="P1905" t="s">
        <v>425</v>
      </c>
      <c r="Y1905" t="str">
        <f t="shared" si="622"/>
        <v/>
      </c>
      <c r="Z1905" t="str">
        <f t="shared" si="623"/>
        <v/>
      </c>
      <c r="AC1905" t="str">
        <f t="shared" si="640"/>
        <v>Shot</v>
      </c>
      <c r="AD1905" t="str">
        <f t="shared" si="641"/>
        <v>Shot_OnNetSaved</v>
      </c>
      <c r="AE1905" t="str">
        <f t="shared" si="642"/>
        <v>Shot-Wrist</v>
      </c>
      <c r="AF1905" t="str">
        <f t="shared" si="624"/>
        <v>Defensive</v>
      </c>
      <c r="AG1905">
        <f t="shared" si="630"/>
        <v>18981</v>
      </c>
      <c r="AH1905" t="str">
        <f t="shared" si="631"/>
        <v>Nelson</v>
      </c>
      <c r="AI1905" t="str">
        <f t="shared" si="632"/>
        <v>Velodrome</v>
      </c>
      <c r="AJ1905" s="18">
        <f t="shared" si="625"/>
        <v>0</v>
      </c>
      <c r="AP1905" s="18">
        <f t="shared" si="626"/>
        <v>0</v>
      </c>
      <c r="AQ1905">
        <f t="shared" si="627"/>
        <v>2160</v>
      </c>
      <c r="AR1905" s="23">
        <f t="shared" si="628"/>
        <v>2446</v>
      </c>
      <c r="AS1905">
        <f t="shared" si="633"/>
        <v>2441</v>
      </c>
      <c r="AT1905" s="21">
        <f t="shared" si="634"/>
        <v>2446</v>
      </c>
      <c r="AU1905" s="21"/>
      <c r="AV1905" s="21"/>
      <c r="AW1905" s="21"/>
    </row>
    <row r="1906" spans="1:49" x14ac:dyDescent="0.2">
      <c r="A1906">
        <v>1005</v>
      </c>
      <c r="E1906">
        <f t="shared" si="629"/>
        <v>3</v>
      </c>
      <c r="J1906" t="str">
        <f t="shared" si="636"/>
        <v>13</v>
      </c>
      <c r="K1906" t="str">
        <f t="shared" si="637"/>
        <v>14</v>
      </c>
      <c r="L1906" t="str">
        <f t="shared" si="638"/>
        <v/>
      </c>
      <c r="M1906" s="6" t="str">
        <f t="shared" si="639"/>
        <v/>
      </c>
      <c r="N1906" t="str">
        <f t="shared" si="635"/>
        <v>Home</v>
      </c>
      <c r="O1906">
        <v>9</v>
      </c>
      <c r="P1906" t="s">
        <v>425</v>
      </c>
      <c r="Y1906" t="str">
        <f t="shared" si="622"/>
        <v/>
      </c>
      <c r="Z1906" t="str">
        <f t="shared" si="623"/>
        <v/>
      </c>
      <c r="AC1906" t="str">
        <f t="shared" si="640"/>
        <v>Shot</v>
      </c>
      <c r="AD1906" t="str">
        <f t="shared" si="641"/>
        <v>Shot_OnNetSaved</v>
      </c>
      <c r="AE1906" t="str">
        <f t="shared" si="642"/>
        <v>Shot-Wrist</v>
      </c>
      <c r="AF1906" t="str">
        <f t="shared" si="624"/>
        <v>Defensive</v>
      </c>
      <c r="AG1906">
        <f t="shared" si="630"/>
        <v>18981</v>
      </c>
      <c r="AH1906" t="str">
        <f t="shared" si="631"/>
        <v>Nelson</v>
      </c>
      <c r="AI1906" t="str">
        <f t="shared" si="632"/>
        <v>Velodrome</v>
      </c>
      <c r="AJ1906" s="18">
        <f t="shared" si="625"/>
        <v>0</v>
      </c>
      <c r="AP1906" s="18">
        <f t="shared" si="626"/>
        <v>0</v>
      </c>
      <c r="AQ1906">
        <f t="shared" si="627"/>
        <v>2160</v>
      </c>
      <c r="AR1906" s="23">
        <f t="shared" si="628"/>
        <v>2446</v>
      </c>
      <c r="AS1906">
        <f t="shared" si="633"/>
        <v>2441</v>
      </c>
      <c r="AT1906" s="21">
        <f t="shared" si="634"/>
        <v>2446</v>
      </c>
      <c r="AU1906" s="21"/>
      <c r="AV1906" s="21"/>
      <c r="AW1906" s="21"/>
    </row>
    <row r="1907" spans="1:49" x14ac:dyDescent="0.2">
      <c r="A1907">
        <v>1006</v>
      </c>
      <c r="E1907">
        <f t="shared" si="629"/>
        <v>3</v>
      </c>
      <c r="F1907" s="5" t="s">
        <v>488</v>
      </c>
      <c r="G1907" s="5" t="s">
        <v>489</v>
      </c>
      <c r="J1907" t="str">
        <f t="shared" si="636"/>
        <v>13</v>
      </c>
      <c r="K1907" t="str">
        <f t="shared" si="637"/>
        <v>14</v>
      </c>
      <c r="L1907" t="str">
        <f t="shared" si="638"/>
        <v/>
      </c>
      <c r="M1907" s="6" t="str">
        <f t="shared" si="639"/>
        <v/>
      </c>
      <c r="N1907" t="s">
        <v>179</v>
      </c>
      <c r="O1907">
        <v>39</v>
      </c>
      <c r="P1907" t="s">
        <v>424</v>
      </c>
      <c r="Q1907" t="s">
        <v>17</v>
      </c>
      <c r="R1907" t="s">
        <v>206</v>
      </c>
      <c r="S1907" t="s">
        <v>96</v>
      </c>
      <c r="Y1907" t="str">
        <f t="shared" si="622"/>
        <v/>
      </c>
      <c r="Z1907" t="str">
        <f t="shared" si="623"/>
        <v/>
      </c>
      <c r="AC1907" t="str">
        <f t="shared" si="640"/>
        <v>Save</v>
      </c>
      <c r="AD1907" t="str">
        <f t="shared" si="641"/>
        <v>Save_Freeze</v>
      </c>
      <c r="AE1907" t="str">
        <f t="shared" si="642"/>
        <v>Save-Glove</v>
      </c>
      <c r="AF1907" t="str">
        <f t="shared" si="624"/>
        <v>Defensive</v>
      </c>
      <c r="AG1907">
        <f t="shared" si="630"/>
        <v>18981</v>
      </c>
      <c r="AH1907" t="str">
        <f t="shared" si="631"/>
        <v>Nelson</v>
      </c>
      <c r="AI1907" t="str">
        <f t="shared" si="632"/>
        <v>Velodrome</v>
      </c>
      <c r="AJ1907" s="18">
        <f t="shared" si="625"/>
        <v>0</v>
      </c>
      <c r="AP1907" s="18">
        <f t="shared" si="626"/>
        <v>0</v>
      </c>
      <c r="AQ1907">
        <f t="shared" si="627"/>
        <v>2160</v>
      </c>
      <c r="AR1907" s="23">
        <f t="shared" si="628"/>
        <v>2446</v>
      </c>
      <c r="AS1907">
        <f t="shared" si="633"/>
        <v>2441</v>
      </c>
      <c r="AT1907" s="21">
        <f t="shared" si="634"/>
        <v>2446</v>
      </c>
      <c r="AU1907" s="21"/>
      <c r="AV1907" s="21"/>
      <c r="AW1907" s="21"/>
    </row>
    <row r="1908" spans="1:49" x14ac:dyDescent="0.2">
      <c r="A1908">
        <v>1006</v>
      </c>
      <c r="E1908">
        <f t="shared" si="629"/>
        <v>3</v>
      </c>
      <c r="J1908" t="str">
        <f t="shared" si="636"/>
        <v>13</v>
      </c>
      <c r="K1908" t="str">
        <f t="shared" si="637"/>
        <v>14</v>
      </c>
      <c r="L1908" t="str">
        <f t="shared" si="638"/>
        <v/>
      </c>
      <c r="M1908" s="6" t="str">
        <f t="shared" si="639"/>
        <v/>
      </c>
      <c r="N1908" t="str">
        <f t="shared" si="635"/>
        <v>Away</v>
      </c>
      <c r="O1908">
        <v>9</v>
      </c>
      <c r="P1908" t="s">
        <v>424</v>
      </c>
      <c r="Y1908" t="str">
        <f t="shared" si="622"/>
        <v/>
      </c>
      <c r="Z1908" t="str">
        <f t="shared" si="623"/>
        <v/>
      </c>
      <c r="AC1908" t="str">
        <f t="shared" si="640"/>
        <v>Save</v>
      </c>
      <c r="AD1908" t="str">
        <f t="shared" si="641"/>
        <v>Save_Freeze</v>
      </c>
      <c r="AE1908" t="str">
        <f t="shared" si="642"/>
        <v>Save-Glove</v>
      </c>
      <c r="AF1908" t="str">
        <f t="shared" si="624"/>
        <v>Defensive</v>
      </c>
      <c r="AG1908">
        <f t="shared" si="630"/>
        <v>18981</v>
      </c>
      <c r="AH1908" t="str">
        <f t="shared" si="631"/>
        <v>Nelson</v>
      </c>
      <c r="AI1908" t="str">
        <f t="shared" si="632"/>
        <v>Velodrome</v>
      </c>
      <c r="AJ1908" s="18">
        <f t="shared" si="625"/>
        <v>0</v>
      </c>
      <c r="AP1908" s="18">
        <f t="shared" si="626"/>
        <v>0</v>
      </c>
      <c r="AQ1908">
        <f t="shared" si="627"/>
        <v>2160</v>
      </c>
      <c r="AR1908" s="23">
        <f t="shared" si="628"/>
        <v>2446</v>
      </c>
      <c r="AS1908">
        <f t="shared" si="633"/>
        <v>2441</v>
      </c>
      <c r="AT1908" s="21">
        <f t="shared" si="634"/>
        <v>2446</v>
      </c>
      <c r="AU1908" s="21"/>
      <c r="AV1908" s="21"/>
      <c r="AW1908" s="21"/>
    </row>
    <row r="1909" spans="1:49" x14ac:dyDescent="0.2">
      <c r="A1909">
        <v>1006</v>
      </c>
      <c r="E1909">
        <f t="shared" si="629"/>
        <v>3</v>
      </c>
      <c r="J1909" t="str">
        <f t="shared" si="636"/>
        <v>13</v>
      </c>
      <c r="K1909" t="str">
        <f t="shared" si="637"/>
        <v>14</v>
      </c>
      <c r="L1909" t="str">
        <f t="shared" si="638"/>
        <v/>
      </c>
      <c r="M1909" s="6" t="str">
        <f t="shared" si="639"/>
        <v/>
      </c>
      <c r="N1909" t="str">
        <f t="shared" si="635"/>
        <v>Away</v>
      </c>
      <c r="O1909">
        <v>10</v>
      </c>
      <c r="P1909" t="s">
        <v>425</v>
      </c>
      <c r="Y1909" t="str">
        <f t="shared" si="622"/>
        <v/>
      </c>
      <c r="Z1909" t="str">
        <f t="shared" si="623"/>
        <v/>
      </c>
      <c r="AC1909" t="str">
        <f t="shared" si="640"/>
        <v>Save</v>
      </c>
      <c r="AD1909" t="str">
        <f t="shared" si="641"/>
        <v>Save_Freeze</v>
      </c>
      <c r="AE1909" t="str">
        <f t="shared" si="642"/>
        <v>Save-Glove</v>
      </c>
      <c r="AF1909" t="str">
        <f t="shared" si="624"/>
        <v>Offensive</v>
      </c>
      <c r="AG1909">
        <f t="shared" si="630"/>
        <v>18981</v>
      </c>
      <c r="AH1909" t="str">
        <f t="shared" si="631"/>
        <v>Nelson</v>
      </c>
      <c r="AI1909" t="str">
        <f t="shared" si="632"/>
        <v>Velodrome</v>
      </c>
      <c r="AJ1909" s="18">
        <f t="shared" si="625"/>
        <v>0</v>
      </c>
      <c r="AP1909" s="18">
        <f t="shared" si="626"/>
        <v>0</v>
      </c>
      <c r="AQ1909">
        <f t="shared" si="627"/>
        <v>2160</v>
      </c>
      <c r="AR1909" s="23">
        <f t="shared" si="628"/>
        <v>2446</v>
      </c>
      <c r="AS1909">
        <f t="shared" si="633"/>
        <v>2441</v>
      </c>
      <c r="AT1909" s="21">
        <f t="shared" si="634"/>
        <v>2446</v>
      </c>
      <c r="AU1909" s="21"/>
      <c r="AV1909" s="21"/>
      <c r="AW1909" s="21"/>
    </row>
    <row r="1910" spans="1:49" x14ac:dyDescent="0.2">
      <c r="A1910">
        <v>1007</v>
      </c>
      <c r="E1910">
        <f t="shared" si="629"/>
        <v>3</v>
      </c>
      <c r="F1910" s="5" t="s">
        <v>488</v>
      </c>
      <c r="G1910" s="5" t="s">
        <v>489</v>
      </c>
      <c r="J1910" t="str">
        <f t="shared" si="636"/>
        <v>13</v>
      </c>
      <c r="K1910" t="str">
        <f t="shared" si="637"/>
        <v>14</v>
      </c>
      <c r="L1910" t="str">
        <f t="shared" si="638"/>
        <v/>
      </c>
      <c r="M1910" s="6" t="str">
        <f t="shared" si="639"/>
        <v/>
      </c>
      <c r="N1910" t="s">
        <v>179</v>
      </c>
      <c r="O1910">
        <v>39</v>
      </c>
      <c r="P1910" t="s">
        <v>424</v>
      </c>
      <c r="Q1910" t="s">
        <v>13</v>
      </c>
      <c r="R1910" t="s">
        <v>204</v>
      </c>
      <c r="S1910" t="s">
        <v>110</v>
      </c>
      <c r="Y1910" t="str">
        <f t="shared" si="622"/>
        <v/>
      </c>
      <c r="Z1910" t="str">
        <f t="shared" si="623"/>
        <v/>
      </c>
      <c r="AC1910" t="str">
        <f t="shared" si="640"/>
        <v>Stoppage</v>
      </c>
      <c r="AD1910" t="str">
        <f t="shared" si="641"/>
        <v>Stoppage_Play</v>
      </c>
      <c r="AE1910" t="str">
        <f t="shared" si="642"/>
        <v>Stoppage-GoalieStoppage</v>
      </c>
      <c r="AF1910" t="str">
        <f t="shared" si="624"/>
        <v/>
      </c>
      <c r="AG1910">
        <f t="shared" si="630"/>
        <v>18981</v>
      </c>
      <c r="AH1910" t="str">
        <f t="shared" si="631"/>
        <v>Nelson</v>
      </c>
      <c r="AI1910" t="str">
        <f t="shared" si="632"/>
        <v>Velodrome</v>
      </c>
      <c r="AJ1910" s="18">
        <f t="shared" si="625"/>
        <v>0</v>
      </c>
      <c r="AP1910" s="18">
        <f t="shared" si="626"/>
        <v>0</v>
      </c>
      <c r="AQ1910">
        <f t="shared" si="627"/>
        <v>2160</v>
      </c>
      <c r="AR1910" s="23">
        <f t="shared" si="628"/>
        <v>2446</v>
      </c>
      <c r="AS1910">
        <f t="shared" si="633"/>
        <v>2441</v>
      </c>
      <c r="AT1910" s="21">
        <f t="shared" si="634"/>
        <v>2446</v>
      </c>
      <c r="AU1910" s="21"/>
      <c r="AV1910" s="21"/>
      <c r="AW1910" s="21"/>
    </row>
    <row r="1911" spans="1:49" x14ac:dyDescent="0.2">
      <c r="A1911">
        <v>1008</v>
      </c>
      <c r="E1911">
        <f t="shared" si="629"/>
        <v>3</v>
      </c>
      <c r="F1911" s="5" t="s">
        <v>488</v>
      </c>
      <c r="G1911" s="5" t="s">
        <v>488</v>
      </c>
      <c r="H1911" s="5" t="s">
        <v>487</v>
      </c>
      <c r="I1911" s="7" t="s">
        <v>522</v>
      </c>
      <c r="J1911" t="str">
        <f t="shared" si="636"/>
        <v>13</v>
      </c>
      <c r="K1911" t="str">
        <f t="shared" si="637"/>
        <v>13</v>
      </c>
      <c r="L1911" t="str">
        <f t="shared" si="638"/>
        <v>12</v>
      </c>
      <c r="M1911" s="6" t="str">
        <f t="shared" si="639"/>
        <v>50</v>
      </c>
      <c r="N1911" t="s">
        <v>179</v>
      </c>
      <c r="O1911">
        <v>39</v>
      </c>
      <c r="P1911" t="s">
        <v>424</v>
      </c>
      <c r="Q1911" t="s">
        <v>282</v>
      </c>
      <c r="Y1911" t="str">
        <f t="shared" si="622"/>
        <v/>
      </c>
      <c r="Z1911" t="str">
        <f t="shared" si="623"/>
        <v/>
      </c>
      <c r="AC1911" t="str">
        <f t="shared" si="640"/>
        <v>DeadIce</v>
      </c>
      <c r="AD1911" t="str">
        <f t="shared" si="641"/>
        <v/>
      </c>
      <c r="AE1911" t="str">
        <f t="shared" si="642"/>
        <v/>
      </c>
      <c r="AF1911" t="str">
        <f t="shared" si="624"/>
        <v/>
      </c>
      <c r="AG1911">
        <f t="shared" si="630"/>
        <v>18981</v>
      </c>
      <c r="AH1911" t="str">
        <f t="shared" si="631"/>
        <v>Nelson</v>
      </c>
      <c r="AI1911" t="str">
        <f t="shared" si="632"/>
        <v>Velodrome</v>
      </c>
      <c r="AJ1911" s="18">
        <f t="shared" si="625"/>
        <v>23</v>
      </c>
      <c r="AP1911" s="18">
        <f t="shared" si="626"/>
        <v>0</v>
      </c>
      <c r="AQ1911">
        <f t="shared" si="627"/>
        <v>2160</v>
      </c>
      <c r="AR1911" s="23">
        <f t="shared" si="628"/>
        <v>2447</v>
      </c>
      <c r="AS1911">
        <f t="shared" si="633"/>
        <v>2442</v>
      </c>
      <c r="AT1911" s="21">
        <f t="shared" si="634"/>
        <v>2470</v>
      </c>
      <c r="AU1911" s="21"/>
      <c r="AV1911" s="21"/>
      <c r="AW1911" s="21"/>
    </row>
    <row r="1912" spans="1:49" x14ac:dyDescent="0.2">
      <c r="A1912">
        <v>1009</v>
      </c>
      <c r="E1912">
        <f t="shared" si="629"/>
        <v>3</v>
      </c>
      <c r="F1912" s="5" t="s">
        <v>487</v>
      </c>
      <c r="G1912" s="5" t="s">
        <v>522</v>
      </c>
      <c r="J1912" t="str">
        <f t="shared" si="636"/>
        <v>12</v>
      </c>
      <c r="K1912" t="str">
        <f t="shared" si="637"/>
        <v>50</v>
      </c>
      <c r="L1912" t="str">
        <f t="shared" si="638"/>
        <v/>
      </c>
      <c r="M1912" s="6" t="str">
        <f t="shared" si="639"/>
        <v/>
      </c>
      <c r="N1912" t="s">
        <v>178</v>
      </c>
      <c r="O1912">
        <v>79</v>
      </c>
      <c r="P1912" t="s">
        <v>424</v>
      </c>
      <c r="Q1912" t="s">
        <v>6</v>
      </c>
      <c r="R1912" t="s">
        <v>275</v>
      </c>
      <c r="Y1912" t="str">
        <f t="shared" si="622"/>
        <v/>
      </c>
      <c r="Z1912" t="str">
        <f t="shared" si="623"/>
        <v/>
      </c>
      <c r="AC1912" t="str">
        <f t="shared" si="640"/>
        <v>Faceoff</v>
      </c>
      <c r="AD1912" t="str">
        <f t="shared" si="641"/>
        <v>Faceoff_AfterStoppage</v>
      </c>
      <c r="AE1912" t="str">
        <f t="shared" si="642"/>
        <v/>
      </c>
      <c r="AF1912" t="str">
        <f t="shared" si="624"/>
        <v>Offensive</v>
      </c>
      <c r="AG1912">
        <f t="shared" si="630"/>
        <v>18981</v>
      </c>
      <c r="AH1912" t="str">
        <f t="shared" si="631"/>
        <v>Nelson</v>
      </c>
      <c r="AI1912" t="str">
        <f t="shared" si="632"/>
        <v>Velodrome</v>
      </c>
      <c r="AJ1912" s="18">
        <f t="shared" si="625"/>
        <v>0</v>
      </c>
      <c r="AP1912" s="18">
        <f t="shared" si="626"/>
        <v>0</v>
      </c>
      <c r="AQ1912">
        <f t="shared" si="627"/>
        <v>2160</v>
      </c>
      <c r="AR1912" s="23">
        <f t="shared" si="628"/>
        <v>2470</v>
      </c>
      <c r="AS1912">
        <f t="shared" si="633"/>
        <v>2465</v>
      </c>
      <c r="AT1912" s="21">
        <f t="shared" si="634"/>
        <v>2470</v>
      </c>
      <c r="AU1912" s="21"/>
      <c r="AV1912" s="21"/>
      <c r="AW1912" s="21"/>
    </row>
    <row r="1913" spans="1:49" x14ac:dyDescent="0.2">
      <c r="A1913">
        <v>1009</v>
      </c>
      <c r="E1913">
        <f t="shared" si="629"/>
        <v>3</v>
      </c>
      <c r="J1913" t="str">
        <f t="shared" si="636"/>
        <v>12</v>
      </c>
      <c r="K1913" t="str">
        <f t="shared" si="637"/>
        <v>50</v>
      </c>
      <c r="L1913" t="str">
        <f t="shared" si="638"/>
        <v/>
      </c>
      <c r="M1913" s="6" t="str">
        <f t="shared" si="639"/>
        <v/>
      </c>
      <c r="N1913" t="str">
        <f t="shared" si="635"/>
        <v>Home</v>
      </c>
      <c r="O1913">
        <v>8</v>
      </c>
      <c r="P1913" t="s">
        <v>424</v>
      </c>
      <c r="Y1913" t="str">
        <f t="shared" si="622"/>
        <v/>
      </c>
      <c r="Z1913" t="str">
        <f t="shared" si="623"/>
        <v/>
      </c>
      <c r="AC1913" t="str">
        <f t="shared" si="640"/>
        <v>Faceoff</v>
      </c>
      <c r="AD1913" t="str">
        <f t="shared" si="641"/>
        <v>Faceoff_AfterStoppage</v>
      </c>
      <c r="AE1913" t="str">
        <f t="shared" si="642"/>
        <v/>
      </c>
      <c r="AF1913" t="str">
        <f t="shared" si="624"/>
        <v>Offensive</v>
      </c>
      <c r="AG1913">
        <f t="shared" si="630"/>
        <v>18981</v>
      </c>
      <c r="AH1913" t="str">
        <f t="shared" si="631"/>
        <v>Nelson</v>
      </c>
      <c r="AI1913" t="str">
        <f t="shared" si="632"/>
        <v>Velodrome</v>
      </c>
      <c r="AJ1913" s="18">
        <f t="shared" si="625"/>
        <v>0</v>
      </c>
      <c r="AP1913" s="18">
        <f t="shared" si="626"/>
        <v>0</v>
      </c>
      <c r="AQ1913">
        <f t="shared" si="627"/>
        <v>2160</v>
      </c>
      <c r="AR1913" s="23">
        <f t="shared" si="628"/>
        <v>2470</v>
      </c>
      <c r="AS1913">
        <f t="shared" si="633"/>
        <v>2465</v>
      </c>
      <c r="AT1913" s="21">
        <f t="shared" si="634"/>
        <v>2470</v>
      </c>
      <c r="AU1913" s="21"/>
      <c r="AV1913" s="21"/>
      <c r="AW1913" s="21"/>
    </row>
    <row r="1914" spans="1:49" x14ac:dyDescent="0.2">
      <c r="A1914">
        <v>1009</v>
      </c>
      <c r="E1914">
        <f t="shared" si="629"/>
        <v>3</v>
      </c>
      <c r="J1914" t="str">
        <f t="shared" si="636"/>
        <v>12</v>
      </c>
      <c r="K1914" t="str">
        <f t="shared" si="637"/>
        <v>50</v>
      </c>
      <c r="L1914" t="str">
        <f t="shared" si="638"/>
        <v/>
      </c>
      <c r="M1914" s="6" t="str">
        <f t="shared" si="639"/>
        <v/>
      </c>
      <c r="N1914" t="str">
        <f t="shared" si="635"/>
        <v>Home</v>
      </c>
      <c r="O1914">
        <v>49</v>
      </c>
      <c r="P1914" t="s">
        <v>425</v>
      </c>
      <c r="Y1914" t="str">
        <f t="shared" si="622"/>
        <v/>
      </c>
      <c r="Z1914" t="str">
        <f t="shared" si="623"/>
        <v/>
      </c>
      <c r="AC1914" t="str">
        <f t="shared" si="640"/>
        <v>Faceoff</v>
      </c>
      <c r="AD1914" t="str">
        <f t="shared" si="641"/>
        <v>Faceoff_AfterStoppage</v>
      </c>
      <c r="AE1914" t="str">
        <f t="shared" si="642"/>
        <v/>
      </c>
      <c r="AF1914" t="str">
        <f t="shared" si="624"/>
        <v>Defensive</v>
      </c>
      <c r="AG1914">
        <f t="shared" si="630"/>
        <v>18981</v>
      </c>
      <c r="AH1914" t="str">
        <f t="shared" si="631"/>
        <v>Nelson</v>
      </c>
      <c r="AI1914" t="str">
        <f t="shared" si="632"/>
        <v>Velodrome</v>
      </c>
      <c r="AJ1914" s="18">
        <f t="shared" si="625"/>
        <v>0</v>
      </c>
      <c r="AP1914" s="18">
        <f t="shared" si="626"/>
        <v>0</v>
      </c>
      <c r="AQ1914">
        <f t="shared" si="627"/>
        <v>2160</v>
      </c>
      <c r="AR1914" s="23">
        <f t="shared" si="628"/>
        <v>2470</v>
      </c>
      <c r="AS1914">
        <f t="shared" si="633"/>
        <v>2465</v>
      </c>
      <c r="AT1914" s="21">
        <f t="shared" si="634"/>
        <v>2470</v>
      </c>
      <c r="AU1914" s="21"/>
      <c r="AV1914" s="21"/>
      <c r="AW1914" s="21"/>
    </row>
    <row r="1915" spans="1:49" x14ac:dyDescent="0.2">
      <c r="A1915">
        <v>1010</v>
      </c>
      <c r="E1915">
        <f t="shared" si="629"/>
        <v>3</v>
      </c>
      <c r="F1915" s="5" t="s">
        <v>487</v>
      </c>
      <c r="G1915" s="5" t="s">
        <v>521</v>
      </c>
      <c r="H1915" s="5" t="s">
        <v>487</v>
      </c>
      <c r="I1915" s="7" t="s">
        <v>519</v>
      </c>
      <c r="J1915" t="str">
        <f t="shared" si="636"/>
        <v>12</v>
      </c>
      <c r="K1915" t="str">
        <f t="shared" si="637"/>
        <v>49</v>
      </c>
      <c r="L1915" t="str">
        <f t="shared" si="638"/>
        <v>12</v>
      </c>
      <c r="M1915" s="6" t="str">
        <f t="shared" si="639"/>
        <v>47</v>
      </c>
      <c r="N1915" t="s">
        <v>178</v>
      </c>
      <c r="O1915">
        <v>8</v>
      </c>
      <c r="P1915" t="s">
        <v>424</v>
      </c>
      <c r="Q1915" t="s">
        <v>15</v>
      </c>
      <c r="Y1915" t="str">
        <f t="shared" si="622"/>
        <v/>
      </c>
      <c r="Z1915" t="str">
        <f t="shared" si="623"/>
        <v/>
      </c>
      <c r="AC1915" t="str">
        <f t="shared" si="640"/>
        <v>Possession</v>
      </c>
      <c r="AD1915" t="str">
        <f t="shared" si="641"/>
        <v/>
      </c>
      <c r="AE1915" t="str">
        <f t="shared" si="642"/>
        <v/>
      </c>
      <c r="AF1915" t="str">
        <f t="shared" si="624"/>
        <v>Offensive</v>
      </c>
      <c r="AG1915">
        <f t="shared" si="630"/>
        <v>18981</v>
      </c>
      <c r="AH1915" t="str">
        <f t="shared" si="631"/>
        <v>Nelson</v>
      </c>
      <c r="AI1915" t="str">
        <f t="shared" si="632"/>
        <v>Velodrome</v>
      </c>
      <c r="AJ1915" s="18">
        <f t="shared" si="625"/>
        <v>2</v>
      </c>
      <c r="AP1915" s="18">
        <f t="shared" si="626"/>
        <v>0</v>
      </c>
      <c r="AQ1915">
        <f t="shared" si="627"/>
        <v>2160</v>
      </c>
      <c r="AR1915" s="23">
        <f t="shared" si="628"/>
        <v>2471</v>
      </c>
      <c r="AS1915">
        <f t="shared" si="633"/>
        <v>2466</v>
      </c>
      <c r="AT1915" s="21">
        <f t="shared" si="634"/>
        <v>2473</v>
      </c>
      <c r="AU1915" s="21"/>
      <c r="AV1915" s="21"/>
      <c r="AW1915" s="21"/>
    </row>
    <row r="1916" spans="1:49" x14ac:dyDescent="0.2">
      <c r="A1916">
        <v>1011</v>
      </c>
      <c r="E1916">
        <f t="shared" si="629"/>
        <v>3</v>
      </c>
      <c r="F1916" s="5" t="s">
        <v>487</v>
      </c>
      <c r="G1916" s="5" t="s">
        <v>518</v>
      </c>
      <c r="J1916" t="str">
        <f t="shared" si="636"/>
        <v>12</v>
      </c>
      <c r="K1916" t="str">
        <f t="shared" si="637"/>
        <v>46</v>
      </c>
      <c r="L1916" t="str">
        <f t="shared" si="638"/>
        <v/>
      </c>
      <c r="M1916" s="6" t="str">
        <f t="shared" si="639"/>
        <v/>
      </c>
      <c r="N1916" t="s">
        <v>178</v>
      </c>
      <c r="O1916">
        <v>8</v>
      </c>
      <c r="P1916" t="s">
        <v>424</v>
      </c>
      <c r="Q1916" t="s">
        <v>7</v>
      </c>
      <c r="R1916" t="s">
        <v>222</v>
      </c>
      <c r="S1916" t="s">
        <v>53</v>
      </c>
      <c r="Y1916" t="str">
        <f t="shared" si="622"/>
        <v/>
      </c>
      <c r="Z1916" t="str">
        <f t="shared" si="623"/>
        <v/>
      </c>
      <c r="AC1916" t="str">
        <f t="shared" si="640"/>
        <v>Shot</v>
      </c>
      <c r="AD1916" t="str">
        <f t="shared" si="641"/>
        <v>Shot_OnNetSaved</v>
      </c>
      <c r="AE1916" t="str">
        <f t="shared" si="642"/>
        <v>Shot-Wrist</v>
      </c>
      <c r="AF1916" t="str">
        <f t="shared" si="624"/>
        <v>Offensive</v>
      </c>
      <c r="AG1916">
        <f t="shared" si="630"/>
        <v>18981</v>
      </c>
      <c r="AH1916" t="str">
        <f t="shared" si="631"/>
        <v>Nelson</v>
      </c>
      <c r="AI1916" t="str">
        <f t="shared" si="632"/>
        <v>Velodrome</v>
      </c>
      <c r="AJ1916" s="18">
        <f t="shared" si="625"/>
        <v>0</v>
      </c>
      <c r="AP1916" s="18">
        <f t="shared" si="626"/>
        <v>0</v>
      </c>
      <c r="AQ1916">
        <f t="shared" si="627"/>
        <v>2160</v>
      </c>
      <c r="AR1916" s="23">
        <f t="shared" si="628"/>
        <v>2474</v>
      </c>
      <c r="AS1916">
        <f t="shared" si="633"/>
        <v>2469</v>
      </c>
      <c r="AT1916" s="21">
        <f t="shared" si="634"/>
        <v>2474</v>
      </c>
      <c r="AU1916" s="21"/>
      <c r="AV1916" s="21"/>
      <c r="AW1916" s="21"/>
    </row>
    <row r="1917" spans="1:49" x14ac:dyDescent="0.2">
      <c r="A1917">
        <v>1011</v>
      </c>
      <c r="E1917">
        <f t="shared" si="629"/>
        <v>3</v>
      </c>
      <c r="J1917" t="str">
        <f t="shared" si="636"/>
        <v>12</v>
      </c>
      <c r="K1917" t="str">
        <f t="shared" si="637"/>
        <v>46</v>
      </c>
      <c r="L1917" t="str">
        <f t="shared" si="638"/>
        <v/>
      </c>
      <c r="M1917" s="6" t="str">
        <f t="shared" si="639"/>
        <v/>
      </c>
      <c r="N1917" t="str">
        <f t="shared" si="635"/>
        <v>Home</v>
      </c>
      <c r="O1917">
        <v>39</v>
      </c>
      <c r="P1917" t="s">
        <v>425</v>
      </c>
      <c r="Y1917" t="str">
        <f t="shared" si="622"/>
        <v/>
      </c>
      <c r="Z1917" t="str">
        <f t="shared" si="623"/>
        <v/>
      </c>
      <c r="AC1917" t="str">
        <f t="shared" si="640"/>
        <v>Shot</v>
      </c>
      <c r="AD1917" t="str">
        <f t="shared" si="641"/>
        <v>Shot_OnNetSaved</v>
      </c>
      <c r="AE1917" t="str">
        <f t="shared" si="642"/>
        <v>Shot-Wrist</v>
      </c>
      <c r="AF1917" t="str">
        <f t="shared" si="624"/>
        <v>Defensive</v>
      </c>
      <c r="AG1917">
        <f t="shared" si="630"/>
        <v>18981</v>
      </c>
      <c r="AH1917" t="str">
        <f t="shared" si="631"/>
        <v>Nelson</v>
      </c>
      <c r="AI1917" t="str">
        <f t="shared" si="632"/>
        <v>Velodrome</v>
      </c>
      <c r="AJ1917" s="18">
        <f t="shared" si="625"/>
        <v>0</v>
      </c>
      <c r="AP1917" s="18">
        <f t="shared" si="626"/>
        <v>0</v>
      </c>
      <c r="AQ1917">
        <f t="shared" si="627"/>
        <v>2160</v>
      </c>
      <c r="AR1917" s="23">
        <f t="shared" si="628"/>
        <v>2474</v>
      </c>
      <c r="AS1917">
        <f t="shared" si="633"/>
        <v>2469</v>
      </c>
      <c r="AT1917" s="21">
        <f t="shared" si="634"/>
        <v>2474</v>
      </c>
      <c r="AU1917" s="21"/>
      <c r="AV1917" s="21"/>
      <c r="AW1917" s="21"/>
    </row>
    <row r="1918" spans="1:49" x14ac:dyDescent="0.2">
      <c r="A1918">
        <v>1011</v>
      </c>
      <c r="E1918">
        <f t="shared" si="629"/>
        <v>3</v>
      </c>
      <c r="J1918" t="str">
        <f t="shared" si="636"/>
        <v>12</v>
      </c>
      <c r="K1918" t="str">
        <f t="shared" si="637"/>
        <v>46</v>
      </c>
      <c r="L1918" t="str">
        <f t="shared" si="638"/>
        <v/>
      </c>
      <c r="M1918" s="6" t="str">
        <f t="shared" si="639"/>
        <v/>
      </c>
      <c r="N1918" t="str">
        <f t="shared" si="635"/>
        <v>Home</v>
      </c>
      <c r="O1918">
        <v>14</v>
      </c>
      <c r="P1918" t="s">
        <v>425</v>
      </c>
      <c r="Y1918" t="str">
        <f t="shared" si="622"/>
        <v/>
      </c>
      <c r="Z1918" t="str">
        <f t="shared" si="623"/>
        <v/>
      </c>
      <c r="AC1918" t="str">
        <f t="shared" si="640"/>
        <v>Shot</v>
      </c>
      <c r="AD1918" t="str">
        <f t="shared" si="641"/>
        <v>Shot_OnNetSaved</v>
      </c>
      <c r="AE1918" t="str">
        <f t="shared" si="642"/>
        <v>Shot-Wrist</v>
      </c>
      <c r="AF1918" t="str">
        <f t="shared" si="624"/>
        <v>Defensive</v>
      </c>
      <c r="AG1918">
        <f t="shared" si="630"/>
        <v>18981</v>
      </c>
      <c r="AH1918" t="str">
        <f t="shared" si="631"/>
        <v>Nelson</v>
      </c>
      <c r="AI1918" t="str">
        <f t="shared" si="632"/>
        <v>Velodrome</v>
      </c>
      <c r="AJ1918" s="18">
        <f t="shared" si="625"/>
        <v>0</v>
      </c>
      <c r="AP1918" s="18">
        <f t="shared" si="626"/>
        <v>0</v>
      </c>
      <c r="AQ1918">
        <f t="shared" si="627"/>
        <v>2160</v>
      </c>
      <c r="AR1918" s="23">
        <f t="shared" si="628"/>
        <v>2474</v>
      </c>
      <c r="AS1918">
        <f t="shared" si="633"/>
        <v>2469</v>
      </c>
      <c r="AT1918" s="21">
        <f t="shared" si="634"/>
        <v>2474</v>
      </c>
      <c r="AU1918" s="21"/>
      <c r="AV1918" s="21"/>
      <c r="AW1918" s="21"/>
    </row>
    <row r="1919" spans="1:49" x14ac:dyDescent="0.2">
      <c r="A1919">
        <v>1012</v>
      </c>
      <c r="E1919">
        <f t="shared" si="629"/>
        <v>3</v>
      </c>
      <c r="F1919" s="5" t="s">
        <v>487</v>
      </c>
      <c r="G1919" s="5" t="s">
        <v>518</v>
      </c>
      <c r="J1919" t="str">
        <f t="shared" si="636"/>
        <v>12</v>
      </c>
      <c r="K1919" t="str">
        <f t="shared" si="637"/>
        <v>46</v>
      </c>
      <c r="L1919" t="str">
        <f t="shared" si="638"/>
        <v/>
      </c>
      <c r="M1919" s="6" t="str">
        <f t="shared" si="639"/>
        <v/>
      </c>
      <c r="N1919" t="s">
        <v>179</v>
      </c>
      <c r="O1919">
        <v>39</v>
      </c>
      <c r="P1919" t="s">
        <v>424</v>
      </c>
      <c r="Q1919" t="s">
        <v>17</v>
      </c>
      <c r="R1919" t="s">
        <v>206</v>
      </c>
      <c r="S1919" t="s">
        <v>103</v>
      </c>
      <c r="Y1919" t="str">
        <f t="shared" si="622"/>
        <v/>
      </c>
      <c r="Z1919" t="str">
        <f t="shared" si="623"/>
        <v/>
      </c>
      <c r="AC1919" t="str">
        <f t="shared" si="640"/>
        <v>Save</v>
      </c>
      <c r="AD1919" t="str">
        <f t="shared" si="641"/>
        <v>Save_Freeze</v>
      </c>
      <c r="AE1919" t="str">
        <f t="shared" si="642"/>
        <v>Save-Chest</v>
      </c>
      <c r="AF1919" t="str">
        <f t="shared" si="624"/>
        <v>Defensive</v>
      </c>
      <c r="AG1919">
        <f t="shared" si="630"/>
        <v>18981</v>
      </c>
      <c r="AH1919" t="str">
        <f t="shared" si="631"/>
        <v>Nelson</v>
      </c>
      <c r="AI1919" t="str">
        <f t="shared" si="632"/>
        <v>Velodrome</v>
      </c>
      <c r="AJ1919" s="18">
        <f t="shared" si="625"/>
        <v>0</v>
      </c>
      <c r="AP1919" s="18">
        <f t="shared" si="626"/>
        <v>0</v>
      </c>
      <c r="AQ1919">
        <f t="shared" si="627"/>
        <v>2160</v>
      </c>
      <c r="AR1919" s="23">
        <f t="shared" si="628"/>
        <v>2474</v>
      </c>
      <c r="AS1919">
        <f t="shared" si="633"/>
        <v>2469</v>
      </c>
      <c r="AT1919" s="21">
        <f t="shared" si="634"/>
        <v>2474</v>
      </c>
      <c r="AU1919" s="21"/>
      <c r="AV1919" s="21"/>
      <c r="AW1919" s="21"/>
    </row>
    <row r="1920" spans="1:49" x14ac:dyDescent="0.2">
      <c r="A1920">
        <v>1012</v>
      </c>
      <c r="E1920">
        <f t="shared" si="629"/>
        <v>3</v>
      </c>
      <c r="J1920" t="str">
        <f t="shared" si="636"/>
        <v>12</v>
      </c>
      <c r="K1920" t="str">
        <f t="shared" si="637"/>
        <v>46</v>
      </c>
      <c r="L1920" t="str">
        <f t="shared" si="638"/>
        <v/>
      </c>
      <c r="M1920" s="6" t="str">
        <f t="shared" si="639"/>
        <v/>
      </c>
      <c r="N1920" t="str">
        <f t="shared" si="635"/>
        <v>Away</v>
      </c>
      <c r="O1920">
        <v>14</v>
      </c>
      <c r="P1920" t="s">
        <v>424</v>
      </c>
      <c r="Y1920" t="str">
        <f t="shared" si="622"/>
        <v/>
      </c>
      <c r="Z1920" t="str">
        <f t="shared" si="623"/>
        <v/>
      </c>
      <c r="AC1920" t="str">
        <f t="shared" si="640"/>
        <v>Save</v>
      </c>
      <c r="AD1920" t="str">
        <f t="shared" si="641"/>
        <v>Save_Freeze</v>
      </c>
      <c r="AE1920" t="str">
        <f t="shared" si="642"/>
        <v>Save-Chest</v>
      </c>
      <c r="AF1920" t="str">
        <f t="shared" si="624"/>
        <v>Defensive</v>
      </c>
      <c r="AG1920">
        <f t="shared" si="630"/>
        <v>18981</v>
      </c>
      <c r="AH1920" t="str">
        <f t="shared" si="631"/>
        <v>Nelson</v>
      </c>
      <c r="AI1920" t="str">
        <f t="shared" si="632"/>
        <v>Velodrome</v>
      </c>
      <c r="AJ1920" s="18">
        <f t="shared" si="625"/>
        <v>0</v>
      </c>
      <c r="AP1920" s="18">
        <f t="shared" si="626"/>
        <v>0</v>
      </c>
      <c r="AQ1920">
        <f t="shared" si="627"/>
        <v>2160</v>
      </c>
      <c r="AR1920" s="23">
        <f t="shared" si="628"/>
        <v>2474</v>
      </c>
      <c r="AS1920">
        <f t="shared" si="633"/>
        <v>2469</v>
      </c>
      <c r="AT1920" s="21">
        <f t="shared" si="634"/>
        <v>2474</v>
      </c>
      <c r="AU1920" s="21"/>
      <c r="AV1920" s="21"/>
      <c r="AW1920" s="21"/>
    </row>
    <row r="1921" spans="1:49" x14ac:dyDescent="0.2">
      <c r="A1921">
        <v>1012</v>
      </c>
      <c r="E1921">
        <f t="shared" si="629"/>
        <v>3</v>
      </c>
      <c r="J1921" t="str">
        <f t="shared" si="636"/>
        <v>12</v>
      </c>
      <c r="K1921" t="str">
        <f t="shared" si="637"/>
        <v>46</v>
      </c>
      <c r="L1921" t="str">
        <f t="shared" si="638"/>
        <v/>
      </c>
      <c r="M1921" s="6" t="str">
        <f t="shared" si="639"/>
        <v/>
      </c>
      <c r="N1921" t="str">
        <f t="shared" si="635"/>
        <v>Away</v>
      </c>
      <c r="O1921">
        <v>8</v>
      </c>
      <c r="P1921" t="s">
        <v>425</v>
      </c>
      <c r="Y1921" t="str">
        <f t="shared" si="622"/>
        <v/>
      </c>
      <c r="Z1921" t="str">
        <f t="shared" si="623"/>
        <v/>
      </c>
      <c r="AC1921" t="str">
        <f t="shared" si="640"/>
        <v>Save</v>
      </c>
      <c r="AD1921" t="str">
        <f t="shared" si="641"/>
        <v>Save_Freeze</v>
      </c>
      <c r="AE1921" t="str">
        <f t="shared" si="642"/>
        <v>Save-Chest</v>
      </c>
      <c r="AF1921" t="str">
        <f t="shared" si="624"/>
        <v>Offensive</v>
      </c>
      <c r="AG1921">
        <f t="shared" si="630"/>
        <v>18981</v>
      </c>
      <c r="AH1921" t="str">
        <f t="shared" si="631"/>
        <v>Nelson</v>
      </c>
      <c r="AI1921" t="str">
        <f t="shared" si="632"/>
        <v>Velodrome</v>
      </c>
      <c r="AJ1921" s="18">
        <f t="shared" si="625"/>
        <v>0</v>
      </c>
      <c r="AP1921" s="18">
        <f t="shared" si="626"/>
        <v>0</v>
      </c>
      <c r="AQ1921">
        <f t="shared" si="627"/>
        <v>2160</v>
      </c>
      <c r="AR1921" s="23">
        <f t="shared" si="628"/>
        <v>2474</v>
      </c>
      <c r="AS1921">
        <f t="shared" si="633"/>
        <v>2469</v>
      </c>
      <c r="AT1921" s="21">
        <f t="shared" si="634"/>
        <v>2474</v>
      </c>
      <c r="AU1921" s="21"/>
      <c r="AV1921" s="21"/>
      <c r="AW1921" s="21"/>
    </row>
    <row r="1922" spans="1:49" x14ac:dyDescent="0.2">
      <c r="A1922">
        <v>1013</v>
      </c>
      <c r="E1922">
        <f t="shared" si="629"/>
        <v>3</v>
      </c>
      <c r="F1922" s="5" t="s">
        <v>487</v>
      </c>
      <c r="G1922" s="5" t="s">
        <v>518</v>
      </c>
      <c r="J1922" t="str">
        <f t="shared" si="636"/>
        <v>12</v>
      </c>
      <c r="K1922" t="str">
        <f t="shared" si="637"/>
        <v>46</v>
      </c>
      <c r="L1922" t="str">
        <f t="shared" si="638"/>
        <v/>
      </c>
      <c r="M1922" s="6" t="str">
        <f t="shared" si="639"/>
        <v/>
      </c>
      <c r="N1922" t="s">
        <v>179</v>
      </c>
      <c r="O1922">
        <v>39</v>
      </c>
      <c r="P1922" t="s">
        <v>424</v>
      </c>
      <c r="Q1922" t="s">
        <v>13</v>
      </c>
      <c r="R1922" t="s">
        <v>204</v>
      </c>
      <c r="S1922" t="s">
        <v>110</v>
      </c>
      <c r="Y1922" t="str">
        <f t="shared" si="622"/>
        <v/>
      </c>
      <c r="Z1922" t="str">
        <f t="shared" si="623"/>
        <v/>
      </c>
      <c r="AC1922" t="str">
        <f t="shared" si="640"/>
        <v>Stoppage</v>
      </c>
      <c r="AD1922" t="str">
        <f t="shared" si="641"/>
        <v>Stoppage_Play</v>
      </c>
      <c r="AE1922" t="str">
        <f t="shared" si="642"/>
        <v>Stoppage-GoalieStoppage</v>
      </c>
      <c r="AF1922" t="str">
        <f t="shared" si="624"/>
        <v/>
      </c>
      <c r="AG1922">
        <f t="shared" si="630"/>
        <v>18981</v>
      </c>
      <c r="AH1922" t="str">
        <f t="shared" si="631"/>
        <v>Nelson</v>
      </c>
      <c r="AI1922" t="str">
        <f t="shared" si="632"/>
        <v>Velodrome</v>
      </c>
      <c r="AJ1922" s="18">
        <f t="shared" si="625"/>
        <v>0</v>
      </c>
      <c r="AP1922" s="18">
        <f t="shared" si="626"/>
        <v>0</v>
      </c>
      <c r="AQ1922">
        <f t="shared" si="627"/>
        <v>2160</v>
      </c>
      <c r="AR1922" s="23">
        <f t="shared" si="628"/>
        <v>2474</v>
      </c>
      <c r="AS1922">
        <f t="shared" si="633"/>
        <v>2469</v>
      </c>
      <c r="AT1922" s="21">
        <f t="shared" si="634"/>
        <v>2474</v>
      </c>
      <c r="AU1922" s="21"/>
      <c r="AV1922" s="21"/>
      <c r="AW1922" s="21"/>
    </row>
    <row r="1923" spans="1:49" x14ac:dyDescent="0.2">
      <c r="A1923">
        <v>1014</v>
      </c>
      <c r="E1923">
        <f t="shared" si="629"/>
        <v>3</v>
      </c>
      <c r="F1923" s="5" t="s">
        <v>487</v>
      </c>
      <c r="G1923" s="5" t="s">
        <v>517</v>
      </c>
      <c r="H1923" s="5" t="s">
        <v>487</v>
      </c>
      <c r="I1923" s="7" t="s">
        <v>502</v>
      </c>
      <c r="J1923" t="str">
        <f t="shared" si="636"/>
        <v>12</v>
      </c>
      <c r="K1923" t="str">
        <f t="shared" si="637"/>
        <v>45</v>
      </c>
      <c r="L1923" t="str">
        <f t="shared" si="638"/>
        <v>12</v>
      </c>
      <c r="M1923" s="6" t="str">
        <f t="shared" si="639"/>
        <v>30</v>
      </c>
      <c r="N1923" t="s">
        <v>179</v>
      </c>
      <c r="O1923">
        <v>39</v>
      </c>
      <c r="P1923" t="s">
        <v>424</v>
      </c>
      <c r="Q1923" t="s">
        <v>282</v>
      </c>
      <c r="Y1923" t="str">
        <f t="shared" ref="Y1923:Y1986" si="643">IF($N1923="","",IF(X1923="","",IF($N1923="Home",$X1923,IF($X1923="n","n",IF($X1923="d","o",IF($X1923="o","d",""))))))</f>
        <v/>
      </c>
      <c r="Z1923" t="str">
        <f t="shared" ref="Z1923:Z1986" si="644">IF($N1923="","",IF(X1923="","",IF($N1923="Away",$X1923,IF($X1923="n","n",IF($X1923="d","o",IF($X1923="o","d",""))))))</f>
        <v/>
      </c>
      <c r="AC1923" t="str">
        <f t="shared" si="640"/>
        <v>DeadIce</v>
      </c>
      <c r="AD1923" t="str">
        <f t="shared" si="641"/>
        <v/>
      </c>
      <c r="AE1923" t="str">
        <f t="shared" si="642"/>
        <v/>
      </c>
      <c r="AF1923" t="str">
        <f t="shared" ref="AF1923:AF1986" si="645">IF(AND(P1923="e",OR(AC1923="Save",AD1923="Turnover_Takeaway",AD1923="Play_Defensive")),"Defensive",IF(AND(P1923="o",OR(AC1923="Save",AD1923="Turnover_Takeaway",AD1923="Play_Defensive")),"Offensive",IF(OR(AC1923="Deadice",AC1923="Stoppage",AC1923="Intermission"),"",IF(P1923="e","Offensive",IF(P1923="o","Defensive","")))))</f>
        <v/>
      </c>
      <c r="AG1923">
        <f t="shared" si="630"/>
        <v>18981</v>
      </c>
      <c r="AH1923" t="str">
        <f t="shared" si="631"/>
        <v>Nelson</v>
      </c>
      <c r="AI1923" t="str">
        <f t="shared" si="632"/>
        <v>Velodrome</v>
      </c>
      <c r="AJ1923" s="18">
        <f t="shared" ref="AJ1923:AJ1986" si="646">IF(AND(L1923="",M1923=""),0,((J1923*60)+K1923)-((L1923*60)+M1923))</f>
        <v>15</v>
      </c>
      <c r="AP1923" s="18">
        <f t="shared" ref="AP1923:AP1986" si="647">SUMIFS(AJ1923:AJ1923,Q1923:Q1923,"=Intermission")</f>
        <v>0</v>
      </c>
      <c r="AQ1923">
        <f t="shared" ref="AQ1923:AQ1986" si="648">IF(E1923=1,0,IF(E1923=2,1080+AP1923,IF(E1923=3,(1080*2)+AP1923,0)))</f>
        <v>2160</v>
      </c>
      <c r="AR1923" s="23">
        <f t="shared" ref="AR1923:AR1986" si="649">IF(Q1923="Intermission",AR1922,((1080)-((J1923*60)+K1923))+AQ1923)</f>
        <v>2475</v>
      </c>
      <c r="AS1923">
        <f t="shared" si="633"/>
        <v>2470</v>
      </c>
      <c r="AT1923" s="21">
        <f t="shared" si="634"/>
        <v>2490</v>
      </c>
      <c r="AU1923" s="21"/>
      <c r="AV1923" s="21"/>
      <c r="AW1923" s="21"/>
    </row>
    <row r="1924" spans="1:49" x14ac:dyDescent="0.2">
      <c r="A1924">
        <v>1015</v>
      </c>
      <c r="E1924">
        <f t="shared" ref="E1924:E1987" si="650">IF(Q1924="Intermission",E1923+1,E1923)</f>
        <v>3</v>
      </c>
      <c r="F1924" s="5" t="s">
        <v>487</v>
      </c>
      <c r="G1924" s="5" t="s">
        <v>502</v>
      </c>
      <c r="J1924" t="str">
        <f t="shared" si="636"/>
        <v>12</v>
      </c>
      <c r="K1924" t="str">
        <f t="shared" si="637"/>
        <v>30</v>
      </c>
      <c r="L1924" t="str">
        <f t="shared" si="638"/>
        <v/>
      </c>
      <c r="M1924" s="6" t="str">
        <f t="shared" si="639"/>
        <v/>
      </c>
      <c r="N1924" t="s">
        <v>179</v>
      </c>
      <c r="O1924">
        <v>49</v>
      </c>
      <c r="P1924" t="s">
        <v>424</v>
      </c>
      <c r="Q1924" t="s">
        <v>6</v>
      </c>
      <c r="R1924" t="s">
        <v>275</v>
      </c>
      <c r="Y1924" t="str">
        <f t="shared" si="643"/>
        <v/>
      </c>
      <c r="Z1924" t="str">
        <f t="shared" si="644"/>
        <v/>
      </c>
      <c r="AC1924" t="str">
        <f t="shared" si="640"/>
        <v>Faceoff</v>
      </c>
      <c r="AD1924" t="str">
        <f t="shared" si="641"/>
        <v>Faceoff_AfterStoppage</v>
      </c>
      <c r="AE1924" t="str">
        <f t="shared" si="642"/>
        <v/>
      </c>
      <c r="AF1924" t="str">
        <f t="shared" si="645"/>
        <v>Offensive</v>
      </c>
      <c r="AG1924">
        <f t="shared" ref="AG1924:AG1987" si="651">AG1923</f>
        <v>18981</v>
      </c>
      <c r="AH1924" t="str">
        <f t="shared" ref="AH1924:AH1987" si="652">AH1923</f>
        <v>Nelson</v>
      </c>
      <c r="AI1924" t="str">
        <f t="shared" ref="AI1924:AI1987" si="653">AI1923</f>
        <v>Velodrome</v>
      </c>
      <c r="AJ1924" s="18">
        <f t="shared" si="646"/>
        <v>0</v>
      </c>
      <c r="AP1924" s="18">
        <f t="shared" si="647"/>
        <v>0</v>
      </c>
      <c r="AQ1924">
        <f t="shared" si="648"/>
        <v>2160</v>
      </c>
      <c r="AR1924" s="23">
        <f t="shared" si="649"/>
        <v>2490</v>
      </c>
      <c r="AS1924">
        <f t="shared" ref="AS1924:AS1987" si="654">IF(AR1924&lt;5,0,AR1924-5)</f>
        <v>2485</v>
      </c>
      <c r="AT1924" s="21">
        <f t="shared" ref="AT1924:AT1987" si="655">AS1924+AJ1924+5</f>
        <v>2490</v>
      </c>
      <c r="AU1924" s="21"/>
      <c r="AV1924" s="21"/>
      <c r="AW1924" s="21"/>
    </row>
    <row r="1925" spans="1:49" x14ac:dyDescent="0.2">
      <c r="A1925">
        <v>1015</v>
      </c>
      <c r="E1925">
        <f t="shared" si="650"/>
        <v>3</v>
      </c>
      <c r="J1925" t="str">
        <f t="shared" si="636"/>
        <v>12</v>
      </c>
      <c r="K1925" t="str">
        <f t="shared" si="637"/>
        <v>30</v>
      </c>
      <c r="L1925" t="str">
        <f t="shared" si="638"/>
        <v/>
      </c>
      <c r="M1925" s="6" t="str">
        <f t="shared" si="639"/>
        <v/>
      </c>
      <c r="N1925" t="str">
        <f t="shared" si="635"/>
        <v>Away</v>
      </c>
      <c r="O1925">
        <v>79</v>
      </c>
      <c r="P1925" t="s">
        <v>425</v>
      </c>
      <c r="Y1925" t="str">
        <f t="shared" si="643"/>
        <v/>
      </c>
      <c r="Z1925" t="str">
        <f t="shared" si="644"/>
        <v/>
      </c>
      <c r="AC1925" t="str">
        <f t="shared" si="640"/>
        <v>Faceoff</v>
      </c>
      <c r="AD1925" t="str">
        <f t="shared" si="641"/>
        <v>Faceoff_AfterStoppage</v>
      </c>
      <c r="AE1925" t="str">
        <f t="shared" si="642"/>
        <v/>
      </c>
      <c r="AF1925" t="str">
        <f t="shared" si="645"/>
        <v>Defensive</v>
      </c>
      <c r="AG1925">
        <f t="shared" si="651"/>
        <v>18981</v>
      </c>
      <c r="AH1925" t="str">
        <f t="shared" si="652"/>
        <v>Nelson</v>
      </c>
      <c r="AI1925" t="str">
        <f t="shared" si="653"/>
        <v>Velodrome</v>
      </c>
      <c r="AJ1925" s="18">
        <f t="shared" si="646"/>
        <v>0</v>
      </c>
      <c r="AP1925" s="18">
        <f t="shared" si="647"/>
        <v>0</v>
      </c>
      <c r="AQ1925">
        <f t="shared" si="648"/>
        <v>2160</v>
      </c>
      <c r="AR1925" s="23">
        <f t="shared" si="649"/>
        <v>2490</v>
      </c>
      <c r="AS1925">
        <f t="shared" si="654"/>
        <v>2485</v>
      </c>
      <c r="AT1925" s="21">
        <f t="shared" si="655"/>
        <v>2490</v>
      </c>
      <c r="AU1925" s="21"/>
      <c r="AV1925" s="21"/>
      <c r="AW1925" s="21"/>
    </row>
    <row r="1926" spans="1:49" x14ac:dyDescent="0.2">
      <c r="A1926">
        <v>1016</v>
      </c>
      <c r="E1926">
        <f t="shared" si="650"/>
        <v>3</v>
      </c>
      <c r="F1926" s="5" t="s">
        <v>487</v>
      </c>
      <c r="G1926" s="5" t="s">
        <v>500</v>
      </c>
      <c r="J1926" t="str">
        <f t="shared" si="636"/>
        <v>12</v>
      </c>
      <c r="K1926" t="str">
        <f t="shared" si="637"/>
        <v>28</v>
      </c>
      <c r="L1926" t="str">
        <f t="shared" si="638"/>
        <v/>
      </c>
      <c r="M1926" s="6" t="str">
        <f t="shared" si="639"/>
        <v/>
      </c>
      <c r="N1926" t="s">
        <v>179</v>
      </c>
      <c r="O1926">
        <v>84</v>
      </c>
      <c r="P1926" t="s">
        <v>424</v>
      </c>
      <c r="Q1926" t="s">
        <v>10</v>
      </c>
      <c r="R1926" t="s">
        <v>190</v>
      </c>
      <c r="S1926" t="s">
        <v>422</v>
      </c>
      <c r="Y1926" t="str">
        <f t="shared" si="643"/>
        <v/>
      </c>
      <c r="Z1926" t="str">
        <f t="shared" si="644"/>
        <v/>
      </c>
      <c r="AC1926" t="str">
        <f t="shared" si="640"/>
        <v>Turnover</v>
      </c>
      <c r="AD1926" t="str">
        <f t="shared" si="641"/>
        <v>Turnover_Giveaway</v>
      </c>
      <c r="AE1926" t="str">
        <f t="shared" si="642"/>
        <v>Giveaway-AttemptedZoneClear/Dump</v>
      </c>
      <c r="AF1926" t="str">
        <f t="shared" si="645"/>
        <v>Offensive</v>
      </c>
      <c r="AG1926">
        <f t="shared" si="651"/>
        <v>18981</v>
      </c>
      <c r="AH1926" t="str">
        <f t="shared" si="652"/>
        <v>Nelson</v>
      </c>
      <c r="AI1926" t="str">
        <f t="shared" si="653"/>
        <v>Velodrome</v>
      </c>
      <c r="AJ1926" s="18">
        <f t="shared" si="646"/>
        <v>0</v>
      </c>
      <c r="AP1926" s="18">
        <f t="shared" si="647"/>
        <v>0</v>
      </c>
      <c r="AQ1926">
        <f t="shared" si="648"/>
        <v>2160</v>
      </c>
      <c r="AR1926" s="23">
        <f t="shared" si="649"/>
        <v>2492</v>
      </c>
      <c r="AS1926">
        <f t="shared" si="654"/>
        <v>2487</v>
      </c>
      <c r="AT1926" s="21">
        <f t="shared" si="655"/>
        <v>2492</v>
      </c>
      <c r="AU1926" s="21"/>
      <c r="AV1926" s="21"/>
      <c r="AW1926" s="21"/>
    </row>
    <row r="1927" spans="1:49" x14ac:dyDescent="0.2">
      <c r="A1927">
        <v>1017</v>
      </c>
      <c r="E1927">
        <f t="shared" si="650"/>
        <v>3</v>
      </c>
      <c r="F1927" s="5" t="s">
        <v>487</v>
      </c>
      <c r="G1927" s="5" t="s">
        <v>496</v>
      </c>
      <c r="J1927" t="str">
        <f t="shared" si="636"/>
        <v>12</v>
      </c>
      <c r="K1927" t="str">
        <f t="shared" si="637"/>
        <v>24</v>
      </c>
      <c r="L1927" t="str">
        <f t="shared" si="638"/>
        <v/>
      </c>
      <c r="M1927" s="6" t="str">
        <f t="shared" si="639"/>
        <v/>
      </c>
      <c r="N1927" t="s">
        <v>178</v>
      </c>
      <c r="O1927">
        <v>16</v>
      </c>
      <c r="P1927" t="s">
        <v>424</v>
      </c>
      <c r="Q1927" t="s">
        <v>8</v>
      </c>
      <c r="R1927" t="s">
        <v>189</v>
      </c>
      <c r="S1927" t="s">
        <v>70</v>
      </c>
      <c r="Y1927" t="str">
        <f t="shared" si="643"/>
        <v/>
      </c>
      <c r="Z1927" t="str">
        <f t="shared" si="644"/>
        <v/>
      </c>
      <c r="AC1927" t="str">
        <f t="shared" si="640"/>
        <v>Pass</v>
      </c>
      <c r="AD1927" t="str">
        <f t="shared" si="641"/>
        <v>Pass_Completed</v>
      </c>
      <c r="AE1927" t="str">
        <f t="shared" si="642"/>
        <v>Pass-Forehand</v>
      </c>
      <c r="AF1927" t="str">
        <f t="shared" si="645"/>
        <v>Offensive</v>
      </c>
      <c r="AG1927">
        <f t="shared" si="651"/>
        <v>18981</v>
      </c>
      <c r="AH1927" t="str">
        <f t="shared" si="652"/>
        <v>Nelson</v>
      </c>
      <c r="AI1927" t="str">
        <f t="shared" si="653"/>
        <v>Velodrome</v>
      </c>
      <c r="AJ1927" s="18">
        <f t="shared" si="646"/>
        <v>0</v>
      </c>
      <c r="AP1927" s="18">
        <f t="shared" si="647"/>
        <v>0</v>
      </c>
      <c r="AQ1927">
        <f t="shared" si="648"/>
        <v>2160</v>
      </c>
      <c r="AR1927" s="23">
        <f t="shared" si="649"/>
        <v>2496</v>
      </c>
      <c r="AS1927">
        <f t="shared" si="654"/>
        <v>2491</v>
      </c>
      <c r="AT1927" s="21">
        <f t="shared" si="655"/>
        <v>2496</v>
      </c>
      <c r="AU1927" s="21"/>
      <c r="AV1927" s="21"/>
      <c r="AW1927" s="21"/>
    </row>
    <row r="1928" spans="1:49" x14ac:dyDescent="0.2">
      <c r="A1928">
        <v>1017</v>
      </c>
      <c r="E1928">
        <f t="shared" si="650"/>
        <v>3</v>
      </c>
      <c r="J1928" t="str">
        <f t="shared" si="636"/>
        <v>12</v>
      </c>
      <c r="K1928" t="str">
        <f t="shared" si="637"/>
        <v>24</v>
      </c>
      <c r="L1928" t="str">
        <f t="shared" si="638"/>
        <v/>
      </c>
      <c r="M1928" s="6" t="str">
        <f t="shared" si="639"/>
        <v/>
      </c>
      <c r="N1928" t="s">
        <v>178</v>
      </c>
      <c r="O1928">
        <v>15</v>
      </c>
      <c r="P1928" t="s">
        <v>424</v>
      </c>
      <c r="Y1928" t="str">
        <f t="shared" si="643"/>
        <v/>
      </c>
      <c r="Z1928" t="str">
        <f t="shared" si="644"/>
        <v/>
      </c>
      <c r="AC1928" t="str">
        <f t="shared" si="640"/>
        <v>Pass</v>
      </c>
      <c r="AD1928" t="str">
        <f t="shared" si="641"/>
        <v>Pass_Completed</v>
      </c>
      <c r="AE1928" t="str">
        <f t="shared" si="642"/>
        <v>Pass-Forehand</v>
      </c>
      <c r="AF1928" t="str">
        <f t="shared" si="645"/>
        <v>Offensive</v>
      </c>
      <c r="AG1928">
        <f t="shared" si="651"/>
        <v>18981</v>
      </c>
      <c r="AH1928" t="str">
        <f t="shared" si="652"/>
        <v>Nelson</v>
      </c>
      <c r="AI1928" t="str">
        <f t="shared" si="653"/>
        <v>Velodrome</v>
      </c>
      <c r="AJ1928" s="18">
        <f t="shared" si="646"/>
        <v>0</v>
      </c>
      <c r="AP1928" s="18">
        <f t="shared" si="647"/>
        <v>0</v>
      </c>
      <c r="AQ1928">
        <f t="shared" si="648"/>
        <v>2160</v>
      </c>
      <c r="AR1928" s="23">
        <f t="shared" si="649"/>
        <v>2496</v>
      </c>
      <c r="AS1928">
        <f t="shared" si="654"/>
        <v>2491</v>
      </c>
      <c r="AT1928" s="21">
        <f t="shared" si="655"/>
        <v>2496</v>
      </c>
      <c r="AU1928" s="21"/>
      <c r="AV1928" s="21"/>
      <c r="AW1928" s="21"/>
    </row>
    <row r="1929" spans="1:49" x14ac:dyDescent="0.2">
      <c r="A1929">
        <v>1018</v>
      </c>
      <c r="E1929">
        <f t="shared" si="650"/>
        <v>3</v>
      </c>
      <c r="F1929" s="5" t="s">
        <v>487</v>
      </c>
      <c r="G1929" s="5" t="s">
        <v>496</v>
      </c>
      <c r="H1929" s="5" t="s">
        <v>487</v>
      </c>
      <c r="I1929" s="7" t="s">
        <v>494</v>
      </c>
      <c r="J1929" t="str">
        <f t="shared" ref="J1929:J1992" si="656">IF(F1929&lt;&gt;"",F1929,IF($A1929=$A1928,J1928,J1929))</f>
        <v>12</v>
      </c>
      <c r="K1929" t="str">
        <f t="shared" ref="K1929:K1992" si="657">IF($A1929=$A1928,K1928,G1929)</f>
        <v>24</v>
      </c>
      <c r="L1929" t="str">
        <f t="shared" ref="L1929:L1992" si="658">IF(H1929&lt;&gt;"",H1929,IF($A1929=$A1928,L1928,""))</f>
        <v>12</v>
      </c>
      <c r="M1929" s="6" t="str">
        <f t="shared" ref="M1929:M1992" si="659">IF(I1929&lt;&gt;"",I1929,IF($A1929=$A1928,M1928,""))</f>
        <v>22</v>
      </c>
      <c r="N1929" t="s">
        <v>178</v>
      </c>
      <c r="O1929">
        <v>15</v>
      </c>
      <c r="P1929" t="s">
        <v>424</v>
      </c>
      <c r="Q1929" t="s">
        <v>15</v>
      </c>
      <c r="Y1929" t="str">
        <f t="shared" si="643"/>
        <v/>
      </c>
      <c r="Z1929" t="str">
        <f t="shared" si="644"/>
        <v/>
      </c>
      <c r="AC1929" t="str">
        <f t="shared" si="640"/>
        <v>Possession</v>
      </c>
      <c r="AD1929" t="str">
        <f t="shared" si="641"/>
        <v/>
      </c>
      <c r="AE1929" t="str">
        <f t="shared" si="642"/>
        <v/>
      </c>
      <c r="AF1929" t="str">
        <f t="shared" si="645"/>
        <v>Offensive</v>
      </c>
      <c r="AG1929">
        <f t="shared" si="651"/>
        <v>18981</v>
      </c>
      <c r="AH1929" t="str">
        <f t="shared" si="652"/>
        <v>Nelson</v>
      </c>
      <c r="AI1929" t="str">
        <f t="shared" si="653"/>
        <v>Velodrome</v>
      </c>
      <c r="AJ1929" s="18">
        <f t="shared" si="646"/>
        <v>2</v>
      </c>
      <c r="AP1929" s="18">
        <f t="shared" si="647"/>
        <v>0</v>
      </c>
      <c r="AQ1929">
        <f t="shared" si="648"/>
        <v>2160</v>
      </c>
      <c r="AR1929" s="23">
        <f t="shared" si="649"/>
        <v>2496</v>
      </c>
      <c r="AS1929">
        <f t="shared" si="654"/>
        <v>2491</v>
      </c>
      <c r="AT1929" s="21">
        <f t="shared" si="655"/>
        <v>2498</v>
      </c>
      <c r="AU1929" s="21"/>
      <c r="AV1929" s="21"/>
      <c r="AW1929" s="21"/>
    </row>
    <row r="1930" spans="1:49" x14ac:dyDescent="0.2">
      <c r="A1930">
        <v>1019</v>
      </c>
      <c r="E1930">
        <f t="shared" si="650"/>
        <v>3</v>
      </c>
      <c r="F1930" s="5" t="s">
        <v>487</v>
      </c>
      <c r="G1930" s="5" t="s">
        <v>494</v>
      </c>
      <c r="J1930" t="str">
        <f t="shared" si="656"/>
        <v>12</v>
      </c>
      <c r="K1930" t="str">
        <f t="shared" si="657"/>
        <v>22</v>
      </c>
      <c r="L1930" t="str">
        <f t="shared" si="658"/>
        <v/>
      </c>
      <c r="M1930" s="6" t="str">
        <f t="shared" si="659"/>
        <v/>
      </c>
      <c r="N1930" t="s">
        <v>178</v>
      </c>
      <c r="O1930">
        <v>15</v>
      </c>
      <c r="P1930" t="s">
        <v>424</v>
      </c>
      <c r="Q1930" t="s">
        <v>8</v>
      </c>
      <c r="R1930" t="s">
        <v>189</v>
      </c>
      <c r="S1930" t="s">
        <v>70</v>
      </c>
      <c r="Y1930" t="str">
        <f t="shared" si="643"/>
        <v/>
      </c>
      <c r="Z1930" t="str">
        <f t="shared" si="644"/>
        <v/>
      </c>
      <c r="AC1930" t="str">
        <f t="shared" si="640"/>
        <v>Pass</v>
      </c>
      <c r="AD1930" t="str">
        <f t="shared" si="641"/>
        <v>Pass_Completed</v>
      </c>
      <c r="AE1930" t="str">
        <f t="shared" si="642"/>
        <v>Pass-Forehand</v>
      </c>
      <c r="AF1930" t="str">
        <f t="shared" si="645"/>
        <v>Offensive</v>
      </c>
      <c r="AG1930">
        <f t="shared" si="651"/>
        <v>18981</v>
      </c>
      <c r="AH1930" t="str">
        <f t="shared" si="652"/>
        <v>Nelson</v>
      </c>
      <c r="AI1930" t="str">
        <f t="shared" si="653"/>
        <v>Velodrome</v>
      </c>
      <c r="AJ1930" s="18">
        <f t="shared" si="646"/>
        <v>0</v>
      </c>
      <c r="AP1930" s="18">
        <f t="shared" si="647"/>
        <v>0</v>
      </c>
      <c r="AQ1930">
        <f t="shared" si="648"/>
        <v>2160</v>
      </c>
      <c r="AR1930" s="23">
        <f t="shared" si="649"/>
        <v>2498</v>
      </c>
      <c r="AS1930">
        <f t="shared" si="654"/>
        <v>2493</v>
      </c>
      <c r="AT1930" s="21">
        <f t="shared" si="655"/>
        <v>2498</v>
      </c>
      <c r="AU1930" s="21"/>
      <c r="AV1930" s="21"/>
      <c r="AW1930" s="21"/>
    </row>
    <row r="1931" spans="1:49" x14ac:dyDescent="0.2">
      <c r="A1931">
        <v>1019</v>
      </c>
      <c r="E1931">
        <f t="shared" si="650"/>
        <v>3</v>
      </c>
      <c r="J1931" t="str">
        <f t="shared" si="656"/>
        <v>12</v>
      </c>
      <c r="K1931" t="str">
        <f t="shared" si="657"/>
        <v>22</v>
      </c>
      <c r="L1931" t="str">
        <f t="shared" si="658"/>
        <v/>
      </c>
      <c r="M1931" s="6" t="str">
        <f t="shared" si="659"/>
        <v/>
      </c>
      <c r="N1931" t="str">
        <f t="shared" ref="N1931:N1986" si="660">IF(A1931=A1930,N1930,"")</f>
        <v>Home</v>
      </c>
      <c r="O1931">
        <v>16</v>
      </c>
      <c r="P1931" t="s">
        <v>424</v>
      </c>
      <c r="Y1931" t="str">
        <f t="shared" si="643"/>
        <v/>
      </c>
      <c r="Z1931" t="str">
        <f t="shared" si="644"/>
        <v/>
      </c>
      <c r="AC1931" t="str">
        <f t="shared" si="640"/>
        <v>Pass</v>
      </c>
      <c r="AD1931" t="str">
        <f t="shared" si="641"/>
        <v>Pass_Completed</v>
      </c>
      <c r="AE1931" t="str">
        <f t="shared" si="642"/>
        <v>Pass-Forehand</v>
      </c>
      <c r="AF1931" t="str">
        <f t="shared" si="645"/>
        <v>Offensive</v>
      </c>
      <c r="AG1931">
        <f t="shared" si="651"/>
        <v>18981</v>
      </c>
      <c r="AH1931" t="str">
        <f t="shared" si="652"/>
        <v>Nelson</v>
      </c>
      <c r="AI1931" t="str">
        <f t="shared" si="653"/>
        <v>Velodrome</v>
      </c>
      <c r="AJ1931" s="18">
        <f t="shared" si="646"/>
        <v>0</v>
      </c>
      <c r="AP1931" s="18">
        <f t="shared" si="647"/>
        <v>0</v>
      </c>
      <c r="AQ1931">
        <f t="shared" si="648"/>
        <v>2160</v>
      </c>
      <c r="AR1931" s="23">
        <f t="shared" si="649"/>
        <v>2498</v>
      </c>
      <c r="AS1931">
        <f t="shared" si="654"/>
        <v>2493</v>
      </c>
      <c r="AT1931" s="21">
        <f t="shared" si="655"/>
        <v>2498</v>
      </c>
      <c r="AU1931" s="21"/>
      <c r="AV1931" s="21"/>
      <c r="AW1931" s="21"/>
    </row>
    <row r="1932" spans="1:49" x14ac:dyDescent="0.2">
      <c r="A1932">
        <v>1020</v>
      </c>
      <c r="E1932">
        <f t="shared" si="650"/>
        <v>3</v>
      </c>
      <c r="F1932" s="5" t="s">
        <v>487</v>
      </c>
      <c r="G1932" s="5" t="s">
        <v>493</v>
      </c>
      <c r="J1932" t="str">
        <f t="shared" si="656"/>
        <v>12</v>
      </c>
      <c r="K1932" t="str">
        <f t="shared" si="657"/>
        <v>21</v>
      </c>
      <c r="L1932" t="str">
        <f t="shared" si="658"/>
        <v/>
      </c>
      <c r="M1932" s="6" t="str">
        <f t="shared" si="659"/>
        <v/>
      </c>
      <c r="N1932" t="s">
        <v>178</v>
      </c>
      <c r="O1932">
        <v>16</v>
      </c>
      <c r="P1932" t="s">
        <v>424</v>
      </c>
      <c r="Q1932" t="s">
        <v>7</v>
      </c>
      <c r="R1932" t="s">
        <v>208</v>
      </c>
      <c r="S1932" t="s">
        <v>53</v>
      </c>
      <c r="Y1932" t="str">
        <f t="shared" si="643"/>
        <v/>
      </c>
      <c r="Z1932" t="str">
        <f t="shared" si="644"/>
        <v/>
      </c>
      <c r="AC1932" t="str">
        <f t="shared" si="640"/>
        <v>Shot</v>
      </c>
      <c r="AD1932" t="str">
        <f t="shared" si="641"/>
        <v>Shot_Blocked</v>
      </c>
      <c r="AE1932" t="str">
        <f t="shared" si="642"/>
        <v>Shot-Wrist</v>
      </c>
      <c r="AF1932" t="str">
        <f t="shared" si="645"/>
        <v>Offensive</v>
      </c>
      <c r="AG1932">
        <f t="shared" si="651"/>
        <v>18981</v>
      </c>
      <c r="AH1932" t="str">
        <f t="shared" si="652"/>
        <v>Nelson</v>
      </c>
      <c r="AI1932" t="str">
        <f t="shared" si="653"/>
        <v>Velodrome</v>
      </c>
      <c r="AJ1932" s="18">
        <f t="shared" si="646"/>
        <v>0</v>
      </c>
      <c r="AP1932" s="18">
        <f t="shared" si="647"/>
        <v>0</v>
      </c>
      <c r="AQ1932">
        <f t="shared" si="648"/>
        <v>2160</v>
      </c>
      <c r="AR1932" s="23">
        <f t="shared" si="649"/>
        <v>2499</v>
      </c>
      <c r="AS1932">
        <f t="shared" si="654"/>
        <v>2494</v>
      </c>
      <c r="AT1932" s="21">
        <f t="shared" si="655"/>
        <v>2499</v>
      </c>
      <c r="AU1932" s="21"/>
      <c r="AV1932" s="21"/>
      <c r="AW1932" s="21"/>
    </row>
    <row r="1933" spans="1:49" x14ac:dyDescent="0.2">
      <c r="A1933">
        <v>1020</v>
      </c>
      <c r="E1933">
        <f t="shared" si="650"/>
        <v>3</v>
      </c>
      <c r="J1933" t="str">
        <f t="shared" si="656"/>
        <v>12</v>
      </c>
      <c r="K1933" t="str">
        <f t="shared" si="657"/>
        <v>21</v>
      </c>
      <c r="L1933" t="str">
        <f t="shared" si="658"/>
        <v/>
      </c>
      <c r="M1933" s="6" t="str">
        <f t="shared" si="659"/>
        <v/>
      </c>
      <c r="N1933" t="str">
        <f t="shared" si="660"/>
        <v>Home</v>
      </c>
      <c r="O1933">
        <v>93</v>
      </c>
      <c r="P1933" t="s">
        <v>425</v>
      </c>
      <c r="Y1933" t="str">
        <f t="shared" si="643"/>
        <v/>
      </c>
      <c r="Z1933" t="str">
        <f t="shared" si="644"/>
        <v/>
      </c>
      <c r="AC1933" t="str">
        <f t="shared" si="640"/>
        <v>Shot</v>
      </c>
      <c r="AD1933" t="str">
        <f t="shared" si="641"/>
        <v>Shot_Blocked</v>
      </c>
      <c r="AE1933" t="str">
        <f t="shared" si="642"/>
        <v>Shot-Wrist</v>
      </c>
      <c r="AF1933" t="str">
        <f t="shared" si="645"/>
        <v>Defensive</v>
      </c>
      <c r="AG1933">
        <f t="shared" si="651"/>
        <v>18981</v>
      </c>
      <c r="AH1933" t="str">
        <f t="shared" si="652"/>
        <v>Nelson</v>
      </c>
      <c r="AI1933" t="str">
        <f t="shared" si="653"/>
        <v>Velodrome</v>
      </c>
      <c r="AJ1933" s="18">
        <f t="shared" si="646"/>
        <v>0</v>
      </c>
      <c r="AP1933" s="18">
        <f t="shared" si="647"/>
        <v>0</v>
      </c>
      <c r="AQ1933">
        <f t="shared" si="648"/>
        <v>2160</v>
      </c>
      <c r="AR1933" s="23">
        <f t="shared" si="649"/>
        <v>2499</v>
      </c>
      <c r="AS1933">
        <f t="shared" si="654"/>
        <v>2494</v>
      </c>
      <c r="AT1933" s="21">
        <f t="shared" si="655"/>
        <v>2499</v>
      </c>
      <c r="AU1933" s="21"/>
      <c r="AV1933" s="21"/>
      <c r="AW1933" s="21"/>
    </row>
    <row r="1934" spans="1:49" x14ac:dyDescent="0.2">
      <c r="A1934">
        <v>1021</v>
      </c>
      <c r="E1934">
        <f t="shared" si="650"/>
        <v>3</v>
      </c>
      <c r="F1934" s="5" t="s">
        <v>487</v>
      </c>
      <c r="G1934" s="5" t="s">
        <v>492</v>
      </c>
      <c r="J1934" t="str">
        <f t="shared" si="656"/>
        <v>12</v>
      </c>
      <c r="K1934" t="str">
        <f t="shared" si="657"/>
        <v>20</v>
      </c>
      <c r="L1934" t="str">
        <f t="shared" si="658"/>
        <v/>
      </c>
      <c r="M1934" s="6" t="str">
        <f t="shared" si="659"/>
        <v/>
      </c>
      <c r="N1934" t="s">
        <v>178</v>
      </c>
      <c r="O1934">
        <v>15</v>
      </c>
      <c r="P1934" t="s">
        <v>424</v>
      </c>
      <c r="Q1934" t="s">
        <v>7</v>
      </c>
      <c r="R1934" t="s">
        <v>208</v>
      </c>
      <c r="S1934" t="s">
        <v>53</v>
      </c>
      <c r="Y1934" t="str">
        <f t="shared" si="643"/>
        <v/>
      </c>
      <c r="Z1934" t="str">
        <f t="shared" si="644"/>
        <v/>
      </c>
      <c r="AC1934" t="str">
        <f t="shared" si="640"/>
        <v>Shot</v>
      </c>
      <c r="AD1934" t="str">
        <f t="shared" si="641"/>
        <v>Shot_Blocked</v>
      </c>
      <c r="AE1934" t="str">
        <f t="shared" si="642"/>
        <v>Shot-Wrist</v>
      </c>
      <c r="AF1934" t="str">
        <f t="shared" si="645"/>
        <v>Offensive</v>
      </c>
      <c r="AG1934">
        <f t="shared" si="651"/>
        <v>18981</v>
      </c>
      <c r="AH1934" t="str">
        <f t="shared" si="652"/>
        <v>Nelson</v>
      </c>
      <c r="AI1934" t="str">
        <f t="shared" si="653"/>
        <v>Velodrome</v>
      </c>
      <c r="AJ1934" s="18">
        <f t="shared" si="646"/>
        <v>0</v>
      </c>
      <c r="AP1934" s="18">
        <f t="shared" si="647"/>
        <v>0</v>
      </c>
      <c r="AQ1934">
        <f t="shared" si="648"/>
        <v>2160</v>
      </c>
      <c r="AR1934" s="23">
        <f t="shared" si="649"/>
        <v>2500</v>
      </c>
      <c r="AS1934">
        <f t="shared" si="654"/>
        <v>2495</v>
      </c>
      <c r="AT1934" s="21">
        <f t="shared" si="655"/>
        <v>2500</v>
      </c>
      <c r="AU1934" s="21"/>
      <c r="AV1934" s="21"/>
      <c r="AW1934" s="21"/>
    </row>
    <row r="1935" spans="1:49" x14ac:dyDescent="0.2">
      <c r="A1935">
        <v>1021</v>
      </c>
      <c r="E1935">
        <f t="shared" si="650"/>
        <v>3</v>
      </c>
      <c r="J1935" t="str">
        <f t="shared" si="656"/>
        <v>12</v>
      </c>
      <c r="K1935" t="str">
        <f t="shared" si="657"/>
        <v>20</v>
      </c>
      <c r="L1935" t="str">
        <f t="shared" si="658"/>
        <v/>
      </c>
      <c r="M1935" s="6" t="str">
        <f t="shared" si="659"/>
        <v/>
      </c>
      <c r="N1935" t="str">
        <f t="shared" si="660"/>
        <v>Home</v>
      </c>
      <c r="O1935">
        <v>84</v>
      </c>
      <c r="P1935" t="s">
        <v>425</v>
      </c>
      <c r="Y1935" t="str">
        <f t="shared" si="643"/>
        <v/>
      </c>
      <c r="Z1935" t="str">
        <f t="shared" si="644"/>
        <v/>
      </c>
      <c r="AC1935" t="str">
        <f t="shared" si="640"/>
        <v>Shot</v>
      </c>
      <c r="AD1935" t="str">
        <f t="shared" si="641"/>
        <v>Shot_Blocked</v>
      </c>
      <c r="AE1935" t="str">
        <f t="shared" si="642"/>
        <v>Shot-Wrist</v>
      </c>
      <c r="AF1935" t="str">
        <f t="shared" si="645"/>
        <v>Defensive</v>
      </c>
      <c r="AG1935">
        <f t="shared" si="651"/>
        <v>18981</v>
      </c>
      <c r="AH1935" t="str">
        <f t="shared" si="652"/>
        <v>Nelson</v>
      </c>
      <c r="AI1935" t="str">
        <f t="shared" si="653"/>
        <v>Velodrome</v>
      </c>
      <c r="AJ1935" s="18">
        <f t="shared" si="646"/>
        <v>0</v>
      </c>
      <c r="AP1935" s="18">
        <f t="shared" si="647"/>
        <v>0</v>
      </c>
      <c r="AQ1935">
        <f t="shared" si="648"/>
        <v>2160</v>
      </c>
      <c r="AR1935" s="23">
        <f t="shared" si="649"/>
        <v>2500</v>
      </c>
      <c r="AS1935">
        <f t="shared" si="654"/>
        <v>2495</v>
      </c>
      <c r="AT1935" s="21">
        <f t="shared" si="655"/>
        <v>2500</v>
      </c>
      <c r="AU1935" s="21"/>
      <c r="AV1935" s="21"/>
      <c r="AW1935" s="21"/>
    </row>
    <row r="1936" spans="1:49" x14ac:dyDescent="0.2">
      <c r="A1936">
        <v>1022</v>
      </c>
      <c r="E1936">
        <f t="shared" si="650"/>
        <v>3</v>
      </c>
      <c r="F1936" s="5" t="s">
        <v>487</v>
      </c>
      <c r="G1936" s="5" t="s">
        <v>492</v>
      </c>
      <c r="J1936" t="str">
        <f t="shared" si="656"/>
        <v>12</v>
      </c>
      <c r="K1936" t="str">
        <f t="shared" si="657"/>
        <v>20</v>
      </c>
      <c r="L1936" t="str">
        <f t="shared" si="658"/>
        <v/>
      </c>
      <c r="M1936" s="6" t="str">
        <f t="shared" si="659"/>
        <v/>
      </c>
      <c r="N1936" t="s">
        <v>178</v>
      </c>
      <c r="O1936">
        <v>15</v>
      </c>
      <c r="P1936" t="s">
        <v>424</v>
      </c>
      <c r="Q1936" t="s">
        <v>10</v>
      </c>
      <c r="R1936" t="s">
        <v>190</v>
      </c>
      <c r="S1936" t="s">
        <v>78</v>
      </c>
      <c r="Y1936" t="str">
        <f t="shared" si="643"/>
        <v/>
      </c>
      <c r="Z1936" t="str">
        <f t="shared" si="644"/>
        <v/>
      </c>
      <c r="AC1936" t="str">
        <f t="shared" si="640"/>
        <v>Turnover</v>
      </c>
      <c r="AD1936" t="str">
        <f t="shared" si="641"/>
        <v>Turnover_Giveaway</v>
      </c>
      <c r="AE1936" t="str">
        <f t="shared" si="642"/>
        <v>Giveaway-ShotBlocked</v>
      </c>
      <c r="AF1936" t="str">
        <f t="shared" si="645"/>
        <v>Offensive</v>
      </c>
      <c r="AG1936">
        <f t="shared" si="651"/>
        <v>18981</v>
      </c>
      <c r="AH1936" t="str">
        <f t="shared" si="652"/>
        <v>Nelson</v>
      </c>
      <c r="AI1936" t="str">
        <f t="shared" si="653"/>
        <v>Velodrome</v>
      </c>
      <c r="AJ1936" s="18">
        <f t="shared" si="646"/>
        <v>0</v>
      </c>
      <c r="AP1936" s="18">
        <f t="shared" si="647"/>
        <v>0</v>
      </c>
      <c r="AQ1936">
        <f t="shared" si="648"/>
        <v>2160</v>
      </c>
      <c r="AR1936" s="23">
        <f t="shared" si="649"/>
        <v>2500</v>
      </c>
      <c r="AS1936">
        <f t="shared" si="654"/>
        <v>2495</v>
      </c>
      <c r="AT1936" s="21">
        <f t="shared" si="655"/>
        <v>2500</v>
      </c>
      <c r="AU1936" s="21"/>
      <c r="AV1936" s="21"/>
      <c r="AW1936" s="21"/>
    </row>
    <row r="1937" spans="1:49" x14ac:dyDescent="0.2">
      <c r="A1937">
        <v>1023</v>
      </c>
      <c r="E1937">
        <f t="shared" si="650"/>
        <v>3</v>
      </c>
      <c r="F1937" s="5" t="s">
        <v>487</v>
      </c>
      <c r="G1937" s="5" t="s">
        <v>472</v>
      </c>
      <c r="H1937" s="5" t="s">
        <v>487</v>
      </c>
      <c r="I1937" s="7" t="s">
        <v>478</v>
      </c>
      <c r="J1937" t="str">
        <f t="shared" si="656"/>
        <v>12</v>
      </c>
      <c r="K1937" t="str">
        <f t="shared" si="657"/>
        <v>17</v>
      </c>
      <c r="L1937" t="str">
        <f t="shared" si="658"/>
        <v>12</v>
      </c>
      <c r="M1937" s="6" t="str">
        <f t="shared" si="659"/>
        <v>15</v>
      </c>
      <c r="N1937" t="s">
        <v>179</v>
      </c>
      <c r="O1937">
        <v>14</v>
      </c>
      <c r="P1937" t="s">
        <v>424</v>
      </c>
      <c r="Q1937" t="s">
        <v>15</v>
      </c>
      <c r="Y1937" t="str">
        <f t="shared" si="643"/>
        <v/>
      </c>
      <c r="Z1937" t="str">
        <f t="shared" si="644"/>
        <v/>
      </c>
      <c r="AC1937" t="str">
        <f t="shared" si="640"/>
        <v>Possession</v>
      </c>
      <c r="AD1937" t="str">
        <f t="shared" si="641"/>
        <v/>
      </c>
      <c r="AE1937" t="str">
        <f t="shared" si="642"/>
        <v/>
      </c>
      <c r="AF1937" t="str">
        <f t="shared" si="645"/>
        <v>Offensive</v>
      </c>
      <c r="AG1937">
        <f t="shared" si="651"/>
        <v>18981</v>
      </c>
      <c r="AH1937" t="str">
        <f t="shared" si="652"/>
        <v>Nelson</v>
      </c>
      <c r="AI1937" t="str">
        <f t="shared" si="653"/>
        <v>Velodrome</v>
      </c>
      <c r="AJ1937" s="18">
        <f t="shared" si="646"/>
        <v>2</v>
      </c>
      <c r="AP1937" s="18">
        <f t="shared" si="647"/>
        <v>0</v>
      </c>
      <c r="AQ1937">
        <f t="shared" si="648"/>
        <v>2160</v>
      </c>
      <c r="AR1937" s="23">
        <f t="shared" si="649"/>
        <v>2503</v>
      </c>
      <c r="AS1937">
        <f t="shared" si="654"/>
        <v>2498</v>
      </c>
      <c r="AT1937" s="21">
        <f t="shared" si="655"/>
        <v>2505</v>
      </c>
      <c r="AU1937" s="21"/>
      <c r="AV1937" s="21"/>
      <c r="AW1937" s="21"/>
    </row>
    <row r="1938" spans="1:49" x14ac:dyDescent="0.2">
      <c r="A1938">
        <v>1024</v>
      </c>
      <c r="E1938">
        <f t="shared" si="650"/>
        <v>3</v>
      </c>
      <c r="F1938" s="5" t="s">
        <v>487</v>
      </c>
      <c r="G1938" s="5" t="s">
        <v>478</v>
      </c>
      <c r="J1938" t="str">
        <f t="shared" si="656"/>
        <v>12</v>
      </c>
      <c r="K1938" t="str">
        <f t="shared" si="657"/>
        <v>15</v>
      </c>
      <c r="L1938" t="str">
        <f t="shared" si="658"/>
        <v/>
      </c>
      <c r="M1938" s="6" t="str">
        <f t="shared" si="659"/>
        <v/>
      </c>
      <c r="N1938" t="s">
        <v>179</v>
      </c>
      <c r="O1938">
        <v>14</v>
      </c>
      <c r="P1938" t="s">
        <v>424</v>
      </c>
      <c r="Q1938" t="s">
        <v>8</v>
      </c>
      <c r="R1938" t="s">
        <v>189</v>
      </c>
      <c r="S1938" t="s">
        <v>70</v>
      </c>
      <c r="Y1938" t="str">
        <f t="shared" si="643"/>
        <v/>
      </c>
      <c r="Z1938" t="str">
        <f t="shared" si="644"/>
        <v/>
      </c>
      <c r="AC1938" t="str">
        <f t="shared" si="640"/>
        <v>Pass</v>
      </c>
      <c r="AD1938" t="str">
        <f t="shared" si="641"/>
        <v>Pass_Completed</v>
      </c>
      <c r="AE1938" t="str">
        <f t="shared" si="642"/>
        <v>Pass-Forehand</v>
      </c>
      <c r="AF1938" t="str">
        <f t="shared" si="645"/>
        <v>Offensive</v>
      </c>
      <c r="AG1938">
        <f t="shared" si="651"/>
        <v>18981</v>
      </c>
      <c r="AH1938" t="str">
        <f t="shared" si="652"/>
        <v>Nelson</v>
      </c>
      <c r="AI1938" t="str">
        <f t="shared" si="653"/>
        <v>Velodrome</v>
      </c>
      <c r="AJ1938" s="18">
        <f t="shared" si="646"/>
        <v>0</v>
      </c>
      <c r="AP1938" s="18">
        <f t="shared" si="647"/>
        <v>0</v>
      </c>
      <c r="AQ1938">
        <f t="shared" si="648"/>
        <v>2160</v>
      </c>
      <c r="AR1938" s="23">
        <f t="shared" si="649"/>
        <v>2505</v>
      </c>
      <c r="AS1938">
        <f t="shared" si="654"/>
        <v>2500</v>
      </c>
      <c r="AT1938" s="21">
        <f t="shared" si="655"/>
        <v>2505</v>
      </c>
      <c r="AU1938" s="21"/>
      <c r="AV1938" s="21"/>
      <c r="AW1938" s="21"/>
    </row>
    <row r="1939" spans="1:49" x14ac:dyDescent="0.2">
      <c r="A1939">
        <v>1024</v>
      </c>
      <c r="E1939">
        <f t="shared" si="650"/>
        <v>3</v>
      </c>
      <c r="J1939" t="str">
        <f t="shared" si="656"/>
        <v>12</v>
      </c>
      <c r="K1939" t="str">
        <f t="shared" si="657"/>
        <v>15</v>
      </c>
      <c r="L1939" t="str">
        <f t="shared" si="658"/>
        <v/>
      </c>
      <c r="M1939" s="6" t="str">
        <f t="shared" si="659"/>
        <v/>
      </c>
      <c r="N1939" t="str">
        <f t="shared" si="660"/>
        <v>Away</v>
      </c>
      <c r="O1939">
        <v>49</v>
      </c>
      <c r="P1939" t="s">
        <v>424</v>
      </c>
      <c r="Y1939" t="str">
        <f t="shared" si="643"/>
        <v/>
      </c>
      <c r="Z1939" t="str">
        <f t="shared" si="644"/>
        <v/>
      </c>
      <c r="AC1939" t="str">
        <f t="shared" si="640"/>
        <v>Pass</v>
      </c>
      <c r="AD1939" t="str">
        <f t="shared" si="641"/>
        <v>Pass_Completed</v>
      </c>
      <c r="AE1939" t="str">
        <f t="shared" si="642"/>
        <v>Pass-Forehand</v>
      </c>
      <c r="AF1939" t="str">
        <f t="shared" si="645"/>
        <v>Offensive</v>
      </c>
      <c r="AG1939">
        <f t="shared" si="651"/>
        <v>18981</v>
      </c>
      <c r="AH1939" t="str">
        <f t="shared" si="652"/>
        <v>Nelson</v>
      </c>
      <c r="AI1939" t="str">
        <f t="shared" si="653"/>
        <v>Velodrome</v>
      </c>
      <c r="AJ1939" s="18">
        <f t="shared" si="646"/>
        <v>0</v>
      </c>
      <c r="AP1939" s="18">
        <f t="shared" si="647"/>
        <v>0</v>
      </c>
      <c r="AQ1939">
        <f t="shared" si="648"/>
        <v>2160</v>
      </c>
      <c r="AR1939" s="23">
        <f t="shared" si="649"/>
        <v>2505</v>
      </c>
      <c r="AS1939">
        <f t="shared" si="654"/>
        <v>2500</v>
      </c>
      <c r="AT1939" s="21">
        <f t="shared" si="655"/>
        <v>2505</v>
      </c>
      <c r="AU1939" s="21"/>
      <c r="AV1939" s="21"/>
      <c r="AW1939" s="21"/>
    </row>
    <row r="1940" spans="1:49" x14ac:dyDescent="0.2">
      <c r="A1940">
        <v>1024</v>
      </c>
      <c r="E1940">
        <f t="shared" si="650"/>
        <v>3</v>
      </c>
      <c r="J1940" t="str">
        <f t="shared" si="656"/>
        <v>12</v>
      </c>
      <c r="K1940" t="str">
        <f t="shared" si="657"/>
        <v>15</v>
      </c>
      <c r="L1940" t="str">
        <f t="shared" si="658"/>
        <v/>
      </c>
      <c r="M1940" s="6" t="str">
        <f t="shared" si="659"/>
        <v/>
      </c>
      <c r="N1940" t="str">
        <f t="shared" si="660"/>
        <v>Away</v>
      </c>
      <c r="O1940">
        <v>15</v>
      </c>
      <c r="P1940" t="s">
        <v>425</v>
      </c>
      <c r="Y1940" t="str">
        <f t="shared" si="643"/>
        <v/>
      </c>
      <c r="Z1940" t="str">
        <f t="shared" si="644"/>
        <v/>
      </c>
      <c r="AC1940" t="str">
        <f t="shared" si="640"/>
        <v>Pass</v>
      </c>
      <c r="AD1940" t="str">
        <f t="shared" si="641"/>
        <v>Pass_Completed</v>
      </c>
      <c r="AE1940" t="str">
        <f t="shared" si="642"/>
        <v>Pass-Forehand</v>
      </c>
      <c r="AF1940" t="str">
        <f t="shared" si="645"/>
        <v>Defensive</v>
      </c>
      <c r="AG1940">
        <f t="shared" si="651"/>
        <v>18981</v>
      </c>
      <c r="AH1940" t="str">
        <f t="shared" si="652"/>
        <v>Nelson</v>
      </c>
      <c r="AI1940" t="str">
        <f t="shared" si="653"/>
        <v>Velodrome</v>
      </c>
      <c r="AJ1940" s="18">
        <f t="shared" si="646"/>
        <v>0</v>
      </c>
      <c r="AP1940" s="18">
        <f t="shared" si="647"/>
        <v>0</v>
      </c>
      <c r="AQ1940">
        <f t="shared" si="648"/>
        <v>2160</v>
      </c>
      <c r="AR1940" s="23">
        <f t="shared" si="649"/>
        <v>2505</v>
      </c>
      <c r="AS1940">
        <f t="shared" si="654"/>
        <v>2500</v>
      </c>
      <c r="AT1940" s="21">
        <f t="shared" si="655"/>
        <v>2505</v>
      </c>
      <c r="AU1940" s="21"/>
      <c r="AV1940" s="21"/>
      <c r="AW1940" s="21"/>
    </row>
    <row r="1941" spans="1:49" x14ac:dyDescent="0.2">
      <c r="A1941">
        <v>1025</v>
      </c>
      <c r="E1941">
        <f t="shared" si="650"/>
        <v>3</v>
      </c>
      <c r="F1941" s="5" t="s">
        <v>487</v>
      </c>
      <c r="G1941" s="5" t="s">
        <v>478</v>
      </c>
      <c r="J1941" t="str">
        <f t="shared" si="656"/>
        <v>12</v>
      </c>
      <c r="K1941" t="str">
        <f t="shared" si="657"/>
        <v>15</v>
      </c>
      <c r="L1941" t="str">
        <f t="shared" si="658"/>
        <v/>
      </c>
      <c r="M1941" s="6" t="str">
        <f t="shared" si="659"/>
        <v/>
      </c>
      <c r="N1941" t="s">
        <v>179</v>
      </c>
      <c r="O1941">
        <v>14</v>
      </c>
      <c r="P1941" t="s">
        <v>424</v>
      </c>
      <c r="Q1941" t="s">
        <v>277</v>
      </c>
      <c r="R1941" t="s">
        <v>201</v>
      </c>
      <c r="S1941" t="s">
        <v>91</v>
      </c>
      <c r="Y1941" t="str">
        <f t="shared" si="643"/>
        <v/>
      </c>
      <c r="Z1941" t="str">
        <f t="shared" si="644"/>
        <v/>
      </c>
      <c r="AC1941" t="str">
        <f t="shared" si="640"/>
        <v>Zone_Entry_Exit</v>
      </c>
      <c r="AD1941" t="str">
        <f t="shared" si="641"/>
        <v>Zone_Exit</v>
      </c>
      <c r="AE1941" t="str">
        <f t="shared" si="642"/>
        <v>ZoneExit-Pass</v>
      </c>
      <c r="AF1941" t="str">
        <f t="shared" si="645"/>
        <v>Offensive</v>
      </c>
      <c r="AG1941">
        <f t="shared" si="651"/>
        <v>18981</v>
      </c>
      <c r="AH1941" t="str">
        <f t="shared" si="652"/>
        <v>Nelson</v>
      </c>
      <c r="AI1941" t="str">
        <f t="shared" si="653"/>
        <v>Velodrome</v>
      </c>
      <c r="AJ1941" s="18">
        <f t="shared" si="646"/>
        <v>0</v>
      </c>
      <c r="AP1941" s="18">
        <f t="shared" si="647"/>
        <v>0</v>
      </c>
      <c r="AQ1941">
        <f t="shared" si="648"/>
        <v>2160</v>
      </c>
      <c r="AR1941" s="23">
        <f t="shared" si="649"/>
        <v>2505</v>
      </c>
      <c r="AS1941">
        <f t="shared" si="654"/>
        <v>2500</v>
      </c>
      <c r="AT1941" s="21">
        <f t="shared" si="655"/>
        <v>2505</v>
      </c>
      <c r="AU1941" s="21"/>
      <c r="AV1941" s="21"/>
      <c r="AW1941" s="21"/>
    </row>
    <row r="1942" spans="1:49" x14ac:dyDescent="0.2">
      <c r="A1942">
        <v>1025</v>
      </c>
      <c r="E1942">
        <f t="shared" si="650"/>
        <v>3</v>
      </c>
      <c r="J1942" t="str">
        <f t="shared" si="656"/>
        <v>12</v>
      </c>
      <c r="K1942" t="str">
        <f t="shared" si="657"/>
        <v>15</v>
      </c>
      <c r="L1942" t="str">
        <f t="shared" si="658"/>
        <v/>
      </c>
      <c r="M1942" s="6" t="str">
        <f t="shared" si="659"/>
        <v/>
      </c>
      <c r="N1942" t="str">
        <f t="shared" si="660"/>
        <v>Away</v>
      </c>
      <c r="O1942">
        <v>49</v>
      </c>
      <c r="P1942" t="s">
        <v>424</v>
      </c>
      <c r="Y1942" t="str">
        <f t="shared" si="643"/>
        <v/>
      </c>
      <c r="Z1942" t="str">
        <f t="shared" si="644"/>
        <v/>
      </c>
      <c r="AC1942" t="str">
        <f t="shared" si="640"/>
        <v>Zone_Entry_Exit</v>
      </c>
      <c r="AD1942" t="str">
        <f t="shared" si="641"/>
        <v>Zone_Exit</v>
      </c>
      <c r="AE1942" t="str">
        <f t="shared" si="642"/>
        <v>ZoneExit-Pass</v>
      </c>
      <c r="AF1942" t="str">
        <f t="shared" si="645"/>
        <v>Offensive</v>
      </c>
      <c r="AG1942">
        <f t="shared" si="651"/>
        <v>18981</v>
      </c>
      <c r="AH1942" t="str">
        <f t="shared" si="652"/>
        <v>Nelson</v>
      </c>
      <c r="AI1942" t="str">
        <f t="shared" si="653"/>
        <v>Velodrome</v>
      </c>
      <c r="AJ1942" s="18">
        <f t="shared" si="646"/>
        <v>0</v>
      </c>
      <c r="AP1942" s="18">
        <f t="shared" si="647"/>
        <v>0</v>
      </c>
      <c r="AQ1942">
        <f t="shared" si="648"/>
        <v>2160</v>
      </c>
      <c r="AR1942" s="23">
        <f t="shared" si="649"/>
        <v>2505</v>
      </c>
      <c r="AS1942">
        <f t="shared" si="654"/>
        <v>2500</v>
      </c>
      <c r="AT1942" s="21">
        <f t="shared" si="655"/>
        <v>2505</v>
      </c>
      <c r="AU1942" s="21"/>
      <c r="AV1942" s="21"/>
      <c r="AW1942" s="21"/>
    </row>
    <row r="1943" spans="1:49" x14ac:dyDescent="0.2">
      <c r="A1943">
        <v>1025</v>
      </c>
      <c r="E1943">
        <f t="shared" si="650"/>
        <v>3</v>
      </c>
      <c r="J1943" t="str">
        <f t="shared" si="656"/>
        <v>12</v>
      </c>
      <c r="K1943" t="str">
        <f t="shared" si="657"/>
        <v>15</v>
      </c>
      <c r="L1943" t="str">
        <f t="shared" si="658"/>
        <v/>
      </c>
      <c r="M1943" s="6" t="str">
        <f t="shared" si="659"/>
        <v/>
      </c>
      <c r="N1943" t="str">
        <f t="shared" si="660"/>
        <v>Away</v>
      </c>
      <c r="O1943">
        <v>15</v>
      </c>
      <c r="P1943" t="s">
        <v>425</v>
      </c>
      <c r="Y1943" t="str">
        <f t="shared" si="643"/>
        <v/>
      </c>
      <c r="Z1943" t="str">
        <f t="shared" si="644"/>
        <v/>
      </c>
      <c r="AC1943" t="str">
        <f t="shared" si="640"/>
        <v>Zone_Entry_Exit</v>
      </c>
      <c r="AD1943" t="str">
        <f t="shared" si="641"/>
        <v>Zone_Exit</v>
      </c>
      <c r="AE1943" t="str">
        <f t="shared" si="642"/>
        <v>ZoneExit-Pass</v>
      </c>
      <c r="AF1943" t="str">
        <f t="shared" si="645"/>
        <v>Defensive</v>
      </c>
      <c r="AG1943">
        <f t="shared" si="651"/>
        <v>18981</v>
      </c>
      <c r="AH1943" t="str">
        <f t="shared" si="652"/>
        <v>Nelson</v>
      </c>
      <c r="AI1943" t="str">
        <f t="shared" si="653"/>
        <v>Velodrome</v>
      </c>
      <c r="AJ1943" s="18">
        <f t="shared" si="646"/>
        <v>0</v>
      </c>
      <c r="AP1943" s="18">
        <f t="shared" si="647"/>
        <v>0</v>
      </c>
      <c r="AQ1943">
        <f t="shared" si="648"/>
        <v>2160</v>
      </c>
      <c r="AR1943" s="23">
        <f t="shared" si="649"/>
        <v>2505</v>
      </c>
      <c r="AS1943">
        <f t="shared" si="654"/>
        <v>2500</v>
      </c>
      <c r="AT1943" s="21">
        <f t="shared" si="655"/>
        <v>2505</v>
      </c>
      <c r="AU1943" s="21"/>
      <c r="AV1943" s="21"/>
      <c r="AW1943" s="21"/>
    </row>
    <row r="1944" spans="1:49" x14ac:dyDescent="0.2">
      <c r="A1944">
        <v>1026</v>
      </c>
      <c r="E1944">
        <f t="shared" si="650"/>
        <v>3</v>
      </c>
      <c r="F1944" s="5" t="s">
        <v>487</v>
      </c>
      <c r="G1944" s="5" t="s">
        <v>478</v>
      </c>
      <c r="H1944" s="5" t="s">
        <v>487</v>
      </c>
      <c r="I1944" s="7" t="s">
        <v>487</v>
      </c>
      <c r="J1944" t="str">
        <f t="shared" si="656"/>
        <v>12</v>
      </c>
      <c r="K1944" t="str">
        <f t="shared" si="657"/>
        <v>15</v>
      </c>
      <c r="L1944" t="str">
        <f t="shared" si="658"/>
        <v>12</v>
      </c>
      <c r="M1944" s="6" t="str">
        <f t="shared" si="659"/>
        <v>12</v>
      </c>
      <c r="N1944" t="s">
        <v>179</v>
      </c>
      <c r="O1944">
        <v>49</v>
      </c>
      <c r="P1944" t="s">
        <v>424</v>
      </c>
      <c r="Q1944" t="s">
        <v>15</v>
      </c>
      <c r="Y1944" t="str">
        <f t="shared" si="643"/>
        <v/>
      </c>
      <c r="Z1944" t="str">
        <f t="shared" si="644"/>
        <v/>
      </c>
      <c r="AC1944" t="str">
        <f t="shared" si="640"/>
        <v>Possession</v>
      </c>
      <c r="AD1944" t="str">
        <f t="shared" si="641"/>
        <v/>
      </c>
      <c r="AE1944" t="str">
        <f t="shared" si="642"/>
        <v/>
      </c>
      <c r="AF1944" t="str">
        <f t="shared" si="645"/>
        <v>Offensive</v>
      </c>
      <c r="AG1944">
        <f t="shared" si="651"/>
        <v>18981</v>
      </c>
      <c r="AH1944" t="str">
        <f t="shared" si="652"/>
        <v>Nelson</v>
      </c>
      <c r="AI1944" t="str">
        <f t="shared" si="653"/>
        <v>Velodrome</v>
      </c>
      <c r="AJ1944" s="18">
        <f t="shared" si="646"/>
        <v>3</v>
      </c>
      <c r="AP1944" s="18">
        <f t="shared" si="647"/>
        <v>0</v>
      </c>
      <c r="AQ1944">
        <f t="shared" si="648"/>
        <v>2160</v>
      </c>
      <c r="AR1944" s="23">
        <f t="shared" si="649"/>
        <v>2505</v>
      </c>
      <c r="AS1944">
        <f t="shared" si="654"/>
        <v>2500</v>
      </c>
      <c r="AT1944" s="21">
        <f t="shared" si="655"/>
        <v>2508</v>
      </c>
      <c r="AU1944" s="21"/>
      <c r="AV1944" s="21"/>
      <c r="AW1944" s="21"/>
    </row>
    <row r="1945" spans="1:49" x14ac:dyDescent="0.2">
      <c r="A1945">
        <v>1027</v>
      </c>
      <c r="E1945">
        <f t="shared" si="650"/>
        <v>3</v>
      </c>
      <c r="F1945" s="5" t="s">
        <v>487</v>
      </c>
      <c r="G1945" s="5" t="s">
        <v>487</v>
      </c>
      <c r="H1945" s="5" t="s">
        <v>487</v>
      </c>
      <c r="I1945" s="7" t="s">
        <v>484</v>
      </c>
      <c r="J1945" t="str">
        <f t="shared" si="656"/>
        <v>12</v>
      </c>
      <c r="K1945" t="str">
        <f t="shared" si="657"/>
        <v>12</v>
      </c>
      <c r="L1945" t="str">
        <f t="shared" si="658"/>
        <v>12</v>
      </c>
      <c r="M1945" s="6" t="str">
        <f t="shared" si="659"/>
        <v>09</v>
      </c>
      <c r="N1945" t="s">
        <v>179</v>
      </c>
      <c r="O1945">
        <v>49</v>
      </c>
      <c r="P1945" t="s">
        <v>424</v>
      </c>
      <c r="Q1945" t="s">
        <v>277</v>
      </c>
      <c r="R1945" t="s">
        <v>191</v>
      </c>
      <c r="S1945" t="s">
        <v>87</v>
      </c>
      <c r="Y1945" t="str">
        <f t="shared" si="643"/>
        <v/>
      </c>
      <c r="Z1945" t="str">
        <f t="shared" si="644"/>
        <v/>
      </c>
      <c r="AC1945" t="str">
        <f t="shared" si="640"/>
        <v>Zone_Entry_Exit</v>
      </c>
      <c r="AD1945" t="str">
        <f t="shared" si="641"/>
        <v>Zone_Entry</v>
      </c>
      <c r="AE1945" t="str">
        <f t="shared" si="642"/>
        <v>ZoneEntry-Rush</v>
      </c>
      <c r="AF1945" t="str">
        <f t="shared" si="645"/>
        <v>Offensive</v>
      </c>
      <c r="AG1945">
        <f t="shared" si="651"/>
        <v>18981</v>
      </c>
      <c r="AH1945" t="str">
        <f t="shared" si="652"/>
        <v>Nelson</v>
      </c>
      <c r="AI1945" t="str">
        <f t="shared" si="653"/>
        <v>Velodrome</v>
      </c>
      <c r="AJ1945" s="18">
        <f t="shared" si="646"/>
        <v>3</v>
      </c>
      <c r="AP1945" s="18">
        <f t="shared" si="647"/>
        <v>0</v>
      </c>
      <c r="AQ1945">
        <f t="shared" si="648"/>
        <v>2160</v>
      </c>
      <c r="AR1945" s="23">
        <f t="shared" si="649"/>
        <v>2508</v>
      </c>
      <c r="AS1945">
        <f t="shared" si="654"/>
        <v>2503</v>
      </c>
      <c r="AT1945" s="21">
        <f t="shared" si="655"/>
        <v>2511</v>
      </c>
      <c r="AU1945" s="21"/>
      <c r="AV1945" s="21"/>
      <c r="AW1945" s="21"/>
    </row>
    <row r="1946" spans="1:49" x14ac:dyDescent="0.2">
      <c r="A1946">
        <v>1027</v>
      </c>
      <c r="E1946">
        <f t="shared" si="650"/>
        <v>3</v>
      </c>
      <c r="J1946" t="str">
        <f t="shared" si="656"/>
        <v>12</v>
      </c>
      <c r="K1946" t="str">
        <f t="shared" si="657"/>
        <v>12</v>
      </c>
      <c r="L1946" t="str">
        <f t="shared" si="658"/>
        <v>12</v>
      </c>
      <c r="M1946" s="6" t="str">
        <f t="shared" si="659"/>
        <v>09</v>
      </c>
      <c r="N1946" t="str">
        <f t="shared" si="660"/>
        <v>Away</v>
      </c>
      <c r="O1946">
        <v>79</v>
      </c>
      <c r="P1946" t="s">
        <v>425</v>
      </c>
      <c r="Y1946" t="str">
        <f t="shared" si="643"/>
        <v/>
      </c>
      <c r="Z1946" t="str">
        <f t="shared" si="644"/>
        <v/>
      </c>
      <c r="AC1946" t="str">
        <f t="shared" si="640"/>
        <v>Zone_Entry_Exit</v>
      </c>
      <c r="AD1946" t="str">
        <f t="shared" si="641"/>
        <v>Zone_Entry</v>
      </c>
      <c r="AE1946" t="str">
        <f t="shared" si="642"/>
        <v>ZoneEntry-Rush</v>
      </c>
      <c r="AF1946" t="str">
        <f t="shared" si="645"/>
        <v>Defensive</v>
      </c>
      <c r="AG1946">
        <f t="shared" si="651"/>
        <v>18981</v>
      </c>
      <c r="AH1946" t="str">
        <f t="shared" si="652"/>
        <v>Nelson</v>
      </c>
      <c r="AI1946" t="str">
        <f t="shared" si="653"/>
        <v>Velodrome</v>
      </c>
      <c r="AJ1946" s="18">
        <f t="shared" si="646"/>
        <v>3</v>
      </c>
      <c r="AP1946" s="18">
        <f t="shared" si="647"/>
        <v>0</v>
      </c>
      <c r="AQ1946">
        <f t="shared" si="648"/>
        <v>2160</v>
      </c>
      <c r="AR1946" s="23">
        <f t="shared" si="649"/>
        <v>2508</v>
      </c>
      <c r="AS1946">
        <f t="shared" si="654"/>
        <v>2503</v>
      </c>
      <c r="AT1946" s="21">
        <f t="shared" si="655"/>
        <v>2511</v>
      </c>
      <c r="AU1946" s="21"/>
      <c r="AV1946" s="21"/>
      <c r="AW1946" s="21"/>
    </row>
    <row r="1947" spans="1:49" x14ac:dyDescent="0.2">
      <c r="A1947">
        <v>1027</v>
      </c>
      <c r="E1947">
        <f t="shared" si="650"/>
        <v>3</v>
      </c>
      <c r="J1947" t="str">
        <f t="shared" si="656"/>
        <v>12</v>
      </c>
      <c r="K1947" t="str">
        <f t="shared" si="657"/>
        <v>12</v>
      </c>
      <c r="L1947" t="str">
        <f t="shared" si="658"/>
        <v>12</v>
      </c>
      <c r="M1947" s="6" t="str">
        <f t="shared" si="659"/>
        <v>09</v>
      </c>
      <c r="N1947" t="str">
        <f t="shared" si="660"/>
        <v>Away</v>
      </c>
      <c r="O1947">
        <v>8</v>
      </c>
      <c r="P1947" t="s">
        <v>425</v>
      </c>
      <c r="Y1947" t="str">
        <f t="shared" si="643"/>
        <v/>
      </c>
      <c r="Z1947" t="str">
        <f t="shared" si="644"/>
        <v/>
      </c>
      <c r="AC1947" t="str">
        <f t="shared" si="640"/>
        <v>Zone_Entry_Exit</v>
      </c>
      <c r="AD1947" t="str">
        <f t="shared" si="641"/>
        <v>Zone_Entry</v>
      </c>
      <c r="AE1947" t="str">
        <f t="shared" si="642"/>
        <v>ZoneEntry-Rush</v>
      </c>
      <c r="AF1947" t="str">
        <f t="shared" si="645"/>
        <v>Defensive</v>
      </c>
      <c r="AG1947">
        <f t="shared" si="651"/>
        <v>18981</v>
      </c>
      <c r="AH1947" t="str">
        <f t="shared" si="652"/>
        <v>Nelson</v>
      </c>
      <c r="AI1947" t="str">
        <f t="shared" si="653"/>
        <v>Velodrome</v>
      </c>
      <c r="AJ1947" s="18">
        <f t="shared" si="646"/>
        <v>3</v>
      </c>
      <c r="AP1947" s="18">
        <f t="shared" si="647"/>
        <v>0</v>
      </c>
      <c r="AQ1947">
        <f t="shared" si="648"/>
        <v>2160</v>
      </c>
      <c r="AR1947" s="23">
        <f t="shared" si="649"/>
        <v>2508</v>
      </c>
      <c r="AS1947">
        <f t="shared" si="654"/>
        <v>2503</v>
      </c>
      <c r="AT1947" s="21">
        <f t="shared" si="655"/>
        <v>2511</v>
      </c>
      <c r="AU1947" s="21"/>
      <c r="AV1947" s="21"/>
      <c r="AW1947" s="21"/>
    </row>
    <row r="1948" spans="1:49" x14ac:dyDescent="0.2">
      <c r="A1948">
        <v>1027</v>
      </c>
      <c r="E1948">
        <f t="shared" si="650"/>
        <v>3</v>
      </c>
      <c r="J1948" t="str">
        <f t="shared" si="656"/>
        <v>12</v>
      </c>
      <c r="K1948" t="str">
        <f t="shared" si="657"/>
        <v>12</v>
      </c>
      <c r="L1948" t="str">
        <f t="shared" si="658"/>
        <v>12</v>
      </c>
      <c r="M1948" s="6" t="str">
        <f t="shared" si="659"/>
        <v>09</v>
      </c>
      <c r="N1948" t="str">
        <f t="shared" si="660"/>
        <v>Away</v>
      </c>
      <c r="O1948">
        <v>80</v>
      </c>
      <c r="P1948" t="s">
        <v>425</v>
      </c>
      <c r="Y1948" t="str">
        <f t="shared" si="643"/>
        <v/>
      </c>
      <c r="Z1948" t="str">
        <f t="shared" si="644"/>
        <v/>
      </c>
      <c r="AC1948" t="str">
        <f t="shared" si="640"/>
        <v>Zone_Entry_Exit</v>
      </c>
      <c r="AD1948" t="str">
        <f t="shared" si="641"/>
        <v>Zone_Entry</v>
      </c>
      <c r="AE1948" t="str">
        <f t="shared" si="642"/>
        <v>ZoneEntry-Rush</v>
      </c>
      <c r="AF1948" t="str">
        <f t="shared" si="645"/>
        <v>Defensive</v>
      </c>
      <c r="AG1948">
        <f t="shared" si="651"/>
        <v>18981</v>
      </c>
      <c r="AH1948" t="str">
        <f t="shared" si="652"/>
        <v>Nelson</v>
      </c>
      <c r="AI1948" t="str">
        <f t="shared" si="653"/>
        <v>Velodrome</v>
      </c>
      <c r="AJ1948" s="18">
        <f t="shared" si="646"/>
        <v>3</v>
      </c>
      <c r="AP1948" s="18">
        <f t="shared" si="647"/>
        <v>0</v>
      </c>
      <c r="AQ1948">
        <f t="shared" si="648"/>
        <v>2160</v>
      </c>
      <c r="AR1948" s="23">
        <f t="shared" si="649"/>
        <v>2508</v>
      </c>
      <c r="AS1948">
        <f t="shared" si="654"/>
        <v>2503</v>
      </c>
      <c r="AT1948" s="21">
        <f t="shared" si="655"/>
        <v>2511</v>
      </c>
      <c r="AU1948" s="21"/>
      <c r="AV1948" s="21"/>
      <c r="AW1948" s="21"/>
    </row>
    <row r="1949" spans="1:49" x14ac:dyDescent="0.2">
      <c r="A1949">
        <v>1028</v>
      </c>
      <c r="E1949">
        <f t="shared" si="650"/>
        <v>3</v>
      </c>
      <c r="F1949" s="5" t="s">
        <v>487</v>
      </c>
      <c r="G1949" s="5" t="s">
        <v>484</v>
      </c>
      <c r="J1949" t="str">
        <f t="shared" si="656"/>
        <v>12</v>
      </c>
      <c r="K1949" t="str">
        <f t="shared" si="657"/>
        <v>09</v>
      </c>
      <c r="L1949" t="str">
        <f t="shared" si="658"/>
        <v/>
      </c>
      <c r="M1949" s="6" t="str">
        <f t="shared" si="659"/>
        <v/>
      </c>
      <c r="N1949" t="s">
        <v>178</v>
      </c>
      <c r="O1949">
        <v>80</v>
      </c>
      <c r="P1949" t="s">
        <v>424</v>
      </c>
      <c r="Q1949" t="s">
        <v>247</v>
      </c>
      <c r="R1949" t="s">
        <v>446</v>
      </c>
      <c r="S1949" t="s">
        <v>559</v>
      </c>
      <c r="Y1949" t="str">
        <f t="shared" si="643"/>
        <v/>
      </c>
      <c r="Z1949" t="str">
        <f t="shared" si="644"/>
        <v/>
      </c>
      <c r="AC1949" t="str">
        <f t="shared" si="640"/>
        <v>Play</v>
      </c>
      <c r="AD1949" t="str">
        <f t="shared" si="641"/>
        <v>Play_Defensive</v>
      </c>
      <c r="AE1949" t="str">
        <f t="shared" si="642"/>
        <v>Play-PokeCheck</v>
      </c>
      <c r="AF1949" t="str">
        <f t="shared" si="645"/>
        <v>Defensive</v>
      </c>
      <c r="AG1949">
        <f t="shared" si="651"/>
        <v>18981</v>
      </c>
      <c r="AH1949" t="str">
        <f t="shared" si="652"/>
        <v>Nelson</v>
      </c>
      <c r="AI1949" t="str">
        <f t="shared" si="653"/>
        <v>Velodrome</v>
      </c>
      <c r="AJ1949" s="18">
        <f t="shared" si="646"/>
        <v>0</v>
      </c>
      <c r="AP1949" s="18">
        <f t="shared" si="647"/>
        <v>0</v>
      </c>
      <c r="AQ1949">
        <f t="shared" si="648"/>
        <v>2160</v>
      </c>
      <c r="AR1949" s="23">
        <f t="shared" si="649"/>
        <v>2511</v>
      </c>
      <c r="AS1949">
        <f t="shared" si="654"/>
        <v>2506</v>
      </c>
      <c r="AT1949" s="21">
        <f t="shared" si="655"/>
        <v>2511</v>
      </c>
      <c r="AU1949" s="21"/>
      <c r="AV1949" s="21"/>
      <c r="AW1949" s="21"/>
    </row>
    <row r="1950" spans="1:49" x14ac:dyDescent="0.2">
      <c r="A1950">
        <v>1028</v>
      </c>
      <c r="E1950">
        <f t="shared" si="650"/>
        <v>3</v>
      </c>
      <c r="J1950" t="str">
        <f t="shared" si="656"/>
        <v>12</v>
      </c>
      <c r="K1950" t="str">
        <f t="shared" si="657"/>
        <v>09</v>
      </c>
      <c r="L1950" t="str">
        <f t="shared" si="658"/>
        <v/>
      </c>
      <c r="M1950" s="6" t="str">
        <f t="shared" si="659"/>
        <v/>
      </c>
      <c r="N1950" t="str">
        <f t="shared" si="660"/>
        <v>Home</v>
      </c>
      <c r="O1950">
        <v>49</v>
      </c>
      <c r="P1950" t="s">
        <v>425</v>
      </c>
      <c r="Y1950" t="str">
        <f t="shared" si="643"/>
        <v/>
      </c>
      <c r="Z1950" t="str">
        <f t="shared" si="644"/>
        <v/>
      </c>
      <c r="AC1950" t="str">
        <f t="shared" si="640"/>
        <v>Play</v>
      </c>
      <c r="AD1950" t="str">
        <f t="shared" si="641"/>
        <v>Play_Defensive</v>
      </c>
      <c r="AE1950" t="str">
        <f t="shared" si="642"/>
        <v>Play-PokeCheck</v>
      </c>
      <c r="AF1950" t="str">
        <f t="shared" si="645"/>
        <v>Offensive</v>
      </c>
      <c r="AG1950">
        <f t="shared" si="651"/>
        <v>18981</v>
      </c>
      <c r="AH1950" t="str">
        <f t="shared" si="652"/>
        <v>Nelson</v>
      </c>
      <c r="AI1950" t="str">
        <f t="shared" si="653"/>
        <v>Velodrome</v>
      </c>
      <c r="AJ1950" s="18">
        <f t="shared" si="646"/>
        <v>0</v>
      </c>
      <c r="AP1950" s="18">
        <f t="shared" si="647"/>
        <v>0</v>
      </c>
      <c r="AQ1950">
        <f t="shared" si="648"/>
        <v>2160</v>
      </c>
      <c r="AR1950" s="23">
        <f t="shared" si="649"/>
        <v>2511</v>
      </c>
      <c r="AS1950">
        <f t="shared" si="654"/>
        <v>2506</v>
      </c>
      <c r="AT1950" s="21">
        <f t="shared" si="655"/>
        <v>2511</v>
      </c>
      <c r="AU1950" s="21"/>
      <c r="AV1950" s="21"/>
      <c r="AW1950" s="21"/>
    </row>
    <row r="1951" spans="1:49" x14ac:dyDescent="0.2">
      <c r="A1951">
        <v>1029</v>
      </c>
      <c r="E1951">
        <f t="shared" si="650"/>
        <v>3</v>
      </c>
      <c r="F1951" s="5" t="s">
        <v>487</v>
      </c>
      <c r="G1951" s="5" t="s">
        <v>482</v>
      </c>
      <c r="J1951" t="str">
        <f t="shared" si="656"/>
        <v>12</v>
      </c>
      <c r="K1951" t="str">
        <f t="shared" si="657"/>
        <v>07</v>
      </c>
      <c r="L1951" t="str">
        <f t="shared" si="658"/>
        <v/>
      </c>
      <c r="M1951" s="6" t="str">
        <f t="shared" si="659"/>
        <v/>
      </c>
      <c r="N1951" t="s">
        <v>179</v>
      </c>
      <c r="O1951">
        <v>49</v>
      </c>
      <c r="P1951" t="s">
        <v>424</v>
      </c>
      <c r="Q1951" t="s">
        <v>8</v>
      </c>
      <c r="R1951" t="s">
        <v>199</v>
      </c>
      <c r="S1951" t="s">
        <v>68</v>
      </c>
      <c r="Y1951" t="str">
        <f t="shared" si="643"/>
        <v/>
      </c>
      <c r="Z1951" t="str">
        <f t="shared" si="644"/>
        <v/>
      </c>
      <c r="AC1951" t="str">
        <f t="shared" si="640"/>
        <v>Pass</v>
      </c>
      <c r="AD1951" t="str">
        <f t="shared" si="641"/>
        <v>Pass_Missed</v>
      </c>
      <c r="AE1951" t="str">
        <f t="shared" si="642"/>
        <v>Pass-Rim/Wrap</v>
      </c>
      <c r="AF1951" t="str">
        <f t="shared" si="645"/>
        <v>Offensive</v>
      </c>
      <c r="AG1951">
        <f t="shared" si="651"/>
        <v>18981</v>
      </c>
      <c r="AH1951" t="str">
        <f t="shared" si="652"/>
        <v>Nelson</v>
      </c>
      <c r="AI1951" t="str">
        <f t="shared" si="653"/>
        <v>Velodrome</v>
      </c>
      <c r="AJ1951" s="18">
        <f t="shared" si="646"/>
        <v>0</v>
      </c>
      <c r="AP1951" s="18">
        <f t="shared" si="647"/>
        <v>0</v>
      </c>
      <c r="AQ1951">
        <f t="shared" si="648"/>
        <v>2160</v>
      </c>
      <c r="AR1951" s="23">
        <f t="shared" si="649"/>
        <v>2513</v>
      </c>
      <c r="AS1951">
        <f t="shared" si="654"/>
        <v>2508</v>
      </c>
      <c r="AT1951" s="21">
        <f t="shared" si="655"/>
        <v>2513</v>
      </c>
      <c r="AU1951" s="21"/>
      <c r="AV1951" s="21"/>
      <c r="AW1951" s="21"/>
    </row>
    <row r="1952" spans="1:49" x14ac:dyDescent="0.2">
      <c r="A1952">
        <v>1029</v>
      </c>
      <c r="E1952">
        <f t="shared" si="650"/>
        <v>3</v>
      </c>
      <c r="J1952" t="str">
        <f t="shared" si="656"/>
        <v>12</v>
      </c>
      <c r="K1952" t="str">
        <f t="shared" si="657"/>
        <v>07</v>
      </c>
      <c r="L1952" t="str">
        <f t="shared" si="658"/>
        <v/>
      </c>
      <c r="M1952" s="6" t="str">
        <f t="shared" si="659"/>
        <v/>
      </c>
      <c r="N1952" t="str">
        <f t="shared" si="660"/>
        <v>Away</v>
      </c>
      <c r="O1952">
        <v>14</v>
      </c>
      <c r="P1952" t="s">
        <v>424</v>
      </c>
      <c r="Y1952" t="str">
        <f t="shared" si="643"/>
        <v/>
      </c>
      <c r="Z1952" t="str">
        <f t="shared" si="644"/>
        <v/>
      </c>
      <c r="AC1952" t="str">
        <f t="shared" si="640"/>
        <v>Pass</v>
      </c>
      <c r="AD1952" t="str">
        <f t="shared" si="641"/>
        <v>Pass_Missed</v>
      </c>
      <c r="AE1952" t="str">
        <f t="shared" si="642"/>
        <v>Pass-Rim/Wrap</v>
      </c>
      <c r="AF1952" t="str">
        <f t="shared" si="645"/>
        <v>Offensive</v>
      </c>
      <c r="AG1952">
        <f t="shared" si="651"/>
        <v>18981</v>
      </c>
      <c r="AH1952" t="str">
        <f t="shared" si="652"/>
        <v>Nelson</v>
      </c>
      <c r="AI1952" t="str">
        <f t="shared" si="653"/>
        <v>Velodrome</v>
      </c>
      <c r="AJ1952" s="18">
        <f t="shared" si="646"/>
        <v>0</v>
      </c>
      <c r="AP1952" s="18">
        <f t="shared" si="647"/>
        <v>0</v>
      </c>
      <c r="AQ1952">
        <f t="shared" si="648"/>
        <v>2160</v>
      </c>
      <c r="AR1952" s="23">
        <f t="shared" si="649"/>
        <v>2513</v>
      </c>
      <c r="AS1952">
        <f t="shared" si="654"/>
        <v>2508</v>
      </c>
      <c r="AT1952" s="21">
        <f t="shared" si="655"/>
        <v>2513</v>
      </c>
      <c r="AU1952" s="21"/>
      <c r="AV1952" s="21"/>
      <c r="AW1952" s="21"/>
    </row>
    <row r="1953" spans="1:49" x14ac:dyDescent="0.2">
      <c r="A1953">
        <v>1029</v>
      </c>
      <c r="E1953">
        <f t="shared" si="650"/>
        <v>3</v>
      </c>
      <c r="J1953" t="str">
        <f t="shared" si="656"/>
        <v>12</v>
      </c>
      <c r="K1953" t="str">
        <f t="shared" si="657"/>
        <v>07</v>
      </c>
      <c r="L1953" t="str">
        <f t="shared" si="658"/>
        <v/>
      </c>
      <c r="M1953" s="6" t="str">
        <f t="shared" si="659"/>
        <v/>
      </c>
      <c r="N1953" t="str">
        <f t="shared" si="660"/>
        <v>Away</v>
      </c>
      <c r="O1953">
        <v>80</v>
      </c>
      <c r="P1953" t="s">
        <v>425</v>
      </c>
      <c r="Y1953" t="str">
        <f t="shared" si="643"/>
        <v/>
      </c>
      <c r="Z1953" t="str">
        <f t="shared" si="644"/>
        <v/>
      </c>
      <c r="AC1953" t="str">
        <f t="shared" si="640"/>
        <v>Pass</v>
      </c>
      <c r="AD1953" t="str">
        <f t="shared" si="641"/>
        <v>Pass_Missed</v>
      </c>
      <c r="AE1953" t="str">
        <f t="shared" si="642"/>
        <v>Pass-Rim/Wrap</v>
      </c>
      <c r="AF1953" t="str">
        <f t="shared" si="645"/>
        <v>Defensive</v>
      </c>
      <c r="AG1953">
        <f t="shared" si="651"/>
        <v>18981</v>
      </c>
      <c r="AH1953" t="str">
        <f t="shared" si="652"/>
        <v>Nelson</v>
      </c>
      <c r="AI1953" t="str">
        <f t="shared" si="653"/>
        <v>Velodrome</v>
      </c>
      <c r="AJ1953" s="18">
        <f t="shared" si="646"/>
        <v>0</v>
      </c>
      <c r="AP1953" s="18">
        <f t="shared" si="647"/>
        <v>0</v>
      </c>
      <c r="AQ1953">
        <f t="shared" si="648"/>
        <v>2160</v>
      </c>
      <c r="AR1953" s="23">
        <f t="shared" si="649"/>
        <v>2513</v>
      </c>
      <c r="AS1953">
        <f t="shared" si="654"/>
        <v>2508</v>
      </c>
      <c r="AT1953" s="21">
        <f t="shared" si="655"/>
        <v>2513</v>
      </c>
      <c r="AU1953" s="21"/>
      <c r="AV1953" s="21"/>
      <c r="AW1953" s="21"/>
    </row>
    <row r="1954" spans="1:49" x14ac:dyDescent="0.2">
      <c r="A1954">
        <v>1030</v>
      </c>
      <c r="E1954">
        <f t="shared" si="650"/>
        <v>3</v>
      </c>
      <c r="F1954" s="5" t="s">
        <v>486</v>
      </c>
      <c r="G1954" s="5" t="s">
        <v>530</v>
      </c>
      <c r="J1954" t="str">
        <f t="shared" si="656"/>
        <v>11</v>
      </c>
      <c r="K1954" t="str">
        <f t="shared" si="657"/>
        <v>58</v>
      </c>
      <c r="L1954" t="str">
        <f t="shared" si="658"/>
        <v/>
      </c>
      <c r="M1954" s="6" t="str">
        <f t="shared" si="659"/>
        <v/>
      </c>
      <c r="N1954" t="s">
        <v>179</v>
      </c>
      <c r="O1954">
        <v>14</v>
      </c>
      <c r="P1954" t="s">
        <v>424</v>
      </c>
      <c r="Q1954" t="s">
        <v>8</v>
      </c>
      <c r="R1954" t="s">
        <v>189</v>
      </c>
      <c r="S1954" t="s">
        <v>68</v>
      </c>
      <c r="Y1954" t="str">
        <f t="shared" si="643"/>
        <v/>
      </c>
      <c r="Z1954" t="str">
        <f t="shared" si="644"/>
        <v/>
      </c>
      <c r="AC1954" t="str">
        <f t="shared" si="640"/>
        <v>Pass</v>
      </c>
      <c r="AD1954" t="str">
        <f t="shared" si="641"/>
        <v>Pass_Completed</v>
      </c>
      <c r="AE1954" t="str">
        <f t="shared" si="642"/>
        <v>Pass-Rim/Wrap</v>
      </c>
      <c r="AF1954" t="str">
        <f t="shared" si="645"/>
        <v>Offensive</v>
      </c>
      <c r="AG1954">
        <f t="shared" si="651"/>
        <v>18981</v>
      </c>
      <c r="AH1954" t="str">
        <f t="shared" si="652"/>
        <v>Nelson</v>
      </c>
      <c r="AI1954" t="str">
        <f t="shared" si="653"/>
        <v>Velodrome</v>
      </c>
      <c r="AJ1954" s="18">
        <f t="shared" si="646"/>
        <v>0</v>
      </c>
      <c r="AP1954" s="18">
        <f t="shared" si="647"/>
        <v>0</v>
      </c>
      <c r="AQ1954">
        <f t="shared" si="648"/>
        <v>2160</v>
      </c>
      <c r="AR1954" s="23">
        <f t="shared" si="649"/>
        <v>2522</v>
      </c>
      <c r="AS1954">
        <f t="shared" si="654"/>
        <v>2517</v>
      </c>
      <c r="AT1954" s="21">
        <f t="shared" si="655"/>
        <v>2522</v>
      </c>
      <c r="AU1954" s="21"/>
      <c r="AV1954" s="21"/>
      <c r="AW1954" s="21"/>
    </row>
    <row r="1955" spans="1:49" x14ac:dyDescent="0.2">
      <c r="A1955">
        <v>1030</v>
      </c>
      <c r="E1955">
        <f t="shared" si="650"/>
        <v>3</v>
      </c>
      <c r="J1955" t="str">
        <f t="shared" si="656"/>
        <v>11</v>
      </c>
      <c r="K1955" t="str">
        <f t="shared" si="657"/>
        <v>58</v>
      </c>
      <c r="L1955" t="str">
        <f t="shared" si="658"/>
        <v/>
      </c>
      <c r="M1955" s="6" t="str">
        <f t="shared" si="659"/>
        <v/>
      </c>
      <c r="N1955" t="str">
        <f t="shared" si="660"/>
        <v>Away</v>
      </c>
      <c r="O1955">
        <v>49</v>
      </c>
      <c r="P1955" t="s">
        <v>424</v>
      </c>
      <c r="Y1955" t="str">
        <f t="shared" si="643"/>
        <v/>
      </c>
      <c r="Z1955" t="str">
        <f t="shared" si="644"/>
        <v/>
      </c>
      <c r="AC1955" t="str">
        <f t="shared" si="640"/>
        <v>Pass</v>
      </c>
      <c r="AD1955" t="str">
        <f t="shared" si="641"/>
        <v>Pass_Completed</v>
      </c>
      <c r="AE1955" t="str">
        <f t="shared" si="642"/>
        <v>Pass-Rim/Wrap</v>
      </c>
      <c r="AF1955" t="str">
        <f t="shared" si="645"/>
        <v>Offensive</v>
      </c>
      <c r="AG1955">
        <f t="shared" si="651"/>
        <v>18981</v>
      </c>
      <c r="AH1955" t="str">
        <f t="shared" si="652"/>
        <v>Nelson</v>
      </c>
      <c r="AI1955" t="str">
        <f t="shared" si="653"/>
        <v>Velodrome</v>
      </c>
      <c r="AJ1955" s="18">
        <f t="shared" si="646"/>
        <v>0</v>
      </c>
      <c r="AP1955" s="18">
        <f t="shared" si="647"/>
        <v>0</v>
      </c>
      <c r="AQ1955">
        <f t="shared" si="648"/>
        <v>2160</v>
      </c>
      <c r="AR1955" s="23">
        <f t="shared" si="649"/>
        <v>2522</v>
      </c>
      <c r="AS1955">
        <f t="shared" si="654"/>
        <v>2517</v>
      </c>
      <c r="AT1955" s="21">
        <f t="shared" si="655"/>
        <v>2522</v>
      </c>
      <c r="AU1955" s="21"/>
      <c r="AV1955" s="21"/>
      <c r="AW1955" s="21"/>
    </row>
    <row r="1956" spans="1:49" x14ac:dyDescent="0.2">
      <c r="A1956">
        <v>1030</v>
      </c>
      <c r="E1956">
        <f t="shared" si="650"/>
        <v>3</v>
      </c>
      <c r="J1956" t="str">
        <f t="shared" si="656"/>
        <v>11</v>
      </c>
      <c r="K1956" t="str">
        <f t="shared" si="657"/>
        <v>58</v>
      </c>
      <c r="L1956" t="str">
        <f t="shared" si="658"/>
        <v/>
      </c>
      <c r="M1956" s="6" t="str">
        <f t="shared" si="659"/>
        <v/>
      </c>
      <c r="N1956" t="str">
        <f t="shared" si="660"/>
        <v>Away</v>
      </c>
      <c r="O1956">
        <v>8</v>
      </c>
      <c r="P1956" t="s">
        <v>425</v>
      </c>
      <c r="Y1956" t="str">
        <f t="shared" si="643"/>
        <v/>
      </c>
      <c r="Z1956" t="str">
        <f t="shared" si="644"/>
        <v/>
      </c>
      <c r="AC1956" t="str">
        <f t="shared" si="640"/>
        <v>Pass</v>
      </c>
      <c r="AD1956" t="str">
        <f t="shared" si="641"/>
        <v>Pass_Completed</v>
      </c>
      <c r="AE1956" t="str">
        <f t="shared" si="642"/>
        <v>Pass-Rim/Wrap</v>
      </c>
      <c r="AF1956" t="str">
        <f t="shared" si="645"/>
        <v>Defensive</v>
      </c>
      <c r="AG1956">
        <f t="shared" si="651"/>
        <v>18981</v>
      </c>
      <c r="AH1956" t="str">
        <f t="shared" si="652"/>
        <v>Nelson</v>
      </c>
      <c r="AI1956" t="str">
        <f t="shared" si="653"/>
        <v>Velodrome</v>
      </c>
      <c r="AJ1956" s="18">
        <f t="shared" si="646"/>
        <v>0</v>
      </c>
      <c r="AP1956" s="18">
        <f t="shared" si="647"/>
        <v>0</v>
      </c>
      <c r="AQ1956">
        <f t="shared" si="648"/>
        <v>2160</v>
      </c>
      <c r="AR1956" s="23">
        <f t="shared" si="649"/>
        <v>2522</v>
      </c>
      <c r="AS1956">
        <f t="shared" si="654"/>
        <v>2517</v>
      </c>
      <c r="AT1956" s="21">
        <f t="shared" si="655"/>
        <v>2522</v>
      </c>
      <c r="AU1956" s="21"/>
      <c r="AV1956" s="21"/>
      <c r="AW1956" s="21"/>
    </row>
    <row r="1957" spans="1:49" x14ac:dyDescent="0.2">
      <c r="A1957">
        <v>1031</v>
      </c>
      <c r="E1957">
        <f t="shared" si="650"/>
        <v>3</v>
      </c>
      <c r="F1957" s="5" t="s">
        <v>486</v>
      </c>
      <c r="G1957" s="5" t="s">
        <v>530</v>
      </c>
      <c r="H1957" s="5" t="s">
        <v>486</v>
      </c>
      <c r="I1957" s="7" t="s">
        <v>528</v>
      </c>
      <c r="J1957" t="str">
        <f t="shared" si="656"/>
        <v>11</v>
      </c>
      <c r="K1957" t="str">
        <f t="shared" si="657"/>
        <v>58</v>
      </c>
      <c r="L1957" t="str">
        <f t="shared" si="658"/>
        <v>11</v>
      </c>
      <c r="M1957" s="6" t="str">
        <f t="shared" si="659"/>
        <v>56</v>
      </c>
      <c r="N1957" t="s">
        <v>179</v>
      </c>
      <c r="O1957">
        <v>49</v>
      </c>
      <c r="P1957" t="s">
        <v>424</v>
      </c>
      <c r="Q1957" t="s">
        <v>15</v>
      </c>
      <c r="Y1957" t="str">
        <f t="shared" si="643"/>
        <v/>
      </c>
      <c r="Z1957" t="str">
        <f t="shared" si="644"/>
        <v/>
      </c>
      <c r="AC1957" t="str">
        <f t="shared" si="640"/>
        <v>Possession</v>
      </c>
      <c r="AD1957" t="str">
        <f t="shared" si="641"/>
        <v/>
      </c>
      <c r="AE1957" t="str">
        <f t="shared" si="642"/>
        <v/>
      </c>
      <c r="AF1957" t="str">
        <f t="shared" si="645"/>
        <v>Offensive</v>
      </c>
      <c r="AG1957">
        <f t="shared" si="651"/>
        <v>18981</v>
      </c>
      <c r="AH1957" t="str">
        <f t="shared" si="652"/>
        <v>Nelson</v>
      </c>
      <c r="AI1957" t="str">
        <f t="shared" si="653"/>
        <v>Velodrome</v>
      </c>
      <c r="AJ1957" s="18">
        <f t="shared" si="646"/>
        <v>2</v>
      </c>
      <c r="AP1957" s="18">
        <f t="shared" si="647"/>
        <v>0</v>
      </c>
      <c r="AQ1957">
        <f t="shared" si="648"/>
        <v>2160</v>
      </c>
      <c r="AR1957" s="23">
        <f t="shared" si="649"/>
        <v>2522</v>
      </c>
      <c r="AS1957">
        <f t="shared" si="654"/>
        <v>2517</v>
      </c>
      <c r="AT1957" s="21">
        <f t="shared" si="655"/>
        <v>2524</v>
      </c>
      <c r="AU1957" s="21"/>
      <c r="AV1957" s="21"/>
      <c r="AW1957" s="21"/>
    </row>
    <row r="1958" spans="1:49" x14ac:dyDescent="0.2">
      <c r="A1958">
        <v>1032</v>
      </c>
      <c r="E1958">
        <f t="shared" si="650"/>
        <v>3</v>
      </c>
      <c r="F1958" s="5" t="s">
        <v>486</v>
      </c>
      <c r="G1958" s="5" t="s">
        <v>528</v>
      </c>
      <c r="J1958" t="str">
        <f t="shared" si="656"/>
        <v>11</v>
      </c>
      <c r="K1958" t="str">
        <f t="shared" si="657"/>
        <v>56</v>
      </c>
      <c r="L1958" t="str">
        <f t="shared" si="658"/>
        <v/>
      </c>
      <c r="M1958" s="6" t="str">
        <f t="shared" si="659"/>
        <v/>
      </c>
      <c r="N1958" t="s">
        <v>179</v>
      </c>
      <c r="O1958">
        <v>49</v>
      </c>
      <c r="P1958" t="s">
        <v>424</v>
      </c>
      <c r="Q1958" t="s">
        <v>8</v>
      </c>
      <c r="R1958" t="s">
        <v>189</v>
      </c>
      <c r="S1958" t="s">
        <v>70</v>
      </c>
      <c r="Y1958" t="str">
        <f t="shared" si="643"/>
        <v/>
      </c>
      <c r="Z1958" t="str">
        <f t="shared" si="644"/>
        <v/>
      </c>
      <c r="AC1958" t="str">
        <f t="shared" si="640"/>
        <v>Pass</v>
      </c>
      <c r="AD1958" t="str">
        <f t="shared" si="641"/>
        <v>Pass_Completed</v>
      </c>
      <c r="AE1958" t="str">
        <f t="shared" si="642"/>
        <v>Pass-Forehand</v>
      </c>
      <c r="AF1958" t="str">
        <f t="shared" si="645"/>
        <v>Offensive</v>
      </c>
      <c r="AG1958">
        <f t="shared" si="651"/>
        <v>18981</v>
      </c>
      <c r="AH1958" t="str">
        <f t="shared" si="652"/>
        <v>Nelson</v>
      </c>
      <c r="AI1958" t="str">
        <f t="shared" si="653"/>
        <v>Velodrome</v>
      </c>
      <c r="AJ1958" s="18">
        <f t="shared" si="646"/>
        <v>0</v>
      </c>
      <c r="AP1958" s="18">
        <f t="shared" si="647"/>
        <v>0</v>
      </c>
      <c r="AQ1958">
        <f t="shared" si="648"/>
        <v>2160</v>
      </c>
      <c r="AR1958" s="23">
        <f t="shared" si="649"/>
        <v>2524</v>
      </c>
      <c r="AS1958">
        <f t="shared" si="654"/>
        <v>2519</v>
      </c>
      <c r="AT1958" s="21">
        <f t="shared" si="655"/>
        <v>2524</v>
      </c>
      <c r="AU1958" s="21"/>
      <c r="AV1958" s="21"/>
      <c r="AW1958" s="21"/>
    </row>
    <row r="1959" spans="1:49" x14ac:dyDescent="0.2">
      <c r="A1959">
        <v>1032</v>
      </c>
      <c r="E1959">
        <f t="shared" si="650"/>
        <v>3</v>
      </c>
      <c r="J1959" t="str">
        <f t="shared" si="656"/>
        <v>11</v>
      </c>
      <c r="K1959" t="str">
        <f t="shared" si="657"/>
        <v>56</v>
      </c>
      <c r="L1959" t="str">
        <f t="shared" si="658"/>
        <v/>
      </c>
      <c r="M1959" s="6" t="str">
        <f t="shared" si="659"/>
        <v/>
      </c>
      <c r="N1959" t="str">
        <f t="shared" si="660"/>
        <v>Away</v>
      </c>
      <c r="O1959">
        <v>61</v>
      </c>
      <c r="P1959" t="s">
        <v>424</v>
      </c>
      <c r="Y1959" t="str">
        <f t="shared" si="643"/>
        <v/>
      </c>
      <c r="Z1959" t="str">
        <f t="shared" si="644"/>
        <v/>
      </c>
      <c r="AC1959" t="str">
        <f t="shared" si="640"/>
        <v>Pass</v>
      </c>
      <c r="AD1959" t="str">
        <f t="shared" si="641"/>
        <v>Pass_Completed</v>
      </c>
      <c r="AE1959" t="str">
        <f t="shared" si="642"/>
        <v>Pass-Forehand</v>
      </c>
      <c r="AF1959" t="str">
        <f t="shared" si="645"/>
        <v>Offensive</v>
      </c>
      <c r="AG1959">
        <f t="shared" si="651"/>
        <v>18981</v>
      </c>
      <c r="AH1959" t="str">
        <f t="shared" si="652"/>
        <v>Nelson</v>
      </c>
      <c r="AI1959" t="str">
        <f t="shared" si="653"/>
        <v>Velodrome</v>
      </c>
      <c r="AJ1959" s="18">
        <f t="shared" si="646"/>
        <v>0</v>
      </c>
      <c r="AP1959" s="18">
        <f t="shared" si="647"/>
        <v>0</v>
      </c>
      <c r="AQ1959">
        <f t="shared" si="648"/>
        <v>2160</v>
      </c>
      <c r="AR1959" s="23">
        <f t="shared" si="649"/>
        <v>2524</v>
      </c>
      <c r="AS1959">
        <f t="shared" si="654"/>
        <v>2519</v>
      </c>
      <c r="AT1959" s="21">
        <f t="shared" si="655"/>
        <v>2524</v>
      </c>
      <c r="AU1959" s="21"/>
      <c r="AV1959" s="21"/>
      <c r="AW1959" s="21"/>
    </row>
    <row r="1960" spans="1:49" x14ac:dyDescent="0.2">
      <c r="A1960">
        <v>1032</v>
      </c>
      <c r="E1960">
        <f t="shared" si="650"/>
        <v>3</v>
      </c>
      <c r="J1960" t="str">
        <f t="shared" si="656"/>
        <v>11</v>
      </c>
      <c r="K1960" t="str">
        <f t="shared" si="657"/>
        <v>56</v>
      </c>
      <c r="L1960" t="str">
        <f t="shared" si="658"/>
        <v/>
      </c>
      <c r="M1960" s="6" t="str">
        <f t="shared" si="659"/>
        <v/>
      </c>
      <c r="N1960" t="str">
        <f t="shared" si="660"/>
        <v>Away</v>
      </c>
      <c r="O1960">
        <v>80</v>
      </c>
      <c r="P1960" t="s">
        <v>425</v>
      </c>
      <c r="Y1960" t="str">
        <f t="shared" si="643"/>
        <v/>
      </c>
      <c r="Z1960" t="str">
        <f t="shared" si="644"/>
        <v/>
      </c>
      <c r="AC1960" t="str">
        <f t="shared" si="640"/>
        <v>Pass</v>
      </c>
      <c r="AD1960" t="str">
        <f t="shared" si="641"/>
        <v>Pass_Completed</v>
      </c>
      <c r="AE1960" t="str">
        <f t="shared" si="642"/>
        <v>Pass-Forehand</v>
      </c>
      <c r="AF1960" t="str">
        <f t="shared" si="645"/>
        <v>Defensive</v>
      </c>
      <c r="AG1960">
        <f t="shared" si="651"/>
        <v>18981</v>
      </c>
      <c r="AH1960" t="str">
        <f t="shared" si="652"/>
        <v>Nelson</v>
      </c>
      <c r="AI1960" t="str">
        <f t="shared" si="653"/>
        <v>Velodrome</v>
      </c>
      <c r="AJ1960" s="18">
        <f t="shared" si="646"/>
        <v>0</v>
      </c>
      <c r="AP1960" s="18">
        <f t="shared" si="647"/>
        <v>0</v>
      </c>
      <c r="AQ1960">
        <f t="shared" si="648"/>
        <v>2160</v>
      </c>
      <c r="AR1960" s="23">
        <f t="shared" si="649"/>
        <v>2524</v>
      </c>
      <c r="AS1960">
        <f t="shared" si="654"/>
        <v>2519</v>
      </c>
      <c r="AT1960" s="21">
        <f t="shared" si="655"/>
        <v>2524</v>
      </c>
      <c r="AU1960" s="21"/>
      <c r="AV1960" s="21"/>
      <c r="AW1960" s="21"/>
    </row>
    <row r="1961" spans="1:49" x14ac:dyDescent="0.2">
      <c r="A1961">
        <v>1033</v>
      </c>
      <c r="E1961">
        <f t="shared" si="650"/>
        <v>3</v>
      </c>
      <c r="F1961" s="5" t="s">
        <v>486</v>
      </c>
      <c r="G1961" s="5" t="s">
        <v>526</v>
      </c>
      <c r="J1961" t="str">
        <f t="shared" si="656"/>
        <v>11</v>
      </c>
      <c r="K1961" t="str">
        <f t="shared" si="657"/>
        <v>54</v>
      </c>
      <c r="L1961" t="str">
        <f t="shared" si="658"/>
        <v/>
      </c>
      <c r="M1961" s="6" t="str">
        <f t="shared" si="659"/>
        <v/>
      </c>
      <c r="N1961" t="s">
        <v>179</v>
      </c>
      <c r="O1961">
        <v>61</v>
      </c>
      <c r="P1961" t="s">
        <v>424</v>
      </c>
      <c r="Q1961" t="s">
        <v>7</v>
      </c>
      <c r="R1961" t="s">
        <v>222</v>
      </c>
      <c r="S1961" t="s">
        <v>56</v>
      </c>
      <c r="Y1961" t="str">
        <f t="shared" si="643"/>
        <v/>
      </c>
      <c r="Z1961" t="str">
        <f t="shared" si="644"/>
        <v/>
      </c>
      <c r="AC1961" t="str">
        <f t="shared" si="640"/>
        <v>Shot</v>
      </c>
      <c r="AD1961" t="str">
        <f t="shared" si="641"/>
        <v>Shot_OnNetSaved</v>
      </c>
      <c r="AE1961" t="str">
        <f t="shared" si="642"/>
        <v>Shot-Tip</v>
      </c>
      <c r="AF1961" t="str">
        <f t="shared" si="645"/>
        <v>Offensive</v>
      </c>
      <c r="AG1961">
        <f t="shared" si="651"/>
        <v>18981</v>
      </c>
      <c r="AH1961" t="str">
        <f t="shared" si="652"/>
        <v>Nelson</v>
      </c>
      <c r="AI1961" t="str">
        <f t="shared" si="653"/>
        <v>Velodrome</v>
      </c>
      <c r="AJ1961" s="18">
        <f t="shared" si="646"/>
        <v>0</v>
      </c>
      <c r="AP1961" s="18">
        <f t="shared" si="647"/>
        <v>0</v>
      </c>
      <c r="AQ1961">
        <f t="shared" si="648"/>
        <v>2160</v>
      </c>
      <c r="AR1961" s="23">
        <f t="shared" si="649"/>
        <v>2526</v>
      </c>
      <c r="AS1961">
        <f t="shared" si="654"/>
        <v>2521</v>
      </c>
      <c r="AT1961" s="21">
        <f t="shared" si="655"/>
        <v>2526</v>
      </c>
      <c r="AU1961" s="21"/>
      <c r="AV1961" s="21"/>
      <c r="AW1961" s="21"/>
    </row>
    <row r="1962" spans="1:49" x14ac:dyDescent="0.2">
      <c r="A1962">
        <v>1033</v>
      </c>
      <c r="E1962">
        <f t="shared" si="650"/>
        <v>3</v>
      </c>
      <c r="J1962" t="str">
        <f t="shared" si="656"/>
        <v>11</v>
      </c>
      <c r="K1962" t="str">
        <f t="shared" si="657"/>
        <v>54</v>
      </c>
      <c r="L1962" t="str">
        <f t="shared" si="658"/>
        <v/>
      </c>
      <c r="M1962" s="6" t="str">
        <f t="shared" si="659"/>
        <v/>
      </c>
      <c r="N1962" t="str">
        <f t="shared" si="660"/>
        <v>Away</v>
      </c>
      <c r="O1962">
        <v>31</v>
      </c>
      <c r="P1962" t="s">
        <v>425</v>
      </c>
      <c r="Y1962" t="str">
        <f t="shared" si="643"/>
        <v/>
      </c>
      <c r="Z1962" t="str">
        <f t="shared" si="644"/>
        <v/>
      </c>
      <c r="AC1962" t="str">
        <f t="shared" si="640"/>
        <v>Shot</v>
      </c>
      <c r="AD1962" t="str">
        <f t="shared" si="641"/>
        <v>Shot_OnNetSaved</v>
      </c>
      <c r="AE1962" t="str">
        <f t="shared" si="642"/>
        <v>Shot-Tip</v>
      </c>
      <c r="AF1962" t="str">
        <f t="shared" si="645"/>
        <v>Defensive</v>
      </c>
      <c r="AG1962">
        <f t="shared" si="651"/>
        <v>18981</v>
      </c>
      <c r="AH1962" t="str">
        <f t="shared" si="652"/>
        <v>Nelson</v>
      </c>
      <c r="AI1962" t="str">
        <f t="shared" si="653"/>
        <v>Velodrome</v>
      </c>
      <c r="AJ1962" s="18">
        <f t="shared" si="646"/>
        <v>0</v>
      </c>
      <c r="AP1962" s="18">
        <f t="shared" si="647"/>
        <v>0</v>
      </c>
      <c r="AQ1962">
        <f t="shared" si="648"/>
        <v>2160</v>
      </c>
      <c r="AR1962" s="23">
        <f t="shared" si="649"/>
        <v>2526</v>
      </c>
      <c r="AS1962">
        <f t="shared" si="654"/>
        <v>2521</v>
      </c>
      <c r="AT1962" s="21">
        <f t="shared" si="655"/>
        <v>2526</v>
      </c>
      <c r="AU1962" s="21"/>
      <c r="AV1962" s="21"/>
      <c r="AW1962" s="21"/>
    </row>
    <row r="1963" spans="1:49" x14ac:dyDescent="0.2">
      <c r="A1963">
        <v>1033</v>
      </c>
      <c r="E1963">
        <f t="shared" si="650"/>
        <v>3</v>
      </c>
      <c r="J1963" t="str">
        <f t="shared" si="656"/>
        <v>11</v>
      </c>
      <c r="K1963" t="str">
        <f t="shared" si="657"/>
        <v>54</v>
      </c>
      <c r="L1963" t="str">
        <f t="shared" si="658"/>
        <v/>
      </c>
      <c r="M1963" s="6" t="str">
        <f t="shared" si="659"/>
        <v/>
      </c>
      <c r="N1963" t="str">
        <f t="shared" si="660"/>
        <v>Away</v>
      </c>
      <c r="O1963">
        <v>80</v>
      </c>
      <c r="P1963" t="s">
        <v>425</v>
      </c>
      <c r="Y1963" t="str">
        <f t="shared" si="643"/>
        <v/>
      </c>
      <c r="Z1963" t="str">
        <f t="shared" si="644"/>
        <v/>
      </c>
      <c r="AC1963" t="str">
        <f t="shared" si="640"/>
        <v>Shot</v>
      </c>
      <c r="AD1963" t="str">
        <f t="shared" si="641"/>
        <v>Shot_OnNetSaved</v>
      </c>
      <c r="AE1963" t="str">
        <f t="shared" si="642"/>
        <v>Shot-Tip</v>
      </c>
      <c r="AF1963" t="str">
        <f t="shared" si="645"/>
        <v>Defensive</v>
      </c>
      <c r="AG1963">
        <f t="shared" si="651"/>
        <v>18981</v>
      </c>
      <c r="AH1963" t="str">
        <f t="shared" si="652"/>
        <v>Nelson</v>
      </c>
      <c r="AI1963" t="str">
        <f t="shared" si="653"/>
        <v>Velodrome</v>
      </c>
      <c r="AJ1963" s="18">
        <f t="shared" si="646"/>
        <v>0</v>
      </c>
      <c r="AP1963" s="18">
        <f t="shared" si="647"/>
        <v>0</v>
      </c>
      <c r="AQ1963">
        <f t="shared" si="648"/>
        <v>2160</v>
      </c>
      <c r="AR1963" s="23">
        <f t="shared" si="649"/>
        <v>2526</v>
      </c>
      <c r="AS1963">
        <f t="shared" si="654"/>
        <v>2521</v>
      </c>
      <c r="AT1963" s="21">
        <f t="shared" si="655"/>
        <v>2526</v>
      </c>
      <c r="AU1963" s="21"/>
      <c r="AV1963" s="21"/>
      <c r="AW1963" s="21"/>
    </row>
    <row r="1964" spans="1:49" x14ac:dyDescent="0.2">
      <c r="A1964">
        <v>1034</v>
      </c>
      <c r="E1964">
        <f t="shared" si="650"/>
        <v>3</v>
      </c>
      <c r="F1964" s="5" t="s">
        <v>486</v>
      </c>
      <c r="G1964" s="5" t="s">
        <v>526</v>
      </c>
      <c r="J1964" t="str">
        <f t="shared" si="656"/>
        <v>11</v>
      </c>
      <c r="K1964" t="str">
        <f t="shared" si="657"/>
        <v>54</v>
      </c>
      <c r="L1964" t="str">
        <f t="shared" si="658"/>
        <v/>
      </c>
      <c r="M1964" s="6" t="str">
        <f t="shared" si="659"/>
        <v/>
      </c>
      <c r="N1964" t="s">
        <v>178</v>
      </c>
      <c r="O1964">
        <v>31</v>
      </c>
      <c r="P1964" t="s">
        <v>424</v>
      </c>
      <c r="Q1964" t="s">
        <v>17</v>
      </c>
      <c r="R1964" t="s">
        <v>206</v>
      </c>
      <c r="S1964" t="s">
        <v>102</v>
      </c>
      <c r="Y1964" t="str">
        <f t="shared" si="643"/>
        <v/>
      </c>
      <c r="Z1964" t="str">
        <f t="shared" si="644"/>
        <v/>
      </c>
      <c r="AC1964" t="str">
        <f t="shared" si="640"/>
        <v>Save</v>
      </c>
      <c r="AD1964" t="str">
        <f t="shared" si="641"/>
        <v>Save_Freeze</v>
      </c>
      <c r="AE1964" t="str">
        <f t="shared" si="642"/>
        <v>Save-Butterfly</v>
      </c>
      <c r="AF1964" t="str">
        <f t="shared" si="645"/>
        <v>Defensive</v>
      </c>
      <c r="AG1964">
        <f t="shared" si="651"/>
        <v>18981</v>
      </c>
      <c r="AH1964" t="str">
        <f t="shared" si="652"/>
        <v>Nelson</v>
      </c>
      <c r="AI1964" t="str">
        <f t="shared" si="653"/>
        <v>Velodrome</v>
      </c>
      <c r="AJ1964" s="18">
        <f t="shared" si="646"/>
        <v>0</v>
      </c>
      <c r="AP1964" s="18">
        <f t="shared" si="647"/>
        <v>0</v>
      </c>
      <c r="AQ1964">
        <f t="shared" si="648"/>
        <v>2160</v>
      </c>
      <c r="AR1964" s="23">
        <f t="shared" si="649"/>
        <v>2526</v>
      </c>
      <c r="AS1964">
        <f t="shared" si="654"/>
        <v>2521</v>
      </c>
      <c r="AT1964" s="21">
        <f t="shared" si="655"/>
        <v>2526</v>
      </c>
      <c r="AU1964" s="21"/>
      <c r="AV1964" s="21"/>
      <c r="AW1964" s="21"/>
    </row>
    <row r="1965" spans="1:49" x14ac:dyDescent="0.2">
      <c r="A1965">
        <v>1034</v>
      </c>
      <c r="E1965">
        <f t="shared" si="650"/>
        <v>3</v>
      </c>
      <c r="J1965" t="str">
        <f t="shared" si="656"/>
        <v>11</v>
      </c>
      <c r="K1965" t="str">
        <f t="shared" si="657"/>
        <v>54</v>
      </c>
      <c r="L1965" t="str">
        <f t="shared" si="658"/>
        <v/>
      </c>
      <c r="M1965" s="6" t="str">
        <f t="shared" si="659"/>
        <v/>
      </c>
      <c r="N1965" t="str">
        <f t="shared" si="660"/>
        <v>Home</v>
      </c>
      <c r="O1965">
        <v>80</v>
      </c>
      <c r="P1965" t="s">
        <v>424</v>
      </c>
      <c r="Y1965" t="str">
        <f t="shared" si="643"/>
        <v/>
      </c>
      <c r="Z1965" t="str">
        <f t="shared" si="644"/>
        <v/>
      </c>
      <c r="AC1965" t="str">
        <f t="shared" si="640"/>
        <v>Save</v>
      </c>
      <c r="AD1965" t="str">
        <f t="shared" si="641"/>
        <v>Save_Freeze</v>
      </c>
      <c r="AE1965" t="str">
        <f t="shared" si="642"/>
        <v>Save-Butterfly</v>
      </c>
      <c r="AF1965" t="str">
        <f t="shared" si="645"/>
        <v>Defensive</v>
      </c>
      <c r="AG1965">
        <f t="shared" si="651"/>
        <v>18981</v>
      </c>
      <c r="AH1965" t="str">
        <f t="shared" si="652"/>
        <v>Nelson</v>
      </c>
      <c r="AI1965" t="str">
        <f t="shared" si="653"/>
        <v>Velodrome</v>
      </c>
      <c r="AJ1965" s="18">
        <f t="shared" si="646"/>
        <v>0</v>
      </c>
      <c r="AP1965" s="18">
        <f t="shared" si="647"/>
        <v>0</v>
      </c>
      <c r="AQ1965">
        <f t="shared" si="648"/>
        <v>2160</v>
      </c>
      <c r="AR1965" s="23">
        <f t="shared" si="649"/>
        <v>2526</v>
      </c>
      <c r="AS1965">
        <f t="shared" si="654"/>
        <v>2521</v>
      </c>
      <c r="AT1965" s="21">
        <f t="shared" si="655"/>
        <v>2526</v>
      </c>
      <c r="AU1965" s="21"/>
      <c r="AV1965" s="21"/>
      <c r="AW1965" s="21"/>
    </row>
    <row r="1966" spans="1:49" x14ac:dyDescent="0.2">
      <c r="A1966">
        <v>1034</v>
      </c>
      <c r="E1966">
        <f t="shared" si="650"/>
        <v>3</v>
      </c>
      <c r="J1966" t="str">
        <f t="shared" si="656"/>
        <v>11</v>
      </c>
      <c r="K1966" t="str">
        <f t="shared" si="657"/>
        <v>54</v>
      </c>
      <c r="L1966" t="str">
        <f t="shared" si="658"/>
        <v/>
      </c>
      <c r="M1966" s="6" t="str">
        <f t="shared" si="659"/>
        <v/>
      </c>
      <c r="N1966" t="str">
        <f t="shared" si="660"/>
        <v>Home</v>
      </c>
      <c r="O1966">
        <v>61</v>
      </c>
      <c r="P1966" t="s">
        <v>425</v>
      </c>
      <c r="Y1966" t="str">
        <f t="shared" si="643"/>
        <v/>
      </c>
      <c r="Z1966" t="str">
        <f t="shared" si="644"/>
        <v/>
      </c>
      <c r="AC1966" t="str">
        <f t="shared" si="640"/>
        <v>Save</v>
      </c>
      <c r="AD1966" t="str">
        <f t="shared" si="641"/>
        <v>Save_Freeze</v>
      </c>
      <c r="AE1966" t="str">
        <f t="shared" si="642"/>
        <v>Save-Butterfly</v>
      </c>
      <c r="AF1966" t="str">
        <f t="shared" si="645"/>
        <v>Offensive</v>
      </c>
      <c r="AG1966">
        <f t="shared" si="651"/>
        <v>18981</v>
      </c>
      <c r="AH1966" t="str">
        <f t="shared" si="652"/>
        <v>Nelson</v>
      </c>
      <c r="AI1966" t="str">
        <f t="shared" si="653"/>
        <v>Velodrome</v>
      </c>
      <c r="AJ1966" s="18">
        <f t="shared" si="646"/>
        <v>0</v>
      </c>
      <c r="AP1966" s="18">
        <f t="shared" si="647"/>
        <v>0</v>
      </c>
      <c r="AQ1966">
        <f t="shared" si="648"/>
        <v>2160</v>
      </c>
      <c r="AR1966" s="23">
        <f t="shared" si="649"/>
        <v>2526</v>
      </c>
      <c r="AS1966">
        <f t="shared" si="654"/>
        <v>2521</v>
      </c>
      <c r="AT1966" s="21">
        <f t="shared" si="655"/>
        <v>2526</v>
      </c>
      <c r="AU1966" s="21"/>
      <c r="AV1966" s="21"/>
      <c r="AW1966" s="21"/>
    </row>
    <row r="1967" spans="1:49" x14ac:dyDescent="0.2">
      <c r="A1967">
        <v>1035</v>
      </c>
      <c r="E1967">
        <f t="shared" si="650"/>
        <v>3</v>
      </c>
      <c r="F1967" s="5" t="s">
        <v>486</v>
      </c>
      <c r="G1967" s="5" t="s">
        <v>526</v>
      </c>
      <c r="J1967" t="str">
        <f t="shared" si="656"/>
        <v>11</v>
      </c>
      <c r="K1967" t="str">
        <f t="shared" si="657"/>
        <v>54</v>
      </c>
      <c r="L1967" t="str">
        <f t="shared" si="658"/>
        <v/>
      </c>
      <c r="M1967" s="6" t="str">
        <f t="shared" si="659"/>
        <v/>
      </c>
      <c r="N1967" t="s">
        <v>178</v>
      </c>
      <c r="O1967">
        <v>31</v>
      </c>
      <c r="P1967" t="s">
        <v>424</v>
      </c>
      <c r="Q1967" t="s">
        <v>13</v>
      </c>
      <c r="R1967" t="s">
        <v>204</v>
      </c>
      <c r="S1967" t="s">
        <v>110</v>
      </c>
      <c r="Y1967" t="str">
        <f t="shared" si="643"/>
        <v/>
      </c>
      <c r="Z1967" t="str">
        <f t="shared" si="644"/>
        <v/>
      </c>
      <c r="AC1967" t="str">
        <f t="shared" ref="AC1967:AC2030" si="661">IF(Q1967&lt;&gt;"",Q1967,IF($A1967=$A1966,AC1966,""))</f>
        <v>Stoppage</v>
      </c>
      <c r="AD1967" t="str">
        <f t="shared" ref="AD1967:AD2030" si="662">IF(R1967&lt;&gt;"",R1967,IF($A1967=$A1966,AD1966,""))</f>
        <v>Stoppage_Play</v>
      </c>
      <c r="AE1967" t="str">
        <f t="shared" ref="AE1967:AE2030" si="663">IF(S1967&lt;&gt;"",S1967,IF($A1967=$A1966,AE1966,""))</f>
        <v>Stoppage-GoalieStoppage</v>
      </c>
      <c r="AF1967" t="str">
        <f t="shared" si="645"/>
        <v/>
      </c>
      <c r="AG1967">
        <f t="shared" si="651"/>
        <v>18981</v>
      </c>
      <c r="AH1967" t="str">
        <f t="shared" si="652"/>
        <v>Nelson</v>
      </c>
      <c r="AI1967" t="str">
        <f t="shared" si="653"/>
        <v>Velodrome</v>
      </c>
      <c r="AJ1967" s="18">
        <f t="shared" si="646"/>
        <v>0</v>
      </c>
      <c r="AP1967" s="18">
        <f t="shared" si="647"/>
        <v>0</v>
      </c>
      <c r="AQ1967">
        <f t="shared" si="648"/>
        <v>2160</v>
      </c>
      <c r="AR1967" s="23">
        <f t="shared" si="649"/>
        <v>2526</v>
      </c>
      <c r="AS1967">
        <f t="shared" si="654"/>
        <v>2521</v>
      </c>
      <c r="AT1967" s="21">
        <f t="shared" si="655"/>
        <v>2526</v>
      </c>
      <c r="AU1967" s="21"/>
      <c r="AV1967" s="21"/>
      <c r="AW1967" s="21"/>
    </row>
    <row r="1968" spans="1:49" x14ac:dyDescent="0.2">
      <c r="A1968">
        <v>1036</v>
      </c>
      <c r="E1968">
        <f t="shared" si="650"/>
        <v>3</v>
      </c>
      <c r="F1968" s="5" t="s">
        <v>486</v>
      </c>
      <c r="G1968" s="5" t="s">
        <v>526</v>
      </c>
      <c r="H1968" s="5" t="s">
        <v>486</v>
      </c>
      <c r="I1968" s="7" t="s">
        <v>509</v>
      </c>
      <c r="J1968" t="str">
        <f t="shared" si="656"/>
        <v>11</v>
      </c>
      <c r="K1968" t="str">
        <f t="shared" si="657"/>
        <v>54</v>
      </c>
      <c r="L1968" t="str">
        <f t="shared" si="658"/>
        <v>11</v>
      </c>
      <c r="M1968" s="6" t="str">
        <f t="shared" si="659"/>
        <v>37</v>
      </c>
      <c r="N1968" t="s">
        <v>178</v>
      </c>
      <c r="O1968">
        <v>31</v>
      </c>
      <c r="P1968" t="s">
        <v>424</v>
      </c>
      <c r="Q1968" t="s">
        <v>282</v>
      </c>
      <c r="Y1968" t="str">
        <f t="shared" si="643"/>
        <v/>
      </c>
      <c r="Z1968" t="str">
        <f t="shared" si="644"/>
        <v/>
      </c>
      <c r="AC1968" t="str">
        <f t="shared" si="661"/>
        <v>DeadIce</v>
      </c>
      <c r="AD1968" t="str">
        <f t="shared" si="662"/>
        <v/>
      </c>
      <c r="AE1968" t="str">
        <f t="shared" si="663"/>
        <v/>
      </c>
      <c r="AF1968" t="str">
        <f t="shared" si="645"/>
        <v/>
      </c>
      <c r="AG1968">
        <f t="shared" si="651"/>
        <v>18981</v>
      </c>
      <c r="AH1968" t="str">
        <f t="shared" si="652"/>
        <v>Nelson</v>
      </c>
      <c r="AI1968" t="str">
        <f t="shared" si="653"/>
        <v>Velodrome</v>
      </c>
      <c r="AJ1968" s="18">
        <f t="shared" si="646"/>
        <v>17</v>
      </c>
      <c r="AP1968" s="18">
        <f t="shared" si="647"/>
        <v>0</v>
      </c>
      <c r="AQ1968">
        <f t="shared" si="648"/>
        <v>2160</v>
      </c>
      <c r="AR1968" s="23">
        <f t="shared" si="649"/>
        <v>2526</v>
      </c>
      <c r="AS1968">
        <f t="shared" si="654"/>
        <v>2521</v>
      </c>
      <c r="AT1968" s="21">
        <f t="shared" si="655"/>
        <v>2543</v>
      </c>
      <c r="AU1968" s="21"/>
      <c r="AV1968" s="21"/>
      <c r="AW1968" s="21"/>
    </row>
    <row r="1969" spans="1:49" x14ac:dyDescent="0.2">
      <c r="A1969">
        <v>1037</v>
      </c>
      <c r="E1969">
        <f t="shared" si="650"/>
        <v>3</v>
      </c>
      <c r="F1969" s="5" t="s">
        <v>486</v>
      </c>
      <c r="G1969" s="5" t="s">
        <v>509</v>
      </c>
      <c r="J1969" t="str">
        <f t="shared" si="656"/>
        <v>11</v>
      </c>
      <c r="K1969" t="str">
        <f t="shared" si="657"/>
        <v>37</v>
      </c>
      <c r="L1969" t="str">
        <f t="shared" si="658"/>
        <v/>
      </c>
      <c r="M1969" s="6" t="str">
        <f t="shared" si="659"/>
        <v/>
      </c>
      <c r="N1969" t="s">
        <v>179</v>
      </c>
      <c r="O1969">
        <v>49</v>
      </c>
      <c r="P1969" t="s">
        <v>424</v>
      </c>
      <c r="Q1969" t="s">
        <v>6</v>
      </c>
      <c r="R1969" t="s">
        <v>275</v>
      </c>
      <c r="Y1969" t="str">
        <f t="shared" si="643"/>
        <v/>
      </c>
      <c r="Z1969" t="str">
        <f t="shared" si="644"/>
        <v/>
      </c>
      <c r="AC1969" t="str">
        <f t="shared" si="661"/>
        <v>Faceoff</v>
      </c>
      <c r="AD1969" t="str">
        <f t="shared" si="662"/>
        <v>Faceoff_AfterStoppage</v>
      </c>
      <c r="AE1969" t="str">
        <f t="shared" si="663"/>
        <v/>
      </c>
      <c r="AF1969" t="str">
        <f t="shared" si="645"/>
        <v>Offensive</v>
      </c>
      <c r="AG1969">
        <f t="shared" si="651"/>
        <v>18981</v>
      </c>
      <c r="AH1969" t="str">
        <f t="shared" si="652"/>
        <v>Nelson</v>
      </c>
      <c r="AI1969" t="str">
        <f t="shared" si="653"/>
        <v>Velodrome</v>
      </c>
      <c r="AJ1969" s="18">
        <f t="shared" si="646"/>
        <v>0</v>
      </c>
      <c r="AP1969" s="18">
        <f t="shared" si="647"/>
        <v>0</v>
      </c>
      <c r="AQ1969">
        <f t="shared" si="648"/>
        <v>2160</v>
      </c>
      <c r="AR1969" s="23">
        <f t="shared" si="649"/>
        <v>2543</v>
      </c>
      <c r="AS1969">
        <f t="shared" si="654"/>
        <v>2538</v>
      </c>
      <c r="AT1969" s="21">
        <f t="shared" si="655"/>
        <v>2543</v>
      </c>
      <c r="AU1969" s="21"/>
      <c r="AV1969" s="21"/>
      <c r="AW1969" s="21"/>
    </row>
    <row r="1970" spans="1:49" x14ac:dyDescent="0.2">
      <c r="A1970">
        <v>1037</v>
      </c>
      <c r="E1970">
        <f t="shared" si="650"/>
        <v>3</v>
      </c>
      <c r="J1970" t="str">
        <f t="shared" si="656"/>
        <v>11</v>
      </c>
      <c r="K1970" t="str">
        <f t="shared" si="657"/>
        <v>37</v>
      </c>
      <c r="L1970" t="str">
        <f t="shared" si="658"/>
        <v/>
      </c>
      <c r="M1970" s="6" t="str">
        <f t="shared" si="659"/>
        <v/>
      </c>
      <c r="N1970" t="str">
        <f t="shared" si="660"/>
        <v>Away</v>
      </c>
      <c r="O1970">
        <v>93</v>
      </c>
      <c r="P1970" t="s">
        <v>424</v>
      </c>
      <c r="Y1970" t="str">
        <f t="shared" si="643"/>
        <v/>
      </c>
      <c r="Z1970" t="str">
        <f t="shared" si="644"/>
        <v/>
      </c>
      <c r="AC1970" t="str">
        <f t="shared" si="661"/>
        <v>Faceoff</v>
      </c>
      <c r="AD1970" t="str">
        <f t="shared" si="662"/>
        <v>Faceoff_AfterStoppage</v>
      </c>
      <c r="AE1970" t="str">
        <f t="shared" si="663"/>
        <v/>
      </c>
      <c r="AF1970" t="str">
        <f t="shared" si="645"/>
        <v>Offensive</v>
      </c>
      <c r="AG1970">
        <f t="shared" si="651"/>
        <v>18981</v>
      </c>
      <c r="AH1970" t="str">
        <f t="shared" si="652"/>
        <v>Nelson</v>
      </c>
      <c r="AI1970" t="str">
        <f t="shared" si="653"/>
        <v>Velodrome</v>
      </c>
      <c r="AJ1970" s="18">
        <f t="shared" si="646"/>
        <v>0</v>
      </c>
      <c r="AP1970" s="18">
        <f t="shared" si="647"/>
        <v>0</v>
      </c>
      <c r="AQ1970">
        <f t="shared" si="648"/>
        <v>2160</v>
      </c>
      <c r="AR1970" s="23">
        <f t="shared" si="649"/>
        <v>2543</v>
      </c>
      <c r="AS1970">
        <f t="shared" si="654"/>
        <v>2538</v>
      </c>
      <c r="AT1970" s="21">
        <f t="shared" si="655"/>
        <v>2543</v>
      </c>
      <c r="AU1970" s="21"/>
      <c r="AV1970" s="21"/>
      <c r="AW1970" s="21"/>
    </row>
    <row r="1971" spans="1:49" x14ac:dyDescent="0.2">
      <c r="A1971">
        <v>1037</v>
      </c>
      <c r="E1971">
        <f t="shared" si="650"/>
        <v>3</v>
      </c>
      <c r="J1971" t="str">
        <f t="shared" si="656"/>
        <v>11</v>
      </c>
      <c r="K1971" t="str">
        <f t="shared" si="657"/>
        <v>37</v>
      </c>
      <c r="L1971" t="str">
        <f t="shared" si="658"/>
        <v/>
      </c>
      <c r="M1971" s="6" t="str">
        <f t="shared" si="659"/>
        <v/>
      </c>
      <c r="N1971" t="str">
        <f t="shared" si="660"/>
        <v>Away</v>
      </c>
      <c r="O1971">
        <v>79</v>
      </c>
      <c r="P1971" t="s">
        <v>425</v>
      </c>
      <c r="Y1971" t="str">
        <f t="shared" si="643"/>
        <v/>
      </c>
      <c r="Z1971" t="str">
        <f t="shared" si="644"/>
        <v/>
      </c>
      <c r="AC1971" t="str">
        <f t="shared" si="661"/>
        <v>Faceoff</v>
      </c>
      <c r="AD1971" t="str">
        <f t="shared" si="662"/>
        <v>Faceoff_AfterStoppage</v>
      </c>
      <c r="AE1971" t="str">
        <f t="shared" si="663"/>
        <v/>
      </c>
      <c r="AF1971" t="str">
        <f t="shared" si="645"/>
        <v>Defensive</v>
      </c>
      <c r="AG1971">
        <f t="shared" si="651"/>
        <v>18981</v>
      </c>
      <c r="AH1971" t="str">
        <f t="shared" si="652"/>
        <v>Nelson</v>
      </c>
      <c r="AI1971" t="str">
        <f t="shared" si="653"/>
        <v>Velodrome</v>
      </c>
      <c r="AJ1971" s="18">
        <f t="shared" si="646"/>
        <v>0</v>
      </c>
      <c r="AP1971" s="18">
        <f t="shared" si="647"/>
        <v>0</v>
      </c>
      <c r="AQ1971">
        <f t="shared" si="648"/>
        <v>2160</v>
      </c>
      <c r="AR1971" s="23">
        <f t="shared" si="649"/>
        <v>2543</v>
      </c>
      <c r="AS1971">
        <f t="shared" si="654"/>
        <v>2538</v>
      </c>
      <c r="AT1971" s="21">
        <f t="shared" si="655"/>
        <v>2543</v>
      </c>
      <c r="AU1971" s="21"/>
      <c r="AV1971" s="21"/>
      <c r="AW1971" s="21"/>
    </row>
    <row r="1972" spans="1:49" x14ac:dyDescent="0.2">
      <c r="A1972">
        <v>1038</v>
      </c>
      <c r="E1972">
        <f t="shared" si="650"/>
        <v>3</v>
      </c>
      <c r="F1972" s="5" t="s">
        <v>486</v>
      </c>
      <c r="G1972" s="5" t="s">
        <v>508</v>
      </c>
      <c r="J1972" t="str">
        <f t="shared" si="656"/>
        <v>11</v>
      </c>
      <c r="K1972" t="str">
        <f t="shared" si="657"/>
        <v>36</v>
      </c>
      <c r="L1972" t="str">
        <f t="shared" si="658"/>
        <v/>
      </c>
      <c r="M1972" s="6" t="str">
        <f t="shared" si="659"/>
        <v/>
      </c>
      <c r="N1972" t="s">
        <v>179</v>
      </c>
      <c r="O1972">
        <v>93</v>
      </c>
      <c r="P1972" t="s">
        <v>424</v>
      </c>
      <c r="Q1972" t="s">
        <v>7</v>
      </c>
      <c r="R1972" t="s">
        <v>208</v>
      </c>
      <c r="S1972" t="s">
        <v>53</v>
      </c>
      <c r="Y1972" t="str">
        <f t="shared" si="643"/>
        <v/>
      </c>
      <c r="Z1972" t="str">
        <f t="shared" si="644"/>
        <v/>
      </c>
      <c r="AC1972" t="str">
        <f t="shared" si="661"/>
        <v>Shot</v>
      </c>
      <c r="AD1972" t="str">
        <f t="shared" si="662"/>
        <v>Shot_Blocked</v>
      </c>
      <c r="AE1972" t="str">
        <f t="shared" si="663"/>
        <v>Shot-Wrist</v>
      </c>
      <c r="AF1972" t="str">
        <f t="shared" si="645"/>
        <v>Offensive</v>
      </c>
      <c r="AG1972">
        <f t="shared" si="651"/>
        <v>18981</v>
      </c>
      <c r="AH1972" t="str">
        <f t="shared" si="652"/>
        <v>Nelson</v>
      </c>
      <c r="AI1972" t="str">
        <f t="shared" si="653"/>
        <v>Velodrome</v>
      </c>
      <c r="AJ1972" s="18">
        <f t="shared" si="646"/>
        <v>0</v>
      </c>
      <c r="AP1972" s="18">
        <f t="shared" si="647"/>
        <v>0</v>
      </c>
      <c r="AQ1972">
        <f t="shared" si="648"/>
        <v>2160</v>
      </c>
      <c r="AR1972" s="23">
        <f t="shared" si="649"/>
        <v>2544</v>
      </c>
      <c r="AS1972">
        <f t="shared" si="654"/>
        <v>2539</v>
      </c>
      <c r="AT1972" s="21">
        <f t="shared" si="655"/>
        <v>2544</v>
      </c>
      <c r="AU1972" s="21"/>
      <c r="AV1972" s="21"/>
      <c r="AW1972" s="21"/>
    </row>
    <row r="1973" spans="1:49" x14ac:dyDescent="0.2">
      <c r="A1973">
        <v>1038</v>
      </c>
      <c r="E1973">
        <f t="shared" si="650"/>
        <v>3</v>
      </c>
      <c r="J1973" t="str">
        <f t="shared" si="656"/>
        <v>11</v>
      </c>
      <c r="K1973" t="str">
        <f t="shared" si="657"/>
        <v>36</v>
      </c>
      <c r="L1973" t="str">
        <f t="shared" si="658"/>
        <v/>
      </c>
      <c r="M1973" s="6" t="str">
        <f t="shared" si="659"/>
        <v/>
      </c>
      <c r="N1973" t="str">
        <f t="shared" si="660"/>
        <v>Away</v>
      </c>
      <c r="O1973">
        <v>79</v>
      </c>
      <c r="P1973" t="s">
        <v>425</v>
      </c>
      <c r="Y1973" t="str">
        <f t="shared" si="643"/>
        <v/>
      </c>
      <c r="Z1973" t="str">
        <f t="shared" si="644"/>
        <v/>
      </c>
      <c r="AC1973" t="str">
        <f t="shared" si="661"/>
        <v>Shot</v>
      </c>
      <c r="AD1973" t="str">
        <f t="shared" si="662"/>
        <v>Shot_Blocked</v>
      </c>
      <c r="AE1973" t="str">
        <f t="shared" si="663"/>
        <v>Shot-Wrist</v>
      </c>
      <c r="AF1973" t="str">
        <f t="shared" si="645"/>
        <v>Defensive</v>
      </c>
      <c r="AG1973">
        <f t="shared" si="651"/>
        <v>18981</v>
      </c>
      <c r="AH1973" t="str">
        <f t="shared" si="652"/>
        <v>Nelson</v>
      </c>
      <c r="AI1973" t="str">
        <f t="shared" si="653"/>
        <v>Velodrome</v>
      </c>
      <c r="AJ1973" s="18">
        <f t="shared" si="646"/>
        <v>0</v>
      </c>
      <c r="AP1973" s="18">
        <f t="shared" si="647"/>
        <v>0</v>
      </c>
      <c r="AQ1973">
        <f t="shared" si="648"/>
        <v>2160</v>
      </c>
      <c r="AR1973" s="23">
        <f t="shared" si="649"/>
        <v>2544</v>
      </c>
      <c r="AS1973">
        <f t="shared" si="654"/>
        <v>2539</v>
      </c>
      <c r="AT1973" s="21">
        <f t="shared" si="655"/>
        <v>2544</v>
      </c>
      <c r="AU1973" s="21"/>
      <c r="AV1973" s="21"/>
      <c r="AW1973" s="21"/>
    </row>
    <row r="1974" spans="1:49" x14ac:dyDescent="0.2">
      <c r="A1974">
        <v>1039</v>
      </c>
      <c r="E1974">
        <f t="shared" si="650"/>
        <v>3</v>
      </c>
      <c r="F1974" s="5" t="s">
        <v>486</v>
      </c>
      <c r="G1974" s="5" t="s">
        <v>508</v>
      </c>
      <c r="J1974" t="str">
        <f t="shared" si="656"/>
        <v>11</v>
      </c>
      <c r="K1974" t="str">
        <f t="shared" si="657"/>
        <v>36</v>
      </c>
      <c r="L1974" t="str">
        <f t="shared" si="658"/>
        <v/>
      </c>
      <c r="M1974" s="6" t="str">
        <f t="shared" si="659"/>
        <v/>
      </c>
      <c r="N1974" t="s">
        <v>179</v>
      </c>
      <c r="O1974">
        <v>93</v>
      </c>
      <c r="P1974" t="s">
        <v>424</v>
      </c>
      <c r="Q1974" t="s">
        <v>10</v>
      </c>
      <c r="R1974" t="s">
        <v>190</v>
      </c>
      <c r="S1974" t="s">
        <v>78</v>
      </c>
      <c r="Y1974" t="str">
        <f t="shared" si="643"/>
        <v/>
      </c>
      <c r="Z1974" t="str">
        <f t="shared" si="644"/>
        <v/>
      </c>
      <c r="AC1974" t="str">
        <f t="shared" si="661"/>
        <v>Turnover</v>
      </c>
      <c r="AD1974" t="str">
        <f t="shared" si="662"/>
        <v>Turnover_Giveaway</v>
      </c>
      <c r="AE1974" t="str">
        <f t="shared" si="663"/>
        <v>Giveaway-ShotBlocked</v>
      </c>
      <c r="AF1974" t="str">
        <f t="shared" si="645"/>
        <v>Offensive</v>
      </c>
      <c r="AG1974">
        <f t="shared" si="651"/>
        <v>18981</v>
      </c>
      <c r="AH1974" t="str">
        <f t="shared" si="652"/>
        <v>Nelson</v>
      </c>
      <c r="AI1974" t="str">
        <f t="shared" si="653"/>
        <v>Velodrome</v>
      </c>
      <c r="AJ1974" s="18">
        <f t="shared" si="646"/>
        <v>0</v>
      </c>
      <c r="AP1974" s="18">
        <f t="shared" si="647"/>
        <v>0</v>
      </c>
      <c r="AQ1974">
        <f t="shared" si="648"/>
        <v>2160</v>
      </c>
      <c r="AR1974" s="23">
        <f t="shared" si="649"/>
        <v>2544</v>
      </c>
      <c r="AS1974">
        <f t="shared" si="654"/>
        <v>2539</v>
      </c>
      <c r="AT1974" s="21">
        <f t="shared" si="655"/>
        <v>2544</v>
      </c>
      <c r="AU1974" s="21"/>
      <c r="AV1974" s="21"/>
      <c r="AW1974" s="21"/>
    </row>
    <row r="1975" spans="1:49" x14ac:dyDescent="0.2">
      <c r="A1975">
        <v>1039</v>
      </c>
      <c r="E1975">
        <f t="shared" si="650"/>
        <v>3</v>
      </c>
      <c r="J1975" t="str">
        <f t="shared" si="656"/>
        <v>11</v>
      </c>
      <c r="K1975" t="str">
        <f t="shared" si="657"/>
        <v>36</v>
      </c>
      <c r="L1975" t="str">
        <f t="shared" si="658"/>
        <v/>
      </c>
      <c r="M1975" s="6" t="str">
        <f t="shared" si="659"/>
        <v/>
      </c>
      <c r="N1975" t="str">
        <f t="shared" si="660"/>
        <v>Away</v>
      </c>
      <c r="O1975">
        <v>79</v>
      </c>
      <c r="P1975" t="s">
        <v>425</v>
      </c>
      <c r="Y1975" t="str">
        <f t="shared" si="643"/>
        <v/>
      </c>
      <c r="Z1975" t="str">
        <f t="shared" si="644"/>
        <v/>
      </c>
      <c r="AC1975" t="str">
        <f t="shared" si="661"/>
        <v>Turnover</v>
      </c>
      <c r="AD1975" t="str">
        <f t="shared" si="662"/>
        <v>Turnover_Giveaway</v>
      </c>
      <c r="AE1975" t="str">
        <f t="shared" si="663"/>
        <v>Giveaway-ShotBlocked</v>
      </c>
      <c r="AF1975" t="str">
        <f t="shared" si="645"/>
        <v>Defensive</v>
      </c>
      <c r="AG1975">
        <f t="shared" si="651"/>
        <v>18981</v>
      </c>
      <c r="AH1975" t="str">
        <f t="shared" si="652"/>
        <v>Nelson</v>
      </c>
      <c r="AI1975" t="str">
        <f t="shared" si="653"/>
        <v>Velodrome</v>
      </c>
      <c r="AJ1975" s="18">
        <f t="shared" si="646"/>
        <v>0</v>
      </c>
      <c r="AP1975" s="18">
        <f t="shared" si="647"/>
        <v>0</v>
      </c>
      <c r="AQ1975">
        <f t="shared" si="648"/>
        <v>2160</v>
      </c>
      <c r="AR1975" s="23">
        <f t="shared" si="649"/>
        <v>2544</v>
      </c>
      <c r="AS1975">
        <f t="shared" si="654"/>
        <v>2539</v>
      </c>
      <c r="AT1975" s="21">
        <f t="shared" si="655"/>
        <v>2544</v>
      </c>
      <c r="AU1975" s="21"/>
      <c r="AV1975" s="21"/>
      <c r="AW1975" s="21"/>
    </row>
    <row r="1976" spans="1:49" x14ac:dyDescent="0.2">
      <c r="A1976">
        <v>1040</v>
      </c>
      <c r="E1976">
        <f t="shared" si="650"/>
        <v>3</v>
      </c>
      <c r="F1976" s="5" t="s">
        <v>486</v>
      </c>
      <c r="G1976" s="5" t="s">
        <v>505</v>
      </c>
      <c r="H1976" s="5" t="s">
        <v>486</v>
      </c>
      <c r="I1976" s="7" t="s">
        <v>504</v>
      </c>
      <c r="J1976" t="str">
        <f t="shared" si="656"/>
        <v>11</v>
      </c>
      <c r="K1976" t="str">
        <f t="shared" si="657"/>
        <v>33</v>
      </c>
      <c r="L1976" t="str">
        <f t="shared" si="658"/>
        <v>11</v>
      </c>
      <c r="M1976" s="6" t="str">
        <f t="shared" si="659"/>
        <v>32</v>
      </c>
      <c r="N1976" t="s">
        <v>178</v>
      </c>
      <c r="O1976">
        <v>79</v>
      </c>
      <c r="P1976" t="s">
        <v>424</v>
      </c>
      <c r="Q1976" t="s">
        <v>277</v>
      </c>
      <c r="R1976" t="s">
        <v>201</v>
      </c>
      <c r="S1976" t="s">
        <v>90</v>
      </c>
      <c r="Y1976" t="str">
        <f t="shared" si="643"/>
        <v/>
      </c>
      <c r="Z1976" t="str">
        <f t="shared" si="644"/>
        <v/>
      </c>
      <c r="AC1976" t="str">
        <f t="shared" si="661"/>
        <v>Zone_Entry_Exit</v>
      </c>
      <c r="AD1976" t="str">
        <f t="shared" si="662"/>
        <v>Zone_Exit</v>
      </c>
      <c r="AE1976" t="str">
        <f t="shared" si="663"/>
        <v>ZoneExit-Rush</v>
      </c>
      <c r="AF1976" t="str">
        <f t="shared" si="645"/>
        <v>Offensive</v>
      </c>
      <c r="AG1976">
        <f t="shared" si="651"/>
        <v>18981</v>
      </c>
      <c r="AH1976" t="str">
        <f t="shared" si="652"/>
        <v>Nelson</v>
      </c>
      <c r="AI1976" t="str">
        <f t="shared" si="653"/>
        <v>Velodrome</v>
      </c>
      <c r="AJ1976" s="18">
        <f t="shared" si="646"/>
        <v>1</v>
      </c>
      <c r="AP1976" s="18">
        <f t="shared" si="647"/>
        <v>0</v>
      </c>
      <c r="AQ1976">
        <f t="shared" si="648"/>
        <v>2160</v>
      </c>
      <c r="AR1976" s="23">
        <f t="shared" si="649"/>
        <v>2547</v>
      </c>
      <c r="AS1976">
        <f t="shared" si="654"/>
        <v>2542</v>
      </c>
      <c r="AT1976" s="21">
        <f t="shared" si="655"/>
        <v>2548</v>
      </c>
      <c r="AU1976" s="21"/>
      <c r="AV1976" s="21"/>
      <c r="AW1976" s="21"/>
    </row>
    <row r="1977" spans="1:49" x14ac:dyDescent="0.2">
      <c r="A1977">
        <v>1041</v>
      </c>
      <c r="E1977">
        <f t="shared" si="650"/>
        <v>3</v>
      </c>
      <c r="F1977" s="5" t="s">
        <v>486</v>
      </c>
      <c r="G1977" s="5" t="s">
        <v>504</v>
      </c>
      <c r="H1977" s="5" t="s">
        <v>486</v>
      </c>
      <c r="I1977" s="7" t="s">
        <v>502</v>
      </c>
      <c r="J1977" t="str">
        <f t="shared" si="656"/>
        <v>11</v>
      </c>
      <c r="K1977" t="str">
        <f t="shared" si="657"/>
        <v>32</v>
      </c>
      <c r="L1977" t="str">
        <f t="shared" si="658"/>
        <v>11</v>
      </c>
      <c r="M1977" s="6" t="str">
        <f t="shared" si="659"/>
        <v>30</v>
      </c>
      <c r="N1977" t="s">
        <v>178</v>
      </c>
      <c r="O1977">
        <v>79</v>
      </c>
      <c r="P1977" t="s">
        <v>424</v>
      </c>
      <c r="Q1977" t="s">
        <v>15</v>
      </c>
      <c r="Y1977" t="str">
        <f t="shared" si="643"/>
        <v/>
      </c>
      <c r="Z1977" t="str">
        <f t="shared" si="644"/>
        <v/>
      </c>
      <c r="AC1977" t="str">
        <f t="shared" si="661"/>
        <v>Possession</v>
      </c>
      <c r="AD1977" t="str">
        <f t="shared" si="662"/>
        <v/>
      </c>
      <c r="AE1977" t="str">
        <f t="shared" si="663"/>
        <v/>
      </c>
      <c r="AF1977" t="str">
        <f t="shared" si="645"/>
        <v>Offensive</v>
      </c>
      <c r="AG1977">
        <f t="shared" si="651"/>
        <v>18981</v>
      </c>
      <c r="AH1977" t="str">
        <f t="shared" si="652"/>
        <v>Nelson</v>
      </c>
      <c r="AI1977" t="str">
        <f t="shared" si="653"/>
        <v>Velodrome</v>
      </c>
      <c r="AJ1977" s="18">
        <f t="shared" si="646"/>
        <v>2</v>
      </c>
      <c r="AP1977" s="18">
        <f t="shared" si="647"/>
        <v>0</v>
      </c>
      <c r="AQ1977">
        <f t="shared" si="648"/>
        <v>2160</v>
      </c>
      <c r="AR1977" s="23">
        <f t="shared" si="649"/>
        <v>2548</v>
      </c>
      <c r="AS1977">
        <f t="shared" si="654"/>
        <v>2543</v>
      </c>
      <c r="AT1977" s="21">
        <f t="shared" si="655"/>
        <v>2550</v>
      </c>
      <c r="AU1977" s="21"/>
      <c r="AV1977" s="21"/>
      <c r="AW1977" s="21"/>
    </row>
    <row r="1978" spans="1:49" x14ac:dyDescent="0.2">
      <c r="A1978">
        <v>1041</v>
      </c>
      <c r="E1978">
        <f t="shared" si="650"/>
        <v>3</v>
      </c>
      <c r="J1978" t="str">
        <f t="shared" si="656"/>
        <v>11</v>
      </c>
      <c r="K1978" t="str">
        <f t="shared" si="657"/>
        <v>32</v>
      </c>
      <c r="L1978" t="str">
        <f t="shared" si="658"/>
        <v>11</v>
      </c>
      <c r="M1978" s="6" t="str">
        <f t="shared" si="659"/>
        <v>30</v>
      </c>
      <c r="N1978" t="str">
        <f t="shared" si="660"/>
        <v>Home</v>
      </c>
      <c r="O1978">
        <v>93</v>
      </c>
      <c r="P1978" t="s">
        <v>425</v>
      </c>
      <c r="Y1978" t="str">
        <f t="shared" si="643"/>
        <v/>
      </c>
      <c r="Z1978" t="str">
        <f t="shared" si="644"/>
        <v/>
      </c>
      <c r="AC1978" t="str">
        <f t="shared" si="661"/>
        <v>Possession</v>
      </c>
      <c r="AD1978" t="str">
        <f t="shared" si="662"/>
        <v/>
      </c>
      <c r="AE1978" t="str">
        <f t="shared" si="663"/>
        <v/>
      </c>
      <c r="AF1978" t="str">
        <f t="shared" si="645"/>
        <v>Defensive</v>
      </c>
      <c r="AG1978">
        <f t="shared" si="651"/>
        <v>18981</v>
      </c>
      <c r="AH1978" t="str">
        <f t="shared" si="652"/>
        <v>Nelson</v>
      </c>
      <c r="AI1978" t="str">
        <f t="shared" si="653"/>
        <v>Velodrome</v>
      </c>
      <c r="AJ1978" s="18">
        <f t="shared" si="646"/>
        <v>2</v>
      </c>
      <c r="AP1978" s="18">
        <f t="shared" si="647"/>
        <v>0</v>
      </c>
      <c r="AQ1978">
        <f t="shared" si="648"/>
        <v>2160</v>
      </c>
      <c r="AR1978" s="23">
        <f t="shared" si="649"/>
        <v>2548</v>
      </c>
      <c r="AS1978">
        <f t="shared" si="654"/>
        <v>2543</v>
      </c>
      <c r="AT1978" s="21">
        <f t="shared" si="655"/>
        <v>2550</v>
      </c>
      <c r="AU1978" s="21"/>
      <c r="AV1978" s="21"/>
      <c r="AW1978" s="21"/>
    </row>
    <row r="1979" spans="1:49" x14ac:dyDescent="0.2">
      <c r="A1979">
        <v>1042</v>
      </c>
      <c r="E1979">
        <f t="shared" si="650"/>
        <v>3</v>
      </c>
      <c r="F1979" s="5" t="s">
        <v>486</v>
      </c>
      <c r="G1979" s="5" t="s">
        <v>502</v>
      </c>
      <c r="H1979" s="5" t="s">
        <v>486</v>
      </c>
      <c r="I1979" s="7" t="s">
        <v>499</v>
      </c>
      <c r="J1979" t="str">
        <f t="shared" si="656"/>
        <v>11</v>
      </c>
      <c r="K1979" t="str">
        <f t="shared" si="657"/>
        <v>30</v>
      </c>
      <c r="L1979" t="str">
        <f t="shared" si="658"/>
        <v>11</v>
      </c>
      <c r="M1979" s="6" t="str">
        <f t="shared" si="659"/>
        <v>27</v>
      </c>
      <c r="N1979" t="s">
        <v>178</v>
      </c>
      <c r="O1979">
        <v>79</v>
      </c>
      <c r="P1979" t="s">
        <v>424</v>
      </c>
      <c r="Q1979" t="s">
        <v>277</v>
      </c>
      <c r="R1979" t="s">
        <v>191</v>
      </c>
      <c r="S1979" t="s">
        <v>87</v>
      </c>
      <c r="Y1979" t="str">
        <f t="shared" si="643"/>
        <v/>
      </c>
      <c r="Z1979" t="str">
        <f t="shared" si="644"/>
        <v/>
      </c>
      <c r="AC1979" t="str">
        <f t="shared" si="661"/>
        <v>Zone_Entry_Exit</v>
      </c>
      <c r="AD1979" t="str">
        <f t="shared" si="662"/>
        <v>Zone_Entry</v>
      </c>
      <c r="AE1979" t="str">
        <f t="shared" si="663"/>
        <v>ZoneEntry-Rush</v>
      </c>
      <c r="AF1979" t="str">
        <f t="shared" si="645"/>
        <v>Offensive</v>
      </c>
      <c r="AG1979">
        <f t="shared" si="651"/>
        <v>18981</v>
      </c>
      <c r="AH1979" t="str">
        <f t="shared" si="652"/>
        <v>Nelson</v>
      </c>
      <c r="AI1979" t="str">
        <f t="shared" si="653"/>
        <v>Velodrome</v>
      </c>
      <c r="AJ1979" s="18">
        <f t="shared" si="646"/>
        <v>3</v>
      </c>
      <c r="AP1979" s="18">
        <f t="shared" si="647"/>
        <v>0</v>
      </c>
      <c r="AQ1979">
        <f t="shared" si="648"/>
        <v>2160</v>
      </c>
      <c r="AR1979" s="23">
        <f t="shared" si="649"/>
        <v>2550</v>
      </c>
      <c r="AS1979">
        <f t="shared" si="654"/>
        <v>2545</v>
      </c>
      <c r="AT1979" s="21">
        <f t="shared" si="655"/>
        <v>2553</v>
      </c>
      <c r="AU1979" s="21"/>
      <c r="AV1979" s="21"/>
      <c r="AW1979" s="21"/>
    </row>
    <row r="1980" spans="1:49" x14ac:dyDescent="0.2">
      <c r="A1980">
        <v>1042</v>
      </c>
      <c r="E1980">
        <f t="shared" si="650"/>
        <v>3</v>
      </c>
      <c r="J1980" t="str">
        <f t="shared" si="656"/>
        <v>11</v>
      </c>
      <c r="K1980" t="str">
        <f t="shared" si="657"/>
        <v>30</v>
      </c>
      <c r="L1980" t="str">
        <f t="shared" si="658"/>
        <v>11</v>
      </c>
      <c r="M1980" s="6" t="str">
        <f t="shared" si="659"/>
        <v>27</v>
      </c>
      <c r="N1980" t="str">
        <f t="shared" si="660"/>
        <v>Home</v>
      </c>
      <c r="O1980">
        <v>16</v>
      </c>
      <c r="P1980" t="s">
        <v>424</v>
      </c>
      <c r="Y1980" t="str">
        <f t="shared" si="643"/>
        <v/>
      </c>
      <c r="Z1980" t="str">
        <f t="shared" si="644"/>
        <v/>
      </c>
      <c r="AC1980" t="str">
        <f t="shared" si="661"/>
        <v>Zone_Entry_Exit</v>
      </c>
      <c r="AD1980" t="str">
        <f t="shared" si="662"/>
        <v>Zone_Entry</v>
      </c>
      <c r="AE1980" t="str">
        <f t="shared" si="663"/>
        <v>ZoneEntry-Rush</v>
      </c>
      <c r="AF1980" t="str">
        <f t="shared" si="645"/>
        <v>Offensive</v>
      </c>
      <c r="AG1980">
        <f t="shared" si="651"/>
        <v>18981</v>
      </c>
      <c r="AH1980" t="str">
        <f t="shared" si="652"/>
        <v>Nelson</v>
      </c>
      <c r="AI1980" t="str">
        <f t="shared" si="653"/>
        <v>Velodrome</v>
      </c>
      <c r="AJ1980" s="18">
        <f t="shared" si="646"/>
        <v>3</v>
      </c>
      <c r="AP1980" s="18">
        <f t="shared" si="647"/>
        <v>0</v>
      </c>
      <c r="AQ1980">
        <f t="shared" si="648"/>
        <v>2160</v>
      </c>
      <c r="AR1980" s="23">
        <f t="shared" si="649"/>
        <v>2550</v>
      </c>
      <c r="AS1980">
        <f t="shared" si="654"/>
        <v>2545</v>
      </c>
      <c r="AT1980" s="21">
        <f t="shared" si="655"/>
        <v>2553</v>
      </c>
      <c r="AU1980" s="21"/>
      <c r="AV1980" s="21"/>
      <c r="AW1980" s="21"/>
    </row>
    <row r="1981" spans="1:49" x14ac:dyDescent="0.2">
      <c r="A1981">
        <v>1042</v>
      </c>
      <c r="E1981">
        <f t="shared" si="650"/>
        <v>3</v>
      </c>
      <c r="J1981" t="str">
        <f t="shared" si="656"/>
        <v>11</v>
      </c>
      <c r="K1981" t="str">
        <f t="shared" si="657"/>
        <v>30</v>
      </c>
      <c r="L1981" t="str">
        <f t="shared" si="658"/>
        <v>11</v>
      </c>
      <c r="M1981" s="6" t="str">
        <f t="shared" si="659"/>
        <v>27</v>
      </c>
      <c r="N1981" t="str">
        <f t="shared" si="660"/>
        <v>Home</v>
      </c>
      <c r="O1981">
        <v>93</v>
      </c>
      <c r="P1981" t="s">
        <v>425</v>
      </c>
      <c r="Y1981" t="str">
        <f t="shared" si="643"/>
        <v/>
      </c>
      <c r="Z1981" t="str">
        <f t="shared" si="644"/>
        <v/>
      </c>
      <c r="AC1981" t="str">
        <f t="shared" si="661"/>
        <v>Zone_Entry_Exit</v>
      </c>
      <c r="AD1981" t="str">
        <f t="shared" si="662"/>
        <v>Zone_Entry</v>
      </c>
      <c r="AE1981" t="str">
        <f t="shared" si="663"/>
        <v>ZoneEntry-Rush</v>
      </c>
      <c r="AF1981" t="str">
        <f t="shared" si="645"/>
        <v>Defensive</v>
      </c>
      <c r="AG1981">
        <f t="shared" si="651"/>
        <v>18981</v>
      </c>
      <c r="AH1981" t="str">
        <f t="shared" si="652"/>
        <v>Nelson</v>
      </c>
      <c r="AI1981" t="str">
        <f t="shared" si="653"/>
        <v>Velodrome</v>
      </c>
      <c r="AJ1981" s="18">
        <f t="shared" si="646"/>
        <v>3</v>
      </c>
      <c r="AP1981" s="18">
        <f t="shared" si="647"/>
        <v>0</v>
      </c>
      <c r="AQ1981">
        <f t="shared" si="648"/>
        <v>2160</v>
      </c>
      <c r="AR1981" s="23">
        <f t="shared" si="649"/>
        <v>2550</v>
      </c>
      <c r="AS1981">
        <f t="shared" si="654"/>
        <v>2545</v>
      </c>
      <c r="AT1981" s="21">
        <f t="shared" si="655"/>
        <v>2553</v>
      </c>
      <c r="AU1981" s="21"/>
      <c r="AV1981" s="21"/>
      <c r="AW1981" s="21"/>
    </row>
    <row r="1982" spans="1:49" x14ac:dyDescent="0.2">
      <c r="A1982">
        <v>1042</v>
      </c>
      <c r="E1982">
        <f t="shared" si="650"/>
        <v>3</v>
      </c>
      <c r="J1982" t="str">
        <f t="shared" si="656"/>
        <v>11</v>
      </c>
      <c r="K1982" t="str">
        <f t="shared" si="657"/>
        <v>30</v>
      </c>
      <c r="L1982" t="str">
        <f t="shared" si="658"/>
        <v>11</v>
      </c>
      <c r="M1982" s="6" t="str">
        <f t="shared" si="659"/>
        <v>27</v>
      </c>
      <c r="N1982" t="str">
        <f t="shared" si="660"/>
        <v>Home</v>
      </c>
      <c r="O1982">
        <v>84</v>
      </c>
      <c r="P1982" t="s">
        <v>425</v>
      </c>
      <c r="Y1982" t="str">
        <f t="shared" si="643"/>
        <v/>
      </c>
      <c r="Z1982" t="str">
        <f t="shared" si="644"/>
        <v/>
      </c>
      <c r="AC1982" t="str">
        <f t="shared" si="661"/>
        <v>Zone_Entry_Exit</v>
      </c>
      <c r="AD1982" t="str">
        <f t="shared" si="662"/>
        <v>Zone_Entry</v>
      </c>
      <c r="AE1982" t="str">
        <f t="shared" si="663"/>
        <v>ZoneEntry-Rush</v>
      </c>
      <c r="AF1982" t="str">
        <f t="shared" si="645"/>
        <v>Defensive</v>
      </c>
      <c r="AG1982">
        <f t="shared" si="651"/>
        <v>18981</v>
      </c>
      <c r="AH1982" t="str">
        <f t="shared" si="652"/>
        <v>Nelson</v>
      </c>
      <c r="AI1982" t="str">
        <f t="shared" si="653"/>
        <v>Velodrome</v>
      </c>
      <c r="AJ1982" s="18">
        <f t="shared" si="646"/>
        <v>3</v>
      </c>
      <c r="AP1982" s="18">
        <f t="shared" si="647"/>
        <v>0</v>
      </c>
      <c r="AQ1982">
        <f t="shared" si="648"/>
        <v>2160</v>
      </c>
      <c r="AR1982" s="23">
        <f t="shared" si="649"/>
        <v>2550</v>
      </c>
      <c r="AS1982">
        <f t="shared" si="654"/>
        <v>2545</v>
      </c>
      <c r="AT1982" s="21">
        <f t="shared" si="655"/>
        <v>2553</v>
      </c>
      <c r="AU1982" s="21"/>
      <c r="AV1982" s="21"/>
      <c r="AW1982" s="21"/>
    </row>
    <row r="1983" spans="1:49" x14ac:dyDescent="0.2">
      <c r="A1983">
        <v>1043</v>
      </c>
      <c r="E1983">
        <f t="shared" si="650"/>
        <v>3</v>
      </c>
      <c r="F1983" s="5" t="s">
        <v>486</v>
      </c>
      <c r="G1983" s="5" t="s">
        <v>499</v>
      </c>
      <c r="J1983" t="str">
        <f t="shared" si="656"/>
        <v>11</v>
      </c>
      <c r="K1983" t="str">
        <f t="shared" si="657"/>
        <v>27</v>
      </c>
      <c r="L1983" t="str">
        <f t="shared" si="658"/>
        <v/>
      </c>
      <c r="M1983" s="6" t="str">
        <f t="shared" si="659"/>
        <v/>
      </c>
      <c r="N1983" t="s">
        <v>179</v>
      </c>
      <c r="O1983">
        <v>39</v>
      </c>
      <c r="P1983" t="s">
        <v>424</v>
      </c>
      <c r="Q1983" t="s">
        <v>247</v>
      </c>
      <c r="R1983" t="s">
        <v>446</v>
      </c>
      <c r="S1983" t="s">
        <v>559</v>
      </c>
      <c r="Y1983" t="str">
        <f t="shared" si="643"/>
        <v/>
      </c>
      <c r="Z1983" t="str">
        <f t="shared" si="644"/>
        <v/>
      </c>
      <c r="AC1983" t="str">
        <f t="shared" si="661"/>
        <v>Play</v>
      </c>
      <c r="AD1983" t="str">
        <f t="shared" si="662"/>
        <v>Play_Defensive</v>
      </c>
      <c r="AE1983" t="str">
        <f t="shared" si="663"/>
        <v>Play-PokeCheck</v>
      </c>
      <c r="AF1983" t="str">
        <f t="shared" si="645"/>
        <v>Defensive</v>
      </c>
      <c r="AG1983">
        <f t="shared" si="651"/>
        <v>18981</v>
      </c>
      <c r="AH1983" t="str">
        <f t="shared" si="652"/>
        <v>Nelson</v>
      </c>
      <c r="AI1983" t="str">
        <f t="shared" si="653"/>
        <v>Velodrome</v>
      </c>
      <c r="AJ1983" s="18">
        <f t="shared" si="646"/>
        <v>0</v>
      </c>
      <c r="AP1983" s="18">
        <f t="shared" si="647"/>
        <v>0</v>
      </c>
      <c r="AQ1983">
        <f t="shared" si="648"/>
        <v>2160</v>
      </c>
      <c r="AR1983" s="23">
        <f t="shared" si="649"/>
        <v>2553</v>
      </c>
      <c r="AS1983">
        <f t="shared" si="654"/>
        <v>2548</v>
      </c>
      <c r="AT1983" s="21">
        <f t="shared" si="655"/>
        <v>2553</v>
      </c>
      <c r="AU1983" s="21"/>
      <c r="AV1983" s="21"/>
      <c r="AW1983" s="21"/>
    </row>
    <row r="1984" spans="1:49" x14ac:dyDescent="0.2">
      <c r="A1984">
        <v>1043</v>
      </c>
      <c r="E1984">
        <f t="shared" si="650"/>
        <v>3</v>
      </c>
      <c r="J1984" t="str">
        <f t="shared" si="656"/>
        <v>11</v>
      </c>
      <c r="K1984" t="str">
        <f t="shared" si="657"/>
        <v>27</v>
      </c>
      <c r="L1984" t="str">
        <f t="shared" si="658"/>
        <v/>
      </c>
      <c r="M1984" s="6" t="str">
        <f t="shared" si="659"/>
        <v/>
      </c>
      <c r="N1984" t="str">
        <f t="shared" si="660"/>
        <v>Away</v>
      </c>
      <c r="O1984">
        <v>79</v>
      </c>
      <c r="P1984" t="s">
        <v>425</v>
      </c>
      <c r="Y1984" t="str">
        <f t="shared" si="643"/>
        <v/>
      </c>
      <c r="Z1984" t="str">
        <f t="shared" si="644"/>
        <v/>
      </c>
      <c r="AC1984" t="str">
        <f t="shared" si="661"/>
        <v>Play</v>
      </c>
      <c r="AD1984" t="str">
        <f t="shared" si="662"/>
        <v>Play_Defensive</v>
      </c>
      <c r="AE1984" t="str">
        <f t="shared" si="663"/>
        <v>Play-PokeCheck</v>
      </c>
      <c r="AF1984" t="str">
        <f t="shared" si="645"/>
        <v>Offensive</v>
      </c>
      <c r="AG1984">
        <f t="shared" si="651"/>
        <v>18981</v>
      </c>
      <c r="AH1984" t="str">
        <f t="shared" si="652"/>
        <v>Nelson</v>
      </c>
      <c r="AI1984" t="str">
        <f t="shared" si="653"/>
        <v>Velodrome</v>
      </c>
      <c r="AJ1984" s="18">
        <f t="shared" si="646"/>
        <v>0</v>
      </c>
      <c r="AP1984" s="18">
        <f t="shared" si="647"/>
        <v>0</v>
      </c>
      <c r="AQ1984">
        <f t="shared" si="648"/>
        <v>2160</v>
      </c>
      <c r="AR1984" s="23">
        <f t="shared" si="649"/>
        <v>2553</v>
      </c>
      <c r="AS1984">
        <f t="shared" si="654"/>
        <v>2548</v>
      </c>
      <c r="AT1984" s="21">
        <f t="shared" si="655"/>
        <v>2553</v>
      </c>
      <c r="AU1984" s="21"/>
      <c r="AV1984" s="21"/>
      <c r="AW1984" s="21"/>
    </row>
    <row r="1985" spans="1:49" x14ac:dyDescent="0.2">
      <c r="A1985">
        <v>1044</v>
      </c>
      <c r="E1985">
        <f t="shared" si="650"/>
        <v>3</v>
      </c>
      <c r="F1985" s="5" t="s">
        <v>486</v>
      </c>
      <c r="G1985" s="5" t="s">
        <v>498</v>
      </c>
      <c r="J1985" t="str">
        <f t="shared" si="656"/>
        <v>11</v>
      </c>
      <c r="K1985" t="str">
        <f t="shared" si="657"/>
        <v>26</v>
      </c>
      <c r="L1985" t="str">
        <f t="shared" si="658"/>
        <v/>
      </c>
      <c r="M1985" s="6" t="str">
        <f t="shared" si="659"/>
        <v/>
      </c>
      <c r="N1985" t="s">
        <v>179</v>
      </c>
      <c r="O1985">
        <v>39</v>
      </c>
      <c r="P1985" t="s">
        <v>424</v>
      </c>
      <c r="Q1985" t="s">
        <v>277</v>
      </c>
      <c r="R1985" t="s">
        <v>201</v>
      </c>
      <c r="S1985" t="s">
        <v>435</v>
      </c>
      <c r="Y1985" t="str">
        <f t="shared" si="643"/>
        <v/>
      </c>
      <c r="Z1985" t="str">
        <f t="shared" si="644"/>
        <v/>
      </c>
      <c r="AC1985" t="str">
        <f t="shared" si="661"/>
        <v>Zone_Entry_Exit</v>
      </c>
      <c r="AD1985" t="str">
        <f t="shared" si="662"/>
        <v>Zone_Exit</v>
      </c>
      <c r="AE1985" t="str">
        <f t="shared" si="663"/>
        <v>ZoneExit-OppTeam</v>
      </c>
      <c r="AF1985" t="str">
        <f t="shared" si="645"/>
        <v>Offensive</v>
      </c>
      <c r="AG1985">
        <f t="shared" si="651"/>
        <v>18981</v>
      </c>
      <c r="AH1985" t="str">
        <f t="shared" si="652"/>
        <v>Nelson</v>
      </c>
      <c r="AI1985" t="str">
        <f t="shared" si="653"/>
        <v>Velodrome</v>
      </c>
      <c r="AJ1985" s="18">
        <f t="shared" si="646"/>
        <v>0</v>
      </c>
      <c r="AP1985" s="18">
        <f t="shared" si="647"/>
        <v>0</v>
      </c>
      <c r="AQ1985">
        <f t="shared" si="648"/>
        <v>2160</v>
      </c>
      <c r="AR1985" s="23">
        <f t="shared" si="649"/>
        <v>2554</v>
      </c>
      <c r="AS1985">
        <f t="shared" si="654"/>
        <v>2549</v>
      </c>
      <c r="AT1985" s="21">
        <f t="shared" si="655"/>
        <v>2554</v>
      </c>
      <c r="AU1985" s="21"/>
      <c r="AV1985" s="21"/>
      <c r="AW1985" s="21"/>
    </row>
    <row r="1986" spans="1:49" x14ac:dyDescent="0.2">
      <c r="A1986">
        <v>1044</v>
      </c>
      <c r="E1986">
        <f t="shared" si="650"/>
        <v>3</v>
      </c>
      <c r="F1986" s="5" t="s">
        <v>486</v>
      </c>
      <c r="G1986" s="5" t="s">
        <v>498</v>
      </c>
      <c r="J1986" t="str">
        <f t="shared" si="656"/>
        <v>11</v>
      </c>
      <c r="K1986" t="str">
        <f t="shared" si="657"/>
        <v>26</v>
      </c>
      <c r="L1986" t="str">
        <f t="shared" si="658"/>
        <v/>
      </c>
      <c r="M1986" s="6" t="str">
        <f t="shared" si="659"/>
        <v/>
      </c>
      <c r="N1986" t="str">
        <f t="shared" si="660"/>
        <v>Away</v>
      </c>
      <c r="O1986">
        <v>79</v>
      </c>
      <c r="P1986" t="s">
        <v>425</v>
      </c>
      <c r="Y1986" t="str">
        <f t="shared" si="643"/>
        <v/>
      </c>
      <c r="Z1986" t="str">
        <f t="shared" si="644"/>
        <v/>
      </c>
      <c r="AC1986" t="str">
        <f t="shared" si="661"/>
        <v>Zone_Entry_Exit</v>
      </c>
      <c r="AD1986" t="str">
        <f t="shared" si="662"/>
        <v>Zone_Exit</v>
      </c>
      <c r="AE1986" t="str">
        <f t="shared" si="663"/>
        <v>ZoneExit-OppTeam</v>
      </c>
      <c r="AF1986" t="str">
        <f t="shared" si="645"/>
        <v>Defensive</v>
      </c>
      <c r="AG1986">
        <f t="shared" si="651"/>
        <v>18981</v>
      </c>
      <c r="AH1986" t="str">
        <f t="shared" si="652"/>
        <v>Nelson</v>
      </c>
      <c r="AI1986" t="str">
        <f t="shared" si="653"/>
        <v>Velodrome</v>
      </c>
      <c r="AJ1986" s="18">
        <f t="shared" si="646"/>
        <v>0</v>
      </c>
      <c r="AP1986" s="18">
        <f t="shared" si="647"/>
        <v>0</v>
      </c>
      <c r="AQ1986">
        <f t="shared" si="648"/>
        <v>2160</v>
      </c>
      <c r="AR1986" s="23">
        <f t="shared" si="649"/>
        <v>2554</v>
      </c>
      <c r="AS1986">
        <f t="shared" si="654"/>
        <v>2549</v>
      </c>
      <c r="AT1986" s="21">
        <f t="shared" si="655"/>
        <v>2554</v>
      </c>
      <c r="AU1986" s="21"/>
      <c r="AV1986" s="21"/>
      <c r="AW1986" s="21"/>
    </row>
    <row r="1987" spans="1:49" x14ac:dyDescent="0.2">
      <c r="A1987">
        <v>1045</v>
      </c>
      <c r="E1987">
        <f t="shared" si="650"/>
        <v>3</v>
      </c>
      <c r="F1987" s="5" t="s">
        <v>486</v>
      </c>
      <c r="G1987" s="5" t="s">
        <v>492</v>
      </c>
      <c r="J1987" t="str">
        <f t="shared" si="656"/>
        <v>11</v>
      </c>
      <c r="K1987" t="str">
        <f t="shared" si="657"/>
        <v>20</v>
      </c>
      <c r="L1987" t="str">
        <f t="shared" si="658"/>
        <v/>
      </c>
      <c r="M1987" s="6" t="str">
        <f t="shared" si="659"/>
        <v/>
      </c>
      <c r="N1987" t="s">
        <v>178</v>
      </c>
      <c r="O1987">
        <v>8</v>
      </c>
      <c r="P1987" t="s">
        <v>424</v>
      </c>
      <c r="Q1987" t="s">
        <v>277</v>
      </c>
      <c r="R1987" t="s">
        <v>191</v>
      </c>
      <c r="S1987" t="s">
        <v>89</v>
      </c>
      <c r="Y1987" t="str">
        <f t="shared" ref="Y1987:Y2050" si="664">IF($N1987="","",IF(X1987="","",IF($N1987="Home",$X1987,IF($X1987="n","n",IF($X1987="d","o",IF($X1987="o","d",""))))))</f>
        <v/>
      </c>
      <c r="Z1987" t="str">
        <f t="shared" ref="Z1987:Z2050" si="665">IF($N1987="","",IF(X1987="","",IF($N1987="Away",$X1987,IF($X1987="n","n",IF($X1987="d","o",IF($X1987="o","d",""))))))</f>
        <v/>
      </c>
      <c r="AC1987" t="str">
        <f t="shared" si="661"/>
        <v>Zone_Entry_Exit</v>
      </c>
      <c r="AD1987" t="str">
        <f t="shared" si="662"/>
        <v>Zone_Entry</v>
      </c>
      <c r="AE1987" t="str">
        <f t="shared" si="663"/>
        <v>ZoneEntry-DumpIn</v>
      </c>
      <c r="AF1987" t="str">
        <f t="shared" ref="AF1987:AF2050" si="666">IF(AND(P1987="e",OR(AC1987="Save",AD1987="Turnover_Takeaway",AD1987="Play_Defensive")),"Defensive",IF(AND(P1987="o",OR(AC1987="Save",AD1987="Turnover_Takeaway",AD1987="Play_Defensive")),"Offensive",IF(OR(AC1987="Deadice",AC1987="Stoppage",AC1987="Intermission"),"",IF(P1987="e","Offensive",IF(P1987="o","Defensive","")))))</f>
        <v>Offensive</v>
      </c>
      <c r="AG1987">
        <f t="shared" si="651"/>
        <v>18981</v>
      </c>
      <c r="AH1987" t="str">
        <f t="shared" si="652"/>
        <v>Nelson</v>
      </c>
      <c r="AI1987" t="str">
        <f t="shared" si="653"/>
        <v>Velodrome</v>
      </c>
      <c r="AJ1987" s="18">
        <f t="shared" ref="AJ1987:AJ2050" si="667">IF(AND(L1987="",M1987=""),0,((J1987*60)+K1987)-((L1987*60)+M1987))</f>
        <v>0</v>
      </c>
      <c r="AP1987" s="18">
        <f t="shared" ref="AP1987:AP2050" si="668">SUMIFS(AJ1987:AJ1987,Q1987:Q1987,"=Intermission")</f>
        <v>0</v>
      </c>
      <c r="AQ1987">
        <f t="shared" ref="AQ1987:AQ2050" si="669">IF(E1987=1,0,IF(E1987=2,1080+AP1987,IF(E1987=3,(1080*2)+AP1987,0)))</f>
        <v>2160</v>
      </c>
      <c r="AR1987" s="23">
        <f t="shared" ref="AR1987:AR2050" si="670">IF(Q1987="Intermission",AR1986,((1080)-((J1987*60)+K1987))+AQ1987)</f>
        <v>2560</v>
      </c>
      <c r="AS1987">
        <f t="shared" si="654"/>
        <v>2555</v>
      </c>
      <c r="AT1987" s="21">
        <f t="shared" si="655"/>
        <v>2560</v>
      </c>
      <c r="AU1987" s="21"/>
      <c r="AV1987" s="21"/>
      <c r="AW1987" s="21"/>
    </row>
    <row r="1988" spans="1:49" x14ac:dyDescent="0.2">
      <c r="A1988">
        <v>1046</v>
      </c>
      <c r="E1988">
        <f t="shared" ref="E1988:E2051" si="671">IF(Q1988="Intermission",E1987+1,E1987)</f>
        <v>3</v>
      </c>
      <c r="F1988" s="5" t="s">
        <v>486</v>
      </c>
      <c r="G1988" s="5" t="s">
        <v>492</v>
      </c>
      <c r="J1988" t="str">
        <f t="shared" si="656"/>
        <v>11</v>
      </c>
      <c r="K1988" t="str">
        <f t="shared" si="657"/>
        <v>20</v>
      </c>
      <c r="L1988" t="str">
        <f t="shared" si="658"/>
        <v/>
      </c>
      <c r="M1988" s="6" t="str">
        <f t="shared" si="659"/>
        <v/>
      </c>
      <c r="N1988" t="s">
        <v>178</v>
      </c>
      <c r="O1988">
        <v>8</v>
      </c>
      <c r="P1988" t="s">
        <v>424</v>
      </c>
      <c r="Q1988" t="s">
        <v>10</v>
      </c>
      <c r="R1988" t="s">
        <v>190</v>
      </c>
      <c r="S1988" t="s">
        <v>411</v>
      </c>
      <c r="Y1988" t="str">
        <f t="shared" si="664"/>
        <v/>
      </c>
      <c r="Z1988" t="str">
        <f t="shared" si="665"/>
        <v/>
      </c>
      <c r="AC1988" t="str">
        <f t="shared" si="661"/>
        <v>Turnover</v>
      </c>
      <c r="AD1988" t="str">
        <f t="shared" si="662"/>
        <v>Turnover_Giveaway</v>
      </c>
      <c r="AE1988" t="str">
        <f t="shared" si="663"/>
        <v>Giveaway-ZoneClear/Dump</v>
      </c>
      <c r="AF1988" t="str">
        <f t="shared" si="666"/>
        <v>Offensive</v>
      </c>
      <c r="AG1988">
        <f t="shared" ref="AG1988:AG2051" si="672">AG1987</f>
        <v>18981</v>
      </c>
      <c r="AH1988" t="str">
        <f t="shared" ref="AH1988:AH2051" si="673">AH1987</f>
        <v>Nelson</v>
      </c>
      <c r="AI1988" t="str">
        <f t="shared" ref="AI1988:AI2051" si="674">AI1987</f>
        <v>Velodrome</v>
      </c>
      <c r="AJ1988" s="18">
        <f t="shared" si="667"/>
        <v>0</v>
      </c>
      <c r="AP1988" s="18">
        <f t="shared" si="668"/>
        <v>0</v>
      </c>
      <c r="AQ1988">
        <f t="shared" si="669"/>
        <v>2160</v>
      </c>
      <c r="AR1988" s="23">
        <f t="shared" si="670"/>
        <v>2560</v>
      </c>
      <c r="AS1988">
        <f t="shared" ref="AS1988:AS2051" si="675">IF(AR1988&lt;5,0,AR1988-5)</f>
        <v>2555</v>
      </c>
      <c r="AT1988" s="21">
        <f t="shared" ref="AT1988:AT2051" si="676">AS1988+AJ1988+5</f>
        <v>2560</v>
      </c>
      <c r="AU1988" s="21"/>
      <c r="AV1988" s="21"/>
      <c r="AW1988" s="21"/>
    </row>
    <row r="1989" spans="1:49" x14ac:dyDescent="0.2">
      <c r="A1989">
        <v>1047</v>
      </c>
      <c r="E1989">
        <f t="shared" si="671"/>
        <v>3</v>
      </c>
      <c r="F1989" s="5" t="s">
        <v>486</v>
      </c>
      <c r="G1989" s="5" t="s">
        <v>477</v>
      </c>
      <c r="H1989" s="5" t="s">
        <v>486</v>
      </c>
      <c r="I1989" s="7" t="s">
        <v>487</v>
      </c>
      <c r="J1989" t="str">
        <f t="shared" si="656"/>
        <v>11</v>
      </c>
      <c r="K1989" t="str">
        <f t="shared" si="657"/>
        <v>16</v>
      </c>
      <c r="L1989" t="str">
        <f t="shared" si="658"/>
        <v>11</v>
      </c>
      <c r="M1989" s="6" t="str">
        <f t="shared" si="659"/>
        <v>12</v>
      </c>
      <c r="N1989" t="s">
        <v>179</v>
      </c>
      <c r="O1989">
        <v>84</v>
      </c>
      <c r="P1989" t="s">
        <v>424</v>
      </c>
      <c r="Q1989" t="s">
        <v>277</v>
      </c>
      <c r="R1989" t="s">
        <v>201</v>
      </c>
      <c r="S1989" t="s">
        <v>90</v>
      </c>
      <c r="Y1989" t="str">
        <f t="shared" si="664"/>
        <v/>
      </c>
      <c r="Z1989" t="str">
        <f t="shared" si="665"/>
        <v/>
      </c>
      <c r="AC1989" t="str">
        <f t="shared" si="661"/>
        <v>Zone_Entry_Exit</v>
      </c>
      <c r="AD1989" t="str">
        <f t="shared" si="662"/>
        <v>Zone_Exit</v>
      </c>
      <c r="AE1989" t="str">
        <f t="shared" si="663"/>
        <v>ZoneExit-Rush</v>
      </c>
      <c r="AF1989" t="str">
        <f t="shared" si="666"/>
        <v>Offensive</v>
      </c>
      <c r="AG1989">
        <f t="shared" si="672"/>
        <v>18981</v>
      </c>
      <c r="AH1989" t="str">
        <f t="shared" si="673"/>
        <v>Nelson</v>
      </c>
      <c r="AI1989" t="str">
        <f t="shared" si="674"/>
        <v>Velodrome</v>
      </c>
      <c r="AJ1989" s="18">
        <f t="shared" si="667"/>
        <v>4</v>
      </c>
      <c r="AP1989" s="18">
        <f t="shared" si="668"/>
        <v>0</v>
      </c>
      <c r="AQ1989">
        <f t="shared" si="669"/>
        <v>2160</v>
      </c>
      <c r="AR1989" s="23">
        <f t="shared" si="670"/>
        <v>2564</v>
      </c>
      <c r="AS1989">
        <f t="shared" si="675"/>
        <v>2559</v>
      </c>
      <c r="AT1989" s="21">
        <f t="shared" si="676"/>
        <v>2568</v>
      </c>
      <c r="AU1989" s="21"/>
      <c r="AV1989" s="21"/>
      <c r="AW1989" s="21"/>
    </row>
    <row r="1990" spans="1:49" x14ac:dyDescent="0.2">
      <c r="A1990">
        <v>1047</v>
      </c>
      <c r="E1990">
        <f t="shared" si="671"/>
        <v>3</v>
      </c>
      <c r="J1990" t="str">
        <f t="shared" si="656"/>
        <v>11</v>
      </c>
      <c r="K1990" t="str">
        <f t="shared" si="657"/>
        <v>16</v>
      </c>
      <c r="L1990" t="str">
        <f t="shared" si="658"/>
        <v>11</v>
      </c>
      <c r="M1990" s="6" t="str">
        <f t="shared" si="659"/>
        <v>12</v>
      </c>
      <c r="N1990" t="str">
        <f t="shared" ref="N1990:N2053" si="677">IF(A1990=A1989,N1989,"")</f>
        <v>Away</v>
      </c>
      <c r="O1990">
        <v>16</v>
      </c>
      <c r="P1990" t="s">
        <v>425</v>
      </c>
      <c r="Y1990" t="str">
        <f t="shared" si="664"/>
        <v/>
      </c>
      <c r="Z1990" t="str">
        <f t="shared" si="665"/>
        <v/>
      </c>
      <c r="AC1990" t="str">
        <f t="shared" si="661"/>
        <v>Zone_Entry_Exit</v>
      </c>
      <c r="AD1990" t="str">
        <f t="shared" si="662"/>
        <v>Zone_Exit</v>
      </c>
      <c r="AE1990" t="str">
        <f t="shared" si="663"/>
        <v>ZoneExit-Rush</v>
      </c>
      <c r="AF1990" t="str">
        <f t="shared" si="666"/>
        <v>Defensive</v>
      </c>
      <c r="AG1990">
        <f t="shared" si="672"/>
        <v>18981</v>
      </c>
      <c r="AH1990" t="str">
        <f t="shared" si="673"/>
        <v>Nelson</v>
      </c>
      <c r="AI1990" t="str">
        <f t="shared" si="674"/>
        <v>Velodrome</v>
      </c>
      <c r="AJ1990" s="18">
        <f t="shared" si="667"/>
        <v>4</v>
      </c>
      <c r="AP1990" s="18">
        <f t="shared" si="668"/>
        <v>0</v>
      </c>
      <c r="AQ1990">
        <f t="shared" si="669"/>
        <v>2160</v>
      </c>
      <c r="AR1990" s="23">
        <f t="shared" si="670"/>
        <v>2564</v>
      </c>
      <c r="AS1990">
        <f t="shared" si="675"/>
        <v>2559</v>
      </c>
      <c r="AT1990" s="21">
        <f t="shared" si="676"/>
        <v>2568</v>
      </c>
      <c r="AU1990" s="21"/>
      <c r="AV1990" s="21"/>
      <c r="AW1990" s="21"/>
    </row>
    <row r="1991" spans="1:49" x14ac:dyDescent="0.2">
      <c r="A1991">
        <v>1048</v>
      </c>
      <c r="E1991">
        <f t="shared" si="671"/>
        <v>3</v>
      </c>
      <c r="F1991" s="5" t="s">
        <v>486</v>
      </c>
      <c r="G1991" s="5" t="s">
        <v>486</v>
      </c>
      <c r="J1991" t="str">
        <f t="shared" si="656"/>
        <v>11</v>
      </c>
      <c r="K1991" t="str">
        <f t="shared" si="657"/>
        <v>11</v>
      </c>
      <c r="L1991" t="str">
        <f t="shared" si="658"/>
        <v/>
      </c>
      <c r="M1991" s="6" t="str">
        <f t="shared" si="659"/>
        <v/>
      </c>
      <c r="N1991" t="s">
        <v>178</v>
      </c>
      <c r="O1991">
        <v>79</v>
      </c>
      <c r="P1991" t="s">
        <v>424</v>
      </c>
      <c r="Q1991" t="s">
        <v>10</v>
      </c>
      <c r="R1991" t="s">
        <v>190</v>
      </c>
      <c r="S1991" t="s">
        <v>74</v>
      </c>
      <c r="Y1991" t="str">
        <f t="shared" si="664"/>
        <v/>
      </c>
      <c r="Z1991" t="str">
        <f t="shared" si="665"/>
        <v/>
      </c>
      <c r="AC1991" t="str">
        <f t="shared" si="661"/>
        <v>Turnover</v>
      </c>
      <c r="AD1991" t="str">
        <f t="shared" si="662"/>
        <v>Turnover_Giveaway</v>
      </c>
      <c r="AE1991" t="str">
        <f t="shared" si="663"/>
        <v>Giveaway-BattleLost</v>
      </c>
      <c r="AF1991" t="str">
        <f t="shared" si="666"/>
        <v>Offensive</v>
      </c>
      <c r="AG1991">
        <f t="shared" si="672"/>
        <v>18981</v>
      </c>
      <c r="AH1991" t="str">
        <f t="shared" si="673"/>
        <v>Nelson</v>
      </c>
      <c r="AI1991" t="str">
        <f t="shared" si="674"/>
        <v>Velodrome</v>
      </c>
      <c r="AJ1991" s="18">
        <f t="shared" si="667"/>
        <v>0</v>
      </c>
      <c r="AP1991" s="18">
        <f t="shared" si="668"/>
        <v>0</v>
      </c>
      <c r="AQ1991">
        <f t="shared" si="669"/>
        <v>2160</v>
      </c>
      <c r="AR1991" s="23">
        <f t="shared" si="670"/>
        <v>2569</v>
      </c>
      <c r="AS1991">
        <f t="shared" si="675"/>
        <v>2564</v>
      </c>
      <c r="AT1991" s="21">
        <f t="shared" si="676"/>
        <v>2569</v>
      </c>
      <c r="AU1991" s="21"/>
      <c r="AV1991" s="21"/>
      <c r="AW1991" s="21"/>
    </row>
    <row r="1992" spans="1:49" x14ac:dyDescent="0.2">
      <c r="A1992">
        <v>1048</v>
      </c>
      <c r="E1992">
        <f t="shared" si="671"/>
        <v>3</v>
      </c>
      <c r="J1992" t="str">
        <f t="shared" si="656"/>
        <v>11</v>
      </c>
      <c r="K1992" t="str">
        <f t="shared" si="657"/>
        <v>11</v>
      </c>
      <c r="L1992" t="str">
        <f t="shared" si="658"/>
        <v/>
      </c>
      <c r="M1992" s="6" t="str">
        <f t="shared" si="659"/>
        <v/>
      </c>
      <c r="N1992" t="str">
        <f t="shared" si="677"/>
        <v>Home</v>
      </c>
      <c r="O1992">
        <v>84</v>
      </c>
      <c r="P1992" t="s">
        <v>425</v>
      </c>
      <c r="Y1992" t="str">
        <f t="shared" si="664"/>
        <v/>
      </c>
      <c r="Z1992" t="str">
        <f t="shared" si="665"/>
        <v/>
      </c>
      <c r="AC1992" t="str">
        <f t="shared" si="661"/>
        <v>Turnover</v>
      </c>
      <c r="AD1992" t="str">
        <f t="shared" si="662"/>
        <v>Turnover_Giveaway</v>
      </c>
      <c r="AE1992" t="str">
        <f t="shared" si="663"/>
        <v>Giveaway-BattleLost</v>
      </c>
      <c r="AF1992" t="str">
        <f t="shared" si="666"/>
        <v>Defensive</v>
      </c>
      <c r="AG1992">
        <f t="shared" si="672"/>
        <v>18981</v>
      </c>
      <c r="AH1992" t="str">
        <f t="shared" si="673"/>
        <v>Nelson</v>
      </c>
      <c r="AI1992" t="str">
        <f t="shared" si="674"/>
        <v>Velodrome</v>
      </c>
      <c r="AJ1992" s="18">
        <f t="shared" si="667"/>
        <v>0</v>
      </c>
      <c r="AP1992" s="18">
        <f t="shared" si="668"/>
        <v>0</v>
      </c>
      <c r="AQ1992">
        <f t="shared" si="669"/>
        <v>2160</v>
      </c>
      <c r="AR1992" s="23">
        <f t="shared" si="670"/>
        <v>2569</v>
      </c>
      <c r="AS1992">
        <f t="shared" si="675"/>
        <v>2564</v>
      </c>
      <c r="AT1992" s="21">
        <f t="shared" si="676"/>
        <v>2569</v>
      </c>
      <c r="AU1992" s="21"/>
      <c r="AV1992" s="21"/>
      <c r="AW1992" s="21"/>
    </row>
    <row r="1993" spans="1:49" x14ac:dyDescent="0.2">
      <c r="A1993">
        <v>1049</v>
      </c>
      <c r="E1993">
        <f t="shared" si="671"/>
        <v>3</v>
      </c>
      <c r="F1993" s="5" t="s">
        <v>486</v>
      </c>
      <c r="G1993" s="5" t="s">
        <v>484</v>
      </c>
      <c r="J1993" t="str">
        <f t="shared" ref="J1993:J2056" si="678">IF(F1993&lt;&gt;"",F1993,IF($A1993=$A1992,J1992,J1993))</f>
        <v>11</v>
      </c>
      <c r="K1993" t="str">
        <f t="shared" ref="K1993:K2056" si="679">IF($A1993=$A1992,K1992,G1993)</f>
        <v>09</v>
      </c>
      <c r="L1993" t="str">
        <f t="shared" ref="L1993:L2056" si="680">IF(H1993&lt;&gt;"",H1993,IF($A1993=$A1992,L1992,""))</f>
        <v/>
      </c>
      <c r="M1993" s="6" t="str">
        <f t="shared" ref="M1993:M2056" si="681">IF(I1993&lt;&gt;"",I1993,IF($A1993=$A1992,M1992,""))</f>
        <v/>
      </c>
      <c r="N1993" t="s">
        <v>179</v>
      </c>
      <c r="O1993">
        <v>84</v>
      </c>
      <c r="P1993" t="s">
        <v>424</v>
      </c>
      <c r="Q1993" t="s">
        <v>10</v>
      </c>
      <c r="R1993" t="s">
        <v>190</v>
      </c>
      <c r="S1993" t="s">
        <v>74</v>
      </c>
      <c r="Y1993" t="str">
        <f t="shared" si="664"/>
        <v/>
      </c>
      <c r="Z1993" t="str">
        <f t="shared" si="665"/>
        <v/>
      </c>
      <c r="AC1993" t="str">
        <f t="shared" si="661"/>
        <v>Turnover</v>
      </c>
      <c r="AD1993" t="str">
        <f t="shared" si="662"/>
        <v>Turnover_Giveaway</v>
      </c>
      <c r="AE1993" t="str">
        <f t="shared" si="663"/>
        <v>Giveaway-BattleLost</v>
      </c>
      <c r="AF1993" t="str">
        <f t="shared" si="666"/>
        <v>Offensive</v>
      </c>
      <c r="AG1993">
        <f t="shared" si="672"/>
        <v>18981</v>
      </c>
      <c r="AH1993" t="str">
        <f t="shared" si="673"/>
        <v>Nelson</v>
      </c>
      <c r="AI1993" t="str">
        <f t="shared" si="674"/>
        <v>Velodrome</v>
      </c>
      <c r="AJ1993" s="18">
        <f t="shared" si="667"/>
        <v>0</v>
      </c>
      <c r="AP1993" s="18">
        <f t="shared" si="668"/>
        <v>0</v>
      </c>
      <c r="AQ1993">
        <f t="shared" si="669"/>
        <v>2160</v>
      </c>
      <c r="AR1993" s="23">
        <f t="shared" si="670"/>
        <v>2571</v>
      </c>
      <c r="AS1993">
        <f t="shared" si="675"/>
        <v>2566</v>
      </c>
      <c r="AT1993" s="21">
        <f t="shared" si="676"/>
        <v>2571</v>
      </c>
      <c r="AU1993" s="21"/>
      <c r="AV1993" s="21"/>
      <c r="AW1993" s="21"/>
    </row>
    <row r="1994" spans="1:49" x14ac:dyDescent="0.2">
      <c r="A1994">
        <v>1049</v>
      </c>
      <c r="E1994">
        <f t="shared" si="671"/>
        <v>3</v>
      </c>
      <c r="J1994" t="str">
        <f t="shared" si="678"/>
        <v>11</v>
      </c>
      <c r="K1994" t="str">
        <f t="shared" si="679"/>
        <v>09</v>
      </c>
      <c r="L1994" t="str">
        <f t="shared" si="680"/>
        <v/>
      </c>
      <c r="M1994" s="6" t="str">
        <f t="shared" si="681"/>
        <v/>
      </c>
      <c r="N1994" t="str">
        <f t="shared" si="677"/>
        <v>Away</v>
      </c>
      <c r="O1994">
        <v>80</v>
      </c>
      <c r="P1994" t="s">
        <v>425</v>
      </c>
      <c r="Y1994" t="str">
        <f t="shared" si="664"/>
        <v/>
      </c>
      <c r="Z1994" t="str">
        <f t="shared" si="665"/>
        <v/>
      </c>
      <c r="AC1994" t="str">
        <f t="shared" si="661"/>
        <v>Turnover</v>
      </c>
      <c r="AD1994" t="str">
        <f t="shared" si="662"/>
        <v>Turnover_Giveaway</v>
      </c>
      <c r="AE1994" t="str">
        <f t="shared" si="663"/>
        <v>Giveaway-BattleLost</v>
      </c>
      <c r="AF1994" t="str">
        <f t="shared" si="666"/>
        <v>Defensive</v>
      </c>
      <c r="AG1994">
        <f t="shared" si="672"/>
        <v>18981</v>
      </c>
      <c r="AH1994" t="str">
        <f t="shared" si="673"/>
        <v>Nelson</v>
      </c>
      <c r="AI1994" t="str">
        <f t="shared" si="674"/>
        <v>Velodrome</v>
      </c>
      <c r="AJ1994" s="18">
        <f t="shared" si="667"/>
        <v>0</v>
      </c>
      <c r="AP1994" s="18">
        <f t="shared" si="668"/>
        <v>0</v>
      </c>
      <c r="AQ1994">
        <f t="shared" si="669"/>
        <v>2160</v>
      </c>
      <c r="AR1994" s="23">
        <f t="shared" si="670"/>
        <v>2571</v>
      </c>
      <c r="AS1994">
        <f t="shared" si="675"/>
        <v>2566</v>
      </c>
      <c r="AT1994" s="21">
        <f t="shared" si="676"/>
        <v>2571</v>
      </c>
      <c r="AU1994" s="21"/>
      <c r="AV1994" s="21"/>
      <c r="AW1994" s="21"/>
    </row>
    <row r="1995" spans="1:49" x14ac:dyDescent="0.2">
      <c r="A1995">
        <v>1050</v>
      </c>
      <c r="E1995">
        <f t="shared" si="671"/>
        <v>3</v>
      </c>
      <c r="F1995" s="5" t="s">
        <v>486</v>
      </c>
      <c r="G1995" s="5" t="s">
        <v>483</v>
      </c>
      <c r="H1995" s="5" t="s">
        <v>486</v>
      </c>
      <c r="I1995" s="7" t="s">
        <v>482</v>
      </c>
      <c r="J1995" t="str">
        <f t="shared" si="678"/>
        <v>11</v>
      </c>
      <c r="K1995" t="str">
        <f t="shared" si="679"/>
        <v>08</v>
      </c>
      <c r="L1995" t="str">
        <f t="shared" si="680"/>
        <v>11</v>
      </c>
      <c r="M1995" s="6" t="str">
        <f t="shared" si="681"/>
        <v>07</v>
      </c>
      <c r="N1995" t="s">
        <v>179</v>
      </c>
      <c r="O1995">
        <v>49</v>
      </c>
      <c r="P1995" t="s">
        <v>424</v>
      </c>
      <c r="Q1995" t="s">
        <v>277</v>
      </c>
      <c r="R1995" t="s">
        <v>191</v>
      </c>
      <c r="S1995" t="s">
        <v>535</v>
      </c>
      <c r="Y1995" t="str">
        <f t="shared" si="664"/>
        <v/>
      </c>
      <c r="Z1995" t="str">
        <f t="shared" si="665"/>
        <v/>
      </c>
      <c r="AC1995" t="str">
        <f t="shared" si="661"/>
        <v>Zone_Entry_Exit</v>
      </c>
      <c r="AD1995" t="str">
        <f t="shared" si="662"/>
        <v>Zone_Entry</v>
      </c>
      <c r="AE1995" t="str">
        <f t="shared" si="663"/>
        <v>ZoneEntry-CausedTurnover</v>
      </c>
      <c r="AF1995" t="str">
        <f t="shared" si="666"/>
        <v>Offensive</v>
      </c>
      <c r="AG1995">
        <f t="shared" si="672"/>
        <v>18981</v>
      </c>
      <c r="AH1995" t="str">
        <f t="shared" si="673"/>
        <v>Nelson</v>
      </c>
      <c r="AI1995" t="str">
        <f t="shared" si="674"/>
        <v>Velodrome</v>
      </c>
      <c r="AJ1995" s="18">
        <f t="shared" si="667"/>
        <v>1</v>
      </c>
      <c r="AP1995" s="18">
        <f t="shared" si="668"/>
        <v>0</v>
      </c>
      <c r="AQ1995">
        <f t="shared" si="669"/>
        <v>2160</v>
      </c>
      <c r="AR1995" s="23">
        <f t="shared" si="670"/>
        <v>2572</v>
      </c>
      <c r="AS1995">
        <f t="shared" si="675"/>
        <v>2567</v>
      </c>
      <c r="AT1995" s="21">
        <f t="shared" si="676"/>
        <v>2573</v>
      </c>
      <c r="AU1995" s="21"/>
      <c r="AV1995" s="21"/>
      <c r="AW1995" s="21"/>
    </row>
    <row r="1996" spans="1:49" x14ac:dyDescent="0.2">
      <c r="A1996">
        <v>1050</v>
      </c>
      <c r="E1996">
        <f t="shared" si="671"/>
        <v>3</v>
      </c>
      <c r="J1996" t="str">
        <f t="shared" si="678"/>
        <v>11</v>
      </c>
      <c r="K1996" t="str">
        <f t="shared" si="679"/>
        <v>08</v>
      </c>
      <c r="L1996" t="str">
        <f t="shared" si="680"/>
        <v>11</v>
      </c>
      <c r="M1996" s="6" t="str">
        <f t="shared" si="681"/>
        <v>07</v>
      </c>
      <c r="N1996" t="str">
        <f t="shared" si="677"/>
        <v>Away</v>
      </c>
      <c r="O1996">
        <v>80</v>
      </c>
      <c r="P1996" t="s">
        <v>425</v>
      </c>
      <c r="Y1996" t="str">
        <f t="shared" si="664"/>
        <v/>
      </c>
      <c r="Z1996" t="str">
        <f t="shared" si="665"/>
        <v/>
      </c>
      <c r="AC1996" t="str">
        <f t="shared" si="661"/>
        <v>Zone_Entry_Exit</v>
      </c>
      <c r="AD1996" t="str">
        <f t="shared" si="662"/>
        <v>Zone_Entry</v>
      </c>
      <c r="AE1996" t="str">
        <f t="shared" si="663"/>
        <v>ZoneEntry-CausedTurnover</v>
      </c>
      <c r="AF1996" t="str">
        <f t="shared" si="666"/>
        <v>Defensive</v>
      </c>
      <c r="AG1996">
        <f t="shared" si="672"/>
        <v>18981</v>
      </c>
      <c r="AH1996" t="str">
        <f t="shared" si="673"/>
        <v>Nelson</v>
      </c>
      <c r="AI1996" t="str">
        <f t="shared" si="674"/>
        <v>Velodrome</v>
      </c>
      <c r="AJ1996" s="18">
        <f t="shared" si="667"/>
        <v>1</v>
      </c>
      <c r="AP1996" s="18">
        <f t="shared" si="668"/>
        <v>0</v>
      </c>
      <c r="AQ1996">
        <f t="shared" si="669"/>
        <v>2160</v>
      </c>
      <c r="AR1996" s="23">
        <f t="shared" si="670"/>
        <v>2572</v>
      </c>
      <c r="AS1996">
        <f t="shared" si="675"/>
        <v>2567</v>
      </c>
      <c r="AT1996" s="21">
        <f t="shared" si="676"/>
        <v>2573</v>
      </c>
      <c r="AU1996" s="21"/>
      <c r="AV1996" s="21"/>
      <c r="AW1996" s="21"/>
    </row>
    <row r="1997" spans="1:49" x14ac:dyDescent="0.2">
      <c r="A1997">
        <v>1051</v>
      </c>
      <c r="E1997">
        <f t="shared" si="671"/>
        <v>3</v>
      </c>
      <c r="F1997" s="5" t="s">
        <v>486</v>
      </c>
      <c r="G1997" s="5" t="s">
        <v>482</v>
      </c>
      <c r="J1997" t="str">
        <f t="shared" si="678"/>
        <v>11</v>
      </c>
      <c r="K1997" t="str">
        <f t="shared" si="679"/>
        <v>07</v>
      </c>
      <c r="L1997" t="str">
        <f t="shared" si="680"/>
        <v/>
      </c>
      <c r="M1997" s="6" t="str">
        <f t="shared" si="681"/>
        <v/>
      </c>
      <c r="N1997" t="s">
        <v>178</v>
      </c>
      <c r="O1997">
        <v>8</v>
      </c>
      <c r="P1997" t="s">
        <v>424</v>
      </c>
      <c r="Q1997" t="s">
        <v>10</v>
      </c>
      <c r="R1997" t="s">
        <v>200</v>
      </c>
      <c r="S1997" t="s">
        <v>82</v>
      </c>
      <c r="Y1997" t="str">
        <f t="shared" si="664"/>
        <v/>
      </c>
      <c r="Z1997" t="str">
        <f t="shared" si="665"/>
        <v/>
      </c>
      <c r="AC1997" t="str">
        <f t="shared" si="661"/>
        <v>Turnover</v>
      </c>
      <c r="AD1997" t="str">
        <f t="shared" si="662"/>
        <v>Turnover_Takeaway</v>
      </c>
      <c r="AE1997" t="str">
        <f t="shared" si="663"/>
        <v>Takeaway-PokeCheck</v>
      </c>
      <c r="AF1997" t="str">
        <f t="shared" si="666"/>
        <v>Defensive</v>
      </c>
      <c r="AG1997">
        <f t="shared" si="672"/>
        <v>18981</v>
      </c>
      <c r="AH1997" t="str">
        <f t="shared" si="673"/>
        <v>Nelson</v>
      </c>
      <c r="AI1997" t="str">
        <f t="shared" si="674"/>
        <v>Velodrome</v>
      </c>
      <c r="AJ1997" s="18">
        <f t="shared" si="667"/>
        <v>0</v>
      </c>
      <c r="AP1997" s="18">
        <f t="shared" si="668"/>
        <v>0</v>
      </c>
      <c r="AQ1997">
        <f t="shared" si="669"/>
        <v>2160</v>
      </c>
      <c r="AR1997" s="23">
        <f t="shared" si="670"/>
        <v>2573</v>
      </c>
      <c r="AS1997">
        <f t="shared" si="675"/>
        <v>2568</v>
      </c>
      <c r="AT1997" s="21">
        <f t="shared" si="676"/>
        <v>2573</v>
      </c>
      <c r="AU1997" s="21"/>
      <c r="AV1997" s="21"/>
      <c r="AW1997" s="21"/>
    </row>
    <row r="1998" spans="1:49" x14ac:dyDescent="0.2">
      <c r="A1998">
        <v>1051</v>
      </c>
      <c r="E1998">
        <f t="shared" si="671"/>
        <v>3</v>
      </c>
      <c r="J1998" t="str">
        <f t="shared" si="678"/>
        <v>11</v>
      </c>
      <c r="K1998" t="str">
        <f t="shared" si="679"/>
        <v>07</v>
      </c>
      <c r="L1998" t="str">
        <f t="shared" si="680"/>
        <v/>
      </c>
      <c r="M1998" s="6" t="str">
        <f t="shared" si="681"/>
        <v/>
      </c>
      <c r="N1998" t="str">
        <f t="shared" si="677"/>
        <v>Home</v>
      </c>
      <c r="O1998">
        <v>49</v>
      </c>
      <c r="P1998" t="s">
        <v>425</v>
      </c>
      <c r="Y1998" t="str">
        <f t="shared" si="664"/>
        <v/>
      </c>
      <c r="Z1998" t="str">
        <f t="shared" si="665"/>
        <v/>
      </c>
      <c r="AC1998" t="str">
        <f t="shared" si="661"/>
        <v>Turnover</v>
      </c>
      <c r="AD1998" t="str">
        <f t="shared" si="662"/>
        <v>Turnover_Takeaway</v>
      </c>
      <c r="AE1998" t="str">
        <f t="shared" si="663"/>
        <v>Takeaway-PokeCheck</v>
      </c>
      <c r="AF1998" t="str">
        <f t="shared" si="666"/>
        <v>Offensive</v>
      </c>
      <c r="AG1998">
        <f t="shared" si="672"/>
        <v>18981</v>
      </c>
      <c r="AH1998" t="str">
        <f t="shared" si="673"/>
        <v>Nelson</v>
      </c>
      <c r="AI1998" t="str">
        <f t="shared" si="674"/>
        <v>Velodrome</v>
      </c>
      <c r="AJ1998" s="18">
        <f t="shared" si="667"/>
        <v>0</v>
      </c>
      <c r="AP1998" s="18">
        <f t="shared" si="668"/>
        <v>0</v>
      </c>
      <c r="AQ1998">
        <f t="shared" si="669"/>
        <v>2160</v>
      </c>
      <c r="AR1998" s="23">
        <f t="shared" si="670"/>
        <v>2573</v>
      </c>
      <c r="AS1998">
        <f t="shared" si="675"/>
        <v>2568</v>
      </c>
      <c r="AT1998" s="21">
        <f t="shared" si="676"/>
        <v>2573</v>
      </c>
      <c r="AU1998" s="21"/>
      <c r="AV1998" s="21"/>
      <c r="AW1998" s="21"/>
    </row>
    <row r="1999" spans="1:49" x14ac:dyDescent="0.2">
      <c r="A1999">
        <v>1052</v>
      </c>
      <c r="E1999">
        <f t="shared" si="671"/>
        <v>3</v>
      </c>
      <c r="F1999" s="5" t="s">
        <v>486</v>
      </c>
      <c r="G1999" s="5" t="s">
        <v>473</v>
      </c>
      <c r="J1999" t="str">
        <f t="shared" si="678"/>
        <v>11</v>
      </c>
      <c r="K1999" t="str">
        <f t="shared" si="679"/>
        <v>03</v>
      </c>
      <c r="L1999" t="str">
        <f t="shared" si="680"/>
        <v/>
      </c>
      <c r="M1999" s="6" t="str">
        <f t="shared" si="681"/>
        <v/>
      </c>
      <c r="N1999" t="s">
        <v>178</v>
      </c>
      <c r="O1999">
        <v>79</v>
      </c>
      <c r="P1999" t="s">
        <v>424</v>
      </c>
      <c r="Q1999" t="s">
        <v>8</v>
      </c>
      <c r="R1999" t="s">
        <v>189</v>
      </c>
      <c r="S1999" t="s">
        <v>438</v>
      </c>
      <c r="Y1999" t="str">
        <f t="shared" si="664"/>
        <v/>
      </c>
      <c r="Z1999" t="str">
        <f t="shared" si="665"/>
        <v/>
      </c>
      <c r="AC1999" t="str">
        <f t="shared" si="661"/>
        <v>Pass</v>
      </c>
      <c r="AD1999" t="str">
        <f t="shared" si="662"/>
        <v>Pass_Completed</v>
      </c>
      <c r="AE1999" t="str">
        <f t="shared" si="663"/>
        <v>Pass-Lob</v>
      </c>
      <c r="AF1999" t="str">
        <f t="shared" si="666"/>
        <v>Offensive</v>
      </c>
      <c r="AG1999">
        <f t="shared" si="672"/>
        <v>18981</v>
      </c>
      <c r="AH1999" t="str">
        <f t="shared" si="673"/>
        <v>Nelson</v>
      </c>
      <c r="AI1999" t="str">
        <f t="shared" si="674"/>
        <v>Velodrome</v>
      </c>
      <c r="AJ1999" s="18">
        <f t="shared" si="667"/>
        <v>0</v>
      </c>
      <c r="AP1999" s="18">
        <f t="shared" si="668"/>
        <v>0</v>
      </c>
      <c r="AQ1999">
        <f t="shared" si="669"/>
        <v>2160</v>
      </c>
      <c r="AR1999" s="23">
        <f t="shared" si="670"/>
        <v>2577</v>
      </c>
      <c r="AS1999">
        <f t="shared" si="675"/>
        <v>2572</v>
      </c>
      <c r="AT1999" s="21">
        <f t="shared" si="676"/>
        <v>2577</v>
      </c>
      <c r="AU1999" s="21"/>
      <c r="AV1999" s="21"/>
      <c r="AW1999" s="21"/>
    </row>
    <row r="2000" spans="1:49" x14ac:dyDescent="0.2">
      <c r="A2000">
        <v>1052</v>
      </c>
      <c r="E2000">
        <f t="shared" si="671"/>
        <v>3</v>
      </c>
      <c r="J2000" t="str">
        <f t="shared" si="678"/>
        <v>11</v>
      </c>
      <c r="K2000" t="str">
        <f t="shared" si="679"/>
        <v>03</v>
      </c>
      <c r="L2000" t="str">
        <f t="shared" si="680"/>
        <v/>
      </c>
      <c r="M2000" s="6" t="str">
        <f t="shared" si="681"/>
        <v/>
      </c>
      <c r="N2000" t="str">
        <f t="shared" si="677"/>
        <v>Home</v>
      </c>
      <c r="O2000">
        <v>16</v>
      </c>
      <c r="P2000" t="s">
        <v>424</v>
      </c>
      <c r="Y2000" t="str">
        <f t="shared" si="664"/>
        <v/>
      </c>
      <c r="Z2000" t="str">
        <f t="shared" si="665"/>
        <v/>
      </c>
      <c r="AC2000" t="str">
        <f t="shared" si="661"/>
        <v>Pass</v>
      </c>
      <c r="AD2000" t="str">
        <f t="shared" si="662"/>
        <v>Pass_Completed</v>
      </c>
      <c r="AE2000" t="str">
        <f t="shared" si="663"/>
        <v>Pass-Lob</v>
      </c>
      <c r="AF2000" t="str">
        <f t="shared" si="666"/>
        <v>Offensive</v>
      </c>
      <c r="AG2000">
        <f t="shared" si="672"/>
        <v>18981</v>
      </c>
      <c r="AH2000" t="str">
        <f t="shared" si="673"/>
        <v>Nelson</v>
      </c>
      <c r="AI2000" t="str">
        <f t="shared" si="674"/>
        <v>Velodrome</v>
      </c>
      <c r="AJ2000" s="18">
        <f t="shared" si="667"/>
        <v>0</v>
      </c>
      <c r="AP2000" s="18">
        <f t="shared" si="668"/>
        <v>0</v>
      </c>
      <c r="AQ2000">
        <f t="shared" si="669"/>
        <v>2160</v>
      </c>
      <c r="AR2000" s="23">
        <f t="shared" si="670"/>
        <v>2577</v>
      </c>
      <c r="AS2000">
        <f t="shared" si="675"/>
        <v>2572</v>
      </c>
      <c r="AT2000" s="21">
        <f t="shared" si="676"/>
        <v>2577</v>
      </c>
      <c r="AU2000" s="21"/>
      <c r="AV2000" s="21"/>
      <c r="AW2000" s="21"/>
    </row>
    <row r="2001" spans="1:49" x14ac:dyDescent="0.2">
      <c r="A2001">
        <v>1053</v>
      </c>
      <c r="E2001">
        <f t="shared" si="671"/>
        <v>3</v>
      </c>
      <c r="F2001" s="5" t="s">
        <v>486</v>
      </c>
      <c r="G2001" s="5" t="s">
        <v>473</v>
      </c>
      <c r="J2001" t="str">
        <f t="shared" si="678"/>
        <v>11</v>
      </c>
      <c r="K2001" t="str">
        <f t="shared" si="679"/>
        <v>03</v>
      </c>
      <c r="L2001" t="str">
        <f t="shared" si="680"/>
        <v/>
      </c>
      <c r="M2001" s="6" t="str">
        <f t="shared" si="681"/>
        <v/>
      </c>
      <c r="N2001" t="s">
        <v>178</v>
      </c>
      <c r="O2001">
        <v>79</v>
      </c>
      <c r="P2001" t="s">
        <v>424</v>
      </c>
      <c r="Q2001" t="s">
        <v>277</v>
      </c>
      <c r="R2001" t="s">
        <v>201</v>
      </c>
      <c r="S2001" t="s">
        <v>437</v>
      </c>
      <c r="Y2001" t="str">
        <f t="shared" si="664"/>
        <v/>
      </c>
      <c r="Z2001" t="str">
        <f t="shared" si="665"/>
        <v/>
      </c>
      <c r="AC2001" t="str">
        <f t="shared" si="661"/>
        <v>Zone_Entry_Exit</v>
      </c>
      <c r="AD2001" t="str">
        <f t="shared" si="662"/>
        <v>Zone_Exit</v>
      </c>
      <c r="AE2001" t="str">
        <f t="shared" si="663"/>
        <v>ZoneExit-Lob</v>
      </c>
      <c r="AF2001" t="str">
        <f t="shared" si="666"/>
        <v>Offensive</v>
      </c>
      <c r="AG2001">
        <f t="shared" si="672"/>
        <v>18981</v>
      </c>
      <c r="AH2001" t="str">
        <f t="shared" si="673"/>
        <v>Nelson</v>
      </c>
      <c r="AI2001" t="str">
        <f t="shared" si="674"/>
        <v>Velodrome</v>
      </c>
      <c r="AJ2001" s="18">
        <f t="shared" si="667"/>
        <v>0</v>
      </c>
      <c r="AP2001" s="18">
        <f t="shared" si="668"/>
        <v>0</v>
      </c>
      <c r="AQ2001">
        <f t="shared" si="669"/>
        <v>2160</v>
      </c>
      <c r="AR2001" s="23">
        <f t="shared" si="670"/>
        <v>2577</v>
      </c>
      <c r="AS2001">
        <f t="shared" si="675"/>
        <v>2572</v>
      </c>
      <c r="AT2001" s="21">
        <f t="shared" si="676"/>
        <v>2577</v>
      </c>
      <c r="AU2001" s="21"/>
      <c r="AV2001" s="21"/>
      <c r="AW2001" s="21"/>
    </row>
    <row r="2002" spans="1:49" x14ac:dyDescent="0.2">
      <c r="A2002">
        <v>1053</v>
      </c>
      <c r="E2002">
        <f t="shared" si="671"/>
        <v>3</v>
      </c>
      <c r="J2002" t="str">
        <f t="shared" si="678"/>
        <v>11</v>
      </c>
      <c r="K2002" t="str">
        <f t="shared" si="679"/>
        <v>03</v>
      </c>
      <c r="L2002" t="str">
        <f t="shared" si="680"/>
        <v/>
      </c>
      <c r="M2002" s="6" t="str">
        <f t="shared" si="681"/>
        <v/>
      </c>
      <c r="N2002" t="str">
        <f t="shared" si="677"/>
        <v>Home</v>
      </c>
      <c r="O2002">
        <v>16</v>
      </c>
      <c r="P2002" t="s">
        <v>424</v>
      </c>
      <c r="Y2002" t="str">
        <f t="shared" si="664"/>
        <v/>
      </c>
      <c r="Z2002" t="str">
        <f t="shared" si="665"/>
        <v/>
      </c>
      <c r="AC2002" t="str">
        <f t="shared" si="661"/>
        <v>Zone_Entry_Exit</v>
      </c>
      <c r="AD2002" t="str">
        <f t="shared" si="662"/>
        <v>Zone_Exit</v>
      </c>
      <c r="AE2002" t="str">
        <f t="shared" si="663"/>
        <v>ZoneExit-Lob</v>
      </c>
      <c r="AF2002" t="str">
        <f t="shared" si="666"/>
        <v>Offensive</v>
      </c>
      <c r="AG2002">
        <f t="shared" si="672"/>
        <v>18981</v>
      </c>
      <c r="AH2002" t="str">
        <f t="shared" si="673"/>
        <v>Nelson</v>
      </c>
      <c r="AI2002" t="str">
        <f t="shared" si="674"/>
        <v>Velodrome</v>
      </c>
      <c r="AJ2002" s="18">
        <f t="shared" si="667"/>
        <v>0</v>
      </c>
      <c r="AP2002" s="18">
        <f t="shared" si="668"/>
        <v>0</v>
      </c>
      <c r="AQ2002">
        <f t="shared" si="669"/>
        <v>2160</v>
      </c>
      <c r="AR2002" s="23">
        <f t="shared" si="670"/>
        <v>2577</v>
      </c>
      <c r="AS2002">
        <f t="shared" si="675"/>
        <v>2572</v>
      </c>
      <c r="AT2002" s="21">
        <f t="shared" si="676"/>
        <v>2577</v>
      </c>
      <c r="AU2002" s="21"/>
      <c r="AV2002" s="21"/>
      <c r="AW2002" s="21"/>
    </row>
    <row r="2003" spans="1:49" x14ac:dyDescent="0.2">
      <c r="A2003">
        <v>1054</v>
      </c>
      <c r="E2003">
        <f t="shared" si="671"/>
        <v>3</v>
      </c>
      <c r="F2003" s="5" t="s">
        <v>486</v>
      </c>
      <c r="G2003" s="5" t="s">
        <v>473</v>
      </c>
      <c r="J2003" t="str">
        <f t="shared" si="678"/>
        <v>11</v>
      </c>
      <c r="K2003" t="str">
        <f t="shared" si="679"/>
        <v>03</v>
      </c>
      <c r="L2003" t="str">
        <f t="shared" si="680"/>
        <v/>
      </c>
      <c r="M2003" s="6" t="str">
        <f t="shared" si="681"/>
        <v/>
      </c>
      <c r="N2003" t="s">
        <v>178</v>
      </c>
      <c r="O2003">
        <v>79</v>
      </c>
      <c r="P2003" t="s">
        <v>424</v>
      </c>
      <c r="Q2003" t="s">
        <v>277</v>
      </c>
      <c r="R2003" t="s">
        <v>191</v>
      </c>
      <c r="S2003" t="s">
        <v>432</v>
      </c>
      <c r="Y2003" t="str">
        <f t="shared" si="664"/>
        <v/>
      </c>
      <c r="Z2003" t="str">
        <f t="shared" si="665"/>
        <v/>
      </c>
      <c r="AC2003" t="str">
        <f t="shared" si="661"/>
        <v>Zone_Entry_Exit</v>
      </c>
      <c r="AD2003" t="str">
        <f t="shared" si="662"/>
        <v>Zone_Entry</v>
      </c>
      <c r="AE2003" t="str">
        <f t="shared" si="663"/>
        <v>ZoneEntry-FromExitClear</v>
      </c>
      <c r="AF2003" t="str">
        <f t="shared" si="666"/>
        <v>Offensive</v>
      </c>
      <c r="AG2003">
        <f t="shared" si="672"/>
        <v>18981</v>
      </c>
      <c r="AH2003" t="str">
        <f t="shared" si="673"/>
        <v>Nelson</v>
      </c>
      <c r="AI2003" t="str">
        <f t="shared" si="674"/>
        <v>Velodrome</v>
      </c>
      <c r="AJ2003" s="18">
        <f t="shared" si="667"/>
        <v>0</v>
      </c>
      <c r="AP2003" s="18">
        <f t="shared" si="668"/>
        <v>0</v>
      </c>
      <c r="AQ2003">
        <f t="shared" si="669"/>
        <v>2160</v>
      </c>
      <c r="AR2003" s="23">
        <f t="shared" si="670"/>
        <v>2577</v>
      </c>
      <c r="AS2003">
        <f t="shared" si="675"/>
        <v>2572</v>
      </c>
      <c r="AT2003" s="21">
        <f t="shared" si="676"/>
        <v>2577</v>
      </c>
      <c r="AU2003" s="21"/>
      <c r="AV2003" s="21"/>
      <c r="AW2003" s="21"/>
    </row>
    <row r="2004" spans="1:49" x14ac:dyDescent="0.2">
      <c r="A2004">
        <v>1055</v>
      </c>
      <c r="E2004">
        <f t="shared" si="671"/>
        <v>3</v>
      </c>
      <c r="F2004" s="5" t="s">
        <v>485</v>
      </c>
      <c r="G2004" s="5" t="s">
        <v>530</v>
      </c>
      <c r="H2004" s="5" t="s">
        <v>485</v>
      </c>
      <c r="I2004" s="7" t="s">
        <v>528</v>
      </c>
      <c r="J2004" t="str">
        <f t="shared" si="678"/>
        <v>10</v>
      </c>
      <c r="K2004" t="str">
        <f t="shared" si="679"/>
        <v>58</v>
      </c>
      <c r="L2004" t="str">
        <f t="shared" si="680"/>
        <v>10</v>
      </c>
      <c r="M2004" s="6" t="str">
        <f t="shared" si="681"/>
        <v>56</v>
      </c>
      <c r="N2004" t="s">
        <v>178</v>
      </c>
      <c r="O2004">
        <v>16</v>
      </c>
      <c r="P2004" t="s">
        <v>424</v>
      </c>
      <c r="Q2004" t="s">
        <v>15</v>
      </c>
      <c r="R2004" t="s">
        <v>545</v>
      </c>
      <c r="Y2004" t="str">
        <f t="shared" si="664"/>
        <v/>
      </c>
      <c r="Z2004" t="str">
        <f t="shared" si="665"/>
        <v/>
      </c>
      <c r="AC2004" t="str">
        <f t="shared" si="661"/>
        <v>Possession</v>
      </c>
      <c r="AD2004" t="str">
        <f t="shared" si="662"/>
        <v>Breakaway</v>
      </c>
      <c r="AE2004" t="str">
        <f t="shared" si="663"/>
        <v/>
      </c>
      <c r="AF2004" t="str">
        <f t="shared" si="666"/>
        <v>Offensive</v>
      </c>
      <c r="AG2004">
        <f t="shared" si="672"/>
        <v>18981</v>
      </c>
      <c r="AH2004" t="str">
        <f t="shared" si="673"/>
        <v>Nelson</v>
      </c>
      <c r="AI2004" t="str">
        <f t="shared" si="674"/>
        <v>Velodrome</v>
      </c>
      <c r="AJ2004" s="18">
        <f t="shared" si="667"/>
        <v>2</v>
      </c>
      <c r="AP2004" s="18">
        <f t="shared" si="668"/>
        <v>0</v>
      </c>
      <c r="AQ2004">
        <f t="shared" si="669"/>
        <v>2160</v>
      </c>
      <c r="AR2004" s="23">
        <f t="shared" si="670"/>
        <v>2582</v>
      </c>
      <c r="AS2004">
        <f t="shared" si="675"/>
        <v>2577</v>
      </c>
      <c r="AT2004" s="21">
        <f t="shared" si="676"/>
        <v>2584</v>
      </c>
      <c r="AU2004" s="21"/>
      <c r="AV2004" s="21"/>
      <c r="AW2004" s="21"/>
    </row>
    <row r="2005" spans="1:49" x14ac:dyDescent="0.2">
      <c r="A2005">
        <v>1056</v>
      </c>
      <c r="E2005">
        <f t="shared" si="671"/>
        <v>3</v>
      </c>
      <c r="F2005" s="5" t="s">
        <v>485</v>
      </c>
      <c r="G2005" s="5" t="s">
        <v>528</v>
      </c>
      <c r="J2005" t="str">
        <f t="shared" si="678"/>
        <v>10</v>
      </c>
      <c r="K2005" t="str">
        <f t="shared" si="679"/>
        <v>56</v>
      </c>
      <c r="L2005" t="str">
        <f t="shared" si="680"/>
        <v/>
      </c>
      <c r="M2005" s="6" t="str">
        <f t="shared" si="681"/>
        <v/>
      </c>
      <c r="N2005" t="s">
        <v>178</v>
      </c>
      <c r="O2005">
        <v>16</v>
      </c>
      <c r="P2005" t="s">
        <v>424</v>
      </c>
      <c r="Q2005" t="s">
        <v>247</v>
      </c>
      <c r="R2005" t="s">
        <v>445</v>
      </c>
      <c r="S2005" t="s">
        <v>574</v>
      </c>
      <c r="Y2005" t="str">
        <f t="shared" si="664"/>
        <v/>
      </c>
      <c r="Z2005" t="str">
        <f t="shared" si="665"/>
        <v/>
      </c>
      <c r="AC2005" t="str">
        <f t="shared" si="661"/>
        <v>Play</v>
      </c>
      <c r="AD2005" t="str">
        <f t="shared" si="662"/>
        <v>Play_Offensive</v>
      </c>
      <c r="AE2005" t="str">
        <f t="shared" si="663"/>
        <v>Play-Deke</v>
      </c>
      <c r="AF2005" t="str">
        <f t="shared" si="666"/>
        <v>Offensive</v>
      </c>
      <c r="AG2005">
        <f t="shared" si="672"/>
        <v>18981</v>
      </c>
      <c r="AH2005" t="str">
        <f t="shared" si="673"/>
        <v>Nelson</v>
      </c>
      <c r="AI2005" t="str">
        <f t="shared" si="674"/>
        <v>Velodrome</v>
      </c>
      <c r="AJ2005" s="18">
        <f t="shared" si="667"/>
        <v>0</v>
      </c>
      <c r="AP2005" s="18">
        <f t="shared" si="668"/>
        <v>0</v>
      </c>
      <c r="AQ2005">
        <f t="shared" si="669"/>
        <v>2160</v>
      </c>
      <c r="AR2005" s="23">
        <f t="shared" si="670"/>
        <v>2584</v>
      </c>
      <c r="AS2005">
        <f t="shared" si="675"/>
        <v>2579</v>
      </c>
      <c r="AT2005" s="21">
        <f t="shared" si="676"/>
        <v>2584</v>
      </c>
      <c r="AU2005" s="21"/>
      <c r="AV2005" s="21"/>
      <c r="AW2005" s="21"/>
    </row>
    <row r="2006" spans="1:49" x14ac:dyDescent="0.2">
      <c r="A2006">
        <v>1057</v>
      </c>
      <c r="E2006">
        <f t="shared" si="671"/>
        <v>3</v>
      </c>
      <c r="F2006" s="5" t="s">
        <v>485</v>
      </c>
      <c r="G2006" s="5" t="s">
        <v>528</v>
      </c>
      <c r="J2006" t="str">
        <f t="shared" si="678"/>
        <v>10</v>
      </c>
      <c r="K2006" t="str">
        <f t="shared" si="679"/>
        <v>56</v>
      </c>
      <c r="L2006" t="str">
        <f t="shared" si="680"/>
        <v/>
      </c>
      <c r="M2006" s="6" t="str">
        <f t="shared" si="681"/>
        <v/>
      </c>
      <c r="N2006" t="s">
        <v>178</v>
      </c>
      <c r="O2006">
        <v>16</v>
      </c>
      <c r="P2006" t="s">
        <v>424</v>
      </c>
      <c r="Q2006" t="s">
        <v>7</v>
      </c>
      <c r="R2006" t="s">
        <v>222</v>
      </c>
      <c r="S2006" t="s">
        <v>61</v>
      </c>
      <c r="Y2006" t="str">
        <f t="shared" si="664"/>
        <v/>
      </c>
      <c r="Z2006" t="str">
        <f t="shared" si="665"/>
        <v/>
      </c>
      <c r="AC2006" t="str">
        <f t="shared" si="661"/>
        <v>Shot</v>
      </c>
      <c r="AD2006" t="str">
        <f t="shared" si="662"/>
        <v>Shot_OnNetSaved</v>
      </c>
      <c r="AE2006" t="str">
        <f t="shared" si="663"/>
        <v>Shot-Poke</v>
      </c>
      <c r="AF2006" t="str">
        <f t="shared" si="666"/>
        <v>Offensive</v>
      </c>
      <c r="AG2006">
        <f t="shared" si="672"/>
        <v>18981</v>
      </c>
      <c r="AH2006" t="str">
        <f t="shared" si="673"/>
        <v>Nelson</v>
      </c>
      <c r="AI2006" t="str">
        <f t="shared" si="674"/>
        <v>Velodrome</v>
      </c>
      <c r="AJ2006" s="18">
        <f t="shared" si="667"/>
        <v>0</v>
      </c>
      <c r="AP2006" s="18">
        <f t="shared" si="668"/>
        <v>0</v>
      </c>
      <c r="AQ2006">
        <f t="shared" si="669"/>
        <v>2160</v>
      </c>
      <c r="AR2006" s="23">
        <f t="shared" si="670"/>
        <v>2584</v>
      </c>
      <c r="AS2006">
        <f t="shared" si="675"/>
        <v>2579</v>
      </c>
      <c r="AT2006" s="21">
        <f t="shared" si="676"/>
        <v>2584</v>
      </c>
      <c r="AU2006" s="21"/>
      <c r="AV2006" s="21"/>
      <c r="AW2006" s="21"/>
    </row>
    <row r="2007" spans="1:49" x14ac:dyDescent="0.2">
      <c r="A2007">
        <v>1057</v>
      </c>
      <c r="E2007">
        <f t="shared" si="671"/>
        <v>3</v>
      </c>
      <c r="J2007" t="str">
        <f t="shared" si="678"/>
        <v>10</v>
      </c>
      <c r="K2007" t="str">
        <f t="shared" si="679"/>
        <v>56</v>
      </c>
      <c r="L2007" t="str">
        <f t="shared" si="680"/>
        <v/>
      </c>
      <c r="M2007" s="6" t="str">
        <f t="shared" si="681"/>
        <v/>
      </c>
      <c r="N2007" t="str">
        <f t="shared" si="677"/>
        <v>Home</v>
      </c>
      <c r="O2007">
        <v>39</v>
      </c>
      <c r="P2007" t="s">
        <v>425</v>
      </c>
      <c r="Y2007" t="str">
        <f t="shared" si="664"/>
        <v/>
      </c>
      <c r="Z2007" t="str">
        <f t="shared" si="665"/>
        <v/>
      </c>
      <c r="AC2007" t="str">
        <f t="shared" si="661"/>
        <v>Shot</v>
      </c>
      <c r="AD2007" t="str">
        <f t="shared" si="662"/>
        <v>Shot_OnNetSaved</v>
      </c>
      <c r="AE2007" t="str">
        <f t="shared" si="663"/>
        <v>Shot-Poke</v>
      </c>
      <c r="AF2007" t="str">
        <f t="shared" si="666"/>
        <v>Defensive</v>
      </c>
      <c r="AG2007">
        <f t="shared" si="672"/>
        <v>18981</v>
      </c>
      <c r="AH2007" t="str">
        <f t="shared" si="673"/>
        <v>Nelson</v>
      </c>
      <c r="AI2007" t="str">
        <f t="shared" si="674"/>
        <v>Velodrome</v>
      </c>
      <c r="AJ2007" s="18">
        <f t="shared" si="667"/>
        <v>0</v>
      </c>
      <c r="AP2007" s="18">
        <f t="shared" si="668"/>
        <v>0</v>
      </c>
      <c r="AQ2007">
        <f t="shared" si="669"/>
        <v>2160</v>
      </c>
      <c r="AR2007" s="23">
        <f t="shared" si="670"/>
        <v>2584</v>
      </c>
      <c r="AS2007">
        <f t="shared" si="675"/>
        <v>2579</v>
      </c>
      <c r="AT2007" s="21">
        <f t="shared" si="676"/>
        <v>2584</v>
      </c>
      <c r="AU2007" s="21"/>
      <c r="AV2007" s="21"/>
      <c r="AW2007" s="21"/>
    </row>
    <row r="2008" spans="1:49" x14ac:dyDescent="0.2">
      <c r="A2008">
        <v>1058</v>
      </c>
      <c r="E2008">
        <f t="shared" si="671"/>
        <v>3</v>
      </c>
      <c r="F2008" s="5" t="s">
        <v>485</v>
      </c>
      <c r="G2008" s="5" t="s">
        <v>528</v>
      </c>
      <c r="J2008" t="str">
        <f t="shared" si="678"/>
        <v>10</v>
      </c>
      <c r="K2008" t="str">
        <f t="shared" si="679"/>
        <v>56</v>
      </c>
      <c r="L2008" t="str">
        <f t="shared" si="680"/>
        <v/>
      </c>
      <c r="M2008" s="6" t="str">
        <f t="shared" si="681"/>
        <v/>
      </c>
      <c r="N2008" t="s">
        <v>179</v>
      </c>
      <c r="O2008">
        <v>39</v>
      </c>
      <c r="P2008" t="s">
        <v>424</v>
      </c>
      <c r="Q2008" t="s">
        <v>17</v>
      </c>
      <c r="R2008" t="s">
        <v>196</v>
      </c>
      <c r="S2008" t="s">
        <v>98</v>
      </c>
      <c r="Y2008" t="str">
        <f t="shared" si="664"/>
        <v/>
      </c>
      <c r="Z2008" t="str">
        <f t="shared" si="665"/>
        <v/>
      </c>
      <c r="AC2008" t="str">
        <f t="shared" si="661"/>
        <v>Save</v>
      </c>
      <c r="AD2008" t="str">
        <f t="shared" si="662"/>
        <v>Save_Rebound</v>
      </c>
      <c r="AE2008" t="str">
        <f t="shared" si="663"/>
        <v>Save-LeftPad</v>
      </c>
      <c r="AF2008" t="str">
        <f t="shared" si="666"/>
        <v>Defensive</v>
      </c>
      <c r="AG2008">
        <f t="shared" si="672"/>
        <v>18981</v>
      </c>
      <c r="AH2008" t="str">
        <f t="shared" si="673"/>
        <v>Nelson</v>
      </c>
      <c r="AI2008" t="str">
        <f t="shared" si="674"/>
        <v>Velodrome</v>
      </c>
      <c r="AJ2008" s="18">
        <f t="shared" si="667"/>
        <v>0</v>
      </c>
      <c r="AP2008" s="18">
        <f t="shared" si="668"/>
        <v>0</v>
      </c>
      <c r="AQ2008">
        <f t="shared" si="669"/>
        <v>2160</v>
      </c>
      <c r="AR2008" s="23">
        <f t="shared" si="670"/>
        <v>2584</v>
      </c>
      <c r="AS2008">
        <f t="shared" si="675"/>
        <v>2579</v>
      </c>
      <c r="AT2008" s="21">
        <f t="shared" si="676"/>
        <v>2584</v>
      </c>
      <c r="AU2008" s="21"/>
      <c r="AV2008" s="21"/>
      <c r="AW2008" s="21"/>
    </row>
    <row r="2009" spans="1:49" x14ac:dyDescent="0.2">
      <c r="A2009">
        <v>1058</v>
      </c>
      <c r="E2009">
        <f t="shared" si="671"/>
        <v>3</v>
      </c>
      <c r="J2009" t="str">
        <f t="shared" si="678"/>
        <v>10</v>
      </c>
      <c r="K2009" t="str">
        <f t="shared" si="679"/>
        <v>56</v>
      </c>
      <c r="L2009" t="str">
        <f t="shared" si="680"/>
        <v/>
      </c>
      <c r="M2009" s="6" t="str">
        <f t="shared" si="681"/>
        <v/>
      </c>
      <c r="N2009" t="str">
        <f t="shared" si="677"/>
        <v>Away</v>
      </c>
      <c r="O2009">
        <v>16</v>
      </c>
      <c r="P2009" t="s">
        <v>425</v>
      </c>
      <c r="Y2009" t="str">
        <f t="shared" si="664"/>
        <v/>
      </c>
      <c r="Z2009" t="str">
        <f t="shared" si="665"/>
        <v/>
      </c>
      <c r="AC2009" t="str">
        <f t="shared" si="661"/>
        <v>Save</v>
      </c>
      <c r="AD2009" t="str">
        <f t="shared" si="662"/>
        <v>Save_Rebound</v>
      </c>
      <c r="AE2009" t="str">
        <f t="shared" si="663"/>
        <v>Save-LeftPad</v>
      </c>
      <c r="AF2009" t="str">
        <f t="shared" si="666"/>
        <v>Offensive</v>
      </c>
      <c r="AG2009">
        <f t="shared" si="672"/>
        <v>18981</v>
      </c>
      <c r="AH2009" t="str">
        <f t="shared" si="673"/>
        <v>Nelson</v>
      </c>
      <c r="AI2009" t="str">
        <f t="shared" si="674"/>
        <v>Velodrome</v>
      </c>
      <c r="AJ2009" s="18">
        <f t="shared" si="667"/>
        <v>0</v>
      </c>
      <c r="AP2009" s="18">
        <f t="shared" si="668"/>
        <v>0</v>
      </c>
      <c r="AQ2009">
        <f t="shared" si="669"/>
        <v>2160</v>
      </c>
      <c r="AR2009" s="23">
        <f t="shared" si="670"/>
        <v>2584</v>
      </c>
      <c r="AS2009">
        <f t="shared" si="675"/>
        <v>2579</v>
      </c>
      <c r="AT2009" s="21">
        <f t="shared" si="676"/>
        <v>2584</v>
      </c>
      <c r="AU2009" s="21"/>
      <c r="AV2009" s="21"/>
      <c r="AW2009" s="21"/>
    </row>
    <row r="2010" spans="1:49" x14ac:dyDescent="0.2">
      <c r="A2010">
        <v>1059</v>
      </c>
      <c r="E2010">
        <f t="shared" si="671"/>
        <v>3</v>
      </c>
      <c r="F2010" s="5" t="s">
        <v>485</v>
      </c>
      <c r="G2010" s="5" t="s">
        <v>528</v>
      </c>
      <c r="J2010" t="str">
        <f t="shared" si="678"/>
        <v>10</v>
      </c>
      <c r="K2010" t="str">
        <f t="shared" si="679"/>
        <v>56</v>
      </c>
      <c r="L2010" t="str">
        <f t="shared" si="680"/>
        <v/>
      </c>
      <c r="M2010" s="6" t="str">
        <f t="shared" si="681"/>
        <v/>
      </c>
      <c r="N2010" t="s">
        <v>179</v>
      </c>
      <c r="O2010">
        <v>39</v>
      </c>
      <c r="P2010" t="s">
        <v>424</v>
      </c>
      <c r="Q2010" t="s">
        <v>270</v>
      </c>
      <c r="R2010" t="s">
        <v>272</v>
      </c>
      <c r="Y2010" t="str">
        <f t="shared" si="664"/>
        <v/>
      </c>
      <c r="Z2010" t="str">
        <f t="shared" si="665"/>
        <v/>
      </c>
      <c r="AC2010" t="str">
        <f t="shared" si="661"/>
        <v>Rebound</v>
      </c>
      <c r="AD2010" t="str">
        <f t="shared" si="662"/>
        <v>Rebound_OppTeamRecovered</v>
      </c>
      <c r="AE2010" t="str">
        <f t="shared" si="663"/>
        <v/>
      </c>
      <c r="AF2010" t="str">
        <f t="shared" si="666"/>
        <v>Offensive</v>
      </c>
      <c r="AG2010">
        <f t="shared" si="672"/>
        <v>18981</v>
      </c>
      <c r="AH2010" t="str">
        <f t="shared" si="673"/>
        <v>Nelson</v>
      </c>
      <c r="AI2010" t="str">
        <f t="shared" si="674"/>
        <v>Velodrome</v>
      </c>
      <c r="AJ2010" s="18">
        <f t="shared" si="667"/>
        <v>0</v>
      </c>
      <c r="AP2010" s="18">
        <f t="shared" si="668"/>
        <v>0</v>
      </c>
      <c r="AQ2010">
        <f t="shared" si="669"/>
        <v>2160</v>
      </c>
      <c r="AR2010" s="23">
        <f t="shared" si="670"/>
        <v>2584</v>
      </c>
      <c r="AS2010">
        <f t="shared" si="675"/>
        <v>2579</v>
      </c>
      <c r="AT2010" s="21">
        <f t="shared" si="676"/>
        <v>2584</v>
      </c>
      <c r="AU2010" s="21"/>
      <c r="AV2010" s="21"/>
      <c r="AW2010" s="21"/>
    </row>
    <row r="2011" spans="1:49" x14ac:dyDescent="0.2">
      <c r="A2011">
        <v>1060</v>
      </c>
      <c r="E2011">
        <f t="shared" si="671"/>
        <v>3</v>
      </c>
      <c r="F2011" s="5" t="s">
        <v>485</v>
      </c>
      <c r="G2011" s="5" t="s">
        <v>526</v>
      </c>
      <c r="H2011" s="5" t="s">
        <v>485</v>
      </c>
      <c r="I2011" s="7" t="s">
        <v>522</v>
      </c>
      <c r="J2011" t="str">
        <f t="shared" si="678"/>
        <v>10</v>
      </c>
      <c r="K2011" t="str">
        <f t="shared" si="679"/>
        <v>54</v>
      </c>
      <c r="L2011" t="str">
        <f t="shared" si="680"/>
        <v>10</v>
      </c>
      <c r="M2011" s="6" t="str">
        <f t="shared" si="681"/>
        <v>50</v>
      </c>
      <c r="N2011" t="s">
        <v>178</v>
      </c>
      <c r="O2011">
        <v>80</v>
      </c>
      <c r="P2011" t="s">
        <v>424</v>
      </c>
      <c r="Q2011" t="s">
        <v>15</v>
      </c>
      <c r="Y2011" t="str">
        <f t="shared" si="664"/>
        <v/>
      </c>
      <c r="Z2011" t="str">
        <f t="shared" si="665"/>
        <v/>
      </c>
      <c r="AC2011" t="str">
        <f t="shared" si="661"/>
        <v>Possession</v>
      </c>
      <c r="AD2011" t="str">
        <f t="shared" si="662"/>
        <v/>
      </c>
      <c r="AE2011" t="str">
        <f t="shared" si="663"/>
        <v/>
      </c>
      <c r="AF2011" t="str">
        <f t="shared" si="666"/>
        <v>Offensive</v>
      </c>
      <c r="AG2011">
        <f t="shared" si="672"/>
        <v>18981</v>
      </c>
      <c r="AH2011" t="str">
        <f t="shared" si="673"/>
        <v>Nelson</v>
      </c>
      <c r="AI2011" t="str">
        <f t="shared" si="674"/>
        <v>Velodrome</v>
      </c>
      <c r="AJ2011" s="18">
        <f t="shared" si="667"/>
        <v>4</v>
      </c>
      <c r="AP2011" s="18">
        <f t="shared" si="668"/>
        <v>0</v>
      </c>
      <c r="AQ2011">
        <f t="shared" si="669"/>
        <v>2160</v>
      </c>
      <c r="AR2011" s="23">
        <f t="shared" si="670"/>
        <v>2586</v>
      </c>
      <c r="AS2011">
        <f t="shared" si="675"/>
        <v>2581</v>
      </c>
      <c r="AT2011" s="21">
        <f t="shared" si="676"/>
        <v>2590</v>
      </c>
      <c r="AU2011" s="21"/>
      <c r="AV2011" s="21"/>
      <c r="AW2011" s="21"/>
    </row>
    <row r="2012" spans="1:49" x14ac:dyDescent="0.2">
      <c r="A2012">
        <v>1060</v>
      </c>
      <c r="E2012">
        <f t="shared" si="671"/>
        <v>3</v>
      </c>
      <c r="J2012" t="str">
        <f t="shared" si="678"/>
        <v>10</v>
      </c>
      <c r="K2012" t="str">
        <f t="shared" si="679"/>
        <v>54</v>
      </c>
      <c r="L2012" t="str">
        <f t="shared" si="680"/>
        <v>10</v>
      </c>
      <c r="M2012" s="6" t="str">
        <f t="shared" si="681"/>
        <v>50</v>
      </c>
      <c r="N2012" t="str">
        <f t="shared" si="677"/>
        <v>Home</v>
      </c>
      <c r="O2012">
        <v>84</v>
      </c>
      <c r="P2012" t="s">
        <v>425</v>
      </c>
      <c r="Y2012" t="str">
        <f t="shared" si="664"/>
        <v/>
      </c>
      <c r="Z2012" t="str">
        <f t="shared" si="665"/>
        <v/>
      </c>
      <c r="AC2012" t="str">
        <f t="shared" si="661"/>
        <v>Possession</v>
      </c>
      <c r="AD2012" t="str">
        <f t="shared" si="662"/>
        <v/>
      </c>
      <c r="AE2012" t="str">
        <f t="shared" si="663"/>
        <v/>
      </c>
      <c r="AF2012" t="str">
        <f t="shared" si="666"/>
        <v>Defensive</v>
      </c>
      <c r="AG2012">
        <f t="shared" si="672"/>
        <v>18981</v>
      </c>
      <c r="AH2012" t="str">
        <f t="shared" si="673"/>
        <v>Nelson</v>
      </c>
      <c r="AI2012" t="str">
        <f t="shared" si="674"/>
        <v>Velodrome</v>
      </c>
      <c r="AJ2012" s="18">
        <f t="shared" si="667"/>
        <v>4</v>
      </c>
      <c r="AP2012" s="18">
        <f t="shared" si="668"/>
        <v>0</v>
      </c>
      <c r="AQ2012">
        <f t="shared" si="669"/>
        <v>2160</v>
      </c>
      <c r="AR2012" s="23">
        <f t="shared" si="670"/>
        <v>2586</v>
      </c>
      <c r="AS2012">
        <f t="shared" si="675"/>
        <v>2581</v>
      </c>
      <c r="AT2012" s="21">
        <f t="shared" si="676"/>
        <v>2590</v>
      </c>
      <c r="AU2012" s="21"/>
      <c r="AV2012" s="21"/>
      <c r="AW2012" s="21"/>
    </row>
    <row r="2013" spans="1:49" x14ac:dyDescent="0.2">
      <c r="A2013">
        <v>1060</v>
      </c>
      <c r="E2013">
        <f t="shared" si="671"/>
        <v>3</v>
      </c>
      <c r="J2013" t="str">
        <f t="shared" si="678"/>
        <v>10</v>
      </c>
      <c r="K2013" t="str">
        <f t="shared" si="679"/>
        <v>54</v>
      </c>
      <c r="L2013" t="str">
        <f t="shared" si="680"/>
        <v>10</v>
      </c>
      <c r="M2013" s="6" t="str">
        <f t="shared" si="681"/>
        <v>50</v>
      </c>
      <c r="N2013" t="str">
        <f t="shared" si="677"/>
        <v>Home</v>
      </c>
      <c r="O2013">
        <v>49</v>
      </c>
      <c r="P2013" t="s">
        <v>425</v>
      </c>
      <c r="Y2013" t="str">
        <f t="shared" si="664"/>
        <v/>
      </c>
      <c r="Z2013" t="str">
        <f t="shared" si="665"/>
        <v/>
      </c>
      <c r="AC2013" t="str">
        <f t="shared" si="661"/>
        <v>Possession</v>
      </c>
      <c r="AD2013" t="str">
        <f t="shared" si="662"/>
        <v/>
      </c>
      <c r="AE2013" t="str">
        <f t="shared" si="663"/>
        <v/>
      </c>
      <c r="AF2013" t="str">
        <f t="shared" si="666"/>
        <v>Defensive</v>
      </c>
      <c r="AG2013">
        <f t="shared" si="672"/>
        <v>18981</v>
      </c>
      <c r="AH2013" t="str">
        <f t="shared" si="673"/>
        <v>Nelson</v>
      </c>
      <c r="AI2013" t="str">
        <f t="shared" si="674"/>
        <v>Velodrome</v>
      </c>
      <c r="AJ2013" s="18">
        <f t="shared" si="667"/>
        <v>4</v>
      </c>
      <c r="AP2013" s="18">
        <f t="shared" si="668"/>
        <v>0</v>
      </c>
      <c r="AQ2013">
        <f t="shared" si="669"/>
        <v>2160</v>
      </c>
      <c r="AR2013" s="23">
        <f t="shared" si="670"/>
        <v>2586</v>
      </c>
      <c r="AS2013">
        <f t="shared" si="675"/>
        <v>2581</v>
      </c>
      <c r="AT2013" s="21">
        <f t="shared" si="676"/>
        <v>2590</v>
      </c>
      <c r="AU2013" s="21"/>
      <c r="AV2013" s="21"/>
      <c r="AW2013" s="21"/>
    </row>
    <row r="2014" spans="1:49" x14ac:dyDescent="0.2">
      <c r="A2014">
        <v>1061</v>
      </c>
      <c r="E2014">
        <f t="shared" si="671"/>
        <v>3</v>
      </c>
      <c r="F2014" s="5" t="s">
        <v>485</v>
      </c>
      <c r="G2014" s="5" t="s">
        <v>516</v>
      </c>
      <c r="J2014" t="str">
        <f t="shared" si="678"/>
        <v>10</v>
      </c>
      <c r="K2014" t="str">
        <f t="shared" si="679"/>
        <v>44</v>
      </c>
      <c r="L2014" t="str">
        <f t="shared" si="680"/>
        <v/>
      </c>
      <c r="M2014" s="6" t="str">
        <f t="shared" si="681"/>
        <v/>
      </c>
      <c r="N2014" t="s">
        <v>178</v>
      </c>
      <c r="O2014">
        <v>80</v>
      </c>
      <c r="P2014" t="s">
        <v>424</v>
      </c>
      <c r="Q2014" t="s">
        <v>247</v>
      </c>
      <c r="R2014" t="s">
        <v>445</v>
      </c>
      <c r="S2014" t="s">
        <v>558</v>
      </c>
      <c r="Y2014" t="str">
        <f t="shared" si="664"/>
        <v/>
      </c>
      <c r="Z2014" t="str">
        <f t="shared" si="665"/>
        <v/>
      </c>
      <c r="AC2014" t="str">
        <f t="shared" si="661"/>
        <v>Play</v>
      </c>
      <c r="AD2014" t="str">
        <f t="shared" si="662"/>
        <v>Play_Offensive</v>
      </c>
      <c r="AE2014" t="str">
        <f t="shared" si="663"/>
        <v>Play-Dump/RimInZone</v>
      </c>
      <c r="AF2014" t="str">
        <f t="shared" si="666"/>
        <v>Offensive</v>
      </c>
      <c r="AG2014">
        <f t="shared" si="672"/>
        <v>18981</v>
      </c>
      <c r="AH2014" t="str">
        <f t="shared" si="673"/>
        <v>Nelson</v>
      </c>
      <c r="AI2014" t="str">
        <f t="shared" si="674"/>
        <v>Velodrome</v>
      </c>
      <c r="AJ2014" s="18">
        <f t="shared" si="667"/>
        <v>0</v>
      </c>
      <c r="AP2014" s="18">
        <f t="shared" si="668"/>
        <v>0</v>
      </c>
      <c r="AQ2014">
        <f t="shared" si="669"/>
        <v>2160</v>
      </c>
      <c r="AR2014" s="23">
        <f t="shared" si="670"/>
        <v>2596</v>
      </c>
      <c r="AS2014">
        <f t="shared" si="675"/>
        <v>2591</v>
      </c>
      <c r="AT2014" s="21">
        <f t="shared" si="676"/>
        <v>2596</v>
      </c>
      <c r="AU2014" s="21"/>
      <c r="AV2014" s="21"/>
      <c r="AW2014" s="21"/>
    </row>
    <row r="2015" spans="1:49" x14ac:dyDescent="0.2">
      <c r="A2015">
        <v>1062</v>
      </c>
      <c r="E2015">
        <f t="shared" si="671"/>
        <v>3</v>
      </c>
      <c r="F2015" s="5" t="s">
        <v>485</v>
      </c>
      <c r="G2015" s="5" t="s">
        <v>516</v>
      </c>
      <c r="J2015" t="str">
        <f t="shared" si="678"/>
        <v>10</v>
      </c>
      <c r="K2015" t="str">
        <f t="shared" si="679"/>
        <v>44</v>
      </c>
      <c r="L2015" t="str">
        <f t="shared" si="680"/>
        <v/>
      </c>
      <c r="M2015" s="6" t="str">
        <f t="shared" si="681"/>
        <v/>
      </c>
      <c r="N2015" t="s">
        <v>178</v>
      </c>
      <c r="O2015">
        <v>80</v>
      </c>
      <c r="P2015" t="s">
        <v>424</v>
      </c>
      <c r="Q2015" t="s">
        <v>10</v>
      </c>
      <c r="R2015" t="s">
        <v>190</v>
      </c>
      <c r="S2015" t="s">
        <v>448</v>
      </c>
      <c r="Y2015" t="str">
        <f t="shared" si="664"/>
        <v/>
      </c>
      <c r="Z2015" t="str">
        <f t="shared" si="665"/>
        <v/>
      </c>
      <c r="AC2015" t="str">
        <f t="shared" si="661"/>
        <v>Turnover</v>
      </c>
      <c r="AD2015" t="str">
        <f t="shared" si="662"/>
        <v>Turnover_Giveaway</v>
      </c>
      <c r="AE2015" t="str">
        <f t="shared" si="663"/>
        <v>Giveaway-DumpInZone</v>
      </c>
      <c r="AF2015" t="str">
        <f t="shared" si="666"/>
        <v>Offensive</v>
      </c>
      <c r="AG2015">
        <f t="shared" si="672"/>
        <v>18981</v>
      </c>
      <c r="AH2015" t="str">
        <f t="shared" si="673"/>
        <v>Nelson</v>
      </c>
      <c r="AI2015" t="str">
        <f t="shared" si="674"/>
        <v>Velodrome</v>
      </c>
      <c r="AJ2015" s="18">
        <f t="shared" si="667"/>
        <v>0</v>
      </c>
      <c r="AP2015" s="18">
        <f t="shared" si="668"/>
        <v>0</v>
      </c>
      <c r="AQ2015">
        <f t="shared" si="669"/>
        <v>2160</v>
      </c>
      <c r="AR2015" s="23">
        <f t="shared" si="670"/>
        <v>2596</v>
      </c>
      <c r="AS2015">
        <f t="shared" si="675"/>
        <v>2591</v>
      </c>
      <c r="AT2015" s="21">
        <f t="shared" si="676"/>
        <v>2596</v>
      </c>
      <c r="AU2015" s="21"/>
      <c r="AV2015" s="21"/>
      <c r="AW2015" s="21"/>
    </row>
    <row r="2016" spans="1:49" x14ac:dyDescent="0.2">
      <c r="A2016">
        <v>1063</v>
      </c>
      <c r="E2016">
        <f t="shared" si="671"/>
        <v>3</v>
      </c>
      <c r="F2016" s="5" t="s">
        <v>485</v>
      </c>
      <c r="G2016" s="5" t="s">
        <v>517</v>
      </c>
      <c r="H2016" s="5" t="s">
        <v>485</v>
      </c>
      <c r="I2016" s="7" t="s">
        <v>511</v>
      </c>
      <c r="J2016" t="str">
        <f t="shared" si="678"/>
        <v>10</v>
      </c>
      <c r="K2016" t="str">
        <f t="shared" si="679"/>
        <v>45</v>
      </c>
      <c r="L2016" t="str">
        <f t="shared" si="680"/>
        <v>10</v>
      </c>
      <c r="M2016" s="6" t="str">
        <f t="shared" si="681"/>
        <v>39</v>
      </c>
      <c r="N2016" t="s">
        <v>179</v>
      </c>
      <c r="O2016">
        <v>93</v>
      </c>
      <c r="P2016" t="s">
        <v>424</v>
      </c>
      <c r="Q2016" t="s">
        <v>15</v>
      </c>
      <c r="Y2016" t="str">
        <f t="shared" si="664"/>
        <v/>
      </c>
      <c r="Z2016" t="str">
        <f t="shared" si="665"/>
        <v/>
      </c>
      <c r="AC2016" t="str">
        <f t="shared" si="661"/>
        <v>Possession</v>
      </c>
      <c r="AD2016" t="str">
        <f t="shared" si="662"/>
        <v/>
      </c>
      <c r="AE2016" t="str">
        <f t="shared" si="663"/>
        <v/>
      </c>
      <c r="AF2016" t="str">
        <f t="shared" si="666"/>
        <v>Offensive</v>
      </c>
      <c r="AG2016">
        <f t="shared" si="672"/>
        <v>18981</v>
      </c>
      <c r="AH2016" t="str">
        <f t="shared" si="673"/>
        <v>Nelson</v>
      </c>
      <c r="AI2016" t="str">
        <f t="shared" si="674"/>
        <v>Velodrome</v>
      </c>
      <c r="AJ2016" s="18">
        <f t="shared" si="667"/>
        <v>6</v>
      </c>
      <c r="AP2016" s="18">
        <f t="shared" si="668"/>
        <v>0</v>
      </c>
      <c r="AQ2016">
        <f t="shared" si="669"/>
        <v>2160</v>
      </c>
      <c r="AR2016" s="23">
        <f t="shared" si="670"/>
        <v>2595</v>
      </c>
      <c r="AS2016">
        <f t="shared" si="675"/>
        <v>2590</v>
      </c>
      <c r="AT2016" s="21">
        <f t="shared" si="676"/>
        <v>2601</v>
      </c>
      <c r="AU2016" s="21"/>
      <c r="AV2016" s="21"/>
      <c r="AW2016" s="21"/>
    </row>
    <row r="2017" spans="1:49" x14ac:dyDescent="0.2">
      <c r="A2017">
        <v>1064</v>
      </c>
      <c r="E2017">
        <f t="shared" si="671"/>
        <v>3</v>
      </c>
      <c r="F2017" s="5" t="s">
        <v>485</v>
      </c>
      <c r="G2017" s="5" t="s">
        <v>511</v>
      </c>
      <c r="J2017" t="str">
        <f t="shared" si="678"/>
        <v>10</v>
      </c>
      <c r="K2017" t="str">
        <f t="shared" si="679"/>
        <v>39</v>
      </c>
      <c r="L2017" t="str">
        <f t="shared" si="680"/>
        <v/>
      </c>
      <c r="M2017" s="6" t="str">
        <f t="shared" si="681"/>
        <v/>
      </c>
      <c r="N2017" t="s">
        <v>179</v>
      </c>
      <c r="O2017">
        <v>93</v>
      </c>
      <c r="P2017" t="s">
        <v>424</v>
      </c>
      <c r="Q2017" t="s">
        <v>8</v>
      </c>
      <c r="R2017" t="s">
        <v>189</v>
      </c>
      <c r="S2017" t="s">
        <v>70</v>
      </c>
      <c r="Y2017" t="str">
        <f t="shared" si="664"/>
        <v/>
      </c>
      <c r="Z2017" t="str">
        <f t="shared" si="665"/>
        <v/>
      </c>
      <c r="AC2017" t="str">
        <f t="shared" si="661"/>
        <v>Pass</v>
      </c>
      <c r="AD2017" t="str">
        <f t="shared" si="662"/>
        <v>Pass_Completed</v>
      </c>
      <c r="AE2017" t="str">
        <f t="shared" si="663"/>
        <v>Pass-Forehand</v>
      </c>
      <c r="AF2017" t="str">
        <f t="shared" si="666"/>
        <v>Offensive</v>
      </c>
      <c r="AG2017">
        <f t="shared" si="672"/>
        <v>18981</v>
      </c>
      <c r="AH2017" t="str">
        <f t="shared" si="673"/>
        <v>Nelson</v>
      </c>
      <c r="AI2017" t="str">
        <f t="shared" si="674"/>
        <v>Velodrome</v>
      </c>
      <c r="AJ2017" s="18">
        <f t="shared" si="667"/>
        <v>0</v>
      </c>
      <c r="AP2017" s="18">
        <f t="shared" si="668"/>
        <v>0</v>
      </c>
      <c r="AQ2017">
        <f t="shared" si="669"/>
        <v>2160</v>
      </c>
      <c r="AR2017" s="23">
        <f t="shared" si="670"/>
        <v>2601</v>
      </c>
      <c r="AS2017">
        <f t="shared" si="675"/>
        <v>2596</v>
      </c>
      <c r="AT2017" s="21">
        <f t="shared" si="676"/>
        <v>2601</v>
      </c>
      <c r="AU2017" s="21"/>
      <c r="AV2017" s="21"/>
      <c r="AW2017" s="21"/>
    </row>
    <row r="2018" spans="1:49" x14ac:dyDescent="0.2">
      <c r="A2018">
        <v>1064</v>
      </c>
      <c r="E2018">
        <f t="shared" si="671"/>
        <v>3</v>
      </c>
      <c r="J2018" t="str">
        <f t="shared" si="678"/>
        <v>10</v>
      </c>
      <c r="K2018" t="str">
        <f t="shared" si="679"/>
        <v>39</v>
      </c>
      <c r="L2018" t="str">
        <f t="shared" si="680"/>
        <v/>
      </c>
      <c r="M2018" s="6" t="str">
        <f t="shared" si="681"/>
        <v/>
      </c>
      <c r="N2018" t="str">
        <f t="shared" si="677"/>
        <v>Away</v>
      </c>
      <c r="O2018">
        <v>14</v>
      </c>
      <c r="P2018" t="s">
        <v>424</v>
      </c>
      <c r="Y2018" t="str">
        <f t="shared" si="664"/>
        <v/>
      </c>
      <c r="Z2018" t="str">
        <f t="shared" si="665"/>
        <v/>
      </c>
      <c r="AC2018" t="str">
        <f t="shared" si="661"/>
        <v>Pass</v>
      </c>
      <c r="AD2018" t="str">
        <f t="shared" si="662"/>
        <v>Pass_Completed</v>
      </c>
      <c r="AE2018" t="str">
        <f t="shared" si="663"/>
        <v>Pass-Forehand</v>
      </c>
      <c r="AF2018" t="str">
        <f t="shared" si="666"/>
        <v>Offensive</v>
      </c>
      <c r="AG2018">
        <f t="shared" si="672"/>
        <v>18981</v>
      </c>
      <c r="AH2018" t="str">
        <f t="shared" si="673"/>
        <v>Nelson</v>
      </c>
      <c r="AI2018" t="str">
        <f t="shared" si="674"/>
        <v>Velodrome</v>
      </c>
      <c r="AJ2018" s="18">
        <f t="shared" si="667"/>
        <v>0</v>
      </c>
      <c r="AP2018" s="18">
        <f t="shared" si="668"/>
        <v>0</v>
      </c>
      <c r="AQ2018">
        <f t="shared" si="669"/>
        <v>2160</v>
      </c>
      <c r="AR2018" s="23">
        <f t="shared" si="670"/>
        <v>2601</v>
      </c>
      <c r="AS2018">
        <f t="shared" si="675"/>
        <v>2596</v>
      </c>
      <c r="AT2018" s="21">
        <f t="shared" si="676"/>
        <v>2601</v>
      </c>
      <c r="AU2018" s="21"/>
      <c r="AV2018" s="21"/>
      <c r="AW2018" s="21"/>
    </row>
    <row r="2019" spans="1:49" x14ac:dyDescent="0.2">
      <c r="A2019">
        <v>1065</v>
      </c>
      <c r="E2019">
        <f t="shared" si="671"/>
        <v>3</v>
      </c>
      <c r="F2019" s="5" t="s">
        <v>485</v>
      </c>
      <c r="G2019" s="5" t="s">
        <v>511</v>
      </c>
      <c r="H2019" s="5" t="s">
        <v>485</v>
      </c>
      <c r="I2019" s="7" t="s">
        <v>510</v>
      </c>
      <c r="J2019" t="str">
        <f t="shared" si="678"/>
        <v>10</v>
      </c>
      <c r="K2019" t="str">
        <f t="shared" si="679"/>
        <v>39</v>
      </c>
      <c r="L2019" t="str">
        <f t="shared" si="680"/>
        <v>10</v>
      </c>
      <c r="M2019" s="6" t="str">
        <f t="shared" si="681"/>
        <v>38</v>
      </c>
      <c r="N2019" t="s">
        <v>179</v>
      </c>
      <c r="O2019">
        <v>14</v>
      </c>
      <c r="P2019" t="s">
        <v>424</v>
      </c>
      <c r="Q2019" t="s">
        <v>277</v>
      </c>
      <c r="R2019" t="s">
        <v>201</v>
      </c>
      <c r="S2019" t="s">
        <v>90</v>
      </c>
      <c r="Y2019" t="str">
        <f t="shared" si="664"/>
        <v/>
      </c>
      <c r="Z2019" t="str">
        <f t="shared" si="665"/>
        <v/>
      </c>
      <c r="AC2019" t="str">
        <f t="shared" si="661"/>
        <v>Zone_Entry_Exit</v>
      </c>
      <c r="AD2019" t="str">
        <f t="shared" si="662"/>
        <v>Zone_Exit</v>
      </c>
      <c r="AE2019" t="str">
        <f t="shared" si="663"/>
        <v>ZoneExit-Rush</v>
      </c>
      <c r="AF2019" t="str">
        <f t="shared" si="666"/>
        <v>Offensive</v>
      </c>
      <c r="AG2019">
        <f t="shared" si="672"/>
        <v>18981</v>
      </c>
      <c r="AH2019" t="str">
        <f t="shared" si="673"/>
        <v>Nelson</v>
      </c>
      <c r="AI2019" t="str">
        <f t="shared" si="674"/>
        <v>Velodrome</v>
      </c>
      <c r="AJ2019" s="18">
        <f t="shared" si="667"/>
        <v>1</v>
      </c>
      <c r="AP2019" s="18">
        <f t="shared" si="668"/>
        <v>0</v>
      </c>
      <c r="AQ2019">
        <f t="shared" si="669"/>
        <v>2160</v>
      </c>
      <c r="AR2019" s="23">
        <f t="shared" si="670"/>
        <v>2601</v>
      </c>
      <c r="AS2019">
        <f t="shared" si="675"/>
        <v>2596</v>
      </c>
      <c r="AT2019" s="21">
        <f t="shared" si="676"/>
        <v>2602</v>
      </c>
      <c r="AU2019" s="21"/>
      <c r="AV2019" s="21"/>
      <c r="AW2019" s="21"/>
    </row>
    <row r="2020" spans="1:49" x14ac:dyDescent="0.2">
      <c r="A2020">
        <v>1066</v>
      </c>
      <c r="E2020">
        <f t="shared" si="671"/>
        <v>3</v>
      </c>
      <c r="F2020" s="5" t="s">
        <v>485</v>
      </c>
      <c r="G2020" s="5" t="s">
        <v>510</v>
      </c>
      <c r="H2020" s="5" t="s">
        <v>485</v>
      </c>
      <c r="I2020" s="7" t="s">
        <v>506</v>
      </c>
      <c r="J2020" t="str">
        <f t="shared" si="678"/>
        <v>10</v>
      </c>
      <c r="K2020" t="str">
        <f t="shared" si="679"/>
        <v>38</v>
      </c>
      <c r="L2020" t="str">
        <f t="shared" si="680"/>
        <v>10</v>
      </c>
      <c r="M2020" s="6" t="str">
        <f t="shared" si="681"/>
        <v>34</v>
      </c>
      <c r="N2020" t="s">
        <v>179</v>
      </c>
      <c r="O2020">
        <v>14</v>
      </c>
      <c r="P2020" t="s">
        <v>424</v>
      </c>
      <c r="Q2020" t="s">
        <v>15</v>
      </c>
      <c r="Y2020" t="str">
        <f t="shared" si="664"/>
        <v/>
      </c>
      <c r="Z2020" t="str">
        <f t="shared" si="665"/>
        <v/>
      </c>
      <c r="AC2020" t="str">
        <f t="shared" si="661"/>
        <v>Possession</v>
      </c>
      <c r="AD2020" t="str">
        <f t="shared" si="662"/>
        <v/>
      </c>
      <c r="AE2020" t="str">
        <f t="shared" si="663"/>
        <v/>
      </c>
      <c r="AF2020" t="str">
        <f t="shared" si="666"/>
        <v>Offensive</v>
      </c>
      <c r="AG2020">
        <f t="shared" si="672"/>
        <v>18981</v>
      </c>
      <c r="AH2020" t="str">
        <f t="shared" si="673"/>
        <v>Nelson</v>
      </c>
      <c r="AI2020" t="str">
        <f t="shared" si="674"/>
        <v>Velodrome</v>
      </c>
      <c r="AJ2020" s="18">
        <f t="shared" si="667"/>
        <v>4</v>
      </c>
      <c r="AP2020" s="18">
        <f t="shared" si="668"/>
        <v>0</v>
      </c>
      <c r="AQ2020">
        <f t="shared" si="669"/>
        <v>2160</v>
      </c>
      <c r="AR2020" s="23">
        <f t="shared" si="670"/>
        <v>2602</v>
      </c>
      <c r="AS2020">
        <f t="shared" si="675"/>
        <v>2597</v>
      </c>
      <c r="AT2020" s="21">
        <f t="shared" si="676"/>
        <v>2606</v>
      </c>
      <c r="AU2020" s="21"/>
      <c r="AV2020" s="21"/>
      <c r="AW2020" s="21"/>
    </row>
    <row r="2021" spans="1:49" x14ac:dyDescent="0.2">
      <c r="A2021">
        <v>1067</v>
      </c>
      <c r="E2021">
        <f t="shared" si="671"/>
        <v>3</v>
      </c>
      <c r="F2021" s="5" t="s">
        <v>485</v>
      </c>
      <c r="G2021" s="5" t="s">
        <v>506</v>
      </c>
      <c r="H2021" s="5" t="s">
        <v>485</v>
      </c>
      <c r="I2021" s="7" t="s">
        <v>505</v>
      </c>
      <c r="J2021" t="str">
        <f t="shared" si="678"/>
        <v>10</v>
      </c>
      <c r="K2021" t="str">
        <f t="shared" si="679"/>
        <v>34</v>
      </c>
      <c r="L2021" t="str">
        <f t="shared" si="680"/>
        <v>10</v>
      </c>
      <c r="M2021" s="6" t="str">
        <f t="shared" si="681"/>
        <v>33</v>
      </c>
      <c r="N2021" t="s">
        <v>179</v>
      </c>
      <c r="O2021">
        <v>14</v>
      </c>
      <c r="P2021" t="s">
        <v>424</v>
      </c>
      <c r="Q2021" t="s">
        <v>277</v>
      </c>
      <c r="R2021" t="s">
        <v>191</v>
      </c>
      <c r="S2021" t="s">
        <v>87</v>
      </c>
      <c r="Y2021" t="str">
        <f t="shared" si="664"/>
        <v/>
      </c>
      <c r="Z2021" t="str">
        <f t="shared" si="665"/>
        <v/>
      </c>
      <c r="AC2021" t="str">
        <f t="shared" si="661"/>
        <v>Zone_Entry_Exit</v>
      </c>
      <c r="AD2021" t="str">
        <f t="shared" si="662"/>
        <v>Zone_Entry</v>
      </c>
      <c r="AE2021" t="str">
        <f t="shared" si="663"/>
        <v>ZoneEntry-Rush</v>
      </c>
      <c r="AF2021" t="str">
        <f t="shared" si="666"/>
        <v>Offensive</v>
      </c>
      <c r="AG2021">
        <f t="shared" si="672"/>
        <v>18981</v>
      </c>
      <c r="AH2021" t="str">
        <f t="shared" si="673"/>
        <v>Nelson</v>
      </c>
      <c r="AI2021" t="str">
        <f t="shared" si="674"/>
        <v>Velodrome</v>
      </c>
      <c r="AJ2021" s="18">
        <f t="shared" si="667"/>
        <v>1</v>
      </c>
      <c r="AP2021" s="18">
        <f t="shared" si="668"/>
        <v>0</v>
      </c>
      <c r="AQ2021">
        <f t="shared" si="669"/>
        <v>2160</v>
      </c>
      <c r="AR2021" s="23">
        <f t="shared" si="670"/>
        <v>2606</v>
      </c>
      <c r="AS2021">
        <f t="shared" si="675"/>
        <v>2601</v>
      </c>
      <c r="AT2021" s="21">
        <f t="shared" si="676"/>
        <v>2607</v>
      </c>
      <c r="AU2021" s="21"/>
      <c r="AV2021" s="21"/>
      <c r="AW2021" s="21"/>
    </row>
    <row r="2022" spans="1:49" x14ac:dyDescent="0.2">
      <c r="A2022">
        <v>1067</v>
      </c>
      <c r="E2022">
        <f t="shared" si="671"/>
        <v>3</v>
      </c>
      <c r="J2022" t="str">
        <f t="shared" si="678"/>
        <v>10</v>
      </c>
      <c r="K2022" t="str">
        <f t="shared" si="679"/>
        <v>34</v>
      </c>
      <c r="L2022" t="str">
        <f t="shared" si="680"/>
        <v>10</v>
      </c>
      <c r="M2022" s="6" t="str">
        <f t="shared" si="681"/>
        <v>33</v>
      </c>
      <c r="N2022" t="str">
        <f t="shared" si="677"/>
        <v>Away</v>
      </c>
      <c r="O2022">
        <v>44</v>
      </c>
      <c r="P2022" t="s">
        <v>425</v>
      </c>
      <c r="Y2022" t="str">
        <f t="shared" si="664"/>
        <v/>
      </c>
      <c r="Z2022" t="str">
        <f t="shared" si="665"/>
        <v/>
      </c>
      <c r="AC2022" t="str">
        <f t="shared" si="661"/>
        <v>Zone_Entry_Exit</v>
      </c>
      <c r="AD2022" t="str">
        <f t="shared" si="662"/>
        <v>Zone_Entry</v>
      </c>
      <c r="AE2022" t="str">
        <f t="shared" si="663"/>
        <v>ZoneEntry-Rush</v>
      </c>
      <c r="AF2022" t="str">
        <f t="shared" si="666"/>
        <v>Defensive</v>
      </c>
      <c r="AG2022">
        <f t="shared" si="672"/>
        <v>18981</v>
      </c>
      <c r="AH2022" t="str">
        <f t="shared" si="673"/>
        <v>Nelson</v>
      </c>
      <c r="AI2022" t="str">
        <f t="shared" si="674"/>
        <v>Velodrome</v>
      </c>
      <c r="AJ2022" s="18">
        <f t="shared" si="667"/>
        <v>1</v>
      </c>
      <c r="AP2022" s="18">
        <f t="shared" si="668"/>
        <v>0</v>
      </c>
      <c r="AQ2022">
        <f t="shared" si="669"/>
        <v>2160</v>
      </c>
      <c r="AR2022" s="23">
        <f t="shared" si="670"/>
        <v>2606</v>
      </c>
      <c r="AS2022">
        <f t="shared" si="675"/>
        <v>2601</v>
      </c>
      <c r="AT2022" s="21">
        <f t="shared" si="676"/>
        <v>2607</v>
      </c>
      <c r="AU2022" s="21"/>
      <c r="AV2022" s="21"/>
      <c r="AW2022" s="21"/>
    </row>
    <row r="2023" spans="1:49" x14ac:dyDescent="0.2">
      <c r="A2023">
        <v>1067</v>
      </c>
      <c r="E2023">
        <f t="shared" si="671"/>
        <v>3</v>
      </c>
      <c r="J2023" t="str">
        <f t="shared" si="678"/>
        <v>10</v>
      </c>
      <c r="K2023" t="str">
        <f t="shared" si="679"/>
        <v>34</v>
      </c>
      <c r="L2023" t="str">
        <f t="shared" si="680"/>
        <v>10</v>
      </c>
      <c r="M2023" s="6" t="str">
        <f t="shared" si="681"/>
        <v>33</v>
      </c>
      <c r="N2023" t="str">
        <f t="shared" si="677"/>
        <v>Away</v>
      </c>
      <c r="O2023">
        <v>8</v>
      </c>
      <c r="P2023" t="s">
        <v>425</v>
      </c>
      <c r="Y2023" t="str">
        <f t="shared" si="664"/>
        <v/>
      </c>
      <c r="Z2023" t="str">
        <f t="shared" si="665"/>
        <v/>
      </c>
      <c r="AC2023" t="str">
        <f t="shared" si="661"/>
        <v>Zone_Entry_Exit</v>
      </c>
      <c r="AD2023" t="str">
        <f t="shared" si="662"/>
        <v>Zone_Entry</v>
      </c>
      <c r="AE2023" t="str">
        <f t="shared" si="663"/>
        <v>ZoneEntry-Rush</v>
      </c>
      <c r="AF2023" t="str">
        <f t="shared" si="666"/>
        <v>Defensive</v>
      </c>
      <c r="AG2023">
        <f t="shared" si="672"/>
        <v>18981</v>
      </c>
      <c r="AH2023" t="str">
        <f t="shared" si="673"/>
        <v>Nelson</v>
      </c>
      <c r="AI2023" t="str">
        <f t="shared" si="674"/>
        <v>Velodrome</v>
      </c>
      <c r="AJ2023" s="18">
        <f t="shared" si="667"/>
        <v>1</v>
      </c>
      <c r="AP2023" s="18">
        <f t="shared" si="668"/>
        <v>0</v>
      </c>
      <c r="AQ2023">
        <f t="shared" si="669"/>
        <v>2160</v>
      </c>
      <c r="AR2023" s="23">
        <f t="shared" si="670"/>
        <v>2606</v>
      </c>
      <c r="AS2023">
        <f t="shared" si="675"/>
        <v>2601</v>
      </c>
      <c r="AT2023" s="21">
        <f t="shared" si="676"/>
        <v>2607</v>
      </c>
      <c r="AU2023" s="21"/>
      <c r="AV2023" s="21"/>
      <c r="AW2023" s="21"/>
    </row>
    <row r="2024" spans="1:49" x14ac:dyDescent="0.2">
      <c r="A2024">
        <v>1067</v>
      </c>
      <c r="E2024">
        <f t="shared" si="671"/>
        <v>3</v>
      </c>
      <c r="J2024" t="str">
        <f t="shared" si="678"/>
        <v>10</v>
      </c>
      <c r="K2024" t="str">
        <f t="shared" si="679"/>
        <v>34</v>
      </c>
      <c r="L2024" t="str">
        <f t="shared" si="680"/>
        <v>10</v>
      </c>
      <c r="M2024" s="6" t="str">
        <f t="shared" si="681"/>
        <v>33</v>
      </c>
      <c r="N2024" t="str">
        <f t="shared" si="677"/>
        <v>Away</v>
      </c>
      <c r="O2024">
        <v>10</v>
      </c>
      <c r="P2024" t="s">
        <v>425</v>
      </c>
      <c r="Y2024" t="str">
        <f t="shared" si="664"/>
        <v/>
      </c>
      <c r="Z2024" t="str">
        <f t="shared" si="665"/>
        <v/>
      </c>
      <c r="AC2024" t="str">
        <f t="shared" si="661"/>
        <v>Zone_Entry_Exit</v>
      </c>
      <c r="AD2024" t="str">
        <f t="shared" si="662"/>
        <v>Zone_Entry</v>
      </c>
      <c r="AE2024" t="str">
        <f t="shared" si="663"/>
        <v>ZoneEntry-Rush</v>
      </c>
      <c r="AF2024" t="str">
        <f t="shared" si="666"/>
        <v>Defensive</v>
      </c>
      <c r="AG2024">
        <f t="shared" si="672"/>
        <v>18981</v>
      </c>
      <c r="AH2024" t="str">
        <f t="shared" si="673"/>
        <v>Nelson</v>
      </c>
      <c r="AI2024" t="str">
        <f t="shared" si="674"/>
        <v>Velodrome</v>
      </c>
      <c r="AJ2024" s="18">
        <f t="shared" si="667"/>
        <v>1</v>
      </c>
      <c r="AP2024" s="18">
        <f t="shared" si="668"/>
        <v>0</v>
      </c>
      <c r="AQ2024">
        <f t="shared" si="669"/>
        <v>2160</v>
      </c>
      <c r="AR2024" s="23">
        <f t="shared" si="670"/>
        <v>2606</v>
      </c>
      <c r="AS2024">
        <f t="shared" si="675"/>
        <v>2601</v>
      </c>
      <c r="AT2024" s="21">
        <f t="shared" si="676"/>
        <v>2607</v>
      </c>
      <c r="AU2024" s="21"/>
      <c r="AV2024" s="21"/>
      <c r="AW2024" s="21"/>
    </row>
    <row r="2025" spans="1:49" x14ac:dyDescent="0.2">
      <c r="A2025">
        <v>1068</v>
      </c>
      <c r="E2025">
        <f t="shared" si="671"/>
        <v>3</v>
      </c>
      <c r="F2025" s="5" t="s">
        <v>485</v>
      </c>
      <c r="G2025" s="5" t="s">
        <v>505</v>
      </c>
      <c r="J2025" t="str">
        <f t="shared" si="678"/>
        <v>10</v>
      </c>
      <c r="K2025" t="str">
        <f t="shared" si="679"/>
        <v>33</v>
      </c>
      <c r="L2025" t="str">
        <f t="shared" si="680"/>
        <v/>
      </c>
      <c r="M2025" s="6" t="str">
        <f t="shared" si="681"/>
        <v/>
      </c>
      <c r="N2025" t="s">
        <v>179</v>
      </c>
      <c r="O2025">
        <v>14</v>
      </c>
      <c r="P2025" t="s">
        <v>424</v>
      </c>
      <c r="Q2025" t="s">
        <v>7</v>
      </c>
      <c r="R2025" t="s">
        <v>208</v>
      </c>
      <c r="S2025" t="s">
        <v>53</v>
      </c>
      <c r="Y2025" t="str">
        <f t="shared" si="664"/>
        <v/>
      </c>
      <c r="Z2025" t="str">
        <f t="shared" si="665"/>
        <v/>
      </c>
      <c r="AC2025" t="str">
        <f t="shared" si="661"/>
        <v>Shot</v>
      </c>
      <c r="AD2025" t="str">
        <f t="shared" si="662"/>
        <v>Shot_Blocked</v>
      </c>
      <c r="AE2025" t="str">
        <f t="shared" si="663"/>
        <v>Shot-Wrist</v>
      </c>
      <c r="AF2025" t="str">
        <f t="shared" si="666"/>
        <v>Offensive</v>
      </c>
      <c r="AG2025">
        <f t="shared" si="672"/>
        <v>18981</v>
      </c>
      <c r="AH2025" t="str">
        <f t="shared" si="673"/>
        <v>Nelson</v>
      </c>
      <c r="AI2025" t="str">
        <f t="shared" si="674"/>
        <v>Velodrome</v>
      </c>
      <c r="AJ2025" s="18">
        <f t="shared" si="667"/>
        <v>0</v>
      </c>
      <c r="AP2025" s="18">
        <f t="shared" si="668"/>
        <v>0</v>
      </c>
      <c r="AQ2025">
        <f t="shared" si="669"/>
        <v>2160</v>
      </c>
      <c r="AR2025" s="23">
        <f t="shared" si="670"/>
        <v>2607</v>
      </c>
      <c r="AS2025">
        <f t="shared" si="675"/>
        <v>2602</v>
      </c>
      <c r="AT2025" s="21">
        <f t="shared" si="676"/>
        <v>2607</v>
      </c>
      <c r="AU2025" s="21"/>
      <c r="AV2025" s="21"/>
      <c r="AW2025" s="21"/>
    </row>
    <row r="2026" spans="1:49" x14ac:dyDescent="0.2">
      <c r="A2026">
        <v>1068</v>
      </c>
      <c r="E2026">
        <f t="shared" si="671"/>
        <v>3</v>
      </c>
      <c r="J2026" t="str">
        <f t="shared" si="678"/>
        <v>10</v>
      </c>
      <c r="K2026" t="str">
        <f t="shared" si="679"/>
        <v>33</v>
      </c>
      <c r="L2026" t="str">
        <f t="shared" si="680"/>
        <v/>
      </c>
      <c r="M2026" s="6" t="str">
        <f t="shared" si="681"/>
        <v/>
      </c>
      <c r="N2026" t="str">
        <f t="shared" si="677"/>
        <v>Away</v>
      </c>
      <c r="O2026">
        <v>8</v>
      </c>
      <c r="P2026" t="s">
        <v>425</v>
      </c>
      <c r="Y2026" t="str">
        <f t="shared" si="664"/>
        <v/>
      </c>
      <c r="Z2026" t="str">
        <f t="shared" si="665"/>
        <v/>
      </c>
      <c r="AC2026" t="str">
        <f t="shared" si="661"/>
        <v>Shot</v>
      </c>
      <c r="AD2026" t="str">
        <f t="shared" si="662"/>
        <v>Shot_Blocked</v>
      </c>
      <c r="AE2026" t="str">
        <f t="shared" si="663"/>
        <v>Shot-Wrist</v>
      </c>
      <c r="AF2026" t="str">
        <f t="shared" si="666"/>
        <v>Defensive</v>
      </c>
      <c r="AG2026">
        <f t="shared" si="672"/>
        <v>18981</v>
      </c>
      <c r="AH2026" t="str">
        <f t="shared" si="673"/>
        <v>Nelson</v>
      </c>
      <c r="AI2026" t="str">
        <f t="shared" si="674"/>
        <v>Velodrome</v>
      </c>
      <c r="AJ2026" s="18">
        <f t="shared" si="667"/>
        <v>0</v>
      </c>
      <c r="AP2026" s="18">
        <f t="shared" si="668"/>
        <v>0</v>
      </c>
      <c r="AQ2026">
        <f t="shared" si="669"/>
        <v>2160</v>
      </c>
      <c r="AR2026" s="23">
        <f t="shared" si="670"/>
        <v>2607</v>
      </c>
      <c r="AS2026">
        <f t="shared" si="675"/>
        <v>2602</v>
      </c>
      <c r="AT2026" s="21">
        <f t="shared" si="676"/>
        <v>2607</v>
      </c>
      <c r="AU2026" s="21"/>
      <c r="AV2026" s="21"/>
      <c r="AW2026" s="21"/>
    </row>
    <row r="2027" spans="1:49" x14ac:dyDescent="0.2">
      <c r="A2027">
        <v>1068</v>
      </c>
      <c r="E2027">
        <f t="shared" si="671"/>
        <v>3</v>
      </c>
      <c r="J2027" t="str">
        <f t="shared" si="678"/>
        <v>10</v>
      </c>
      <c r="K2027" t="str">
        <f t="shared" si="679"/>
        <v>33</v>
      </c>
      <c r="L2027" t="str">
        <f t="shared" si="680"/>
        <v/>
      </c>
      <c r="M2027" s="6" t="str">
        <f t="shared" si="681"/>
        <v/>
      </c>
      <c r="N2027" t="str">
        <f t="shared" si="677"/>
        <v>Away</v>
      </c>
      <c r="O2027">
        <v>44</v>
      </c>
      <c r="P2027" t="s">
        <v>425</v>
      </c>
      <c r="Y2027" t="str">
        <f t="shared" si="664"/>
        <v/>
      </c>
      <c r="Z2027" t="str">
        <f t="shared" si="665"/>
        <v/>
      </c>
      <c r="AC2027" t="str">
        <f t="shared" si="661"/>
        <v>Shot</v>
      </c>
      <c r="AD2027" t="str">
        <f t="shared" si="662"/>
        <v>Shot_Blocked</v>
      </c>
      <c r="AE2027" t="str">
        <f t="shared" si="663"/>
        <v>Shot-Wrist</v>
      </c>
      <c r="AF2027" t="str">
        <f t="shared" si="666"/>
        <v>Defensive</v>
      </c>
      <c r="AG2027">
        <f t="shared" si="672"/>
        <v>18981</v>
      </c>
      <c r="AH2027" t="str">
        <f t="shared" si="673"/>
        <v>Nelson</v>
      </c>
      <c r="AI2027" t="str">
        <f t="shared" si="674"/>
        <v>Velodrome</v>
      </c>
      <c r="AJ2027" s="18">
        <f t="shared" si="667"/>
        <v>0</v>
      </c>
      <c r="AP2027" s="18">
        <f t="shared" si="668"/>
        <v>0</v>
      </c>
      <c r="AQ2027">
        <f t="shared" si="669"/>
        <v>2160</v>
      </c>
      <c r="AR2027" s="23">
        <f t="shared" si="670"/>
        <v>2607</v>
      </c>
      <c r="AS2027">
        <f t="shared" si="675"/>
        <v>2602</v>
      </c>
      <c r="AT2027" s="21">
        <f t="shared" si="676"/>
        <v>2607</v>
      </c>
      <c r="AU2027" s="21"/>
      <c r="AV2027" s="21"/>
      <c r="AW2027" s="21"/>
    </row>
    <row r="2028" spans="1:49" x14ac:dyDescent="0.2">
      <c r="A2028">
        <v>1069</v>
      </c>
      <c r="E2028">
        <f t="shared" si="671"/>
        <v>3</v>
      </c>
      <c r="F2028" s="5" t="s">
        <v>485</v>
      </c>
      <c r="G2028" s="5" t="s">
        <v>502</v>
      </c>
      <c r="J2028" t="str">
        <f t="shared" si="678"/>
        <v>10</v>
      </c>
      <c r="K2028" t="str">
        <f t="shared" si="679"/>
        <v>30</v>
      </c>
      <c r="L2028" t="str">
        <f t="shared" si="680"/>
        <v/>
      </c>
      <c r="M2028" s="6" t="str">
        <f t="shared" si="681"/>
        <v/>
      </c>
      <c r="N2028" t="s">
        <v>178</v>
      </c>
      <c r="O2028">
        <v>31</v>
      </c>
      <c r="P2028" t="s">
        <v>424</v>
      </c>
      <c r="Q2028" t="s">
        <v>13</v>
      </c>
      <c r="R2028" t="s">
        <v>204</v>
      </c>
      <c r="S2028" t="s">
        <v>110</v>
      </c>
      <c r="Y2028" t="str">
        <f t="shared" si="664"/>
        <v/>
      </c>
      <c r="Z2028" t="str">
        <f t="shared" si="665"/>
        <v/>
      </c>
      <c r="AC2028" t="str">
        <f t="shared" si="661"/>
        <v>Stoppage</v>
      </c>
      <c r="AD2028" t="str">
        <f t="shared" si="662"/>
        <v>Stoppage_Play</v>
      </c>
      <c r="AE2028" t="str">
        <f t="shared" si="663"/>
        <v>Stoppage-GoalieStoppage</v>
      </c>
      <c r="AF2028" t="str">
        <f t="shared" si="666"/>
        <v/>
      </c>
      <c r="AG2028">
        <f t="shared" si="672"/>
        <v>18981</v>
      </c>
      <c r="AH2028" t="str">
        <f t="shared" si="673"/>
        <v>Nelson</v>
      </c>
      <c r="AI2028" t="str">
        <f t="shared" si="674"/>
        <v>Velodrome</v>
      </c>
      <c r="AJ2028" s="18">
        <f t="shared" si="667"/>
        <v>0</v>
      </c>
      <c r="AP2028" s="18">
        <f t="shared" si="668"/>
        <v>0</v>
      </c>
      <c r="AQ2028">
        <f t="shared" si="669"/>
        <v>2160</v>
      </c>
      <c r="AR2028" s="23">
        <f t="shared" si="670"/>
        <v>2610</v>
      </c>
      <c r="AS2028">
        <f t="shared" si="675"/>
        <v>2605</v>
      </c>
      <c r="AT2028" s="21">
        <f t="shared" si="676"/>
        <v>2610</v>
      </c>
      <c r="AU2028" s="21"/>
      <c r="AV2028" s="21"/>
      <c r="AW2028" s="21"/>
    </row>
    <row r="2029" spans="1:49" x14ac:dyDescent="0.2">
      <c r="A2029">
        <v>1070</v>
      </c>
      <c r="E2029">
        <f t="shared" si="671"/>
        <v>3</v>
      </c>
      <c r="F2029" s="5" t="s">
        <v>485</v>
      </c>
      <c r="G2029" s="5" t="s">
        <v>502</v>
      </c>
      <c r="H2029" s="5" t="s">
        <v>485</v>
      </c>
      <c r="I2029" s="7" t="s">
        <v>484</v>
      </c>
      <c r="J2029" t="str">
        <f t="shared" si="678"/>
        <v>10</v>
      </c>
      <c r="K2029" t="str">
        <f t="shared" si="679"/>
        <v>30</v>
      </c>
      <c r="L2029" t="str">
        <f t="shared" si="680"/>
        <v>10</v>
      </c>
      <c r="M2029" s="6" t="str">
        <f t="shared" si="681"/>
        <v>09</v>
      </c>
      <c r="N2029" t="s">
        <v>178</v>
      </c>
      <c r="O2029">
        <v>31</v>
      </c>
      <c r="P2029" t="s">
        <v>424</v>
      </c>
      <c r="Q2029" t="s">
        <v>282</v>
      </c>
      <c r="Y2029" t="str">
        <f t="shared" si="664"/>
        <v/>
      </c>
      <c r="Z2029" t="str">
        <f t="shared" si="665"/>
        <v/>
      </c>
      <c r="AC2029" t="str">
        <f t="shared" si="661"/>
        <v>DeadIce</v>
      </c>
      <c r="AD2029" t="str">
        <f t="shared" si="662"/>
        <v/>
      </c>
      <c r="AE2029" t="str">
        <f t="shared" si="663"/>
        <v/>
      </c>
      <c r="AF2029" t="str">
        <f t="shared" si="666"/>
        <v/>
      </c>
      <c r="AG2029">
        <f t="shared" si="672"/>
        <v>18981</v>
      </c>
      <c r="AH2029" t="str">
        <f t="shared" si="673"/>
        <v>Nelson</v>
      </c>
      <c r="AI2029" t="str">
        <f t="shared" si="674"/>
        <v>Velodrome</v>
      </c>
      <c r="AJ2029" s="18">
        <f t="shared" si="667"/>
        <v>21</v>
      </c>
      <c r="AP2029" s="18">
        <f t="shared" si="668"/>
        <v>0</v>
      </c>
      <c r="AQ2029">
        <f t="shared" si="669"/>
        <v>2160</v>
      </c>
      <c r="AR2029" s="23">
        <f t="shared" si="670"/>
        <v>2610</v>
      </c>
      <c r="AS2029">
        <f t="shared" si="675"/>
        <v>2605</v>
      </c>
      <c r="AT2029" s="21">
        <f t="shared" si="676"/>
        <v>2631</v>
      </c>
      <c r="AU2029" s="21"/>
      <c r="AV2029" s="21"/>
      <c r="AW2029" s="21"/>
    </row>
    <row r="2030" spans="1:49" x14ac:dyDescent="0.2">
      <c r="A2030">
        <v>1071</v>
      </c>
      <c r="E2030">
        <f t="shared" si="671"/>
        <v>3</v>
      </c>
      <c r="F2030" s="5" t="s">
        <v>485</v>
      </c>
      <c r="G2030" s="5" t="s">
        <v>484</v>
      </c>
      <c r="J2030" t="str">
        <f t="shared" si="678"/>
        <v>10</v>
      </c>
      <c r="K2030" t="str">
        <f t="shared" si="679"/>
        <v>09</v>
      </c>
      <c r="L2030" t="str">
        <f t="shared" si="680"/>
        <v/>
      </c>
      <c r="M2030" s="6" t="str">
        <f t="shared" si="681"/>
        <v/>
      </c>
      <c r="N2030" t="s">
        <v>179</v>
      </c>
      <c r="O2030">
        <v>70</v>
      </c>
      <c r="P2030" t="s">
        <v>424</v>
      </c>
      <c r="Q2030" t="s">
        <v>6</v>
      </c>
      <c r="R2030" t="s">
        <v>275</v>
      </c>
      <c r="Y2030" t="str">
        <f t="shared" si="664"/>
        <v/>
      </c>
      <c r="Z2030" t="str">
        <f t="shared" si="665"/>
        <v/>
      </c>
      <c r="AC2030" t="str">
        <f t="shared" si="661"/>
        <v>Faceoff</v>
      </c>
      <c r="AD2030" t="str">
        <f t="shared" si="662"/>
        <v>Faceoff_AfterStoppage</v>
      </c>
      <c r="AE2030" t="str">
        <f t="shared" si="663"/>
        <v/>
      </c>
      <c r="AF2030" t="str">
        <f t="shared" si="666"/>
        <v>Offensive</v>
      </c>
      <c r="AG2030">
        <f t="shared" si="672"/>
        <v>18981</v>
      </c>
      <c r="AH2030" t="str">
        <f t="shared" si="673"/>
        <v>Nelson</v>
      </c>
      <c r="AI2030" t="str">
        <f t="shared" si="674"/>
        <v>Velodrome</v>
      </c>
      <c r="AJ2030" s="18">
        <f t="shared" si="667"/>
        <v>0</v>
      </c>
      <c r="AP2030" s="18">
        <f t="shared" si="668"/>
        <v>0</v>
      </c>
      <c r="AQ2030">
        <f t="shared" si="669"/>
        <v>2160</v>
      </c>
      <c r="AR2030" s="23">
        <f t="shared" si="670"/>
        <v>2631</v>
      </c>
      <c r="AS2030">
        <f t="shared" si="675"/>
        <v>2626</v>
      </c>
      <c r="AT2030" s="21">
        <f t="shared" si="676"/>
        <v>2631</v>
      </c>
      <c r="AU2030" s="21"/>
      <c r="AV2030" s="21"/>
      <c r="AW2030" s="21"/>
    </row>
    <row r="2031" spans="1:49" x14ac:dyDescent="0.2">
      <c r="A2031">
        <v>1071</v>
      </c>
      <c r="E2031">
        <f t="shared" si="671"/>
        <v>3</v>
      </c>
      <c r="J2031" t="str">
        <f t="shared" si="678"/>
        <v>10</v>
      </c>
      <c r="K2031" t="str">
        <f t="shared" si="679"/>
        <v>09</v>
      </c>
      <c r="L2031" t="str">
        <f t="shared" si="680"/>
        <v/>
      </c>
      <c r="M2031" s="6" t="str">
        <f t="shared" si="681"/>
        <v/>
      </c>
      <c r="N2031" t="str">
        <f t="shared" si="677"/>
        <v>Away</v>
      </c>
      <c r="O2031">
        <v>10</v>
      </c>
      <c r="P2031" t="s">
        <v>425</v>
      </c>
      <c r="Y2031" t="str">
        <f t="shared" si="664"/>
        <v/>
      </c>
      <c r="Z2031" t="str">
        <f t="shared" si="665"/>
        <v/>
      </c>
      <c r="AC2031" t="str">
        <f t="shared" ref="AC2031:AC2094" si="682">IF(Q2031&lt;&gt;"",Q2031,IF($A2031=$A2030,AC2030,""))</f>
        <v>Faceoff</v>
      </c>
      <c r="AD2031" t="str">
        <f t="shared" ref="AD2031:AD2094" si="683">IF(R2031&lt;&gt;"",R2031,IF($A2031=$A2030,AD2030,""))</f>
        <v>Faceoff_AfterStoppage</v>
      </c>
      <c r="AE2031" t="str">
        <f t="shared" ref="AE2031:AE2094" si="684">IF(S2031&lt;&gt;"",S2031,IF($A2031=$A2030,AE2030,""))</f>
        <v/>
      </c>
      <c r="AF2031" t="str">
        <f t="shared" si="666"/>
        <v>Defensive</v>
      </c>
      <c r="AG2031">
        <f t="shared" si="672"/>
        <v>18981</v>
      </c>
      <c r="AH2031" t="str">
        <f t="shared" si="673"/>
        <v>Nelson</v>
      </c>
      <c r="AI2031" t="str">
        <f t="shared" si="674"/>
        <v>Velodrome</v>
      </c>
      <c r="AJ2031" s="18">
        <f t="shared" si="667"/>
        <v>0</v>
      </c>
      <c r="AP2031" s="18">
        <f t="shared" si="668"/>
        <v>0</v>
      </c>
      <c r="AQ2031">
        <f t="shared" si="669"/>
        <v>2160</v>
      </c>
      <c r="AR2031" s="23">
        <f t="shared" si="670"/>
        <v>2631</v>
      </c>
      <c r="AS2031">
        <f t="shared" si="675"/>
        <v>2626</v>
      </c>
      <c r="AT2031" s="21">
        <f t="shared" si="676"/>
        <v>2631</v>
      </c>
      <c r="AU2031" s="21"/>
      <c r="AV2031" s="21"/>
      <c r="AW2031" s="21"/>
    </row>
    <row r="2032" spans="1:49" x14ac:dyDescent="0.2">
      <c r="A2032">
        <v>1072</v>
      </c>
      <c r="E2032">
        <f t="shared" si="671"/>
        <v>3</v>
      </c>
      <c r="F2032" s="5" t="s">
        <v>485</v>
      </c>
      <c r="G2032" s="5" t="s">
        <v>475</v>
      </c>
      <c r="J2032" t="str">
        <f t="shared" si="678"/>
        <v>10</v>
      </c>
      <c r="K2032" t="str">
        <f t="shared" si="679"/>
        <v>00</v>
      </c>
      <c r="L2032" t="str">
        <f t="shared" si="680"/>
        <v/>
      </c>
      <c r="M2032" s="6" t="str">
        <f t="shared" si="681"/>
        <v/>
      </c>
      <c r="N2032" t="s">
        <v>178</v>
      </c>
      <c r="O2032">
        <v>23</v>
      </c>
      <c r="P2032" t="s">
        <v>424</v>
      </c>
      <c r="Q2032" t="s">
        <v>13</v>
      </c>
      <c r="R2032" t="s">
        <v>204</v>
      </c>
      <c r="S2032" t="s">
        <v>108</v>
      </c>
      <c r="Y2032" t="str">
        <f t="shared" si="664"/>
        <v/>
      </c>
      <c r="Z2032" t="str">
        <f t="shared" si="665"/>
        <v/>
      </c>
      <c r="AC2032" t="str">
        <f t="shared" si="682"/>
        <v>Stoppage</v>
      </c>
      <c r="AD2032" t="str">
        <f t="shared" si="683"/>
        <v>Stoppage_Play</v>
      </c>
      <c r="AE2032" t="str">
        <f t="shared" si="684"/>
        <v>Stoppage-Icing</v>
      </c>
      <c r="AF2032" t="str">
        <f t="shared" si="666"/>
        <v/>
      </c>
      <c r="AG2032">
        <f t="shared" si="672"/>
        <v>18981</v>
      </c>
      <c r="AH2032" t="str">
        <f t="shared" si="673"/>
        <v>Nelson</v>
      </c>
      <c r="AI2032" t="str">
        <f t="shared" si="674"/>
        <v>Velodrome</v>
      </c>
      <c r="AJ2032" s="18">
        <f t="shared" si="667"/>
        <v>0</v>
      </c>
      <c r="AP2032" s="18">
        <f t="shared" si="668"/>
        <v>0</v>
      </c>
      <c r="AQ2032">
        <f t="shared" si="669"/>
        <v>2160</v>
      </c>
      <c r="AR2032" s="23">
        <f t="shared" si="670"/>
        <v>2640</v>
      </c>
      <c r="AS2032">
        <f t="shared" si="675"/>
        <v>2635</v>
      </c>
      <c r="AT2032" s="21">
        <f t="shared" si="676"/>
        <v>2640</v>
      </c>
      <c r="AU2032" s="21"/>
      <c r="AV2032" s="21"/>
      <c r="AW2032" s="21"/>
    </row>
    <row r="2033" spans="1:49" x14ac:dyDescent="0.2">
      <c r="A2033">
        <v>1073</v>
      </c>
      <c r="E2033">
        <f t="shared" si="671"/>
        <v>3</v>
      </c>
      <c r="F2033" s="5" t="s">
        <v>485</v>
      </c>
      <c r="G2033" s="5" t="s">
        <v>475</v>
      </c>
      <c r="H2033" s="5" t="s">
        <v>537</v>
      </c>
      <c r="I2033" s="7" t="s">
        <v>512</v>
      </c>
      <c r="J2033" t="str">
        <f t="shared" si="678"/>
        <v>10</v>
      </c>
      <c r="K2033" t="str">
        <f t="shared" si="679"/>
        <v>00</v>
      </c>
      <c r="L2033" t="str">
        <f t="shared" si="680"/>
        <v>9</v>
      </c>
      <c r="M2033" s="6" t="str">
        <f t="shared" si="681"/>
        <v>40</v>
      </c>
      <c r="N2033" t="s">
        <v>178</v>
      </c>
      <c r="O2033">
        <v>23</v>
      </c>
      <c r="P2033" t="s">
        <v>424</v>
      </c>
      <c r="Q2033" t="s">
        <v>282</v>
      </c>
      <c r="Y2033" t="str">
        <f t="shared" si="664"/>
        <v/>
      </c>
      <c r="Z2033" t="str">
        <f t="shared" si="665"/>
        <v/>
      </c>
      <c r="AC2033" t="str">
        <f t="shared" si="682"/>
        <v>DeadIce</v>
      </c>
      <c r="AD2033" t="str">
        <f t="shared" si="683"/>
        <v/>
      </c>
      <c r="AE2033" t="str">
        <f t="shared" si="684"/>
        <v/>
      </c>
      <c r="AF2033" t="str">
        <f t="shared" si="666"/>
        <v/>
      </c>
      <c r="AG2033">
        <f t="shared" si="672"/>
        <v>18981</v>
      </c>
      <c r="AH2033" t="str">
        <f t="shared" si="673"/>
        <v>Nelson</v>
      </c>
      <c r="AI2033" t="str">
        <f t="shared" si="674"/>
        <v>Velodrome</v>
      </c>
      <c r="AJ2033" s="18">
        <f t="shared" si="667"/>
        <v>20</v>
      </c>
      <c r="AP2033" s="18">
        <f t="shared" si="668"/>
        <v>0</v>
      </c>
      <c r="AQ2033">
        <f t="shared" si="669"/>
        <v>2160</v>
      </c>
      <c r="AR2033" s="23">
        <f t="shared" si="670"/>
        <v>2640</v>
      </c>
      <c r="AS2033">
        <f t="shared" si="675"/>
        <v>2635</v>
      </c>
      <c r="AT2033" s="21">
        <f t="shared" si="676"/>
        <v>2660</v>
      </c>
      <c r="AU2033" s="21"/>
      <c r="AV2033" s="21"/>
      <c r="AW2033" s="21"/>
    </row>
    <row r="2034" spans="1:49" x14ac:dyDescent="0.2">
      <c r="A2034">
        <v>1074</v>
      </c>
      <c r="E2034">
        <f t="shared" si="671"/>
        <v>3</v>
      </c>
      <c r="F2034" s="5" t="s">
        <v>537</v>
      </c>
      <c r="G2034" s="5" t="s">
        <v>512</v>
      </c>
      <c r="J2034" t="str">
        <f t="shared" si="678"/>
        <v>9</v>
      </c>
      <c r="K2034" t="str">
        <f t="shared" si="679"/>
        <v>40</v>
      </c>
      <c r="L2034" t="str">
        <f t="shared" si="680"/>
        <v/>
      </c>
      <c r="M2034" s="6" t="str">
        <f t="shared" si="681"/>
        <v/>
      </c>
      <c r="N2034" t="s">
        <v>179</v>
      </c>
      <c r="O2034">
        <v>70</v>
      </c>
      <c r="P2034" t="s">
        <v>424</v>
      </c>
      <c r="Q2034" t="s">
        <v>6</v>
      </c>
      <c r="R2034" t="s">
        <v>275</v>
      </c>
      <c r="Y2034" t="str">
        <f t="shared" si="664"/>
        <v/>
      </c>
      <c r="Z2034" t="str">
        <f t="shared" si="665"/>
        <v/>
      </c>
      <c r="AC2034" t="str">
        <f t="shared" si="682"/>
        <v>Faceoff</v>
      </c>
      <c r="AD2034" t="str">
        <f t="shared" si="683"/>
        <v>Faceoff_AfterStoppage</v>
      </c>
      <c r="AE2034" t="str">
        <f t="shared" si="684"/>
        <v/>
      </c>
      <c r="AF2034" t="str">
        <f t="shared" si="666"/>
        <v>Offensive</v>
      </c>
      <c r="AG2034">
        <f t="shared" si="672"/>
        <v>18981</v>
      </c>
      <c r="AH2034" t="str">
        <f t="shared" si="673"/>
        <v>Nelson</v>
      </c>
      <c r="AI2034" t="str">
        <f t="shared" si="674"/>
        <v>Velodrome</v>
      </c>
      <c r="AJ2034" s="18">
        <f t="shared" si="667"/>
        <v>0</v>
      </c>
      <c r="AP2034" s="18">
        <f t="shared" si="668"/>
        <v>0</v>
      </c>
      <c r="AQ2034">
        <f t="shared" si="669"/>
        <v>2160</v>
      </c>
      <c r="AR2034" s="23">
        <f t="shared" si="670"/>
        <v>2660</v>
      </c>
      <c r="AS2034">
        <f t="shared" si="675"/>
        <v>2655</v>
      </c>
      <c r="AT2034" s="21">
        <f t="shared" si="676"/>
        <v>2660</v>
      </c>
      <c r="AU2034" s="21"/>
      <c r="AV2034" s="21"/>
      <c r="AW2034" s="21"/>
    </row>
    <row r="2035" spans="1:49" x14ac:dyDescent="0.2">
      <c r="A2035">
        <v>1074</v>
      </c>
      <c r="E2035">
        <f t="shared" si="671"/>
        <v>3</v>
      </c>
      <c r="J2035" t="str">
        <f t="shared" si="678"/>
        <v>9</v>
      </c>
      <c r="K2035" t="str">
        <f t="shared" si="679"/>
        <v>40</v>
      </c>
      <c r="L2035" t="str">
        <f t="shared" si="680"/>
        <v/>
      </c>
      <c r="M2035" s="6" t="str">
        <f t="shared" si="681"/>
        <v/>
      </c>
      <c r="N2035" t="str">
        <f t="shared" si="677"/>
        <v>Away</v>
      </c>
      <c r="O2035">
        <v>52</v>
      </c>
      <c r="P2035" t="s">
        <v>424</v>
      </c>
      <c r="Y2035" t="str">
        <f t="shared" si="664"/>
        <v/>
      </c>
      <c r="Z2035" t="str">
        <f t="shared" si="665"/>
        <v/>
      </c>
      <c r="AC2035" t="str">
        <f t="shared" si="682"/>
        <v>Faceoff</v>
      </c>
      <c r="AD2035" t="str">
        <f t="shared" si="683"/>
        <v>Faceoff_AfterStoppage</v>
      </c>
      <c r="AE2035" t="str">
        <f t="shared" si="684"/>
        <v/>
      </c>
      <c r="AF2035" t="str">
        <f t="shared" si="666"/>
        <v>Offensive</v>
      </c>
      <c r="AG2035">
        <f t="shared" si="672"/>
        <v>18981</v>
      </c>
      <c r="AH2035" t="str">
        <f t="shared" si="673"/>
        <v>Nelson</v>
      </c>
      <c r="AI2035" t="str">
        <f t="shared" si="674"/>
        <v>Velodrome</v>
      </c>
      <c r="AJ2035" s="18">
        <f t="shared" si="667"/>
        <v>0</v>
      </c>
      <c r="AP2035" s="18">
        <f t="shared" si="668"/>
        <v>0</v>
      </c>
      <c r="AQ2035">
        <f t="shared" si="669"/>
        <v>2160</v>
      </c>
      <c r="AR2035" s="23">
        <f t="shared" si="670"/>
        <v>2660</v>
      </c>
      <c r="AS2035">
        <f t="shared" si="675"/>
        <v>2655</v>
      </c>
      <c r="AT2035" s="21">
        <f t="shared" si="676"/>
        <v>2660</v>
      </c>
      <c r="AU2035" s="21"/>
      <c r="AV2035" s="21"/>
      <c r="AW2035" s="21"/>
    </row>
    <row r="2036" spans="1:49" x14ac:dyDescent="0.2">
      <c r="A2036">
        <v>1074</v>
      </c>
      <c r="E2036">
        <f t="shared" si="671"/>
        <v>3</v>
      </c>
      <c r="J2036" t="str">
        <f t="shared" si="678"/>
        <v>9</v>
      </c>
      <c r="K2036" t="str">
        <f t="shared" si="679"/>
        <v>40</v>
      </c>
      <c r="L2036" t="str">
        <f t="shared" si="680"/>
        <v/>
      </c>
      <c r="M2036" s="6" t="str">
        <f t="shared" si="681"/>
        <v/>
      </c>
      <c r="N2036" t="str">
        <f t="shared" si="677"/>
        <v>Away</v>
      </c>
      <c r="O2036">
        <v>10</v>
      </c>
      <c r="P2036" t="s">
        <v>425</v>
      </c>
      <c r="Y2036" t="str">
        <f t="shared" si="664"/>
        <v/>
      </c>
      <c r="Z2036" t="str">
        <f t="shared" si="665"/>
        <v/>
      </c>
      <c r="AC2036" t="str">
        <f t="shared" si="682"/>
        <v>Faceoff</v>
      </c>
      <c r="AD2036" t="str">
        <f t="shared" si="683"/>
        <v>Faceoff_AfterStoppage</v>
      </c>
      <c r="AE2036" t="str">
        <f t="shared" si="684"/>
        <v/>
      </c>
      <c r="AF2036" t="str">
        <f t="shared" si="666"/>
        <v>Defensive</v>
      </c>
      <c r="AG2036">
        <f t="shared" si="672"/>
        <v>18981</v>
      </c>
      <c r="AH2036" t="str">
        <f t="shared" si="673"/>
        <v>Nelson</v>
      </c>
      <c r="AI2036" t="str">
        <f t="shared" si="674"/>
        <v>Velodrome</v>
      </c>
      <c r="AJ2036" s="18">
        <f t="shared" si="667"/>
        <v>0</v>
      </c>
      <c r="AP2036" s="18">
        <f t="shared" si="668"/>
        <v>0</v>
      </c>
      <c r="AQ2036">
        <f t="shared" si="669"/>
        <v>2160</v>
      </c>
      <c r="AR2036" s="23">
        <f t="shared" si="670"/>
        <v>2660</v>
      </c>
      <c r="AS2036">
        <f t="shared" si="675"/>
        <v>2655</v>
      </c>
      <c r="AT2036" s="21">
        <f t="shared" si="676"/>
        <v>2660</v>
      </c>
      <c r="AU2036" s="21"/>
      <c r="AV2036" s="21"/>
      <c r="AW2036" s="21"/>
    </row>
    <row r="2037" spans="1:49" x14ac:dyDescent="0.2">
      <c r="A2037">
        <v>1075</v>
      </c>
      <c r="E2037">
        <f t="shared" si="671"/>
        <v>3</v>
      </c>
      <c r="F2037" s="5" t="s">
        <v>537</v>
      </c>
      <c r="G2037" s="5" t="s">
        <v>510</v>
      </c>
      <c r="J2037" t="str">
        <f t="shared" si="678"/>
        <v>9</v>
      </c>
      <c r="K2037" t="str">
        <f t="shared" si="679"/>
        <v>38</v>
      </c>
      <c r="L2037" t="str">
        <f t="shared" si="680"/>
        <v/>
      </c>
      <c r="M2037" s="6" t="str">
        <f t="shared" si="681"/>
        <v/>
      </c>
      <c r="N2037" t="s">
        <v>179</v>
      </c>
      <c r="O2037">
        <v>52</v>
      </c>
      <c r="P2037" t="s">
        <v>424</v>
      </c>
      <c r="Q2037" t="s">
        <v>7</v>
      </c>
      <c r="R2037" t="s">
        <v>208</v>
      </c>
      <c r="S2037" t="s">
        <v>53</v>
      </c>
      <c r="Y2037" t="str">
        <f t="shared" si="664"/>
        <v/>
      </c>
      <c r="Z2037" t="str">
        <f t="shared" si="665"/>
        <v/>
      </c>
      <c r="AC2037" t="str">
        <f t="shared" si="682"/>
        <v>Shot</v>
      </c>
      <c r="AD2037" t="str">
        <f t="shared" si="683"/>
        <v>Shot_Blocked</v>
      </c>
      <c r="AE2037" t="str">
        <f t="shared" si="684"/>
        <v>Shot-Wrist</v>
      </c>
      <c r="AF2037" t="str">
        <f t="shared" si="666"/>
        <v>Offensive</v>
      </c>
      <c r="AG2037">
        <f t="shared" si="672"/>
        <v>18981</v>
      </c>
      <c r="AH2037" t="str">
        <f t="shared" si="673"/>
        <v>Nelson</v>
      </c>
      <c r="AI2037" t="str">
        <f t="shared" si="674"/>
        <v>Velodrome</v>
      </c>
      <c r="AJ2037" s="18">
        <f t="shared" si="667"/>
        <v>0</v>
      </c>
      <c r="AP2037" s="18">
        <f t="shared" si="668"/>
        <v>0</v>
      </c>
      <c r="AQ2037">
        <f t="shared" si="669"/>
        <v>2160</v>
      </c>
      <c r="AR2037" s="23">
        <f t="shared" si="670"/>
        <v>2662</v>
      </c>
      <c r="AS2037">
        <f t="shared" si="675"/>
        <v>2657</v>
      </c>
      <c r="AT2037" s="21">
        <f t="shared" si="676"/>
        <v>2662</v>
      </c>
      <c r="AU2037" s="21"/>
      <c r="AV2037" s="21"/>
      <c r="AW2037" s="21"/>
    </row>
    <row r="2038" spans="1:49" x14ac:dyDescent="0.2">
      <c r="A2038">
        <v>1075</v>
      </c>
      <c r="E2038">
        <f t="shared" si="671"/>
        <v>3</v>
      </c>
      <c r="J2038" t="str">
        <f t="shared" si="678"/>
        <v>9</v>
      </c>
      <c r="K2038" t="str">
        <f t="shared" si="679"/>
        <v>38</v>
      </c>
      <c r="L2038" t="str">
        <f t="shared" si="680"/>
        <v/>
      </c>
      <c r="M2038" s="6" t="str">
        <f t="shared" si="681"/>
        <v/>
      </c>
      <c r="N2038" t="str">
        <f t="shared" si="677"/>
        <v>Away</v>
      </c>
      <c r="O2038">
        <v>23</v>
      </c>
      <c r="P2038" t="s">
        <v>425</v>
      </c>
      <c r="Y2038" t="str">
        <f t="shared" si="664"/>
        <v/>
      </c>
      <c r="Z2038" t="str">
        <f t="shared" si="665"/>
        <v/>
      </c>
      <c r="AC2038" t="str">
        <f t="shared" si="682"/>
        <v>Shot</v>
      </c>
      <c r="AD2038" t="str">
        <f t="shared" si="683"/>
        <v>Shot_Blocked</v>
      </c>
      <c r="AE2038" t="str">
        <f t="shared" si="684"/>
        <v>Shot-Wrist</v>
      </c>
      <c r="AF2038" t="str">
        <f t="shared" si="666"/>
        <v>Defensive</v>
      </c>
      <c r="AG2038">
        <f t="shared" si="672"/>
        <v>18981</v>
      </c>
      <c r="AH2038" t="str">
        <f t="shared" si="673"/>
        <v>Nelson</v>
      </c>
      <c r="AI2038" t="str">
        <f t="shared" si="674"/>
        <v>Velodrome</v>
      </c>
      <c r="AJ2038" s="18">
        <f t="shared" si="667"/>
        <v>0</v>
      </c>
      <c r="AP2038" s="18">
        <f t="shared" si="668"/>
        <v>0</v>
      </c>
      <c r="AQ2038">
        <f t="shared" si="669"/>
        <v>2160</v>
      </c>
      <c r="AR2038" s="23">
        <f t="shared" si="670"/>
        <v>2662</v>
      </c>
      <c r="AS2038">
        <f t="shared" si="675"/>
        <v>2657</v>
      </c>
      <c r="AT2038" s="21">
        <f t="shared" si="676"/>
        <v>2662</v>
      </c>
      <c r="AU2038" s="21"/>
      <c r="AV2038" s="21"/>
      <c r="AW2038" s="21"/>
    </row>
    <row r="2039" spans="1:49" x14ac:dyDescent="0.2">
      <c r="A2039">
        <v>1076</v>
      </c>
      <c r="E2039">
        <f t="shared" si="671"/>
        <v>3</v>
      </c>
      <c r="F2039" s="5" t="s">
        <v>537</v>
      </c>
      <c r="G2039" s="5" t="s">
        <v>505</v>
      </c>
      <c r="J2039" t="str">
        <f t="shared" si="678"/>
        <v>9</v>
      </c>
      <c r="K2039" t="str">
        <f t="shared" si="679"/>
        <v>33</v>
      </c>
      <c r="L2039" t="str">
        <f t="shared" si="680"/>
        <v/>
      </c>
      <c r="M2039" s="6" t="str">
        <f t="shared" si="681"/>
        <v/>
      </c>
      <c r="N2039" t="s">
        <v>179</v>
      </c>
      <c r="O2039">
        <v>22</v>
      </c>
      <c r="P2039" t="s">
        <v>424</v>
      </c>
      <c r="Q2039" t="s">
        <v>277</v>
      </c>
      <c r="R2039" t="s">
        <v>210</v>
      </c>
      <c r="S2039" t="s">
        <v>93</v>
      </c>
      <c r="Y2039" t="str">
        <f t="shared" si="664"/>
        <v/>
      </c>
      <c r="Z2039" t="str">
        <f t="shared" si="665"/>
        <v/>
      </c>
      <c r="AC2039" t="str">
        <f t="shared" si="682"/>
        <v>Zone_Entry_Exit</v>
      </c>
      <c r="AD2039" t="str">
        <f t="shared" si="683"/>
        <v>Zone_Keepin</v>
      </c>
      <c r="AE2039" t="str">
        <f t="shared" si="684"/>
        <v>Zone-KeepIn</v>
      </c>
      <c r="AF2039" t="str">
        <f t="shared" si="666"/>
        <v>Offensive</v>
      </c>
      <c r="AG2039">
        <f t="shared" si="672"/>
        <v>18981</v>
      </c>
      <c r="AH2039" t="str">
        <f t="shared" si="673"/>
        <v>Nelson</v>
      </c>
      <c r="AI2039" t="str">
        <f t="shared" si="674"/>
        <v>Velodrome</v>
      </c>
      <c r="AJ2039" s="18">
        <f t="shared" si="667"/>
        <v>0</v>
      </c>
      <c r="AP2039" s="18">
        <f t="shared" si="668"/>
        <v>0</v>
      </c>
      <c r="AQ2039">
        <f t="shared" si="669"/>
        <v>2160</v>
      </c>
      <c r="AR2039" s="23">
        <f t="shared" si="670"/>
        <v>2667</v>
      </c>
      <c r="AS2039">
        <f t="shared" si="675"/>
        <v>2662</v>
      </c>
      <c r="AT2039" s="21">
        <f t="shared" si="676"/>
        <v>2667</v>
      </c>
      <c r="AU2039" s="21"/>
      <c r="AV2039" s="21"/>
      <c r="AW2039" s="21"/>
    </row>
    <row r="2040" spans="1:49" x14ac:dyDescent="0.2">
      <c r="A2040">
        <v>1076</v>
      </c>
      <c r="E2040">
        <f t="shared" si="671"/>
        <v>3</v>
      </c>
      <c r="J2040" t="str">
        <f t="shared" si="678"/>
        <v>9</v>
      </c>
      <c r="K2040" t="str">
        <f t="shared" si="679"/>
        <v>33</v>
      </c>
      <c r="L2040" t="str">
        <f t="shared" si="680"/>
        <v/>
      </c>
      <c r="M2040" s="6" t="str">
        <f t="shared" si="681"/>
        <v/>
      </c>
      <c r="N2040" t="str">
        <f t="shared" si="677"/>
        <v>Away</v>
      </c>
      <c r="O2040">
        <v>23</v>
      </c>
      <c r="P2040" t="s">
        <v>425</v>
      </c>
      <c r="Y2040" t="str">
        <f t="shared" si="664"/>
        <v/>
      </c>
      <c r="Z2040" t="str">
        <f t="shared" si="665"/>
        <v/>
      </c>
      <c r="AC2040" t="str">
        <f t="shared" si="682"/>
        <v>Zone_Entry_Exit</v>
      </c>
      <c r="AD2040" t="str">
        <f t="shared" si="683"/>
        <v>Zone_Keepin</v>
      </c>
      <c r="AE2040" t="str">
        <f t="shared" si="684"/>
        <v>Zone-KeepIn</v>
      </c>
      <c r="AF2040" t="str">
        <f t="shared" si="666"/>
        <v>Defensive</v>
      </c>
      <c r="AG2040">
        <f t="shared" si="672"/>
        <v>18981</v>
      </c>
      <c r="AH2040" t="str">
        <f t="shared" si="673"/>
        <v>Nelson</v>
      </c>
      <c r="AI2040" t="str">
        <f t="shared" si="674"/>
        <v>Velodrome</v>
      </c>
      <c r="AJ2040" s="18">
        <f t="shared" si="667"/>
        <v>0</v>
      </c>
      <c r="AP2040" s="18">
        <f t="shared" si="668"/>
        <v>0</v>
      </c>
      <c r="AQ2040">
        <f t="shared" si="669"/>
        <v>2160</v>
      </c>
      <c r="AR2040" s="23">
        <f t="shared" si="670"/>
        <v>2667</v>
      </c>
      <c r="AS2040">
        <f t="shared" si="675"/>
        <v>2662</v>
      </c>
      <c r="AT2040" s="21">
        <f t="shared" si="676"/>
        <v>2667</v>
      </c>
      <c r="AU2040" s="21"/>
      <c r="AV2040" s="21"/>
      <c r="AW2040" s="21"/>
    </row>
    <row r="2041" spans="1:49" x14ac:dyDescent="0.2">
      <c r="A2041">
        <v>1077</v>
      </c>
      <c r="E2041">
        <f t="shared" si="671"/>
        <v>3</v>
      </c>
      <c r="F2041" s="5" t="s">
        <v>537</v>
      </c>
      <c r="G2041" s="5" t="s">
        <v>505</v>
      </c>
      <c r="H2041" s="5" t="s">
        <v>537</v>
      </c>
      <c r="I2041" s="7" t="s">
        <v>503</v>
      </c>
      <c r="J2041" t="str">
        <f t="shared" si="678"/>
        <v>9</v>
      </c>
      <c r="K2041" t="str">
        <f t="shared" si="679"/>
        <v>33</v>
      </c>
      <c r="L2041" t="str">
        <f t="shared" si="680"/>
        <v>9</v>
      </c>
      <c r="M2041" s="6" t="str">
        <f t="shared" si="681"/>
        <v>31</v>
      </c>
      <c r="N2041" t="s">
        <v>179</v>
      </c>
      <c r="O2041">
        <v>22</v>
      </c>
      <c r="P2041" t="s">
        <v>424</v>
      </c>
      <c r="Q2041" t="s">
        <v>15</v>
      </c>
      <c r="Y2041" t="str">
        <f t="shared" si="664"/>
        <v/>
      </c>
      <c r="Z2041" t="str">
        <f t="shared" si="665"/>
        <v/>
      </c>
      <c r="AC2041" t="str">
        <f t="shared" si="682"/>
        <v>Possession</v>
      </c>
      <c r="AD2041" t="str">
        <f t="shared" si="683"/>
        <v/>
      </c>
      <c r="AE2041" t="str">
        <f t="shared" si="684"/>
        <v/>
      </c>
      <c r="AF2041" t="str">
        <f t="shared" si="666"/>
        <v>Offensive</v>
      </c>
      <c r="AG2041">
        <f t="shared" si="672"/>
        <v>18981</v>
      </c>
      <c r="AH2041" t="str">
        <f t="shared" si="673"/>
        <v>Nelson</v>
      </c>
      <c r="AI2041" t="str">
        <f t="shared" si="674"/>
        <v>Velodrome</v>
      </c>
      <c r="AJ2041" s="18">
        <f t="shared" si="667"/>
        <v>2</v>
      </c>
      <c r="AP2041" s="18">
        <f t="shared" si="668"/>
        <v>0</v>
      </c>
      <c r="AQ2041">
        <f t="shared" si="669"/>
        <v>2160</v>
      </c>
      <c r="AR2041" s="23">
        <f t="shared" si="670"/>
        <v>2667</v>
      </c>
      <c r="AS2041">
        <f t="shared" si="675"/>
        <v>2662</v>
      </c>
      <c r="AT2041" s="21">
        <f t="shared" si="676"/>
        <v>2669</v>
      </c>
      <c r="AU2041" s="21"/>
      <c r="AV2041" s="21"/>
      <c r="AW2041" s="21"/>
    </row>
    <row r="2042" spans="1:49" x14ac:dyDescent="0.2">
      <c r="A2042">
        <v>1077</v>
      </c>
      <c r="E2042">
        <f t="shared" si="671"/>
        <v>3</v>
      </c>
      <c r="J2042" t="str">
        <f t="shared" si="678"/>
        <v>9</v>
      </c>
      <c r="K2042" t="str">
        <f t="shared" si="679"/>
        <v>33</v>
      </c>
      <c r="L2042" t="str">
        <f t="shared" si="680"/>
        <v>9</v>
      </c>
      <c r="M2042" s="6" t="str">
        <f t="shared" si="681"/>
        <v>31</v>
      </c>
      <c r="N2042" t="str">
        <f t="shared" si="677"/>
        <v>Away</v>
      </c>
      <c r="O2042">
        <v>23</v>
      </c>
      <c r="P2042" t="s">
        <v>425</v>
      </c>
      <c r="Y2042" t="str">
        <f t="shared" si="664"/>
        <v/>
      </c>
      <c r="Z2042" t="str">
        <f t="shared" si="665"/>
        <v/>
      </c>
      <c r="AC2042" t="str">
        <f t="shared" si="682"/>
        <v>Possession</v>
      </c>
      <c r="AD2042" t="str">
        <f t="shared" si="683"/>
        <v/>
      </c>
      <c r="AE2042" t="str">
        <f t="shared" si="684"/>
        <v/>
      </c>
      <c r="AF2042" t="str">
        <f t="shared" si="666"/>
        <v>Defensive</v>
      </c>
      <c r="AG2042">
        <f t="shared" si="672"/>
        <v>18981</v>
      </c>
      <c r="AH2042" t="str">
        <f t="shared" si="673"/>
        <v>Nelson</v>
      </c>
      <c r="AI2042" t="str">
        <f t="shared" si="674"/>
        <v>Velodrome</v>
      </c>
      <c r="AJ2042" s="18">
        <f t="shared" si="667"/>
        <v>2</v>
      </c>
      <c r="AP2042" s="18">
        <f t="shared" si="668"/>
        <v>0</v>
      </c>
      <c r="AQ2042">
        <f t="shared" si="669"/>
        <v>2160</v>
      </c>
      <c r="AR2042" s="23">
        <f t="shared" si="670"/>
        <v>2667</v>
      </c>
      <c r="AS2042">
        <f t="shared" si="675"/>
        <v>2662</v>
      </c>
      <c r="AT2042" s="21">
        <f t="shared" si="676"/>
        <v>2669</v>
      </c>
      <c r="AU2042" s="21"/>
      <c r="AV2042" s="21"/>
      <c r="AW2042" s="21"/>
    </row>
    <row r="2043" spans="1:49" x14ac:dyDescent="0.2">
      <c r="A2043">
        <v>1078</v>
      </c>
      <c r="E2043">
        <f t="shared" si="671"/>
        <v>3</v>
      </c>
      <c r="F2043" s="5" t="s">
        <v>537</v>
      </c>
      <c r="G2043" s="5" t="s">
        <v>503</v>
      </c>
      <c r="J2043" t="str">
        <f t="shared" si="678"/>
        <v>9</v>
      </c>
      <c r="K2043" t="str">
        <f t="shared" si="679"/>
        <v>31</v>
      </c>
      <c r="L2043" t="str">
        <f t="shared" si="680"/>
        <v/>
      </c>
      <c r="M2043" s="6" t="str">
        <f t="shared" si="681"/>
        <v/>
      </c>
      <c r="N2043" t="s">
        <v>179</v>
      </c>
      <c r="O2043">
        <v>22</v>
      </c>
      <c r="P2043" t="s">
        <v>424</v>
      </c>
      <c r="Q2043" t="s">
        <v>7</v>
      </c>
      <c r="R2043" t="s">
        <v>198</v>
      </c>
      <c r="S2043" t="s">
        <v>53</v>
      </c>
      <c r="Y2043" t="str">
        <f t="shared" si="664"/>
        <v/>
      </c>
      <c r="Z2043" t="str">
        <f t="shared" si="665"/>
        <v/>
      </c>
      <c r="AC2043" t="str">
        <f t="shared" si="682"/>
        <v>Shot</v>
      </c>
      <c r="AD2043" t="str">
        <f t="shared" si="683"/>
        <v>Shot_Missed</v>
      </c>
      <c r="AE2043" t="str">
        <f t="shared" si="684"/>
        <v>Shot-Wrist</v>
      </c>
      <c r="AF2043" t="str">
        <f t="shared" si="666"/>
        <v>Offensive</v>
      </c>
      <c r="AG2043">
        <f t="shared" si="672"/>
        <v>18981</v>
      </c>
      <c r="AH2043" t="str">
        <f t="shared" si="673"/>
        <v>Nelson</v>
      </c>
      <c r="AI2043" t="str">
        <f t="shared" si="674"/>
        <v>Velodrome</v>
      </c>
      <c r="AJ2043" s="18">
        <f t="shared" si="667"/>
        <v>0</v>
      </c>
      <c r="AP2043" s="18">
        <f t="shared" si="668"/>
        <v>0</v>
      </c>
      <c r="AQ2043">
        <f t="shared" si="669"/>
        <v>2160</v>
      </c>
      <c r="AR2043" s="23">
        <f t="shared" si="670"/>
        <v>2669</v>
      </c>
      <c r="AS2043">
        <f t="shared" si="675"/>
        <v>2664</v>
      </c>
      <c r="AT2043" s="21">
        <f t="shared" si="676"/>
        <v>2669</v>
      </c>
      <c r="AU2043" s="21"/>
      <c r="AV2043" s="21"/>
      <c r="AW2043" s="21"/>
    </row>
    <row r="2044" spans="1:49" x14ac:dyDescent="0.2">
      <c r="A2044">
        <v>1079</v>
      </c>
      <c r="E2044">
        <f t="shared" si="671"/>
        <v>3</v>
      </c>
      <c r="F2044" s="5" t="s">
        <v>537</v>
      </c>
      <c r="G2044" s="5" t="s">
        <v>500</v>
      </c>
      <c r="J2044" t="str">
        <f t="shared" si="678"/>
        <v>9</v>
      </c>
      <c r="K2044" t="str">
        <f t="shared" si="679"/>
        <v>28</v>
      </c>
      <c r="L2044" t="str">
        <f t="shared" si="680"/>
        <v/>
      </c>
      <c r="M2044" s="6" t="str">
        <f t="shared" si="681"/>
        <v/>
      </c>
      <c r="N2044" t="s">
        <v>179</v>
      </c>
      <c r="O2044">
        <v>52</v>
      </c>
      <c r="P2044" t="s">
        <v>424</v>
      </c>
      <c r="Q2044" t="s">
        <v>277</v>
      </c>
      <c r="R2044" t="s">
        <v>210</v>
      </c>
      <c r="S2044" t="s">
        <v>93</v>
      </c>
      <c r="Y2044" t="str">
        <f t="shared" si="664"/>
        <v/>
      </c>
      <c r="Z2044" t="str">
        <f t="shared" si="665"/>
        <v/>
      </c>
      <c r="AC2044" t="str">
        <f t="shared" si="682"/>
        <v>Zone_Entry_Exit</v>
      </c>
      <c r="AD2044" t="str">
        <f t="shared" si="683"/>
        <v>Zone_Keepin</v>
      </c>
      <c r="AE2044" t="str">
        <f t="shared" si="684"/>
        <v>Zone-KeepIn</v>
      </c>
      <c r="AF2044" t="str">
        <f t="shared" si="666"/>
        <v>Offensive</v>
      </c>
      <c r="AG2044">
        <f t="shared" si="672"/>
        <v>18981</v>
      </c>
      <c r="AH2044" t="str">
        <f t="shared" si="673"/>
        <v>Nelson</v>
      </c>
      <c r="AI2044" t="str">
        <f t="shared" si="674"/>
        <v>Velodrome</v>
      </c>
      <c r="AJ2044" s="18">
        <f t="shared" si="667"/>
        <v>0</v>
      </c>
      <c r="AP2044" s="18">
        <f t="shared" si="668"/>
        <v>0</v>
      </c>
      <c r="AQ2044">
        <f t="shared" si="669"/>
        <v>2160</v>
      </c>
      <c r="AR2044" s="23">
        <f t="shared" si="670"/>
        <v>2672</v>
      </c>
      <c r="AS2044">
        <f t="shared" si="675"/>
        <v>2667</v>
      </c>
      <c r="AT2044" s="21">
        <f t="shared" si="676"/>
        <v>2672</v>
      </c>
      <c r="AU2044" s="21"/>
      <c r="AV2044" s="21"/>
      <c r="AW2044" s="21"/>
    </row>
    <row r="2045" spans="1:49" x14ac:dyDescent="0.2">
      <c r="A2045">
        <v>1080</v>
      </c>
      <c r="E2045">
        <f t="shared" si="671"/>
        <v>3</v>
      </c>
      <c r="F2045" s="5" t="s">
        <v>537</v>
      </c>
      <c r="G2045" s="5" t="s">
        <v>499</v>
      </c>
      <c r="J2045" t="str">
        <f t="shared" si="678"/>
        <v>9</v>
      </c>
      <c r="K2045" t="str">
        <f t="shared" si="679"/>
        <v>27</v>
      </c>
      <c r="L2045" t="str">
        <f t="shared" si="680"/>
        <v/>
      </c>
      <c r="M2045" s="6" t="str">
        <f t="shared" si="681"/>
        <v/>
      </c>
      <c r="N2045" t="s">
        <v>179</v>
      </c>
      <c r="O2045">
        <v>52</v>
      </c>
      <c r="P2045" t="s">
        <v>424</v>
      </c>
      <c r="Q2045" t="s">
        <v>7</v>
      </c>
      <c r="R2045" t="s">
        <v>198</v>
      </c>
      <c r="S2045" t="s">
        <v>53</v>
      </c>
      <c r="Y2045" t="str">
        <f t="shared" si="664"/>
        <v/>
      </c>
      <c r="Z2045" t="str">
        <f t="shared" si="665"/>
        <v/>
      </c>
      <c r="AC2045" t="str">
        <f t="shared" si="682"/>
        <v>Shot</v>
      </c>
      <c r="AD2045" t="str">
        <f t="shared" si="683"/>
        <v>Shot_Missed</v>
      </c>
      <c r="AE2045" t="str">
        <f t="shared" si="684"/>
        <v>Shot-Wrist</v>
      </c>
      <c r="AF2045" t="str">
        <f t="shared" si="666"/>
        <v>Offensive</v>
      </c>
      <c r="AG2045">
        <f t="shared" si="672"/>
        <v>18981</v>
      </c>
      <c r="AH2045" t="str">
        <f t="shared" si="673"/>
        <v>Nelson</v>
      </c>
      <c r="AI2045" t="str">
        <f t="shared" si="674"/>
        <v>Velodrome</v>
      </c>
      <c r="AJ2045" s="18">
        <f t="shared" si="667"/>
        <v>0</v>
      </c>
      <c r="AP2045" s="18">
        <f t="shared" si="668"/>
        <v>0</v>
      </c>
      <c r="AQ2045">
        <f t="shared" si="669"/>
        <v>2160</v>
      </c>
      <c r="AR2045" s="23">
        <f t="shared" si="670"/>
        <v>2673</v>
      </c>
      <c r="AS2045">
        <f t="shared" si="675"/>
        <v>2668</v>
      </c>
      <c r="AT2045" s="21">
        <f t="shared" si="676"/>
        <v>2673</v>
      </c>
      <c r="AU2045" s="21"/>
      <c r="AV2045" s="21"/>
      <c r="AW2045" s="21"/>
    </row>
    <row r="2046" spans="1:49" x14ac:dyDescent="0.2">
      <c r="A2046">
        <v>1080</v>
      </c>
      <c r="E2046">
        <f t="shared" si="671"/>
        <v>3</v>
      </c>
      <c r="J2046" t="str">
        <f t="shared" si="678"/>
        <v>9</v>
      </c>
      <c r="K2046" t="str">
        <f t="shared" si="679"/>
        <v>27</v>
      </c>
      <c r="L2046" t="str">
        <f t="shared" si="680"/>
        <v/>
      </c>
      <c r="M2046" s="6" t="str">
        <f t="shared" si="681"/>
        <v/>
      </c>
      <c r="N2046" t="str">
        <f t="shared" si="677"/>
        <v>Away</v>
      </c>
      <c r="O2046">
        <v>44</v>
      </c>
      <c r="P2046" t="s">
        <v>425</v>
      </c>
      <c r="Y2046" t="str">
        <f t="shared" si="664"/>
        <v/>
      </c>
      <c r="Z2046" t="str">
        <f t="shared" si="665"/>
        <v/>
      </c>
      <c r="AC2046" t="str">
        <f t="shared" si="682"/>
        <v>Shot</v>
      </c>
      <c r="AD2046" t="str">
        <f t="shared" si="683"/>
        <v>Shot_Missed</v>
      </c>
      <c r="AE2046" t="str">
        <f t="shared" si="684"/>
        <v>Shot-Wrist</v>
      </c>
      <c r="AF2046" t="str">
        <f t="shared" si="666"/>
        <v>Defensive</v>
      </c>
      <c r="AG2046">
        <f t="shared" si="672"/>
        <v>18981</v>
      </c>
      <c r="AH2046" t="str">
        <f t="shared" si="673"/>
        <v>Nelson</v>
      </c>
      <c r="AI2046" t="str">
        <f t="shared" si="674"/>
        <v>Velodrome</v>
      </c>
      <c r="AJ2046" s="18">
        <f t="shared" si="667"/>
        <v>0</v>
      </c>
      <c r="AP2046" s="18">
        <f t="shared" si="668"/>
        <v>0</v>
      </c>
      <c r="AQ2046">
        <f t="shared" si="669"/>
        <v>2160</v>
      </c>
      <c r="AR2046" s="23">
        <f t="shared" si="670"/>
        <v>2673</v>
      </c>
      <c r="AS2046">
        <f t="shared" si="675"/>
        <v>2668</v>
      </c>
      <c r="AT2046" s="21">
        <f t="shared" si="676"/>
        <v>2673</v>
      </c>
      <c r="AU2046" s="21"/>
      <c r="AV2046" s="21"/>
      <c r="AW2046" s="21"/>
    </row>
    <row r="2047" spans="1:49" x14ac:dyDescent="0.2">
      <c r="A2047">
        <v>1081</v>
      </c>
      <c r="E2047">
        <f t="shared" si="671"/>
        <v>3</v>
      </c>
      <c r="F2047" s="5" t="s">
        <v>537</v>
      </c>
      <c r="G2047" s="5" t="s">
        <v>498</v>
      </c>
      <c r="H2047" s="5" t="s">
        <v>537</v>
      </c>
      <c r="I2047" s="7" t="s">
        <v>490</v>
      </c>
      <c r="J2047" t="str">
        <f t="shared" si="678"/>
        <v>9</v>
      </c>
      <c r="K2047" t="str">
        <f t="shared" si="679"/>
        <v>26</v>
      </c>
      <c r="L2047" t="str">
        <f t="shared" si="680"/>
        <v>9</v>
      </c>
      <c r="M2047" s="6" t="str">
        <f t="shared" si="681"/>
        <v>18</v>
      </c>
      <c r="N2047" t="s">
        <v>179</v>
      </c>
      <c r="O2047">
        <v>87</v>
      </c>
      <c r="P2047" t="s">
        <v>424</v>
      </c>
      <c r="Q2047" t="s">
        <v>15</v>
      </c>
      <c r="Y2047" t="str">
        <f t="shared" si="664"/>
        <v/>
      </c>
      <c r="Z2047" t="str">
        <f t="shared" si="665"/>
        <v/>
      </c>
      <c r="AC2047" t="str">
        <f t="shared" si="682"/>
        <v>Possession</v>
      </c>
      <c r="AD2047" t="str">
        <f t="shared" si="683"/>
        <v/>
      </c>
      <c r="AE2047" t="str">
        <f t="shared" si="684"/>
        <v/>
      </c>
      <c r="AF2047" t="str">
        <f t="shared" si="666"/>
        <v>Offensive</v>
      </c>
      <c r="AG2047">
        <f t="shared" si="672"/>
        <v>18981</v>
      </c>
      <c r="AH2047" t="str">
        <f t="shared" si="673"/>
        <v>Nelson</v>
      </c>
      <c r="AI2047" t="str">
        <f t="shared" si="674"/>
        <v>Velodrome</v>
      </c>
      <c r="AJ2047" s="18">
        <f t="shared" si="667"/>
        <v>8</v>
      </c>
      <c r="AP2047" s="18">
        <f t="shared" si="668"/>
        <v>0</v>
      </c>
      <c r="AQ2047">
        <f t="shared" si="669"/>
        <v>2160</v>
      </c>
      <c r="AR2047" s="23">
        <f t="shared" si="670"/>
        <v>2674</v>
      </c>
      <c r="AS2047">
        <f t="shared" si="675"/>
        <v>2669</v>
      </c>
      <c r="AT2047" s="21">
        <f t="shared" si="676"/>
        <v>2682</v>
      </c>
      <c r="AU2047" s="21"/>
      <c r="AV2047" s="21"/>
      <c r="AW2047" s="21"/>
    </row>
    <row r="2048" spans="1:49" x14ac:dyDescent="0.2">
      <c r="A2048">
        <v>1081</v>
      </c>
      <c r="E2048">
        <f t="shared" si="671"/>
        <v>3</v>
      </c>
      <c r="J2048" t="str">
        <f t="shared" si="678"/>
        <v>9</v>
      </c>
      <c r="K2048" t="str">
        <f t="shared" si="679"/>
        <v>26</v>
      </c>
      <c r="L2048" t="str">
        <f t="shared" si="680"/>
        <v>9</v>
      </c>
      <c r="M2048" s="6" t="str">
        <f t="shared" si="681"/>
        <v>18</v>
      </c>
      <c r="N2048" t="str">
        <f t="shared" si="677"/>
        <v>Away</v>
      </c>
      <c r="O2048">
        <v>37</v>
      </c>
      <c r="P2048" t="s">
        <v>425</v>
      </c>
      <c r="Y2048" t="str">
        <f t="shared" si="664"/>
        <v/>
      </c>
      <c r="Z2048" t="str">
        <f t="shared" si="665"/>
        <v/>
      </c>
      <c r="AC2048" t="str">
        <f t="shared" si="682"/>
        <v>Possession</v>
      </c>
      <c r="AD2048" t="str">
        <f t="shared" si="683"/>
        <v/>
      </c>
      <c r="AE2048" t="str">
        <f t="shared" si="684"/>
        <v/>
      </c>
      <c r="AF2048" t="str">
        <f t="shared" si="666"/>
        <v>Defensive</v>
      </c>
      <c r="AG2048">
        <f t="shared" si="672"/>
        <v>18981</v>
      </c>
      <c r="AH2048" t="str">
        <f t="shared" si="673"/>
        <v>Nelson</v>
      </c>
      <c r="AI2048" t="str">
        <f t="shared" si="674"/>
        <v>Velodrome</v>
      </c>
      <c r="AJ2048" s="18">
        <f t="shared" si="667"/>
        <v>8</v>
      </c>
      <c r="AP2048" s="18">
        <f t="shared" si="668"/>
        <v>0</v>
      </c>
      <c r="AQ2048">
        <f t="shared" si="669"/>
        <v>2160</v>
      </c>
      <c r="AR2048" s="23">
        <f t="shared" si="670"/>
        <v>2674</v>
      </c>
      <c r="AS2048">
        <f t="shared" si="675"/>
        <v>2669</v>
      </c>
      <c r="AT2048" s="21">
        <f t="shared" si="676"/>
        <v>2682</v>
      </c>
      <c r="AU2048" s="21"/>
      <c r="AV2048" s="21"/>
      <c r="AW2048" s="21"/>
    </row>
    <row r="2049" spans="1:49" x14ac:dyDescent="0.2">
      <c r="A2049">
        <v>1082</v>
      </c>
      <c r="E2049">
        <f t="shared" si="671"/>
        <v>3</v>
      </c>
      <c r="F2049" s="5" t="s">
        <v>537</v>
      </c>
      <c r="G2049" s="5" t="s">
        <v>490</v>
      </c>
      <c r="J2049" t="str">
        <f t="shared" si="678"/>
        <v>9</v>
      </c>
      <c r="K2049" t="str">
        <f t="shared" si="679"/>
        <v>18</v>
      </c>
      <c r="L2049" t="str">
        <f t="shared" si="680"/>
        <v/>
      </c>
      <c r="M2049" s="6" t="str">
        <f t="shared" si="681"/>
        <v/>
      </c>
      <c r="N2049" t="s">
        <v>178</v>
      </c>
      <c r="O2049">
        <v>37</v>
      </c>
      <c r="P2049" t="s">
        <v>424</v>
      </c>
      <c r="Q2049" t="s">
        <v>247</v>
      </c>
      <c r="R2049" t="s">
        <v>446</v>
      </c>
      <c r="S2049" t="s">
        <v>559</v>
      </c>
      <c r="Y2049" t="str">
        <f t="shared" si="664"/>
        <v/>
      </c>
      <c r="Z2049" t="str">
        <f t="shared" si="665"/>
        <v/>
      </c>
      <c r="AC2049" t="str">
        <f t="shared" si="682"/>
        <v>Play</v>
      </c>
      <c r="AD2049" t="str">
        <f t="shared" si="683"/>
        <v>Play_Defensive</v>
      </c>
      <c r="AE2049" t="str">
        <f t="shared" si="684"/>
        <v>Play-PokeCheck</v>
      </c>
      <c r="AF2049" t="str">
        <f t="shared" si="666"/>
        <v>Defensive</v>
      </c>
      <c r="AG2049">
        <f t="shared" si="672"/>
        <v>18981</v>
      </c>
      <c r="AH2049" t="str">
        <f t="shared" si="673"/>
        <v>Nelson</v>
      </c>
      <c r="AI2049" t="str">
        <f t="shared" si="674"/>
        <v>Velodrome</v>
      </c>
      <c r="AJ2049" s="18">
        <f t="shared" si="667"/>
        <v>0</v>
      </c>
      <c r="AP2049" s="18">
        <f t="shared" si="668"/>
        <v>0</v>
      </c>
      <c r="AQ2049">
        <f t="shared" si="669"/>
        <v>2160</v>
      </c>
      <c r="AR2049" s="23">
        <f t="shared" si="670"/>
        <v>2682</v>
      </c>
      <c r="AS2049">
        <f t="shared" si="675"/>
        <v>2677</v>
      </c>
      <c r="AT2049" s="21">
        <f t="shared" si="676"/>
        <v>2682</v>
      </c>
      <c r="AU2049" s="21"/>
      <c r="AV2049" s="21"/>
      <c r="AW2049" s="21"/>
    </row>
    <row r="2050" spans="1:49" x14ac:dyDescent="0.2">
      <c r="A2050">
        <v>1082</v>
      </c>
      <c r="E2050">
        <f t="shared" si="671"/>
        <v>3</v>
      </c>
      <c r="J2050" t="str">
        <f t="shared" si="678"/>
        <v>9</v>
      </c>
      <c r="K2050" t="str">
        <f t="shared" si="679"/>
        <v>18</v>
      </c>
      <c r="L2050" t="str">
        <f t="shared" si="680"/>
        <v/>
      </c>
      <c r="M2050" s="6" t="str">
        <f t="shared" si="681"/>
        <v/>
      </c>
      <c r="N2050" t="str">
        <f t="shared" si="677"/>
        <v>Home</v>
      </c>
      <c r="O2050">
        <v>87</v>
      </c>
      <c r="P2050" t="s">
        <v>425</v>
      </c>
      <c r="Y2050" t="str">
        <f t="shared" si="664"/>
        <v/>
      </c>
      <c r="Z2050" t="str">
        <f t="shared" si="665"/>
        <v/>
      </c>
      <c r="AC2050" t="str">
        <f t="shared" si="682"/>
        <v>Play</v>
      </c>
      <c r="AD2050" t="str">
        <f t="shared" si="683"/>
        <v>Play_Defensive</v>
      </c>
      <c r="AE2050" t="str">
        <f t="shared" si="684"/>
        <v>Play-PokeCheck</v>
      </c>
      <c r="AF2050" t="str">
        <f t="shared" si="666"/>
        <v>Offensive</v>
      </c>
      <c r="AG2050">
        <f t="shared" si="672"/>
        <v>18981</v>
      </c>
      <c r="AH2050" t="str">
        <f t="shared" si="673"/>
        <v>Nelson</v>
      </c>
      <c r="AI2050" t="str">
        <f t="shared" si="674"/>
        <v>Velodrome</v>
      </c>
      <c r="AJ2050" s="18">
        <f t="shared" si="667"/>
        <v>0</v>
      </c>
      <c r="AP2050" s="18">
        <f t="shared" si="668"/>
        <v>0</v>
      </c>
      <c r="AQ2050">
        <f t="shared" si="669"/>
        <v>2160</v>
      </c>
      <c r="AR2050" s="23">
        <f t="shared" si="670"/>
        <v>2682</v>
      </c>
      <c r="AS2050">
        <f t="shared" si="675"/>
        <v>2677</v>
      </c>
      <c r="AT2050" s="21">
        <f t="shared" si="676"/>
        <v>2682</v>
      </c>
      <c r="AU2050" s="21"/>
      <c r="AV2050" s="21"/>
      <c r="AW2050" s="21"/>
    </row>
    <row r="2051" spans="1:49" x14ac:dyDescent="0.2">
      <c r="A2051">
        <v>1083</v>
      </c>
      <c r="E2051">
        <f t="shared" si="671"/>
        <v>3</v>
      </c>
      <c r="F2051" s="5" t="s">
        <v>537</v>
      </c>
      <c r="G2051" s="5" t="s">
        <v>472</v>
      </c>
      <c r="J2051" t="str">
        <f t="shared" si="678"/>
        <v>9</v>
      </c>
      <c r="K2051" t="str">
        <f t="shared" si="679"/>
        <v>17</v>
      </c>
      <c r="L2051" t="str">
        <f t="shared" si="680"/>
        <v/>
      </c>
      <c r="M2051" s="6" t="str">
        <f t="shared" si="681"/>
        <v/>
      </c>
      <c r="N2051" t="s">
        <v>179</v>
      </c>
      <c r="O2051">
        <v>52</v>
      </c>
      <c r="P2051" t="s">
        <v>424</v>
      </c>
      <c r="Q2051" t="s">
        <v>277</v>
      </c>
      <c r="R2051" t="s">
        <v>210</v>
      </c>
      <c r="S2051" t="s">
        <v>93</v>
      </c>
      <c r="Y2051" t="str">
        <f t="shared" ref="Y2051:Y2114" si="685">IF($N2051="","",IF(X2051="","",IF($N2051="Home",$X2051,IF($X2051="n","n",IF($X2051="d","o",IF($X2051="o","d",""))))))</f>
        <v/>
      </c>
      <c r="Z2051" t="str">
        <f t="shared" ref="Z2051:Z2114" si="686">IF($N2051="","",IF(X2051="","",IF($N2051="Away",$X2051,IF($X2051="n","n",IF($X2051="d","o",IF($X2051="o","d",""))))))</f>
        <v/>
      </c>
      <c r="AC2051" t="str">
        <f t="shared" si="682"/>
        <v>Zone_Entry_Exit</v>
      </c>
      <c r="AD2051" t="str">
        <f t="shared" si="683"/>
        <v>Zone_Keepin</v>
      </c>
      <c r="AE2051" t="str">
        <f t="shared" si="684"/>
        <v>Zone-KeepIn</v>
      </c>
      <c r="AF2051" t="str">
        <f t="shared" ref="AF2051:AF2114" si="687">IF(AND(P2051="e",OR(AC2051="Save",AD2051="Turnover_Takeaway",AD2051="Play_Defensive")),"Defensive",IF(AND(P2051="o",OR(AC2051="Save",AD2051="Turnover_Takeaway",AD2051="Play_Defensive")),"Offensive",IF(OR(AC2051="Deadice",AC2051="Stoppage",AC2051="Intermission"),"",IF(P2051="e","Offensive",IF(P2051="o","Defensive","")))))</f>
        <v>Offensive</v>
      </c>
      <c r="AG2051">
        <f t="shared" si="672"/>
        <v>18981</v>
      </c>
      <c r="AH2051" t="str">
        <f t="shared" si="673"/>
        <v>Nelson</v>
      </c>
      <c r="AI2051" t="str">
        <f t="shared" si="674"/>
        <v>Velodrome</v>
      </c>
      <c r="AJ2051" s="18">
        <f t="shared" ref="AJ2051:AJ2114" si="688">IF(AND(L2051="",M2051=""),0,((J2051*60)+K2051)-((L2051*60)+M2051))</f>
        <v>0</v>
      </c>
      <c r="AP2051" s="18">
        <f t="shared" ref="AP2051:AP2114" si="689">SUMIFS(AJ2051:AJ2051,Q2051:Q2051,"=Intermission")</f>
        <v>0</v>
      </c>
      <c r="AQ2051">
        <f t="shared" ref="AQ2051:AQ2114" si="690">IF(E2051=1,0,IF(E2051=2,1080+AP2051,IF(E2051=3,(1080*2)+AP2051,0)))</f>
        <v>2160</v>
      </c>
      <c r="AR2051" s="23">
        <f t="shared" ref="AR2051:AR2114" si="691">IF(Q2051="Intermission",AR2050,((1080)-((J2051*60)+K2051))+AQ2051)</f>
        <v>2683</v>
      </c>
      <c r="AS2051">
        <f t="shared" si="675"/>
        <v>2678</v>
      </c>
      <c r="AT2051" s="21">
        <f t="shared" si="676"/>
        <v>2683</v>
      </c>
      <c r="AU2051" s="21"/>
      <c r="AV2051" s="21"/>
      <c r="AW2051" s="21"/>
    </row>
    <row r="2052" spans="1:49" x14ac:dyDescent="0.2">
      <c r="A2052">
        <v>1084</v>
      </c>
      <c r="E2052">
        <f t="shared" ref="E2052:E2115" si="692">IF(Q2052="Intermission",E2051+1,E2051)</f>
        <v>3</v>
      </c>
      <c r="F2052" s="5" t="s">
        <v>537</v>
      </c>
      <c r="G2052" s="5" t="s">
        <v>472</v>
      </c>
      <c r="J2052" t="str">
        <f t="shared" si="678"/>
        <v>9</v>
      </c>
      <c r="K2052" t="str">
        <f t="shared" si="679"/>
        <v>17</v>
      </c>
      <c r="L2052" t="str">
        <f t="shared" si="680"/>
        <v/>
      </c>
      <c r="M2052" s="6" t="str">
        <f t="shared" si="681"/>
        <v/>
      </c>
      <c r="N2052" t="s">
        <v>179</v>
      </c>
      <c r="O2052">
        <v>52</v>
      </c>
      <c r="P2052" t="s">
        <v>424</v>
      </c>
      <c r="Q2052" t="s">
        <v>8</v>
      </c>
      <c r="R2052" t="s">
        <v>189</v>
      </c>
      <c r="S2052" t="s">
        <v>70</v>
      </c>
      <c r="Y2052" t="str">
        <f t="shared" si="685"/>
        <v/>
      </c>
      <c r="Z2052" t="str">
        <f t="shared" si="686"/>
        <v/>
      </c>
      <c r="AC2052" t="str">
        <f t="shared" si="682"/>
        <v>Pass</v>
      </c>
      <c r="AD2052" t="str">
        <f t="shared" si="683"/>
        <v>Pass_Completed</v>
      </c>
      <c r="AE2052" t="str">
        <f t="shared" si="684"/>
        <v>Pass-Forehand</v>
      </c>
      <c r="AF2052" t="str">
        <f t="shared" si="687"/>
        <v>Offensive</v>
      </c>
      <c r="AG2052">
        <f t="shared" ref="AG2052:AG2115" si="693">AG2051</f>
        <v>18981</v>
      </c>
      <c r="AH2052" t="str">
        <f t="shared" ref="AH2052:AH2115" si="694">AH2051</f>
        <v>Nelson</v>
      </c>
      <c r="AI2052" t="str">
        <f t="shared" ref="AI2052:AI2115" si="695">AI2051</f>
        <v>Velodrome</v>
      </c>
      <c r="AJ2052" s="18">
        <f t="shared" si="688"/>
        <v>0</v>
      </c>
      <c r="AP2052" s="18">
        <f t="shared" si="689"/>
        <v>0</v>
      </c>
      <c r="AQ2052">
        <f t="shared" si="690"/>
        <v>2160</v>
      </c>
      <c r="AR2052" s="23">
        <f t="shared" si="691"/>
        <v>2683</v>
      </c>
      <c r="AS2052">
        <f t="shared" ref="AS2052:AS2115" si="696">IF(AR2052&lt;5,0,AR2052-5)</f>
        <v>2678</v>
      </c>
      <c r="AT2052" s="21">
        <f t="shared" ref="AT2052:AT2115" si="697">AS2052+AJ2052+5</f>
        <v>2683</v>
      </c>
      <c r="AU2052" s="21"/>
      <c r="AV2052" s="21"/>
      <c r="AW2052" s="21"/>
    </row>
    <row r="2053" spans="1:49" x14ac:dyDescent="0.2">
      <c r="A2053">
        <v>1084</v>
      </c>
      <c r="E2053">
        <f t="shared" si="692"/>
        <v>3</v>
      </c>
      <c r="J2053" t="str">
        <f t="shared" si="678"/>
        <v>9</v>
      </c>
      <c r="K2053" t="str">
        <f t="shared" si="679"/>
        <v>17</v>
      </c>
      <c r="L2053" t="str">
        <f t="shared" si="680"/>
        <v/>
      </c>
      <c r="M2053" s="6" t="str">
        <f t="shared" si="681"/>
        <v/>
      </c>
      <c r="N2053" t="str">
        <f t="shared" si="677"/>
        <v>Away</v>
      </c>
      <c r="O2053">
        <v>87</v>
      </c>
      <c r="P2053" t="s">
        <v>424</v>
      </c>
      <c r="Y2053" t="str">
        <f t="shared" si="685"/>
        <v/>
      </c>
      <c r="Z2053" t="str">
        <f t="shared" si="686"/>
        <v/>
      </c>
      <c r="AC2053" t="str">
        <f t="shared" si="682"/>
        <v>Pass</v>
      </c>
      <c r="AD2053" t="str">
        <f t="shared" si="683"/>
        <v>Pass_Completed</v>
      </c>
      <c r="AE2053" t="str">
        <f t="shared" si="684"/>
        <v>Pass-Forehand</v>
      </c>
      <c r="AF2053" t="str">
        <f t="shared" si="687"/>
        <v>Offensive</v>
      </c>
      <c r="AG2053">
        <f t="shared" si="693"/>
        <v>18981</v>
      </c>
      <c r="AH2053" t="str">
        <f t="shared" si="694"/>
        <v>Nelson</v>
      </c>
      <c r="AI2053" t="str">
        <f t="shared" si="695"/>
        <v>Velodrome</v>
      </c>
      <c r="AJ2053" s="18">
        <f t="shared" si="688"/>
        <v>0</v>
      </c>
      <c r="AP2053" s="18">
        <f t="shared" si="689"/>
        <v>0</v>
      </c>
      <c r="AQ2053">
        <f t="shared" si="690"/>
        <v>2160</v>
      </c>
      <c r="AR2053" s="23">
        <f t="shared" si="691"/>
        <v>2683</v>
      </c>
      <c r="AS2053">
        <f t="shared" si="696"/>
        <v>2678</v>
      </c>
      <c r="AT2053" s="21">
        <f t="shared" si="697"/>
        <v>2683</v>
      </c>
      <c r="AU2053" s="21"/>
      <c r="AV2053" s="21"/>
      <c r="AW2053" s="21"/>
    </row>
    <row r="2054" spans="1:49" x14ac:dyDescent="0.2">
      <c r="A2054">
        <v>1085</v>
      </c>
      <c r="E2054">
        <f t="shared" si="692"/>
        <v>3</v>
      </c>
      <c r="F2054" s="5" t="s">
        <v>537</v>
      </c>
      <c r="G2054" s="5" t="s">
        <v>477</v>
      </c>
      <c r="J2054" t="str">
        <f t="shared" si="678"/>
        <v>9</v>
      </c>
      <c r="K2054" t="str">
        <f t="shared" si="679"/>
        <v>16</v>
      </c>
      <c r="L2054" t="str">
        <f t="shared" si="680"/>
        <v/>
      </c>
      <c r="M2054" s="6" t="str">
        <f t="shared" si="681"/>
        <v/>
      </c>
      <c r="N2054" t="s">
        <v>179</v>
      </c>
      <c r="O2054">
        <v>87</v>
      </c>
      <c r="P2054" t="s">
        <v>424</v>
      </c>
      <c r="Q2054" t="s">
        <v>7</v>
      </c>
      <c r="R2054" t="s">
        <v>208</v>
      </c>
      <c r="S2054" t="s">
        <v>221</v>
      </c>
      <c r="Y2054" t="str">
        <f t="shared" si="685"/>
        <v/>
      </c>
      <c r="Z2054" t="str">
        <f t="shared" si="686"/>
        <v/>
      </c>
      <c r="AC2054" t="str">
        <f t="shared" si="682"/>
        <v>Shot</v>
      </c>
      <c r="AD2054" t="str">
        <f t="shared" si="683"/>
        <v>Shot_Blocked</v>
      </c>
      <c r="AE2054" t="str">
        <f t="shared" si="684"/>
        <v>Shot_Tipped</v>
      </c>
      <c r="AF2054" t="str">
        <f t="shared" si="687"/>
        <v>Offensive</v>
      </c>
      <c r="AG2054">
        <f t="shared" si="693"/>
        <v>18981</v>
      </c>
      <c r="AH2054" t="str">
        <f t="shared" si="694"/>
        <v>Nelson</v>
      </c>
      <c r="AI2054" t="str">
        <f t="shared" si="695"/>
        <v>Velodrome</v>
      </c>
      <c r="AJ2054" s="18">
        <f t="shared" si="688"/>
        <v>0</v>
      </c>
      <c r="AP2054" s="18">
        <f t="shared" si="689"/>
        <v>0</v>
      </c>
      <c r="AQ2054">
        <f t="shared" si="690"/>
        <v>2160</v>
      </c>
      <c r="AR2054" s="23">
        <f t="shared" si="691"/>
        <v>2684</v>
      </c>
      <c r="AS2054">
        <f t="shared" si="696"/>
        <v>2679</v>
      </c>
      <c r="AT2054" s="21">
        <f t="shared" si="697"/>
        <v>2684</v>
      </c>
      <c r="AU2054" s="21"/>
      <c r="AV2054" s="21"/>
      <c r="AW2054" s="21"/>
    </row>
    <row r="2055" spans="1:49" x14ac:dyDescent="0.2">
      <c r="A2055">
        <v>1085</v>
      </c>
      <c r="E2055">
        <f t="shared" si="692"/>
        <v>3</v>
      </c>
      <c r="J2055" t="str">
        <f t="shared" si="678"/>
        <v>9</v>
      </c>
      <c r="K2055" t="str">
        <f t="shared" si="679"/>
        <v>16</v>
      </c>
      <c r="L2055" t="str">
        <f t="shared" si="680"/>
        <v/>
      </c>
      <c r="M2055" s="6" t="str">
        <f t="shared" si="681"/>
        <v/>
      </c>
      <c r="N2055" t="str">
        <f t="shared" ref="N2055:N2117" si="698">IF(A2055=A2054,N2054,"")</f>
        <v>Away</v>
      </c>
      <c r="O2055">
        <v>37</v>
      </c>
      <c r="P2055" t="s">
        <v>424</v>
      </c>
      <c r="Y2055" t="str">
        <f t="shared" si="685"/>
        <v/>
      </c>
      <c r="Z2055" t="str">
        <f t="shared" si="686"/>
        <v/>
      </c>
      <c r="AC2055" t="str">
        <f t="shared" si="682"/>
        <v>Shot</v>
      </c>
      <c r="AD2055" t="str">
        <f t="shared" si="683"/>
        <v>Shot_Blocked</v>
      </c>
      <c r="AE2055" t="str">
        <f t="shared" si="684"/>
        <v>Shot_Tipped</v>
      </c>
      <c r="AF2055" t="str">
        <f t="shared" si="687"/>
        <v>Offensive</v>
      </c>
      <c r="AG2055">
        <f t="shared" si="693"/>
        <v>18981</v>
      </c>
      <c r="AH2055" t="str">
        <f t="shared" si="694"/>
        <v>Nelson</v>
      </c>
      <c r="AI2055" t="str">
        <f t="shared" si="695"/>
        <v>Velodrome</v>
      </c>
      <c r="AJ2055" s="18">
        <f t="shared" si="688"/>
        <v>0</v>
      </c>
      <c r="AP2055" s="18">
        <f t="shared" si="689"/>
        <v>0</v>
      </c>
      <c r="AQ2055">
        <f t="shared" si="690"/>
        <v>2160</v>
      </c>
      <c r="AR2055" s="23">
        <f t="shared" si="691"/>
        <v>2684</v>
      </c>
      <c r="AS2055">
        <f t="shared" si="696"/>
        <v>2679</v>
      </c>
      <c r="AT2055" s="21">
        <f t="shared" si="697"/>
        <v>2684</v>
      </c>
      <c r="AU2055" s="21"/>
      <c r="AV2055" s="21"/>
      <c r="AW2055" s="21"/>
    </row>
    <row r="2056" spans="1:49" x14ac:dyDescent="0.2">
      <c r="A2056">
        <v>1086</v>
      </c>
      <c r="E2056">
        <f t="shared" si="692"/>
        <v>3</v>
      </c>
      <c r="F2056" s="5" t="s">
        <v>537</v>
      </c>
      <c r="G2056" s="5" t="s">
        <v>477</v>
      </c>
      <c r="J2056" t="str">
        <f t="shared" si="678"/>
        <v>9</v>
      </c>
      <c r="K2056" t="str">
        <f t="shared" si="679"/>
        <v>16</v>
      </c>
      <c r="L2056" t="str">
        <f t="shared" si="680"/>
        <v/>
      </c>
      <c r="M2056" s="6" t="str">
        <f t="shared" si="681"/>
        <v/>
      </c>
      <c r="N2056" t="s">
        <v>179</v>
      </c>
      <c r="O2056">
        <v>87</v>
      </c>
      <c r="P2056" t="s">
        <v>424</v>
      </c>
      <c r="Q2056" t="s">
        <v>10</v>
      </c>
      <c r="R2056" t="s">
        <v>190</v>
      </c>
      <c r="S2056" t="s">
        <v>78</v>
      </c>
      <c r="Y2056" t="str">
        <f t="shared" si="685"/>
        <v/>
      </c>
      <c r="Z2056" t="str">
        <f t="shared" si="686"/>
        <v/>
      </c>
      <c r="AC2056" t="str">
        <f t="shared" si="682"/>
        <v>Turnover</v>
      </c>
      <c r="AD2056" t="str">
        <f t="shared" si="683"/>
        <v>Turnover_Giveaway</v>
      </c>
      <c r="AE2056" t="str">
        <f t="shared" si="684"/>
        <v>Giveaway-ShotBlocked</v>
      </c>
      <c r="AF2056" t="str">
        <f t="shared" si="687"/>
        <v>Offensive</v>
      </c>
      <c r="AG2056">
        <f t="shared" si="693"/>
        <v>18981</v>
      </c>
      <c r="AH2056" t="str">
        <f t="shared" si="694"/>
        <v>Nelson</v>
      </c>
      <c r="AI2056" t="str">
        <f t="shared" si="695"/>
        <v>Velodrome</v>
      </c>
      <c r="AJ2056" s="18">
        <f t="shared" si="688"/>
        <v>0</v>
      </c>
      <c r="AP2056" s="18">
        <f t="shared" si="689"/>
        <v>0</v>
      </c>
      <c r="AQ2056">
        <f t="shared" si="690"/>
        <v>2160</v>
      </c>
      <c r="AR2056" s="23">
        <f t="shared" si="691"/>
        <v>2684</v>
      </c>
      <c r="AS2056">
        <f t="shared" si="696"/>
        <v>2679</v>
      </c>
      <c r="AT2056" s="21">
        <f t="shared" si="697"/>
        <v>2684</v>
      </c>
      <c r="AU2056" s="21"/>
      <c r="AV2056" s="21"/>
      <c r="AW2056" s="21"/>
    </row>
    <row r="2057" spans="1:49" x14ac:dyDescent="0.2">
      <c r="A2057">
        <v>1087</v>
      </c>
      <c r="E2057">
        <f t="shared" si="692"/>
        <v>3</v>
      </c>
      <c r="F2057" s="5" t="s">
        <v>537</v>
      </c>
      <c r="G2057" s="5" t="s">
        <v>481</v>
      </c>
      <c r="J2057" t="str">
        <f t="shared" ref="J2057:J2120" si="699">IF(F2057&lt;&gt;"",F2057,IF($A2057=$A2056,J2056,J2057))</f>
        <v>9</v>
      </c>
      <c r="K2057" t="str">
        <f t="shared" ref="K2057:K2120" si="700">IF($A2057=$A2056,K2056,G2057)</f>
        <v>05</v>
      </c>
      <c r="L2057" t="str">
        <f t="shared" ref="L2057:L2120" si="701">IF(H2057&lt;&gt;"",H2057,IF($A2057=$A2056,L2056,""))</f>
        <v/>
      </c>
      <c r="M2057" s="6" t="str">
        <f t="shared" ref="M2057:M2120" si="702">IF(I2057&lt;&gt;"",I2057,IF($A2057=$A2056,M2056,""))</f>
        <v/>
      </c>
      <c r="N2057" t="s">
        <v>178</v>
      </c>
      <c r="O2057">
        <v>37</v>
      </c>
      <c r="P2057" t="s">
        <v>424</v>
      </c>
      <c r="Q2057" t="s">
        <v>13</v>
      </c>
      <c r="R2057" t="s">
        <v>204</v>
      </c>
      <c r="S2057" t="s">
        <v>108</v>
      </c>
      <c r="Y2057" t="str">
        <f t="shared" si="685"/>
        <v/>
      </c>
      <c r="Z2057" t="str">
        <f t="shared" si="686"/>
        <v/>
      </c>
      <c r="AC2057" t="str">
        <f t="shared" si="682"/>
        <v>Stoppage</v>
      </c>
      <c r="AD2057" t="str">
        <f t="shared" si="683"/>
        <v>Stoppage_Play</v>
      </c>
      <c r="AE2057" t="str">
        <f t="shared" si="684"/>
        <v>Stoppage-Icing</v>
      </c>
      <c r="AF2057" t="str">
        <f t="shared" si="687"/>
        <v/>
      </c>
      <c r="AG2057">
        <f t="shared" si="693"/>
        <v>18981</v>
      </c>
      <c r="AH2057" t="str">
        <f t="shared" si="694"/>
        <v>Nelson</v>
      </c>
      <c r="AI2057" t="str">
        <f t="shared" si="695"/>
        <v>Velodrome</v>
      </c>
      <c r="AJ2057" s="18">
        <f t="shared" si="688"/>
        <v>0</v>
      </c>
      <c r="AP2057" s="18">
        <f t="shared" si="689"/>
        <v>0</v>
      </c>
      <c r="AQ2057">
        <f t="shared" si="690"/>
        <v>2160</v>
      </c>
      <c r="AR2057" s="23">
        <f t="shared" si="691"/>
        <v>2695</v>
      </c>
      <c r="AS2057">
        <f t="shared" si="696"/>
        <v>2690</v>
      </c>
      <c r="AT2057" s="21">
        <f t="shared" si="697"/>
        <v>2695</v>
      </c>
      <c r="AU2057" s="21"/>
      <c r="AV2057" s="21"/>
      <c r="AW2057" s="21"/>
    </row>
    <row r="2058" spans="1:49" x14ac:dyDescent="0.2">
      <c r="A2058">
        <v>1088</v>
      </c>
      <c r="E2058">
        <f t="shared" si="692"/>
        <v>3</v>
      </c>
      <c r="F2058" s="5" t="s">
        <v>537</v>
      </c>
      <c r="G2058" s="5" t="s">
        <v>481</v>
      </c>
      <c r="H2058" s="5" t="s">
        <v>538</v>
      </c>
      <c r="I2058" s="7" t="s">
        <v>512</v>
      </c>
      <c r="J2058" t="str">
        <f t="shared" si="699"/>
        <v>9</v>
      </c>
      <c r="K2058" t="str">
        <f t="shared" si="700"/>
        <v>05</v>
      </c>
      <c r="L2058" t="str">
        <f t="shared" si="701"/>
        <v>8</v>
      </c>
      <c r="M2058" s="6" t="str">
        <f t="shared" si="702"/>
        <v>40</v>
      </c>
      <c r="N2058" t="s">
        <v>178</v>
      </c>
      <c r="O2058">
        <v>37</v>
      </c>
      <c r="P2058" t="s">
        <v>424</v>
      </c>
      <c r="Q2058" t="s">
        <v>282</v>
      </c>
      <c r="Y2058" t="str">
        <f t="shared" si="685"/>
        <v/>
      </c>
      <c r="Z2058" t="str">
        <f t="shared" si="686"/>
        <v/>
      </c>
      <c r="AC2058" t="str">
        <f t="shared" si="682"/>
        <v>DeadIce</v>
      </c>
      <c r="AD2058" t="str">
        <f t="shared" si="683"/>
        <v/>
      </c>
      <c r="AE2058" t="str">
        <f t="shared" si="684"/>
        <v/>
      </c>
      <c r="AF2058" t="str">
        <f t="shared" si="687"/>
        <v/>
      </c>
      <c r="AG2058">
        <f t="shared" si="693"/>
        <v>18981</v>
      </c>
      <c r="AH2058" t="str">
        <f t="shared" si="694"/>
        <v>Nelson</v>
      </c>
      <c r="AI2058" t="str">
        <f t="shared" si="695"/>
        <v>Velodrome</v>
      </c>
      <c r="AJ2058" s="18">
        <f t="shared" si="688"/>
        <v>25</v>
      </c>
      <c r="AP2058" s="18">
        <f t="shared" si="689"/>
        <v>0</v>
      </c>
      <c r="AQ2058">
        <f t="shared" si="690"/>
        <v>2160</v>
      </c>
      <c r="AR2058" s="23">
        <f t="shared" si="691"/>
        <v>2695</v>
      </c>
      <c r="AS2058">
        <f t="shared" si="696"/>
        <v>2690</v>
      </c>
      <c r="AT2058" s="21">
        <f t="shared" si="697"/>
        <v>2720</v>
      </c>
      <c r="AU2058" s="21"/>
      <c r="AV2058" s="21"/>
      <c r="AW2058" s="21"/>
    </row>
    <row r="2059" spans="1:49" x14ac:dyDescent="0.2">
      <c r="A2059">
        <v>1089</v>
      </c>
      <c r="E2059">
        <f t="shared" si="692"/>
        <v>3</v>
      </c>
      <c r="F2059" s="5" t="s">
        <v>538</v>
      </c>
      <c r="G2059" s="5" t="s">
        <v>512</v>
      </c>
      <c r="J2059" t="str">
        <f t="shared" si="699"/>
        <v>8</v>
      </c>
      <c r="K2059" t="str">
        <f t="shared" si="700"/>
        <v>40</v>
      </c>
      <c r="L2059" t="str">
        <f t="shared" si="701"/>
        <v/>
      </c>
      <c r="M2059" s="6" t="str">
        <f t="shared" si="702"/>
        <v/>
      </c>
      <c r="N2059" t="s">
        <v>179</v>
      </c>
      <c r="O2059">
        <v>70</v>
      </c>
      <c r="P2059" t="s">
        <v>424</v>
      </c>
      <c r="Q2059" t="s">
        <v>6</v>
      </c>
      <c r="R2059" t="s">
        <v>275</v>
      </c>
      <c r="Y2059" t="str">
        <f t="shared" si="685"/>
        <v/>
      </c>
      <c r="Z2059" t="str">
        <f t="shared" si="686"/>
        <v/>
      </c>
      <c r="AC2059" t="str">
        <f t="shared" si="682"/>
        <v>Faceoff</v>
      </c>
      <c r="AD2059" t="str">
        <f t="shared" si="683"/>
        <v>Faceoff_AfterStoppage</v>
      </c>
      <c r="AE2059" t="str">
        <f t="shared" si="684"/>
        <v/>
      </c>
      <c r="AF2059" t="str">
        <f t="shared" si="687"/>
        <v>Offensive</v>
      </c>
      <c r="AG2059">
        <f t="shared" si="693"/>
        <v>18981</v>
      </c>
      <c r="AH2059" t="str">
        <f t="shared" si="694"/>
        <v>Nelson</v>
      </c>
      <c r="AI2059" t="str">
        <f t="shared" si="695"/>
        <v>Velodrome</v>
      </c>
      <c r="AJ2059" s="18">
        <f t="shared" si="688"/>
        <v>0</v>
      </c>
      <c r="AP2059" s="18">
        <f t="shared" si="689"/>
        <v>0</v>
      </c>
      <c r="AQ2059">
        <f t="shared" si="690"/>
        <v>2160</v>
      </c>
      <c r="AR2059" s="23">
        <f t="shared" si="691"/>
        <v>2720</v>
      </c>
      <c r="AS2059">
        <f t="shared" si="696"/>
        <v>2715</v>
      </c>
      <c r="AT2059" s="21">
        <f t="shared" si="697"/>
        <v>2720</v>
      </c>
      <c r="AU2059" s="21"/>
      <c r="AV2059" s="21"/>
      <c r="AW2059" s="21"/>
    </row>
    <row r="2060" spans="1:49" x14ac:dyDescent="0.2">
      <c r="A2060">
        <v>1089</v>
      </c>
      <c r="E2060">
        <f t="shared" si="692"/>
        <v>3</v>
      </c>
      <c r="J2060" t="str">
        <f t="shared" si="699"/>
        <v>8</v>
      </c>
      <c r="K2060" t="str">
        <f t="shared" si="700"/>
        <v>40</v>
      </c>
      <c r="L2060" t="str">
        <f t="shared" si="701"/>
        <v/>
      </c>
      <c r="M2060" s="6" t="str">
        <f t="shared" si="702"/>
        <v/>
      </c>
      <c r="N2060" t="str">
        <f t="shared" si="698"/>
        <v>Away</v>
      </c>
      <c r="O2060">
        <v>75</v>
      </c>
      <c r="P2060" t="s">
        <v>424</v>
      </c>
      <c r="Y2060" t="str">
        <f t="shared" si="685"/>
        <v/>
      </c>
      <c r="Z2060" t="str">
        <f t="shared" si="686"/>
        <v/>
      </c>
      <c r="AC2060" t="str">
        <f t="shared" si="682"/>
        <v>Faceoff</v>
      </c>
      <c r="AD2060" t="str">
        <f t="shared" si="683"/>
        <v>Faceoff_AfterStoppage</v>
      </c>
      <c r="AE2060" t="str">
        <f t="shared" si="684"/>
        <v/>
      </c>
      <c r="AF2060" t="str">
        <f t="shared" si="687"/>
        <v>Offensive</v>
      </c>
      <c r="AG2060">
        <f t="shared" si="693"/>
        <v>18981</v>
      </c>
      <c r="AH2060" t="str">
        <f t="shared" si="694"/>
        <v>Nelson</v>
      </c>
      <c r="AI2060" t="str">
        <f t="shared" si="695"/>
        <v>Velodrome</v>
      </c>
      <c r="AJ2060" s="18">
        <f t="shared" si="688"/>
        <v>0</v>
      </c>
      <c r="AP2060" s="18">
        <f t="shared" si="689"/>
        <v>0</v>
      </c>
      <c r="AQ2060">
        <f t="shared" si="690"/>
        <v>2160</v>
      </c>
      <c r="AR2060" s="23">
        <f t="shared" si="691"/>
        <v>2720</v>
      </c>
      <c r="AS2060">
        <f t="shared" si="696"/>
        <v>2715</v>
      </c>
      <c r="AT2060" s="21">
        <f t="shared" si="697"/>
        <v>2720</v>
      </c>
      <c r="AU2060" s="21"/>
      <c r="AV2060" s="21"/>
      <c r="AW2060" s="21"/>
    </row>
    <row r="2061" spans="1:49" x14ac:dyDescent="0.2">
      <c r="A2061">
        <v>1089</v>
      </c>
      <c r="E2061">
        <f t="shared" si="692"/>
        <v>3</v>
      </c>
      <c r="J2061" t="str">
        <f t="shared" si="699"/>
        <v>8</v>
      </c>
      <c r="K2061" t="str">
        <f t="shared" si="700"/>
        <v>40</v>
      </c>
      <c r="L2061" t="str">
        <f t="shared" si="701"/>
        <v/>
      </c>
      <c r="M2061" s="6" t="str">
        <f t="shared" si="702"/>
        <v/>
      </c>
      <c r="N2061" t="str">
        <f t="shared" si="698"/>
        <v>Away</v>
      </c>
      <c r="O2061">
        <v>10</v>
      </c>
      <c r="P2061" t="s">
        <v>425</v>
      </c>
      <c r="Y2061" t="str">
        <f t="shared" si="685"/>
        <v/>
      </c>
      <c r="Z2061" t="str">
        <f t="shared" si="686"/>
        <v/>
      </c>
      <c r="AC2061" t="str">
        <f t="shared" si="682"/>
        <v>Faceoff</v>
      </c>
      <c r="AD2061" t="str">
        <f t="shared" si="683"/>
        <v>Faceoff_AfterStoppage</v>
      </c>
      <c r="AE2061" t="str">
        <f t="shared" si="684"/>
        <v/>
      </c>
      <c r="AF2061" t="str">
        <f t="shared" si="687"/>
        <v>Defensive</v>
      </c>
      <c r="AG2061">
        <f t="shared" si="693"/>
        <v>18981</v>
      </c>
      <c r="AH2061" t="str">
        <f t="shared" si="694"/>
        <v>Nelson</v>
      </c>
      <c r="AI2061" t="str">
        <f t="shared" si="695"/>
        <v>Velodrome</v>
      </c>
      <c r="AJ2061" s="18">
        <f t="shared" si="688"/>
        <v>0</v>
      </c>
      <c r="AP2061" s="18">
        <f t="shared" si="689"/>
        <v>0</v>
      </c>
      <c r="AQ2061">
        <f t="shared" si="690"/>
        <v>2160</v>
      </c>
      <c r="AR2061" s="23">
        <f t="shared" si="691"/>
        <v>2720</v>
      </c>
      <c r="AS2061">
        <f t="shared" si="696"/>
        <v>2715</v>
      </c>
      <c r="AT2061" s="21">
        <f t="shared" si="697"/>
        <v>2720</v>
      </c>
      <c r="AU2061" s="21"/>
      <c r="AV2061" s="21"/>
      <c r="AW2061" s="21"/>
    </row>
    <row r="2062" spans="1:49" x14ac:dyDescent="0.2">
      <c r="A2062">
        <v>1090</v>
      </c>
      <c r="E2062">
        <f t="shared" si="692"/>
        <v>3</v>
      </c>
      <c r="F2062" s="5" t="s">
        <v>538</v>
      </c>
      <c r="G2062" s="5" t="s">
        <v>512</v>
      </c>
      <c r="J2062" t="str">
        <f t="shared" si="699"/>
        <v>8</v>
      </c>
      <c r="K2062" t="str">
        <f t="shared" si="700"/>
        <v>40</v>
      </c>
      <c r="L2062" t="str">
        <f t="shared" si="701"/>
        <v/>
      </c>
      <c r="M2062" s="6" t="str">
        <f t="shared" si="702"/>
        <v/>
      </c>
      <c r="N2062" t="s">
        <v>179</v>
      </c>
      <c r="O2062">
        <v>75</v>
      </c>
      <c r="P2062" t="s">
        <v>424</v>
      </c>
      <c r="Q2062" t="s">
        <v>8</v>
      </c>
      <c r="R2062" t="s">
        <v>199</v>
      </c>
      <c r="S2062" t="s">
        <v>70</v>
      </c>
      <c r="Y2062" t="str">
        <f t="shared" si="685"/>
        <v/>
      </c>
      <c r="Z2062" t="str">
        <f t="shared" si="686"/>
        <v/>
      </c>
      <c r="AC2062" t="str">
        <f t="shared" si="682"/>
        <v>Pass</v>
      </c>
      <c r="AD2062" t="str">
        <f t="shared" si="683"/>
        <v>Pass_Missed</v>
      </c>
      <c r="AE2062" t="str">
        <f t="shared" si="684"/>
        <v>Pass-Forehand</v>
      </c>
      <c r="AF2062" t="str">
        <f t="shared" si="687"/>
        <v>Offensive</v>
      </c>
      <c r="AG2062">
        <f t="shared" si="693"/>
        <v>18981</v>
      </c>
      <c r="AH2062" t="str">
        <f t="shared" si="694"/>
        <v>Nelson</v>
      </c>
      <c r="AI2062" t="str">
        <f t="shared" si="695"/>
        <v>Velodrome</v>
      </c>
      <c r="AJ2062" s="18">
        <f t="shared" si="688"/>
        <v>0</v>
      </c>
      <c r="AP2062" s="18">
        <f t="shared" si="689"/>
        <v>0</v>
      </c>
      <c r="AQ2062">
        <f t="shared" si="690"/>
        <v>2160</v>
      </c>
      <c r="AR2062" s="23">
        <f t="shared" si="691"/>
        <v>2720</v>
      </c>
      <c r="AS2062">
        <f t="shared" si="696"/>
        <v>2715</v>
      </c>
      <c r="AT2062" s="21">
        <f t="shared" si="697"/>
        <v>2720</v>
      </c>
      <c r="AU2062" s="21"/>
      <c r="AV2062" s="21"/>
      <c r="AW2062" s="21"/>
    </row>
    <row r="2063" spans="1:49" x14ac:dyDescent="0.2">
      <c r="A2063">
        <v>1090</v>
      </c>
      <c r="E2063">
        <f t="shared" si="692"/>
        <v>3</v>
      </c>
      <c r="J2063" t="str">
        <f t="shared" si="699"/>
        <v>8</v>
      </c>
      <c r="K2063" t="str">
        <f t="shared" si="700"/>
        <v>40</v>
      </c>
      <c r="L2063" t="str">
        <f t="shared" si="701"/>
        <v/>
      </c>
      <c r="M2063" s="6" t="str">
        <f t="shared" si="702"/>
        <v/>
      </c>
      <c r="N2063" t="str">
        <f t="shared" si="698"/>
        <v>Away</v>
      </c>
      <c r="O2063">
        <v>87</v>
      </c>
      <c r="P2063" t="s">
        <v>424</v>
      </c>
      <c r="Y2063" t="str">
        <f t="shared" si="685"/>
        <v/>
      </c>
      <c r="Z2063" t="str">
        <f t="shared" si="686"/>
        <v/>
      </c>
      <c r="AC2063" t="str">
        <f t="shared" si="682"/>
        <v>Pass</v>
      </c>
      <c r="AD2063" t="str">
        <f t="shared" si="683"/>
        <v>Pass_Missed</v>
      </c>
      <c r="AE2063" t="str">
        <f t="shared" si="684"/>
        <v>Pass-Forehand</v>
      </c>
      <c r="AF2063" t="str">
        <f t="shared" si="687"/>
        <v>Offensive</v>
      </c>
      <c r="AG2063">
        <f t="shared" si="693"/>
        <v>18981</v>
      </c>
      <c r="AH2063" t="str">
        <f t="shared" si="694"/>
        <v>Nelson</v>
      </c>
      <c r="AI2063" t="str">
        <f t="shared" si="695"/>
        <v>Velodrome</v>
      </c>
      <c r="AJ2063" s="18">
        <f t="shared" si="688"/>
        <v>0</v>
      </c>
      <c r="AP2063" s="18">
        <f t="shared" si="689"/>
        <v>0</v>
      </c>
      <c r="AQ2063">
        <f t="shared" si="690"/>
        <v>2160</v>
      </c>
      <c r="AR2063" s="23">
        <f t="shared" si="691"/>
        <v>2720</v>
      </c>
      <c r="AS2063">
        <f t="shared" si="696"/>
        <v>2715</v>
      </c>
      <c r="AT2063" s="21">
        <f t="shared" si="697"/>
        <v>2720</v>
      </c>
      <c r="AU2063" s="21"/>
      <c r="AV2063" s="21"/>
      <c r="AW2063" s="21"/>
    </row>
    <row r="2064" spans="1:49" x14ac:dyDescent="0.2">
      <c r="A2064">
        <v>1091</v>
      </c>
      <c r="E2064">
        <f t="shared" si="692"/>
        <v>3</v>
      </c>
      <c r="F2064" s="5" t="s">
        <v>538</v>
      </c>
      <c r="G2064" s="5" t="s">
        <v>508</v>
      </c>
      <c r="J2064" t="str">
        <f t="shared" si="699"/>
        <v>8</v>
      </c>
      <c r="K2064" t="str">
        <f t="shared" si="700"/>
        <v>36</v>
      </c>
      <c r="L2064" t="str">
        <f t="shared" si="701"/>
        <v/>
      </c>
      <c r="M2064" s="6" t="str">
        <f t="shared" si="702"/>
        <v/>
      </c>
      <c r="N2064" t="s">
        <v>179</v>
      </c>
      <c r="O2064">
        <v>87</v>
      </c>
      <c r="P2064" t="s">
        <v>424</v>
      </c>
      <c r="Q2064" t="s">
        <v>8</v>
      </c>
      <c r="R2064" t="s">
        <v>199</v>
      </c>
      <c r="S2064" t="s">
        <v>70</v>
      </c>
      <c r="Y2064" t="str">
        <f t="shared" si="685"/>
        <v/>
      </c>
      <c r="Z2064" t="str">
        <f t="shared" si="686"/>
        <v/>
      </c>
      <c r="AC2064" t="str">
        <f t="shared" si="682"/>
        <v>Pass</v>
      </c>
      <c r="AD2064" t="str">
        <f t="shared" si="683"/>
        <v>Pass_Missed</v>
      </c>
      <c r="AE2064" t="str">
        <f t="shared" si="684"/>
        <v>Pass-Forehand</v>
      </c>
      <c r="AF2064" t="str">
        <f t="shared" si="687"/>
        <v>Offensive</v>
      </c>
      <c r="AG2064">
        <f t="shared" si="693"/>
        <v>18981</v>
      </c>
      <c r="AH2064" t="str">
        <f t="shared" si="694"/>
        <v>Nelson</v>
      </c>
      <c r="AI2064" t="str">
        <f t="shared" si="695"/>
        <v>Velodrome</v>
      </c>
      <c r="AJ2064" s="18">
        <f t="shared" si="688"/>
        <v>0</v>
      </c>
      <c r="AP2064" s="18">
        <f t="shared" si="689"/>
        <v>0</v>
      </c>
      <c r="AQ2064">
        <f t="shared" si="690"/>
        <v>2160</v>
      </c>
      <c r="AR2064" s="23">
        <f t="shared" si="691"/>
        <v>2724</v>
      </c>
      <c r="AS2064">
        <f t="shared" si="696"/>
        <v>2719</v>
      </c>
      <c r="AT2064" s="21">
        <f t="shared" si="697"/>
        <v>2724</v>
      </c>
      <c r="AU2064" s="21"/>
      <c r="AV2064" s="21"/>
      <c r="AW2064" s="21"/>
    </row>
    <row r="2065" spans="1:49" x14ac:dyDescent="0.2">
      <c r="A2065">
        <v>1091</v>
      </c>
      <c r="E2065">
        <f t="shared" si="692"/>
        <v>3</v>
      </c>
      <c r="J2065" t="str">
        <f t="shared" si="699"/>
        <v>8</v>
      </c>
      <c r="K2065" t="str">
        <f t="shared" si="700"/>
        <v>36</v>
      </c>
      <c r="L2065" t="str">
        <f t="shared" si="701"/>
        <v/>
      </c>
      <c r="M2065" s="6" t="str">
        <f t="shared" si="702"/>
        <v/>
      </c>
      <c r="N2065" t="str">
        <f t="shared" si="698"/>
        <v>Away</v>
      </c>
      <c r="O2065">
        <v>75</v>
      </c>
      <c r="P2065" t="s">
        <v>424</v>
      </c>
      <c r="Y2065" t="str">
        <f t="shared" si="685"/>
        <v/>
      </c>
      <c r="Z2065" t="str">
        <f t="shared" si="686"/>
        <v/>
      </c>
      <c r="AC2065" t="str">
        <f t="shared" si="682"/>
        <v>Pass</v>
      </c>
      <c r="AD2065" t="str">
        <f t="shared" si="683"/>
        <v>Pass_Missed</v>
      </c>
      <c r="AE2065" t="str">
        <f t="shared" si="684"/>
        <v>Pass-Forehand</v>
      </c>
      <c r="AF2065" t="str">
        <f t="shared" si="687"/>
        <v>Offensive</v>
      </c>
      <c r="AG2065">
        <f t="shared" si="693"/>
        <v>18981</v>
      </c>
      <c r="AH2065" t="str">
        <f t="shared" si="694"/>
        <v>Nelson</v>
      </c>
      <c r="AI2065" t="str">
        <f t="shared" si="695"/>
        <v>Velodrome</v>
      </c>
      <c r="AJ2065" s="18">
        <f t="shared" si="688"/>
        <v>0</v>
      </c>
      <c r="AP2065" s="18">
        <f t="shared" si="689"/>
        <v>0</v>
      </c>
      <c r="AQ2065">
        <f t="shared" si="690"/>
        <v>2160</v>
      </c>
      <c r="AR2065" s="23">
        <f t="shared" si="691"/>
        <v>2724</v>
      </c>
      <c r="AS2065">
        <f t="shared" si="696"/>
        <v>2719</v>
      </c>
      <c r="AT2065" s="21">
        <f t="shared" si="697"/>
        <v>2724</v>
      </c>
      <c r="AU2065" s="21"/>
      <c r="AV2065" s="21"/>
      <c r="AW2065" s="21"/>
    </row>
    <row r="2066" spans="1:49" x14ac:dyDescent="0.2">
      <c r="A2066">
        <v>1092</v>
      </c>
      <c r="E2066">
        <f t="shared" si="692"/>
        <v>3</v>
      </c>
      <c r="F2066" s="5" t="s">
        <v>538</v>
      </c>
      <c r="G2066" s="5" t="s">
        <v>508</v>
      </c>
      <c r="J2066" t="str">
        <f t="shared" si="699"/>
        <v>8</v>
      </c>
      <c r="K2066" t="str">
        <f t="shared" si="700"/>
        <v>36</v>
      </c>
      <c r="L2066" t="str">
        <f t="shared" si="701"/>
        <v/>
      </c>
      <c r="M2066" s="6" t="str">
        <f t="shared" si="702"/>
        <v/>
      </c>
      <c r="N2066" t="s">
        <v>179</v>
      </c>
      <c r="O2066">
        <v>87</v>
      </c>
      <c r="P2066" t="s">
        <v>424</v>
      </c>
      <c r="Q2066" t="s">
        <v>10</v>
      </c>
      <c r="R2066" t="s">
        <v>190</v>
      </c>
      <c r="S2066" t="s">
        <v>76</v>
      </c>
      <c r="Y2066" t="str">
        <f t="shared" si="685"/>
        <v/>
      </c>
      <c r="Z2066" t="str">
        <f t="shared" si="686"/>
        <v/>
      </c>
      <c r="AC2066" t="str">
        <f t="shared" si="682"/>
        <v>Turnover</v>
      </c>
      <c r="AD2066" t="str">
        <f t="shared" si="683"/>
        <v>Turnover_Giveaway</v>
      </c>
      <c r="AE2066" t="str">
        <f t="shared" si="684"/>
        <v>Giveaway-PassMissed</v>
      </c>
      <c r="AF2066" t="str">
        <f t="shared" si="687"/>
        <v>Offensive</v>
      </c>
      <c r="AG2066">
        <f t="shared" si="693"/>
        <v>18981</v>
      </c>
      <c r="AH2066" t="str">
        <f t="shared" si="694"/>
        <v>Nelson</v>
      </c>
      <c r="AI2066" t="str">
        <f t="shared" si="695"/>
        <v>Velodrome</v>
      </c>
      <c r="AJ2066" s="18">
        <f t="shared" si="688"/>
        <v>0</v>
      </c>
      <c r="AP2066" s="18">
        <f t="shared" si="689"/>
        <v>0</v>
      </c>
      <c r="AQ2066">
        <f t="shared" si="690"/>
        <v>2160</v>
      </c>
      <c r="AR2066" s="23">
        <f t="shared" si="691"/>
        <v>2724</v>
      </c>
      <c r="AS2066">
        <f t="shared" si="696"/>
        <v>2719</v>
      </c>
      <c r="AT2066" s="21">
        <f t="shared" si="697"/>
        <v>2724</v>
      </c>
      <c r="AU2066" s="21"/>
      <c r="AV2066" s="21"/>
      <c r="AW2066" s="21"/>
    </row>
    <row r="2067" spans="1:49" x14ac:dyDescent="0.2">
      <c r="A2067">
        <v>1093</v>
      </c>
      <c r="E2067">
        <f t="shared" si="692"/>
        <v>3</v>
      </c>
      <c r="F2067" s="5" t="s">
        <v>538</v>
      </c>
      <c r="G2067" s="5" t="s">
        <v>505</v>
      </c>
      <c r="J2067" t="str">
        <f t="shared" si="699"/>
        <v>8</v>
      </c>
      <c r="K2067" t="str">
        <f t="shared" si="700"/>
        <v>33</v>
      </c>
      <c r="L2067" t="str">
        <f t="shared" si="701"/>
        <v/>
      </c>
      <c r="M2067" s="6" t="str">
        <f t="shared" si="702"/>
        <v/>
      </c>
      <c r="N2067" t="s">
        <v>178</v>
      </c>
      <c r="O2067">
        <v>44</v>
      </c>
      <c r="P2067" t="s">
        <v>424</v>
      </c>
      <c r="Q2067" t="s">
        <v>277</v>
      </c>
      <c r="R2067" t="s">
        <v>201</v>
      </c>
      <c r="S2067" t="s">
        <v>431</v>
      </c>
      <c r="Y2067" t="str">
        <f t="shared" si="685"/>
        <v/>
      </c>
      <c r="Z2067" t="str">
        <f t="shared" si="686"/>
        <v/>
      </c>
      <c r="AC2067" t="str">
        <f t="shared" si="682"/>
        <v>Zone_Entry_Exit</v>
      </c>
      <c r="AD2067" t="str">
        <f t="shared" si="683"/>
        <v>Zone_Exit</v>
      </c>
      <c r="AE2067" t="str">
        <f t="shared" si="684"/>
        <v>ZoneExit-Chip</v>
      </c>
      <c r="AF2067" t="str">
        <f t="shared" si="687"/>
        <v>Offensive</v>
      </c>
      <c r="AG2067">
        <f t="shared" si="693"/>
        <v>18981</v>
      </c>
      <c r="AH2067" t="str">
        <f t="shared" si="694"/>
        <v>Nelson</v>
      </c>
      <c r="AI2067" t="str">
        <f t="shared" si="695"/>
        <v>Velodrome</v>
      </c>
      <c r="AJ2067" s="18">
        <f t="shared" si="688"/>
        <v>0</v>
      </c>
      <c r="AP2067" s="18">
        <f t="shared" si="689"/>
        <v>0</v>
      </c>
      <c r="AQ2067">
        <f t="shared" si="690"/>
        <v>2160</v>
      </c>
      <c r="AR2067" s="23">
        <f t="shared" si="691"/>
        <v>2727</v>
      </c>
      <c r="AS2067">
        <f t="shared" si="696"/>
        <v>2722</v>
      </c>
      <c r="AT2067" s="21">
        <f t="shared" si="697"/>
        <v>2727</v>
      </c>
      <c r="AU2067" s="21"/>
      <c r="AV2067" s="21"/>
      <c r="AW2067" s="21"/>
    </row>
    <row r="2068" spans="1:49" x14ac:dyDescent="0.2">
      <c r="A2068">
        <v>1093</v>
      </c>
      <c r="E2068">
        <f t="shared" si="692"/>
        <v>3</v>
      </c>
      <c r="J2068" t="str">
        <f t="shared" si="699"/>
        <v>8</v>
      </c>
      <c r="K2068" t="str">
        <f t="shared" si="700"/>
        <v>33</v>
      </c>
      <c r="L2068" t="str">
        <f t="shared" si="701"/>
        <v/>
      </c>
      <c r="M2068" s="6" t="str">
        <f t="shared" si="702"/>
        <v/>
      </c>
      <c r="N2068" t="str">
        <f t="shared" si="698"/>
        <v>Home</v>
      </c>
      <c r="O2068">
        <v>52</v>
      </c>
      <c r="P2068" t="s">
        <v>425</v>
      </c>
      <c r="Y2068" t="str">
        <f t="shared" si="685"/>
        <v/>
      </c>
      <c r="Z2068" t="str">
        <f t="shared" si="686"/>
        <v/>
      </c>
      <c r="AC2068" t="str">
        <f t="shared" si="682"/>
        <v>Zone_Entry_Exit</v>
      </c>
      <c r="AD2068" t="str">
        <f t="shared" si="683"/>
        <v>Zone_Exit</v>
      </c>
      <c r="AE2068" t="str">
        <f t="shared" si="684"/>
        <v>ZoneExit-Chip</v>
      </c>
      <c r="AF2068" t="str">
        <f t="shared" si="687"/>
        <v>Defensive</v>
      </c>
      <c r="AG2068">
        <f t="shared" si="693"/>
        <v>18981</v>
      </c>
      <c r="AH2068" t="str">
        <f t="shared" si="694"/>
        <v>Nelson</v>
      </c>
      <c r="AI2068" t="str">
        <f t="shared" si="695"/>
        <v>Velodrome</v>
      </c>
      <c r="AJ2068" s="18">
        <f t="shared" si="688"/>
        <v>0</v>
      </c>
      <c r="AP2068" s="18">
        <f t="shared" si="689"/>
        <v>0</v>
      </c>
      <c r="AQ2068">
        <f t="shared" si="690"/>
        <v>2160</v>
      </c>
      <c r="AR2068" s="23">
        <f t="shared" si="691"/>
        <v>2727</v>
      </c>
      <c r="AS2068">
        <f t="shared" si="696"/>
        <v>2722</v>
      </c>
      <c r="AT2068" s="21">
        <f t="shared" si="697"/>
        <v>2727</v>
      </c>
      <c r="AU2068" s="21"/>
      <c r="AV2068" s="21"/>
      <c r="AW2068" s="21"/>
    </row>
    <row r="2069" spans="1:49" x14ac:dyDescent="0.2">
      <c r="A2069">
        <v>1094</v>
      </c>
      <c r="E2069">
        <f t="shared" si="692"/>
        <v>3</v>
      </c>
      <c r="F2069" s="5" t="s">
        <v>538</v>
      </c>
      <c r="G2069" s="5" t="s">
        <v>503</v>
      </c>
      <c r="H2069" s="5" t="s">
        <v>538</v>
      </c>
      <c r="I2069" s="7" t="s">
        <v>501</v>
      </c>
      <c r="J2069" t="str">
        <f t="shared" si="699"/>
        <v>8</v>
      </c>
      <c r="K2069" t="str">
        <f t="shared" si="700"/>
        <v>31</v>
      </c>
      <c r="L2069" t="str">
        <f t="shared" si="701"/>
        <v>8</v>
      </c>
      <c r="M2069" s="6" t="str">
        <f t="shared" si="702"/>
        <v>29</v>
      </c>
      <c r="N2069" t="s">
        <v>178</v>
      </c>
      <c r="O2069">
        <v>44</v>
      </c>
      <c r="P2069" t="s">
        <v>424</v>
      </c>
      <c r="Q2069" t="s">
        <v>15</v>
      </c>
      <c r="Y2069" t="str">
        <f t="shared" si="685"/>
        <v/>
      </c>
      <c r="Z2069" t="str">
        <f t="shared" si="686"/>
        <v/>
      </c>
      <c r="AC2069" t="str">
        <f t="shared" si="682"/>
        <v>Possession</v>
      </c>
      <c r="AD2069" t="str">
        <f t="shared" si="683"/>
        <v/>
      </c>
      <c r="AE2069" t="str">
        <f t="shared" si="684"/>
        <v/>
      </c>
      <c r="AF2069" t="str">
        <f t="shared" si="687"/>
        <v>Offensive</v>
      </c>
      <c r="AG2069">
        <f t="shared" si="693"/>
        <v>18981</v>
      </c>
      <c r="AH2069" t="str">
        <f t="shared" si="694"/>
        <v>Nelson</v>
      </c>
      <c r="AI2069" t="str">
        <f t="shared" si="695"/>
        <v>Velodrome</v>
      </c>
      <c r="AJ2069" s="18">
        <f t="shared" si="688"/>
        <v>2</v>
      </c>
      <c r="AP2069" s="18">
        <f t="shared" si="689"/>
        <v>0</v>
      </c>
      <c r="AQ2069">
        <f t="shared" si="690"/>
        <v>2160</v>
      </c>
      <c r="AR2069" s="23">
        <f t="shared" si="691"/>
        <v>2729</v>
      </c>
      <c r="AS2069">
        <f t="shared" si="696"/>
        <v>2724</v>
      </c>
      <c r="AT2069" s="21">
        <f t="shared" si="697"/>
        <v>2731</v>
      </c>
      <c r="AU2069" s="21"/>
      <c r="AV2069" s="21"/>
      <c r="AW2069" s="21"/>
    </row>
    <row r="2070" spans="1:49" x14ac:dyDescent="0.2">
      <c r="A2070">
        <v>1095</v>
      </c>
      <c r="E2070">
        <f t="shared" si="692"/>
        <v>3</v>
      </c>
      <c r="F2070" s="5" t="s">
        <v>538</v>
      </c>
      <c r="G2070" s="5" t="s">
        <v>501</v>
      </c>
      <c r="H2070" s="5" t="s">
        <v>538</v>
      </c>
      <c r="I2070" s="7" t="s">
        <v>500</v>
      </c>
      <c r="J2070" t="str">
        <f t="shared" si="699"/>
        <v>8</v>
      </c>
      <c r="K2070" t="str">
        <f t="shared" si="700"/>
        <v>29</v>
      </c>
      <c r="L2070" t="str">
        <f t="shared" si="701"/>
        <v>8</v>
      </c>
      <c r="M2070" s="6" t="str">
        <f t="shared" si="702"/>
        <v>28</v>
      </c>
      <c r="N2070" t="s">
        <v>178</v>
      </c>
      <c r="O2070">
        <v>44</v>
      </c>
      <c r="P2070" t="s">
        <v>424</v>
      </c>
      <c r="Q2070" t="s">
        <v>277</v>
      </c>
      <c r="R2070" t="s">
        <v>191</v>
      </c>
      <c r="S2070" t="s">
        <v>87</v>
      </c>
      <c r="Y2070" t="str">
        <f t="shared" si="685"/>
        <v/>
      </c>
      <c r="Z2070" t="str">
        <f t="shared" si="686"/>
        <v/>
      </c>
      <c r="AC2070" t="str">
        <f t="shared" si="682"/>
        <v>Zone_Entry_Exit</v>
      </c>
      <c r="AD2070" t="str">
        <f t="shared" si="683"/>
        <v>Zone_Entry</v>
      </c>
      <c r="AE2070" t="str">
        <f t="shared" si="684"/>
        <v>ZoneEntry-Rush</v>
      </c>
      <c r="AF2070" t="str">
        <f t="shared" si="687"/>
        <v>Offensive</v>
      </c>
      <c r="AG2070">
        <f t="shared" si="693"/>
        <v>18981</v>
      </c>
      <c r="AH2070" t="str">
        <f t="shared" si="694"/>
        <v>Nelson</v>
      </c>
      <c r="AI2070" t="str">
        <f t="shared" si="695"/>
        <v>Velodrome</v>
      </c>
      <c r="AJ2070" s="18">
        <f t="shared" si="688"/>
        <v>1</v>
      </c>
      <c r="AP2070" s="18">
        <f t="shared" si="689"/>
        <v>0</v>
      </c>
      <c r="AQ2070">
        <f t="shared" si="690"/>
        <v>2160</v>
      </c>
      <c r="AR2070" s="23">
        <f t="shared" si="691"/>
        <v>2731</v>
      </c>
      <c r="AS2070">
        <f t="shared" si="696"/>
        <v>2726</v>
      </c>
      <c r="AT2070" s="21">
        <f t="shared" si="697"/>
        <v>2732</v>
      </c>
      <c r="AU2070" s="21"/>
      <c r="AV2070" s="21"/>
      <c r="AW2070" s="21"/>
    </row>
    <row r="2071" spans="1:49" x14ac:dyDescent="0.2">
      <c r="A2071">
        <v>1095</v>
      </c>
      <c r="E2071">
        <f t="shared" si="692"/>
        <v>3</v>
      </c>
      <c r="J2071" t="str">
        <f t="shared" si="699"/>
        <v>8</v>
      </c>
      <c r="K2071" t="str">
        <f t="shared" si="700"/>
        <v>29</v>
      </c>
      <c r="L2071" t="str">
        <f t="shared" si="701"/>
        <v>8</v>
      </c>
      <c r="M2071" s="6" t="str">
        <f t="shared" si="702"/>
        <v>28</v>
      </c>
      <c r="N2071" t="str">
        <f t="shared" si="698"/>
        <v>Home</v>
      </c>
      <c r="O2071">
        <v>10</v>
      </c>
      <c r="P2071" t="s">
        <v>424</v>
      </c>
      <c r="Y2071" t="str">
        <f t="shared" si="685"/>
        <v/>
      </c>
      <c r="Z2071" t="str">
        <f t="shared" si="686"/>
        <v/>
      </c>
      <c r="AC2071" t="str">
        <f t="shared" si="682"/>
        <v>Zone_Entry_Exit</v>
      </c>
      <c r="AD2071" t="str">
        <f t="shared" si="683"/>
        <v>Zone_Entry</v>
      </c>
      <c r="AE2071" t="str">
        <f t="shared" si="684"/>
        <v>ZoneEntry-Rush</v>
      </c>
      <c r="AF2071" t="str">
        <f t="shared" si="687"/>
        <v>Offensive</v>
      </c>
      <c r="AG2071">
        <f t="shared" si="693"/>
        <v>18981</v>
      </c>
      <c r="AH2071" t="str">
        <f t="shared" si="694"/>
        <v>Nelson</v>
      </c>
      <c r="AI2071" t="str">
        <f t="shared" si="695"/>
        <v>Velodrome</v>
      </c>
      <c r="AJ2071" s="18">
        <f t="shared" si="688"/>
        <v>1</v>
      </c>
      <c r="AP2071" s="18">
        <f t="shared" si="689"/>
        <v>0</v>
      </c>
      <c r="AQ2071">
        <f t="shared" si="690"/>
        <v>2160</v>
      </c>
      <c r="AR2071" s="23">
        <f t="shared" si="691"/>
        <v>2731</v>
      </c>
      <c r="AS2071">
        <f t="shared" si="696"/>
        <v>2726</v>
      </c>
      <c r="AT2071" s="21">
        <f t="shared" si="697"/>
        <v>2732</v>
      </c>
      <c r="AU2071" s="21"/>
      <c r="AV2071" s="21"/>
      <c r="AW2071" s="21"/>
    </row>
    <row r="2072" spans="1:49" x14ac:dyDescent="0.2">
      <c r="A2072">
        <v>1095</v>
      </c>
      <c r="E2072">
        <f t="shared" si="692"/>
        <v>3</v>
      </c>
      <c r="J2072" t="str">
        <f t="shared" si="699"/>
        <v>8</v>
      </c>
      <c r="K2072" t="str">
        <f t="shared" si="700"/>
        <v>29</v>
      </c>
      <c r="L2072" t="str">
        <f t="shared" si="701"/>
        <v>8</v>
      </c>
      <c r="M2072" s="6" t="str">
        <f t="shared" si="702"/>
        <v>28</v>
      </c>
      <c r="N2072" t="str">
        <f t="shared" si="698"/>
        <v>Home</v>
      </c>
      <c r="O2072">
        <v>22</v>
      </c>
      <c r="P2072" t="s">
        <v>425</v>
      </c>
      <c r="Y2072" t="str">
        <f t="shared" si="685"/>
        <v/>
      </c>
      <c r="Z2072" t="str">
        <f t="shared" si="686"/>
        <v/>
      </c>
      <c r="AC2072" t="str">
        <f t="shared" si="682"/>
        <v>Zone_Entry_Exit</v>
      </c>
      <c r="AD2072" t="str">
        <f t="shared" si="683"/>
        <v>Zone_Entry</v>
      </c>
      <c r="AE2072" t="str">
        <f t="shared" si="684"/>
        <v>ZoneEntry-Rush</v>
      </c>
      <c r="AF2072" t="str">
        <f t="shared" si="687"/>
        <v>Defensive</v>
      </c>
      <c r="AG2072">
        <f t="shared" si="693"/>
        <v>18981</v>
      </c>
      <c r="AH2072" t="str">
        <f t="shared" si="694"/>
        <v>Nelson</v>
      </c>
      <c r="AI2072" t="str">
        <f t="shared" si="695"/>
        <v>Velodrome</v>
      </c>
      <c r="AJ2072" s="18">
        <f t="shared" si="688"/>
        <v>1</v>
      </c>
      <c r="AP2072" s="18">
        <f t="shared" si="689"/>
        <v>0</v>
      </c>
      <c r="AQ2072">
        <f t="shared" si="690"/>
        <v>2160</v>
      </c>
      <c r="AR2072" s="23">
        <f t="shared" si="691"/>
        <v>2731</v>
      </c>
      <c r="AS2072">
        <f t="shared" si="696"/>
        <v>2726</v>
      </c>
      <c r="AT2072" s="21">
        <f t="shared" si="697"/>
        <v>2732</v>
      </c>
      <c r="AU2072" s="21"/>
      <c r="AV2072" s="21"/>
      <c r="AW2072" s="21"/>
    </row>
    <row r="2073" spans="1:49" x14ac:dyDescent="0.2">
      <c r="A2073">
        <v>1095</v>
      </c>
      <c r="E2073">
        <f t="shared" si="692"/>
        <v>3</v>
      </c>
      <c r="J2073" t="str">
        <f t="shared" si="699"/>
        <v>8</v>
      </c>
      <c r="K2073" t="str">
        <f t="shared" si="700"/>
        <v>29</v>
      </c>
      <c r="L2073" t="str">
        <f t="shared" si="701"/>
        <v>8</v>
      </c>
      <c r="M2073" s="6" t="str">
        <f t="shared" si="702"/>
        <v>28</v>
      </c>
      <c r="N2073" t="str">
        <f t="shared" si="698"/>
        <v>Home</v>
      </c>
      <c r="O2073">
        <v>70</v>
      </c>
      <c r="P2073" t="s">
        <v>425</v>
      </c>
      <c r="Y2073" t="str">
        <f t="shared" si="685"/>
        <v/>
      </c>
      <c r="Z2073" t="str">
        <f t="shared" si="686"/>
        <v/>
      </c>
      <c r="AC2073" t="str">
        <f t="shared" si="682"/>
        <v>Zone_Entry_Exit</v>
      </c>
      <c r="AD2073" t="str">
        <f t="shared" si="683"/>
        <v>Zone_Entry</v>
      </c>
      <c r="AE2073" t="str">
        <f t="shared" si="684"/>
        <v>ZoneEntry-Rush</v>
      </c>
      <c r="AF2073" t="str">
        <f t="shared" si="687"/>
        <v>Defensive</v>
      </c>
      <c r="AG2073">
        <f t="shared" si="693"/>
        <v>18981</v>
      </c>
      <c r="AH2073" t="str">
        <f t="shared" si="694"/>
        <v>Nelson</v>
      </c>
      <c r="AI2073" t="str">
        <f t="shared" si="695"/>
        <v>Velodrome</v>
      </c>
      <c r="AJ2073" s="18">
        <f t="shared" si="688"/>
        <v>1</v>
      </c>
      <c r="AP2073" s="18">
        <f t="shared" si="689"/>
        <v>0</v>
      </c>
      <c r="AQ2073">
        <f t="shared" si="690"/>
        <v>2160</v>
      </c>
      <c r="AR2073" s="23">
        <f t="shared" si="691"/>
        <v>2731</v>
      </c>
      <c r="AS2073">
        <f t="shared" si="696"/>
        <v>2726</v>
      </c>
      <c r="AT2073" s="21">
        <f t="shared" si="697"/>
        <v>2732</v>
      </c>
      <c r="AU2073" s="21"/>
      <c r="AV2073" s="21"/>
      <c r="AW2073" s="21"/>
    </row>
    <row r="2074" spans="1:49" x14ac:dyDescent="0.2">
      <c r="A2074">
        <v>1096</v>
      </c>
      <c r="E2074">
        <f t="shared" si="692"/>
        <v>3</v>
      </c>
      <c r="F2074" s="5" t="s">
        <v>538</v>
      </c>
      <c r="G2074" s="5" t="s">
        <v>500</v>
      </c>
      <c r="J2074" t="str">
        <f t="shared" si="699"/>
        <v>8</v>
      </c>
      <c r="K2074" t="str">
        <f t="shared" si="700"/>
        <v>28</v>
      </c>
      <c r="L2074" t="str">
        <f t="shared" si="701"/>
        <v/>
      </c>
      <c r="M2074" s="6" t="str">
        <f t="shared" si="702"/>
        <v/>
      </c>
      <c r="N2074" t="s">
        <v>179</v>
      </c>
      <c r="O2074">
        <v>22</v>
      </c>
      <c r="P2074" t="s">
        <v>424</v>
      </c>
      <c r="Q2074" t="s">
        <v>247</v>
      </c>
      <c r="R2074" t="s">
        <v>446</v>
      </c>
      <c r="S2074" t="s">
        <v>559</v>
      </c>
      <c r="Y2074" t="str">
        <f t="shared" si="685"/>
        <v/>
      </c>
      <c r="Z2074" t="str">
        <f t="shared" si="686"/>
        <v/>
      </c>
      <c r="AC2074" t="str">
        <f t="shared" si="682"/>
        <v>Play</v>
      </c>
      <c r="AD2074" t="str">
        <f t="shared" si="683"/>
        <v>Play_Defensive</v>
      </c>
      <c r="AE2074" t="str">
        <f t="shared" si="684"/>
        <v>Play-PokeCheck</v>
      </c>
      <c r="AF2074" t="str">
        <f t="shared" si="687"/>
        <v>Defensive</v>
      </c>
      <c r="AG2074">
        <f t="shared" si="693"/>
        <v>18981</v>
      </c>
      <c r="AH2074" t="str">
        <f t="shared" si="694"/>
        <v>Nelson</v>
      </c>
      <c r="AI2074" t="str">
        <f t="shared" si="695"/>
        <v>Velodrome</v>
      </c>
      <c r="AJ2074" s="18">
        <f t="shared" si="688"/>
        <v>0</v>
      </c>
      <c r="AP2074" s="18">
        <f t="shared" si="689"/>
        <v>0</v>
      </c>
      <c r="AQ2074">
        <f t="shared" si="690"/>
        <v>2160</v>
      </c>
      <c r="AR2074" s="23">
        <f t="shared" si="691"/>
        <v>2732</v>
      </c>
      <c r="AS2074">
        <f t="shared" si="696"/>
        <v>2727</v>
      </c>
      <c r="AT2074" s="21">
        <f t="shared" si="697"/>
        <v>2732</v>
      </c>
      <c r="AU2074" s="21"/>
      <c r="AV2074" s="21"/>
      <c r="AW2074" s="21"/>
    </row>
    <row r="2075" spans="1:49" x14ac:dyDescent="0.2">
      <c r="A2075">
        <v>1096</v>
      </c>
      <c r="E2075">
        <f t="shared" si="692"/>
        <v>3</v>
      </c>
      <c r="J2075" t="str">
        <f t="shared" si="699"/>
        <v>8</v>
      </c>
      <c r="K2075" t="str">
        <f t="shared" si="700"/>
        <v>28</v>
      </c>
      <c r="L2075" t="str">
        <f t="shared" si="701"/>
        <v/>
      </c>
      <c r="M2075" s="6" t="str">
        <f t="shared" si="702"/>
        <v/>
      </c>
      <c r="N2075" t="str">
        <f t="shared" si="698"/>
        <v>Away</v>
      </c>
      <c r="O2075">
        <v>44</v>
      </c>
      <c r="P2075" t="s">
        <v>425</v>
      </c>
      <c r="Y2075" t="str">
        <f t="shared" si="685"/>
        <v/>
      </c>
      <c r="Z2075" t="str">
        <f t="shared" si="686"/>
        <v/>
      </c>
      <c r="AC2075" t="str">
        <f t="shared" si="682"/>
        <v>Play</v>
      </c>
      <c r="AD2075" t="str">
        <f t="shared" si="683"/>
        <v>Play_Defensive</v>
      </c>
      <c r="AE2075" t="str">
        <f t="shared" si="684"/>
        <v>Play-PokeCheck</v>
      </c>
      <c r="AF2075" t="str">
        <f t="shared" si="687"/>
        <v>Offensive</v>
      </c>
      <c r="AG2075">
        <f t="shared" si="693"/>
        <v>18981</v>
      </c>
      <c r="AH2075" t="str">
        <f t="shared" si="694"/>
        <v>Nelson</v>
      </c>
      <c r="AI2075" t="str">
        <f t="shared" si="695"/>
        <v>Velodrome</v>
      </c>
      <c r="AJ2075" s="18">
        <f t="shared" si="688"/>
        <v>0</v>
      </c>
      <c r="AP2075" s="18">
        <f t="shared" si="689"/>
        <v>0</v>
      </c>
      <c r="AQ2075">
        <f t="shared" si="690"/>
        <v>2160</v>
      </c>
      <c r="AR2075" s="23">
        <f t="shared" si="691"/>
        <v>2732</v>
      </c>
      <c r="AS2075">
        <f t="shared" si="696"/>
        <v>2727</v>
      </c>
      <c r="AT2075" s="21">
        <f t="shared" si="697"/>
        <v>2732</v>
      </c>
      <c r="AU2075" s="21"/>
      <c r="AV2075" s="21"/>
      <c r="AW2075" s="21"/>
    </row>
    <row r="2076" spans="1:49" x14ac:dyDescent="0.2">
      <c r="A2076">
        <v>1097</v>
      </c>
      <c r="E2076">
        <f t="shared" si="692"/>
        <v>3</v>
      </c>
      <c r="F2076" s="5" t="s">
        <v>538</v>
      </c>
      <c r="G2076" s="5" t="s">
        <v>497</v>
      </c>
      <c r="H2076" s="5" t="s">
        <v>538</v>
      </c>
      <c r="I2076" s="7" t="s">
        <v>495</v>
      </c>
      <c r="J2076" t="str">
        <f t="shared" si="699"/>
        <v>8</v>
      </c>
      <c r="K2076" t="str">
        <f t="shared" si="700"/>
        <v>25</v>
      </c>
      <c r="L2076" t="str">
        <f t="shared" si="701"/>
        <v>8</v>
      </c>
      <c r="M2076" s="6" t="str">
        <f t="shared" si="702"/>
        <v>23</v>
      </c>
      <c r="N2076" t="s">
        <v>178</v>
      </c>
      <c r="O2076">
        <v>44</v>
      </c>
      <c r="P2076" t="s">
        <v>424</v>
      </c>
      <c r="Q2076" t="s">
        <v>15</v>
      </c>
      <c r="Y2076" t="str">
        <f t="shared" si="685"/>
        <v/>
      </c>
      <c r="Z2076" t="str">
        <f t="shared" si="686"/>
        <v/>
      </c>
      <c r="AC2076" t="str">
        <f t="shared" si="682"/>
        <v>Possession</v>
      </c>
      <c r="AD2076" t="str">
        <f t="shared" si="683"/>
        <v/>
      </c>
      <c r="AE2076" t="str">
        <f t="shared" si="684"/>
        <v/>
      </c>
      <c r="AF2076" t="str">
        <f t="shared" si="687"/>
        <v>Offensive</v>
      </c>
      <c r="AG2076">
        <f t="shared" si="693"/>
        <v>18981</v>
      </c>
      <c r="AH2076" t="str">
        <f t="shared" si="694"/>
        <v>Nelson</v>
      </c>
      <c r="AI2076" t="str">
        <f t="shared" si="695"/>
        <v>Velodrome</v>
      </c>
      <c r="AJ2076" s="18">
        <f t="shared" si="688"/>
        <v>2</v>
      </c>
      <c r="AP2076" s="18">
        <f t="shared" si="689"/>
        <v>0</v>
      </c>
      <c r="AQ2076">
        <f t="shared" si="690"/>
        <v>2160</v>
      </c>
      <c r="AR2076" s="23">
        <f t="shared" si="691"/>
        <v>2735</v>
      </c>
      <c r="AS2076">
        <f t="shared" si="696"/>
        <v>2730</v>
      </c>
      <c r="AT2076" s="21">
        <f t="shared" si="697"/>
        <v>2737</v>
      </c>
      <c r="AU2076" s="21"/>
      <c r="AV2076" s="21"/>
      <c r="AW2076" s="21"/>
    </row>
    <row r="2077" spans="1:49" x14ac:dyDescent="0.2">
      <c r="A2077">
        <v>1097</v>
      </c>
      <c r="E2077">
        <f t="shared" si="692"/>
        <v>3</v>
      </c>
      <c r="J2077" t="str">
        <f t="shared" si="699"/>
        <v>8</v>
      </c>
      <c r="K2077" t="str">
        <f t="shared" si="700"/>
        <v>25</v>
      </c>
      <c r="L2077" t="str">
        <f t="shared" si="701"/>
        <v>8</v>
      </c>
      <c r="M2077" s="6" t="str">
        <f t="shared" si="702"/>
        <v>23</v>
      </c>
      <c r="N2077" t="str">
        <f t="shared" si="698"/>
        <v>Home</v>
      </c>
      <c r="O2077">
        <v>22</v>
      </c>
      <c r="P2077" t="s">
        <v>425</v>
      </c>
      <c r="Y2077" t="str">
        <f t="shared" si="685"/>
        <v/>
      </c>
      <c r="Z2077" t="str">
        <f t="shared" si="686"/>
        <v/>
      </c>
      <c r="AC2077" t="str">
        <f t="shared" si="682"/>
        <v>Possession</v>
      </c>
      <c r="AD2077" t="str">
        <f t="shared" si="683"/>
        <v/>
      </c>
      <c r="AE2077" t="str">
        <f t="shared" si="684"/>
        <v/>
      </c>
      <c r="AF2077" t="str">
        <f t="shared" si="687"/>
        <v>Defensive</v>
      </c>
      <c r="AG2077">
        <f t="shared" si="693"/>
        <v>18981</v>
      </c>
      <c r="AH2077" t="str">
        <f t="shared" si="694"/>
        <v>Nelson</v>
      </c>
      <c r="AI2077" t="str">
        <f t="shared" si="695"/>
        <v>Velodrome</v>
      </c>
      <c r="AJ2077" s="18">
        <f t="shared" si="688"/>
        <v>2</v>
      </c>
      <c r="AP2077" s="18">
        <f t="shared" si="689"/>
        <v>0</v>
      </c>
      <c r="AQ2077">
        <f t="shared" si="690"/>
        <v>2160</v>
      </c>
      <c r="AR2077" s="23">
        <f t="shared" si="691"/>
        <v>2735</v>
      </c>
      <c r="AS2077">
        <f t="shared" si="696"/>
        <v>2730</v>
      </c>
      <c r="AT2077" s="21">
        <f t="shared" si="697"/>
        <v>2737</v>
      </c>
      <c r="AU2077" s="21"/>
      <c r="AV2077" s="21"/>
      <c r="AW2077" s="21"/>
    </row>
    <row r="2078" spans="1:49" x14ac:dyDescent="0.2">
      <c r="A2078">
        <v>1097</v>
      </c>
      <c r="E2078">
        <f t="shared" si="692"/>
        <v>3</v>
      </c>
      <c r="J2078" t="str">
        <f t="shared" si="699"/>
        <v>8</v>
      </c>
      <c r="K2078" t="str">
        <f t="shared" si="700"/>
        <v>25</v>
      </c>
      <c r="L2078" t="str">
        <f t="shared" si="701"/>
        <v>8</v>
      </c>
      <c r="M2078" s="6" t="str">
        <f t="shared" si="702"/>
        <v>23</v>
      </c>
      <c r="N2078" t="str">
        <f t="shared" si="698"/>
        <v>Home</v>
      </c>
      <c r="O2078">
        <v>75</v>
      </c>
      <c r="P2078" t="s">
        <v>425</v>
      </c>
      <c r="Y2078" t="str">
        <f t="shared" si="685"/>
        <v/>
      </c>
      <c r="Z2078" t="str">
        <f t="shared" si="686"/>
        <v/>
      </c>
      <c r="AC2078" t="str">
        <f t="shared" si="682"/>
        <v>Possession</v>
      </c>
      <c r="AD2078" t="str">
        <f t="shared" si="683"/>
        <v/>
      </c>
      <c r="AE2078" t="str">
        <f t="shared" si="684"/>
        <v/>
      </c>
      <c r="AF2078" t="str">
        <f t="shared" si="687"/>
        <v>Defensive</v>
      </c>
      <c r="AG2078">
        <f t="shared" si="693"/>
        <v>18981</v>
      </c>
      <c r="AH2078" t="str">
        <f t="shared" si="694"/>
        <v>Nelson</v>
      </c>
      <c r="AI2078" t="str">
        <f t="shared" si="695"/>
        <v>Velodrome</v>
      </c>
      <c r="AJ2078" s="18">
        <f t="shared" si="688"/>
        <v>2</v>
      </c>
      <c r="AP2078" s="18">
        <f t="shared" si="689"/>
        <v>0</v>
      </c>
      <c r="AQ2078">
        <f t="shared" si="690"/>
        <v>2160</v>
      </c>
      <c r="AR2078" s="23">
        <f t="shared" si="691"/>
        <v>2735</v>
      </c>
      <c r="AS2078">
        <f t="shared" si="696"/>
        <v>2730</v>
      </c>
      <c r="AT2078" s="21">
        <f t="shared" si="697"/>
        <v>2737</v>
      </c>
      <c r="AU2078" s="21"/>
      <c r="AV2078" s="21"/>
      <c r="AW2078" s="21"/>
    </row>
    <row r="2079" spans="1:49" x14ac:dyDescent="0.2">
      <c r="A2079">
        <v>1098</v>
      </c>
      <c r="E2079">
        <f t="shared" si="692"/>
        <v>3</v>
      </c>
      <c r="F2079" s="5" t="s">
        <v>538</v>
      </c>
      <c r="G2079" s="5" t="s">
        <v>495</v>
      </c>
      <c r="J2079" t="str">
        <f t="shared" si="699"/>
        <v>8</v>
      </c>
      <c r="K2079" t="str">
        <f t="shared" si="700"/>
        <v>23</v>
      </c>
      <c r="L2079" t="str">
        <f t="shared" si="701"/>
        <v/>
      </c>
      <c r="M2079" s="6" t="str">
        <f t="shared" si="702"/>
        <v/>
      </c>
      <c r="N2079" t="s">
        <v>178</v>
      </c>
      <c r="O2079">
        <v>44</v>
      </c>
      <c r="P2079" t="s">
        <v>424</v>
      </c>
      <c r="Q2079" t="s">
        <v>8</v>
      </c>
      <c r="R2079" t="s">
        <v>189</v>
      </c>
      <c r="S2079" t="s">
        <v>70</v>
      </c>
      <c r="Y2079" t="str">
        <f t="shared" si="685"/>
        <v/>
      </c>
      <c r="Z2079" t="str">
        <f t="shared" si="686"/>
        <v/>
      </c>
      <c r="AC2079" t="str">
        <f t="shared" si="682"/>
        <v>Pass</v>
      </c>
      <c r="AD2079" t="str">
        <f t="shared" si="683"/>
        <v>Pass_Completed</v>
      </c>
      <c r="AE2079" t="str">
        <f t="shared" si="684"/>
        <v>Pass-Forehand</v>
      </c>
      <c r="AF2079" t="str">
        <f t="shared" si="687"/>
        <v>Offensive</v>
      </c>
      <c r="AG2079">
        <f t="shared" si="693"/>
        <v>18981</v>
      </c>
      <c r="AH2079" t="str">
        <f t="shared" si="694"/>
        <v>Nelson</v>
      </c>
      <c r="AI2079" t="str">
        <f t="shared" si="695"/>
        <v>Velodrome</v>
      </c>
      <c r="AJ2079" s="18">
        <f t="shared" si="688"/>
        <v>0</v>
      </c>
      <c r="AP2079" s="18">
        <f t="shared" si="689"/>
        <v>0</v>
      </c>
      <c r="AQ2079">
        <f t="shared" si="690"/>
        <v>2160</v>
      </c>
      <c r="AR2079" s="23">
        <f t="shared" si="691"/>
        <v>2737</v>
      </c>
      <c r="AS2079">
        <f t="shared" si="696"/>
        <v>2732</v>
      </c>
      <c r="AT2079" s="21">
        <f t="shared" si="697"/>
        <v>2737</v>
      </c>
      <c r="AU2079" s="21"/>
      <c r="AV2079" s="21"/>
      <c r="AW2079" s="21"/>
    </row>
    <row r="2080" spans="1:49" x14ac:dyDescent="0.2">
      <c r="A2080">
        <v>1098</v>
      </c>
      <c r="E2080">
        <f t="shared" si="692"/>
        <v>3</v>
      </c>
      <c r="J2080" t="str">
        <f t="shared" si="699"/>
        <v>8</v>
      </c>
      <c r="K2080" t="str">
        <f t="shared" si="700"/>
        <v>23</v>
      </c>
      <c r="L2080" t="str">
        <f t="shared" si="701"/>
        <v/>
      </c>
      <c r="M2080" s="6" t="str">
        <f t="shared" si="702"/>
        <v/>
      </c>
      <c r="N2080" t="str">
        <f t="shared" si="698"/>
        <v>Home</v>
      </c>
      <c r="O2080">
        <v>15</v>
      </c>
      <c r="P2080" t="s">
        <v>424</v>
      </c>
      <c r="Y2080" t="str">
        <f t="shared" si="685"/>
        <v/>
      </c>
      <c r="Z2080" t="str">
        <f t="shared" si="686"/>
        <v/>
      </c>
      <c r="AC2080" t="str">
        <f t="shared" si="682"/>
        <v>Pass</v>
      </c>
      <c r="AD2080" t="str">
        <f t="shared" si="683"/>
        <v>Pass_Completed</v>
      </c>
      <c r="AE2080" t="str">
        <f t="shared" si="684"/>
        <v>Pass-Forehand</v>
      </c>
      <c r="AF2080" t="str">
        <f t="shared" si="687"/>
        <v>Offensive</v>
      </c>
      <c r="AG2080">
        <f t="shared" si="693"/>
        <v>18981</v>
      </c>
      <c r="AH2080" t="str">
        <f t="shared" si="694"/>
        <v>Nelson</v>
      </c>
      <c r="AI2080" t="str">
        <f t="shared" si="695"/>
        <v>Velodrome</v>
      </c>
      <c r="AJ2080" s="18">
        <f t="shared" si="688"/>
        <v>0</v>
      </c>
      <c r="AP2080" s="18">
        <f t="shared" si="689"/>
        <v>0</v>
      </c>
      <c r="AQ2080">
        <f t="shared" si="690"/>
        <v>2160</v>
      </c>
      <c r="AR2080" s="23">
        <f t="shared" si="691"/>
        <v>2737</v>
      </c>
      <c r="AS2080">
        <f t="shared" si="696"/>
        <v>2732</v>
      </c>
      <c r="AT2080" s="21">
        <f t="shared" si="697"/>
        <v>2737</v>
      </c>
      <c r="AU2080" s="21"/>
      <c r="AV2080" s="21"/>
      <c r="AW2080" s="21"/>
    </row>
    <row r="2081" spans="1:49" x14ac:dyDescent="0.2">
      <c r="A2081">
        <v>1098</v>
      </c>
      <c r="E2081">
        <f t="shared" si="692"/>
        <v>3</v>
      </c>
      <c r="J2081" t="str">
        <f t="shared" si="699"/>
        <v>8</v>
      </c>
      <c r="K2081" t="str">
        <f t="shared" si="700"/>
        <v>23</v>
      </c>
      <c r="L2081" t="str">
        <f t="shared" si="701"/>
        <v/>
      </c>
      <c r="M2081" s="6" t="str">
        <f t="shared" si="702"/>
        <v/>
      </c>
      <c r="N2081" t="str">
        <f t="shared" si="698"/>
        <v>Home</v>
      </c>
      <c r="O2081">
        <v>75</v>
      </c>
      <c r="P2081" t="s">
        <v>425</v>
      </c>
      <c r="Y2081" t="str">
        <f t="shared" si="685"/>
        <v/>
      </c>
      <c r="Z2081" t="str">
        <f t="shared" si="686"/>
        <v/>
      </c>
      <c r="AC2081" t="str">
        <f t="shared" si="682"/>
        <v>Pass</v>
      </c>
      <c r="AD2081" t="str">
        <f t="shared" si="683"/>
        <v>Pass_Completed</v>
      </c>
      <c r="AE2081" t="str">
        <f t="shared" si="684"/>
        <v>Pass-Forehand</v>
      </c>
      <c r="AF2081" t="str">
        <f t="shared" si="687"/>
        <v>Defensive</v>
      </c>
      <c r="AG2081">
        <f t="shared" si="693"/>
        <v>18981</v>
      </c>
      <c r="AH2081" t="str">
        <f t="shared" si="694"/>
        <v>Nelson</v>
      </c>
      <c r="AI2081" t="str">
        <f t="shared" si="695"/>
        <v>Velodrome</v>
      </c>
      <c r="AJ2081" s="18">
        <f t="shared" si="688"/>
        <v>0</v>
      </c>
      <c r="AP2081" s="18">
        <f t="shared" si="689"/>
        <v>0</v>
      </c>
      <c r="AQ2081">
        <f t="shared" si="690"/>
        <v>2160</v>
      </c>
      <c r="AR2081" s="23">
        <f t="shared" si="691"/>
        <v>2737</v>
      </c>
      <c r="AS2081">
        <f t="shared" si="696"/>
        <v>2732</v>
      </c>
      <c r="AT2081" s="21">
        <f t="shared" si="697"/>
        <v>2737</v>
      </c>
      <c r="AU2081" s="21"/>
      <c r="AV2081" s="21"/>
      <c r="AW2081" s="21"/>
    </row>
    <row r="2082" spans="1:49" x14ac:dyDescent="0.2">
      <c r="A2082">
        <v>1099</v>
      </c>
      <c r="E2082">
        <f t="shared" si="692"/>
        <v>3</v>
      </c>
      <c r="F2082" s="5" t="s">
        <v>538</v>
      </c>
      <c r="G2082" s="5" t="s">
        <v>494</v>
      </c>
      <c r="J2082" t="str">
        <f t="shared" si="699"/>
        <v>8</v>
      </c>
      <c r="K2082" t="str">
        <f t="shared" si="700"/>
        <v>22</v>
      </c>
      <c r="L2082" t="str">
        <f t="shared" si="701"/>
        <v/>
      </c>
      <c r="M2082" s="6" t="str">
        <f t="shared" si="702"/>
        <v/>
      </c>
      <c r="N2082" t="s">
        <v>178</v>
      </c>
      <c r="O2082">
        <v>15</v>
      </c>
      <c r="P2082" t="s">
        <v>424</v>
      </c>
      <c r="Q2082" t="s">
        <v>7</v>
      </c>
      <c r="R2082" t="s">
        <v>222</v>
      </c>
      <c r="S2082" t="s">
        <v>53</v>
      </c>
      <c r="Y2082" t="str">
        <f t="shared" si="685"/>
        <v/>
      </c>
      <c r="Z2082" t="str">
        <f t="shared" si="686"/>
        <v/>
      </c>
      <c r="AC2082" t="str">
        <f t="shared" si="682"/>
        <v>Shot</v>
      </c>
      <c r="AD2082" t="str">
        <f t="shared" si="683"/>
        <v>Shot_OnNetSaved</v>
      </c>
      <c r="AE2082" t="str">
        <f t="shared" si="684"/>
        <v>Shot-Wrist</v>
      </c>
      <c r="AF2082" t="str">
        <f t="shared" si="687"/>
        <v>Offensive</v>
      </c>
      <c r="AG2082">
        <f t="shared" si="693"/>
        <v>18981</v>
      </c>
      <c r="AH2082" t="str">
        <f t="shared" si="694"/>
        <v>Nelson</v>
      </c>
      <c r="AI2082" t="str">
        <f t="shared" si="695"/>
        <v>Velodrome</v>
      </c>
      <c r="AJ2082" s="18">
        <f t="shared" si="688"/>
        <v>0</v>
      </c>
      <c r="AP2082" s="18">
        <f t="shared" si="689"/>
        <v>0</v>
      </c>
      <c r="AQ2082">
        <f t="shared" si="690"/>
        <v>2160</v>
      </c>
      <c r="AR2082" s="23">
        <f t="shared" si="691"/>
        <v>2738</v>
      </c>
      <c r="AS2082">
        <f t="shared" si="696"/>
        <v>2733</v>
      </c>
      <c r="AT2082" s="21">
        <f t="shared" si="697"/>
        <v>2738</v>
      </c>
      <c r="AU2082" s="21"/>
      <c r="AV2082" s="21"/>
      <c r="AW2082" s="21"/>
    </row>
    <row r="2083" spans="1:49" x14ac:dyDescent="0.2">
      <c r="A2083">
        <v>1099</v>
      </c>
      <c r="E2083">
        <f t="shared" si="692"/>
        <v>3</v>
      </c>
      <c r="J2083" t="str">
        <f t="shared" si="699"/>
        <v>8</v>
      </c>
      <c r="K2083" t="str">
        <f t="shared" si="700"/>
        <v>22</v>
      </c>
      <c r="L2083" t="str">
        <f t="shared" si="701"/>
        <v/>
      </c>
      <c r="M2083" s="6" t="str">
        <f t="shared" si="702"/>
        <v/>
      </c>
      <c r="N2083" t="str">
        <f t="shared" si="698"/>
        <v>Home</v>
      </c>
      <c r="O2083">
        <v>10</v>
      </c>
      <c r="P2083" t="s">
        <v>424</v>
      </c>
      <c r="Y2083" t="str">
        <f t="shared" si="685"/>
        <v/>
      </c>
      <c r="Z2083" t="str">
        <f t="shared" si="686"/>
        <v/>
      </c>
      <c r="AC2083" t="str">
        <f t="shared" si="682"/>
        <v>Shot</v>
      </c>
      <c r="AD2083" t="str">
        <f t="shared" si="683"/>
        <v>Shot_OnNetSaved</v>
      </c>
      <c r="AE2083" t="str">
        <f t="shared" si="684"/>
        <v>Shot-Wrist</v>
      </c>
      <c r="AF2083" t="str">
        <f t="shared" si="687"/>
        <v>Offensive</v>
      </c>
      <c r="AG2083">
        <f t="shared" si="693"/>
        <v>18981</v>
      </c>
      <c r="AH2083" t="str">
        <f t="shared" si="694"/>
        <v>Nelson</v>
      </c>
      <c r="AI2083" t="str">
        <f t="shared" si="695"/>
        <v>Velodrome</v>
      </c>
      <c r="AJ2083" s="18">
        <f t="shared" si="688"/>
        <v>0</v>
      </c>
      <c r="AP2083" s="18">
        <f t="shared" si="689"/>
        <v>0</v>
      </c>
      <c r="AQ2083">
        <f t="shared" si="690"/>
        <v>2160</v>
      </c>
      <c r="AR2083" s="23">
        <f t="shared" si="691"/>
        <v>2738</v>
      </c>
      <c r="AS2083">
        <f t="shared" si="696"/>
        <v>2733</v>
      </c>
      <c r="AT2083" s="21">
        <f t="shared" si="697"/>
        <v>2738</v>
      </c>
      <c r="AU2083" s="21"/>
      <c r="AV2083" s="21"/>
      <c r="AW2083" s="21"/>
    </row>
    <row r="2084" spans="1:49" x14ac:dyDescent="0.2">
      <c r="A2084">
        <v>1099</v>
      </c>
      <c r="E2084">
        <f t="shared" si="692"/>
        <v>3</v>
      </c>
      <c r="J2084" t="str">
        <f t="shared" si="699"/>
        <v>8</v>
      </c>
      <c r="K2084" t="str">
        <f t="shared" si="700"/>
        <v>22</v>
      </c>
      <c r="L2084" t="str">
        <f t="shared" si="701"/>
        <v/>
      </c>
      <c r="M2084" s="6" t="str">
        <f t="shared" si="702"/>
        <v/>
      </c>
      <c r="N2084" t="str">
        <f t="shared" si="698"/>
        <v>Home</v>
      </c>
      <c r="O2084">
        <v>39</v>
      </c>
      <c r="P2084" t="s">
        <v>425</v>
      </c>
      <c r="Y2084" t="str">
        <f t="shared" si="685"/>
        <v/>
      </c>
      <c r="Z2084" t="str">
        <f t="shared" si="686"/>
        <v/>
      </c>
      <c r="AC2084" t="str">
        <f t="shared" si="682"/>
        <v>Shot</v>
      </c>
      <c r="AD2084" t="str">
        <f t="shared" si="683"/>
        <v>Shot_OnNetSaved</v>
      </c>
      <c r="AE2084" t="str">
        <f t="shared" si="684"/>
        <v>Shot-Wrist</v>
      </c>
      <c r="AF2084" t="str">
        <f t="shared" si="687"/>
        <v>Defensive</v>
      </c>
      <c r="AG2084">
        <f t="shared" si="693"/>
        <v>18981</v>
      </c>
      <c r="AH2084" t="str">
        <f t="shared" si="694"/>
        <v>Nelson</v>
      </c>
      <c r="AI2084" t="str">
        <f t="shared" si="695"/>
        <v>Velodrome</v>
      </c>
      <c r="AJ2084" s="18">
        <f t="shared" si="688"/>
        <v>0</v>
      </c>
      <c r="AP2084" s="18">
        <f t="shared" si="689"/>
        <v>0</v>
      </c>
      <c r="AQ2084">
        <f t="shared" si="690"/>
        <v>2160</v>
      </c>
      <c r="AR2084" s="23">
        <f t="shared" si="691"/>
        <v>2738</v>
      </c>
      <c r="AS2084">
        <f t="shared" si="696"/>
        <v>2733</v>
      </c>
      <c r="AT2084" s="21">
        <f t="shared" si="697"/>
        <v>2738</v>
      </c>
      <c r="AU2084" s="21"/>
      <c r="AV2084" s="21"/>
      <c r="AW2084" s="21"/>
    </row>
    <row r="2085" spans="1:49" x14ac:dyDescent="0.2">
      <c r="A2085">
        <v>1099</v>
      </c>
      <c r="E2085">
        <f t="shared" si="692"/>
        <v>3</v>
      </c>
      <c r="J2085" t="str">
        <f t="shared" si="699"/>
        <v>8</v>
      </c>
      <c r="K2085" t="str">
        <f t="shared" si="700"/>
        <v>22</v>
      </c>
      <c r="L2085" t="str">
        <f t="shared" si="701"/>
        <v/>
      </c>
      <c r="M2085" s="6" t="str">
        <f t="shared" si="702"/>
        <v/>
      </c>
      <c r="N2085" t="str">
        <f t="shared" si="698"/>
        <v>Home</v>
      </c>
      <c r="O2085">
        <v>52</v>
      </c>
      <c r="P2085" t="s">
        <v>425</v>
      </c>
      <c r="Y2085" t="str">
        <f t="shared" si="685"/>
        <v/>
      </c>
      <c r="Z2085" t="str">
        <f t="shared" si="686"/>
        <v/>
      </c>
      <c r="AC2085" t="str">
        <f t="shared" si="682"/>
        <v>Shot</v>
      </c>
      <c r="AD2085" t="str">
        <f t="shared" si="683"/>
        <v>Shot_OnNetSaved</v>
      </c>
      <c r="AE2085" t="str">
        <f t="shared" si="684"/>
        <v>Shot-Wrist</v>
      </c>
      <c r="AF2085" t="str">
        <f t="shared" si="687"/>
        <v>Defensive</v>
      </c>
      <c r="AG2085">
        <f t="shared" si="693"/>
        <v>18981</v>
      </c>
      <c r="AH2085" t="str">
        <f t="shared" si="694"/>
        <v>Nelson</v>
      </c>
      <c r="AI2085" t="str">
        <f t="shared" si="695"/>
        <v>Velodrome</v>
      </c>
      <c r="AJ2085" s="18">
        <f t="shared" si="688"/>
        <v>0</v>
      </c>
      <c r="AP2085" s="18">
        <f t="shared" si="689"/>
        <v>0</v>
      </c>
      <c r="AQ2085">
        <f t="shared" si="690"/>
        <v>2160</v>
      </c>
      <c r="AR2085" s="23">
        <f t="shared" si="691"/>
        <v>2738</v>
      </c>
      <c r="AS2085">
        <f t="shared" si="696"/>
        <v>2733</v>
      </c>
      <c r="AT2085" s="21">
        <f t="shared" si="697"/>
        <v>2738</v>
      </c>
      <c r="AU2085" s="21"/>
      <c r="AV2085" s="21"/>
      <c r="AW2085" s="21"/>
    </row>
    <row r="2086" spans="1:49" x14ac:dyDescent="0.2">
      <c r="A2086">
        <v>1100</v>
      </c>
      <c r="E2086">
        <f t="shared" si="692"/>
        <v>3</v>
      </c>
      <c r="F2086" s="5" t="s">
        <v>538</v>
      </c>
      <c r="G2086" s="5" t="s">
        <v>494</v>
      </c>
      <c r="J2086" t="str">
        <f t="shared" si="699"/>
        <v>8</v>
      </c>
      <c r="K2086" t="str">
        <f t="shared" si="700"/>
        <v>22</v>
      </c>
      <c r="L2086" t="str">
        <f t="shared" si="701"/>
        <v/>
      </c>
      <c r="M2086" s="6" t="str">
        <f t="shared" si="702"/>
        <v/>
      </c>
      <c r="N2086" t="s">
        <v>179</v>
      </c>
      <c r="O2086">
        <v>39</v>
      </c>
      <c r="P2086" t="s">
        <v>424</v>
      </c>
      <c r="Q2086" t="s">
        <v>17</v>
      </c>
      <c r="R2086" t="s">
        <v>196</v>
      </c>
      <c r="S2086" t="s">
        <v>98</v>
      </c>
      <c r="Y2086" t="str">
        <f t="shared" si="685"/>
        <v/>
      </c>
      <c r="Z2086" t="str">
        <f t="shared" si="686"/>
        <v/>
      </c>
      <c r="AC2086" t="str">
        <f t="shared" si="682"/>
        <v>Save</v>
      </c>
      <c r="AD2086" t="str">
        <f t="shared" si="683"/>
        <v>Save_Rebound</v>
      </c>
      <c r="AE2086" t="str">
        <f t="shared" si="684"/>
        <v>Save-LeftPad</v>
      </c>
      <c r="AF2086" t="str">
        <f t="shared" si="687"/>
        <v>Defensive</v>
      </c>
      <c r="AG2086">
        <f t="shared" si="693"/>
        <v>18981</v>
      </c>
      <c r="AH2086" t="str">
        <f t="shared" si="694"/>
        <v>Nelson</v>
      </c>
      <c r="AI2086" t="str">
        <f t="shared" si="695"/>
        <v>Velodrome</v>
      </c>
      <c r="AJ2086" s="18">
        <f t="shared" si="688"/>
        <v>0</v>
      </c>
      <c r="AP2086" s="18">
        <f t="shared" si="689"/>
        <v>0</v>
      </c>
      <c r="AQ2086">
        <f t="shared" si="690"/>
        <v>2160</v>
      </c>
      <c r="AR2086" s="23">
        <f t="shared" si="691"/>
        <v>2738</v>
      </c>
      <c r="AS2086">
        <f t="shared" si="696"/>
        <v>2733</v>
      </c>
      <c r="AT2086" s="21">
        <f t="shared" si="697"/>
        <v>2738</v>
      </c>
      <c r="AU2086" s="21"/>
      <c r="AV2086" s="21"/>
      <c r="AW2086" s="21"/>
    </row>
    <row r="2087" spans="1:49" x14ac:dyDescent="0.2">
      <c r="A2087">
        <v>1100</v>
      </c>
      <c r="E2087">
        <f t="shared" si="692"/>
        <v>3</v>
      </c>
      <c r="J2087" t="str">
        <f t="shared" si="699"/>
        <v>8</v>
      </c>
      <c r="K2087" t="str">
        <f t="shared" si="700"/>
        <v>22</v>
      </c>
      <c r="L2087" t="str">
        <f t="shared" si="701"/>
        <v/>
      </c>
      <c r="M2087" s="6" t="str">
        <f t="shared" si="702"/>
        <v/>
      </c>
      <c r="N2087" t="str">
        <f t="shared" si="698"/>
        <v>Away</v>
      </c>
      <c r="O2087">
        <v>52</v>
      </c>
      <c r="P2087" t="s">
        <v>424</v>
      </c>
      <c r="Y2087" t="str">
        <f t="shared" si="685"/>
        <v/>
      </c>
      <c r="Z2087" t="str">
        <f t="shared" si="686"/>
        <v/>
      </c>
      <c r="AC2087" t="str">
        <f t="shared" si="682"/>
        <v>Save</v>
      </c>
      <c r="AD2087" t="str">
        <f t="shared" si="683"/>
        <v>Save_Rebound</v>
      </c>
      <c r="AE2087" t="str">
        <f t="shared" si="684"/>
        <v>Save-LeftPad</v>
      </c>
      <c r="AF2087" t="str">
        <f t="shared" si="687"/>
        <v>Defensive</v>
      </c>
      <c r="AG2087">
        <f t="shared" si="693"/>
        <v>18981</v>
      </c>
      <c r="AH2087" t="str">
        <f t="shared" si="694"/>
        <v>Nelson</v>
      </c>
      <c r="AI2087" t="str">
        <f t="shared" si="695"/>
        <v>Velodrome</v>
      </c>
      <c r="AJ2087" s="18">
        <f t="shared" si="688"/>
        <v>0</v>
      </c>
      <c r="AP2087" s="18">
        <f t="shared" si="689"/>
        <v>0</v>
      </c>
      <c r="AQ2087">
        <f t="shared" si="690"/>
        <v>2160</v>
      </c>
      <c r="AR2087" s="23">
        <f t="shared" si="691"/>
        <v>2738</v>
      </c>
      <c r="AS2087">
        <f t="shared" si="696"/>
        <v>2733</v>
      </c>
      <c r="AT2087" s="21">
        <f t="shared" si="697"/>
        <v>2738</v>
      </c>
      <c r="AU2087" s="21"/>
      <c r="AV2087" s="21"/>
      <c r="AW2087" s="21"/>
    </row>
    <row r="2088" spans="1:49" x14ac:dyDescent="0.2">
      <c r="A2088">
        <v>1100</v>
      </c>
      <c r="E2088">
        <f t="shared" si="692"/>
        <v>3</v>
      </c>
      <c r="J2088" t="str">
        <f t="shared" si="699"/>
        <v>8</v>
      </c>
      <c r="K2088" t="str">
        <f t="shared" si="700"/>
        <v>22</v>
      </c>
      <c r="L2088" t="str">
        <f t="shared" si="701"/>
        <v/>
      </c>
      <c r="M2088" s="6" t="str">
        <f t="shared" si="702"/>
        <v/>
      </c>
      <c r="N2088" t="str">
        <f t="shared" si="698"/>
        <v>Away</v>
      </c>
      <c r="O2088">
        <v>15</v>
      </c>
      <c r="P2088" t="s">
        <v>425</v>
      </c>
      <c r="Y2088" t="str">
        <f t="shared" si="685"/>
        <v/>
      </c>
      <c r="Z2088" t="str">
        <f t="shared" si="686"/>
        <v/>
      </c>
      <c r="AC2088" t="str">
        <f t="shared" si="682"/>
        <v>Save</v>
      </c>
      <c r="AD2088" t="str">
        <f t="shared" si="683"/>
        <v>Save_Rebound</v>
      </c>
      <c r="AE2088" t="str">
        <f t="shared" si="684"/>
        <v>Save-LeftPad</v>
      </c>
      <c r="AF2088" t="str">
        <f t="shared" si="687"/>
        <v>Offensive</v>
      </c>
      <c r="AG2088">
        <f t="shared" si="693"/>
        <v>18981</v>
      </c>
      <c r="AH2088" t="str">
        <f t="shared" si="694"/>
        <v>Nelson</v>
      </c>
      <c r="AI2088" t="str">
        <f t="shared" si="695"/>
        <v>Velodrome</v>
      </c>
      <c r="AJ2088" s="18">
        <f t="shared" si="688"/>
        <v>0</v>
      </c>
      <c r="AP2088" s="18">
        <f t="shared" si="689"/>
        <v>0</v>
      </c>
      <c r="AQ2088">
        <f t="shared" si="690"/>
        <v>2160</v>
      </c>
      <c r="AR2088" s="23">
        <f t="shared" si="691"/>
        <v>2738</v>
      </c>
      <c r="AS2088">
        <f t="shared" si="696"/>
        <v>2733</v>
      </c>
      <c r="AT2088" s="21">
        <f t="shared" si="697"/>
        <v>2738</v>
      </c>
      <c r="AU2088" s="21"/>
      <c r="AV2088" s="21"/>
      <c r="AW2088" s="21"/>
    </row>
    <row r="2089" spans="1:49" x14ac:dyDescent="0.2">
      <c r="A2089">
        <v>1100</v>
      </c>
      <c r="E2089">
        <f t="shared" si="692"/>
        <v>3</v>
      </c>
      <c r="J2089" t="str">
        <f t="shared" si="699"/>
        <v>8</v>
      </c>
      <c r="K2089" t="str">
        <f t="shared" si="700"/>
        <v>22</v>
      </c>
      <c r="L2089" t="str">
        <f t="shared" si="701"/>
        <v/>
      </c>
      <c r="M2089" s="6" t="str">
        <f t="shared" si="702"/>
        <v/>
      </c>
      <c r="N2089" t="str">
        <f t="shared" si="698"/>
        <v>Away</v>
      </c>
      <c r="O2089">
        <v>10</v>
      </c>
      <c r="P2089" t="s">
        <v>425</v>
      </c>
      <c r="Y2089" t="str">
        <f t="shared" si="685"/>
        <v/>
      </c>
      <c r="Z2089" t="str">
        <f t="shared" si="686"/>
        <v/>
      </c>
      <c r="AC2089" t="str">
        <f t="shared" si="682"/>
        <v>Save</v>
      </c>
      <c r="AD2089" t="str">
        <f t="shared" si="683"/>
        <v>Save_Rebound</v>
      </c>
      <c r="AE2089" t="str">
        <f t="shared" si="684"/>
        <v>Save-LeftPad</v>
      </c>
      <c r="AF2089" t="str">
        <f t="shared" si="687"/>
        <v>Offensive</v>
      </c>
      <c r="AG2089">
        <f t="shared" si="693"/>
        <v>18981</v>
      </c>
      <c r="AH2089" t="str">
        <f t="shared" si="694"/>
        <v>Nelson</v>
      </c>
      <c r="AI2089" t="str">
        <f t="shared" si="695"/>
        <v>Velodrome</v>
      </c>
      <c r="AJ2089" s="18">
        <f t="shared" si="688"/>
        <v>0</v>
      </c>
      <c r="AP2089" s="18">
        <f t="shared" si="689"/>
        <v>0</v>
      </c>
      <c r="AQ2089">
        <f t="shared" si="690"/>
        <v>2160</v>
      </c>
      <c r="AR2089" s="23">
        <f t="shared" si="691"/>
        <v>2738</v>
      </c>
      <c r="AS2089">
        <f t="shared" si="696"/>
        <v>2733</v>
      </c>
      <c r="AT2089" s="21">
        <f t="shared" si="697"/>
        <v>2738</v>
      </c>
      <c r="AU2089" s="21"/>
      <c r="AV2089" s="21"/>
      <c r="AW2089" s="21"/>
    </row>
    <row r="2090" spans="1:49" x14ac:dyDescent="0.2">
      <c r="A2090">
        <v>1101</v>
      </c>
      <c r="E2090">
        <f t="shared" si="692"/>
        <v>3</v>
      </c>
      <c r="F2090" s="5" t="s">
        <v>538</v>
      </c>
      <c r="G2090" s="5" t="s">
        <v>494</v>
      </c>
      <c r="J2090" t="str">
        <f t="shared" si="699"/>
        <v>8</v>
      </c>
      <c r="K2090" t="str">
        <f t="shared" si="700"/>
        <v>22</v>
      </c>
      <c r="L2090" t="str">
        <f t="shared" si="701"/>
        <v/>
      </c>
      <c r="M2090" s="6" t="str">
        <f t="shared" si="702"/>
        <v/>
      </c>
      <c r="N2090" t="s">
        <v>179</v>
      </c>
      <c r="O2090">
        <v>39</v>
      </c>
      <c r="P2090" t="s">
        <v>424</v>
      </c>
      <c r="Q2090" t="s">
        <v>270</v>
      </c>
      <c r="R2090" t="s">
        <v>271</v>
      </c>
      <c r="Y2090" t="str">
        <f t="shared" si="685"/>
        <v/>
      </c>
      <c r="Z2090" t="str">
        <f t="shared" si="686"/>
        <v/>
      </c>
      <c r="AC2090" t="str">
        <f t="shared" si="682"/>
        <v>Rebound</v>
      </c>
      <c r="AD2090" t="str">
        <f t="shared" si="683"/>
        <v>Rebound_TeamRecovered</v>
      </c>
      <c r="AE2090" t="str">
        <f t="shared" si="684"/>
        <v/>
      </c>
      <c r="AF2090" t="str">
        <f t="shared" si="687"/>
        <v>Offensive</v>
      </c>
      <c r="AG2090">
        <f t="shared" si="693"/>
        <v>18981</v>
      </c>
      <c r="AH2090" t="str">
        <f t="shared" si="694"/>
        <v>Nelson</v>
      </c>
      <c r="AI2090" t="str">
        <f t="shared" si="695"/>
        <v>Velodrome</v>
      </c>
      <c r="AJ2090" s="18">
        <f t="shared" si="688"/>
        <v>0</v>
      </c>
      <c r="AP2090" s="18">
        <f t="shared" si="689"/>
        <v>0</v>
      </c>
      <c r="AQ2090">
        <f t="shared" si="690"/>
        <v>2160</v>
      </c>
      <c r="AR2090" s="23">
        <f t="shared" si="691"/>
        <v>2738</v>
      </c>
      <c r="AS2090">
        <f t="shared" si="696"/>
        <v>2733</v>
      </c>
      <c r="AT2090" s="21">
        <f t="shared" si="697"/>
        <v>2738</v>
      </c>
      <c r="AU2090" s="21"/>
      <c r="AV2090" s="21"/>
      <c r="AW2090" s="21"/>
    </row>
    <row r="2091" spans="1:49" x14ac:dyDescent="0.2">
      <c r="A2091">
        <v>1102</v>
      </c>
      <c r="E2091">
        <f t="shared" si="692"/>
        <v>3</v>
      </c>
      <c r="F2091" s="5" t="s">
        <v>538</v>
      </c>
      <c r="G2091" s="5" t="s">
        <v>491</v>
      </c>
      <c r="H2091" s="5" t="s">
        <v>538</v>
      </c>
      <c r="I2091" s="7" t="s">
        <v>472</v>
      </c>
      <c r="J2091" t="str">
        <f t="shared" si="699"/>
        <v>8</v>
      </c>
      <c r="K2091" t="str">
        <f t="shared" si="700"/>
        <v>19</v>
      </c>
      <c r="L2091" t="str">
        <f t="shared" si="701"/>
        <v>8</v>
      </c>
      <c r="M2091" s="6" t="str">
        <f t="shared" si="702"/>
        <v>17</v>
      </c>
      <c r="N2091" t="s">
        <v>179</v>
      </c>
      <c r="O2091">
        <v>22</v>
      </c>
      <c r="P2091" t="s">
        <v>424</v>
      </c>
      <c r="Q2091" t="s">
        <v>277</v>
      </c>
      <c r="R2091" t="s">
        <v>201</v>
      </c>
      <c r="S2091" t="s">
        <v>90</v>
      </c>
      <c r="Y2091" t="str">
        <f t="shared" si="685"/>
        <v/>
      </c>
      <c r="Z2091" t="str">
        <f t="shared" si="686"/>
        <v/>
      </c>
      <c r="AC2091" t="str">
        <f t="shared" si="682"/>
        <v>Zone_Entry_Exit</v>
      </c>
      <c r="AD2091" t="str">
        <f t="shared" si="683"/>
        <v>Zone_Exit</v>
      </c>
      <c r="AE2091" t="str">
        <f t="shared" si="684"/>
        <v>ZoneExit-Rush</v>
      </c>
      <c r="AF2091" t="str">
        <f t="shared" si="687"/>
        <v>Offensive</v>
      </c>
      <c r="AG2091">
        <f t="shared" si="693"/>
        <v>18981</v>
      </c>
      <c r="AH2091" t="str">
        <f t="shared" si="694"/>
        <v>Nelson</v>
      </c>
      <c r="AI2091" t="str">
        <f t="shared" si="695"/>
        <v>Velodrome</v>
      </c>
      <c r="AJ2091" s="18">
        <f t="shared" si="688"/>
        <v>2</v>
      </c>
      <c r="AP2091" s="18">
        <f t="shared" si="689"/>
        <v>0</v>
      </c>
      <c r="AQ2091">
        <f t="shared" si="690"/>
        <v>2160</v>
      </c>
      <c r="AR2091" s="23">
        <f t="shared" si="691"/>
        <v>2741</v>
      </c>
      <c r="AS2091">
        <f t="shared" si="696"/>
        <v>2736</v>
      </c>
      <c r="AT2091" s="21">
        <f t="shared" si="697"/>
        <v>2743</v>
      </c>
      <c r="AU2091" s="21"/>
      <c r="AV2091" s="21"/>
      <c r="AW2091" s="21"/>
    </row>
    <row r="2092" spans="1:49" x14ac:dyDescent="0.2">
      <c r="A2092">
        <v>1103</v>
      </c>
      <c r="E2092">
        <f t="shared" si="692"/>
        <v>3</v>
      </c>
      <c r="F2092" s="5" t="s">
        <v>538</v>
      </c>
      <c r="G2092" s="5" t="s">
        <v>472</v>
      </c>
      <c r="H2092" s="5" t="s">
        <v>538</v>
      </c>
      <c r="I2092" s="7" t="s">
        <v>489</v>
      </c>
      <c r="J2092" t="str">
        <f t="shared" si="699"/>
        <v>8</v>
      </c>
      <c r="K2092" t="str">
        <f t="shared" si="700"/>
        <v>17</v>
      </c>
      <c r="L2092" t="str">
        <f t="shared" si="701"/>
        <v>8</v>
      </c>
      <c r="M2092" s="6" t="str">
        <f t="shared" si="702"/>
        <v>14</v>
      </c>
      <c r="N2092" t="s">
        <v>179</v>
      </c>
      <c r="O2092">
        <v>22</v>
      </c>
      <c r="P2092" t="s">
        <v>424</v>
      </c>
      <c r="Q2092" t="s">
        <v>15</v>
      </c>
      <c r="Y2092" t="str">
        <f t="shared" si="685"/>
        <v/>
      </c>
      <c r="Z2092" t="str">
        <f t="shared" si="686"/>
        <v/>
      </c>
      <c r="AC2092" t="str">
        <f t="shared" si="682"/>
        <v>Possession</v>
      </c>
      <c r="AD2092" t="str">
        <f t="shared" si="683"/>
        <v/>
      </c>
      <c r="AE2092" t="str">
        <f t="shared" si="684"/>
        <v/>
      </c>
      <c r="AF2092" t="str">
        <f t="shared" si="687"/>
        <v>Offensive</v>
      </c>
      <c r="AG2092">
        <f t="shared" si="693"/>
        <v>18981</v>
      </c>
      <c r="AH2092" t="str">
        <f t="shared" si="694"/>
        <v>Nelson</v>
      </c>
      <c r="AI2092" t="str">
        <f t="shared" si="695"/>
        <v>Velodrome</v>
      </c>
      <c r="AJ2092" s="18">
        <f t="shared" si="688"/>
        <v>3</v>
      </c>
      <c r="AP2092" s="18">
        <f t="shared" si="689"/>
        <v>0</v>
      </c>
      <c r="AQ2092">
        <f t="shared" si="690"/>
        <v>2160</v>
      </c>
      <c r="AR2092" s="23">
        <f t="shared" si="691"/>
        <v>2743</v>
      </c>
      <c r="AS2092">
        <f t="shared" si="696"/>
        <v>2738</v>
      </c>
      <c r="AT2092" s="21">
        <f t="shared" si="697"/>
        <v>2746</v>
      </c>
      <c r="AU2092" s="21"/>
      <c r="AV2092" s="21"/>
      <c r="AW2092" s="21"/>
    </row>
    <row r="2093" spans="1:49" x14ac:dyDescent="0.2">
      <c r="A2093">
        <v>1104</v>
      </c>
      <c r="E2093">
        <f t="shared" si="692"/>
        <v>3</v>
      </c>
      <c r="F2093" s="5" t="s">
        <v>538</v>
      </c>
      <c r="G2093" s="5" t="s">
        <v>489</v>
      </c>
      <c r="H2093" s="5" t="s">
        <v>538</v>
      </c>
      <c r="I2093" s="7" t="s">
        <v>487</v>
      </c>
      <c r="J2093" t="str">
        <f t="shared" si="699"/>
        <v>8</v>
      </c>
      <c r="K2093" t="str">
        <f t="shared" si="700"/>
        <v>14</v>
      </c>
      <c r="L2093" t="str">
        <f t="shared" si="701"/>
        <v>8</v>
      </c>
      <c r="M2093" s="6" t="str">
        <f t="shared" si="702"/>
        <v>12</v>
      </c>
      <c r="N2093" t="s">
        <v>179</v>
      </c>
      <c r="O2093">
        <v>22</v>
      </c>
      <c r="P2093" t="s">
        <v>424</v>
      </c>
      <c r="Q2093" t="s">
        <v>277</v>
      </c>
      <c r="R2093" t="s">
        <v>191</v>
      </c>
      <c r="S2093" t="s">
        <v>87</v>
      </c>
      <c r="Y2093" t="str">
        <f t="shared" si="685"/>
        <v/>
      </c>
      <c r="Z2093" t="str">
        <f t="shared" si="686"/>
        <v/>
      </c>
      <c r="AC2093" t="str">
        <f t="shared" si="682"/>
        <v>Zone_Entry_Exit</v>
      </c>
      <c r="AD2093" t="str">
        <f t="shared" si="683"/>
        <v>Zone_Entry</v>
      </c>
      <c r="AE2093" t="str">
        <f t="shared" si="684"/>
        <v>ZoneEntry-Rush</v>
      </c>
      <c r="AF2093" t="str">
        <f t="shared" si="687"/>
        <v>Offensive</v>
      </c>
      <c r="AG2093">
        <f t="shared" si="693"/>
        <v>18981</v>
      </c>
      <c r="AH2093" t="str">
        <f t="shared" si="694"/>
        <v>Nelson</v>
      </c>
      <c r="AI2093" t="str">
        <f t="shared" si="695"/>
        <v>Velodrome</v>
      </c>
      <c r="AJ2093" s="18">
        <f t="shared" si="688"/>
        <v>2</v>
      </c>
      <c r="AP2093" s="18">
        <f t="shared" si="689"/>
        <v>0</v>
      </c>
      <c r="AQ2093">
        <f t="shared" si="690"/>
        <v>2160</v>
      </c>
      <c r="AR2093" s="23">
        <f t="shared" si="691"/>
        <v>2746</v>
      </c>
      <c r="AS2093">
        <f t="shared" si="696"/>
        <v>2741</v>
      </c>
      <c r="AT2093" s="21">
        <f t="shared" si="697"/>
        <v>2748</v>
      </c>
      <c r="AU2093" s="21"/>
      <c r="AV2093" s="21"/>
      <c r="AW2093" s="21"/>
    </row>
    <row r="2094" spans="1:49" x14ac:dyDescent="0.2">
      <c r="A2094">
        <v>1104</v>
      </c>
      <c r="E2094">
        <f t="shared" si="692"/>
        <v>3</v>
      </c>
      <c r="J2094" t="str">
        <f t="shared" si="699"/>
        <v>8</v>
      </c>
      <c r="K2094" t="str">
        <f t="shared" si="700"/>
        <v>14</v>
      </c>
      <c r="L2094" t="str">
        <f t="shared" si="701"/>
        <v>8</v>
      </c>
      <c r="M2094" s="6" t="str">
        <f t="shared" si="702"/>
        <v>12</v>
      </c>
      <c r="N2094" t="str">
        <f t="shared" si="698"/>
        <v>Away</v>
      </c>
      <c r="O2094">
        <v>70</v>
      </c>
      <c r="P2094" t="s">
        <v>424</v>
      </c>
      <c r="Y2094" t="str">
        <f t="shared" si="685"/>
        <v/>
      </c>
      <c r="Z2094" t="str">
        <f t="shared" si="686"/>
        <v/>
      </c>
      <c r="AC2094" t="str">
        <f t="shared" si="682"/>
        <v>Zone_Entry_Exit</v>
      </c>
      <c r="AD2094" t="str">
        <f t="shared" si="683"/>
        <v>Zone_Entry</v>
      </c>
      <c r="AE2094" t="str">
        <f t="shared" si="684"/>
        <v>ZoneEntry-Rush</v>
      </c>
      <c r="AF2094" t="str">
        <f t="shared" si="687"/>
        <v>Offensive</v>
      </c>
      <c r="AG2094">
        <f t="shared" si="693"/>
        <v>18981</v>
      </c>
      <c r="AH2094" t="str">
        <f t="shared" si="694"/>
        <v>Nelson</v>
      </c>
      <c r="AI2094" t="str">
        <f t="shared" si="695"/>
        <v>Velodrome</v>
      </c>
      <c r="AJ2094" s="18">
        <f t="shared" si="688"/>
        <v>2</v>
      </c>
      <c r="AP2094" s="18">
        <f t="shared" si="689"/>
        <v>0</v>
      </c>
      <c r="AQ2094">
        <f t="shared" si="690"/>
        <v>2160</v>
      </c>
      <c r="AR2094" s="23">
        <f t="shared" si="691"/>
        <v>2746</v>
      </c>
      <c r="AS2094">
        <f t="shared" si="696"/>
        <v>2741</v>
      </c>
      <c r="AT2094" s="21">
        <f t="shared" si="697"/>
        <v>2748</v>
      </c>
      <c r="AU2094" s="21"/>
      <c r="AV2094" s="21"/>
      <c r="AW2094" s="21"/>
    </row>
    <row r="2095" spans="1:49" x14ac:dyDescent="0.2">
      <c r="A2095">
        <v>1104</v>
      </c>
      <c r="E2095">
        <f t="shared" si="692"/>
        <v>3</v>
      </c>
      <c r="J2095" t="str">
        <f t="shared" si="699"/>
        <v>8</v>
      </c>
      <c r="K2095" t="str">
        <f t="shared" si="700"/>
        <v>14</v>
      </c>
      <c r="L2095" t="str">
        <f t="shared" si="701"/>
        <v>8</v>
      </c>
      <c r="M2095" s="6" t="str">
        <f t="shared" si="702"/>
        <v>12</v>
      </c>
      <c r="N2095" t="str">
        <f t="shared" si="698"/>
        <v>Away</v>
      </c>
      <c r="O2095">
        <v>23</v>
      </c>
      <c r="P2095" t="s">
        <v>425</v>
      </c>
      <c r="Y2095" t="str">
        <f t="shared" si="685"/>
        <v/>
      </c>
      <c r="Z2095" t="str">
        <f t="shared" si="686"/>
        <v/>
      </c>
      <c r="AC2095" t="str">
        <f t="shared" ref="AC2095:AC2158" si="703">IF(Q2095&lt;&gt;"",Q2095,IF($A2095=$A2094,AC2094,""))</f>
        <v>Zone_Entry_Exit</v>
      </c>
      <c r="AD2095" t="str">
        <f t="shared" ref="AD2095:AD2158" si="704">IF(R2095&lt;&gt;"",R2095,IF($A2095=$A2094,AD2094,""))</f>
        <v>Zone_Entry</v>
      </c>
      <c r="AE2095" t="str">
        <f t="shared" ref="AE2095:AE2158" si="705">IF(S2095&lt;&gt;"",S2095,IF($A2095=$A2094,AE2094,""))</f>
        <v>ZoneEntry-Rush</v>
      </c>
      <c r="AF2095" t="str">
        <f t="shared" si="687"/>
        <v>Defensive</v>
      </c>
      <c r="AG2095">
        <f t="shared" si="693"/>
        <v>18981</v>
      </c>
      <c r="AH2095" t="str">
        <f t="shared" si="694"/>
        <v>Nelson</v>
      </c>
      <c r="AI2095" t="str">
        <f t="shared" si="695"/>
        <v>Velodrome</v>
      </c>
      <c r="AJ2095" s="18">
        <f t="shared" si="688"/>
        <v>2</v>
      </c>
      <c r="AP2095" s="18">
        <f t="shared" si="689"/>
        <v>0</v>
      </c>
      <c r="AQ2095">
        <f t="shared" si="690"/>
        <v>2160</v>
      </c>
      <c r="AR2095" s="23">
        <f t="shared" si="691"/>
        <v>2746</v>
      </c>
      <c r="AS2095">
        <f t="shared" si="696"/>
        <v>2741</v>
      </c>
      <c r="AT2095" s="21">
        <f t="shared" si="697"/>
        <v>2748</v>
      </c>
      <c r="AU2095" s="21"/>
      <c r="AV2095" s="21"/>
      <c r="AW2095" s="21"/>
    </row>
    <row r="2096" spans="1:49" x14ac:dyDescent="0.2">
      <c r="A2096">
        <v>1104</v>
      </c>
      <c r="E2096">
        <f t="shared" si="692"/>
        <v>3</v>
      </c>
      <c r="J2096" t="str">
        <f t="shared" si="699"/>
        <v>8</v>
      </c>
      <c r="K2096" t="str">
        <f t="shared" si="700"/>
        <v>14</v>
      </c>
      <c r="L2096" t="str">
        <f t="shared" si="701"/>
        <v>8</v>
      </c>
      <c r="M2096" s="6" t="str">
        <f t="shared" si="702"/>
        <v>12</v>
      </c>
      <c r="N2096" t="str">
        <f t="shared" si="698"/>
        <v>Away</v>
      </c>
      <c r="O2096">
        <v>37</v>
      </c>
      <c r="P2096" t="s">
        <v>425</v>
      </c>
      <c r="Y2096" t="str">
        <f t="shared" si="685"/>
        <v/>
      </c>
      <c r="Z2096" t="str">
        <f t="shared" si="686"/>
        <v/>
      </c>
      <c r="AC2096" t="str">
        <f t="shared" si="703"/>
        <v>Zone_Entry_Exit</v>
      </c>
      <c r="AD2096" t="str">
        <f t="shared" si="704"/>
        <v>Zone_Entry</v>
      </c>
      <c r="AE2096" t="str">
        <f t="shared" si="705"/>
        <v>ZoneEntry-Rush</v>
      </c>
      <c r="AF2096" t="str">
        <f t="shared" si="687"/>
        <v>Defensive</v>
      </c>
      <c r="AG2096">
        <f t="shared" si="693"/>
        <v>18981</v>
      </c>
      <c r="AH2096" t="str">
        <f t="shared" si="694"/>
        <v>Nelson</v>
      </c>
      <c r="AI2096" t="str">
        <f t="shared" si="695"/>
        <v>Velodrome</v>
      </c>
      <c r="AJ2096" s="18">
        <f t="shared" si="688"/>
        <v>2</v>
      </c>
      <c r="AP2096" s="18">
        <f t="shared" si="689"/>
        <v>0</v>
      </c>
      <c r="AQ2096">
        <f t="shared" si="690"/>
        <v>2160</v>
      </c>
      <c r="AR2096" s="23">
        <f t="shared" si="691"/>
        <v>2746</v>
      </c>
      <c r="AS2096">
        <f t="shared" si="696"/>
        <v>2741</v>
      </c>
      <c r="AT2096" s="21">
        <f t="shared" si="697"/>
        <v>2748</v>
      </c>
      <c r="AU2096" s="21"/>
      <c r="AV2096" s="21"/>
      <c r="AW2096" s="21"/>
    </row>
    <row r="2097" spans="1:49" x14ac:dyDescent="0.2">
      <c r="A2097">
        <v>1105</v>
      </c>
      <c r="E2097">
        <f t="shared" si="692"/>
        <v>3</v>
      </c>
      <c r="F2097" s="5" t="s">
        <v>538</v>
      </c>
      <c r="G2097" s="5" t="s">
        <v>487</v>
      </c>
      <c r="J2097" t="str">
        <f t="shared" si="699"/>
        <v>8</v>
      </c>
      <c r="K2097" t="str">
        <f t="shared" si="700"/>
        <v>12</v>
      </c>
      <c r="L2097" t="str">
        <f t="shared" si="701"/>
        <v/>
      </c>
      <c r="M2097" s="6" t="str">
        <f t="shared" si="702"/>
        <v/>
      </c>
      <c r="N2097" t="s">
        <v>179</v>
      </c>
      <c r="O2097">
        <v>22</v>
      </c>
      <c r="P2097" t="s">
        <v>424</v>
      </c>
      <c r="Q2097" t="s">
        <v>7</v>
      </c>
      <c r="R2097" t="s">
        <v>222</v>
      </c>
      <c r="S2097" t="s">
        <v>53</v>
      </c>
      <c r="Y2097" t="str">
        <f t="shared" si="685"/>
        <v/>
      </c>
      <c r="Z2097" t="str">
        <f t="shared" si="686"/>
        <v/>
      </c>
      <c r="AC2097" t="str">
        <f t="shared" si="703"/>
        <v>Shot</v>
      </c>
      <c r="AD2097" t="str">
        <f t="shared" si="704"/>
        <v>Shot_OnNetSaved</v>
      </c>
      <c r="AE2097" t="str">
        <f t="shared" si="705"/>
        <v>Shot-Wrist</v>
      </c>
      <c r="AF2097" t="str">
        <f t="shared" si="687"/>
        <v>Offensive</v>
      </c>
      <c r="AG2097">
        <f t="shared" si="693"/>
        <v>18981</v>
      </c>
      <c r="AH2097" t="str">
        <f t="shared" si="694"/>
        <v>Nelson</v>
      </c>
      <c r="AI2097" t="str">
        <f t="shared" si="695"/>
        <v>Velodrome</v>
      </c>
      <c r="AJ2097" s="18">
        <f t="shared" si="688"/>
        <v>0</v>
      </c>
      <c r="AP2097" s="18">
        <f t="shared" si="689"/>
        <v>0</v>
      </c>
      <c r="AQ2097">
        <f t="shared" si="690"/>
        <v>2160</v>
      </c>
      <c r="AR2097" s="23">
        <f t="shared" si="691"/>
        <v>2748</v>
      </c>
      <c r="AS2097">
        <f t="shared" si="696"/>
        <v>2743</v>
      </c>
      <c r="AT2097" s="21">
        <f t="shared" si="697"/>
        <v>2748</v>
      </c>
      <c r="AU2097" s="21"/>
      <c r="AV2097" s="21"/>
      <c r="AW2097" s="21"/>
    </row>
    <row r="2098" spans="1:49" x14ac:dyDescent="0.2">
      <c r="A2098">
        <v>1105</v>
      </c>
      <c r="E2098">
        <f t="shared" si="692"/>
        <v>3</v>
      </c>
      <c r="J2098" t="str">
        <f t="shared" si="699"/>
        <v>8</v>
      </c>
      <c r="K2098" t="str">
        <f t="shared" si="700"/>
        <v>12</v>
      </c>
      <c r="L2098" t="str">
        <f t="shared" si="701"/>
        <v/>
      </c>
      <c r="M2098" s="6" t="str">
        <f t="shared" si="702"/>
        <v/>
      </c>
      <c r="N2098" t="str">
        <f t="shared" si="698"/>
        <v>Away</v>
      </c>
      <c r="O2098">
        <v>31</v>
      </c>
      <c r="P2098" t="s">
        <v>425</v>
      </c>
      <c r="Y2098" t="str">
        <f t="shared" si="685"/>
        <v/>
      </c>
      <c r="Z2098" t="str">
        <f t="shared" si="686"/>
        <v/>
      </c>
      <c r="AC2098" t="str">
        <f t="shared" si="703"/>
        <v>Shot</v>
      </c>
      <c r="AD2098" t="str">
        <f t="shared" si="704"/>
        <v>Shot_OnNetSaved</v>
      </c>
      <c r="AE2098" t="str">
        <f t="shared" si="705"/>
        <v>Shot-Wrist</v>
      </c>
      <c r="AF2098" t="str">
        <f t="shared" si="687"/>
        <v>Defensive</v>
      </c>
      <c r="AG2098">
        <f t="shared" si="693"/>
        <v>18981</v>
      </c>
      <c r="AH2098" t="str">
        <f t="shared" si="694"/>
        <v>Nelson</v>
      </c>
      <c r="AI2098" t="str">
        <f t="shared" si="695"/>
        <v>Velodrome</v>
      </c>
      <c r="AJ2098" s="18">
        <f t="shared" si="688"/>
        <v>0</v>
      </c>
      <c r="AP2098" s="18">
        <f t="shared" si="689"/>
        <v>0</v>
      </c>
      <c r="AQ2098">
        <f t="shared" si="690"/>
        <v>2160</v>
      </c>
      <c r="AR2098" s="23">
        <f t="shared" si="691"/>
        <v>2748</v>
      </c>
      <c r="AS2098">
        <f t="shared" si="696"/>
        <v>2743</v>
      </c>
      <c r="AT2098" s="21">
        <f t="shared" si="697"/>
        <v>2748</v>
      </c>
      <c r="AU2098" s="21"/>
      <c r="AV2098" s="21"/>
      <c r="AW2098" s="21"/>
    </row>
    <row r="2099" spans="1:49" x14ac:dyDescent="0.2">
      <c r="A2099">
        <v>1106</v>
      </c>
      <c r="E2099">
        <f t="shared" si="692"/>
        <v>3</v>
      </c>
      <c r="F2099" s="5" t="s">
        <v>538</v>
      </c>
      <c r="G2099" s="5" t="s">
        <v>487</v>
      </c>
      <c r="J2099" t="str">
        <f t="shared" si="699"/>
        <v>8</v>
      </c>
      <c r="K2099" t="str">
        <f t="shared" si="700"/>
        <v>12</v>
      </c>
      <c r="L2099" t="str">
        <f t="shared" si="701"/>
        <v/>
      </c>
      <c r="M2099" s="6" t="str">
        <f t="shared" si="702"/>
        <v/>
      </c>
      <c r="N2099" t="s">
        <v>178</v>
      </c>
      <c r="O2099">
        <v>31</v>
      </c>
      <c r="P2099" t="s">
        <v>424</v>
      </c>
      <c r="Q2099" t="s">
        <v>17</v>
      </c>
      <c r="R2099" t="s">
        <v>196</v>
      </c>
      <c r="S2099" t="s">
        <v>542</v>
      </c>
      <c r="Y2099" t="str">
        <f t="shared" si="685"/>
        <v/>
      </c>
      <c r="Z2099" t="str">
        <f t="shared" si="686"/>
        <v/>
      </c>
      <c r="AC2099" t="str">
        <f t="shared" si="703"/>
        <v>Save</v>
      </c>
      <c r="AD2099" t="str">
        <f t="shared" si="704"/>
        <v>Save_Rebound</v>
      </c>
      <c r="AE2099" t="str">
        <f t="shared" si="705"/>
        <v>Save-Shoulder</v>
      </c>
      <c r="AF2099" t="str">
        <f t="shared" si="687"/>
        <v>Defensive</v>
      </c>
      <c r="AG2099">
        <f t="shared" si="693"/>
        <v>18981</v>
      </c>
      <c r="AH2099" t="str">
        <f t="shared" si="694"/>
        <v>Nelson</v>
      </c>
      <c r="AI2099" t="str">
        <f t="shared" si="695"/>
        <v>Velodrome</v>
      </c>
      <c r="AJ2099" s="18">
        <f t="shared" si="688"/>
        <v>0</v>
      </c>
      <c r="AP2099" s="18">
        <f t="shared" si="689"/>
        <v>0</v>
      </c>
      <c r="AQ2099">
        <f t="shared" si="690"/>
        <v>2160</v>
      </c>
      <c r="AR2099" s="23">
        <f t="shared" si="691"/>
        <v>2748</v>
      </c>
      <c r="AS2099">
        <f t="shared" si="696"/>
        <v>2743</v>
      </c>
      <c r="AT2099" s="21">
        <f t="shared" si="697"/>
        <v>2748</v>
      </c>
      <c r="AU2099" s="21"/>
      <c r="AV2099" s="21"/>
      <c r="AW2099" s="21"/>
    </row>
    <row r="2100" spans="1:49" x14ac:dyDescent="0.2">
      <c r="A2100">
        <v>1106</v>
      </c>
      <c r="E2100">
        <f t="shared" si="692"/>
        <v>3</v>
      </c>
      <c r="J2100" t="str">
        <f t="shared" si="699"/>
        <v>8</v>
      </c>
      <c r="K2100" t="str">
        <f t="shared" si="700"/>
        <v>12</v>
      </c>
      <c r="L2100" t="str">
        <f t="shared" si="701"/>
        <v/>
      </c>
      <c r="M2100" s="6" t="str">
        <f t="shared" si="702"/>
        <v/>
      </c>
      <c r="N2100" t="str">
        <f t="shared" si="698"/>
        <v>Home</v>
      </c>
      <c r="O2100">
        <v>22</v>
      </c>
      <c r="P2100" t="s">
        <v>425</v>
      </c>
      <c r="Y2100" t="str">
        <f t="shared" si="685"/>
        <v/>
      </c>
      <c r="Z2100" t="str">
        <f t="shared" si="686"/>
        <v/>
      </c>
      <c r="AC2100" t="str">
        <f t="shared" si="703"/>
        <v>Save</v>
      </c>
      <c r="AD2100" t="str">
        <f t="shared" si="704"/>
        <v>Save_Rebound</v>
      </c>
      <c r="AE2100" t="str">
        <f t="shared" si="705"/>
        <v>Save-Shoulder</v>
      </c>
      <c r="AF2100" t="str">
        <f t="shared" si="687"/>
        <v>Offensive</v>
      </c>
      <c r="AG2100">
        <f t="shared" si="693"/>
        <v>18981</v>
      </c>
      <c r="AH2100" t="str">
        <f t="shared" si="694"/>
        <v>Nelson</v>
      </c>
      <c r="AI2100" t="str">
        <f t="shared" si="695"/>
        <v>Velodrome</v>
      </c>
      <c r="AJ2100" s="18">
        <f t="shared" si="688"/>
        <v>0</v>
      </c>
      <c r="AP2100" s="18">
        <f t="shared" si="689"/>
        <v>0</v>
      </c>
      <c r="AQ2100">
        <f t="shared" si="690"/>
        <v>2160</v>
      </c>
      <c r="AR2100" s="23">
        <f t="shared" si="691"/>
        <v>2748</v>
      </c>
      <c r="AS2100">
        <f t="shared" si="696"/>
        <v>2743</v>
      </c>
      <c r="AT2100" s="21">
        <f t="shared" si="697"/>
        <v>2748</v>
      </c>
      <c r="AU2100" s="21"/>
      <c r="AV2100" s="21"/>
      <c r="AW2100" s="21"/>
    </row>
    <row r="2101" spans="1:49" x14ac:dyDescent="0.2">
      <c r="A2101">
        <v>1107</v>
      </c>
      <c r="E2101">
        <f t="shared" si="692"/>
        <v>3</v>
      </c>
      <c r="F2101" s="5" t="s">
        <v>538</v>
      </c>
      <c r="G2101" s="5" t="s">
        <v>487</v>
      </c>
      <c r="J2101" t="str">
        <f t="shared" si="699"/>
        <v>8</v>
      </c>
      <c r="K2101" t="str">
        <f t="shared" si="700"/>
        <v>12</v>
      </c>
      <c r="L2101" t="str">
        <f t="shared" si="701"/>
        <v/>
      </c>
      <c r="M2101" s="6" t="str">
        <f t="shared" si="702"/>
        <v/>
      </c>
      <c r="N2101" t="s">
        <v>178</v>
      </c>
      <c r="O2101">
        <v>31</v>
      </c>
      <c r="P2101" t="s">
        <v>424</v>
      </c>
      <c r="Q2101" t="s">
        <v>270</v>
      </c>
      <c r="R2101" t="s">
        <v>271</v>
      </c>
      <c r="Y2101" t="str">
        <f t="shared" si="685"/>
        <v/>
      </c>
      <c r="Z2101" t="str">
        <f t="shared" si="686"/>
        <v/>
      </c>
      <c r="AC2101" t="str">
        <f t="shared" si="703"/>
        <v>Rebound</v>
      </c>
      <c r="AD2101" t="str">
        <f t="shared" si="704"/>
        <v>Rebound_TeamRecovered</v>
      </c>
      <c r="AE2101" t="str">
        <f t="shared" si="705"/>
        <v/>
      </c>
      <c r="AF2101" t="str">
        <f t="shared" si="687"/>
        <v>Offensive</v>
      </c>
      <c r="AG2101">
        <f t="shared" si="693"/>
        <v>18981</v>
      </c>
      <c r="AH2101" t="str">
        <f t="shared" si="694"/>
        <v>Nelson</v>
      </c>
      <c r="AI2101" t="str">
        <f t="shared" si="695"/>
        <v>Velodrome</v>
      </c>
      <c r="AJ2101" s="18">
        <f t="shared" si="688"/>
        <v>0</v>
      </c>
      <c r="AP2101" s="18">
        <f t="shared" si="689"/>
        <v>0</v>
      </c>
      <c r="AQ2101">
        <f t="shared" si="690"/>
        <v>2160</v>
      </c>
      <c r="AR2101" s="23">
        <f t="shared" si="691"/>
        <v>2748</v>
      </c>
      <c r="AS2101">
        <f t="shared" si="696"/>
        <v>2743</v>
      </c>
      <c r="AT2101" s="21">
        <f t="shared" si="697"/>
        <v>2748</v>
      </c>
      <c r="AU2101" s="21"/>
      <c r="AV2101" s="21"/>
      <c r="AW2101" s="21"/>
    </row>
    <row r="2102" spans="1:49" x14ac:dyDescent="0.2">
      <c r="A2102">
        <v>1108</v>
      </c>
      <c r="E2102">
        <f t="shared" si="692"/>
        <v>3</v>
      </c>
      <c r="F2102" s="5" t="s">
        <v>538</v>
      </c>
      <c r="G2102" s="5" t="s">
        <v>483</v>
      </c>
      <c r="H2102" s="5" t="s">
        <v>538</v>
      </c>
      <c r="I2102" s="7" t="s">
        <v>474</v>
      </c>
      <c r="J2102" t="str">
        <f t="shared" si="699"/>
        <v>8</v>
      </c>
      <c r="K2102" t="str">
        <f t="shared" si="700"/>
        <v>08</v>
      </c>
      <c r="L2102" t="str">
        <f t="shared" si="701"/>
        <v>8</v>
      </c>
      <c r="M2102" s="6" t="str">
        <f t="shared" si="702"/>
        <v>02</v>
      </c>
      <c r="N2102" t="s">
        <v>179</v>
      </c>
      <c r="O2102">
        <v>70</v>
      </c>
      <c r="P2102" t="s">
        <v>424</v>
      </c>
      <c r="Q2102" t="s">
        <v>15</v>
      </c>
      <c r="Y2102" t="str">
        <f t="shared" si="685"/>
        <v/>
      </c>
      <c r="Z2102" t="str">
        <f t="shared" si="686"/>
        <v/>
      </c>
      <c r="AC2102" t="str">
        <f t="shared" si="703"/>
        <v>Possession</v>
      </c>
      <c r="AD2102" t="str">
        <f t="shared" si="704"/>
        <v/>
      </c>
      <c r="AE2102" t="str">
        <f t="shared" si="705"/>
        <v/>
      </c>
      <c r="AF2102" t="str">
        <f t="shared" si="687"/>
        <v>Offensive</v>
      </c>
      <c r="AG2102">
        <f t="shared" si="693"/>
        <v>18981</v>
      </c>
      <c r="AH2102" t="str">
        <f t="shared" si="694"/>
        <v>Nelson</v>
      </c>
      <c r="AI2102" t="str">
        <f t="shared" si="695"/>
        <v>Velodrome</v>
      </c>
      <c r="AJ2102" s="18">
        <f t="shared" si="688"/>
        <v>6</v>
      </c>
      <c r="AP2102" s="18">
        <f t="shared" si="689"/>
        <v>0</v>
      </c>
      <c r="AQ2102">
        <f t="shared" si="690"/>
        <v>2160</v>
      </c>
      <c r="AR2102" s="23">
        <f t="shared" si="691"/>
        <v>2752</v>
      </c>
      <c r="AS2102">
        <f t="shared" si="696"/>
        <v>2747</v>
      </c>
      <c r="AT2102" s="21">
        <f t="shared" si="697"/>
        <v>2758</v>
      </c>
      <c r="AU2102" s="21"/>
      <c r="AV2102" s="21"/>
      <c r="AW2102" s="21"/>
    </row>
    <row r="2103" spans="1:49" x14ac:dyDescent="0.2">
      <c r="A2103">
        <v>1108</v>
      </c>
      <c r="E2103">
        <f t="shared" si="692"/>
        <v>3</v>
      </c>
      <c r="J2103" t="str">
        <f t="shared" si="699"/>
        <v>8</v>
      </c>
      <c r="K2103" t="str">
        <f t="shared" si="700"/>
        <v>08</v>
      </c>
      <c r="L2103" t="str">
        <f t="shared" si="701"/>
        <v>8</v>
      </c>
      <c r="M2103" s="6" t="str">
        <f t="shared" si="702"/>
        <v>02</v>
      </c>
      <c r="N2103" t="str">
        <f t="shared" si="698"/>
        <v>Away</v>
      </c>
      <c r="O2103">
        <v>44</v>
      </c>
      <c r="P2103" t="s">
        <v>425</v>
      </c>
      <c r="Y2103" t="str">
        <f t="shared" si="685"/>
        <v/>
      </c>
      <c r="Z2103" t="str">
        <f t="shared" si="686"/>
        <v/>
      </c>
      <c r="AC2103" t="str">
        <f t="shared" si="703"/>
        <v>Possession</v>
      </c>
      <c r="AD2103" t="str">
        <f t="shared" si="704"/>
        <v/>
      </c>
      <c r="AE2103" t="str">
        <f t="shared" si="705"/>
        <v/>
      </c>
      <c r="AF2103" t="str">
        <f t="shared" si="687"/>
        <v>Defensive</v>
      </c>
      <c r="AG2103">
        <f t="shared" si="693"/>
        <v>18981</v>
      </c>
      <c r="AH2103" t="str">
        <f t="shared" si="694"/>
        <v>Nelson</v>
      </c>
      <c r="AI2103" t="str">
        <f t="shared" si="695"/>
        <v>Velodrome</v>
      </c>
      <c r="AJ2103" s="18">
        <f t="shared" si="688"/>
        <v>6</v>
      </c>
      <c r="AP2103" s="18">
        <f t="shared" si="689"/>
        <v>0</v>
      </c>
      <c r="AQ2103">
        <f t="shared" si="690"/>
        <v>2160</v>
      </c>
      <c r="AR2103" s="23">
        <f t="shared" si="691"/>
        <v>2752</v>
      </c>
      <c r="AS2103">
        <f t="shared" si="696"/>
        <v>2747</v>
      </c>
      <c r="AT2103" s="21">
        <f t="shared" si="697"/>
        <v>2758</v>
      </c>
      <c r="AU2103" s="21"/>
      <c r="AV2103" s="21"/>
      <c r="AW2103" s="21"/>
    </row>
    <row r="2104" spans="1:49" x14ac:dyDescent="0.2">
      <c r="A2104">
        <v>1108</v>
      </c>
      <c r="E2104">
        <f t="shared" si="692"/>
        <v>3</v>
      </c>
      <c r="J2104" t="str">
        <f t="shared" si="699"/>
        <v>8</v>
      </c>
      <c r="K2104" t="str">
        <f t="shared" si="700"/>
        <v>08</v>
      </c>
      <c r="L2104" t="str">
        <f t="shared" si="701"/>
        <v>8</v>
      </c>
      <c r="M2104" s="6" t="str">
        <f t="shared" si="702"/>
        <v>02</v>
      </c>
      <c r="N2104" t="str">
        <f t="shared" si="698"/>
        <v>Away</v>
      </c>
      <c r="O2104">
        <v>10</v>
      </c>
      <c r="P2104" t="s">
        <v>425</v>
      </c>
      <c r="Y2104" t="str">
        <f t="shared" si="685"/>
        <v/>
      </c>
      <c r="Z2104" t="str">
        <f t="shared" si="686"/>
        <v/>
      </c>
      <c r="AC2104" t="str">
        <f t="shared" si="703"/>
        <v>Possession</v>
      </c>
      <c r="AD2104" t="str">
        <f t="shared" si="704"/>
        <v/>
      </c>
      <c r="AE2104" t="str">
        <f t="shared" si="705"/>
        <v/>
      </c>
      <c r="AF2104" t="str">
        <f t="shared" si="687"/>
        <v>Defensive</v>
      </c>
      <c r="AG2104">
        <f t="shared" si="693"/>
        <v>18981</v>
      </c>
      <c r="AH2104" t="str">
        <f t="shared" si="694"/>
        <v>Nelson</v>
      </c>
      <c r="AI2104" t="str">
        <f t="shared" si="695"/>
        <v>Velodrome</v>
      </c>
      <c r="AJ2104" s="18">
        <f t="shared" si="688"/>
        <v>6</v>
      </c>
      <c r="AP2104" s="18">
        <f t="shared" si="689"/>
        <v>0</v>
      </c>
      <c r="AQ2104">
        <f t="shared" si="690"/>
        <v>2160</v>
      </c>
      <c r="AR2104" s="23">
        <f t="shared" si="691"/>
        <v>2752</v>
      </c>
      <c r="AS2104">
        <f t="shared" si="696"/>
        <v>2747</v>
      </c>
      <c r="AT2104" s="21">
        <f t="shared" si="697"/>
        <v>2758</v>
      </c>
      <c r="AU2104" s="21"/>
      <c r="AV2104" s="21"/>
      <c r="AW2104" s="21"/>
    </row>
    <row r="2105" spans="1:49" x14ac:dyDescent="0.2">
      <c r="A2105">
        <v>1109</v>
      </c>
      <c r="E2105">
        <f t="shared" si="692"/>
        <v>3</v>
      </c>
      <c r="F2105" s="5" t="s">
        <v>538</v>
      </c>
      <c r="G2105" s="5" t="s">
        <v>474</v>
      </c>
      <c r="J2105" t="str">
        <f t="shared" si="699"/>
        <v>8</v>
      </c>
      <c r="K2105" t="str">
        <f t="shared" si="700"/>
        <v>02</v>
      </c>
      <c r="L2105" t="str">
        <f t="shared" si="701"/>
        <v/>
      </c>
      <c r="M2105" s="6" t="str">
        <f t="shared" si="702"/>
        <v/>
      </c>
      <c r="N2105" t="s">
        <v>179</v>
      </c>
      <c r="O2105">
        <v>70</v>
      </c>
      <c r="P2105" t="s">
        <v>424</v>
      </c>
      <c r="Q2105" t="s">
        <v>7</v>
      </c>
      <c r="R2105" t="s">
        <v>222</v>
      </c>
      <c r="S2105" t="s">
        <v>53</v>
      </c>
      <c r="Y2105" t="str">
        <f t="shared" si="685"/>
        <v/>
      </c>
      <c r="Z2105" t="str">
        <f t="shared" si="686"/>
        <v/>
      </c>
      <c r="AC2105" t="str">
        <f t="shared" si="703"/>
        <v>Shot</v>
      </c>
      <c r="AD2105" t="str">
        <f t="shared" si="704"/>
        <v>Shot_OnNetSaved</v>
      </c>
      <c r="AE2105" t="str">
        <f t="shared" si="705"/>
        <v>Shot-Wrist</v>
      </c>
      <c r="AF2105" t="str">
        <f t="shared" si="687"/>
        <v>Offensive</v>
      </c>
      <c r="AG2105">
        <f t="shared" si="693"/>
        <v>18981</v>
      </c>
      <c r="AH2105" t="str">
        <f t="shared" si="694"/>
        <v>Nelson</v>
      </c>
      <c r="AI2105" t="str">
        <f t="shared" si="695"/>
        <v>Velodrome</v>
      </c>
      <c r="AJ2105" s="18">
        <f t="shared" si="688"/>
        <v>0</v>
      </c>
      <c r="AP2105" s="18">
        <f t="shared" si="689"/>
        <v>0</v>
      </c>
      <c r="AQ2105">
        <f t="shared" si="690"/>
        <v>2160</v>
      </c>
      <c r="AR2105" s="23">
        <f t="shared" si="691"/>
        <v>2758</v>
      </c>
      <c r="AS2105">
        <f t="shared" si="696"/>
        <v>2753</v>
      </c>
      <c r="AT2105" s="21">
        <f t="shared" si="697"/>
        <v>2758</v>
      </c>
      <c r="AU2105" s="21"/>
      <c r="AV2105" s="21"/>
      <c r="AW2105" s="21"/>
    </row>
    <row r="2106" spans="1:49" x14ac:dyDescent="0.2">
      <c r="A2106">
        <v>1109</v>
      </c>
      <c r="E2106">
        <f t="shared" si="692"/>
        <v>3</v>
      </c>
      <c r="J2106" t="str">
        <f t="shared" si="699"/>
        <v>8</v>
      </c>
      <c r="K2106" t="str">
        <f t="shared" si="700"/>
        <v>02</v>
      </c>
      <c r="L2106" t="str">
        <f t="shared" si="701"/>
        <v/>
      </c>
      <c r="M2106" s="6" t="str">
        <f t="shared" si="702"/>
        <v/>
      </c>
      <c r="N2106" t="s">
        <v>179</v>
      </c>
      <c r="O2106">
        <v>31</v>
      </c>
      <c r="P2106" t="s">
        <v>425</v>
      </c>
      <c r="Y2106" t="str">
        <f t="shared" si="685"/>
        <v/>
      </c>
      <c r="Z2106" t="str">
        <f t="shared" si="686"/>
        <v/>
      </c>
      <c r="AC2106" t="str">
        <f t="shared" si="703"/>
        <v>Shot</v>
      </c>
      <c r="AD2106" t="str">
        <f t="shared" si="704"/>
        <v>Shot_OnNetSaved</v>
      </c>
      <c r="AE2106" t="str">
        <f t="shared" si="705"/>
        <v>Shot-Wrist</v>
      </c>
      <c r="AF2106" t="str">
        <f t="shared" si="687"/>
        <v>Defensive</v>
      </c>
      <c r="AG2106">
        <f t="shared" si="693"/>
        <v>18981</v>
      </c>
      <c r="AH2106" t="str">
        <f t="shared" si="694"/>
        <v>Nelson</v>
      </c>
      <c r="AI2106" t="str">
        <f t="shared" si="695"/>
        <v>Velodrome</v>
      </c>
      <c r="AJ2106" s="18">
        <f t="shared" si="688"/>
        <v>0</v>
      </c>
      <c r="AP2106" s="18">
        <f t="shared" si="689"/>
        <v>0</v>
      </c>
      <c r="AQ2106">
        <f t="shared" si="690"/>
        <v>2160</v>
      </c>
      <c r="AR2106" s="23">
        <f t="shared" si="691"/>
        <v>2758</v>
      </c>
      <c r="AS2106">
        <f t="shared" si="696"/>
        <v>2753</v>
      </c>
      <c r="AT2106" s="21">
        <f t="shared" si="697"/>
        <v>2758</v>
      </c>
      <c r="AU2106" s="21"/>
      <c r="AV2106" s="21"/>
      <c r="AW2106" s="21"/>
    </row>
    <row r="2107" spans="1:49" x14ac:dyDescent="0.2">
      <c r="A2107">
        <v>1110</v>
      </c>
      <c r="E2107">
        <f t="shared" si="692"/>
        <v>3</v>
      </c>
      <c r="F2107" s="5" t="s">
        <v>538</v>
      </c>
      <c r="G2107" s="5" t="s">
        <v>474</v>
      </c>
      <c r="J2107" t="str">
        <f t="shared" si="699"/>
        <v>8</v>
      </c>
      <c r="K2107" t="str">
        <f t="shared" si="700"/>
        <v>02</v>
      </c>
      <c r="L2107" t="str">
        <f t="shared" si="701"/>
        <v/>
      </c>
      <c r="M2107" s="6" t="str">
        <f t="shared" si="702"/>
        <v/>
      </c>
      <c r="N2107" t="s">
        <v>178</v>
      </c>
      <c r="O2107">
        <v>31</v>
      </c>
      <c r="P2107" t="s">
        <v>424</v>
      </c>
      <c r="Q2107" t="s">
        <v>17</v>
      </c>
      <c r="R2107" t="s">
        <v>196</v>
      </c>
      <c r="S2107" t="s">
        <v>542</v>
      </c>
      <c r="Y2107" t="str">
        <f t="shared" si="685"/>
        <v/>
      </c>
      <c r="Z2107" t="str">
        <f t="shared" si="686"/>
        <v/>
      </c>
      <c r="AC2107" t="str">
        <f t="shared" si="703"/>
        <v>Save</v>
      </c>
      <c r="AD2107" t="str">
        <f t="shared" si="704"/>
        <v>Save_Rebound</v>
      </c>
      <c r="AE2107" t="str">
        <f t="shared" si="705"/>
        <v>Save-Shoulder</v>
      </c>
      <c r="AF2107" t="str">
        <f t="shared" si="687"/>
        <v>Defensive</v>
      </c>
      <c r="AG2107">
        <f t="shared" si="693"/>
        <v>18981</v>
      </c>
      <c r="AH2107" t="str">
        <f t="shared" si="694"/>
        <v>Nelson</v>
      </c>
      <c r="AI2107" t="str">
        <f t="shared" si="695"/>
        <v>Velodrome</v>
      </c>
      <c r="AJ2107" s="18">
        <f t="shared" si="688"/>
        <v>0</v>
      </c>
      <c r="AP2107" s="18">
        <f t="shared" si="689"/>
        <v>0</v>
      </c>
      <c r="AQ2107">
        <f t="shared" si="690"/>
        <v>2160</v>
      </c>
      <c r="AR2107" s="23">
        <f t="shared" si="691"/>
        <v>2758</v>
      </c>
      <c r="AS2107">
        <f t="shared" si="696"/>
        <v>2753</v>
      </c>
      <c r="AT2107" s="21">
        <f t="shared" si="697"/>
        <v>2758</v>
      </c>
      <c r="AU2107" s="21"/>
      <c r="AV2107" s="21"/>
      <c r="AW2107" s="21"/>
    </row>
    <row r="2108" spans="1:49" x14ac:dyDescent="0.2">
      <c r="A2108">
        <v>1110</v>
      </c>
      <c r="E2108">
        <f t="shared" si="692"/>
        <v>3</v>
      </c>
      <c r="J2108" t="str">
        <f t="shared" si="699"/>
        <v>8</v>
      </c>
      <c r="K2108" t="str">
        <f t="shared" si="700"/>
        <v>02</v>
      </c>
      <c r="L2108" t="str">
        <f t="shared" si="701"/>
        <v/>
      </c>
      <c r="M2108" s="6" t="str">
        <f t="shared" si="702"/>
        <v/>
      </c>
      <c r="N2108" t="str">
        <f t="shared" si="698"/>
        <v>Home</v>
      </c>
      <c r="O2108">
        <v>70</v>
      </c>
      <c r="P2108" t="s">
        <v>425</v>
      </c>
      <c r="Y2108" t="str">
        <f t="shared" si="685"/>
        <v/>
      </c>
      <c r="Z2108" t="str">
        <f t="shared" si="686"/>
        <v/>
      </c>
      <c r="AC2108" t="str">
        <f t="shared" si="703"/>
        <v>Save</v>
      </c>
      <c r="AD2108" t="str">
        <f t="shared" si="704"/>
        <v>Save_Rebound</v>
      </c>
      <c r="AE2108" t="str">
        <f t="shared" si="705"/>
        <v>Save-Shoulder</v>
      </c>
      <c r="AF2108" t="str">
        <f t="shared" si="687"/>
        <v>Offensive</v>
      </c>
      <c r="AG2108">
        <f t="shared" si="693"/>
        <v>18981</v>
      </c>
      <c r="AH2108" t="str">
        <f t="shared" si="694"/>
        <v>Nelson</v>
      </c>
      <c r="AI2108" t="str">
        <f t="shared" si="695"/>
        <v>Velodrome</v>
      </c>
      <c r="AJ2108" s="18">
        <f t="shared" si="688"/>
        <v>0</v>
      </c>
      <c r="AP2108" s="18">
        <f t="shared" si="689"/>
        <v>0</v>
      </c>
      <c r="AQ2108">
        <f t="shared" si="690"/>
        <v>2160</v>
      </c>
      <c r="AR2108" s="23">
        <f t="shared" si="691"/>
        <v>2758</v>
      </c>
      <c r="AS2108">
        <f t="shared" si="696"/>
        <v>2753</v>
      </c>
      <c r="AT2108" s="21">
        <f t="shared" si="697"/>
        <v>2758</v>
      </c>
      <c r="AU2108" s="21"/>
      <c r="AV2108" s="21"/>
      <c r="AW2108" s="21"/>
    </row>
    <row r="2109" spans="1:49" x14ac:dyDescent="0.2">
      <c r="A2109">
        <v>1111</v>
      </c>
      <c r="E2109">
        <f t="shared" si="692"/>
        <v>3</v>
      </c>
      <c r="F2109" s="5" t="s">
        <v>538</v>
      </c>
      <c r="G2109" s="5" t="s">
        <v>474</v>
      </c>
      <c r="J2109" t="str">
        <f t="shared" si="699"/>
        <v>8</v>
      </c>
      <c r="K2109" t="str">
        <f t="shared" si="700"/>
        <v>02</v>
      </c>
      <c r="L2109" t="str">
        <f t="shared" si="701"/>
        <v/>
      </c>
      <c r="M2109" s="6" t="str">
        <f t="shared" si="702"/>
        <v/>
      </c>
      <c r="N2109" t="s">
        <v>178</v>
      </c>
      <c r="O2109">
        <v>31</v>
      </c>
      <c r="P2109" t="s">
        <v>424</v>
      </c>
      <c r="Q2109" t="s">
        <v>270</v>
      </c>
      <c r="R2109" t="s">
        <v>271</v>
      </c>
      <c r="Y2109" t="str">
        <f t="shared" si="685"/>
        <v/>
      </c>
      <c r="Z2109" t="str">
        <f t="shared" si="686"/>
        <v/>
      </c>
      <c r="AC2109" t="str">
        <f t="shared" si="703"/>
        <v>Rebound</v>
      </c>
      <c r="AD2109" t="str">
        <f t="shared" si="704"/>
        <v>Rebound_TeamRecovered</v>
      </c>
      <c r="AE2109" t="str">
        <f t="shared" si="705"/>
        <v/>
      </c>
      <c r="AF2109" t="str">
        <f t="shared" si="687"/>
        <v>Offensive</v>
      </c>
      <c r="AG2109">
        <f t="shared" si="693"/>
        <v>18981</v>
      </c>
      <c r="AH2109" t="str">
        <f t="shared" si="694"/>
        <v>Nelson</v>
      </c>
      <c r="AI2109" t="str">
        <f t="shared" si="695"/>
        <v>Velodrome</v>
      </c>
      <c r="AJ2109" s="18">
        <f t="shared" si="688"/>
        <v>0</v>
      </c>
      <c r="AP2109" s="18">
        <f t="shared" si="689"/>
        <v>0</v>
      </c>
      <c r="AQ2109">
        <f t="shared" si="690"/>
        <v>2160</v>
      </c>
      <c r="AR2109" s="23">
        <f t="shared" si="691"/>
        <v>2758</v>
      </c>
      <c r="AS2109">
        <f t="shared" si="696"/>
        <v>2753</v>
      </c>
      <c r="AT2109" s="21">
        <f t="shared" si="697"/>
        <v>2758</v>
      </c>
      <c r="AU2109" s="21"/>
      <c r="AV2109" s="21"/>
      <c r="AW2109" s="21"/>
    </row>
    <row r="2110" spans="1:49" x14ac:dyDescent="0.2">
      <c r="A2110">
        <v>1112</v>
      </c>
      <c r="E2110">
        <f t="shared" si="692"/>
        <v>3</v>
      </c>
      <c r="F2110" s="5" t="s">
        <v>539</v>
      </c>
      <c r="G2110" s="5" t="s">
        <v>479</v>
      </c>
      <c r="H2110" s="5" t="s">
        <v>539</v>
      </c>
      <c r="I2110" s="7" t="s">
        <v>529</v>
      </c>
      <c r="J2110" t="str">
        <f t="shared" si="699"/>
        <v>7</v>
      </c>
      <c r="K2110" t="str">
        <f t="shared" si="700"/>
        <v>59</v>
      </c>
      <c r="L2110" t="str">
        <f t="shared" si="701"/>
        <v>7</v>
      </c>
      <c r="M2110" s="6" t="str">
        <f t="shared" si="702"/>
        <v>57</v>
      </c>
      <c r="N2110" t="s">
        <v>178</v>
      </c>
      <c r="O2110">
        <v>15</v>
      </c>
      <c r="P2110" t="s">
        <v>424</v>
      </c>
      <c r="Q2110" t="s">
        <v>8</v>
      </c>
      <c r="Y2110" t="str">
        <f t="shared" si="685"/>
        <v/>
      </c>
      <c r="Z2110" t="str">
        <f t="shared" si="686"/>
        <v/>
      </c>
      <c r="AC2110" t="str">
        <f t="shared" si="703"/>
        <v>Pass</v>
      </c>
      <c r="AD2110" t="str">
        <f t="shared" si="704"/>
        <v/>
      </c>
      <c r="AE2110" t="str">
        <f t="shared" si="705"/>
        <v/>
      </c>
      <c r="AF2110" t="str">
        <f t="shared" si="687"/>
        <v>Offensive</v>
      </c>
      <c r="AG2110">
        <f t="shared" si="693"/>
        <v>18981</v>
      </c>
      <c r="AH2110" t="str">
        <f t="shared" si="694"/>
        <v>Nelson</v>
      </c>
      <c r="AI2110" t="str">
        <f t="shared" si="695"/>
        <v>Velodrome</v>
      </c>
      <c r="AJ2110" s="18">
        <f t="shared" si="688"/>
        <v>2</v>
      </c>
      <c r="AP2110" s="18">
        <f t="shared" si="689"/>
        <v>0</v>
      </c>
      <c r="AQ2110">
        <f t="shared" si="690"/>
        <v>2160</v>
      </c>
      <c r="AR2110" s="23">
        <f t="shared" si="691"/>
        <v>2761</v>
      </c>
      <c r="AS2110">
        <f t="shared" si="696"/>
        <v>2756</v>
      </c>
      <c r="AT2110" s="21">
        <f t="shared" si="697"/>
        <v>2763</v>
      </c>
      <c r="AU2110" s="21"/>
      <c r="AV2110" s="21"/>
      <c r="AW2110" s="21"/>
    </row>
    <row r="2111" spans="1:49" x14ac:dyDescent="0.2">
      <c r="A2111">
        <v>1112</v>
      </c>
      <c r="E2111">
        <f t="shared" si="692"/>
        <v>3</v>
      </c>
      <c r="J2111" t="str">
        <f t="shared" si="699"/>
        <v>7</v>
      </c>
      <c r="K2111" t="str">
        <f t="shared" si="700"/>
        <v>59</v>
      </c>
      <c r="L2111" t="str">
        <f t="shared" si="701"/>
        <v>7</v>
      </c>
      <c r="M2111" s="6" t="str">
        <f t="shared" si="702"/>
        <v>57</v>
      </c>
      <c r="N2111" t="str">
        <f t="shared" si="698"/>
        <v>Home</v>
      </c>
      <c r="O2111">
        <v>70</v>
      </c>
      <c r="P2111" t="s">
        <v>425</v>
      </c>
      <c r="Y2111" t="str">
        <f t="shared" si="685"/>
        <v/>
      </c>
      <c r="Z2111" t="str">
        <f t="shared" si="686"/>
        <v/>
      </c>
      <c r="AC2111" t="str">
        <f t="shared" si="703"/>
        <v>Pass</v>
      </c>
      <c r="AD2111" t="str">
        <f t="shared" si="704"/>
        <v/>
      </c>
      <c r="AE2111" t="str">
        <f t="shared" si="705"/>
        <v/>
      </c>
      <c r="AF2111" t="str">
        <f t="shared" si="687"/>
        <v>Defensive</v>
      </c>
      <c r="AG2111">
        <f t="shared" si="693"/>
        <v>18981</v>
      </c>
      <c r="AH2111" t="str">
        <f t="shared" si="694"/>
        <v>Nelson</v>
      </c>
      <c r="AI2111" t="str">
        <f t="shared" si="695"/>
        <v>Velodrome</v>
      </c>
      <c r="AJ2111" s="18">
        <f t="shared" si="688"/>
        <v>2</v>
      </c>
      <c r="AP2111" s="18">
        <f t="shared" si="689"/>
        <v>0</v>
      </c>
      <c r="AQ2111">
        <f t="shared" si="690"/>
        <v>2160</v>
      </c>
      <c r="AR2111" s="23">
        <f t="shared" si="691"/>
        <v>2761</v>
      </c>
      <c r="AS2111">
        <f t="shared" si="696"/>
        <v>2756</v>
      </c>
      <c r="AT2111" s="21">
        <f t="shared" si="697"/>
        <v>2763</v>
      </c>
      <c r="AU2111" s="21"/>
      <c r="AV2111" s="21"/>
      <c r="AW2111" s="21"/>
    </row>
    <row r="2112" spans="1:49" x14ac:dyDescent="0.2">
      <c r="A2112">
        <v>1113</v>
      </c>
      <c r="E2112">
        <f t="shared" si="692"/>
        <v>3</v>
      </c>
      <c r="F2112" s="5" t="s">
        <v>539</v>
      </c>
      <c r="G2112" s="5" t="s">
        <v>529</v>
      </c>
      <c r="J2112" t="str">
        <f t="shared" si="699"/>
        <v>7</v>
      </c>
      <c r="K2112" t="str">
        <f t="shared" si="700"/>
        <v>57</v>
      </c>
      <c r="L2112" t="str">
        <f t="shared" si="701"/>
        <v/>
      </c>
      <c r="M2112" s="6" t="str">
        <f t="shared" si="702"/>
        <v/>
      </c>
      <c r="N2112" t="s">
        <v>178</v>
      </c>
      <c r="O2112">
        <v>15</v>
      </c>
      <c r="P2112" t="s">
        <v>424</v>
      </c>
      <c r="Q2112" t="s">
        <v>10</v>
      </c>
      <c r="R2112" t="s">
        <v>190</v>
      </c>
      <c r="S2112" t="s">
        <v>422</v>
      </c>
      <c r="Y2112" t="str">
        <f t="shared" si="685"/>
        <v/>
      </c>
      <c r="Z2112" t="str">
        <f t="shared" si="686"/>
        <v/>
      </c>
      <c r="AC2112" t="str">
        <f t="shared" si="703"/>
        <v>Turnover</v>
      </c>
      <c r="AD2112" t="str">
        <f t="shared" si="704"/>
        <v>Turnover_Giveaway</v>
      </c>
      <c r="AE2112" t="str">
        <f t="shared" si="705"/>
        <v>Giveaway-AttemptedZoneClear/Dump</v>
      </c>
      <c r="AF2112" t="str">
        <f t="shared" si="687"/>
        <v>Offensive</v>
      </c>
      <c r="AG2112">
        <f t="shared" si="693"/>
        <v>18981</v>
      </c>
      <c r="AH2112" t="str">
        <f t="shared" si="694"/>
        <v>Nelson</v>
      </c>
      <c r="AI2112" t="str">
        <f t="shared" si="695"/>
        <v>Velodrome</v>
      </c>
      <c r="AJ2112" s="18">
        <f t="shared" si="688"/>
        <v>0</v>
      </c>
      <c r="AP2112" s="18">
        <f t="shared" si="689"/>
        <v>0</v>
      </c>
      <c r="AQ2112">
        <f t="shared" si="690"/>
        <v>2160</v>
      </c>
      <c r="AR2112" s="23">
        <f t="shared" si="691"/>
        <v>2763</v>
      </c>
      <c r="AS2112">
        <f t="shared" si="696"/>
        <v>2758</v>
      </c>
      <c r="AT2112" s="21">
        <f t="shared" si="697"/>
        <v>2763</v>
      </c>
      <c r="AU2112" s="21"/>
      <c r="AV2112" s="21"/>
      <c r="AW2112" s="21"/>
    </row>
    <row r="2113" spans="1:49" x14ac:dyDescent="0.2">
      <c r="A2113">
        <v>1114</v>
      </c>
      <c r="E2113">
        <f t="shared" si="692"/>
        <v>3</v>
      </c>
      <c r="F2113" s="5" t="s">
        <v>539</v>
      </c>
      <c r="G2113" s="5" t="s">
        <v>527</v>
      </c>
      <c r="J2113" t="str">
        <f t="shared" si="699"/>
        <v>7</v>
      </c>
      <c r="K2113" t="str">
        <f t="shared" si="700"/>
        <v>55</v>
      </c>
      <c r="L2113" t="str">
        <f t="shared" si="701"/>
        <v/>
      </c>
      <c r="M2113" s="6" t="str">
        <f t="shared" si="702"/>
        <v/>
      </c>
      <c r="N2113" t="s">
        <v>179</v>
      </c>
      <c r="O2113">
        <v>9</v>
      </c>
      <c r="P2113" t="s">
        <v>424</v>
      </c>
      <c r="Q2113" t="s">
        <v>277</v>
      </c>
      <c r="R2113" t="s">
        <v>210</v>
      </c>
      <c r="S2113" t="s">
        <v>93</v>
      </c>
      <c r="Y2113" t="str">
        <f t="shared" si="685"/>
        <v/>
      </c>
      <c r="Z2113" t="str">
        <f t="shared" si="686"/>
        <v/>
      </c>
      <c r="AC2113" t="str">
        <f t="shared" si="703"/>
        <v>Zone_Entry_Exit</v>
      </c>
      <c r="AD2113" t="str">
        <f t="shared" si="704"/>
        <v>Zone_Keepin</v>
      </c>
      <c r="AE2113" t="str">
        <f t="shared" si="705"/>
        <v>Zone-KeepIn</v>
      </c>
      <c r="AF2113" t="str">
        <f t="shared" si="687"/>
        <v>Offensive</v>
      </c>
      <c r="AG2113">
        <f t="shared" si="693"/>
        <v>18981</v>
      </c>
      <c r="AH2113" t="str">
        <f t="shared" si="694"/>
        <v>Nelson</v>
      </c>
      <c r="AI2113" t="str">
        <f t="shared" si="695"/>
        <v>Velodrome</v>
      </c>
      <c r="AJ2113" s="18">
        <f t="shared" si="688"/>
        <v>0</v>
      </c>
      <c r="AP2113" s="18">
        <f t="shared" si="689"/>
        <v>0</v>
      </c>
      <c r="AQ2113">
        <f t="shared" si="690"/>
        <v>2160</v>
      </c>
      <c r="AR2113" s="23">
        <f t="shared" si="691"/>
        <v>2765</v>
      </c>
      <c r="AS2113">
        <f t="shared" si="696"/>
        <v>2760</v>
      </c>
      <c r="AT2113" s="21">
        <f t="shared" si="697"/>
        <v>2765</v>
      </c>
      <c r="AU2113" s="21"/>
      <c r="AV2113" s="21"/>
      <c r="AW2113" s="21"/>
    </row>
    <row r="2114" spans="1:49" x14ac:dyDescent="0.2">
      <c r="A2114">
        <v>1115</v>
      </c>
      <c r="E2114">
        <f t="shared" si="692"/>
        <v>3</v>
      </c>
      <c r="F2114" s="5" t="s">
        <v>539</v>
      </c>
      <c r="G2114" s="5" t="s">
        <v>527</v>
      </c>
      <c r="J2114" t="str">
        <f t="shared" si="699"/>
        <v>7</v>
      </c>
      <c r="K2114" t="str">
        <f t="shared" si="700"/>
        <v>55</v>
      </c>
      <c r="L2114" t="str">
        <f t="shared" si="701"/>
        <v/>
      </c>
      <c r="M2114" s="6" t="str">
        <f t="shared" si="702"/>
        <v/>
      </c>
      <c r="N2114" t="s">
        <v>179</v>
      </c>
      <c r="O2114">
        <v>9</v>
      </c>
      <c r="P2114" t="s">
        <v>424</v>
      </c>
      <c r="Q2114" t="s">
        <v>7</v>
      </c>
      <c r="R2114" t="s">
        <v>222</v>
      </c>
      <c r="S2114" t="s">
        <v>53</v>
      </c>
      <c r="Y2114" t="str">
        <f t="shared" si="685"/>
        <v/>
      </c>
      <c r="Z2114" t="str">
        <f t="shared" si="686"/>
        <v/>
      </c>
      <c r="AC2114" t="str">
        <f t="shared" si="703"/>
        <v>Shot</v>
      </c>
      <c r="AD2114" t="str">
        <f t="shared" si="704"/>
        <v>Shot_OnNetSaved</v>
      </c>
      <c r="AE2114" t="str">
        <f t="shared" si="705"/>
        <v>Shot-Wrist</v>
      </c>
      <c r="AF2114" t="str">
        <f t="shared" si="687"/>
        <v>Offensive</v>
      </c>
      <c r="AG2114">
        <f t="shared" si="693"/>
        <v>18981</v>
      </c>
      <c r="AH2114" t="str">
        <f t="shared" si="694"/>
        <v>Nelson</v>
      </c>
      <c r="AI2114" t="str">
        <f t="shared" si="695"/>
        <v>Velodrome</v>
      </c>
      <c r="AJ2114" s="18">
        <f t="shared" si="688"/>
        <v>0</v>
      </c>
      <c r="AP2114" s="18">
        <f t="shared" si="689"/>
        <v>0</v>
      </c>
      <c r="AQ2114">
        <f t="shared" si="690"/>
        <v>2160</v>
      </c>
      <c r="AR2114" s="23">
        <f t="shared" si="691"/>
        <v>2765</v>
      </c>
      <c r="AS2114">
        <f t="shared" si="696"/>
        <v>2760</v>
      </c>
      <c r="AT2114" s="21">
        <f t="shared" si="697"/>
        <v>2765</v>
      </c>
      <c r="AU2114" s="21"/>
      <c r="AV2114" s="21"/>
      <c r="AW2114" s="21"/>
    </row>
    <row r="2115" spans="1:49" x14ac:dyDescent="0.2">
      <c r="A2115">
        <v>1115</v>
      </c>
      <c r="E2115">
        <f t="shared" si="692"/>
        <v>3</v>
      </c>
      <c r="J2115" t="str">
        <f t="shared" si="699"/>
        <v>7</v>
      </c>
      <c r="K2115" t="str">
        <f t="shared" si="700"/>
        <v>55</v>
      </c>
      <c r="L2115" t="str">
        <f t="shared" si="701"/>
        <v/>
      </c>
      <c r="M2115" s="6" t="str">
        <f t="shared" si="702"/>
        <v/>
      </c>
      <c r="N2115" t="str">
        <f t="shared" si="698"/>
        <v>Away</v>
      </c>
      <c r="O2115">
        <v>31</v>
      </c>
      <c r="P2115" t="s">
        <v>425</v>
      </c>
      <c r="Y2115" t="str">
        <f t="shared" ref="Y2115:Y2178" si="706">IF($N2115="","",IF(X2115="","",IF($N2115="Home",$X2115,IF($X2115="n","n",IF($X2115="d","o",IF($X2115="o","d",""))))))</f>
        <v/>
      </c>
      <c r="Z2115" t="str">
        <f t="shared" ref="Z2115:Z2178" si="707">IF($N2115="","",IF(X2115="","",IF($N2115="Away",$X2115,IF($X2115="n","n",IF($X2115="d","o",IF($X2115="o","d",""))))))</f>
        <v/>
      </c>
      <c r="AC2115" t="str">
        <f t="shared" si="703"/>
        <v>Shot</v>
      </c>
      <c r="AD2115" t="str">
        <f t="shared" si="704"/>
        <v>Shot_OnNetSaved</v>
      </c>
      <c r="AE2115" t="str">
        <f t="shared" si="705"/>
        <v>Shot-Wrist</v>
      </c>
      <c r="AF2115" t="str">
        <f t="shared" ref="AF2115:AF2178" si="708">IF(AND(P2115="e",OR(AC2115="Save",AD2115="Turnover_Takeaway",AD2115="Play_Defensive")),"Defensive",IF(AND(P2115="o",OR(AC2115="Save",AD2115="Turnover_Takeaway",AD2115="Play_Defensive")),"Offensive",IF(OR(AC2115="Deadice",AC2115="Stoppage",AC2115="Intermission"),"",IF(P2115="e","Offensive",IF(P2115="o","Defensive","")))))</f>
        <v>Defensive</v>
      </c>
      <c r="AG2115">
        <f t="shared" si="693"/>
        <v>18981</v>
      </c>
      <c r="AH2115" t="str">
        <f t="shared" si="694"/>
        <v>Nelson</v>
      </c>
      <c r="AI2115" t="str">
        <f t="shared" si="695"/>
        <v>Velodrome</v>
      </c>
      <c r="AJ2115" s="18">
        <f t="shared" ref="AJ2115:AJ2178" si="709">IF(AND(L2115="",M2115=""),0,((J2115*60)+K2115)-((L2115*60)+M2115))</f>
        <v>0</v>
      </c>
      <c r="AP2115" s="18">
        <f t="shared" ref="AP2115:AP2178" si="710">SUMIFS(AJ2115:AJ2115,Q2115:Q2115,"=Intermission")</f>
        <v>0</v>
      </c>
      <c r="AQ2115">
        <f t="shared" ref="AQ2115:AQ2178" si="711">IF(E2115=1,0,IF(E2115=2,1080+AP2115,IF(E2115=3,(1080*2)+AP2115,0)))</f>
        <v>2160</v>
      </c>
      <c r="AR2115" s="23">
        <f t="shared" ref="AR2115:AR2178" si="712">IF(Q2115="Intermission",AR2114,((1080)-((J2115*60)+K2115))+AQ2115)</f>
        <v>2765</v>
      </c>
      <c r="AS2115">
        <f t="shared" si="696"/>
        <v>2760</v>
      </c>
      <c r="AT2115" s="21">
        <f t="shared" si="697"/>
        <v>2765</v>
      </c>
      <c r="AU2115" s="21"/>
      <c r="AV2115" s="21"/>
      <c r="AW2115" s="21"/>
    </row>
    <row r="2116" spans="1:49" x14ac:dyDescent="0.2">
      <c r="A2116">
        <v>1116</v>
      </c>
      <c r="E2116">
        <f t="shared" ref="E2116:E2179" si="713">IF(Q2116="Intermission",E2115+1,E2115)</f>
        <v>3</v>
      </c>
      <c r="F2116" s="5" t="s">
        <v>539</v>
      </c>
      <c r="G2116" s="5" t="s">
        <v>527</v>
      </c>
      <c r="J2116" t="str">
        <f t="shared" si="699"/>
        <v>7</v>
      </c>
      <c r="K2116" t="str">
        <f t="shared" si="700"/>
        <v>55</v>
      </c>
      <c r="L2116" t="str">
        <f t="shared" si="701"/>
        <v/>
      </c>
      <c r="M2116" s="6" t="str">
        <f t="shared" si="702"/>
        <v/>
      </c>
      <c r="N2116" t="s">
        <v>178</v>
      </c>
      <c r="O2116">
        <v>31</v>
      </c>
      <c r="P2116" t="s">
        <v>424</v>
      </c>
      <c r="Q2116" t="s">
        <v>17</v>
      </c>
      <c r="R2116" t="s">
        <v>206</v>
      </c>
      <c r="S2116" t="s">
        <v>103</v>
      </c>
      <c r="Y2116" t="str">
        <f t="shared" si="706"/>
        <v/>
      </c>
      <c r="Z2116" t="str">
        <f t="shared" si="707"/>
        <v/>
      </c>
      <c r="AC2116" t="str">
        <f t="shared" si="703"/>
        <v>Save</v>
      </c>
      <c r="AD2116" t="str">
        <f t="shared" si="704"/>
        <v>Save_Freeze</v>
      </c>
      <c r="AE2116" t="str">
        <f t="shared" si="705"/>
        <v>Save-Chest</v>
      </c>
      <c r="AF2116" t="str">
        <f t="shared" si="708"/>
        <v>Defensive</v>
      </c>
      <c r="AG2116">
        <f t="shared" ref="AG2116:AG2179" si="714">AG2115</f>
        <v>18981</v>
      </c>
      <c r="AH2116" t="str">
        <f t="shared" ref="AH2116:AH2179" si="715">AH2115</f>
        <v>Nelson</v>
      </c>
      <c r="AI2116" t="str">
        <f t="shared" ref="AI2116:AI2179" si="716">AI2115</f>
        <v>Velodrome</v>
      </c>
      <c r="AJ2116" s="18">
        <f t="shared" si="709"/>
        <v>0</v>
      </c>
      <c r="AP2116" s="18">
        <f t="shared" si="710"/>
        <v>0</v>
      </c>
      <c r="AQ2116">
        <f t="shared" si="711"/>
        <v>2160</v>
      </c>
      <c r="AR2116" s="23">
        <f t="shared" si="712"/>
        <v>2765</v>
      </c>
      <c r="AS2116">
        <f t="shared" ref="AS2116:AS2179" si="717">IF(AR2116&lt;5,0,AR2116-5)</f>
        <v>2760</v>
      </c>
      <c r="AT2116" s="21">
        <f t="shared" ref="AT2116:AT2179" si="718">AS2116+AJ2116+5</f>
        <v>2765</v>
      </c>
      <c r="AU2116" s="21"/>
      <c r="AV2116" s="21"/>
      <c r="AW2116" s="21"/>
    </row>
    <row r="2117" spans="1:49" x14ac:dyDescent="0.2">
      <c r="A2117">
        <v>1116</v>
      </c>
      <c r="E2117">
        <f t="shared" si="713"/>
        <v>3</v>
      </c>
      <c r="J2117" t="str">
        <f t="shared" si="699"/>
        <v>7</v>
      </c>
      <c r="K2117" t="str">
        <f t="shared" si="700"/>
        <v>55</v>
      </c>
      <c r="L2117" t="str">
        <f t="shared" si="701"/>
        <v/>
      </c>
      <c r="M2117" s="6" t="str">
        <f t="shared" si="702"/>
        <v/>
      </c>
      <c r="N2117" t="str">
        <f t="shared" si="698"/>
        <v>Home</v>
      </c>
      <c r="O2117">
        <v>9</v>
      </c>
      <c r="P2117" t="s">
        <v>425</v>
      </c>
      <c r="Y2117" t="str">
        <f t="shared" si="706"/>
        <v/>
      </c>
      <c r="Z2117" t="str">
        <f t="shared" si="707"/>
        <v/>
      </c>
      <c r="AC2117" t="str">
        <f t="shared" si="703"/>
        <v>Save</v>
      </c>
      <c r="AD2117" t="str">
        <f t="shared" si="704"/>
        <v>Save_Freeze</v>
      </c>
      <c r="AE2117" t="str">
        <f t="shared" si="705"/>
        <v>Save-Chest</v>
      </c>
      <c r="AF2117" t="str">
        <f t="shared" si="708"/>
        <v>Offensive</v>
      </c>
      <c r="AG2117">
        <f t="shared" si="714"/>
        <v>18981</v>
      </c>
      <c r="AH2117" t="str">
        <f t="shared" si="715"/>
        <v>Nelson</v>
      </c>
      <c r="AI2117" t="str">
        <f t="shared" si="716"/>
        <v>Velodrome</v>
      </c>
      <c r="AJ2117" s="18">
        <f t="shared" si="709"/>
        <v>0</v>
      </c>
      <c r="AP2117" s="18">
        <f t="shared" si="710"/>
        <v>0</v>
      </c>
      <c r="AQ2117">
        <f t="shared" si="711"/>
        <v>2160</v>
      </c>
      <c r="AR2117" s="23">
        <f t="shared" si="712"/>
        <v>2765</v>
      </c>
      <c r="AS2117">
        <f t="shared" si="717"/>
        <v>2760</v>
      </c>
      <c r="AT2117" s="21">
        <f t="shared" si="718"/>
        <v>2765</v>
      </c>
      <c r="AU2117" s="21"/>
      <c r="AV2117" s="21"/>
      <c r="AW2117" s="21"/>
    </row>
    <row r="2118" spans="1:49" x14ac:dyDescent="0.2">
      <c r="A2118">
        <v>1117</v>
      </c>
      <c r="E2118">
        <f t="shared" si="713"/>
        <v>3</v>
      </c>
      <c r="F2118" s="5" t="s">
        <v>539</v>
      </c>
      <c r="G2118" s="5" t="s">
        <v>527</v>
      </c>
      <c r="J2118" t="str">
        <f t="shared" si="699"/>
        <v>7</v>
      </c>
      <c r="K2118" t="str">
        <f t="shared" si="700"/>
        <v>55</v>
      </c>
      <c r="L2118" t="str">
        <f t="shared" si="701"/>
        <v/>
      </c>
      <c r="M2118" s="6" t="str">
        <f t="shared" si="702"/>
        <v/>
      </c>
      <c r="N2118" t="s">
        <v>178</v>
      </c>
      <c r="O2118">
        <v>31</v>
      </c>
      <c r="P2118" t="s">
        <v>424</v>
      </c>
      <c r="Q2118" t="s">
        <v>13</v>
      </c>
      <c r="R2118" t="s">
        <v>204</v>
      </c>
      <c r="S2118" t="s">
        <v>110</v>
      </c>
      <c r="Y2118" t="str">
        <f t="shared" si="706"/>
        <v/>
      </c>
      <c r="Z2118" t="str">
        <f t="shared" si="707"/>
        <v/>
      </c>
      <c r="AC2118" t="str">
        <f t="shared" si="703"/>
        <v>Stoppage</v>
      </c>
      <c r="AD2118" t="str">
        <f t="shared" si="704"/>
        <v>Stoppage_Play</v>
      </c>
      <c r="AE2118" t="str">
        <f t="shared" si="705"/>
        <v>Stoppage-GoalieStoppage</v>
      </c>
      <c r="AF2118" t="str">
        <f t="shared" si="708"/>
        <v/>
      </c>
      <c r="AG2118">
        <f t="shared" si="714"/>
        <v>18981</v>
      </c>
      <c r="AH2118" t="str">
        <f t="shared" si="715"/>
        <v>Nelson</v>
      </c>
      <c r="AI2118" t="str">
        <f t="shared" si="716"/>
        <v>Velodrome</v>
      </c>
      <c r="AJ2118" s="18">
        <f t="shared" si="709"/>
        <v>0</v>
      </c>
      <c r="AP2118" s="18">
        <f t="shared" si="710"/>
        <v>0</v>
      </c>
      <c r="AQ2118">
        <f t="shared" si="711"/>
        <v>2160</v>
      </c>
      <c r="AR2118" s="23">
        <f t="shared" si="712"/>
        <v>2765</v>
      </c>
      <c r="AS2118">
        <f t="shared" si="717"/>
        <v>2760</v>
      </c>
      <c r="AT2118" s="21">
        <f t="shared" si="718"/>
        <v>2765</v>
      </c>
      <c r="AU2118" s="21"/>
      <c r="AV2118" s="21"/>
      <c r="AW2118" s="21"/>
    </row>
    <row r="2119" spans="1:49" x14ac:dyDescent="0.2">
      <c r="A2119">
        <v>1118</v>
      </c>
      <c r="E2119">
        <f t="shared" si="713"/>
        <v>3</v>
      </c>
      <c r="F2119" s="5" t="s">
        <v>539</v>
      </c>
      <c r="G2119" s="5" t="s">
        <v>527</v>
      </c>
      <c r="H2119" s="5" t="s">
        <v>539</v>
      </c>
      <c r="I2119" s="7" t="s">
        <v>501</v>
      </c>
      <c r="J2119" t="str">
        <f t="shared" si="699"/>
        <v>7</v>
      </c>
      <c r="K2119" t="str">
        <f t="shared" si="700"/>
        <v>55</v>
      </c>
      <c r="L2119" t="str">
        <f t="shared" si="701"/>
        <v>7</v>
      </c>
      <c r="M2119" s="6" t="str">
        <f t="shared" si="702"/>
        <v>29</v>
      </c>
      <c r="N2119" t="s">
        <v>178</v>
      </c>
      <c r="O2119">
        <v>31</v>
      </c>
      <c r="P2119" t="s">
        <v>424</v>
      </c>
      <c r="Q2119" t="s">
        <v>282</v>
      </c>
      <c r="Y2119" t="str">
        <f t="shared" si="706"/>
        <v/>
      </c>
      <c r="Z2119" t="str">
        <f t="shared" si="707"/>
        <v/>
      </c>
      <c r="AC2119" t="str">
        <f t="shared" si="703"/>
        <v>DeadIce</v>
      </c>
      <c r="AD2119" t="str">
        <f t="shared" si="704"/>
        <v/>
      </c>
      <c r="AE2119" t="str">
        <f t="shared" si="705"/>
        <v/>
      </c>
      <c r="AF2119" t="str">
        <f t="shared" si="708"/>
        <v/>
      </c>
      <c r="AG2119">
        <f t="shared" si="714"/>
        <v>18981</v>
      </c>
      <c r="AH2119" t="str">
        <f t="shared" si="715"/>
        <v>Nelson</v>
      </c>
      <c r="AI2119" t="str">
        <f t="shared" si="716"/>
        <v>Velodrome</v>
      </c>
      <c r="AJ2119" s="18">
        <f t="shared" si="709"/>
        <v>26</v>
      </c>
      <c r="AP2119" s="18">
        <f t="shared" si="710"/>
        <v>0</v>
      </c>
      <c r="AQ2119">
        <f t="shared" si="711"/>
        <v>2160</v>
      </c>
      <c r="AR2119" s="23">
        <f t="shared" si="712"/>
        <v>2765</v>
      </c>
      <c r="AS2119">
        <f t="shared" si="717"/>
        <v>2760</v>
      </c>
      <c r="AT2119" s="21">
        <f t="shared" si="718"/>
        <v>2791</v>
      </c>
      <c r="AU2119" s="21"/>
      <c r="AV2119" s="21"/>
      <c r="AW2119" s="21"/>
    </row>
    <row r="2120" spans="1:49" x14ac:dyDescent="0.2">
      <c r="A2120">
        <v>1119</v>
      </c>
      <c r="E2120">
        <f t="shared" si="713"/>
        <v>3</v>
      </c>
      <c r="F2120" s="5" t="s">
        <v>539</v>
      </c>
      <c r="G2120" s="5" t="s">
        <v>501</v>
      </c>
      <c r="J2120" t="str">
        <f t="shared" si="699"/>
        <v>7</v>
      </c>
      <c r="K2120" t="str">
        <f t="shared" si="700"/>
        <v>29</v>
      </c>
      <c r="L2120" t="str">
        <f t="shared" si="701"/>
        <v/>
      </c>
      <c r="M2120" s="6" t="str">
        <f t="shared" si="702"/>
        <v/>
      </c>
      <c r="N2120" t="s">
        <v>178</v>
      </c>
      <c r="O2120">
        <v>79</v>
      </c>
      <c r="P2120" t="s">
        <v>424</v>
      </c>
      <c r="Q2120" t="s">
        <v>6</v>
      </c>
      <c r="R2120" t="s">
        <v>275</v>
      </c>
      <c r="Y2120" t="str">
        <f t="shared" si="706"/>
        <v/>
      </c>
      <c r="Z2120" t="str">
        <f t="shared" si="707"/>
        <v/>
      </c>
      <c r="AC2120" t="str">
        <f t="shared" si="703"/>
        <v>Faceoff</v>
      </c>
      <c r="AD2120" t="str">
        <f t="shared" si="704"/>
        <v>Faceoff_AfterStoppage</v>
      </c>
      <c r="AE2120" t="str">
        <f t="shared" si="705"/>
        <v/>
      </c>
      <c r="AF2120" t="str">
        <f t="shared" si="708"/>
        <v>Offensive</v>
      </c>
      <c r="AG2120">
        <f t="shared" si="714"/>
        <v>18981</v>
      </c>
      <c r="AH2120" t="str">
        <f t="shared" si="715"/>
        <v>Nelson</v>
      </c>
      <c r="AI2120" t="str">
        <f t="shared" si="716"/>
        <v>Velodrome</v>
      </c>
      <c r="AJ2120" s="18">
        <f t="shared" si="709"/>
        <v>0</v>
      </c>
      <c r="AP2120" s="18">
        <f t="shared" si="710"/>
        <v>0</v>
      </c>
      <c r="AQ2120">
        <f t="shared" si="711"/>
        <v>2160</v>
      </c>
      <c r="AR2120" s="23">
        <f t="shared" si="712"/>
        <v>2791</v>
      </c>
      <c r="AS2120">
        <f t="shared" si="717"/>
        <v>2786</v>
      </c>
      <c r="AT2120" s="21">
        <f t="shared" si="718"/>
        <v>2791</v>
      </c>
      <c r="AU2120" s="21"/>
      <c r="AV2120" s="21"/>
      <c r="AW2120" s="21"/>
    </row>
    <row r="2121" spans="1:49" x14ac:dyDescent="0.2">
      <c r="A2121">
        <v>1119</v>
      </c>
      <c r="E2121">
        <f t="shared" si="713"/>
        <v>3</v>
      </c>
      <c r="J2121" t="str">
        <f t="shared" ref="J2121:J2184" si="719">IF(F2121&lt;&gt;"",F2121,IF($A2121=$A2120,J2120,J2121))</f>
        <v>7</v>
      </c>
      <c r="K2121" t="str">
        <f t="shared" ref="K2121:K2184" si="720">IF($A2121=$A2120,K2120,G2121)</f>
        <v>29</v>
      </c>
      <c r="L2121" t="str">
        <f t="shared" ref="L2121:L2184" si="721">IF(H2121&lt;&gt;"",H2121,IF($A2121=$A2120,L2120,""))</f>
        <v/>
      </c>
      <c r="M2121" s="6" t="str">
        <f t="shared" ref="M2121:M2184" si="722">IF(I2121&lt;&gt;"",I2121,IF($A2121=$A2120,M2120,""))</f>
        <v/>
      </c>
      <c r="N2121" t="str">
        <f t="shared" ref="N2121:N2181" si="723">IF(A2121=A2120,N2120,"")</f>
        <v>Home</v>
      </c>
      <c r="O2121">
        <v>70</v>
      </c>
      <c r="P2121" t="s">
        <v>425</v>
      </c>
      <c r="Y2121" t="str">
        <f t="shared" si="706"/>
        <v/>
      </c>
      <c r="Z2121" t="str">
        <f t="shared" si="707"/>
        <v/>
      </c>
      <c r="AC2121" t="str">
        <f t="shared" si="703"/>
        <v>Faceoff</v>
      </c>
      <c r="AD2121" t="str">
        <f t="shared" si="704"/>
        <v>Faceoff_AfterStoppage</v>
      </c>
      <c r="AE2121" t="str">
        <f t="shared" si="705"/>
        <v/>
      </c>
      <c r="AF2121" t="str">
        <f t="shared" si="708"/>
        <v>Defensive</v>
      </c>
      <c r="AG2121">
        <f t="shared" si="714"/>
        <v>18981</v>
      </c>
      <c r="AH2121" t="str">
        <f t="shared" si="715"/>
        <v>Nelson</v>
      </c>
      <c r="AI2121" t="str">
        <f t="shared" si="716"/>
        <v>Velodrome</v>
      </c>
      <c r="AJ2121" s="18">
        <f t="shared" si="709"/>
        <v>0</v>
      </c>
      <c r="AP2121" s="18">
        <f t="shared" si="710"/>
        <v>0</v>
      </c>
      <c r="AQ2121">
        <f t="shared" si="711"/>
        <v>2160</v>
      </c>
      <c r="AR2121" s="23">
        <f t="shared" si="712"/>
        <v>2791</v>
      </c>
      <c r="AS2121">
        <f t="shared" si="717"/>
        <v>2786</v>
      </c>
      <c r="AT2121" s="21">
        <f t="shared" si="718"/>
        <v>2791</v>
      </c>
      <c r="AU2121" s="21"/>
      <c r="AV2121" s="21"/>
      <c r="AW2121" s="21"/>
    </row>
    <row r="2122" spans="1:49" x14ac:dyDescent="0.2">
      <c r="A2122">
        <v>1120</v>
      </c>
      <c r="E2122">
        <f t="shared" si="713"/>
        <v>3</v>
      </c>
      <c r="F2122" s="5" t="s">
        <v>539</v>
      </c>
      <c r="G2122" s="5" t="s">
        <v>496</v>
      </c>
      <c r="J2122" t="str">
        <f t="shared" si="719"/>
        <v>7</v>
      </c>
      <c r="K2122" t="str">
        <f t="shared" si="720"/>
        <v>24</v>
      </c>
      <c r="L2122" t="str">
        <f t="shared" si="721"/>
        <v/>
      </c>
      <c r="M2122" s="6" t="str">
        <f t="shared" si="722"/>
        <v/>
      </c>
      <c r="N2122" t="s">
        <v>178</v>
      </c>
      <c r="O2122">
        <v>8</v>
      </c>
      <c r="P2122" t="s">
        <v>424</v>
      </c>
      <c r="Q2122" t="s">
        <v>10</v>
      </c>
      <c r="R2122" t="s">
        <v>190</v>
      </c>
      <c r="S2122" t="s">
        <v>422</v>
      </c>
      <c r="Y2122" t="str">
        <f t="shared" si="706"/>
        <v/>
      </c>
      <c r="Z2122" t="str">
        <f t="shared" si="707"/>
        <v/>
      </c>
      <c r="AC2122" t="str">
        <f t="shared" si="703"/>
        <v>Turnover</v>
      </c>
      <c r="AD2122" t="str">
        <f t="shared" si="704"/>
        <v>Turnover_Giveaway</v>
      </c>
      <c r="AE2122" t="str">
        <f t="shared" si="705"/>
        <v>Giveaway-AttemptedZoneClear/Dump</v>
      </c>
      <c r="AF2122" t="str">
        <f t="shared" si="708"/>
        <v>Offensive</v>
      </c>
      <c r="AG2122">
        <f t="shared" si="714"/>
        <v>18981</v>
      </c>
      <c r="AH2122" t="str">
        <f t="shared" si="715"/>
        <v>Nelson</v>
      </c>
      <c r="AI2122" t="str">
        <f t="shared" si="716"/>
        <v>Velodrome</v>
      </c>
      <c r="AJ2122" s="18">
        <f t="shared" si="709"/>
        <v>0</v>
      </c>
      <c r="AP2122" s="18">
        <f t="shared" si="710"/>
        <v>0</v>
      </c>
      <c r="AQ2122">
        <f t="shared" si="711"/>
        <v>2160</v>
      </c>
      <c r="AR2122" s="23">
        <f t="shared" si="712"/>
        <v>2796</v>
      </c>
      <c r="AS2122">
        <f t="shared" si="717"/>
        <v>2791</v>
      </c>
      <c r="AT2122" s="21">
        <f t="shared" si="718"/>
        <v>2796</v>
      </c>
      <c r="AU2122" s="21"/>
      <c r="AV2122" s="21"/>
      <c r="AW2122" s="21"/>
    </row>
    <row r="2123" spans="1:49" x14ac:dyDescent="0.2">
      <c r="A2123">
        <v>1121</v>
      </c>
      <c r="E2123">
        <f t="shared" si="713"/>
        <v>3</v>
      </c>
      <c r="F2123" s="5" t="s">
        <v>539</v>
      </c>
      <c r="G2123" s="5" t="s">
        <v>494</v>
      </c>
      <c r="J2123" t="str">
        <f t="shared" si="719"/>
        <v>7</v>
      </c>
      <c r="K2123" t="str">
        <f t="shared" si="720"/>
        <v>22</v>
      </c>
      <c r="L2123" t="str">
        <f t="shared" si="721"/>
        <v/>
      </c>
      <c r="M2123" s="6" t="str">
        <f t="shared" si="722"/>
        <v/>
      </c>
      <c r="N2123" t="s">
        <v>179</v>
      </c>
      <c r="O2123">
        <v>84</v>
      </c>
      <c r="P2123" t="s">
        <v>424</v>
      </c>
      <c r="Q2123" t="s">
        <v>277</v>
      </c>
      <c r="R2123" t="s">
        <v>210</v>
      </c>
      <c r="S2123" t="s">
        <v>93</v>
      </c>
      <c r="Y2123" t="str">
        <f t="shared" si="706"/>
        <v/>
      </c>
      <c r="Z2123" t="str">
        <f t="shared" si="707"/>
        <v/>
      </c>
      <c r="AC2123" t="str">
        <f t="shared" si="703"/>
        <v>Zone_Entry_Exit</v>
      </c>
      <c r="AD2123" t="str">
        <f t="shared" si="704"/>
        <v>Zone_Keepin</v>
      </c>
      <c r="AE2123" t="str">
        <f t="shared" si="705"/>
        <v>Zone-KeepIn</v>
      </c>
      <c r="AF2123" t="str">
        <f t="shared" si="708"/>
        <v>Offensive</v>
      </c>
      <c r="AG2123">
        <f t="shared" si="714"/>
        <v>18981</v>
      </c>
      <c r="AH2123" t="str">
        <f t="shared" si="715"/>
        <v>Nelson</v>
      </c>
      <c r="AI2123" t="str">
        <f t="shared" si="716"/>
        <v>Velodrome</v>
      </c>
      <c r="AJ2123" s="18">
        <f t="shared" si="709"/>
        <v>0</v>
      </c>
      <c r="AP2123" s="18">
        <f t="shared" si="710"/>
        <v>0</v>
      </c>
      <c r="AQ2123">
        <f t="shared" si="711"/>
        <v>2160</v>
      </c>
      <c r="AR2123" s="23">
        <f t="shared" si="712"/>
        <v>2798</v>
      </c>
      <c r="AS2123">
        <f t="shared" si="717"/>
        <v>2793</v>
      </c>
      <c r="AT2123" s="21">
        <f t="shared" si="718"/>
        <v>2798</v>
      </c>
      <c r="AU2123" s="21"/>
      <c r="AV2123" s="21"/>
      <c r="AW2123" s="21"/>
    </row>
    <row r="2124" spans="1:49" x14ac:dyDescent="0.2">
      <c r="A2124">
        <v>1122</v>
      </c>
      <c r="E2124">
        <f t="shared" si="713"/>
        <v>3</v>
      </c>
      <c r="F2124" s="5" t="s">
        <v>539</v>
      </c>
      <c r="G2124" s="5" t="s">
        <v>492</v>
      </c>
      <c r="H2124" s="5" t="s">
        <v>539</v>
      </c>
      <c r="I2124" s="7" t="s">
        <v>478</v>
      </c>
      <c r="J2124" t="str">
        <f t="shared" si="719"/>
        <v>7</v>
      </c>
      <c r="K2124" t="str">
        <f t="shared" si="720"/>
        <v>20</v>
      </c>
      <c r="L2124" t="str">
        <f t="shared" si="721"/>
        <v>7</v>
      </c>
      <c r="M2124" s="6" t="str">
        <f t="shared" si="722"/>
        <v>15</v>
      </c>
      <c r="N2124" t="s">
        <v>179</v>
      </c>
      <c r="O2124">
        <v>70</v>
      </c>
      <c r="P2124" t="s">
        <v>424</v>
      </c>
      <c r="Q2124" t="s">
        <v>15</v>
      </c>
      <c r="Y2124" t="str">
        <f t="shared" si="706"/>
        <v/>
      </c>
      <c r="Z2124" t="str">
        <f t="shared" si="707"/>
        <v/>
      </c>
      <c r="AC2124" t="str">
        <f t="shared" si="703"/>
        <v>Possession</v>
      </c>
      <c r="AD2124" t="str">
        <f t="shared" si="704"/>
        <v/>
      </c>
      <c r="AE2124" t="str">
        <f t="shared" si="705"/>
        <v/>
      </c>
      <c r="AF2124" t="str">
        <f t="shared" si="708"/>
        <v>Offensive</v>
      </c>
      <c r="AG2124">
        <f t="shared" si="714"/>
        <v>18981</v>
      </c>
      <c r="AH2124" t="str">
        <f t="shared" si="715"/>
        <v>Nelson</v>
      </c>
      <c r="AI2124" t="str">
        <f t="shared" si="716"/>
        <v>Velodrome</v>
      </c>
      <c r="AJ2124" s="18">
        <f t="shared" si="709"/>
        <v>5</v>
      </c>
      <c r="AP2124" s="18">
        <f t="shared" si="710"/>
        <v>0</v>
      </c>
      <c r="AQ2124">
        <f t="shared" si="711"/>
        <v>2160</v>
      </c>
      <c r="AR2124" s="23">
        <f t="shared" si="712"/>
        <v>2800</v>
      </c>
      <c r="AS2124">
        <f t="shared" si="717"/>
        <v>2795</v>
      </c>
      <c r="AT2124" s="21">
        <f t="shared" si="718"/>
        <v>2805</v>
      </c>
      <c r="AU2124" s="21"/>
      <c r="AV2124" s="21"/>
      <c r="AW2124" s="21"/>
    </row>
    <row r="2125" spans="1:49" x14ac:dyDescent="0.2">
      <c r="A2125">
        <v>1122</v>
      </c>
      <c r="E2125">
        <f t="shared" si="713"/>
        <v>3</v>
      </c>
      <c r="J2125" t="str">
        <f t="shared" si="719"/>
        <v>7</v>
      </c>
      <c r="K2125" t="str">
        <f t="shared" si="720"/>
        <v>20</v>
      </c>
      <c r="L2125" t="str">
        <f t="shared" si="721"/>
        <v>7</v>
      </c>
      <c r="M2125" s="6" t="str">
        <f t="shared" si="722"/>
        <v>15</v>
      </c>
      <c r="N2125" t="str">
        <f t="shared" si="723"/>
        <v>Away</v>
      </c>
      <c r="O2125">
        <v>15</v>
      </c>
      <c r="P2125" t="s">
        <v>425</v>
      </c>
      <c r="Y2125" t="str">
        <f t="shared" si="706"/>
        <v/>
      </c>
      <c r="Z2125" t="str">
        <f t="shared" si="707"/>
        <v/>
      </c>
      <c r="AC2125" t="str">
        <f t="shared" si="703"/>
        <v>Possession</v>
      </c>
      <c r="AD2125" t="str">
        <f t="shared" si="704"/>
        <v/>
      </c>
      <c r="AE2125" t="str">
        <f t="shared" si="705"/>
        <v/>
      </c>
      <c r="AF2125" t="str">
        <f t="shared" si="708"/>
        <v>Defensive</v>
      </c>
      <c r="AG2125">
        <f t="shared" si="714"/>
        <v>18981</v>
      </c>
      <c r="AH2125" t="str">
        <f t="shared" si="715"/>
        <v>Nelson</v>
      </c>
      <c r="AI2125" t="str">
        <f t="shared" si="716"/>
        <v>Velodrome</v>
      </c>
      <c r="AJ2125" s="18">
        <f t="shared" si="709"/>
        <v>5</v>
      </c>
      <c r="AP2125" s="18">
        <f t="shared" si="710"/>
        <v>0</v>
      </c>
      <c r="AQ2125">
        <f t="shared" si="711"/>
        <v>2160</v>
      </c>
      <c r="AR2125" s="23">
        <f t="shared" si="712"/>
        <v>2800</v>
      </c>
      <c r="AS2125">
        <f t="shared" si="717"/>
        <v>2795</v>
      </c>
      <c r="AT2125" s="21">
        <f t="shared" si="718"/>
        <v>2805</v>
      </c>
      <c r="AU2125" s="21"/>
      <c r="AV2125" s="21"/>
      <c r="AW2125" s="21"/>
    </row>
    <row r="2126" spans="1:49" x14ac:dyDescent="0.2">
      <c r="A2126">
        <v>1123</v>
      </c>
      <c r="E2126">
        <f t="shared" si="713"/>
        <v>3</v>
      </c>
      <c r="F2126" s="5" t="s">
        <v>539</v>
      </c>
      <c r="G2126" s="5" t="s">
        <v>478</v>
      </c>
      <c r="J2126" t="str">
        <f t="shared" si="719"/>
        <v>7</v>
      </c>
      <c r="K2126" t="str">
        <f t="shared" si="720"/>
        <v>15</v>
      </c>
      <c r="L2126" t="str">
        <f t="shared" si="721"/>
        <v/>
      </c>
      <c r="M2126" s="6" t="str">
        <f t="shared" si="722"/>
        <v/>
      </c>
      <c r="N2126" t="s">
        <v>178</v>
      </c>
      <c r="O2126">
        <v>79</v>
      </c>
      <c r="P2126" t="s">
        <v>424</v>
      </c>
      <c r="Q2126" t="s">
        <v>10</v>
      </c>
      <c r="R2126" t="s">
        <v>200</v>
      </c>
      <c r="S2126" t="s">
        <v>81</v>
      </c>
      <c r="Y2126" t="str">
        <f t="shared" si="706"/>
        <v/>
      </c>
      <c r="Z2126" t="str">
        <f t="shared" si="707"/>
        <v/>
      </c>
      <c r="AC2126" t="str">
        <f t="shared" si="703"/>
        <v>Turnover</v>
      </c>
      <c r="AD2126" t="str">
        <f t="shared" si="704"/>
        <v>Turnover_Takeaway</v>
      </c>
      <c r="AE2126" t="str">
        <f t="shared" si="705"/>
        <v>Takeaway-BattleWon</v>
      </c>
      <c r="AF2126" t="str">
        <f t="shared" si="708"/>
        <v>Defensive</v>
      </c>
      <c r="AG2126">
        <f t="shared" si="714"/>
        <v>18981</v>
      </c>
      <c r="AH2126" t="str">
        <f t="shared" si="715"/>
        <v>Nelson</v>
      </c>
      <c r="AI2126" t="str">
        <f t="shared" si="716"/>
        <v>Velodrome</v>
      </c>
      <c r="AJ2126" s="18">
        <f t="shared" si="709"/>
        <v>0</v>
      </c>
      <c r="AP2126" s="18">
        <f t="shared" si="710"/>
        <v>0</v>
      </c>
      <c r="AQ2126">
        <f t="shared" si="711"/>
        <v>2160</v>
      </c>
      <c r="AR2126" s="23">
        <f t="shared" si="712"/>
        <v>2805</v>
      </c>
      <c r="AS2126">
        <f t="shared" si="717"/>
        <v>2800</v>
      </c>
      <c r="AT2126" s="21">
        <f t="shared" si="718"/>
        <v>2805</v>
      </c>
      <c r="AU2126" s="21"/>
      <c r="AV2126" s="21"/>
      <c r="AW2126" s="21"/>
    </row>
    <row r="2127" spans="1:49" x14ac:dyDescent="0.2">
      <c r="A2127">
        <v>1123</v>
      </c>
      <c r="E2127">
        <f t="shared" si="713"/>
        <v>3</v>
      </c>
      <c r="J2127" t="str">
        <f t="shared" si="719"/>
        <v>7</v>
      </c>
      <c r="K2127" t="str">
        <f t="shared" si="720"/>
        <v>15</v>
      </c>
      <c r="L2127" t="str">
        <f t="shared" si="721"/>
        <v/>
      </c>
      <c r="M2127" s="6" t="str">
        <f t="shared" si="722"/>
        <v/>
      </c>
      <c r="N2127" t="str">
        <f t="shared" si="723"/>
        <v>Home</v>
      </c>
      <c r="O2127">
        <v>70</v>
      </c>
      <c r="P2127" t="s">
        <v>425</v>
      </c>
      <c r="Y2127" t="str">
        <f t="shared" si="706"/>
        <v/>
      </c>
      <c r="Z2127" t="str">
        <f t="shared" si="707"/>
        <v/>
      </c>
      <c r="AC2127" t="str">
        <f t="shared" si="703"/>
        <v>Turnover</v>
      </c>
      <c r="AD2127" t="str">
        <f t="shared" si="704"/>
        <v>Turnover_Takeaway</v>
      </c>
      <c r="AE2127" t="str">
        <f t="shared" si="705"/>
        <v>Takeaway-BattleWon</v>
      </c>
      <c r="AF2127" t="str">
        <f t="shared" si="708"/>
        <v>Offensive</v>
      </c>
      <c r="AG2127">
        <f t="shared" si="714"/>
        <v>18981</v>
      </c>
      <c r="AH2127" t="str">
        <f t="shared" si="715"/>
        <v>Nelson</v>
      </c>
      <c r="AI2127" t="str">
        <f t="shared" si="716"/>
        <v>Velodrome</v>
      </c>
      <c r="AJ2127" s="18">
        <f t="shared" si="709"/>
        <v>0</v>
      </c>
      <c r="AP2127" s="18">
        <f t="shared" si="710"/>
        <v>0</v>
      </c>
      <c r="AQ2127">
        <f t="shared" si="711"/>
        <v>2160</v>
      </c>
      <c r="AR2127" s="23">
        <f t="shared" si="712"/>
        <v>2805</v>
      </c>
      <c r="AS2127">
        <f t="shared" si="717"/>
        <v>2800</v>
      </c>
      <c r="AT2127" s="21">
        <f t="shared" si="718"/>
        <v>2805</v>
      </c>
      <c r="AU2127" s="21"/>
      <c r="AV2127" s="21"/>
      <c r="AW2127" s="21"/>
    </row>
    <row r="2128" spans="1:49" x14ac:dyDescent="0.2">
      <c r="A2128">
        <v>1124</v>
      </c>
      <c r="E2128">
        <f t="shared" si="713"/>
        <v>3</v>
      </c>
      <c r="F2128" s="5" t="s">
        <v>539</v>
      </c>
      <c r="G2128" s="5" t="s">
        <v>488</v>
      </c>
      <c r="J2128" t="str">
        <f t="shared" si="719"/>
        <v>7</v>
      </c>
      <c r="K2128" t="str">
        <f t="shared" si="720"/>
        <v>13</v>
      </c>
      <c r="L2128" t="str">
        <f t="shared" si="721"/>
        <v/>
      </c>
      <c r="M2128" s="6" t="str">
        <f t="shared" si="722"/>
        <v/>
      </c>
      <c r="N2128" t="s">
        <v>178</v>
      </c>
      <c r="O2128">
        <v>80</v>
      </c>
      <c r="P2128" t="s">
        <v>424</v>
      </c>
      <c r="Q2128" t="s">
        <v>277</v>
      </c>
      <c r="R2128" t="s">
        <v>201</v>
      </c>
      <c r="S2128" t="s">
        <v>92</v>
      </c>
      <c r="Y2128" t="str">
        <f t="shared" si="706"/>
        <v/>
      </c>
      <c r="Z2128" t="str">
        <f t="shared" si="707"/>
        <v/>
      </c>
      <c r="AC2128" t="str">
        <f t="shared" si="703"/>
        <v>Zone_Entry_Exit</v>
      </c>
      <c r="AD2128" t="str">
        <f t="shared" si="704"/>
        <v>Zone_Exit</v>
      </c>
      <c r="AE2128" t="str">
        <f t="shared" si="705"/>
        <v>ZoneExit-Clear</v>
      </c>
      <c r="AF2128" t="str">
        <f t="shared" si="708"/>
        <v>Offensive</v>
      </c>
      <c r="AG2128">
        <f t="shared" si="714"/>
        <v>18981</v>
      </c>
      <c r="AH2128" t="str">
        <f t="shared" si="715"/>
        <v>Nelson</v>
      </c>
      <c r="AI2128" t="str">
        <f t="shared" si="716"/>
        <v>Velodrome</v>
      </c>
      <c r="AJ2128" s="18">
        <f t="shared" si="709"/>
        <v>0</v>
      </c>
      <c r="AP2128" s="18">
        <f t="shared" si="710"/>
        <v>0</v>
      </c>
      <c r="AQ2128">
        <f t="shared" si="711"/>
        <v>2160</v>
      </c>
      <c r="AR2128" s="23">
        <f t="shared" si="712"/>
        <v>2807</v>
      </c>
      <c r="AS2128">
        <f t="shared" si="717"/>
        <v>2802</v>
      </c>
      <c r="AT2128" s="21">
        <f t="shared" si="718"/>
        <v>2807</v>
      </c>
      <c r="AU2128" s="21"/>
      <c r="AV2128" s="21"/>
      <c r="AW2128" s="21"/>
    </row>
    <row r="2129" spans="1:49" x14ac:dyDescent="0.2">
      <c r="A2129">
        <v>1124</v>
      </c>
      <c r="E2129">
        <f t="shared" si="713"/>
        <v>3</v>
      </c>
      <c r="J2129" t="str">
        <f t="shared" si="719"/>
        <v>7</v>
      </c>
      <c r="K2129" t="str">
        <f t="shared" si="720"/>
        <v>13</v>
      </c>
      <c r="L2129" t="str">
        <f t="shared" si="721"/>
        <v/>
      </c>
      <c r="M2129" s="6" t="str">
        <f t="shared" si="722"/>
        <v/>
      </c>
      <c r="N2129" t="str">
        <f t="shared" si="723"/>
        <v>Home</v>
      </c>
      <c r="O2129">
        <v>9</v>
      </c>
      <c r="P2129" t="s">
        <v>425</v>
      </c>
      <c r="Y2129" t="str">
        <f t="shared" si="706"/>
        <v/>
      </c>
      <c r="Z2129" t="str">
        <f t="shared" si="707"/>
        <v/>
      </c>
      <c r="AC2129" t="str">
        <f t="shared" si="703"/>
        <v>Zone_Entry_Exit</v>
      </c>
      <c r="AD2129" t="str">
        <f t="shared" si="704"/>
        <v>Zone_Exit</v>
      </c>
      <c r="AE2129" t="str">
        <f t="shared" si="705"/>
        <v>ZoneExit-Clear</v>
      </c>
      <c r="AF2129" t="str">
        <f t="shared" si="708"/>
        <v>Defensive</v>
      </c>
      <c r="AG2129">
        <f t="shared" si="714"/>
        <v>18981</v>
      </c>
      <c r="AH2129" t="str">
        <f t="shared" si="715"/>
        <v>Nelson</v>
      </c>
      <c r="AI2129" t="str">
        <f t="shared" si="716"/>
        <v>Velodrome</v>
      </c>
      <c r="AJ2129" s="18">
        <f t="shared" si="709"/>
        <v>0</v>
      </c>
      <c r="AP2129" s="18">
        <f t="shared" si="710"/>
        <v>0</v>
      </c>
      <c r="AQ2129">
        <f t="shared" si="711"/>
        <v>2160</v>
      </c>
      <c r="AR2129" s="23">
        <f t="shared" si="712"/>
        <v>2807</v>
      </c>
      <c r="AS2129">
        <f t="shared" si="717"/>
        <v>2802</v>
      </c>
      <c r="AT2129" s="21">
        <f t="shared" si="718"/>
        <v>2807</v>
      </c>
      <c r="AU2129" s="21"/>
      <c r="AV2129" s="21"/>
      <c r="AW2129" s="21"/>
    </row>
    <row r="2130" spans="1:49" x14ac:dyDescent="0.2">
      <c r="A2130">
        <v>1125</v>
      </c>
      <c r="E2130">
        <f t="shared" si="713"/>
        <v>3</v>
      </c>
      <c r="F2130" s="5" t="s">
        <v>539</v>
      </c>
      <c r="G2130" s="5" t="s">
        <v>488</v>
      </c>
      <c r="J2130" t="str">
        <f t="shared" si="719"/>
        <v>7</v>
      </c>
      <c r="K2130" t="str">
        <f t="shared" si="720"/>
        <v>13</v>
      </c>
      <c r="L2130" t="str">
        <f t="shared" si="721"/>
        <v/>
      </c>
      <c r="M2130" s="6" t="str">
        <f t="shared" si="722"/>
        <v/>
      </c>
      <c r="N2130" t="s">
        <v>178</v>
      </c>
      <c r="O2130">
        <v>80</v>
      </c>
      <c r="P2130" t="s">
        <v>424</v>
      </c>
      <c r="Q2130" t="s">
        <v>10</v>
      </c>
      <c r="R2130" t="s">
        <v>190</v>
      </c>
      <c r="S2130" t="s">
        <v>411</v>
      </c>
      <c r="Y2130" t="str">
        <f t="shared" si="706"/>
        <v/>
      </c>
      <c r="Z2130" t="str">
        <f t="shared" si="707"/>
        <v/>
      </c>
      <c r="AC2130" t="str">
        <f t="shared" si="703"/>
        <v>Turnover</v>
      </c>
      <c r="AD2130" t="str">
        <f t="shared" si="704"/>
        <v>Turnover_Giveaway</v>
      </c>
      <c r="AE2130" t="str">
        <f t="shared" si="705"/>
        <v>Giveaway-ZoneClear/Dump</v>
      </c>
      <c r="AF2130" t="str">
        <f t="shared" si="708"/>
        <v>Offensive</v>
      </c>
      <c r="AG2130">
        <f t="shared" si="714"/>
        <v>18981</v>
      </c>
      <c r="AH2130" t="str">
        <f t="shared" si="715"/>
        <v>Nelson</v>
      </c>
      <c r="AI2130" t="str">
        <f t="shared" si="716"/>
        <v>Velodrome</v>
      </c>
      <c r="AJ2130" s="18">
        <f t="shared" si="709"/>
        <v>0</v>
      </c>
      <c r="AP2130" s="18">
        <f t="shared" si="710"/>
        <v>0</v>
      </c>
      <c r="AQ2130">
        <f t="shared" si="711"/>
        <v>2160</v>
      </c>
      <c r="AR2130" s="23">
        <f t="shared" si="712"/>
        <v>2807</v>
      </c>
      <c r="AS2130">
        <f t="shared" si="717"/>
        <v>2802</v>
      </c>
      <c r="AT2130" s="21">
        <f t="shared" si="718"/>
        <v>2807</v>
      </c>
      <c r="AU2130" s="21"/>
      <c r="AV2130" s="21"/>
      <c r="AW2130" s="21"/>
    </row>
    <row r="2131" spans="1:49" x14ac:dyDescent="0.2">
      <c r="A2131">
        <v>1126</v>
      </c>
      <c r="E2131">
        <f t="shared" si="713"/>
        <v>3</v>
      </c>
      <c r="F2131" s="5" t="s">
        <v>539</v>
      </c>
      <c r="G2131" s="5" t="s">
        <v>488</v>
      </c>
      <c r="H2131" s="5" t="s">
        <v>539</v>
      </c>
      <c r="I2131" s="7" t="s">
        <v>484</v>
      </c>
      <c r="J2131" t="str">
        <f t="shared" si="719"/>
        <v>7</v>
      </c>
      <c r="K2131" t="str">
        <f t="shared" si="720"/>
        <v>13</v>
      </c>
      <c r="L2131" t="str">
        <f t="shared" si="721"/>
        <v>7</v>
      </c>
      <c r="M2131" s="6" t="str">
        <f t="shared" si="722"/>
        <v>09</v>
      </c>
      <c r="N2131" t="s">
        <v>179</v>
      </c>
      <c r="O2131">
        <v>84</v>
      </c>
      <c r="P2131" t="s">
        <v>424</v>
      </c>
      <c r="Q2131" t="s">
        <v>15</v>
      </c>
      <c r="Y2131" t="str">
        <f t="shared" si="706"/>
        <v/>
      </c>
      <c r="Z2131" t="str">
        <f t="shared" si="707"/>
        <v/>
      </c>
      <c r="AC2131" t="str">
        <f t="shared" si="703"/>
        <v>Possession</v>
      </c>
      <c r="AD2131" t="str">
        <f t="shared" si="704"/>
        <v/>
      </c>
      <c r="AE2131" t="str">
        <f t="shared" si="705"/>
        <v/>
      </c>
      <c r="AF2131" t="str">
        <f t="shared" si="708"/>
        <v>Offensive</v>
      </c>
      <c r="AG2131">
        <f t="shared" si="714"/>
        <v>18981</v>
      </c>
      <c r="AH2131" t="str">
        <f t="shared" si="715"/>
        <v>Nelson</v>
      </c>
      <c r="AI2131" t="str">
        <f t="shared" si="716"/>
        <v>Velodrome</v>
      </c>
      <c r="AJ2131" s="18">
        <f t="shared" si="709"/>
        <v>4</v>
      </c>
      <c r="AP2131" s="18">
        <f t="shared" si="710"/>
        <v>0</v>
      </c>
      <c r="AQ2131">
        <f t="shared" si="711"/>
        <v>2160</v>
      </c>
      <c r="AR2131" s="23">
        <f t="shared" si="712"/>
        <v>2807</v>
      </c>
      <c r="AS2131">
        <f t="shared" si="717"/>
        <v>2802</v>
      </c>
      <c r="AT2131" s="21">
        <f t="shared" si="718"/>
        <v>2811</v>
      </c>
      <c r="AU2131" s="21"/>
      <c r="AV2131" s="21"/>
      <c r="AW2131" s="21"/>
    </row>
    <row r="2132" spans="1:49" x14ac:dyDescent="0.2">
      <c r="A2132">
        <v>1127</v>
      </c>
      <c r="E2132">
        <f t="shared" si="713"/>
        <v>3</v>
      </c>
      <c r="F2132" s="5" t="s">
        <v>539</v>
      </c>
      <c r="G2132" s="5" t="s">
        <v>484</v>
      </c>
      <c r="H2132" s="5" t="s">
        <v>539</v>
      </c>
      <c r="I2132" s="7" t="s">
        <v>482</v>
      </c>
      <c r="J2132" t="str">
        <f t="shared" si="719"/>
        <v>7</v>
      </c>
      <c r="K2132" t="str">
        <f t="shared" si="720"/>
        <v>09</v>
      </c>
      <c r="L2132" t="str">
        <f t="shared" si="721"/>
        <v>7</v>
      </c>
      <c r="M2132" s="6" t="str">
        <f t="shared" si="722"/>
        <v>07</v>
      </c>
      <c r="N2132" t="s">
        <v>179</v>
      </c>
      <c r="O2132">
        <v>84</v>
      </c>
      <c r="P2132" t="s">
        <v>425</v>
      </c>
      <c r="Q2132" t="s">
        <v>277</v>
      </c>
      <c r="R2132" t="s">
        <v>191</v>
      </c>
      <c r="S2132" t="s">
        <v>87</v>
      </c>
      <c r="Y2132" t="str">
        <f t="shared" si="706"/>
        <v/>
      </c>
      <c r="Z2132" t="str">
        <f t="shared" si="707"/>
        <v/>
      </c>
      <c r="AC2132" t="str">
        <f t="shared" si="703"/>
        <v>Zone_Entry_Exit</v>
      </c>
      <c r="AD2132" t="str">
        <f t="shared" si="704"/>
        <v>Zone_Entry</v>
      </c>
      <c r="AE2132" t="str">
        <f t="shared" si="705"/>
        <v>ZoneEntry-Rush</v>
      </c>
      <c r="AF2132" t="str">
        <f t="shared" si="708"/>
        <v>Defensive</v>
      </c>
      <c r="AG2132">
        <f t="shared" si="714"/>
        <v>18981</v>
      </c>
      <c r="AH2132" t="str">
        <f t="shared" si="715"/>
        <v>Nelson</v>
      </c>
      <c r="AI2132" t="str">
        <f t="shared" si="716"/>
        <v>Velodrome</v>
      </c>
      <c r="AJ2132" s="18">
        <f t="shared" si="709"/>
        <v>2</v>
      </c>
      <c r="AP2132" s="18">
        <f t="shared" si="710"/>
        <v>0</v>
      </c>
      <c r="AQ2132">
        <f t="shared" si="711"/>
        <v>2160</v>
      </c>
      <c r="AR2132" s="23">
        <f t="shared" si="712"/>
        <v>2811</v>
      </c>
      <c r="AS2132">
        <f t="shared" si="717"/>
        <v>2806</v>
      </c>
      <c r="AT2132" s="21">
        <f t="shared" si="718"/>
        <v>2813</v>
      </c>
      <c r="AU2132" s="21"/>
      <c r="AV2132" s="21"/>
      <c r="AW2132" s="21"/>
    </row>
    <row r="2133" spans="1:49" x14ac:dyDescent="0.2">
      <c r="A2133">
        <v>1127</v>
      </c>
      <c r="E2133">
        <f t="shared" si="713"/>
        <v>3</v>
      </c>
      <c r="J2133" t="str">
        <f t="shared" si="719"/>
        <v>7</v>
      </c>
      <c r="K2133" t="str">
        <f t="shared" si="720"/>
        <v>09</v>
      </c>
      <c r="L2133" t="str">
        <f t="shared" si="721"/>
        <v>7</v>
      </c>
      <c r="M2133" s="6" t="str">
        <f t="shared" si="722"/>
        <v>07</v>
      </c>
      <c r="N2133" t="str">
        <f t="shared" si="723"/>
        <v>Away</v>
      </c>
      <c r="O2133">
        <v>79</v>
      </c>
      <c r="P2133" t="s">
        <v>425</v>
      </c>
      <c r="Y2133" t="str">
        <f t="shared" si="706"/>
        <v/>
      </c>
      <c r="Z2133" t="str">
        <f t="shared" si="707"/>
        <v/>
      </c>
      <c r="AC2133" t="str">
        <f t="shared" si="703"/>
        <v>Zone_Entry_Exit</v>
      </c>
      <c r="AD2133" t="str">
        <f t="shared" si="704"/>
        <v>Zone_Entry</v>
      </c>
      <c r="AE2133" t="str">
        <f t="shared" si="705"/>
        <v>ZoneEntry-Rush</v>
      </c>
      <c r="AF2133" t="str">
        <f t="shared" si="708"/>
        <v>Defensive</v>
      </c>
      <c r="AG2133">
        <f t="shared" si="714"/>
        <v>18981</v>
      </c>
      <c r="AH2133" t="str">
        <f t="shared" si="715"/>
        <v>Nelson</v>
      </c>
      <c r="AI2133" t="str">
        <f t="shared" si="716"/>
        <v>Velodrome</v>
      </c>
      <c r="AJ2133" s="18">
        <f t="shared" si="709"/>
        <v>2</v>
      </c>
      <c r="AP2133" s="18">
        <f t="shared" si="710"/>
        <v>0</v>
      </c>
      <c r="AQ2133">
        <f t="shared" si="711"/>
        <v>2160</v>
      </c>
      <c r="AR2133" s="23">
        <f t="shared" si="712"/>
        <v>2811</v>
      </c>
      <c r="AS2133">
        <f t="shared" si="717"/>
        <v>2806</v>
      </c>
      <c r="AT2133" s="21">
        <f t="shared" si="718"/>
        <v>2813</v>
      </c>
      <c r="AU2133" s="21"/>
      <c r="AV2133" s="21"/>
      <c r="AW2133" s="21"/>
    </row>
    <row r="2134" spans="1:49" x14ac:dyDescent="0.2">
      <c r="A2134">
        <v>1127</v>
      </c>
      <c r="E2134">
        <f t="shared" si="713"/>
        <v>3</v>
      </c>
      <c r="J2134" t="str">
        <f t="shared" si="719"/>
        <v>7</v>
      </c>
      <c r="K2134" t="str">
        <f t="shared" si="720"/>
        <v>09</v>
      </c>
      <c r="L2134" t="str">
        <f t="shared" si="721"/>
        <v>7</v>
      </c>
      <c r="M2134" s="6" t="str">
        <f t="shared" si="722"/>
        <v>07</v>
      </c>
      <c r="N2134" t="str">
        <f t="shared" si="723"/>
        <v>Away</v>
      </c>
      <c r="O2134">
        <v>16</v>
      </c>
      <c r="P2134" t="s">
        <v>425</v>
      </c>
      <c r="Y2134" t="str">
        <f t="shared" si="706"/>
        <v/>
      </c>
      <c r="Z2134" t="str">
        <f t="shared" si="707"/>
        <v/>
      </c>
      <c r="AC2134" t="str">
        <f t="shared" si="703"/>
        <v>Zone_Entry_Exit</v>
      </c>
      <c r="AD2134" t="str">
        <f t="shared" si="704"/>
        <v>Zone_Entry</v>
      </c>
      <c r="AE2134" t="str">
        <f t="shared" si="705"/>
        <v>ZoneEntry-Rush</v>
      </c>
      <c r="AF2134" t="str">
        <f t="shared" si="708"/>
        <v>Defensive</v>
      </c>
      <c r="AG2134">
        <f t="shared" si="714"/>
        <v>18981</v>
      </c>
      <c r="AH2134" t="str">
        <f t="shared" si="715"/>
        <v>Nelson</v>
      </c>
      <c r="AI2134" t="str">
        <f t="shared" si="716"/>
        <v>Velodrome</v>
      </c>
      <c r="AJ2134" s="18">
        <f t="shared" si="709"/>
        <v>2</v>
      </c>
      <c r="AP2134" s="18">
        <f t="shared" si="710"/>
        <v>0</v>
      </c>
      <c r="AQ2134">
        <f t="shared" si="711"/>
        <v>2160</v>
      </c>
      <c r="AR2134" s="23">
        <f t="shared" si="712"/>
        <v>2811</v>
      </c>
      <c r="AS2134">
        <f t="shared" si="717"/>
        <v>2806</v>
      </c>
      <c r="AT2134" s="21">
        <f t="shared" si="718"/>
        <v>2813</v>
      </c>
      <c r="AU2134" s="21"/>
      <c r="AV2134" s="21"/>
      <c r="AW2134" s="21"/>
    </row>
    <row r="2135" spans="1:49" x14ac:dyDescent="0.2">
      <c r="A2135">
        <v>1127</v>
      </c>
      <c r="E2135">
        <f t="shared" si="713"/>
        <v>3</v>
      </c>
      <c r="J2135" t="str">
        <f t="shared" si="719"/>
        <v>7</v>
      </c>
      <c r="K2135" t="str">
        <f t="shared" si="720"/>
        <v>09</v>
      </c>
      <c r="L2135" t="str">
        <f t="shared" si="721"/>
        <v>7</v>
      </c>
      <c r="M2135" s="6" t="str">
        <f t="shared" si="722"/>
        <v>07</v>
      </c>
      <c r="N2135" t="str">
        <f t="shared" si="723"/>
        <v>Away</v>
      </c>
      <c r="O2135">
        <v>80</v>
      </c>
      <c r="P2135" t="s">
        <v>425</v>
      </c>
      <c r="Y2135" t="str">
        <f t="shared" si="706"/>
        <v/>
      </c>
      <c r="Z2135" t="str">
        <f t="shared" si="707"/>
        <v/>
      </c>
      <c r="AC2135" t="str">
        <f t="shared" si="703"/>
        <v>Zone_Entry_Exit</v>
      </c>
      <c r="AD2135" t="str">
        <f t="shared" si="704"/>
        <v>Zone_Entry</v>
      </c>
      <c r="AE2135" t="str">
        <f t="shared" si="705"/>
        <v>ZoneEntry-Rush</v>
      </c>
      <c r="AF2135" t="str">
        <f t="shared" si="708"/>
        <v>Defensive</v>
      </c>
      <c r="AG2135">
        <f t="shared" si="714"/>
        <v>18981</v>
      </c>
      <c r="AH2135" t="str">
        <f t="shared" si="715"/>
        <v>Nelson</v>
      </c>
      <c r="AI2135" t="str">
        <f t="shared" si="716"/>
        <v>Velodrome</v>
      </c>
      <c r="AJ2135" s="18">
        <f t="shared" si="709"/>
        <v>2</v>
      </c>
      <c r="AP2135" s="18">
        <f t="shared" si="710"/>
        <v>0</v>
      </c>
      <c r="AQ2135">
        <f t="shared" si="711"/>
        <v>2160</v>
      </c>
      <c r="AR2135" s="23">
        <f t="shared" si="712"/>
        <v>2811</v>
      </c>
      <c r="AS2135">
        <f t="shared" si="717"/>
        <v>2806</v>
      </c>
      <c r="AT2135" s="21">
        <f t="shared" si="718"/>
        <v>2813</v>
      </c>
      <c r="AU2135" s="21"/>
      <c r="AV2135" s="21"/>
      <c r="AW2135" s="21"/>
    </row>
    <row r="2136" spans="1:49" x14ac:dyDescent="0.2">
      <c r="A2136">
        <v>1128</v>
      </c>
      <c r="E2136">
        <f t="shared" si="713"/>
        <v>3</v>
      </c>
      <c r="F2136" s="5" t="s">
        <v>539</v>
      </c>
      <c r="G2136" s="5" t="s">
        <v>476</v>
      </c>
      <c r="J2136" t="str">
        <f t="shared" si="719"/>
        <v>7</v>
      </c>
      <c r="K2136" t="str">
        <f t="shared" si="720"/>
        <v>06</v>
      </c>
      <c r="L2136" t="str">
        <f t="shared" si="721"/>
        <v/>
      </c>
      <c r="M2136" s="6" t="str">
        <f t="shared" si="722"/>
        <v/>
      </c>
      <c r="N2136" t="s">
        <v>178</v>
      </c>
      <c r="O2136">
        <v>80</v>
      </c>
      <c r="P2136" t="s">
        <v>424</v>
      </c>
      <c r="Q2136" t="s">
        <v>10</v>
      </c>
      <c r="R2136" t="s">
        <v>200</v>
      </c>
      <c r="S2136" t="s">
        <v>82</v>
      </c>
      <c r="Y2136" t="str">
        <f t="shared" si="706"/>
        <v/>
      </c>
      <c r="Z2136" t="str">
        <f t="shared" si="707"/>
        <v/>
      </c>
      <c r="AC2136" t="str">
        <f t="shared" si="703"/>
        <v>Turnover</v>
      </c>
      <c r="AD2136" t="str">
        <f t="shared" si="704"/>
        <v>Turnover_Takeaway</v>
      </c>
      <c r="AE2136" t="str">
        <f t="shared" si="705"/>
        <v>Takeaway-PokeCheck</v>
      </c>
      <c r="AF2136" t="str">
        <f t="shared" si="708"/>
        <v>Defensive</v>
      </c>
      <c r="AG2136">
        <f t="shared" si="714"/>
        <v>18981</v>
      </c>
      <c r="AH2136" t="str">
        <f t="shared" si="715"/>
        <v>Nelson</v>
      </c>
      <c r="AI2136" t="str">
        <f t="shared" si="716"/>
        <v>Velodrome</v>
      </c>
      <c r="AJ2136" s="18">
        <f t="shared" si="709"/>
        <v>0</v>
      </c>
      <c r="AP2136" s="18">
        <f t="shared" si="710"/>
        <v>0</v>
      </c>
      <c r="AQ2136">
        <f t="shared" si="711"/>
        <v>2160</v>
      </c>
      <c r="AR2136" s="23">
        <f t="shared" si="712"/>
        <v>2814</v>
      </c>
      <c r="AS2136">
        <f t="shared" si="717"/>
        <v>2809</v>
      </c>
      <c r="AT2136" s="21">
        <f t="shared" si="718"/>
        <v>2814</v>
      </c>
      <c r="AU2136" s="21"/>
      <c r="AV2136" s="21"/>
      <c r="AW2136" s="21"/>
    </row>
    <row r="2137" spans="1:49" x14ac:dyDescent="0.2">
      <c r="A2137">
        <v>1128</v>
      </c>
      <c r="E2137">
        <f t="shared" si="713"/>
        <v>3</v>
      </c>
      <c r="J2137" t="str">
        <f t="shared" si="719"/>
        <v>7</v>
      </c>
      <c r="K2137" t="str">
        <f t="shared" si="720"/>
        <v>06</v>
      </c>
      <c r="L2137" t="str">
        <f t="shared" si="721"/>
        <v/>
      </c>
      <c r="M2137" s="6" t="str">
        <f t="shared" si="722"/>
        <v/>
      </c>
      <c r="N2137" t="str">
        <f t="shared" si="723"/>
        <v>Home</v>
      </c>
      <c r="O2137">
        <v>84</v>
      </c>
      <c r="P2137" t="s">
        <v>425</v>
      </c>
      <c r="Y2137" t="str">
        <f t="shared" si="706"/>
        <v/>
      </c>
      <c r="Z2137" t="str">
        <f t="shared" si="707"/>
        <v/>
      </c>
      <c r="AC2137" t="str">
        <f t="shared" si="703"/>
        <v>Turnover</v>
      </c>
      <c r="AD2137" t="str">
        <f t="shared" si="704"/>
        <v>Turnover_Takeaway</v>
      </c>
      <c r="AE2137" t="str">
        <f t="shared" si="705"/>
        <v>Takeaway-PokeCheck</v>
      </c>
      <c r="AF2137" t="str">
        <f t="shared" si="708"/>
        <v>Offensive</v>
      </c>
      <c r="AG2137">
        <f t="shared" si="714"/>
        <v>18981</v>
      </c>
      <c r="AH2137" t="str">
        <f t="shared" si="715"/>
        <v>Nelson</v>
      </c>
      <c r="AI2137" t="str">
        <f t="shared" si="716"/>
        <v>Velodrome</v>
      </c>
      <c r="AJ2137" s="18">
        <f t="shared" si="709"/>
        <v>0</v>
      </c>
      <c r="AP2137" s="18">
        <f t="shared" si="710"/>
        <v>0</v>
      </c>
      <c r="AQ2137">
        <f t="shared" si="711"/>
        <v>2160</v>
      </c>
      <c r="AR2137" s="23">
        <f t="shared" si="712"/>
        <v>2814</v>
      </c>
      <c r="AS2137">
        <f t="shared" si="717"/>
        <v>2809</v>
      </c>
      <c r="AT2137" s="21">
        <f t="shared" si="718"/>
        <v>2814</v>
      </c>
      <c r="AU2137" s="21"/>
      <c r="AV2137" s="21"/>
      <c r="AW2137" s="21"/>
    </row>
    <row r="2138" spans="1:49" x14ac:dyDescent="0.2">
      <c r="A2138">
        <v>1129</v>
      </c>
      <c r="E2138">
        <f t="shared" si="713"/>
        <v>3</v>
      </c>
      <c r="F2138" s="5" t="s">
        <v>539</v>
      </c>
      <c r="G2138" s="5" t="s">
        <v>481</v>
      </c>
      <c r="H2138" s="5" t="s">
        <v>539</v>
      </c>
      <c r="I2138" s="7" t="s">
        <v>473</v>
      </c>
      <c r="J2138" t="str">
        <f t="shared" si="719"/>
        <v>7</v>
      </c>
      <c r="K2138" t="str">
        <f t="shared" si="720"/>
        <v>05</v>
      </c>
      <c r="L2138" t="str">
        <f t="shared" si="721"/>
        <v>7</v>
      </c>
      <c r="M2138" s="6" t="str">
        <f t="shared" si="722"/>
        <v>03</v>
      </c>
      <c r="N2138" t="s">
        <v>178</v>
      </c>
      <c r="O2138">
        <v>80</v>
      </c>
      <c r="P2138" t="s">
        <v>424</v>
      </c>
      <c r="Q2138" t="s">
        <v>15</v>
      </c>
      <c r="Y2138" t="str">
        <f t="shared" si="706"/>
        <v/>
      </c>
      <c r="Z2138" t="str">
        <f t="shared" si="707"/>
        <v/>
      </c>
      <c r="AC2138" t="str">
        <f t="shared" si="703"/>
        <v>Possession</v>
      </c>
      <c r="AD2138" t="str">
        <f t="shared" si="704"/>
        <v/>
      </c>
      <c r="AE2138" t="str">
        <f t="shared" si="705"/>
        <v/>
      </c>
      <c r="AF2138" t="str">
        <f t="shared" si="708"/>
        <v>Offensive</v>
      </c>
      <c r="AG2138">
        <f t="shared" si="714"/>
        <v>18981</v>
      </c>
      <c r="AH2138" t="str">
        <f t="shared" si="715"/>
        <v>Nelson</v>
      </c>
      <c r="AI2138" t="str">
        <f t="shared" si="716"/>
        <v>Velodrome</v>
      </c>
      <c r="AJ2138" s="18">
        <f t="shared" si="709"/>
        <v>2</v>
      </c>
      <c r="AP2138" s="18">
        <f t="shared" si="710"/>
        <v>0</v>
      </c>
      <c r="AQ2138">
        <f t="shared" si="711"/>
        <v>2160</v>
      </c>
      <c r="AR2138" s="23">
        <f t="shared" si="712"/>
        <v>2815</v>
      </c>
      <c r="AS2138">
        <f t="shared" si="717"/>
        <v>2810</v>
      </c>
      <c r="AT2138" s="21">
        <f t="shared" si="718"/>
        <v>2817</v>
      </c>
      <c r="AU2138" s="21"/>
      <c r="AV2138" s="21"/>
      <c r="AW2138" s="21"/>
    </row>
    <row r="2139" spans="1:49" x14ac:dyDescent="0.2">
      <c r="A2139">
        <v>1130</v>
      </c>
      <c r="E2139">
        <f t="shared" si="713"/>
        <v>3</v>
      </c>
      <c r="F2139" s="5" t="s">
        <v>539</v>
      </c>
      <c r="G2139" s="5" t="s">
        <v>473</v>
      </c>
      <c r="J2139" t="str">
        <f t="shared" si="719"/>
        <v>7</v>
      </c>
      <c r="K2139" t="str">
        <f t="shared" si="720"/>
        <v>03</v>
      </c>
      <c r="L2139" t="str">
        <f t="shared" si="721"/>
        <v/>
      </c>
      <c r="M2139" s="6" t="str">
        <f t="shared" si="722"/>
        <v/>
      </c>
      <c r="N2139" t="s">
        <v>178</v>
      </c>
      <c r="O2139">
        <v>80</v>
      </c>
      <c r="P2139" t="s">
        <v>424</v>
      </c>
      <c r="Q2139" t="s">
        <v>247</v>
      </c>
      <c r="R2139" t="s">
        <v>446</v>
      </c>
      <c r="S2139" t="s">
        <v>575</v>
      </c>
      <c r="Y2139" t="str">
        <f t="shared" si="706"/>
        <v/>
      </c>
      <c r="Z2139" t="str">
        <f t="shared" si="707"/>
        <v/>
      </c>
      <c r="AC2139" t="str">
        <f t="shared" si="703"/>
        <v>Play</v>
      </c>
      <c r="AD2139" t="str">
        <f t="shared" si="704"/>
        <v>Play_Defensive</v>
      </c>
      <c r="AE2139" t="str">
        <f t="shared" si="705"/>
        <v>Play-AttemptedClear</v>
      </c>
      <c r="AF2139" t="str">
        <f t="shared" si="708"/>
        <v>Defensive</v>
      </c>
      <c r="AG2139">
        <f t="shared" si="714"/>
        <v>18981</v>
      </c>
      <c r="AH2139" t="str">
        <f t="shared" si="715"/>
        <v>Nelson</v>
      </c>
      <c r="AI2139" t="str">
        <f t="shared" si="716"/>
        <v>Velodrome</v>
      </c>
      <c r="AJ2139" s="18">
        <f t="shared" si="709"/>
        <v>0</v>
      </c>
      <c r="AP2139" s="18">
        <f t="shared" si="710"/>
        <v>0</v>
      </c>
      <c r="AQ2139">
        <f t="shared" si="711"/>
        <v>2160</v>
      </c>
      <c r="AR2139" s="23">
        <f t="shared" si="712"/>
        <v>2817</v>
      </c>
      <c r="AS2139">
        <f t="shared" si="717"/>
        <v>2812</v>
      </c>
      <c r="AT2139" s="21">
        <f t="shared" si="718"/>
        <v>2817</v>
      </c>
      <c r="AU2139" s="21"/>
      <c r="AV2139" s="21"/>
      <c r="AW2139" s="21"/>
    </row>
    <row r="2140" spans="1:49" x14ac:dyDescent="0.2">
      <c r="A2140">
        <v>1131</v>
      </c>
      <c r="E2140">
        <f t="shared" si="713"/>
        <v>3</v>
      </c>
      <c r="F2140" s="5" t="s">
        <v>541</v>
      </c>
      <c r="G2140" s="5" t="s">
        <v>529</v>
      </c>
      <c r="J2140" t="str">
        <f t="shared" si="719"/>
        <v>6</v>
      </c>
      <c r="K2140" t="str">
        <f t="shared" si="720"/>
        <v>57</v>
      </c>
      <c r="L2140" t="str">
        <f t="shared" si="721"/>
        <v/>
      </c>
      <c r="M2140" s="6" t="str">
        <f t="shared" si="722"/>
        <v/>
      </c>
      <c r="N2140" t="s">
        <v>178</v>
      </c>
      <c r="O2140">
        <v>80</v>
      </c>
      <c r="P2140" t="s">
        <v>424</v>
      </c>
      <c r="Q2140" t="s">
        <v>10</v>
      </c>
      <c r="R2140" t="s">
        <v>190</v>
      </c>
      <c r="S2140" t="s">
        <v>422</v>
      </c>
      <c r="Y2140" t="str">
        <f t="shared" si="706"/>
        <v/>
      </c>
      <c r="Z2140" t="str">
        <f t="shared" si="707"/>
        <v/>
      </c>
      <c r="AC2140" t="str">
        <f t="shared" si="703"/>
        <v>Turnover</v>
      </c>
      <c r="AD2140" t="str">
        <f t="shared" si="704"/>
        <v>Turnover_Giveaway</v>
      </c>
      <c r="AE2140" t="str">
        <f t="shared" si="705"/>
        <v>Giveaway-AttemptedZoneClear/Dump</v>
      </c>
      <c r="AF2140" t="str">
        <f t="shared" si="708"/>
        <v>Offensive</v>
      </c>
      <c r="AG2140">
        <f t="shared" si="714"/>
        <v>18981</v>
      </c>
      <c r="AH2140" t="str">
        <f t="shared" si="715"/>
        <v>Nelson</v>
      </c>
      <c r="AI2140" t="str">
        <f t="shared" si="716"/>
        <v>Velodrome</v>
      </c>
      <c r="AJ2140" s="18">
        <f t="shared" si="709"/>
        <v>0</v>
      </c>
      <c r="AP2140" s="18">
        <f t="shared" si="710"/>
        <v>0</v>
      </c>
      <c r="AQ2140">
        <f t="shared" si="711"/>
        <v>2160</v>
      </c>
      <c r="AR2140" s="23">
        <f t="shared" si="712"/>
        <v>2823</v>
      </c>
      <c r="AS2140">
        <f t="shared" si="717"/>
        <v>2818</v>
      </c>
      <c r="AT2140" s="21">
        <f t="shared" si="718"/>
        <v>2823</v>
      </c>
      <c r="AU2140" s="21"/>
      <c r="AV2140" s="21"/>
      <c r="AW2140" s="21"/>
    </row>
    <row r="2141" spans="1:49" x14ac:dyDescent="0.2">
      <c r="A2141">
        <v>1132</v>
      </c>
      <c r="E2141">
        <f t="shared" si="713"/>
        <v>3</v>
      </c>
      <c r="F2141" s="5" t="s">
        <v>541</v>
      </c>
      <c r="G2141" s="5" t="s">
        <v>529</v>
      </c>
      <c r="J2141" t="str">
        <f t="shared" si="719"/>
        <v>6</v>
      </c>
      <c r="K2141" t="str">
        <f t="shared" si="720"/>
        <v>57</v>
      </c>
      <c r="L2141" t="str">
        <f t="shared" si="721"/>
        <v/>
      </c>
      <c r="M2141" s="6" t="str">
        <f t="shared" si="722"/>
        <v/>
      </c>
      <c r="N2141" t="s">
        <v>179</v>
      </c>
      <c r="O2141">
        <v>9</v>
      </c>
      <c r="P2141" t="s">
        <v>424</v>
      </c>
      <c r="Q2141" t="s">
        <v>277</v>
      </c>
      <c r="R2141" t="s">
        <v>210</v>
      </c>
      <c r="S2141" t="s">
        <v>93</v>
      </c>
      <c r="Y2141" t="str">
        <f t="shared" si="706"/>
        <v/>
      </c>
      <c r="Z2141" t="str">
        <f t="shared" si="707"/>
        <v/>
      </c>
      <c r="AC2141" t="str">
        <f t="shared" si="703"/>
        <v>Zone_Entry_Exit</v>
      </c>
      <c r="AD2141" t="str">
        <f t="shared" si="704"/>
        <v>Zone_Keepin</v>
      </c>
      <c r="AE2141" t="str">
        <f t="shared" si="705"/>
        <v>Zone-KeepIn</v>
      </c>
      <c r="AF2141" t="str">
        <f t="shared" si="708"/>
        <v>Offensive</v>
      </c>
      <c r="AG2141">
        <f t="shared" si="714"/>
        <v>18981</v>
      </c>
      <c r="AH2141" t="str">
        <f t="shared" si="715"/>
        <v>Nelson</v>
      </c>
      <c r="AI2141" t="str">
        <f t="shared" si="716"/>
        <v>Velodrome</v>
      </c>
      <c r="AJ2141" s="18">
        <f t="shared" si="709"/>
        <v>0</v>
      </c>
      <c r="AP2141" s="18">
        <f t="shared" si="710"/>
        <v>0</v>
      </c>
      <c r="AQ2141">
        <f t="shared" si="711"/>
        <v>2160</v>
      </c>
      <c r="AR2141" s="23">
        <f t="shared" si="712"/>
        <v>2823</v>
      </c>
      <c r="AS2141">
        <f t="shared" si="717"/>
        <v>2818</v>
      </c>
      <c r="AT2141" s="21">
        <f t="shared" si="718"/>
        <v>2823</v>
      </c>
      <c r="AU2141" s="21"/>
      <c r="AV2141" s="21"/>
      <c r="AW2141" s="21"/>
    </row>
    <row r="2142" spans="1:49" x14ac:dyDescent="0.2">
      <c r="A2142">
        <v>1133</v>
      </c>
      <c r="E2142">
        <f t="shared" si="713"/>
        <v>3</v>
      </c>
      <c r="F2142" s="5" t="s">
        <v>541</v>
      </c>
      <c r="G2142" s="5" t="s">
        <v>528</v>
      </c>
      <c r="J2142" t="str">
        <f t="shared" si="719"/>
        <v>6</v>
      </c>
      <c r="K2142" t="str">
        <f t="shared" si="720"/>
        <v>56</v>
      </c>
      <c r="L2142" t="str">
        <f t="shared" si="721"/>
        <v/>
      </c>
      <c r="M2142" s="6" t="str">
        <f t="shared" si="722"/>
        <v/>
      </c>
      <c r="N2142" t="s">
        <v>179</v>
      </c>
      <c r="O2142">
        <v>9</v>
      </c>
      <c r="P2142" t="s">
        <v>424</v>
      </c>
      <c r="Q2142" t="s">
        <v>7</v>
      </c>
      <c r="R2142" t="s">
        <v>222</v>
      </c>
      <c r="S2142" t="s">
        <v>53</v>
      </c>
      <c r="Y2142" t="str">
        <f t="shared" si="706"/>
        <v/>
      </c>
      <c r="Z2142" t="str">
        <f t="shared" si="707"/>
        <v/>
      </c>
      <c r="AC2142" t="str">
        <f t="shared" si="703"/>
        <v>Shot</v>
      </c>
      <c r="AD2142" t="str">
        <f t="shared" si="704"/>
        <v>Shot_OnNetSaved</v>
      </c>
      <c r="AE2142" t="str">
        <f t="shared" si="705"/>
        <v>Shot-Wrist</v>
      </c>
      <c r="AF2142" t="str">
        <f t="shared" si="708"/>
        <v>Offensive</v>
      </c>
      <c r="AG2142">
        <f t="shared" si="714"/>
        <v>18981</v>
      </c>
      <c r="AH2142" t="str">
        <f t="shared" si="715"/>
        <v>Nelson</v>
      </c>
      <c r="AI2142" t="str">
        <f t="shared" si="716"/>
        <v>Velodrome</v>
      </c>
      <c r="AJ2142" s="18">
        <f t="shared" si="709"/>
        <v>0</v>
      </c>
      <c r="AP2142" s="18">
        <f t="shared" si="710"/>
        <v>0</v>
      </c>
      <c r="AQ2142">
        <f t="shared" si="711"/>
        <v>2160</v>
      </c>
      <c r="AR2142" s="23">
        <f t="shared" si="712"/>
        <v>2824</v>
      </c>
      <c r="AS2142">
        <f t="shared" si="717"/>
        <v>2819</v>
      </c>
      <c r="AT2142" s="21">
        <f t="shared" si="718"/>
        <v>2824</v>
      </c>
      <c r="AU2142" s="21"/>
      <c r="AV2142" s="21"/>
      <c r="AW2142" s="21"/>
    </row>
    <row r="2143" spans="1:49" x14ac:dyDescent="0.2">
      <c r="A2143">
        <v>1133</v>
      </c>
      <c r="E2143">
        <f t="shared" si="713"/>
        <v>3</v>
      </c>
      <c r="J2143" t="str">
        <f t="shared" si="719"/>
        <v>6</v>
      </c>
      <c r="K2143" t="str">
        <f t="shared" si="720"/>
        <v>56</v>
      </c>
      <c r="L2143" t="str">
        <f t="shared" si="721"/>
        <v/>
      </c>
      <c r="M2143" s="6" t="str">
        <f t="shared" si="722"/>
        <v/>
      </c>
      <c r="N2143" t="str">
        <f t="shared" si="723"/>
        <v>Away</v>
      </c>
      <c r="O2143">
        <v>31</v>
      </c>
      <c r="P2143" t="s">
        <v>425</v>
      </c>
      <c r="Y2143" t="str">
        <f t="shared" si="706"/>
        <v/>
      </c>
      <c r="Z2143" t="str">
        <f t="shared" si="707"/>
        <v/>
      </c>
      <c r="AC2143" t="str">
        <f t="shared" si="703"/>
        <v>Shot</v>
      </c>
      <c r="AD2143" t="str">
        <f t="shared" si="704"/>
        <v>Shot_OnNetSaved</v>
      </c>
      <c r="AE2143" t="str">
        <f t="shared" si="705"/>
        <v>Shot-Wrist</v>
      </c>
      <c r="AF2143" t="str">
        <f t="shared" si="708"/>
        <v>Defensive</v>
      </c>
      <c r="AG2143">
        <f t="shared" si="714"/>
        <v>18981</v>
      </c>
      <c r="AH2143" t="str">
        <f t="shared" si="715"/>
        <v>Nelson</v>
      </c>
      <c r="AI2143" t="str">
        <f t="shared" si="716"/>
        <v>Velodrome</v>
      </c>
      <c r="AJ2143" s="18">
        <f t="shared" si="709"/>
        <v>0</v>
      </c>
      <c r="AP2143" s="18">
        <f t="shared" si="710"/>
        <v>0</v>
      </c>
      <c r="AQ2143">
        <f t="shared" si="711"/>
        <v>2160</v>
      </c>
      <c r="AR2143" s="23">
        <f t="shared" si="712"/>
        <v>2824</v>
      </c>
      <c r="AS2143">
        <f t="shared" si="717"/>
        <v>2819</v>
      </c>
      <c r="AT2143" s="21">
        <f t="shared" si="718"/>
        <v>2824</v>
      </c>
      <c r="AU2143" s="21"/>
      <c r="AV2143" s="21"/>
      <c r="AW2143" s="21"/>
    </row>
    <row r="2144" spans="1:49" x14ac:dyDescent="0.2">
      <c r="A2144">
        <v>1134</v>
      </c>
      <c r="E2144">
        <f t="shared" si="713"/>
        <v>3</v>
      </c>
      <c r="F2144" s="5" t="s">
        <v>541</v>
      </c>
      <c r="G2144" s="5" t="s">
        <v>528</v>
      </c>
      <c r="J2144" t="str">
        <f t="shared" si="719"/>
        <v>6</v>
      </c>
      <c r="K2144" t="str">
        <f t="shared" si="720"/>
        <v>56</v>
      </c>
      <c r="L2144" t="str">
        <f t="shared" si="721"/>
        <v/>
      </c>
      <c r="M2144" s="6" t="str">
        <f t="shared" si="722"/>
        <v/>
      </c>
      <c r="N2144" t="s">
        <v>178</v>
      </c>
      <c r="O2144">
        <v>31</v>
      </c>
      <c r="P2144" t="s">
        <v>424</v>
      </c>
      <c r="Q2144" t="s">
        <v>17</v>
      </c>
      <c r="R2144" t="s">
        <v>196</v>
      </c>
      <c r="S2144" t="s">
        <v>103</v>
      </c>
      <c r="Y2144" t="str">
        <f t="shared" si="706"/>
        <v/>
      </c>
      <c r="Z2144" t="str">
        <f t="shared" si="707"/>
        <v/>
      </c>
      <c r="AC2144" t="str">
        <f t="shared" si="703"/>
        <v>Save</v>
      </c>
      <c r="AD2144" t="str">
        <f t="shared" si="704"/>
        <v>Save_Rebound</v>
      </c>
      <c r="AE2144" t="str">
        <f t="shared" si="705"/>
        <v>Save-Chest</v>
      </c>
      <c r="AF2144" t="str">
        <f t="shared" si="708"/>
        <v>Defensive</v>
      </c>
      <c r="AG2144">
        <f t="shared" si="714"/>
        <v>18981</v>
      </c>
      <c r="AH2144" t="str">
        <f t="shared" si="715"/>
        <v>Nelson</v>
      </c>
      <c r="AI2144" t="str">
        <f t="shared" si="716"/>
        <v>Velodrome</v>
      </c>
      <c r="AJ2144" s="18">
        <f t="shared" si="709"/>
        <v>0</v>
      </c>
      <c r="AP2144" s="18">
        <f t="shared" si="710"/>
        <v>0</v>
      </c>
      <c r="AQ2144">
        <f t="shared" si="711"/>
        <v>2160</v>
      </c>
      <c r="AR2144" s="23">
        <f t="shared" si="712"/>
        <v>2824</v>
      </c>
      <c r="AS2144">
        <f t="shared" si="717"/>
        <v>2819</v>
      </c>
      <c r="AT2144" s="21">
        <f t="shared" si="718"/>
        <v>2824</v>
      </c>
      <c r="AU2144" s="21"/>
      <c r="AV2144" s="21"/>
      <c r="AW2144" s="21"/>
    </row>
    <row r="2145" spans="1:49" x14ac:dyDescent="0.2">
      <c r="A2145">
        <v>1134</v>
      </c>
      <c r="E2145">
        <f t="shared" si="713"/>
        <v>3</v>
      </c>
      <c r="J2145" t="str">
        <f t="shared" si="719"/>
        <v>6</v>
      </c>
      <c r="K2145" t="str">
        <f t="shared" si="720"/>
        <v>56</v>
      </c>
      <c r="L2145" t="str">
        <f t="shared" si="721"/>
        <v/>
      </c>
      <c r="M2145" s="6" t="str">
        <f t="shared" si="722"/>
        <v/>
      </c>
      <c r="N2145" t="str">
        <f t="shared" si="723"/>
        <v>Home</v>
      </c>
      <c r="O2145">
        <v>9</v>
      </c>
      <c r="P2145" t="s">
        <v>425</v>
      </c>
      <c r="Y2145" t="str">
        <f t="shared" si="706"/>
        <v/>
      </c>
      <c r="Z2145" t="str">
        <f t="shared" si="707"/>
        <v/>
      </c>
      <c r="AC2145" t="str">
        <f t="shared" si="703"/>
        <v>Save</v>
      </c>
      <c r="AD2145" t="str">
        <f t="shared" si="704"/>
        <v>Save_Rebound</v>
      </c>
      <c r="AE2145" t="str">
        <f t="shared" si="705"/>
        <v>Save-Chest</v>
      </c>
      <c r="AF2145" t="str">
        <f t="shared" si="708"/>
        <v>Offensive</v>
      </c>
      <c r="AG2145">
        <f t="shared" si="714"/>
        <v>18981</v>
      </c>
      <c r="AH2145" t="str">
        <f t="shared" si="715"/>
        <v>Nelson</v>
      </c>
      <c r="AI2145" t="str">
        <f t="shared" si="716"/>
        <v>Velodrome</v>
      </c>
      <c r="AJ2145" s="18">
        <f t="shared" si="709"/>
        <v>0</v>
      </c>
      <c r="AP2145" s="18">
        <f t="shared" si="710"/>
        <v>0</v>
      </c>
      <c r="AQ2145">
        <f t="shared" si="711"/>
        <v>2160</v>
      </c>
      <c r="AR2145" s="23">
        <f t="shared" si="712"/>
        <v>2824</v>
      </c>
      <c r="AS2145">
        <f t="shared" si="717"/>
        <v>2819</v>
      </c>
      <c r="AT2145" s="21">
        <f t="shared" si="718"/>
        <v>2824</v>
      </c>
      <c r="AU2145" s="21"/>
      <c r="AV2145" s="21"/>
      <c r="AW2145" s="21"/>
    </row>
    <row r="2146" spans="1:49" x14ac:dyDescent="0.2">
      <c r="A2146">
        <v>1135</v>
      </c>
      <c r="E2146">
        <f t="shared" si="713"/>
        <v>3</v>
      </c>
      <c r="F2146" s="5" t="s">
        <v>541</v>
      </c>
      <c r="G2146" s="5" t="s">
        <v>528</v>
      </c>
      <c r="J2146" t="str">
        <f t="shared" si="719"/>
        <v>6</v>
      </c>
      <c r="K2146" t="str">
        <f t="shared" si="720"/>
        <v>56</v>
      </c>
      <c r="L2146" t="str">
        <f t="shared" si="721"/>
        <v/>
      </c>
      <c r="M2146" s="6" t="str">
        <f t="shared" si="722"/>
        <v/>
      </c>
      <c r="N2146" t="s">
        <v>178</v>
      </c>
      <c r="O2146">
        <v>31</v>
      </c>
      <c r="P2146" t="s">
        <v>424</v>
      </c>
      <c r="Q2146" t="s">
        <v>270</v>
      </c>
      <c r="R2146" t="s">
        <v>271</v>
      </c>
      <c r="Y2146" t="str">
        <f t="shared" si="706"/>
        <v/>
      </c>
      <c r="Z2146" t="str">
        <f t="shared" si="707"/>
        <v/>
      </c>
      <c r="AC2146" t="str">
        <f t="shared" si="703"/>
        <v>Rebound</v>
      </c>
      <c r="AD2146" t="str">
        <f t="shared" si="704"/>
        <v>Rebound_TeamRecovered</v>
      </c>
      <c r="AE2146" t="str">
        <f t="shared" si="705"/>
        <v/>
      </c>
      <c r="AF2146" t="str">
        <f t="shared" si="708"/>
        <v>Offensive</v>
      </c>
      <c r="AG2146">
        <f t="shared" si="714"/>
        <v>18981</v>
      </c>
      <c r="AH2146" t="str">
        <f t="shared" si="715"/>
        <v>Nelson</v>
      </c>
      <c r="AI2146" t="str">
        <f t="shared" si="716"/>
        <v>Velodrome</v>
      </c>
      <c r="AJ2146" s="18">
        <f t="shared" si="709"/>
        <v>0</v>
      </c>
      <c r="AP2146" s="18">
        <f t="shared" si="710"/>
        <v>0</v>
      </c>
      <c r="AQ2146">
        <f t="shared" si="711"/>
        <v>2160</v>
      </c>
      <c r="AR2146" s="23">
        <f t="shared" si="712"/>
        <v>2824</v>
      </c>
      <c r="AS2146">
        <f t="shared" si="717"/>
        <v>2819</v>
      </c>
      <c r="AT2146" s="21">
        <f t="shared" si="718"/>
        <v>2824</v>
      </c>
      <c r="AU2146" s="21"/>
      <c r="AV2146" s="21"/>
      <c r="AW2146" s="21"/>
    </row>
    <row r="2147" spans="1:49" x14ac:dyDescent="0.2">
      <c r="A2147">
        <v>1136</v>
      </c>
      <c r="E2147">
        <f t="shared" si="713"/>
        <v>3</v>
      </c>
      <c r="F2147" s="5" t="s">
        <v>541</v>
      </c>
      <c r="G2147" s="5" t="s">
        <v>526</v>
      </c>
      <c r="H2147" s="5" t="s">
        <v>541</v>
      </c>
      <c r="I2147" s="7" t="s">
        <v>524</v>
      </c>
      <c r="J2147" t="str">
        <f t="shared" si="719"/>
        <v>6</v>
      </c>
      <c r="K2147" t="str">
        <f t="shared" si="720"/>
        <v>54</v>
      </c>
      <c r="L2147" t="str">
        <f t="shared" si="721"/>
        <v>6</v>
      </c>
      <c r="M2147" s="6" t="str">
        <f t="shared" si="722"/>
        <v>52</v>
      </c>
      <c r="N2147" t="s">
        <v>178</v>
      </c>
      <c r="O2147">
        <v>8</v>
      </c>
      <c r="P2147" t="s">
        <v>424</v>
      </c>
      <c r="Q2147" t="s">
        <v>15</v>
      </c>
      <c r="Y2147" t="str">
        <f t="shared" si="706"/>
        <v/>
      </c>
      <c r="Z2147" t="str">
        <f t="shared" si="707"/>
        <v/>
      </c>
      <c r="AC2147" t="str">
        <f t="shared" si="703"/>
        <v>Possession</v>
      </c>
      <c r="AD2147" t="str">
        <f t="shared" si="704"/>
        <v/>
      </c>
      <c r="AE2147" t="str">
        <f t="shared" si="705"/>
        <v/>
      </c>
      <c r="AF2147" t="str">
        <f t="shared" si="708"/>
        <v>Offensive</v>
      </c>
      <c r="AG2147">
        <f t="shared" si="714"/>
        <v>18981</v>
      </c>
      <c r="AH2147" t="str">
        <f t="shared" si="715"/>
        <v>Nelson</v>
      </c>
      <c r="AI2147" t="str">
        <f t="shared" si="716"/>
        <v>Velodrome</v>
      </c>
      <c r="AJ2147" s="18">
        <f t="shared" si="709"/>
        <v>2</v>
      </c>
      <c r="AP2147" s="18">
        <f t="shared" si="710"/>
        <v>0</v>
      </c>
      <c r="AQ2147">
        <f t="shared" si="711"/>
        <v>2160</v>
      </c>
      <c r="AR2147" s="23">
        <f t="shared" si="712"/>
        <v>2826</v>
      </c>
      <c r="AS2147">
        <f t="shared" si="717"/>
        <v>2821</v>
      </c>
      <c r="AT2147" s="21">
        <f t="shared" si="718"/>
        <v>2828</v>
      </c>
      <c r="AU2147" s="21"/>
      <c r="AV2147" s="21"/>
      <c r="AW2147" s="21"/>
    </row>
    <row r="2148" spans="1:49" x14ac:dyDescent="0.2">
      <c r="A2148">
        <v>1137</v>
      </c>
      <c r="E2148">
        <f t="shared" si="713"/>
        <v>3</v>
      </c>
      <c r="F2148" s="5" t="s">
        <v>541</v>
      </c>
      <c r="G2148" s="5" t="s">
        <v>524</v>
      </c>
      <c r="J2148" t="str">
        <f t="shared" si="719"/>
        <v>6</v>
      </c>
      <c r="K2148" t="str">
        <f t="shared" si="720"/>
        <v>52</v>
      </c>
      <c r="L2148" t="str">
        <f t="shared" si="721"/>
        <v/>
      </c>
      <c r="M2148" s="6" t="str">
        <f t="shared" si="722"/>
        <v/>
      </c>
      <c r="N2148" t="s">
        <v>178</v>
      </c>
      <c r="O2148">
        <v>8</v>
      </c>
      <c r="P2148" t="s">
        <v>424</v>
      </c>
      <c r="Q2148" t="s">
        <v>277</v>
      </c>
      <c r="R2148" t="s">
        <v>201</v>
      </c>
      <c r="S2148" t="s">
        <v>92</v>
      </c>
      <c r="Y2148" t="str">
        <f t="shared" si="706"/>
        <v/>
      </c>
      <c r="Z2148" t="str">
        <f t="shared" si="707"/>
        <v/>
      </c>
      <c r="AC2148" t="str">
        <f t="shared" si="703"/>
        <v>Zone_Entry_Exit</v>
      </c>
      <c r="AD2148" t="str">
        <f t="shared" si="704"/>
        <v>Zone_Exit</v>
      </c>
      <c r="AE2148" t="str">
        <f t="shared" si="705"/>
        <v>ZoneExit-Clear</v>
      </c>
      <c r="AF2148" t="str">
        <f t="shared" si="708"/>
        <v>Offensive</v>
      </c>
      <c r="AG2148">
        <f t="shared" si="714"/>
        <v>18981</v>
      </c>
      <c r="AH2148" t="str">
        <f t="shared" si="715"/>
        <v>Nelson</v>
      </c>
      <c r="AI2148" t="str">
        <f t="shared" si="716"/>
        <v>Velodrome</v>
      </c>
      <c r="AJ2148" s="18">
        <f t="shared" si="709"/>
        <v>0</v>
      </c>
      <c r="AP2148" s="18">
        <f t="shared" si="710"/>
        <v>0</v>
      </c>
      <c r="AQ2148">
        <f t="shared" si="711"/>
        <v>2160</v>
      </c>
      <c r="AR2148" s="23">
        <f t="shared" si="712"/>
        <v>2828</v>
      </c>
      <c r="AS2148">
        <f t="shared" si="717"/>
        <v>2823</v>
      </c>
      <c r="AT2148" s="21">
        <f t="shared" si="718"/>
        <v>2828</v>
      </c>
      <c r="AU2148" s="21"/>
      <c r="AV2148" s="21"/>
      <c r="AW2148" s="21"/>
    </row>
    <row r="2149" spans="1:49" x14ac:dyDescent="0.2">
      <c r="A2149">
        <v>1138</v>
      </c>
      <c r="E2149">
        <f t="shared" si="713"/>
        <v>3</v>
      </c>
      <c r="F2149" s="5" t="s">
        <v>541</v>
      </c>
      <c r="G2149" s="5" t="s">
        <v>524</v>
      </c>
      <c r="J2149" t="str">
        <f t="shared" si="719"/>
        <v>6</v>
      </c>
      <c r="K2149" t="str">
        <f t="shared" si="720"/>
        <v>52</v>
      </c>
      <c r="L2149" t="str">
        <f t="shared" si="721"/>
        <v/>
      </c>
      <c r="M2149" s="6" t="str">
        <f t="shared" si="722"/>
        <v/>
      </c>
      <c r="N2149" t="s">
        <v>178</v>
      </c>
      <c r="O2149">
        <v>8</v>
      </c>
      <c r="P2149" t="s">
        <v>424</v>
      </c>
      <c r="Q2149" t="s">
        <v>277</v>
      </c>
      <c r="R2149" t="s">
        <v>191</v>
      </c>
      <c r="S2149" t="s">
        <v>432</v>
      </c>
      <c r="Y2149" t="str">
        <f t="shared" si="706"/>
        <v/>
      </c>
      <c r="Z2149" t="str">
        <f t="shared" si="707"/>
        <v/>
      </c>
      <c r="AC2149" t="str">
        <f t="shared" si="703"/>
        <v>Zone_Entry_Exit</v>
      </c>
      <c r="AD2149" t="str">
        <f t="shared" si="704"/>
        <v>Zone_Entry</v>
      </c>
      <c r="AE2149" t="str">
        <f t="shared" si="705"/>
        <v>ZoneEntry-FromExitClear</v>
      </c>
      <c r="AF2149" t="str">
        <f t="shared" si="708"/>
        <v>Offensive</v>
      </c>
      <c r="AG2149">
        <f t="shared" si="714"/>
        <v>18981</v>
      </c>
      <c r="AH2149" t="str">
        <f t="shared" si="715"/>
        <v>Nelson</v>
      </c>
      <c r="AI2149" t="str">
        <f t="shared" si="716"/>
        <v>Velodrome</v>
      </c>
      <c r="AJ2149" s="18">
        <f t="shared" si="709"/>
        <v>0</v>
      </c>
      <c r="AP2149" s="18">
        <f t="shared" si="710"/>
        <v>0</v>
      </c>
      <c r="AQ2149">
        <f t="shared" si="711"/>
        <v>2160</v>
      </c>
      <c r="AR2149" s="23">
        <f t="shared" si="712"/>
        <v>2828</v>
      </c>
      <c r="AS2149">
        <f t="shared" si="717"/>
        <v>2823</v>
      </c>
      <c r="AT2149" s="21">
        <f t="shared" si="718"/>
        <v>2828</v>
      </c>
      <c r="AU2149" s="21"/>
      <c r="AV2149" s="21"/>
      <c r="AW2149" s="21"/>
    </row>
    <row r="2150" spans="1:49" x14ac:dyDescent="0.2">
      <c r="A2150">
        <v>1139</v>
      </c>
      <c r="E2150">
        <f t="shared" si="713"/>
        <v>3</v>
      </c>
      <c r="F2150" s="5" t="s">
        <v>541</v>
      </c>
      <c r="G2150" s="5" t="s">
        <v>518</v>
      </c>
      <c r="J2150" t="str">
        <f t="shared" si="719"/>
        <v>6</v>
      </c>
      <c r="K2150" t="str">
        <f t="shared" si="720"/>
        <v>46</v>
      </c>
      <c r="L2150" t="str">
        <f t="shared" si="721"/>
        <v/>
      </c>
      <c r="M2150" s="6" t="str">
        <f t="shared" si="722"/>
        <v/>
      </c>
      <c r="N2150" t="s">
        <v>178</v>
      </c>
      <c r="O2150">
        <v>8</v>
      </c>
      <c r="P2150" t="s">
        <v>424</v>
      </c>
      <c r="Q2150" t="s">
        <v>10</v>
      </c>
      <c r="R2150" t="s">
        <v>190</v>
      </c>
      <c r="S2150" t="s">
        <v>411</v>
      </c>
      <c r="Y2150" t="str">
        <f t="shared" si="706"/>
        <v/>
      </c>
      <c r="Z2150" t="str">
        <f t="shared" si="707"/>
        <v/>
      </c>
      <c r="AC2150" t="str">
        <f t="shared" si="703"/>
        <v>Turnover</v>
      </c>
      <c r="AD2150" t="str">
        <f t="shared" si="704"/>
        <v>Turnover_Giveaway</v>
      </c>
      <c r="AE2150" t="str">
        <f t="shared" si="705"/>
        <v>Giveaway-ZoneClear/Dump</v>
      </c>
      <c r="AF2150" t="str">
        <f t="shared" si="708"/>
        <v>Offensive</v>
      </c>
      <c r="AG2150">
        <f t="shared" si="714"/>
        <v>18981</v>
      </c>
      <c r="AH2150" t="str">
        <f t="shared" si="715"/>
        <v>Nelson</v>
      </c>
      <c r="AI2150" t="str">
        <f t="shared" si="716"/>
        <v>Velodrome</v>
      </c>
      <c r="AJ2150" s="18">
        <f t="shared" si="709"/>
        <v>0</v>
      </c>
      <c r="AP2150" s="18">
        <f t="shared" si="710"/>
        <v>0</v>
      </c>
      <c r="AQ2150">
        <f t="shared" si="711"/>
        <v>2160</v>
      </c>
      <c r="AR2150" s="23">
        <f t="shared" si="712"/>
        <v>2834</v>
      </c>
      <c r="AS2150">
        <f t="shared" si="717"/>
        <v>2829</v>
      </c>
      <c r="AT2150" s="21">
        <f t="shared" si="718"/>
        <v>2834</v>
      </c>
      <c r="AU2150" s="21"/>
      <c r="AV2150" s="21"/>
      <c r="AW2150" s="21"/>
    </row>
    <row r="2151" spans="1:49" x14ac:dyDescent="0.2">
      <c r="A2151">
        <v>1140</v>
      </c>
      <c r="E2151">
        <f t="shared" si="713"/>
        <v>3</v>
      </c>
      <c r="F2151" s="5" t="s">
        <v>541</v>
      </c>
      <c r="G2151" s="5" t="s">
        <v>518</v>
      </c>
      <c r="J2151" t="str">
        <f t="shared" si="719"/>
        <v>6</v>
      </c>
      <c r="K2151" t="str">
        <f t="shared" si="720"/>
        <v>46</v>
      </c>
      <c r="L2151" t="str">
        <f t="shared" si="721"/>
        <v/>
      </c>
      <c r="M2151" s="6" t="str">
        <f t="shared" si="722"/>
        <v/>
      </c>
      <c r="N2151" t="s">
        <v>179</v>
      </c>
      <c r="O2151">
        <v>39</v>
      </c>
      <c r="P2151" t="s">
        <v>424</v>
      </c>
      <c r="Q2151" t="s">
        <v>8</v>
      </c>
      <c r="R2151" t="s">
        <v>199</v>
      </c>
      <c r="S2151" t="s">
        <v>572</v>
      </c>
      <c r="Y2151" t="str">
        <f t="shared" si="706"/>
        <v/>
      </c>
      <c r="Z2151" t="str">
        <f t="shared" si="707"/>
        <v/>
      </c>
      <c r="AC2151" t="str">
        <f t="shared" si="703"/>
        <v>Pass</v>
      </c>
      <c r="AD2151" t="str">
        <f t="shared" si="704"/>
        <v>Pass_Missed</v>
      </c>
      <c r="AE2151" t="str">
        <f t="shared" si="705"/>
        <v>Pass-ReceiverMissed</v>
      </c>
      <c r="AF2151" t="str">
        <f t="shared" si="708"/>
        <v>Offensive</v>
      </c>
      <c r="AG2151">
        <f t="shared" si="714"/>
        <v>18981</v>
      </c>
      <c r="AH2151" t="str">
        <f t="shared" si="715"/>
        <v>Nelson</v>
      </c>
      <c r="AI2151" t="str">
        <f t="shared" si="716"/>
        <v>Velodrome</v>
      </c>
      <c r="AJ2151" s="18">
        <f t="shared" si="709"/>
        <v>0</v>
      </c>
      <c r="AP2151" s="18">
        <f t="shared" si="710"/>
        <v>0</v>
      </c>
      <c r="AQ2151">
        <f t="shared" si="711"/>
        <v>2160</v>
      </c>
      <c r="AR2151" s="23">
        <f t="shared" si="712"/>
        <v>2834</v>
      </c>
      <c r="AS2151">
        <f t="shared" si="717"/>
        <v>2829</v>
      </c>
      <c r="AT2151" s="21">
        <f t="shared" si="718"/>
        <v>2834</v>
      </c>
      <c r="AU2151" s="21"/>
      <c r="AV2151" s="21"/>
      <c r="AW2151" s="21"/>
    </row>
    <row r="2152" spans="1:49" x14ac:dyDescent="0.2">
      <c r="A2152">
        <v>1140</v>
      </c>
      <c r="E2152">
        <f t="shared" si="713"/>
        <v>3</v>
      </c>
      <c r="J2152" t="str">
        <f t="shared" si="719"/>
        <v>6</v>
      </c>
      <c r="K2152" t="str">
        <f t="shared" si="720"/>
        <v>46</v>
      </c>
      <c r="L2152" t="str">
        <f t="shared" si="721"/>
        <v/>
      </c>
      <c r="M2152" s="6" t="str">
        <f t="shared" si="722"/>
        <v/>
      </c>
      <c r="N2152" t="str">
        <f t="shared" si="723"/>
        <v>Away</v>
      </c>
      <c r="O2152">
        <v>91</v>
      </c>
      <c r="P2152" t="s">
        <v>424</v>
      </c>
      <c r="Y2152" t="str">
        <f t="shared" si="706"/>
        <v/>
      </c>
      <c r="Z2152" t="str">
        <f t="shared" si="707"/>
        <v/>
      </c>
      <c r="AC2152" t="str">
        <f t="shared" si="703"/>
        <v>Pass</v>
      </c>
      <c r="AD2152" t="str">
        <f t="shared" si="704"/>
        <v>Pass_Missed</v>
      </c>
      <c r="AE2152" t="str">
        <f t="shared" si="705"/>
        <v>Pass-ReceiverMissed</v>
      </c>
      <c r="AF2152" t="str">
        <f t="shared" si="708"/>
        <v>Offensive</v>
      </c>
      <c r="AG2152">
        <f t="shared" si="714"/>
        <v>18981</v>
      </c>
      <c r="AH2152" t="str">
        <f t="shared" si="715"/>
        <v>Nelson</v>
      </c>
      <c r="AI2152" t="str">
        <f t="shared" si="716"/>
        <v>Velodrome</v>
      </c>
      <c r="AJ2152" s="18">
        <f t="shared" si="709"/>
        <v>0</v>
      </c>
      <c r="AP2152" s="18">
        <f t="shared" si="710"/>
        <v>0</v>
      </c>
      <c r="AQ2152">
        <f t="shared" si="711"/>
        <v>2160</v>
      </c>
      <c r="AR2152" s="23">
        <f t="shared" si="712"/>
        <v>2834</v>
      </c>
      <c r="AS2152">
        <f t="shared" si="717"/>
        <v>2829</v>
      </c>
      <c r="AT2152" s="21">
        <f t="shared" si="718"/>
        <v>2834</v>
      </c>
      <c r="AU2152" s="21"/>
      <c r="AV2152" s="21"/>
      <c r="AW2152" s="21"/>
    </row>
    <row r="2153" spans="1:49" x14ac:dyDescent="0.2">
      <c r="A2153">
        <v>1141</v>
      </c>
      <c r="E2153">
        <f t="shared" si="713"/>
        <v>3</v>
      </c>
      <c r="F2153" s="5" t="s">
        <v>541</v>
      </c>
      <c r="G2153" s="5" t="s">
        <v>512</v>
      </c>
      <c r="H2153" s="5" t="s">
        <v>541</v>
      </c>
      <c r="I2153" s="7" t="s">
        <v>511</v>
      </c>
      <c r="J2153" t="str">
        <f t="shared" si="719"/>
        <v>6</v>
      </c>
      <c r="K2153" t="str">
        <f t="shared" si="720"/>
        <v>40</v>
      </c>
      <c r="L2153" t="str">
        <f t="shared" si="721"/>
        <v>6</v>
      </c>
      <c r="M2153" s="6" t="str">
        <f t="shared" si="722"/>
        <v>39</v>
      </c>
      <c r="N2153" t="s">
        <v>179</v>
      </c>
      <c r="O2153">
        <v>84</v>
      </c>
      <c r="P2153" t="s">
        <v>424</v>
      </c>
      <c r="Q2153" t="s">
        <v>277</v>
      </c>
      <c r="R2153" t="s">
        <v>201</v>
      </c>
      <c r="S2153" t="s">
        <v>90</v>
      </c>
      <c r="Y2153" t="str">
        <f t="shared" si="706"/>
        <v/>
      </c>
      <c r="Z2153" t="str">
        <f t="shared" si="707"/>
        <v/>
      </c>
      <c r="AC2153" t="str">
        <f t="shared" si="703"/>
        <v>Zone_Entry_Exit</v>
      </c>
      <c r="AD2153" t="str">
        <f t="shared" si="704"/>
        <v>Zone_Exit</v>
      </c>
      <c r="AE2153" t="str">
        <f t="shared" si="705"/>
        <v>ZoneExit-Rush</v>
      </c>
      <c r="AF2153" t="str">
        <f t="shared" si="708"/>
        <v>Offensive</v>
      </c>
      <c r="AG2153">
        <f t="shared" si="714"/>
        <v>18981</v>
      </c>
      <c r="AH2153" t="str">
        <f t="shared" si="715"/>
        <v>Nelson</v>
      </c>
      <c r="AI2153" t="str">
        <f t="shared" si="716"/>
        <v>Velodrome</v>
      </c>
      <c r="AJ2153" s="18">
        <f t="shared" si="709"/>
        <v>1</v>
      </c>
      <c r="AP2153" s="18">
        <f t="shared" si="710"/>
        <v>0</v>
      </c>
      <c r="AQ2153">
        <f t="shared" si="711"/>
        <v>2160</v>
      </c>
      <c r="AR2153" s="23">
        <f t="shared" si="712"/>
        <v>2840</v>
      </c>
      <c r="AS2153">
        <f t="shared" si="717"/>
        <v>2835</v>
      </c>
      <c r="AT2153" s="21">
        <f t="shared" si="718"/>
        <v>2841</v>
      </c>
      <c r="AU2153" s="21"/>
      <c r="AV2153" s="21"/>
      <c r="AW2153" s="21"/>
    </row>
    <row r="2154" spans="1:49" x14ac:dyDescent="0.2">
      <c r="A2154">
        <v>1142</v>
      </c>
      <c r="E2154">
        <f t="shared" si="713"/>
        <v>3</v>
      </c>
      <c r="F2154" s="5" t="s">
        <v>541</v>
      </c>
      <c r="G2154" s="5" t="s">
        <v>511</v>
      </c>
      <c r="J2154" t="str">
        <f t="shared" si="719"/>
        <v>6</v>
      </c>
      <c r="K2154" t="str">
        <f t="shared" si="720"/>
        <v>39</v>
      </c>
      <c r="L2154" t="str">
        <f t="shared" si="721"/>
        <v/>
      </c>
      <c r="M2154" s="6" t="str">
        <f t="shared" si="722"/>
        <v/>
      </c>
      <c r="N2154" t="s">
        <v>179</v>
      </c>
      <c r="O2154">
        <v>84</v>
      </c>
      <c r="P2154" t="s">
        <v>424</v>
      </c>
      <c r="Q2154" t="s">
        <v>8</v>
      </c>
      <c r="R2154" t="s">
        <v>199</v>
      </c>
      <c r="S2154" t="s">
        <v>70</v>
      </c>
      <c r="Y2154" t="str">
        <f t="shared" si="706"/>
        <v/>
      </c>
      <c r="Z2154" t="str">
        <f t="shared" si="707"/>
        <v/>
      </c>
      <c r="AC2154" t="str">
        <f t="shared" si="703"/>
        <v>Pass</v>
      </c>
      <c r="AD2154" t="str">
        <f t="shared" si="704"/>
        <v>Pass_Missed</v>
      </c>
      <c r="AE2154" t="str">
        <f t="shared" si="705"/>
        <v>Pass-Forehand</v>
      </c>
      <c r="AF2154" t="str">
        <f t="shared" si="708"/>
        <v>Offensive</v>
      </c>
      <c r="AG2154">
        <f t="shared" si="714"/>
        <v>18981</v>
      </c>
      <c r="AH2154" t="str">
        <f t="shared" si="715"/>
        <v>Nelson</v>
      </c>
      <c r="AI2154" t="str">
        <f t="shared" si="716"/>
        <v>Velodrome</v>
      </c>
      <c r="AJ2154" s="18">
        <f t="shared" si="709"/>
        <v>0</v>
      </c>
      <c r="AP2154" s="18">
        <f t="shared" si="710"/>
        <v>0</v>
      </c>
      <c r="AQ2154">
        <f t="shared" si="711"/>
        <v>2160</v>
      </c>
      <c r="AR2154" s="23">
        <f t="shared" si="712"/>
        <v>2841</v>
      </c>
      <c r="AS2154">
        <f t="shared" si="717"/>
        <v>2836</v>
      </c>
      <c r="AT2154" s="21">
        <f t="shared" si="718"/>
        <v>2841</v>
      </c>
      <c r="AU2154" s="21"/>
      <c r="AV2154" s="21"/>
      <c r="AW2154" s="21"/>
    </row>
    <row r="2155" spans="1:49" x14ac:dyDescent="0.2">
      <c r="A2155">
        <v>1142</v>
      </c>
      <c r="E2155">
        <f t="shared" si="713"/>
        <v>3</v>
      </c>
      <c r="J2155" t="str">
        <f t="shared" si="719"/>
        <v>6</v>
      </c>
      <c r="K2155" t="str">
        <f t="shared" si="720"/>
        <v>39</v>
      </c>
      <c r="L2155" t="str">
        <f t="shared" si="721"/>
        <v/>
      </c>
      <c r="M2155" s="6" t="str">
        <f t="shared" si="722"/>
        <v/>
      </c>
      <c r="N2155" t="str">
        <f t="shared" si="723"/>
        <v>Away</v>
      </c>
      <c r="O2155">
        <v>42</v>
      </c>
      <c r="P2155" t="s">
        <v>424</v>
      </c>
      <c r="Y2155" t="str">
        <f t="shared" si="706"/>
        <v/>
      </c>
      <c r="Z2155" t="str">
        <f t="shared" si="707"/>
        <v/>
      </c>
      <c r="AC2155" t="str">
        <f t="shared" si="703"/>
        <v>Pass</v>
      </c>
      <c r="AD2155" t="str">
        <f t="shared" si="704"/>
        <v>Pass_Missed</v>
      </c>
      <c r="AE2155" t="str">
        <f t="shared" si="705"/>
        <v>Pass-Forehand</v>
      </c>
      <c r="AF2155" t="str">
        <f t="shared" si="708"/>
        <v>Offensive</v>
      </c>
      <c r="AG2155">
        <f t="shared" si="714"/>
        <v>18981</v>
      </c>
      <c r="AH2155" t="str">
        <f t="shared" si="715"/>
        <v>Nelson</v>
      </c>
      <c r="AI2155" t="str">
        <f t="shared" si="716"/>
        <v>Velodrome</v>
      </c>
      <c r="AJ2155" s="18">
        <f t="shared" si="709"/>
        <v>0</v>
      </c>
      <c r="AP2155" s="18">
        <f t="shared" si="710"/>
        <v>0</v>
      </c>
      <c r="AQ2155">
        <f t="shared" si="711"/>
        <v>2160</v>
      </c>
      <c r="AR2155" s="23">
        <f t="shared" si="712"/>
        <v>2841</v>
      </c>
      <c r="AS2155">
        <f t="shared" si="717"/>
        <v>2836</v>
      </c>
      <c r="AT2155" s="21">
        <f t="shared" si="718"/>
        <v>2841</v>
      </c>
      <c r="AU2155" s="21"/>
      <c r="AV2155" s="21"/>
      <c r="AW2155" s="21"/>
    </row>
    <row r="2156" spans="1:49" x14ac:dyDescent="0.2">
      <c r="A2156">
        <v>1142</v>
      </c>
      <c r="E2156">
        <f t="shared" si="713"/>
        <v>3</v>
      </c>
      <c r="J2156" t="str">
        <f t="shared" si="719"/>
        <v>6</v>
      </c>
      <c r="K2156" t="str">
        <f t="shared" si="720"/>
        <v>39</v>
      </c>
      <c r="L2156" t="str">
        <f t="shared" si="721"/>
        <v/>
      </c>
      <c r="M2156" s="6" t="str">
        <f t="shared" si="722"/>
        <v/>
      </c>
      <c r="N2156" t="s">
        <v>179</v>
      </c>
      <c r="O2156">
        <v>16</v>
      </c>
      <c r="P2156" t="s">
        <v>425</v>
      </c>
      <c r="Y2156" t="str">
        <f t="shared" si="706"/>
        <v/>
      </c>
      <c r="Z2156" t="str">
        <f t="shared" si="707"/>
        <v/>
      </c>
      <c r="AC2156" t="str">
        <f t="shared" si="703"/>
        <v>Pass</v>
      </c>
      <c r="AD2156" t="str">
        <f t="shared" si="704"/>
        <v>Pass_Missed</v>
      </c>
      <c r="AE2156" t="str">
        <f t="shared" si="705"/>
        <v>Pass-Forehand</v>
      </c>
      <c r="AF2156" t="str">
        <f t="shared" si="708"/>
        <v>Defensive</v>
      </c>
      <c r="AG2156">
        <f t="shared" si="714"/>
        <v>18981</v>
      </c>
      <c r="AH2156" t="str">
        <f t="shared" si="715"/>
        <v>Nelson</v>
      </c>
      <c r="AI2156" t="str">
        <f t="shared" si="716"/>
        <v>Velodrome</v>
      </c>
      <c r="AJ2156" s="18">
        <f t="shared" si="709"/>
        <v>0</v>
      </c>
      <c r="AP2156" s="18">
        <f t="shared" si="710"/>
        <v>0</v>
      </c>
      <c r="AQ2156">
        <f t="shared" si="711"/>
        <v>2160</v>
      </c>
      <c r="AR2156" s="23">
        <f t="shared" si="712"/>
        <v>2841</v>
      </c>
      <c r="AS2156">
        <f t="shared" si="717"/>
        <v>2836</v>
      </c>
      <c r="AT2156" s="21">
        <f t="shared" si="718"/>
        <v>2841</v>
      </c>
      <c r="AU2156" s="21"/>
      <c r="AV2156" s="21"/>
      <c r="AW2156" s="21"/>
    </row>
    <row r="2157" spans="1:49" x14ac:dyDescent="0.2">
      <c r="A2157">
        <v>1143</v>
      </c>
      <c r="E2157">
        <f t="shared" si="713"/>
        <v>3</v>
      </c>
      <c r="F2157" s="5" t="s">
        <v>541</v>
      </c>
      <c r="G2157" s="5" t="s">
        <v>511</v>
      </c>
      <c r="J2157" t="str">
        <f t="shared" si="719"/>
        <v>6</v>
      </c>
      <c r="K2157" t="str">
        <f t="shared" si="720"/>
        <v>39</v>
      </c>
      <c r="L2157" t="str">
        <f t="shared" si="721"/>
        <v/>
      </c>
      <c r="M2157" s="6" t="str">
        <f t="shared" si="722"/>
        <v/>
      </c>
      <c r="N2157" t="s">
        <v>179</v>
      </c>
      <c r="O2157">
        <v>84</v>
      </c>
      <c r="P2157" t="s">
        <v>424</v>
      </c>
      <c r="Q2157" t="s">
        <v>277</v>
      </c>
      <c r="R2157" t="s">
        <v>191</v>
      </c>
      <c r="S2157" t="s">
        <v>447</v>
      </c>
      <c r="Y2157" t="str">
        <f t="shared" si="706"/>
        <v/>
      </c>
      <c r="Z2157" t="str">
        <f t="shared" si="707"/>
        <v/>
      </c>
      <c r="AC2157" t="str">
        <f t="shared" si="703"/>
        <v>Zone_Entry_Exit</v>
      </c>
      <c r="AD2157" t="str">
        <f t="shared" si="704"/>
        <v>Zone_Entry</v>
      </c>
      <c r="AE2157" t="str">
        <f t="shared" si="705"/>
        <v>ZoneEntry-PassMiss/Misplay</v>
      </c>
      <c r="AF2157" t="str">
        <f t="shared" si="708"/>
        <v>Offensive</v>
      </c>
      <c r="AG2157">
        <f t="shared" si="714"/>
        <v>18981</v>
      </c>
      <c r="AH2157" t="str">
        <f t="shared" si="715"/>
        <v>Nelson</v>
      </c>
      <c r="AI2157" t="str">
        <f t="shared" si="716"/>
        <v>Velodrome</v>
      </c>
      <c r="AJ2157" s="18">
        <f t="shared" si="709"/>
        <v>0</v>
      </c>
      <c r="AP2157" s="18">
        <f t="shared" si="710"/>
        <v>0</v>
      </c>
      <c r="AQ2157">
        <f t="shared" si="711"/>
        <v>2160</v>
      </c>
      <c r="AR2157" s="23">
        <f t="shared" si="712"/>
        <v>2841</v>
      </c>
      <c r="AS2157">
        <f t="shared" si="717"/>
        <v>2836</v>
      </c>
      <c r="AT2157" s="21">
        <f t="shared" si="718"/>
        <v>2841</v>
      </c>
      <c r="AU2157" s="21"/>
      <c r="AV2157" s="21"/>
      <c r="AW2157" s="21"/>
    </row>
    <row r="2158" spans="1:49" x14ac:dyDescent="0.2">
      <c r="A2158">
        <v>1143</v>
      </c>
      <c r="E2158">
        <f t="shared" si="713"/>
        <v>3</v>
      </c>
      <c r="J2158" t="str">
        <f t="shared" si="719"/>
        <v>6</v>
      </c>
      <c r="K2158" t="str">
        <f t="shared" si="720"/>
        <v>39</v>
      </c>
      <c r="L2158" t="str">
        <f t="shared" si="721"/>
        <v/>
      </c>
      <c r="M2158" s="6" t="str">
        <f t="shared" si="722"/>
        <v/>
      </c>
      <c r="N2158" t="str">
        <f t="shared" si="723"/>
        <v>Away</v>
      </c>
      <c r="O2158">
        <v>42</v>
      </c>
      <c r="P2158" t="s">
        <v>424</v>
      </c>
      <c r="Y2158" t="str">
        <f t="shared" si="706"/>
        <v/>
      </c>
      <c r="Z2158" t="str">
        <f t="shared" si="707"/>
        <v/>
      </c>
      <c r="AC2158" t="str">
        <f t="shared" si="703"/>
        <v>Zone_Entry_Exit</v>
      </c>
      <c r="AD2158" t="str">
        <f t="shared" si="704"/>
        <v>Zone_Entry</v>
      </c>
      <c r="AE2158" t="str">
        <f t="shared" si="705"/>
        <v>ZoneEntry-PassMiss/Misplay</v>
      </c>
      <c r="AF2158" t="str">
        <f t="shared" si="708"/>
        <v>Offensive</v>
      </c>
      <c r="AG2158">
        <f t="shared" si="714"/>
        <v>18981</v>
      </c>
      <c r="AH2158" t="str">
        <f t="shared" si="715"/>
        <v>Nelson</v>
      </c>
      <c r="AI2158" t="str">
        <f t="shared" si="716"/>
        <v>Velodrome</v>
      </c>
      <c r="AJ2158" s="18">
        <f t="shared" si="709"/>
        <v>0</v>
      </c>
      <c r="AP2158" s="18">
        <f t="shared" si="710"/>
        <v>0</v>
      </c>
      <c r="AQ2158">
        <f t="shared" si="711"/>
        <v>2160</v>
      </c>
      <c r="AR2158" s="23">
        <f t="shared" si="712"/>
        <v>2841</v>
      </c>
      <c r="AS2158">
        <f t="shared" si="717"/>
        <v>2836</v>
      </c>
      <c r="AT2158" s="21">
        <f t="shared" si="718"/>
        <v>2841</v>
      </c>
      <c r="AU2158" s="21"/>
      <c r="AV2158" s="21"/>
      <c r="AW2158" s="21"/>
    </row>
    <row r="2159" spans="1:49" x14ac:dyDescent="0.2">
      <c r="A2159">
        <v>1143</v>
      </c>
      <c r="E2159">
        <f t="shared" si="713"/>
        <v>3</v>
      </c>
      <c r="J2159" t="str">
        <f t="shared" si="719"/>
        <v>6</v>
      </c>
      <c r="K2159" t="str">
        <f t="shared" si="720"/>
        <v>39</v>
      </c>
      <c r="L2159" t="str">
        <f t="shared" si="721"/>
        <v/>
      </c>
      <c r="M2159" s="6" t="str">
        <f t="shared" si="722"/>
        <v/>
      </c>
      <c r="N2159" t="str">
        <f t="shared" si="723"/>
        <v>Away</v>
      </c>
      <c r="O2159">
        <v>16</v>
      </c>
      <c r="P2159" t="s">
        <v>425</v>
      </c>
      <c r="Y2159" t="str">
        <f t="shared" si="706"/>
        <v/>
      </c>
      <c r="Z2159" t="str">
        <f t="shared" si="707"/>
        <v/>
      </c>
      <c r="AC2159" t="str">
        <f t="shared" ref="AC2159:AC2222" si="724">IF(Q2159&lt;&gt;"",Q2159,IF($A2159=$A2158,AC2158,""))</f>
        <v>Zone_Entry_Exit</v>
      </c>
      <c r="AD2159" t="str">
        <f t="shared" ref="AD2159:AD2222" si="725">IF(R2159&lt;&gt;"",R2159,IF($A2159=$A2158,AD2158,""))</f>
        <v>Zone_Entry</v>
      </c>
      <c r="AE2159" t="str">
        <f t="shared" ref="AE2159:AE2222" si="726">IF(S2159&lt;&gt;"",S2159,IF($A2159=$A2158,AE2158,""))</f>
        <v>ZoneEntry-PassMiss/Misplay</v>
      </c>
      <c r="AF2159" t="str">
        <f t="shared" si="708"/>
        <v>Defensive</v>
      </c>
      <c r="AG2159">
        <f t="shared" si="714"/>
        <v>18981</v>
      </c>
      <c r="AH2159" t="str">
        <f t="shared" si="715"/>
        <v>Nelson</v>
      </c>
      <c r="AI2159" t="str">
        <f t="shared" si="716"/>
        <v>Velodrome</v>
      </c>
      <c r="AJ2159" s="18">
        <f t="shared" si="709"/>
        <v>0</v>
      </c>
      <c r="AP2159" s="18">
        <f t="shared" si="710"/>
        <v>0</v>
      </c>
      <c r="AQ2159">
        <f t="shared" si="711"/>
        <v>2160</v>
      </c>
      <c r="AR2159" s="23">
        <f t="shared" si="712"/>
        <v>2841</v>
      </c>
      <c r="AS2159">
        <f t="shared" si="717"/>
        <v>2836</v>
      </c>
      <c r="AT2159" s="21">
        <f t="shared" si="718"/>
        <v>2841</v>
      </c>
      <c r="AU2159" s="21"/>
      <c r="AV2159" s="21"/>
      <c r="AW2159" s="21"/>
    </row>
    <row r="2160" spans="1:49" x14ac:dyDescent="0.2">
      <c r="A2160">
        <v>1144</v>
      </c>
      <c r="E2160">
        <f t="shared" si="713"/>
        <v>3</v>
      </c>
      <c r="F2160" s="5" t="s">
        <v>541</v>
      </c>
      <c r="G2160" s="5" t="s">
        <v>506</v>
      </c>
      <c r="H2160" s="5" t="s">
        <v>541</v>
      </c>
      <c r="I2160" s="7" t="s">
        <v>504</v>
      </c>
      <c r="J2160" t="str">
        <f t="shared" si="719"/>
        <v>6</v>
      </c>
      <c r="K2160" t="str">
        <f t="shared" si="720"/>
        <v>34</v>
      </c>
      <c r="L2160" t="str">
        <f t="shared" si="721"/>
        <v>6</v>
      </c>
      <c r="M2160" s="6" t="str">
        <f t="shared" si="722"/>
        <v>32</v>
      </c>
      <c r="N2160" t="s">
        <v>179</v>
      </c>
      <c r="O2160">
        <v>42</v>
      </c>
      <c r="P2160" t="s">
        <v>424</v>
      </c>
      <c r="Q2160" t="s">
        <v>15</v>
      </c>
      <c r="Y2160" t="str">
        <f t="shared" si="706"/>
        <v/>
      </c>
      <c r="Z2160" t="str">
        <f t="shared" si="707"/>
        <v/>
      </c>
      <c r="AC2160" t="str">
        <f t="shared" si="724"/>
        <v>Possession</v>
      </c>
      <c r="AD2160" t="str">
        <f t="shared" si="725"/>
        <v/>
      </c>
      <c r="AE2160" t="str">
        <f t="shared" si="726"/>
        <v/>
      </c>
      <c r="AF2160" t="str">
        <f t="shared" si="708"/>
        <v>Offensive</v>
      </c>
      <c r="AG2160">
        <f t="shared" si="714"/>
        <v>18981</v>
      </c>
      <c r="AH2160" t="str">
        <f t="shared" si="715"/>
        <v>Nelson</v>
      </c>
      <c r="AI2160" t="str">
        <f t="shared" si="716"/>
        <v>Velodrome</v>
      </c>
      <c r="AJ2160" s="18">
        <f t="shared" si="709"/>
        <v>2</v>
      </c>
      <c r="AP2160" s="18">
        <f t="shared" si="710"/>
        <v>0</v>
      </c>
      <c r="AQ2160">
        <f t="shared" si="711"/>
        <v>2160</v>
      </c>
      <c r="AR2160" s="23">
        <f t="shared" si="712"/>
        <v>2846</v>
      </c>
      <c r="AS2160">
        <f t="shared" si="717"/>
        <v>2841</v>
      </c>
      <c r="AT2160" s="21">
        <f t="shared" si="718"/>
        <v>2848</v>
      </c>
      <c r="AU2160" s="21"/>
      <c r="AV2160" s="21"/>
      <c r="AW2160" s="21"/>
    </row>
    <row r="2161" spans="1:49" x14ac:dyDescent="0.2">
      <c r="A2161">
        <v>1144</v>
      </c>
      <c r="E2161">
        <f t="shared" si="713"/>
        <v>3</v>
      </c>
      <c r="J2161" t="str">
        <f t="shared" si="719"/>
        <v>6</v>
      </c>
      <c r="K2161" t="str">
        <f t="shared" si="720"/>
        <v>34</v>
      </c>
      <c r="L2161" t="str">
        <f t="shared" si="721"/>
        <v>6</v>
      </c>
      <c r="M2161" s="6" t="str">
        <f t="shared" si="722"/>
        <v>32</v>
      </c>
      <c r="N2161" t="str">
        <f t="shared" si="723"/>
        <v>Away</v>
      </c>
      <c r="O2161">
        <v>80</v>
      </c>
      <c r="P2161" t="s">
        <v>425</v>
      </c>
      <c r="Y2161" t="str">
        <f t="shared" si="706"/>
        <v/>
      </c>
      <c r="Z2161" t="str">
        <f t="shared" si="707"/>
        <v/>
      </c>
      <c r="AC2161" t="str">
        <f t="shared" si="724"/>
        <v>Possession</v>
      </c>
      <c r="AD2161" t="str">
        <f t="shared" si="725"/>
        <v/>
      </c>
      <c r="AE2161" t="str">
        <f t="shared" si="726"/>
        <v/>
      </c>
      <c r="AF2161" t="str">
        <f t="shared" si="708"/>
        <v>Defensive</v>
      </c>
      <c r="AG2161">
        <f t="shared" si="714"/>
        <v>18981</v>
      </c>
      <c r="AH2161" t="str">
        <f t="shared" si="715"/>
        <v>Nelson</v>
      </c>
      <c r="AI2161" t="str">
        <f t="shared" si="716"/>
        <v>Velodrome</v>
      </c>
      <c r="AJ2161" s="18">
        <f t="shared" si="709"/>
        <v>2</v>
      </c>
      <c r="AP2161" s="18">
        <f t="shared" si="710"/>
        <v>0</v>
      </c>
      <c r="AQ2161">
        <f t="shared" si="711"/>
        <v>2160</v>
      </c>
      <c r="AR2161" s="23">
        <f t="shared" si="712"/>
        <v>2846</v>
      </c>
      <c r="AS2161">
        <f t="shared" si="717"/>
        <v>2841</v>
      </c>
      <c r="AT2161" s="21">
        <f t="shared" si="718"/>
        <v>2848</v>
      </c>
      <c r="AU2161" s="21"/>
      <c r="AV2161" s="21"/>
      <c r="AW2161" s="21"/>
    </row>
    <row r="2162" spans="1:49" x14ac:dyDescent="0.2">
      <c r="A2162">
        <v>1145</v>
      </c>
      <c r="E2162">
        <f t="shared" si="713"/>
        <v>3</v>
      </c>
      <c r="F2162" s="5" t="s">
        <v>541</v>
      </c>
      <c r="G2162" s="5" t="s">
        <v>504</v>
      </c>
      <c r="J2162" t="str">
        <f t="shared" si="719"/>
        <v>6</v>
      </c>
      <c r="K2162" t="str">
        <f t="shared" si="720"/>
        <v>32</v>
      </c>
      <c r="L2162" t="str">
        <f t="shared" si="721"/>
        <v/>
      </c>
      <c r="M2162" s="6" t="str">
        <f t="shared" si="722"/>
        <v/>
      </c>
      <c r="N2162" t="s">
        <v>179</v>
      </c>
      <c r="O2162">
        <v>42</v>
      </c>
      <c r="P2162" t="s">
        <v>424</v>
      </c>
      <c r="Q2162" t="s">
        <v>8</v>
      </c>
      <c r="R2162" t="s">
        <v>199</v>
      </c>
      <c r="S2162" t="s">
        <v>70</v>
      </c>
      <c r="Y2162" t="str">
        <f t="shared" si="706"/>
        <v/>
      </c>
      <c r="Z2162" t="str">
        <f t="shared" si="707"/>
        <v/>
      </c>
      <c r="AC2162" t="str">
        <f t="shared" si="724"/>
        <v>Pass</v>
      </c>
      <c r="AD2162" t="str">
        <f t="shared" si="725"/>
        <v>Pass_Missed</v>
      </c>
      <c r="AE2162" t="str">
        <f t="shared" si="726"/>
        <v>Pass-Forehand</v>
      </c>
      <c r="AF2162" t="str">
        <f t="shared" si="708"/>
        <v>Offensive</v>
      </c>
      <c r="AG2162">
        <f t="shared" si="714"/>
        <v>18981</v>
      </c>
      <c r="AH2162" t="str">
        <f t="shared" si="715"/>
        <v>Nelson</v>
      </c>
      <c r="AI2162" t="str">
        <f t="shared" si="716"/>
        <v>Velodrome</v>
      </c>
      <c r="AJ2162" s="18">
        <f t="shared" si="709"/>
        <v>0</v>
      </c>
      <c r="AP2162" s="18">
        <f t="shared" si="710"/>
        <v>0</v>
      </c>
      <c r="AQ2162">
        <f t="shared" si="711"/>
        <v>2160</v>
      </c>
      <c r="AR2162" s="23">
        <f t="shared" si="712"/>
        <v>2848</v>
      </c>
      <c r="AS2162">
        <f t="shared" si="717"/>
        <v>2843</v>
      </c>
      <c r="AT2162" s="21">
        <f t="shared" si="718"/>
        <v>2848</v>
      </c>
      <c r="AU2162" s="21"/>
      <c r="AV2162" s="21"/>
      <c r="AW2162" s="21"/>
    </row>
    <row r="2163" spans="1:49" x14ac:dyDescent="0.2">
      <c r="A2163">
        <v>1145</v>
      </c>
      <c r="E2163">
        <f t="shared" si="713"/>
        <v>3</v>
      </c>
      <c r="J2163" t="str">
        <f t="shared" si="719"/>
        <v>6</v>
      </c>
      <c r="K2163" t="str">
        <f t="shared" si="720"/>
        <v>32</v>
      </c>
      <c r="L2163" t="str">
        <f t="shared" si="721"/>
        <v/>
      </c>
      <c r="M2163" s="6" t="str">
        <f t="shared" si="722"/>
        <v/>
      </c>
      <c r="N2163" t="str">
        <f t="shared" si="723"/>
        <v>Away</v>
      </c>
      <c r="O2163">
        <v>24</v>
      </c>
      <c r="P2163" t="s">
        <v>424</v>
      </c>
      <c r="Y2163" t="str">
        <f t="shared" si="706"/>
        <v/>
      </c>
      <c r="Z2163" t="str">
        <f t="shared" si="707"/>
        <v/>
      </c>
      <c r="AC2163" t="str">
        <f t="shared" si="724"/>
        <v>Pass</v>
      </c>
      <c r="AD2163" t="str">
        <f t="shared" si="725"/>
        <v>Pass_Missed</v>
      </c>
      <c r="AE2163" t="str">
        <f t="shared" si="726"/>
        <v>Pass-Forehand</v>
      </c>
      <c r="AF2163" t="str">
        <f t="shared" si="708"/>
        <v>Offensive</v>
      </c>
      <c r="AG2163">
        <f t="shared" si="714"/>
        <v>18981</v>
      </c>
      <c r="AH2163" t="str">
        <f t="shared" si="715"/>
        <v>Nelson</v>
      </c>
      <c r="AI2163" t="str">
        <f t="shared" si="716"/>
        <v>Velodrome</v>
      </c>
      <c r="AJ2163" s="18">
        <f t="shared" si="709"/>
        <v>0</v>
      </c>
      <c r="AP2163" s="18">
        <f t="shared" si="710"/>
        <v>0</v>
      </c>
      <c r="AQ2163">
        <f t="shared" si="711"/>
        <v>2160</v>
      </c>
      <c r="AR2163" s="23">
        <f t="shared" si="712"/>
        <v>2848</v>
      </c>
      <c r="AS2163">
        <f t="shared" si="717"/>
        <v>2843</v>
      </c>
      <c r="AT2163" s="21">
        <f t="shared" si="718"/>
        <v>2848</v>
      </c>
      <c r="AU2163" s="21"/>
      <c r="AV2163" s="21"/>
      <c r="AW2163" s="21"/>
    </row>
    <row r="2164" spans="1:49" x14ac:dyDescent="0.2">
      <c r="A2164">
        <v>1145</v>
      </c>
      <c r="E2164">
        <f t="shared" si="713"/>
        <v>3</v>
      </c>
      <c r="J2164" t="str">
        <f t="shared" si="719"/>
        <v>6</v>
      </c>
      <c r="K2164" t="str">
        <f t="shared" si="720"/>
        <v>32</v>
      </c>
      <c r="L2164" t="str">
        <f t="shared" si="721"/>
        <v/>
      </c>
      <c r="M2164" s="6" t="str">
        <f t="shared" si="722"/>
        <v/>
      </c>
      <c r="N2164" t="str">
        <f t="shared" si="723"/>
        <v>Away</v>
      </c>
      <c r="O2164">
        <v>79</v>
      </c>
      <c r="P2164" t="s">
        <v>425</v>
      </c>
      <c r="Y2164" t="str">
        <f t="shared" si="706"/>
        <v/>
      </c>
      <c r="Z2164" t="str">
        <f t="shared" si="707"/>
        <v/>
      </c>
      <c r="AC2164" t="str">
        <f t="shared" si="724"/>
        <v>Pass</v>
      </c>
      <c r="AD2164" t="str">
        <f t="shared" si="725"/>
        <v>Pass_Missed</v>
      </c>
      <c r="AE2164" t="str">
        <f t="shared" si="726"/>
        <v>Pass-Forehand</v>
      </c>
      <c r="AF2164" t="str">
        <f t="shared" si="708"/>
        <v>Defensive</v>
      </c>
      <c r="AG2164">
        <f t="shared" si="714"/>
        <v>18981</v>
      </c>
      <c r="AH2164" t="str">
        <f t="shared" si="715"/>
        <v>Nelson</v>
      </c>
      <c r="AI2164" t="str">
        <f t="shared" si="716"/>
        <v>Velodrome</v>
      </c>
      <c r="AJ2164" s="18">
        <f t="shared" si="709"/>
        <v>0</v>
      </c>
      <c r="AP2164" s="18">
        <f t="shared" si="710"/>
        <v>0</v>
      </c>
      <c r="AQ2164">
        <f t="shared" si="711"/>
        <v>2160</v>
      </c>
      <c r="AR2164" s="23">
        <f t="shared" si="712"/>
        <v>2848</v>
      </c>
      <c r="AS2164">
        <f t="shared" si="717"/>
        <v>2843</v>
      </c>
      <c r="AT2164" s="21">
        <f t="shared" si="718"/>
        <v>2848</v>
      </c>
      <c r="AU2164" s="21"/>
      <c r="AV2164" s="21"/>
      <c r="AW2164" s="21"/>
    </row>
    <row r="2165" spans="1:49" x14ac:dyDescent="0.2">
      <c r="A2165">
        <v>1146</v>
      </c>
      <c r="E2165">
        <f t="shared" si="713"/>
        <v>3</v>
      </c>
      <c r="F2165" s="5" t="s">
        <v>541</v>
      </c>
      <c r="G2165" s="5" t="s">
        <v>504</v>
      </c>
      <c r="J2165" t="str">
        <f t="shared" si="719"/>
        <v>6</v>
      </c>
      <c r="K2165" t="str">
        <f t="shared" si="720"/>
        <v>32</v>
      </c>
      <c r="L2165" t="str">
        <f t="shared" si="721"/>
        <v/>
      </c>
      <c r="M2165" s="6" t="str">
        <f t="shared" si="722"/>
        <v/>
      </c>
      <c r="N2165" t="s">
        <v>179</v>
      </c>
      <c r="O2165">
        <v>42</v>
      </c>
      <c r="P2165" t="s">
        <v>424</v>
      </c>
      <c r="Q2165" t="s">
        <v>10</v>
      </c>
      <c r="R2165" t="s">
        <v>190</v>
      </c>
      <c r="S2165" t="s">
        <v>76</v>
      </c>
      <c r="Y2165" t="str">
        <f t="shared" si="706"/>
        <v/>
      </c>
      <c r="Z2165" t="str">
        <f t="shared" si="707"/>
        <v/>
      </c>
      <c r="AC2165" t="str">
        <f t="shared" si="724"/>
        <v>Turnover</v>
      </c>
      <c r="AD2165" t="str">
        <f t="shared" si="725"/>
        <v>Turnover_Giveaway</v>
      </c>
      <c r="AE2165" t="str">
        <f t="shared" si="726"/>
        <v>Giveaway-PassMissed</v>
      </c>
      <c r="AF2165" t="str">
        <f t="shared" si="708"/>
        <v>Offensive</v>
      </c>
      <c r="AG2165">
        <f t="shared" si="714"/>
        <v>18981</v>
      </c>
      <c r="AH2165" t="str">
        <f t="shared" si="715"/>
        <v>Nelson</v>
      </c>
      <c r="AI2165" t="str">
        <f t="shared" si="716"/>
        <v>Velodrome</v>
      </c>
      <c r="AJ2165" s="18">
        <f t="shared" si="709"/>
        <v>0</v>
      </c>
      <c r="AP2165" s="18">
        <f t="shared" si="710"/>
        <v>0</v>
      </c>
      <c r="AQ2165">
        <f t="shared" si="711"/>
        <v>2160</v>
      </c>
      <c r="AR2165" s="23">
        <f t="shared" si="712"/>
        <v>2848</v>
      </c>
      <c r="AS2165">
        <f t="shared" si="717"/>
        <v>2843</v>
      </c>
      <c r="AT2165" s="21">
        <f t="shared" si="718"/>
        <v>2848</v>
      </c>
      <c r="AU2165" s="21"/>
      <c r="AV2165" s="21"/>
      <c r="AW2165" s="21"/>
    </row>
    <row r="2166" spans="1:49" x14ac:dyDescent="0.2">
      <c r="A2166">
        <v>1146</v>
      </c>
      <c r="E2166">
        <f t="shared" si="713"/>
        <v>3</v>
      </c>
      <c r="J2166" t="str">
        <f t="shared" si="719"/>
        <v>6</v>
      </c>
      <c r="K2166" t="str">
        <f t="shared" si="720"/>
        <v>32</v>
      </c>
      <c r="L2166" t="str">
        <f t="shared" si="721"/>
        <v/>
      </c>
      <c r="M2166" s="6" t="str">
        <f t="shared" si="722"/>
        <v/>
      </c>
      <c r="N2166" t="str">
        <f t="shared" si="723"/>
        <v>Away</v>
      </c>
      <c r="O2166">
        <v>24</v>
      </c>
      <c r="P2166" t="s">
        <v>424</v>
      </c>
      <c r="Y2166" t="str">
        <f t="shared" si="706"/>
        <v/>
      </c>
      <c r="Z2166" t="str">
        <f t="shared" si="707"/>
        <v/>
      </c>
      <c r="AC2166" t="str">
        <f t="shared" si="724"/>
        <v>Turnover</v>
      </c>
      <c r="AD2166" t="str">
        <f t="shared" si="725"/>
        <v>Turnover_Giveaway</v>
      </c>
      <c r="AE2166" t="str">
        <f t="shared" si="726"/>
        <v>Giveaway-PassMissed</v>
      </c>
      <c r="AF2166" t="str">
        <f t="shared" si="708"/>
        <v>Offensive</v>
      </c>
      <c r="AG2166">
        <f t="shared" si="714"/>
        <v>18981</v>
      </c>
      <c r="AH2166" t="str">
        <f t="shared" si="715"/>
        <v>Nelson</v>
      </c>
      <c r="AI2166" t="str">
        <f t="shared" si="716"/>
        <v>Velodrome</v>
      </c>
      <c r="AJ2166" s="18">
        <f t="shared" si="709"/>
        <v>0</v>
      </c>
      <c r="AP2166" s="18">
        <f t="shared" si="710"/>
        <v>0</v>
      </c>
      <c r="AQ2166">
        <f t="shared" si="711"/>
        <v>2160</v>
      </c>
      <c r="AR2166" s="23">
        <f t="shared" si="712"/>
        <v>2848</v>
      </c>
      <c r="AS2166">
        <f t="shared" si="717"/>
        <v>2843</v>
      </c>
      <c r="AT2166" s="21">
        <f t="shared" si="718"/>
        <v>2848</v>
      </c>
      <c r="AU2166" s="21"/>
      <c r="AV2166" s="21"/>
      <c r="AW2166" s="21"/>
    </row>
    <row r="2167" spans="1:49" x14ac:dyDescent="0.2">
      <c r="A2167">
        <v>1146</v>
      </c>
      <c r="E2167">
        <f t="shared" si="713"/>
        <v>3</v>
      </c>
      <c r="J2167" t="str">
        <f t="shared" si="719"/>
        <v>6</v>
      </c>
      <c r="K2167" t="str">
        <f t="shared" si="720"/>
        <v>32</v>
      </c>
      <c r="L2167" t="str">
        <f t="shared" si="721"/>
        <v/>
      </c>
      <c r="M2167" s="6" t="str">
        <f t="shared" si="722"/>
        <v/>
      </c>
      <c r="N2167" t="str">
        <f t="shared" si="723"/>
        <v>Away</v>
      </c>
      <c r="O2167">
        <v>79</v>
      </c>
      <c r="P2167" t="s">
        <v>425</v>
      </c>
      <c r="Y2167" t="str">
        <f t="shared" si="706"/>
        <v/>
      </c>
      <c r="Z2167" t="str">
        <f t="shared" si="707"/>
        <v/>
      </c>
      <c r="AC2167" t="str">
        <f t="shared" si="724"/>
        <v>Turnover</v>
      </c>
      <c r="AD2167" t="str">
        <f t="shared" si="725"/>
        <v>Turnover_Giveaway</v>
      </c>
      <c r="AE2167" t="str">
        <f t="shared" si="726"/>
        <v>Giveaway-PassMissed</v>
      </c>
      <c r="AF2167" t="str">
        <f t="shared" si="708"/>
        <v>Defensive</v>
      </c>
      <c r="AG2167">
        <f t="shared" si="714"/>
        <v>18981</v>
      </c>
      <c r="AH2167" t="str">
        <f t="shared" si="715"/>
        <v>Nelson</v>
      </c>
      <c r="AI2167" t="str">
        <f t="shared" si="716"/>
        <v>Velodrome</v>
      </c>
      <c r="AJ2167" s="18">
        <f t="shared" si="709"/>
        <v>0</v>
      </c>
      <c r="AP2167" s="18">
        <f t="shared" si="710"/>
        <v>0</v>
      </c>
      <c r="AQ2167">
        <f t="shared" si="711"/>
        <v>2160</v>
      </c>
      <c r="AR2167" s="23">
        <f t="shared" si="712"/>
        <v>2848</v>
      </c>
      <c r="AS2167">
        <f t="shared" si="717"/>
        <v>2843</v>
      </c>
      <c r="AT2167" s="21">
        <f t="shared" si="718"/>
        <v>2848</v>
      </c>
      <c r="AU2167" s="21"/>
      <c r="AV2167" s="21"/>
      <c r="AW2167" s="21"/>
    </row>
    <row r="2168" spans="1:49" x14ac:dyDescent="0.2">
      <c r="A2168">
        <v>1147</v>
      </c>
      <c r="E2168">
        <f t="shared" si="713"/>
        <v>3</v>
      </c>
      <c r="F2168" s="5" t="s">
        <v>541</v>
      </c>
      <c r="G2168" s="5" t="s">
        <v>503</v>
      </c>
      <c r="H2168" s="5" t="s">
        <v>541</v>
      </c>
      <c r="I2168" s="7" t="s">
        <v>501</v>
      </c>
      <c r="J2168" t="str">
        <f t="shared" si="719"/>
        <v>6</v>
      </c>
      <c r="K2168" t="str">
        <f t="shared" si="720"/>
        <v>31</v>
      </c>
      <c r="L2168" t="str">
        <f t="shared" si="721"/>
        <v>6</v>
      </c>
      <c r="M2168" s="6" t="str">
        <f t="shared" si="722"/>
        <v>29</v>
      </c>
      <c r="N2168" t="s">
        <v>178</v>
      </c>
      <c r="O2168">
        <v>79</v>
      </c>
      <c r="P2168" t="s">
        <v>424</v>
      </c>
      <c r="Q2168" t="s">
        <v>277</v>
      </c>
      <c r="R2168" t="s">
        <v>201</v>
      </c>
      <c r="S2168" t="s">
        <v>90</v>
      </c>
      <c r="Y2168" t="str">
        <f t="shared" si="706"/>
        <v/>
      </c>
      <c r="Z2168" t="str">
        <f t="shared" si="707"/>
        <v/>
      </c>
      <c r="AC2168" t="str">
        <f t="shared" si="724"/>
        <v>Zone_Entry_Exit</v>
      </c>
      <c r="AD2168" t="str">
        <f t="shared" si="725"/>
        <v>Zone_Exit</v>
      </c>
      <c r="AE2168" t="str">
        <f t="shared" si="726"/>
        <v>ZoneExit-Rush</v>
      </c>
      <c r="AF2168" t="str">
        <f t="shared" si="708"/>
        <v>Offensive</v>
      </c>
      <c r="AG2168">
        <f t="shared" si="714"/>
        <v>18981</v>
      </c>
      <c r="AH2168" t="str">
        <f t="shared" si="715"/>
        <v>Nelson</v>
      </c>
      <c r="AI2168" t="str">
        <f t="shared" si="716"/>
        <v>Velodrome</v>
      </c>
      <c r="AJ2168" s="18">
        <f t="shared" si="709"/>
        <v>2</v>
      </c>
      <c r="AP2168" s="18">
        <f t="shared" si="710"/>
        <v>0</v>
      </c>
      <c r="AQ2168">
        <f t="shared" si="711"/>
        <v>2160</v>
      </c>
      <c r="AR2168" s="23">
        <f t="shared" si="712"/>
        <v>2849</v>
      </c>
      <c r="AS2168">
        <f t="shared" si="717"/>
        <v>2844</v>
      </c>
      <c r="AT2168" s="21">
        <f t="shared" si="718"/>
        <v>2851</v>
      </c>
      <c r="AU2168" s="21"/>
      <c r="AV2168" s="21"/>
      <c r="AW2168" s="21"/>
    </row>
    <row r="2169" spans="1:49" x14ac:dyDescent="0.2">
      <c r="A2169">
        <v>1148</v>
      </c>
      <c r="E2169">
        <f t="shared" si="713"/>
        <v>3</v>
      </c>
      <c r="F2169" s="5" t="s">
        <v>541</v>
      </c>
      <c r="G2169" s="5" t="s">
        <v>501</v>
      </c>
      <c r="H2169" s="5" t="s">
        <v>541</v>
      </c>
      <c r="I2169" s="7" t="s">
        <v>498</v>
      </c>
      <c r="J2169" t="str">
        <f t="shared" si="719"/>
        <v>6</v>
      </c>
      <c r="K2169" t="str">
        <f t="shared" si="720"/>
        <v>29</v>
      </c>
      <c r="L2169" t="str">
        <f t="shared" si="721"/>
        <v>6</v>
      </c>
      <c r="M2169" s="6" t="str">
        <f t="shared" si="722"/>
        <v>26</v>
      </c>
      <c r="N2169" t="s">
        <v>178</v>
      </c>
      <c r="O2169">
        <v>79</v>
      </c>
      <c r="P2169" t="s">
        <v>424</v>
      </c>
      <c r="Q2169" t="s">
        <v>15</v>
      </c>
      <c r="Y2169" t="str">
        <f t="shared" si="706"/>
        <v/>
      </c>
      <c r="Z2169" t="str">
        <f t="shared" si="707"/>
        <v/>
      </c>
      <c r="AC2169" t="str">
        <f t="shared" si="724"/>
        <v>Possession</v>
      </c>
      <c r="AD2169" t="str">
        <f t="shared" si="725"/>
        <v/>
      </c>
      <c r="AE2169" t="str">
        <f t="shared" si="726"/>
        <v/>
      </c>
      <c r="AF2169" t="str">
        <f t="shared" si="708"/>
        <v>Offensive</v>
      </c>
      <c r="AG2169">
        <f t="shared" si="714"/>
        <v>18981</v>
      </c>
      <c r="AH2169" t="str">
        <f t="shared" si="715"/>
        <v>Nelson</v>
      </c>
      <c r="AI2169" t="str">
        <f t="shared" si="716"/>
        <v>Velodrome</v>
      </c>
      <c r="AJ2169" s="18">
        <f t="shared" si="709"/>
        <v>3</v>
      </c>
      <c r="AP2169" s="18">
        <f t="shared" si="710"/>
        <v>0</v>
      </c>
      <c r="AQ2169">
        <f t="shared" si="711"/>
        <v>2160</v>
      </c>
      <c r="AR2169" s="23">
        <f t="shared" si="712"/>
        <v>2851</v>
      </c>
      <c r="AS2169">
        <f t="shared" si="717"/>
        <v>2846</v>
      </c>
      <c r="AT2169" s="21">
        <f t="shared" si="718"/>
        <v>2854</v>
      </c>
      <c r="AU2169" s="21"/>
      <c r="AV2169" s="21"/>
      <c r="AW2169" s="21"/>
    </row>
    <row r="2170" spans="1:49" x14ac:dyDescent="0.2">
      <c r="A2170">
        <v>1149</v>
      </c>
      <c r="E2170">
        <f t="shared" si="713"/>
        <v>3</v>
      </c>
      <c r="F2170" s="5" t="s">
        <v>541</v>
      </c>
      <c r="G2170" s="5" t="s">
        <v>498</v>
      </c>
      <c r="H2170" s="5" t="s">
        <v>541</v>
      </c>
      <c r="I2170" s="7" t="s">
        <v>496</v>
      </c>
      <c r="J2170" t="str">
        <f t="shared" si="719"/>
        <v>6</v>
      </c>
      <c r="K2170" t="str">
        <f t="shared" si="720"/>
        <v>26</v>
      </c>
      <c r="L2170" t="str">
        <f t="shared" si="721"/>
        <v>6</v>
      </c>
      <c r="M2170" s="6" t="str">
        <f t="shared" si="722"/>
        <v>24</v>
      </c>
      <c r="N2170" t="s">
        <v>178</v>
      </c>
      <c r="O2170">
        <v>79</v>
      </c>
      <c r="P2170" t="s">
        <v>424</v>
      </c>
      <c r="Q2170" t="s">
        <v>277</v>
      </c>
      <c r="R2170" t="s">
        <v>191</v>
      </c>
      <c r="S2170" t="s">
        <v>87</v>
      </c>
      <c r="Y2170" t="str">
        <f t="shared" si="706"/>
        <v/>
      </c>
      <c r="Z2170" t="str">
        <f t="shared" si="707"/>
        <v/>
      </c>
      <c r="AC2170" t="str">
        <f t="shared" si="724"/>
        <v>Zone_Entry_Exit</v>
      </c>
      <c r="AD2170" t="str">
        <f t="shared" si="725"/>
        <v>Zone_Entry</v>
      </c>
      <c r="AE2170" t="str">
        <f t="shared" si="726"/>
        <v>ZoneEntry-Rush</v>
      </c>
      <c r="AF2170" t="str">
        <f t="shared" si="708"/>
        <v>Offensive</v>
      </c>
      <c r="AG2170">
        <f t="shared" si="714"/>
        <v>18981</v>
      </c>
      <c r="AH2170" t="str">
        <f t="shared" si="715"/>
        <v>Nelson</v>
      </c>
      <c r="AI2170" t="str">
        <f t="shared" si="716"/>
        <v>Velodrome</v>
      </c>
      <c r="AJ2170" s="18">
        <f t="shared" si="709"/>
        <v>2</v>
      </c>
      <c r="AP2170" s="18">
        <f t="shared" si="710"/>
        <v>0</v>
      </c>
      <c r="AQ2170">
        <f t="shared" si="711"/>
        <v>2160</v>
      </c>
      <c r="AR2170" s="23">
        <f t="shared" si="712"/>
        <v>2854</v>
      </c>
      <c r="AS2170">
        <f t="shared" si="717"/>
        <v>2849</v>
      </c>
      <c r="AT2170" s="21">
        <f t="shared" si="718"/>
        <v>2856</v>
      </c>
      <c r="AU2170" s="21"/>
      <c r="AV2170" s="21"/>
      <c r="AW2170" s="21"/>
    </row>
    <row r="2171" spans="1:49" x14ac:dyDescent="0.2">
      <c r="A2171">
        <v>1149</v>
      </c>
      <c r="E2171">
        <f t="shared" si="713"/>
        <v>3</v>
      </c>
      <c r="J2171" t="str">
        <f t="shared" si="719"/>
        <v>6</v>
      </c>
      <c r="K2171" t="str">
        <f t="shared" si="720"/>
        <v>26</v>
      </c>
      <c r="L2171" t="str">
        <f t="shared" si="721"/>
        <v>6</v>
      </c>
      <c r="M2171" s="6" t="str">
        <f t="shared" si="722"/>
        <v>24</v>
      </c>
      <c r="N2171" t="str">
        <f t="shared" si="723"/>
        <v>Home</v>
      </c>
      <c r="O2171">
        <v>91</v>
      </c>
      <c r="P2171" t="s">
        <v>425</v>
      </c>
      <c r="Y2171" t="str">
        <f t="shared" si="706"/>
        <v/>
      </c>
      <c r="Z2171" t="str">
        <f t="shared" si="707"/>
        <v/>
      </c>
      <c r="AC2171" t="str">
        <f t="shared" si="724"/>
        <v>Zone_Entry_Exit</v>
      </c>
      <c r="AD2171" t="str">
        <f t="shared" si="725"/>
        <v>Zone_Entry</v>
      </c>
      <c r="AE2171" t="str">
        <f t="shared" si="726"/>
        <v>ZoneEntry-Rush</v>
      </c>
      <c r="AF2171" t="str">
        <f t="shared" si="708"/>
        <v>Defensive</v>
      </c>
      <c r="AG2171">
        <f t="shared" si="714"/>
        <v>18981</v>
      </c>
      <c r="AH2171" t="str">
        <f t="shared" si="715"/>
        <v>Nelson</v>
      </c>
      <c r="AI2171" t="str">
        <f t="shared" si="716"/>
        <v>Velodrome</v>
      </c>
      <c r="AJ2171" s="18">
        <f t="shared" si="709"/>
        <v>2</v>
      </c>
      <c r="AP2171" s="18">
        <f t="shared" si="710"/>
        <v>0</v>
      </c>
      <c r="AQ2171">
        <f t="shared" si="711"/>
        <v>2160</v>
      </c>
      <c r="AR2171" s="23">
        <f t="shared" si="712"/>
        <v>2854</v>
      </c>
      <c r="AS2171">
        <f t="shared" si="717"/>
        <v>2849</v>
      </c>
      <c r="AT2171" s="21">
        <f t="shared" si="718"/>
        <v>2856</v>
      </c>
      <c r="AU2171" s="21"/>
      <c r="AV2171" s="21"/>
      <c r="AW2171" s="21"/>
    </row>
    <row r="2172" spans="1:49" x14ac:dyDescent="0.2">
      <c r="A2172">
        <v>1149</v>
      </c>
      <c r="E2172">
        <f t="shared" si="713"/>
        <v>3</v>
      </c>
      <c r="J2172" t="str">
        <f t="shared" si="719"/>
        <v>6</v>
      </c>
      <c r="K2172" t="str">
        <f t="shared" si="720"/>
        <v>26</v>
      </c>
      <c r="L2172" t="str">
        <f t="shared" si="721"/>
        <v>6</v>
      </c>
      <c r="M2172" s="6" t="str">
        <f t="shared" si="722"/>
        <v>24</v>
      </c>
      <c r="N2172" t="str">
        <f t="shared" si="723"/>
        <v>Home</v>
      </c>
      <c r="O2172">
        <v>93</v>
      </c>
      <c r="P2172" t="s">
        <v>425</v>
      </c>
      <c r="Y2172" t="str">
        <f t="shared" si="706"/>
        <v/>
      </c>
      <c r="Z2172" t="str">
        <f t="shared" si="707"/>
        <v/>
      </c>
      <c r="AC2172" t="str">
        <f t="shared" si="724"/>
        <v>Zone_Entry_Exit</v>
      </c>
      <c r="AD2172" t="str">
        <f t="shared" si="725"/>
        <v>Zone_Entry</v>
      </c>
      <c r="AE2172" t="str">
        <f t="shared" si="726"/>
        <v>ZoneEntry-Rush</v>
      </c>
      <c r="AF2172" t="str">
        <f t="shared" si="708"/>
        <v>Defensive</v>
      </c>
      <c r="AG2172">
        <f t="shared" si="714"/>
        <v>18981</v>
      </c>
      <c r="AH2172" t="str">
        <f t="shared" si="715"/>
        <v>Nelson</v>
      </c>
      <c r="AI2172" t="str">
        <f t="shared" si="716"/>
        <v>Velodrome</v>
      </c>
      <c r="AJ2172" s="18">
        <f t="shared" si="709"/>
        <v>2</v>
      </c>
      <c r="AP2172" s="18">
        <f t="shared" si="710"/>
        <v>0</v>
      </c>
      <c r="AQ2172">
        <f t="shared" si="711"/>
        <v>2160</v>
      </c>
      <c r="AR2172" s="23">
        <f t="shared" si="712"/>
        <v>2854</v>
      </c>
      <c r="AS2172">
        <f t="shared" si="717"/>
        <v>2849</v>
      </c>
      <c r="AT2172" s="21">
        <f t="shared" si="718"/>
        <v>2856</v>
      </c>
      <c r="AU2172" s="21"/>
      <c r="AV2172" s="21"/>
      <c r="AW2172" s="21"/>
    </row>
    <row r="2173" spans="1:49" x14ac:dyDescent="0.2">
      <c r="A2173">
        <v>1150</v>
      </c>
      <c r="E2173">
        <f t="shared" si="713"/>
        <v>3</v>
      </c>
      <c r="F2173" s="5" t="s">
        <v>541</v>
      </c>
      <c r="G2173" s="5" t="s">
        <v>496</v>
      </c>
      <c r="J2173" t="str">
        <f t="shared" si="719"/>
        <v>6</v>
      </c>
      <c r="K2173" t="str">
        <f t="shared" si="720"/>
        <v>24</v>
      </c>
      <c r="L2173" t="str">
        <f t="shared" si="721"/>
        <v/>
      </c>
      <c r="M2173" s="6" t="str">
        <f t="shared" si="722"/>
        <v/>
      </c>
      <c r="N2173" t="s">
        <v>178</v>
      </c>
      <c r="O2173">
        <v>79</v>
      </c>
      <c r="P2173" t="s">
        <v>424</v>
      </c>
      <c r="Q2173" t="s">
        <v>8</v>
      </c>
      <c r="R2173" t="s">
        <v>216</v>
      </c>
      <c r="S2173" t="s">
        <v>69</v>
      </c>
      <c r="Y2173" t="str">
        <f t="shared" si="706"/>
        <v/>
      </c>
      <c r="Z2173" t="str">
        <f t="shared" si="707"/>
        <v/>
      </c>
      <c r="AC2173" t="str">
        <f t="shared" si="724"/>
        <v>Pass</v>
      </c>
      <c r="AD2173" t="str">
        <f t="shared" si="725"/>
        <v>Pass_Intercepted</v>
      </c>
      <c r="AE2173" t="str">
        <f t="shared" si="726"/>
        <v>Pass-Backhand</v>
      </c>
      <c r="AF2173" t="str">
        <f t="shared" si="708"/>
        <v>Offensive</v>
      </c>
      <c r="AG2173">
        <f t="shared" si="714"/>
        <v>18981</v>
      </c>
      <c r="AH2173" t="str">
        <f t="shared" si="715"/>
        <v>Nelson</v>
      </c>
      <c r="AI2173" t="str">
        <f t="shared" si="716"/>
        <v>Velodrome</v>
      </c>
      <c r="AJ2173" s="18">
        <f t="shared" si="709"/>
        <v>0</v>
      </c>
      <c r="AP2173" s="18">
        <f t="shared" si="710"/>
        <v>0</v>
      </c>
      <c r="AQ2173">
        <f t="shared" si="711"/>
        <v>2160</v>
      </c>
      <c r="AR2173" s="23">
        <f t="shared" si="712"/>
        <v>2856</v>
      </c>
      <c r="AS2173">
        <f t="shared" si="717"/>
        <v>2851</v>
      </c>
      <c r="AT2173" s="21">
        <f t="shared" si="718"/>
        <v>2856</v>
      </c>
      <c r="AU2173" s="21"/>
      <c r="AV2173" s="21"/>
      <c r="AW2173" s="21"/>
    </row>
    <row r="2174" spans="1:49" x14ac:dyDescent="0.2">
      <c r="A2174">
        <v>1150</v>
      </c>
      <c r="E2174">
        <f t="shared" si="713"/>
        <v>3</v>
      </c>
      <c r="J2174" t="str">
        <f t="shared" si="719"/>
        <v>6</v>
      </c>
      <c r="K2174" t="str">
        <f t="shared" si="720"/>
        <v>24</v>
      </c>
      <c r="L2174" t="str">
        <f t="shared" si="721"/>
        <v/>
      </c>
      <c r="M2174" s="6" t="str">
        <f t="shared" si="722"/>
        <v/>
      </c>
      <c r="N2174" t="str">
        <f t="shared" si="723"/>
        <v>Home</v>
      </c>
      <c r="O2174">
        <v>8</v>
      </c>
      <c r="P2174" t="s">
        <v>424</v>
      </c>
      <c r="Y2174" t="str">
        <f t="shared" si="706"/>
        <v/>
      </c>
      <c r="Z2174" t="str">
        <f t="shared" si="707"/>
        <v/>
      </c>
      <c r="AC2174" t="str">
        <f t="shared" si="724"/>
        <v>Pass</v>
      </c>
      <c r="AD2174" t="str">
        <f t="shared" si="725"/>
        <v>Pass_Intercepted</v>
      </c>
      <c r="AE2174" t="str">
        <f t="shared" si="726"/>
        <v>Pass-Backhand</v>
      </c>
      <c r="AF2174" t="str">
        <f t="shared" si="708"/>
        <v>Offensive</v>
      </c>
      <c r="AG2174">
        <f t="shared" si="714"/>
        <v>18981</v>
      </c>
      <c r="AH2174" t="str">
        <f t="shared" si="715"/>
        <v>Nelson</v>
      </c>
      <c r="AI2174" t="str">
        <f t="shared" si="716"/>
        <v>Velodrome</v>
      </c>
      <c r="AJ2174" s="18">
        <f t="shared" si="709"/>
        <v>0</v>
      </c>
      <c r="AP2174" s="18">
        <f t="shared" si="710"/>
        <v>0</v>
      </c>
      <c r="AQ2174">
        <f t="shared" si="711"/>
        <v>2160</v>
      </c>
      <c r="AR2174" s="23">
        <f t="shared" si="712"/>
        <v>2856</v>
      </c>
      <c r="AS2174">
        <f t="shared" si="717"/>
        <v>2851</v>
      </c>
      <c r="AT2174" s="21">
        <f t="shared" si="718"/>
        <v>2856</v>
      </c>
      <c r="AU2174" s="21"/>
      <c r="AV2174" s="21"/>
      <c r="AW2174" s="21"/>
    </row>
    <row r="2175" spans="1:49" x14ac:dyDescent="0.2">
      <c r="A2175">
        <v>1150</v>
      </c>
      <c r="E2175">
        <f t="shared" si="713"/>
        <v>3</v>
      </c>
      <c r="J2175" t="str">
        <f t="shared" si="719"/>
        <v>6</v>
      </c>
      <c r="K2175" t="str">
        <f t="shared" si="720"/>
        <v>24</v>
      </c>
      <c r="L2175" t="str">
        <f t="shared" si="721"/>
        <v/>
      </c>
      <c r="M2175" s="6" t="str">
        <f t="shared" si="722"/>
        <v/>
      </c>
      <c r="N2175" t="str">
        <f t="shared" si="723"/>
        <v>Home</v>
      </c>
      <c r="O2175">
        <v>84</v>
      </c>
      <c r="P2175" t="s">
        <v>425</v>
      </c>
      <c r="Y2175" t="str">
        <f t="shared" si="706"/>
        <v/>
      </c>
      <c r="Z2175" t="str">
        <f t="shared" si="707"/>
        <v/>
      </c>
      <c r="AC2175" t="str">
        <f t="shared" si="724"/>
        <v>Pass</v>
      </c>
      <c r="AD2175" t="str">
        <f t="shared" si="725"/>
        <v>Pass_Intercepted</v>
      </c>
      <c r="AE2175" t="str">
        <f t="shared" si="726"/>
        <v>Pass-Backhand</v>
      </c>
      <c r="AF2175" t="str">
        <f t="shared" si="708"/>
        <v>Defensive</v>
      </c>
      <c r="AG2175">
        <f t="shared" si="714"/>
        <v>18981</v>
      </c>
      <c r="AH2175" t="str">
        <f t="shared" si="715"/>
        <v>Nelson</v>
      </c>
      <c r="AI2175" t="str">
        <f t="shared" si="716"/>
        <v>Velodrome</v>
      </c>
      <c r="AJ2175" s="18">
        <f t="shared" si="709"/>
        <v>0</v>
      </c>
      <c r="AP2175" s="18">
        <f t="shared" si="710"/>
        <v>0</v>
      </c>
      <c r="AQ2175">
        <f t="shared" si="711"/>
        <v>2160</v>
      </c>
      <c r="AR2175" s="23">
        <f t="shared" si="712"/>
        <v>2856</v>
      </c>
      <c r="AS2175">
        <f t="shared" si="717"/>
        <v>2851</v>
      </c>
      <c r="AT2175" s="21">
        <f t="shared" si="718"/>
        <v>2856</v>
      </c>
      <c r="AU2175" s="21"/>
      <c r="AV2175" s="21"/>
      <c r="AW2175" s="21"/>
    </row>
    <row r="2176" spans="1:49" x14ac:dyDescent="0.2">
      <c r="A2176">
        <v>1151</v>
      </c>
      <c r="E2176">
        <f t="shared" si="713"/>
        <v>3</v>
      </c>
      <c r="F2176" s="5" t="s">
        <v>541</v>
      </c>
      <c r="G2176" s="5" t="s">
        <v>496</v>
      </c>
      <c r="J2176" t="str">
        <f t="shared" si="719"/>
        <v>6</v>
      </c>
      <c r="K2176" t="str">
        <f t="shared" si="720"/>
        <v>24</v>
      </c>
      <c r="L2176" t="str">
        <f t="shared" si="721"/>
        <v/>
      </c>
      <c r="M2176" s="6" t="str">
        <f t="shared" si="722"/>
        <v/>
      </c>
      <c r="N2176" t="s">
        <v>178</v>
      </c>
      <c r="O2176">
        <v>79</v>
      </c>
      <c r="P2176" t="s">
        <v>424</v>
      </c>
      <c r="Q2176" t="s">
        <v>10</v>
      </c>
      <c r="R2176" t="s">
        <v>190</v>
      </c>
      <c r="S2176" t="s">
        <v>75</v>
      </c>
      <c r="Y2176" t="str">
        <f t="shared" si="706"/>
        <v/>
      </c>
      <c r="Z2176" t="str">
        <f t="shared" si="707"/>
        <v/>
      </c>
      <c r="AC2176" t="str">
        <f t="shared" si="724"/>
        <v>Turnover</v>
      </c>
      <c r="AD2176" t="str">
        <f t="shared" si="725"/>
        <v>Turnover_Giveaway</v>
      </c>
      <c r="AE2176" t="str">
        <f t="shared" si="726"/>
        <v>Giveaway-PassIntercepted</v>
      </c>
      <c r="AF2176" t="str">
        <f t="shared" si="708"/>
        <v>Offensive</v>
      </c>
      <c r="AG2176">
        <f t="shared" si="714"/>
        <v>18981</v>
      </c>
      <c r="AH2176" t="str">
        <f t="shared" si="715"/>
        <v>Nelson</v>
      </c>
      <c r="AI2176" t="str">
        <f t="shared" si="716"/>
        <v>Velodrome</v>
      </c>
      <c r="AJ2176" s="18">
        <f t="shared" si="709"/>
        <v>0</v>
      </c>
      <c r="AP2176" s="18">
        <f t="shared" si="710"/>
        <v>0</v>
      </c>
      <c r="AQ2176">
        <f t="shared" si="711"/>
        <v>2160</v>
      </c>
      <c r="AR2176" s="23">
        <f t="shared" si="712"/>
        <v>2856</v>
      </c>
      <c r="AS2176">
        <f t="shared" si="717"/>
        <v>2851</v>
      </c>
      <c r="AT2176" s="21">
        <f t="shared" si="718"/>
        <v>2856</v>
      </c>
      <c r="AU2176" s="21"/>
      <c r="AV2176" s="21"/>
      <c r="AW2176" s="21"/>
    </row>
    <row r="2177" spans="1:49" x14ac:dyDescent="0.2">
      <c r="A2177">
        <v>1151</v>
      </c>
      <c r="E2177">
        <f t="shared" si="713"/>
        <v>3</v>
      </c>
      <c r="J2177" t="str">
        <f t="shared" si="719"/>
        <v>6</v>
      </c>
      <c r="K2177" t="str">
        <f t="shared" si="720"/>
        <v>24</v>
      </c>
      <c r="L2177" t="str">
        <f t="shared" si="721"/>
        <v/>
      </c>
      <c r="M2177" s="6" t="str">
        <f t="shared" si="722"/>
        <v/>
      </c>
      <c r="N2177" t="str">
        <f t="shared" si="723"/>
        <v>Home</v>
      </c>
      <c r="O2177">
        <v>8</v>
      </c>
      <c r="P2177" t="s">
        <v>424</v>
      </c>
      <c r="Y2177" t="str">
        <f t="shared" si="706"/>
        <v/>
      </c>
      <c r="Z2177" t="str">
        <f t="shared" si="707"/>
        <v/>
      </c>
      <c r="AC2177" t="str">
        <f t="shared" si="724"/>
        <v>Turnover</v>
      </c>
      <c r="AD2177" t="str">
        <f t="shared" si="725"/>
        <v>Turnover_Giveaway</v>
      </c>
      <c r="AE2177" t="str">
        <f t="shared" si="726"/>
        <v>Giveaway-PassIntercepted</v>
      </c>
      <c r="AF2177" t="str">
        <f t="shared" si="708"/>
        <v>Offensive</v>
      </c>
      <c r="AG2177">
        <f t="shared" si="714"/>
        <v>18981</v>
      </c>
      <c r="AH2177" t="str">
        <f t="shared" si="715"/>
        <v>Nelson</v>
      </c>
      <c r="AI2177" t="str">
        <f t="shared" si="716"/>
        <v>Velodrome</v>
      </c>
      <c r="AJ2177" s="18">
        <f t="shared" si="709"/>
        <v>0</v>
      </c>
      <c r="AP2177" s="18">
        <f t="shared" si="710"/>
        <v>0</v>
      </c>
      <c r="AQ2177">
        <f t="shared" si="711"/>
        <v>2160</v>
      </c>
      <c r="AR2177" s="23">
        <f t="shared" si="712"/>
        <v>2856</v>
      </c>
      <c r="AS2177">
        <f t="shared" si="717"/>
        <v>2851</v>
      </c>
      <c r="AT2177" s="21">
        <f t="shared" si="718"/>
        <v>2856</v>
      </c>
      <c r="AU2177" s="21"/>
      <c r="AV2177" s="21"/>
      <c r="AW2177" s="21"/>
    </row>
    <row r="2178" spans="1:49" x14ac:dyDescent="0.2">
      <c r="A2178">
        <v>1151</v>
      </c>
      <c r="E2178">
        <f t="shared" si="713"/>
        <v>3</v>
      </c>
      <c r="J2178" t="str">
        <f t="shared" si="719"/>
        <v>6</v>
      </c>
      <c r="K2178" t="str">
        <f t="shared" si="720"/>
        <v>24</v>
      </c>
      <c r="L2178" t="str">
        <f t="shared" si="721"/>
        <v/>
      </c>
      <c r="M2178" s="6" t="str">
        <f t="shared" si="722"/>
        <v/>
      </c>
      <c r="N2178" t="str">
        <f t="shared" si="723"/>
        <v>Home</v>
      </c>
      <c r="O2178">
        <v>84</v>
      </c>
      <c r="P2178" t="s">
        <v>425</v>
      </c>
      <c r="Y2178" t="str">
        <f t="shared" si="706"/>
        <v/>
      </c>
      <c r="Z2178" t="str">
        <f t="shared" si="707"/>
        <v/>
      </c>
      <c r="AC2178" t="str">
        <f t="shared" si="724"/>
        <v>Turnover</v>
      </c>
      <c r="AD2178" t="str">
        <f t="shared" si="725"/>
        <v>Turnover_Giveaway</v>
      </c>
      <c r="AE2178" t="str">
        <f t="shared" si="726"/>
        <v>Giveaway-PassIntercepted</v>
      </c>
      <c r="AF2178" t="str">
        <f t="shared" si="708"/>
        <v>Defensive</v>
      </c>
      <c r="AG2178">
        <f t="shared" si="714"/>
        <v>18981</v>
      </c>
      <c r="AH2178" t="str">
        <f t="shared" si="715"/>
        <v>Nelson</v>
      </c>
      <c r="AI2178" t="str">
        <f t="shared" si="716"/>
        <v>Velodrome</v>
      </c>
      <c r="AJ2178" s="18">
        <f t="shared" si="709"/>
        <v>0</v>
      </c>
      <c r="AP2178" s="18">
        <f t="shared" si="710"/>
        <v>0</v>
      </c>
      <c r="AQ2178">
        <f t="shared" si="711"/>
        <v>2160</v>
      </c>
      <c r="AR2178" s="23">
        <f t="shared" si="712"/>
        <v>2856</v>
      </c>
      <c r="AS2178">
        <f t="shared" si="717"/>
        <v>2851</v>
      </c>
      <c r="AT2178" s="21">
        <f t="shared" si="718"/>
        <v>2856</v>
      </c>
      <c r="AU2178" s="21"/>
      <c r="AV2178" s="21"/>
      <c r="AW2178" s="21"/>
    </row>
    <row r="2179" spans="1:49" x14ac:dyDescent="0.2">
      <c r="A2179">
        <v>1152</v>
      </c>
      <c r="E2179">
        <f t="shared" si="713"/>
        <v>3</v>
      </c>
      <c r="F2179" s="5" t="s">
        <v>541</v>
      </c>
      <c r="G2179" s="5" t="s">
        <v>495</v>
      </c>
      <c r="H2179" s="5" t="s">
        <v>541</v>
      </c>
      <c r="I2179" s="7" t="s">
        <v>493</v>
      </c>
      <c r="J2179" t="str">
        <f t="shared" si="719"/>
        <v>6</v>
      </c>
      <c r="K2179" t="str">
        <f t="shared" si="720"/>
        <v>23</v>
      </c>
      <c r="L2179" t="str">
        <f t="shared" si="721"/>
        <v>6</v>
      </c>
      <c r="M2179" s="6" t="str">
        <f t="shared" si="722"/>
        <v>21</v>
      </c>
      <c r="N2179" t="s">
        <v>179</v>
      </c>
      <c r="O2179">
        <v>91</v>
      </c>
      <c r="P2179" t="s">
        <v>424</v>
      </c>
      <c r="Q2179" t="s">
        <v>15</v>
      </c>
      <c r="Y2179" t="str">
        <f t="shared" ref="Y2179:Y2242" si="727">IF($N2179="","",IF(X2179="","",IF($N2179="Home",$X2179,IF($X2179="n","n",IF($X2179="d","o",IF($X2179="o","d",""))))))</f>
        <v/>
      </c>
      <c r="Z2179" t="str">
        <f t="shared" ref="Z2179:Z2242" si="728">IF($N2179="","",IF(X2179="","",IF($N2179="Away",$X2179,IF($X2179="n","n",IF($X2179="d","o",IF($X2179="o","d",""))))))</f>
        <v/>
      </c>
      <c r="AC2179" t="str">
        <f t="shared" si="724"/>
        <v>Possession</v>
      </c>
      <c r="AD2179" t="str">
        <f t="shared" si="725"/>
        <v/>
      </c>
      <c r="AE2179" t="str">
        <f t="shared" si="726"/>
        <v/>
      </c>
      <c r="AF2179" t="str">
        <f t="shared" ref="AF2179:AF2242" si="729">IF(AND(P2179="e",OR(AC2179="Save",AD2179="Turnover_Takeaway",AD2179="Play_Defensive")),"Defensive",IF(AND(P2179="o",OR(AC2179="Save",AD2179="Turnover_Takeaway",AD2179="Play_Defensive")),"Offensive",IF(OR(AC2179="Deadice",AC2179="Stoppage",AC2179="Intermission"),"",IF(P2179="e","Offensive",IF(P2179="o","Defensive","")))))</f>
        <v>Offensive</v>
      </c>
      <c r="AG2179">
        <f t="shared" si="714"/>
        <v>18981</v>
      </c>
      <c r="AH2179" t="str">
        <f t="shared" si="715"/>
        <v>Nelson</v>
      </c>
      <c r="AI2179" t="str">
        <f t="shared" si="716"/>
        <v>Velodrome</v>
      </c>
      <c r="AJ2179" s="18">
        <f t="shared" ref="AJ2179:AJ2242" si="730">IF(AND(L2179="",M2179=""),0,((J2179*60)+K2179)-((L2179*60)+M2179))</f>
        <v>2</v>
      </c>
      <c r="AP2179" s="18">
        <f t="shared" ref="AP2179:AP2242" si="731">SUMIFS(AJ2179:AJ2179,Q2179:Q2179,"=Intermission")</f>
        <v>0</v>
      </c>
      <c r="AQ2179">
        <f t="shared" ref="AQ2179:AQ2242" si="732">IF(E2179=1,0,IF(E2179=2,1080+AP2179,IF(E2179=3,(1080*2)+AP2179,0)))</f>
        <v>2160</v>
      </c>
      <c r="AR2179" s="23">
        <f t="shared" ref="AR2179:AR2242" si="733">IF(Q2179="Intermission",AR2178,((1080)-((J2179*60)+K2179))+AQ2179)</f>
        <v>2857</v>
      </c>
      <c r="AS2179">
        <f t="shared" si="717"/>
        <v>2852</v>
      </c>
      <c r="AT2179" s="21">
        <f t="shared" si="718"/>
        <v>2859</v>
      </c>
      <c r="AU2179" s="21"/>
      <c r="AV2179" s="21"/>
      <c r="AW2179" s="21"/>
    </row>
    <row r="2180" spans="1:49" x14ac:dyDescent="0.2">
      <c r="A2180">
        <v>1153</v>
      </c>
      <c r="E2180">
        <f t="shared" ref="E2180:E2243" si="734">IF(Q2180="Intermission",E2179+1,E2179)</f>
        <v>3</v>
      </c>
      <c r="F2180" s="5" t="s">
        <v>541</v>
      </c>
      <c r="G2180" s="5" t="s">
        <v>493</v>
      </c>
      <c r="J2180" t="str">
        <f t="shared" si="719"/>
        <v>6</v>
      </c>
      <c r="K2180" t="str">
        <f t="shared" si="720"/>
        <v>21</v>
      </c>
      <c r="L2180" t="str">
        <f t="shared" si="721"/>
        <v/>
      </c>
      <c r="M2180" s="6" t="str">
        <f t="shared" si="722"/>
        <v/>
      </c>
      <c r="N2180" t="s">
        <v>179</v>
      </c>
      <c r="O2180">
        <v>91</v>
      </c>
      <c r="P2180" t="s">
        <v>424</v>
      </c>
      <c r="Q2180" t="s">
        <v>8</v>
      </c>
      <c r="R2180" t="s">
        <v>199</v>
      </c>
      <c r="S2180" t="s">
        <v>67</v>
      </c>
      <c r="Y2180" t="str">
        <f t="shared" si="727"/>
        <v/>
      </c>
      <c r="Z2180" t="str">
        <f t="shared" si="728"/>
        <v/>
      </c>
      <c r="AC2180" t="str">
        <f t="shared" si="724"/>
        <v>Pass</v>
      </c>
      <c r="AD2180" t="str">
        <f t="shared" si="725"/>
        <v>Pass_Missed</v>
      </c>
      <c r="AE2180" t="str">
        <f t="shared" si="726"/>
        <v>Pass-Stretch</v>
      </c>
      <c r="AF2180" t="str">
        <f t="shared" si="729"/>
        <v>Offensive</v>
      </c>
      <c r="AG2180">
        <f t="shared" ref="AG2180:AG2243" si="735">AG2179</f>
        <v>18981</v>
      </c>
      <c r="AH2180" t="str">
        <f t="shared" ref="AH2180:AH2243" si="736">AH2179</f>
        <v>Nelson</v>
      </c>
      <c r="AI2180" t="str">
        <f t="shared" ref="AI2180:AI2243" si="737">AI2179</f>
        <v>Velodrome</v>
      </c>
      <c r="AJ2180" s="18">
        <f t="shared" si="730"/>
        <v>0</v>
      </c>
      <c r="AP2180" s="18">
        <f t="shared" si="731"/>
        <v>0</v>
      </c>
      <c r="AQ2180">
        <f t="shared" si="732"/>
        <v>2160</v>
      </c>
      <c r="AR2180" s="23">
        <f t="shared" si="733"/>
        <v>2859</v>
      </c>
      <c r="AS2180">
        <f t="shared" ref="AS2180:AS2243" si="738">IF(AR2180&lt;5,0,AR2180-5)</f>
        <v>2854</v>
      </c>
      <c r="AT2180" s="21">
        <f t="shared" ref="AT2180:AT2243" si="739">AS2180+AJ2180+5</f>
        <v>2859</v>
      </c>
      <c r="AU2180" s="21"/>
      <c r="AV2180" s="21"/>
      <c r="AW2180" s="21"/>
    </row>
    <row r="2181" spans="1:49" x14ac:dyDescent="0.2">
      <c r="A2181">
        <v>1153</v>
      </c>
      <c r="E2181">
        <f t="shared" si="734"/>
        <v>3</v>
      </c>
      <c r="J2181" t="str">
        <f t="shared" si="719"/>
        <v>6</v>
      </c>
      <c r="K2181" t="str">
        <f t="shared" si="720"/>
        <v>21</v>
      </c>
      <c r="L2181" t="str">
        <f t="shared" si="721"/>
        <v/>
      </c>
      <c r="M2181" s="6" t="str">
        <f t="shared" si="722"/>
        <v/>
      </c>
      <c r="N2181" t="str">
        <f t="shared" si="723"/>
        <v>Away</v>
      </c>
      <c r="O2181">
        <v>24</v>
      </c>
      <c r="P2181" t="s">
        <v>424</v>
      </c>
      <c r="Y2181" t="str">
        <f t="shared" si="727"/>
        <v/>
      </c>
      <c r="Z2181" t="str">
        <f t="shared" si="728"/>
        <v/>
      </c>
      <c r="AC2181" t="str">
        <f t="shared" si="724"/>
        <v>Pass</v>
      </c>
      <c r="AD2181" t="str">
        <f t="shared" si="725"/>
        <v>Pass_Missed</v>
      </c>
      <c r="AE2181" t="str">
        <f t="shared" si="726"/>
        <v>Pass-Stretch</v>
      </c>
      <c r="AF2181" t="str">
        <f t="shared" si="729"/>
        <v>Offensive</v>
      </c>
      <c r="AG2181">
        <f t="shared" si="735"/>
        <v>18981</v>
      </c>
      <c r="AH2181" t="str">
        <f t="shared" si="736"/>
        <v>Nelson</v>
      </c>
      <c r="AI2181" t="str">
        <f t="shared" si="737"/>
        <v>Velodrome</v>
      </c>
      <c r="AJ2181" s="18">
        <f t="shared" si="730"/>
        <v>0</v>
      </c>
      <c r="AP2181" s="18">
        <f t="shared" si="731"/>
        <v>0</v>
      </c>
      <c r="AQ2181">
        <f t="shared" si="732"/>
        <v>2160</v>
      </c>
      <c r="AR2181" s="23">
        <f t="shared" si="733"/>
        <v>2859</v>
      </c>
      <c r="AS2181">
        <f t="shared" si="738"/>
        <v>2854</v>
      </c>
      <c r="AT2181" s="21">
        <f t="shared" si="739"/>
        <v>2859</v>
      </c>
      <c r="AU2181" s="21"/>
      <c r="AV2181" s="21"/>
      <c r="AW2181" s="21"/>
    </row>
    <row r="2182" spans="1:49" x14ac:dyDescent="0.2">
      <c r="A2182">
        <v>1154</v>
      </c>
      <c r="E2182">
        <f t="shared" si="734"/>
        <v>3</v>
      </c>
      <c r="F2182" s="5" t="s">
        <v>541</v>
      </c>
      <c r="G2182" s="5" t="s">
        <v>493</v>
      </c>
      <c r="J2182" t="str">
        <f t="shared" si="719"/>
        <v>6</v>
      </c>
      <c r="K2182" t="str">
        <f t="shared" si="720"/>
        <v>21</v>
      </c>
      <c r="L2182" t="str">
        <f t="shared" si="721"/>
        <v/>
      </c>
      <c r="M2182" s="6" t="str">
        <f t="shared" si="722"/>
        <v/>
      </c>
      <c r="N2182" t="s">
        <v>179</v>
      </c>
      <c r="O2182">
        <v>91</v>
      </c>
      <c r="P2182" t="s">
        <v>424</v>
      </c>
      <c r="Q2182" t="s">
        <v>277</v>
      </c>
      <c r="R2182" t="s">
        <v>201</v>
      </c>
      <c r="S2182" t="s">
        <v>433</v>
      </c>
      <c r="Y2182" t="str">
        <f t="shared" si="727"/>
        <v/>
      </c>
      <c r="Z2182" t="str">
        <f t="shared" si="728"/>
        <v/>
      </c>
      <c r="AC2182" t="str">
        <f t="shared" si="724"/>
        <v>Zone_Entry_Exit</v>
      </c>
      <c r="AD2182" t="str">
        <f t="shared" si="725"/>
        <v>Zone_Exit</v>
      </c>
      <c r="AE2182" t="str">
        <f t="shared" si="726"/>
        <v>ZoneExit-PassMiss/Misplay</v>
      </c>
      <c r="AF2182" t="str">
        <f t="shared" si="729"/>
        <v>Offensive</v>
      </c>
      <c r="AG2182">
        <f t="shared" si="735"/>
        <v>18981</v>
      </c>
      <c r="AH2182" t="str">
        <f t="shared" si="736"/>
        <v>Nelson</v>
      </c>
      <c r="AI2182" t="str">
        <f t="shared" si="737"/>
        <v>Velodrome</v>
      </c>
      <c r="AJ2182" s="18">
        <f t="shared" si="730"/>
        <v>0</v>
      </c>
      <c r="AP2182" s="18">
        <f t="shared" si="731"/>
        <v>0</v>
      </c>
      <c r="AQ2182">
        <f t="shared" si="732"/>
        <v>2160</v>
      </c>
      <c r="AR2182" s="23">
        <f t="shared" si="733"/>
        <v>2859</v>
      </c>
      <c r="AS2182">
        <f t="shared" si="738"/>
        <v>2854</v>
      </c>
      <c r="AT2182" s="21">
        <f t="shared" si="739"/>
        <v>2859</v>
      </c>
      <c r="AU2182" s="21"/>
      <c r="AV2182" s="21"/>
      <c r="AW2182" s="21"/>
    </row>
    <row r="2183" spans="1:49" x14ac:dyDescent="0.2">
      <c r="A2183">
        <v>1154</v>
      </c>
      <c r="E2183">
        <f t="shared" si="734"/>
        <v>3</v>
      </c>
      <c r="J2183" t="str">
        <f t="shared" si="719"/>
        <v>6</v>
      </c>
      <c r="K2183" t="str">
        <f t="shared" si="720"/>
        <v>21</v>
      </c>
      <c r="L2183" t="str">
        <f t="shared" si="721"/>
        <v/>
      </c>
      <c r="M2183" s="6" t="str">
        <f t="shared" si="722"/>
        <v/>
      </c>
      <c r="N2183" t="str">
        <f t="shared" ref="N2183:N2245" si="740">IF(A2183=A2182,N2182,"")</f>
        <v>Away</v>
      </c>
      <c r="O2183">
        <v>24</v>
      </c>
      <c r="P2183" t="s">
        <v>424</v>
      </c>
      <c r="Y2183" t="str">
        <f t="shared" si="727"/>
        <v/>
      </c>
      <c r="Z2183" t="str">
        <f t="shared" si="728"/>
        <v/>
      </c>
      <c r="AC2183" t="str">
        <f t="shared" si="724"/>
        <v>Zone_Entry_Exit</v>
      </c>
      <c r="AD2183" t="str">
        <f t="shared" si="725"/>
        <v>Zone_Exit</v>
      </c>
      <c r="AE2183" t="str">
        <f t="shared" si="726"/>
        <v>ZoneExit-PassMiss/Misplay</v>
      </c>
      <c r="AF2183" t="str">
        <f t="shared" si="729"/>
        <v>Offensive</v>
      </c>
      <c r="AG2183">
        <f t="shared" si="735"/>
        <v>18981</v>
      </c>
      <c r="AH2183" t="str">
        <f t="shared" si="736"/>
        <v>Nelson</v>
      </c>
      <c r="AI2183" t="str">
        <f t="shared" si="737"/>
        <v>Velodrome</v>
      </c>
      <c r="AJ2183" s="18">
        <f t="shared" si="730"/>
        <v>0</v>
      </c>
      <c r="AP2183" s="18">
        <f t="shared" si="731"/>
        <v>0</v>
      </c>
      <c r="AQ2183">
        <f t="shared" si="732"/>
        <v>2160</v>
      </c>
      <c r="AR2183" s="23">
        <f t="shared" si="733"/>
        <v>2859</v>
      </c>
      <c r="AS2183">
        <f t="shared" si="738"/>
        <v>2854</v>
      </c>
      <c r="AT2183" s="21">
        <f t="shared" si="739"/>
        <v>2859</v>
      </c>
      <c r="AU2183" s="21"/>
      <c r="AV2183" s="21"/>
      <c r="AW2183" s="21"/>
    </row>
    <row r="2184" spans="1:49" x14ac:dyDescent="0.2">
      <c r="A2184">
        <v>1155</v>
      </c>
      <c r="E2184">
        <f t="shared" si="734"/>
        <v>3</v>
      </c>
      <c r="F2184" s="5" t="s">
        <v>541</v>
      </c>
      <c r="G2184" s="5" t="s">
        <v>493</v>
      </c>
      <c r="J2184" t="str">
        <f t="shared" si="719"/>
        <v>6</v>
      </c>
      <c r="K2184" t="str">
        <f t="shared" si="720"/>
        <v>21</v>
      </c>
      <c r="L2184" t="str">
        <f t="shared" si="721"/>
        <v/>
      </c>
      <c r="M2184" s="6" t="str">
        <f t="shared" si="722"/>
        <v/>
      </c>
      <c r="N2184" t="s">
        <v>179</v>
      </c>
      <c r="O2184">
        <v>91</v>
      </c>
      <c r="P2184" t="s">
        <v>424</v>
      </c>
      <c r="Q2184" t="s">
        <v>277</v>
      </c>
      <c r="R2184" t="s">
        <v>191</v>
      </c>
      <c r="S2184" t="s">
        <v>432</v>
      </c>
      <c r="Y2184" t="str">
        <f t="shared" si="727"/>
        <v/>
      </c>
      <c r="Z2184" t="str">
        <f t="shared" si="728"/>
        <v/>
      </c>
      <c r="AC2184" t="str">
        <f t="shared" si="724"/>
        <v>Zone_Entry_Exit</v>
      </c>
      <c r="AD2184" t="str">
        <f t="shared" si="725"/>
        <v>Zone_Entry</v>
      </c>
      <c r="AE2184" t="str">
        <f t="shared" si="726"/>
        <v>ZoneEntry-FromExitClear</v>
      </c>
      <c r="AF2184" t="str">
        <f t="shared" si="729"/>
        <v>Offensive</v>
      </c>
      <c r="AG2184">
        <f t="shared" si="735"/>
        <v>18981</v>
      </c>
      <c r="AH2184" t="str">
        <f t="shared" si="736"/>
        <v>Nelson</v>
      </c>
      <c r="AI2184" t="str">
        <f t="shared" si="737"/>
        <v>Velodrome</v>
      </c>
      <c r="AJ2184" s="18">
        <f t="shared" si="730"/>
        <v>0</v>
      </c>
      <c r="AP2184" s="18">
        <f t="shared" si="731"/>
        <v>0</v>
      </c>
      <c r="AQ2184">
        <f t="shared" si="732"/>
        <v>2160</v>
      </c>
      <c r="AR2184" s="23">
        <f t="shared" si="733"/>
        <v>2859</v>
      </c>
      <c r="AS2184">
        <f t="shared" si="738"/>
        <v>2854</v>
      </c>
      <c r="AT2184" s="21">
        <f t="shared" si="739"/>
        <v>2859</v>
      </c>
      <c r="AU2184" s="21"/>
      <c r="AV2184" s="21"/>
      <c r="AW2184" s="21"/>
    </row>
    <row r="2185" spans="1:49" x14ac:dyDescent="0.2">
      <c r="A2185">
        <v>1156</v>
      </c>
      <c r="E2185">
        <f t="shared" si="734"/>
        <v>3</v>
      </c>
      <c r="F2185" s="5" t="s">
        <v>541</v>
      </c>
      <c r="G2185" s="5" t="s">
        <v>490</v>
      </c>
      <c r="J2185" t="str">
        <f t="shared" ref="J2185:J2248" si="741">IF(F2185&lt;&gt;"",F2185,IF($A2185=$A2184,J2184,J2185))</f>
        <v>6</v>
      </c>
      <c r="K2185" t="str">
        <f t="shared" ref="K2185:K2248" si="742">IF($A2185=$A2184,K2184,G2185)</f>
        <v>18</v>
      </c>
      <c r="L2185" t="str">
        <f t="shared" ref="L2185:L2248" si="743">IF(H2185&lt;&gt;"",H2185,IF($A2185=$A2184,L2184,""))</f>
        <v/>
      </c>
      <c r="M2185" s="6" t="str">
        <f t="shared" ref="M2185:M2248" si="744">IF(I2185&lt;&gt;"",I2185,IF($A2185=$A2184,M2184,""))</f>
        <v/>
      </c>
      <c r="N2185" t="s">
        <v>179</v>
      </c>
      <c r="O2185">
        <v>91</v>
      </c>
      <c r="P2185" t="s">
        <v>424</v>
      </c>
      <c r="Q2185" t="s">
        <v>10</v>
      </c>
      <c r="R2185" t="s">
        <v>190</v>
      </c>
      <c r="S2185" t="s">
        <v>76</v>
      </c>
      <c r="Y2185" t="str">
        <f t="shared" si="727"/>
        <v/>
      </c>
      <c r="Z2185" t="str">
        <f t="shared" si="728"/>
        <v/>
      </c>
      <c r="AC2185" t="str">
        <f t="shared" si="724"/>
        <v>Turnover</v>
      </c>
      <c r="AD2185" t="str">
        <f t="shared" si="725"/>
        <v>Turnover_Giveaway</v>
      </c>
      <c r="AE2185" t="str">
        <f t="shared" si="726"/>
        <v>Giveaway-PassMissed</v>
      </c>
      <c r="AF2185" t="str">
        <f t="shared" si="729"/>
        <v>Offensive</v>
      </c>
      <c r="AG2185">
        <f t="shared" si="735"/>
        <v>18981</v>
      </c>
      <c r="AH2185" t="str">
        <f t="shared" si="736"/>
        <v>Nelson</v>
      </c>
      <c r="AI2185" t="str">
        <f t="shared" si="737"/>
        <v>Velodrome</v>
      </c>
      <c r="AJ2185" s="18">
        <f t="shared" si="730"/>
        <v>0</v>
      </c>
      <c r="AP2185" s="18">
        <f t="shared" si="731"/>
        <v>0</v>
      </c>
      <c r="AQ2185">
        <f t="shared" si="732"/>
        <v>2160</v>
      </c>
      <c r="AR2185" s="23">
        <f t="shared" si="733"/>
        <v>2862</v>
      </c>
      <c r="AS2185">
        <f t="shared" si="738"/>
        <v>2857</v>
      </c>
      <c r="AT2185" s="21">
        <f t="shared" si="739"/>
        <v>2862</v>
      </c>
      <c r="AU2185" s="21"/>
      <c r="AV2185" s="21"/>
      <c r="AW2185" s="21"/>
    </row>
    <row r="2186" spans="1:49" x14ac:dyDescent="0.2">
      <c r="A2186">
        <v>1157</v>
      </c>
      <c r="E2186">
        <f t="shared" si="734"/>
        <v>3</v>
      </c>
      <c r="F2186" s="5" t="s">
        <v>541</v>
      </c>
      <c r="G2186" s="5" t="s">
        <v>490</v>
      </c>
      <c r="J2186" t="str">
        <f t="shared" si="741"/>
        <v>6</v>
      </c>
      <c r="K2186" t="str">
        <f t="shared" si="742"/>
        <v>18</v>
      </c>
      <c r="L2186" t="str">
        <f t="shared" si="743"/>
        <v/>
      </c>
      <c r="M2186" s="6" t="str">
        <f t="shared" si="744"/>
        <v/>
      </c>
      <c r="N2186" t="s">
        <v>178</v>
      </c>
      <c r="O2186">
        <v>80</v>
      </c>
      <c r="P2186" t="s">
        <v>424</v>
      </c>
      <c r="Q2186" t="s">
        <v>277</v>
      </c>
      <c r="R2186" t="s">
        <v>201</v>
      </c>
      <c r="S2186" t="s">
        <v>92</v>
      </c>
      <c r="Y2186" t="str">
        <f t="shared" si="727"/>
        <v/>
      </c>
      <c r="Z2186" t="str">
        <f t="shared" si="728"/>
        <v/>
      </c>
      <c r="AC2186" t="str">
        <f t="shared" si="724"/>
        <v>Zone_Entry_Exit</v>
      </c>
      <c r="AD2186" t="str">
        <f t="shared" si="725"/>
        <v>Zone_Exit</v>
      </c>
      <c r="AE2186" t="str">
        <f t="shared" si="726"/>
        <v>ZoneExit-Clear</v>
      </c>
      <c r="AF2186" t="str">
        <f t="shared" si="729"/>
        <v>Offensive</v>
      </c>
      <c r="AG2186">
        <f t="shared" si="735"/>
        <v>18981</v>
      </c>
      <c r="AH2186" t="str">
        <f t="shared" si="736"/>
        <v>Nelson</v>
      </c>
      <c r="AI2186" t="str">
        <f t="shared" si="737"/>
        <v>Velodrome</v>
      </c>
      <c r="AJ2186" s="18">
        <f t="shared" si="730"/>
        <v>0</v>
      </c>
      <c r="AP2186" s="18">
        <f t="shared" si="731"/>
        <v>0</v>
      </c>
      <c r="AQ2186">
        <f t="shared" si="732"/>
        <v>2160</v>
      </c>
      <c r="AR2186" s="23">
        <f t="shared" si="733"/>
        <v>2862</v>
      </c>
      <c r="AS2186">
        <f t="shared" si="738"/>
        <v>2857</v>
      </c>
      <c r="AT2186" s="21">
        <f t="shared" si="739"/>
        <v>2862</v>
      </c>
      <c r="AU2186" s="21"/>
      <c r="AV2186" s="21"/>
      <c r="AW2186" s="21"/>
    </row>
    <row r="2187" spans="1:49" x14ac:dyDescent="0.2">
      <c r="A2187">
        <v>1158</v>
      </c>
      <c r="E2187">
        <f t="shared" si="734"/>
        <v>3</v>
      </c>
      <c r="F2187" s="5" t="s">
        <v>541</v>
      </c>
      <c r="G2187" s="5" t="s">
        <v>490</v>
      </c>
      <c r="J2187" t="str">
        <f t="shared" si="741"/>
        <v>6</v>
      </c>
      <c r="K2187" t="str">
        <f t="shared" si="742"/>
        <v>18</v>
      </c>
      <c r="L2187" t="str">
        <f t="shared" si="743"/>
        <v/>
      </c>
      <c r="M2187" s="6" t="str">
        <f t="shared" si="744"/>
        <v/>
      </c>
      <c r="N2187" t="s">
        <v>178</v>
      </c>
      <c r="O2187">
        <v>80</v>
      </c>
      <c r="P2187" t="s">
        <v>424</v>
      </c>
      <c r="Q2187" t="s">
        <v>10</v>
      </c>
      <c r="R2187" t="s">
        <v>190</v>
      </c>
      <c r="S2187" t="s">
        <v>411</v>
      </c>
      <c r="Y2187" t="str">
        <f t="shared" si="727"/>
        <v/>
      </c>
      <c r="Z2187" t="str">
        <f t="shared" si="728"/>
        <v/>
      </c>
      <c r="AC2187" t="str">
        <f t="shared" si="724"/>
        <v>Turnover</v>
      </c>
      <c r="AD2187" t="str">
        <f t="shared" si="725"/>
        <v>Turnover_Giveaway</v>
      </c>
      <c r="AE2187" t="str">
        <f t="shared" si="726"/>
        <v>Giveaway-ZoneClear/Dump</v>
      </c>
      <c r="AF2187" t="str">
        <f t="shared" si="729"/>
        <v>Offensive</v>
      </c>
      <c r="AG2187">
        <f t="shared" si="735"/>
        <v>18981</v>
      </c>
      <c r="AH2187" t="str">
        <f t="shared" si="736"/>
        <v>Nelson</v>
      </c>
      <c r="AI2187" t="str">
        <f t="shared" si="737"/>
        <v>Velodrome</v>
      </c>
      <c r="AJ2187" s="18">
        <f t="shared" si="730"/>
        <v>0</v>
      </c>
      <c r="AP2187" s="18">
        <f t="shared" si="731"/>
        <v>0</v>
      </c>
      <c r="AQ2187">
        <f t="shared" si="732"/>
        <v>2160</v>
      </c>
      <c r="AR2187" s="23">
        <f t="shared" si="733"/>
        <v>2862</v>
      </c>
      <c r="AS2187">
        <f t="shared" si="738"/>
        <v>2857</v>
      </c>
      <c r="AT2187" s="21">
        <f t="shared" si="739"/>
        <v>2862</v>
      </c>
      <c r="AU2187" s="21"/>
      <c r="AV2187" s="21"/>
      <c r="AW2187" s="21"/>
    </row>
    <row r="2188" spans="1:49" x14ac:dyDescent="0.2">
      <c r="A2188">
        <v>1159</v>
      </c>
      <c r="E2188">
        <f t="shared" si="734"/>
        <v>3</v>
      </c>
      <c r="F2188" s="5" t="s">
        <v>541</v>
      </c>
      <c r="G2188" s="5" t="s">
        <v>489</v>
      </c>
      <c r="J2188" t="str">
        <f t="shared" si="741"/>
        <v>6</v>
      </c>
      <c r="K2188" t="str">
        <f t="shared" si="742"/>
        <v>14</v>
      </c>
      <c r="L2188" t="str">
        <f t="shared" si="743"/>
        <v/>
      </c>
      <c r="M2188" s="6" t="str">
        <f t="shared" si="744"/>
        <v/>
      </c>
      <c r="N2188" t="s">
        <v>179</v>
      </c>
      <c r="O2188">
        <v>52</v>
      </c>
      <c r="P2188" t="s">
        <v>424</v>
      </c>
      <c r="Q2188" t="s">
        <v>277</v>
      </c>
      <c r="R2188" t="s">
        <v>191</v>
      </c>
      <c r="S2188" t="s">
        <v>89</v>
      </c>
      <c r="Y2188" t="str">
        <f t="shared" si="727"/>
        <v/>
      </c>
      <c r="Z2188" t="str">
        <f t="shared" si="728"/>
        <v/>
      </c>
      <c r="AC2188" t="str">
        <f t="shared" si="724"/>
        <v>Zone_Entry_Exit</v>
      </c>
      <c r="AD2188" t="str">
        <f t="shared" si="725"/>
        <v>Zone_Entry</v>
      </c>
      <c r="AE2188" t="str">
        <f t="shared" si="726"/>
        <v>ZoneEntry-DumpIn</v>
      </c>
      <c r="AF2188" t="str">
        <f t="shared" si="729"/>
        <v>Offensive</v>
      </c>
      <c r="AG2188">
        <f t="shared" si="735"/>
        <v>18981</v>
      </c>
      <c r="AH2188" t="str">
        <f t="shared" si="736"/>
        <v>Nelson</v>
      </c>
      <c r="AI2188" t="str">
        <f t="shared" si="737"/>
        <v>Velodrome</v>
      </c>
      <c r="AJ2188" s="18">
        <f t="shared" si="730"/>
        <v>0</v>
      </c>
      <c r="AP2188" s="18">
        <f t="shared" si="731"/>
        <v>0</v>
      </c>
      <c r="AQ2188">
        <f t="shared" si="732"/>
        <v>2160</v>
      </c>
      <c r="AR2188" s="23">
        <f t="shared" si="733"/>
        <v>2866</v>
      </c>
      <c r="AS2188">
        <f t="shared" si="738"/>
        <v>2861</v>
      </c>
      <c r="AT2188" s="21">
        <f t="shared" si="739"/>
        <v>2866</v>
      </c>
      <c r="AU2188" s="21"/>
      <c r="AV2188" s="21"/>
      <c r="AW2188" s="21"/>
    </row>
    <row r="2189" spans="1:49" x14ac:dyDescent="0.2">
      <c r="A2189">
        <v>1160</v>
      </c>
      <c r="E2189">
        <f t="shared" si="734"/>
        <v>3</v>
      </c>
      <c r="F2189" s="5" t="s">
        <v>541</v>
      </c>
      <c r="G2189" s="5" t="s">
        <v>489</v>
      </c>
      <c r="J2189" t="str">
        <f t="shared" si="741"/>
        <v>6</v>
      </c>
      <c r="K2189" t="str">
        <f t="shared" si="742"/>
        <v>14</v>
      </c>
      <c r="L2189" t="str">
        <f t="shared" si="743"/>
        <v/>
      </c>
      <c r="M2189" s="6" t="str">
        <f t="shared" si="744"/>
        <v/>
      </c>
      <c r="N2189" t="s">
        <v>179</v>
      </c>
      <c r="O2189">
        <v>52</v>
      </c>
      <c r="P2189" t="s">
        <v>424</v>
      </c>
      <c r="Q2189" t="s">
        <v>10</v>
      </c>
      <c r="R2189" t="s">
        <v>190</v>
      </c>
      <c r="S2189" t="s">
        <v>411</v>
      </c>
      <c r="Y2189" t="str">
        <f t="shared" si="727"/>
        <v/>
      </c>
      <c r="Z2189" t="str">
        <f t="shared" si="728"/>
        <v/>
      </c>
      <c r="AC2189" t="str">
        <f t="shared" si="724"/>
        <v>Turnover</v>
      </c>
      <c r="AD2189" t="str">
        <f t="shared" si="725"/>
        <v>Turnover_Giveaway</v>
      </c>
      <c r="AE2189" t="str">
        <f t="shared" si="726"/>
        <v>Giveaway-ZoneClear/Dump</v>
      </c>
      <c r="AF2189" t="str">
        <f t="shared" si="729"/>
        <v>Offensive</v>
      </c>
      <c r="AG2189">
        <f t="shared" si="735"/>
        <v>18981</v>
      </c>
      <c r="AH2189" t="str">
        <f t="shared" si="736"/>
        <v>Nelson</v>
      </c>
      <c r="AI2189" t="str">
        <f t="shared" si="737"/>
        <v>Velodrome</v>
      </c>
      <c r="AJ2189" s="18">
        <f t="shared" si="730"/>
        <v>0</v>
      </c>
      <c r="AP2189" s="18">
        <f t="shared" si="731"/>
        <v>0</v>
      </c>
      <c r="AQ2189">
        <f t="shared" si="732"/>
        <v>2160</v>
      </c>
      <c r="AR2189" s="23">
        <f t="shared" si="733"/>
        <v>2866</v>
      </c>
      <c r="AS2189">
        <f t="shared" si="738"/>
        <v>2861</v>
      </c>
      <c r="AT2189" s="21">
        <f t="shared" si="739"/>
        <v>2866</v>
      </c>
      <c r="AU2189" s="21"/>
      <c r="AV2189" s="21"/>
      <c r="AW2189" s="21"/>
    </row>
    <row r="2190" spans="1:49" x14ac:dyDescent="0.2">
      <c r="A2190">
        <v>1161</v>
      </c>
      <c r="E2190">
        <f t="shared" si="734"/>
        <v>3</v>
      </c>
      <c r="F2190" s="5" t="s">
        <v>541</v>
      </c>
      <c r="G2190" s="5" t="s">
        <v>484</v>
      </c>
      <c r="H2190" s="5" t="s">
        <v>541</v>
      </c>
      <c r="I2190" s="7" t="s">
        <v>476</v>
      </c>
      <c r="J2190" t="str">
        <f t="shared" si="741"/>
        <v>6</v>
      </c>
      <c r="K2190" t="str">
        <f t="shared" si="742"/>
        <v>09</v>
      </c>
      <c r="L2190" t="str">
        <f t="shared" si="743"/>
        <v>6</v>
      </c>
      <c r="M2190" s="6" t="str">
        <f t="shared" si="744"/>
        <v>06</v>
      </c>
      <c r="N2190" t="s">
        <v>178</v>
      </c>
      <c r="O2190">
        <v>80</v>
      </c>
      <c r="P2190" t="s">
        <v>424</v>
      </c>
      <c r="Q2190" t="s">
        <v>15</v>
      </c>
      <c r="Y2190" t="str">
        <f t="shared" si="727"/>
        <v/>
      </c>
      <c r="Z2190" t="str">
        <f t="shared" si="728"/>
        <v/>
      </c>
      <c r="AC2190" t="str">
        <f t="shared" si="724"/>
        <v>Possession</v>
      </c>
      <c r="AD2190" t="str">
        <f t="shared" si="725"/>
        <v/>
      </c>
      <c r="AE2190" t="str">
        <f t="shared" si="726"/>
        <v/>
      </c>
      <c r="AF2190" t="str">
        <f t="shared" si="729"/>
        <v>Offensive</v>
      </c>
      <c r="AG2190">
        <f t="shared" si="735"/>
        <v>18981</v>
      </c>
      <c r="AH2190" t="str">
        <f t="shared" si="736"/>
        <v>Nelson</v>
      </c>
      <c r="AI2190" t="str">
        <f t="shared" si="737"/>
        <v>Velodrome</v>
      </c>
      <c r="AJ2190" s="18">
        <f t="shared" si="730"/>
        <v>3</v>
      </c>
      <c r="AP2190" s="18">
        <f t="shared" si="731"/>
        <v>0</v>
      </c>
      <c r="AQ2190">
        <f t="shared" si="732"/>
        <v>2160</v>
      </c>
      <c r="AR2190" s="23">
        <f t="shared" si="733"/>
        <v>2871</v>
      </c>
      <c r="AS2190">
        <f t="shared" si="738"/>
        <v>2866</v>
      </c>
      <c r="AT2190" s="21">
        <f t="shared" si="739"/>
        <v>2874</v>
      </c>
      <c r="AU2190" s="21"/>
      <c r="AV2190" s="21"/>
      <c r="AW2190" s="21"/>
    </row>
    <row r="2191" spans="1:49" x14ac:dyDescent="0.2">
      <c r="A2191">
        <v>1162</v>
      </c>
      <c r="E2191">
        <f t="shared" si="734"/>
        <v>3</v>
      </c>
      <c r="F2191" s="5" t="s">
        <v>541</v>
      </c>
      <c r="G2191" s="5" t="s">
        <v>474</v>
      </c>
      <c r="J2191" t="str">
        <f t="shared" si="741"/>
        <v>6</v>
      </c>
      <c r="K2191" t="str">
        <f t="shared" si="742"/>
        <v>02</v>
      </c>
      <c r="L2191" t="str">
        <f t="shared" si="743"/>
        <v/>
      </c>
      <c r="M2191" s="6" t="str">
        <f t="shared" si="744"/>
        <v/>
      </c>
      <c r="N2191" t="s">
        <v>178</v>
      </c>
      <c r="O2191">
        <v>80</v>
      </c>
      <c r="P2191" t="s">
        <v>424</v>
      </c>
      <c r="Q2191" t="s">
        <v>13</v>
      </c>
      <c r="R2191" t="s">
        <v>204</v>
      </c>
      <c r="S2191" t="s">
        <v>108</v>
      </c>
      <c r="Y2191" t="str">
        <f t="shared" si="727"/>
        <v/>
      </c>
      <c r="Z2191" t="str">
        <f t="shared" si="728"/>
        <v/>
      </c>
      <c r="AC2191" t="str">
        <f t="shared" si="724"/>
        <v>Stoppage</v>
      </c>
      <c r="AD2191" t="str">
        <f t="shared" si="725"/>
        <v>Stoppage_Play</v>
      </c>
      <c r="AE2191" t="str">
        <f t="shared" si="726"/>
        <v>Stoppage-Icing</v>
      </c>
      <c r="AF2191" t="str">
        <f t="shared" si="729"/>
        <v/>
      </c>
      <c r="AG2191">
        <f t="shared" si="735"/>
        <v>18981</v>
      </c>
      <c r="AH2191" t="str">
        <f t="shared" si="736"/>
        <v>Nelson</v>
      </c>
      <c r="AI2191" t="str">
        <f t="shared" si="737"/>
        <v>Velodrome</v>
      </c>
      <c r="AJ2191" s="18">
        <f t="shared" si="730"/>
        <v>0</v>
      </c>
      <c r="AP2191" s="18">
        <f t="shared" si="731"/>
        <v>0</v>
      </c>
      <c r="AQ2191">
        <f t="shared" si="732"/>
        <v>2160</v>
      </c>
      <c r="AR2191" s="23">
        <f t="shared" si="733"/>
        <v>2878</v>
      </c>
      <c r="AS2191">
        <f t="shared" si="738"/>
        <v>2873</v>
      </c>
      <c r="AT2191" s="21">
        <f t="shared" si="739"/>
        <v>2878</v>
      </c>
      <c r="AU2191" s="21"/>
      <c r="AV2191" s="21"/>
      <c r="AW2191" s="21"/>
    </row>
    <row r="2192" spans="1:49" x14ac:dyDescent="0.2">
      <c r="A2192">
        <v>1163</v>
      </c>
      <c r="E2192">
        <f t="shared" si="734"/>
        <v>3</v>
      </c>
      <c r="F2192" s="5" t="s">
        <v>541</v>
      </c>
      <c r="G2192" s="5" t="s">
        <v>474</v>
      </c>
      <c r="H2192" s="5" t="s">
        <v>540</v>
      </c>
      <c r="I2192" s="7" t="s">
        <v>511</v>
      </c>
      <c r="J2192" t="str">
        <f t="shared" si="741"/>
        <v>6</v>
      </c>
      <c r="K2192" t="str">
        <f t="shared" si="742"/>
        <v>02</v>
      </c>
      <c r="L2192" t="str">
        <f t="shared" si="743"/>
        <v>5</v>
      </c>
      <c r="M2192" s="6" t="str">
        <f t="shared" si="744"/>
        <v>39</v>
      </c>
      <c r="N2192" t="s">
        <v>178</v>
      </c>
      <c r="O2192">
        <v>80</v>
      </c>
      <c r="P2192" t="s">
        <v>424</v>
      </c>
      <c r="Q2192" t="s">
        <v>282</v>
      </c>
      <c r="Y2192" t="str">
        <f t="shared" si="727"/>
        <v/>
      </c>
      <c r="Z2192" t="str">
        <f t="shared" si="728"/>
        <v/>
      </c>
      <c r="AC2192" t="str">
        <f t="shared" si="724"/>
        <v>DeadIce</v>
      </c>
      <c r="AD2192" t="str">
        <f t="shared" si="725"/>
        <v/>
      </c>
      <c r="AE2192" t="str">
        <f t="shared" si="726"/>
        <v/>
      </c>
      <c r="AF2192" t="str">
        <f t="shared" si="729"/>
        <v/>
      </c>
      <c r="AG2192">
        <f t="shared" si="735"/>
        <v>18981</v>
      </c>
      <c r="AH2192" t="str">
        <f t="shared" si="736"/>
        <v>Nelson</v>
      </c>
      <c r="AI2192" t="str">
        <f t="shared" si="737"/>
        <v>Velodrome</v>
      </c>
      <c r="AJ2192" s="18">
        <f t="shared" si="730"/>
        <v>23</v>
      </c>
      <c r="AP2192" s="18">
        <f t="shared" si="731"/>
        <v>0</v>
      </c>
      <c r="AQ2192">
        <f t="shared" si="732"/>
        <v>2160</v>
      </c>
      <c r="AR2192" s="23">
        <f t="shared" si="733"/>
        <v>2878</v>
      </c>
      <c r="AS2192">
        <f t="shared" si="738"/>
        <v>2873</v>
      </c>
      <c r="AT2192" s="21">
        <f t="shared" si="739"/>
        <v>2901</v>
      </c>
      <c r="AU2192" s="21"/>
      <c r="AV2192" s="21"/>
      <c r="AW2192" s="21"/>
    </row>
    <row r="2193" spans="1:49" x14ac:dyDescent="0.2">
      <c r="A2193">
        <v>1164</v>
      </c>
      <c r="E2193">
        <f t="shared" si="734"/>
        <v>3</v>
      </c>
      <c r="F2193" s="5" t="s">
        <v>540</v>
      </c>
      <c r="G2193" s="5" t="s">
        <v>511</v>
      </c>
      <c r="J2193" t="str">
        <f t="shared" si="741"/>
        <v>5</v>
      </c>
      <c r="K2193" t="str">
        <f t="shared" si="742"/>
        <v>39</v>
      </c>
      <c r="L2193" t="str">
        <f t="shared" si="743"/>
        <v/>
      </c>
      <c r="M2193" s="6" t="str">
        <f t="shared" si="744"/>
        <v/>
      </c>
      <c r="N2193" t="s">
        <v>178</v>
      </c>
      <c r="O2193">
        <v>10</v>
      </c>
      <c r="P2193" t="s">
        <v>424</v>
      </c>
      <c r="Q2193" t="s">
        <v>6</v>
      </c>
      <c r="R2193" t="s">
        <v>275</v>
      </c>
      <c r="Y2193" t="str">
        <f t="shared" si="727"/>
        <v/>
      </c>
      <c r="Z2193" t="str">
        <f t="shared" si="728"/>
        <v/>
      </c>
      <c r="AC2193" t="str">
        <f t="shared" si="724"/>
        <v>Faceoff</v>
      </c>
      <c r="AD2193" t="str">
        <f t="shared" si="725"/>
        <v>Faceoff_AfterStoppage</v>
      </c>
      <c r="AE2193" t="str">
        <f t="shared" si="726"/>
        <v/>
      </c>
      <c r="AF2193" t="str">
        <f t="shared" si="729"/>
        <v>Offensive</v>
      </c>
      <c r="AG2193">
        <f t="shared" si="735"/>
        <v>18981</v>
      </c>
      <c r="AH2193" t="str">
        <f t="shared" si="736"/>
        <v>Nelson</v>
      </c>
      <c r="AI2193" t="str">
        <f t="shared" si="737"/>
        <v>Velodrome</v>
      </c>
      <c r="AJ2193" s="18">
        <f t="shared" si="730"/>
        <v>0</v>
      </c>
      <c r="AP2193" s="18">
        <f t="shared" si="731"/>
        <v>0</v>
      </c>
      <c r="AQ2193">
        <f t="shared" si="732"/>
        <v>2160</v>
      </c>
      <c r="AR2193" s="23">
        <f t="shared" si="733"/>
        <v>2901</v>
      </c>
      <c r="AS2193">
        <f t="shared" si="738"/>
        <v>2896</v>
      </c>
      <c r="AT2193" s="21">
        <f t="shared" si="739"/>
        <v>2901</v>
      </c>
      <c r="AU2193" s="21"/>
      <c r="AV2193" s="21"/>
      <c r="AW2193" s="21"/>
    </row>
    <row r="2194" spans="1:49" x14ac:dyDescent="0.2">
      <c r="A2194">
        <v>1164</v>
      </c>
      <c r="E2194">
        <f t="shared" si="734"/>
        <v>3</v>
      </c>
      <c r="J2194" t="str">
        <f t="shared" si="741"/>
        <v>5</v>
      </c>
      <c r="K2194" t="str">
        <f t="shared" si="742"/>
        <v>39</v>
      </c>
      <c r="L2194" t="str">
        <f t="shared" si="743"/>
        <v/>
      </c>
      <c r="M2194" s="6" t="str">
        <f t="shared" si="744"/>
        <v/>
      </c>
      <c r="N2194" t="str">
        <f t="shared" si="740"/>
        <v>Home</v>
      </c>
      <c r="O2194">
        <v>42</v>
      </c>
      <c r="P2194" t="s">
        <v>425</v>
      </c>
      <c r="Y2194" t="str">
        <f t="shared" si="727"/>
        <v/>
      </c>
      <c r="Z2194" t="str">
        <f t="shared" si="728"/>
        <v/>
      </c>
      <c r="AC2194" t="str">
        <f t="shared" si="724"/>
        <v>Faceoff</v>
      </c>
      <c r="AD2194" t="str">
        <f t="shared" si="725"/>
        <v>Faceoff_AfterStoppage</v>
      </c>
      <c r="AE2194" t="str">
        <f t="shared" si="726"/>
        <v/>
      </c>
      <c r="AF2194" t="str">
        <f t="shared" si="729"/>
        <v>Defensive</v>
      </c>
      <c r="AG2194">
        <f t="shared" si="735"/>
        <v>18981</v>
      </c>
      <c r="AH2194" t="str">
        <f t="shared" si="736"/>
        <v>Nelson</v>
      </c>
      <c r="AI2194" t="str">
        <f t="shared" si="737"/>
        <v>Velodrome</v>
      </c>
      <c r="AJ2194" s="18">
        <f t="shared" si="730"/>
        <v>0</v>
      </c>
      <c r="AP2194" s="18">
        <f t="shared" si="731"/>
        <v>0</v>
      </c>
      <c r="AQ2194">
        <f t="shared" si="732"/>
        <v>2160</v>
      </c>
      <c r="AR2194" s="23">
        <f t="shared" si="733"/>
        <v>2901</v>
      </c>
      <c r="AS2194">
        <f t="shared" si="738"/>
        <v>2896</v>
      </c>
      <c r="AT2194" s="21">
        <f t="shared" si="739"/>
        <v>2901</v>
      </c>
      <c r="AU2194" s="21"/>
      <c r="AV2194" s="21"/>
      <c r="AW2194" s="21"/>
    </row>
    <row r="2195" spans="1:49" x14ac:dyDescent="0.2">
      <c r="A2195">
        <v>1165</v>
      </c>
      <c r="E2195">
        <f t="shared" si="734"/>
        <v>3</v>
      </c>
      <c r="F2195" s="5" t="s">
        <v>540</v>
      </c>
      <c r="G2195" s="5" t="s">
        <v>508</v>
      </c>
      <c r="H2195" s="5" t="s">
        <v>540</v>
      </c>
      <c r="I2195" s="7" t="s">
        <v>504</v>
      </c>
      <c r="J2195" t="str">
        <f t="shared" si="741"/>
        <v>5</v>
      </c>
      <c r="K2195" t="str">
        <f t="shared" si="742"/>
        <v>36</v>
      </c>
      <c r="L2195" t="str">
        <f t="shared" si="743"/>
        <v>5</v>
      </c>
      <c r="M2195" s="6" t="str">
        <f t="shared" si="744"/>
        <v>32</v>
      </c>
      <c r="N2195" t="s">
        <v>178</v>
      </c>
      <c r="O2195">
        <v>37</v>
      </c>
      <c r="P2195" t="s">
        <v>424</v>
      </c>
      <c r="Q2195" t="s">
        <v>15</v>
      </c>
      <c r="Y2195" t="str">
        <f t="shared" si="727"/>
        <v/>
      </c>
      <c r="Z2195" t="str">
        <f t="shared" si="728"/>
        <v/>
      </c>
      <c r="AC2195" t="str">
        <f t="shared" si="724"/>
        <v>Possession</v>
      </c>
      <c r="AD2195" t="str">
        <f t="shared" si="725"/>
        <v/>
      </c>
      <c r="AE2195" t="str">
        <f t="shared" si="726"/>
        <v/>
      </c>
      <c r="AF2195" t="str">
        <f t="shared" si="729"/>
        <v>Offensive</v>
      </c>
      <c r="AG2195">
        <f t="shared" si="735"/>
        <v>18981</v>
      </c>
      <c r="AH2195" t="str">
        <f t="shared" si="736"/>
        <v>Nelson</v>
      </c>
      <c r="AI2195" t="str">
        <f t="shared" si="737"/>
        <v>Velodrome</v>
      </c>
      <c r="AJ2195" s="18">
        <f t="shared" si="730"/>
        <v>4</v>
      </c>
      <c r="AP2195" s="18">
        <f t="shared" si="731"/>
        <v>0</v>
      </c>
      <c r="AQ2195">
        <f t="shared" si="732"/>
        <v>2160</v>
      </c>
      <c r="AR2195" s="23">
        <f t="shared" si="733"/>
        <v>2904</v>
      </c>
      <c r="AS2195">
        <f t="shared" si="738"/>
        <v>2899</v>
      </c>
      <c r="AT2195" s="21">
        <f t="shared" si="739"/>
        <v>2908</v>
      </c>
      <c r="AU2195" s="21"/>
      <c r="AV2195" s="21"/>
      <c r="AW2195" s="21"/>
    </row>
    <row r="2196" spans="1:49" x14ac:dyDescent="0.2">
      <c r="A2196">
        <v>1165</v>
      </c>
      <c r="E2196">
        <f t="shared" si="734"/>
        <v>3</v>
      </c>
      <c r="J2196" t="str">
        <f t="shared" si="741"/>
        <v>5</v>
      </c>
      <c r="K2196" t="str">
        <f t="shared" si="742"/>
        <v>36</v>
      </c>
      <c r="L2196" t="str">
        <f t="shared" si="743"/>
        <v>5</v>
      </c>
      <c r="M2196" s="6" t="str">
        <f t="shared" si="744"/>
        <v>32</v>
      </c>
      <c r="N2196" t="str">
        <f t="shared" si="740"/>
        <v>Home</v>
      </c>
      <c r="O2196">
        <v>14</v>
      </c>
      <c r="P2196" t="s">
        <v>425</v>
      </c>
      <c r="Y2196" t="str">
        <f t="shared" si="727"/>
        <v/>
      </c>
      <c r="Z2196" t="str">
        <f t="shared" si="728"/>
        <v/>
      </c>
      <c r="AC2196" t="str">
        <f t="shared" si="724"/>
        <v>Possession</v>
      </c>
      <c r="AD2196" t="str">
        <f t="shared" si="725"/>
        <v/>
      </c>
      <c r="AE2196" t="str">
        <f t="shared" si="726"/>
        <v/>
      </c>
      <c r="AF2196" t="str">
        <f t="shared" si="729"/>
        <v>Defensive</v>
      </c>
      <c r="AG2196">
        <f t="shared" si="735"/>
        <v>18981</v>
      </c>
      <c r="AH2196" t="str">
        <f t="shared" si="736"/>
        <v>Nelson</v>
      </c>
      <c r="AI2196" t="str">
        <f t="shared" si="737"/>
        <v>Velodrome</v>
      </c>
      <c r="AJ2196" s="18">
        <f t="shared" si="730"/>
        <v>4</v>
      </c>
      <c r="AP2196" s="18">
        <f t="shared" si="731"/>
        <v>0</v>
      </c>
      <c r="AQ2196">
        <f t="shared" si="732"/>
        <v>2160</v>
      </c>
      <c r="AR2196" s="23">
        <f t="shared" si="733"/>
        <v>2904</v>
      </c>
      <c r="AS2196">
        <f t="shared" si="738"/>
        <v>2899</v>
      </c>
      <c r="AT2196" s="21">
        <f t="shared" si="739"/>
        <v>2908</v>
      </c>
      <c r="AU2196" s="21"/>
      <c r="AV2196" s="21"/>
      <c r="AW2196" s="21"/>
    </row>
    <row r="2197" spans="1:49" x14ac:dyDescent="0.2">
      <c r="A2197">
        <v>1166</v>
      </c>
      <c r="E2197">
        <f t="shared" si="734"/>
        <v>3</v>
      </c>
      <c r="F2197" s="5" t="s">
        <v>540</v>
      </c>
      <c r="G2197" s="5" t="s">
        <v>504</v>
      </c>
      <c r="H2197" s="5" t="s">
        <v>540</v>
      </c>
      <c r="I2197" s="7" t="s">
        <v>501</v>
      </c>
      <c r="J2197" t="str">
        <f t="shared" si="741"/>
        <v>5</v>
      </c>
      <c r="K2197" t="str">
        <f t="shared" si="742"/>
        <v>32</v>
      </c>
      <c r="L2197" t="str">
        <f t="shared" si="743"/>
        <v>5</v>
      </c>
      <c r="M2197" s="6" t="str">
        <f t="shared" si="744"/>
        <v>29</v>
      </c>
      <c r="N2197" t="s">
        <v>178</v>
      </c>
      <c r="O2197">
        <v>37</v>
      </c>
      <c r="P2197" t="s">
        <v>424</v>
      </c>
      <c r="Q2197" t="s">
        <v>277</v>
      </c>
      <c r="R2197" t="s">
        <v>201</v>
      </c>
      <c r="S2197" t="s">
        <v>90</v>
      </c>
      <c r="Y2197" t="str">
        <f t="shared" si="727"/>
        <v/>
      </c>
      <c r="Z2197" t="str">
        <f t="shared" si="728"/>
        <v/>
      </c>
      <c r="AC2197" t="str">
        <f t="shared" si="724"/>
        <v>Zone_Entry_Exit</v>
      </c>
      <c r="AD2197" t="str">
        <f t="shared" si="725"/>
        <v>Zone_Exit</v>
      </c>
      <c r="AE2197" t="str">
        <f t="shared" si="726"/>
        <v>ZoneExit-Rush</v>
      </c>
      <c r="AF2197" t="str">
        <f t="shared" si="729"/>
        <v>Offensive</v>
      </c>
      <c r="AG2197">
        <f t="shared" si="735"/>
        <v>18981</v>
      </c>
      <c r="AH2197" t="str">
        <f t="shared" si="736"/>
        <v>Nelson</v>
      </c>
      <c r="AI2197" t="str">
        <f t="shared" si="737"/>
        <v>Velodrome</v>
      </c>
      <c r="AJ2197" s="18">
        <f t="shared" si="730"/>
        <v>3</v>
      </c>
      <c r="AP2197" s="18">
        <f t="shared" si="731"/>
        <v>0</v>
      </c>
      <c r="AQ2197">
        <f t="shared" si="732"/>
        <v>2160</v>
      </c>
      <c r="AR2197" s="23">
        <f t="shared" si="733"/>
        <v>2908</v>
      </c>
      <c r="AS2197">
        <f t="shared" si="738"/>
        <v>2903</v>
      </c>
      <c r="AT2197" s="21">
        <f t="shared" si="739"/>
        <v>2911</v>
      </c>
      <c r="AU2197" s="21"/>
      <c r="AV2197" s="21"/>
      <c r="AW2197" s="21"/>
    </row>
    <row r="2198" spans="1:49" x14ac:dyDescent="0.2">
      <c r="A2198">
        <v>1166</v>
      </c>
      <c r="E2198">
        <f t="shared" si="734"/>
        <v>3</v>
      </c>
      <c r="J2198" t="str">
        <f t="shared" si="741"/>
        <v>5</v>
      </c>
      <c r="K2198" t="str">
        <f t="shared" si="742"/>
        <v>32</v>
      </c>
      <c r="L2198" t="str">
        <f t="shared" si="743"/>
        <v>5</v>
      </c>
      <c r="M2198" s="6" t="str">
        <f t="shared" si="744"/>
        <v>29</v>
      </c>
      <c r="N2198" t="str">
        <f t="shared" si="740"/>
        <v>Home</v>
      </c>
      <c r="O2198">
        <v>14</v>
      </c>
      <c r="P2198" t="s">
        <v>425</v>
      </c>
      <c r="Y2198" t="str">
        <f t="shared" si="727"/>
        <v/>
      </c>
      <c r="Z2198" t="str">
        <f t="shared" si="728"/>
        <v/>
      </c>
      <c r="AC2198" t="str">
        <f t="shared" si="724"/>
        <v>Zone_Entry_Exit</v>
      </c>
      <c r="AD2198" t="str">
        <f t="shared" si="725"/>
        <v>Zone_Exit</v>
      </c>
      <c r="AE2198" t="str">
        <f t="shared" si="726"/>
        <v>ZoneExit-Rush</v>
      </c>
      <c r="AF2198" t="str">
        <f t="shared" si="729"/>
        <v>Defensive</v>
      </c>
      <c r="AG2198">
        <f t="shared" si="735"/>
        <v>18981</v>
      </c>
      <c r="AH2198" t="str">
        <f t="shared" si="736"/>
        <v>Nelson</v>
      </c>
      <c r="AI2198" t="str">
        <f t="shared" si="737"/>
        <v>Velodrome</v>
      </c>
      <c r="AJ2198" s="18">
        <f t="shared" si="730"/>
        <v>3</v>
      </c>
      <c r="AP2198" s="18">
        <f t="shared" si="731"/>
        <v>0</v>
      </c>
      <c r="AQ2198">
        <f t="shared" si="732"/>
        <v>2160</v>
      </c>
      <c r="AR2198" s="23">
        <f t="shared" si="733"/>
        <v>2908</v>
      </c>
      <c r="AS2198">
        <f t="shared" si="738"/>
        <v>2903</v>
      </c>
      <c r="AT2198" s="21">
        <f t="shared" si="739"/>
        <v>2911</v>
      </c>
      <c r="AU2198" s="21"/>
      <c r="AV2198" s="21"/>
      <c r="AW2198" s="21"/>
    </row>
    <row r="2199" spans="1:49" x14ac:dyDescent="0.2">
      <c r="A2199">
        <v>1167</v>
      </c>
      <c r="E2199">
        <f t="shared" si="734"/>
        <v>3</v>
      </c>
      <c r="F2199" s="5" t="s">
        <v>540</v>
      </c>
      <c r="G2199" s="5" t="s">
        <v>501</v>
      </c>
      <c r="H2199" s="5" t="s">
        <v>540</v>
      </c>
      <c r="I2199" s="7" t="s">
        <v>499</v>
      </c>
      <c r="J2199" t="str">
        <f t="shared" si="741"/>
        <v>5</v>
      </c>
      <c r="K2199" t="str">
        <f t="shared" si="742"/>
        <v>29</v>
      </c>
      <c r="L2199" t="str">
        <f t="shared" si="743"/>
        <v>5</v>
      </c>
      <c r="M2199" s="6" t="str">
        <f t="shared" si="744"/>
        <v>27</v>
      </c>
      <c r="N2199" t="s">
        <v>178</v>
      </c>
      <c r="O2199">
        <v>37</v>
      </c>
      <c r="P2199" t="s">
        <v>424</v>
      </c>
      <c r="Q2199" t="s">
        <v>15</v>
      </c>
      <c r="Y2199" t="str">
        <f t="shared" si="727"/>
        <v/>
      </c>
      <c r="Z2199" t="str">
        <f t="shared" si="728"/>
        <v/>
      </c>
      <c r="AC2199" t="str">
        <f t="shared" si="724"/>
        <v>Possession</v>
      </c>
      <c r="AD2199" t="str">
        <f t="shared" si="725"/>
        <v/>
      </c>
      <c r="AE2199" t="str">
        <f t="shared" si="726"/>
        <v/>
      </c>
      <c r="AF2199" t="str">
        <f t="shared" si="729"/>
        <v>Offensive</v>
      </c>
      <c r="AG2199">
        <f t="shared" si="735"/>
        <v>18981</v>
      </c>
      <c r="AH2199" t="str">
        <f t="shared" si="736"/>
        <v>Nelson</v>
      </c>
      <c r="AI2199" t="str">
        <f t="shared" si="737"/>
        <v>Velodrome</v>
      </c>
      <c r="AJ2199" s="18">
        <f t="shared" si="730"/>
        <v>2</v>
      </c>
      <c r="AP2199" s="18">
        <f t="shared" si="731"/>
        <v>0</v>
      </c>
      <c r="AQ2199">
        <f t="shared" si="732"/>
        <v>2160</v>
      </c>
      <c r="AR2199" s="23">
        <f t="shared" si="733"/>
        <v>2911</v>
      </c>
      <c r="AS2199">
        <f t="shared" si="738"/>
        <v>2906</v>
      </c>
      <c r="AT2199" s="21">
        <f t="shared" si="739"/>
        <v>2913</v>
      </c>
      <c r="AU2199" s="21"/>
      <c r="AV2199" s="21"/>
      <c r="AW2199" s="21"/>
    </row>
    <row r="2200" spans="1:49" x14ac:dyDescent="0.2">
      <c r="A2200">
        <v>1168</v>
      </c>
      <c r="E2200">
        <f t="shared" si="734"/>
        <v>3</v>
      </c>
      <c r="F2200" s="5" t="s">
        <v>540</v>
      </c>
      <c r="G2200" s="5" t="s">
        <v>499</v>
      </c>
      <c r="H2200" s="5" t="s">
        <v>540</v>
      </c>
      <c r="I2200" s="7" t="s">
        <v>496</v>
      </c>
      <c r="J2200" t="str">
        <f t="shared" si="741"/>
        <v>5</v>
      </c>
      <c r="K2200" t="str">
        <f t="shared" si="742"/>
        <v>27</v>
      </c>
      <c r="L2200" t="str">
        <f t="shared" si="743"/>
        <v>5</v>
      </c>
      <c r="M2200" s="6" t="str">
        <f t="shared" si="744"/>
        <v>24</v>
      </c>
      <c r="N2200" t="s">
        <v>178</v>
      </c>
      <c r="O2200">
        <v>37</v>
      </c>
      <c r="P2200" t="s">
        <v>424</v>
      </c>
      <c r="Q2200" t="s">
        <v>277</v>
      </c>
      <c r="R2200" t="s">
        <v>191</v>
      </c>
      <c r="S2200" t="s">
        <v>87</v>
      </c>
      <c r="Y2200" t="str">
        <f t="shared" si="727"/>
        <v/>
      </c>
      <c r="Z2200" t="str">
        <f t="shared" si="728"/>
        <v/>
      </c>
      <c r="AC2200" t="str">
        <f t="shared" si="724"/>
        <v>Zone_Entry_Exit</v>
      </c>
      <c r="AD2200" t="str">
        <f t="shared" si="725"/>
        <v>Zone_Entry</v>
      </c>
      <c r="AE2200" t="str">
        <f t="shared" si="726"/>
        <v>ZoneEntry-Rush</v>
      </c>
      <c r="AF2200" t="str">
        <f t="shared" si="729"/>
        <v>Offensive</v>
      </c>
      <c r="AG2200">
        <f t="shared" si="735"/>
        <v>18981</v>
      </c>
      <c r="AH2200" t="str">
        <f t="shared" si="736"/>
        <v>Nelson</v>
      </c>
      <c r="AI2200" t="str">
        <f t="shared" si="737"/>
        <v>Velodrome</v>
      </c>
      <c r="AJ2200" s="18">
        <f t="shared" si="730"/>
        <v>3</v>
      </c>
      <c r="AP2200" s="18">
        <f t="shared" si="731"/>
        <v>0</v>
      </c>
      <c r="AQ2200">
        <f t="shared" si="732"/>
        <v>2160</v>
      </c>
      <c r="AR2200" s="23">
        <f t="shared" si="733"/>
        <v>2913</v>
      </c>
      <c r="AS2200">
        <f t="shared" si="738"/>
        <v>2908</v>
      </c>
      <c r="AT2200" s="21">
        <f t="shared" si="739"/>
        <v>2916</v>
      </c>
      <c r="AU2200" s="21"/>
      <c r="AV2200" s="21"/>
      <c r="AW2200" s="21"/>
    </row>
    <row r="2201" spans="1:49" x14ac:dyDescent="0.2">
      <c r="A2201">
        <v>1168</v>
      </c>
      <c r="E2201">
        <f t="shared" si="734"/>
        <v>3</v>
      </c>
      <c r="J2201" t="str">
        <f t="shared" si="741"/>
        <v>5</v>
      </c>
      <c r="K2201" t="str">
        <f t="shared" si="742"/>
        <v>27</v>
      </c>
      <c r="L2201" t="str">
        <f t="shared" si="743"/>
        <v>5</v>
      </c>
      <c r="M2201" s="6" t="str">
        <f t="shared" si="744"/>
        <v>24</v>
      </c>
      <c r="N2201" t="str">
        <f t="shared" si="740"/>
        <v>Home</v>
      </c>
      <c r="O2201">
        <v>52</v>
      </c>
      <c r="P2201" t="s">
        <v>425</v>
      </c>
      <c r="Y2201" t="str">
        <f t="shared" si="727"/>
        <v/>
      </c>
      <c r="Z2201" t="str">
        <f t="shared" si="728"/>
        <v/>
      </c>
      <c r="AC2201" t="str">
        <f t="shared" si="724"/>
        <v>Zone_Entry_Exit</v>
      </c>
      <c r="AD2201" t="str">
        <f t="shared" si="725"/>
        <v>Zone_Entry</v>
      </c>
      <c r="AE2201" t="str">
        <f t="shared" si="726"/>
        <v>ZoneEntry-Rush</v>
      </c>
      <c r="AF2201" t="str">
        <f t="shared" si="729"/>
        <v>Defensive</v>
      </c>
      <c r="AG2201">
        <f t="shared" si="735"/>
        <v>18981</v>
      </c>
      <c r="AH2201" t="str">
        <f t="shared" si="736"/>
        <v>Nelson</v>
      </c>
      <c r="AI2201" t="str">
        <f t="shared" si="737"/>
        <v>Velodrome</v>
      </c>
      <c r="AJ2201" s="18">
        <f t="shared" si="730"/>
        <v>3</v>
      </c>
      <c r="AP2201" s="18">
        <f t="shared" si="731"/>
        <v>0</v>
      </c>
      <c r="AQ2201">
        <f t="shared" si="732"/>
        <v>2160</v>
      </c>
      <c r="AR2201" s="23">
        <f t="shared" si="733"/>
        <v>2913</v>
      </c>
      <c r="AS2201">
        <f t="shared" si="738"/>
        <v>2908</v>
      </c>
      <c r="AT2201" s="21">
        <f t="shared" si="739"/>
        <v>2916</v>
      </c>
      <c r="AU2201" s="21"/>
      <c r="AV2201" s="21"/>
      <c r="AW2201" s="21"/>
    </row>
    <row r="2202" spans="1:49" x14ac:dyDescent="0.2">
      <c r="A2202">
        <v>1168</v>
      </c>
      <c r="E2202">
        <f t="shared" si="734"/>
        <v>3</v>
      </c>
      <c r="J2202" t="str">
        <f t="shared" si="741"/>
        <v>5</v>
      </c>
      <c r="K2202" t="str">
        <f t="shared" si="742"/>
        <v>27</v>
      </c>
      <c r="L2202" t="str">
        <f t="shared" si="743"/>
        <v>5</v>
      </c>
      <c r="M2202" s="6" t="str">
        <f t="shared" si="744"/>
        <v>24</v>
      </c>
      <c r="N2202" t="str">
        <f t="shared" si="740"/>
        <v>Home</v>
      </c>
      <c r="O2202">
        <v>93</v>
      </c>
      <c r="P2202" t="s">
        <v>425</v>
      </c>
      <c r="Y2202" t="str">
        <f t="shared" si="727"/>
        <v/>
      </c>
      <c r="Z2202" t="str">
        <f t="shared" si="728"/>
        <v/>
      </c>
      <c r="AC2202" t="str">
        <f t="shared" si="724"/>
        <v>Zone_Entry_Exit</v>
      </c>
      <c r="AD2202" t="str">
        <f t="shared" si="725"/>
        <v>Zone_Entry</v>
      </c>
      <c r="AE2202" t="str">
        <f t="shared" si="726"/>
        <v>ZoneEntry-Rush</v>
      </c>
      <c r="AF2202" t="str">
        <f t="shared" si="729"/>
        <v>Defensive</v>
      </c>
      <c r="AG2202">
        <f t="shared" si="735"/>
        <v>18981</v>
      </c>
      <c r="AH2202" t="str">
        <f t="shared" si="736"/>
        <v>Nelson</v>
      </c>
      <c r="AI2202" t="str">
        <f t="shared" si="737"/>
        <v>Velodrome</v>
      </c>
      <c r="AJ2202" s="18">
        <f t="shared" si="730"/>
        <v>3</v>
      </c>
      <c r="AP2202" s="18">
        <f t="shared" si="731"/>
        <v>0</v>
      </c>
      <c r="AQ2202">
        <f t="shared" si="732"/>
        <v>2160</v>
      </c>
      <c r="AR2202" s="23">
        <f t="shared" si="733"/>
        <v>2913</v>
      </c>
      <c r="AS2202">
        <f t="shared" si="738"/>
        <v>2908</v>
      </c>
      <c r="AT2202" s="21">
        <f t="shared" si="739"/>
        <v>2916</v>
      </c>
      <c r="AU2202" s="21"/>
      <c r="AV2202" s="21"/>
      <c r="AW2202" s="21"/>
    </row>
    <row r="2203" spans="1:49" x14ac:dyDescent="0.2">
      <c r="A2203">
        <v>1169</v>
      </c>
      <c r="E2203">
        <f t="shared" si="734"/>
        <v>3</v>
      </c>
      <c r="F2203" s="5" t="s">
        <v>540</v>
      </c>
      <c r="G2203" s="5" t="s">
        <v>496</v>
      </c>
      <c r="J2203" t="str">
        <f t="shared" si="741"/>
        <v>5</v>
      </c>
      <c r="K2203" t="str">
        <f t="shared" si="742"/>
        <v>24</v>
      </c>
      <c r="L2203" t="str">
        <f t="shared" si="743"/>
        <v/>
      </c>
      <c r="M2203" s="6" t="str">
        <f t="shared" si="744"/>
        <v/>
      </c>
      <c r="N2203" t="s">
        <v>178</v>
      </c>
      <c r="O2203">
        <v>37</v>
      </c>
      <c r="P2203" t="s">
        <v>424</v>
      </c>
      <c r="Q2203" t="s">
        <v>7</v>
      </c>
      <c r="R2203" t="s">
        <v>222</v>
      </c>
      <c r="S2203" t="s">
        <v>61</v>
      </c>
      <c r="Y2203" t="str">
        <f t="shared" si="727"/>
        <v/>
      </c>
      <c r="Z2203" t="str">
        <f t="shared" si="728"/>
        <v/>
      </c>
      <c r="AC2203" t="str">
        <f t="shared" si="724"/>
        <v>Shot</v>
      </c>
      <c r="AD2203" t="str">
        <f t="shared" si="725"/>
        <v>Shot_OnNetSaved</v>
      </c>
      <c r="AE2203" t="str">
        <f t="shared" si="726"/>
        <v>Shot-Poke</v>
      </c>
      <c r="AF2203" t="str">
        <f t="shared" si="729"/>
        <v>Offensive</v>
      </c>
      <c r="AG2203">
        <f t="shared" si="735"/>
        <v>18981</v>
      </c>
      <c r="AH2203" t="str">
        <f t="shared" si="736"/>
        <v>Nelson</v>
      </c>
      <c r="AI2203" t="str">
        <f t="shared" si="737"/>
        <v>Velodrome</v>
      </c>
      <c r="AJ2203" s="18">
        <f t="shared" si="730"/>
        <v>0</v>
      </c>
      <c r="AP2203" s="18">
        <f t="shared" si="731"/>
        <v>0</v>
      </c>
      <c r="AQ2203">
        <f t="shared" si="732"/>
        <v>2160</v>
      </c>
      <c r="AR2203" s="23">
        <f t="shared" si="733"/>
        <v>2916</v>
      </c>
      <c r="AS2203">
        <f t="shared" si="738"/>
        <v>2911</v>
      </c>
      <c r="AT2203" s="21">
        <f t="shared" si="739"/>
        <v>2916</v>
      </c>
      <c r="AU2203" s="21"/>
      <c r="AV2203" s="21"/>
      <c r="AW2203" s="21"/>
    </row>
    <row r="2204" spans="1:49" x14ac:dyDescent="0.2">
      <c r="A2204">
        <v>1169</v>
      </c>
      <c r="E2204">
        <f t="shared" si="734"/>
        <v>3</v>
      </c>
      <c r="J2204" t="str">
        <f t="shared" si="741"/>
        <v>5</v>
      </c>
      <c r="K2204" t="str">
        <f t="shared" si="742"/>
        <v>24</v>
      </c>
      <c r="L2204" t="str">
        <f t="shared" si="743"/>
        <v/>
      </c>
      <c r="M2204" s="6" t="str">
        <f t="shared" si="744"/>
        <v/>
      </c>
      <c r="N2204" t="str">
        <f t="shared" si="740"/>
        <v>Home</v>
      </c>
      <c r="O2204">
        <v>39</v>
      </c>
      <c r="P2204" t="s">
        <v>425</v>
      </c>
      <c r="Y2204" t="str">
        <f t="shared" si="727"/>
        <v/>
      </c>
      <c r="Z2204" t="str">
        <f t="shared" si="728"/>
        <v/>
      </c>
      <c r="AC2204" t="str">
        <f t="shared" si="724"/>
        <v>Shot</v>
      </c>
      <c r="AD2204" t="str">
        <f t="shared" si="725"/>
        <v>Shot_OnNetSaved</v>
      </c>
      <c r="AE2204" t="str">
        <f t="shared" si="726"/>
        <v>Shot-Poke</v>
      </c>
      <c r="AF2204" t="str">
        <f t="shared" si="729"/>
        <v>Defensive</v>
      </c>
      <c r="AG2204">
        <f t="shared" si="735"/>
        <v>18981</v>
      </c>
      <c r="AH2204" t="str">
        <f t="shared" si="736"/>
        <v>Nelson</v>
      </c>
      <c r="AI2204" t="str">
        <f t="shared" si="737"/>
        <v>Velodrome</v>
      </c>
      <c r="AJ2204" s="18">
        <f t="shared" si="730"/>
        <v>0</v>
      </c>
      <c r="AP2204" s="18">
        <f t="shared" si="731"/>
        <v>0</v>
      </c>
      <c r="AQ2204">
        <f t="shared" si="732"/>
        <v>2160</v>
      </c>
      <c r="AR2204" s="23">
        <f t="shared" si="733"/>
        <v>2916</v>
      </c>
      <c r="AS2204">
        <f t="shared" si="738"/>
        <v>2911</v>
      </c>
      <c r="AT2204" s="21">
        <f t="shared" si="739"/>
        <v>2916</v>
      </c>
      <c r="AU2204" s="21"/>
      <c r="AV2204" s="21"/>
      <c r="AW2204" s="21"/>
    </row>
    <row r="2205" spans="1:49" x14ac:dyDescent="0.2">
      <c r="A2205">
        <v>1170</v>
      </c>
      <c r="E2205">
        <f t="shared" si="734"/>
        <v>3</v>
      </c>
      <c r="F2205" s="5" t="s">
        <v>540</v>
      </c>
      <c r="G2205" s="5" t="s">
        <v>496</v>
      </c>
      <c r="J2205" t="str">
        <f t="shared" si="741"/>
        <v>5</v>
      </c>
      <c r="K2205" t="str">
        <f t="shared" si="742"/>
        <v>24</v>
      </c>
      <c r="L2205" t="str">
        <f t="shared" si="743"/>
        <v/>
      </c>
      <c r="M2205" s="6" t="str">
        <f t="shared" si="744"/>
        <v/>
      </c>
      <c r="N2205" t="s">
        <v>179</v>
      </c>
      <c r="O2205">
        <v>39</v>
      </c>
      <c r="P2205" t="s">
        <v>424</v>
      </c>
      <c r="Q2205" t="s">
        <v>17</v>
      </c>
      <c r="R2205" t="s">
        <v>206</v>
      </c>
      <c r="S2205" t="s">
        <v>98</v>
      </c>
      <c r="Y2205" t="str">
        <f t="shared" si="727"/>
        <v/>
      </c>
      <c r="Z2205" t="str">
        <f t="shared" si="728"/>
        <v/>
      </c>
      <c r="AC2205" t="str">
        <f t="shared" si="724"/>
        <v>Save</v>
      </c>
      <c r="AD2205" t="str">
        <f t="shared" si="725"/>
        <v>Save_Freeze</v>
      </c>
      <c r="AE2205" t="str">
        <f t="shared" si="726"/>
        <v>Save-LeftPad</v>
      </c>
      <c r="AF2205" t="str">
        <f t="shared" si="729"/>
        <v>Defensive</v>
      </c>
      <c r="AG2205">
        <f t="shared" si="735"/>
        <v>18981</v>
      </c>
      <c r="AH2205" t="str">
        <f t="shared" si="736"/>
        <v>Nelson</v>
      </c>
      <c r="AI2205" t="str">
        <f t="shared" si="737"/>
        <v>Velodrome</v>
      </c>
      <c r="AJ2205" s="18">
        <f t="shared" si="730"/>
        <v>0</v>
      </c>
      <c r="AP2205" s="18">
        <f t="shared" si="731"/>
        <v>0</v>
      </c>
      <c r="AQ2205">
        <f t="shared" si="732"/>
        <v>2160</v>
      </c>
      <c r="AR2205" s="23">
        <f t="shared" si="733"/>
        <v>2916</v>
      </c>
      <c r="AS2205">
        <f t="shared" si="738"/>
        <v>2911</v>
      </c>
      <c r="AT2205" s="21">
        <f t="shared" si="739"/>
        <v>2916</v>
      </c>
      <c r="AU2205" s="21"/>
      <c r="AV2205" s="21"/>
      <c r="AW2205" s="21"/>
    </row>
    <row r="2206" spans="1:49" x14ac:dyDescent="0.2">
      <c r="A2206">
        <v>1170</v>
      </c>
      <c r="E2206">
        <f t="shared" si="734"/>
        <v>3</v>
      </c>
      <c r="J2206" t="str">
        <f t="shared" si="741"/>
        <v>5</v>
      </c>
      <c r="K2206" t="str">
        <f t="shared" si="742"/>
        <v>24</v>
      </c>
      <c r="L2206" t="str">
        <f t="shared" si="743"/>
        <v/>
      </c>
      <c r="M2206" s="6" t="str">
        <f t="shared" si="744"/>
        <v/>
      </c>
      <c r="N2206" t="str">
        <f t="shared" si="740"/>
        <v>Away</v>
      </c>
      <c r="O2206">
        <v>37</v>
      </c>
      <c r="P2206" t="s">
        <v>425</v>
      </c>
      <c r="Y2206" t="str">
        <f t="shared" si="727"/>
        <v/>
      </c>
      <c r="Z2206" t="str">
        <f t="shared" si="728"/>
        <v/>
      </c>
      <c r="AC2206" t="str">
        <f t="shared" si="724"/>
        <v>Save</v>
      </c>
      <c r="AD2206" t="str">
        <f t="shared" si="725"/>
        <v>Save_Freeze</v>
      </c>
      <c r="AE2206" t="str">
        <f t="shared" si="726"/>
        <v>Save-LeftPad</v>
      </c>
      <c r="AF2206" t="str">
        <f t="shared" si="729"/>
        <v>Offensive</v>
      </c>
      <c r="AG2206">
        <f t="shared" si="735"/>
        <v>18981</v>
      </c>
      <c r="AH2206" t="str">
        <f t="shared" si="736"/>
        <v>Nelson</v>
      </c>
      <c r="AI2206" t="str">
        <f t="shared" si="737"/>
        <v>Velodrome</v>
      </c>
      <c r="AJ2206" s="18">
        <f t="shared" si="730"/>
        <v>0</v>
      </c>
      <c r="AP2206" s="18">
        <f t="shared" si="731"/>
        <v>0</v>
      </c>
      <c r="AQ2206">
        <f t="shared" si="732"/>
        <v>2160</v>
      </c>
      <c r="AR2206" s="23">
        <f t="shared" si="733"/>
        <v>2916</v>
      </c>
      <c r="AS2206">
        <f t="shared" si="738"/>
        <v>2911</v>
      </c>
      <c r="AT2206" s="21">
        <f t="shared" si="739"/>
        <v>2916</v>
      </c>
      <c r="AU2206" s="21"/>
      <c r="AV2206" s="21"/>
      <c r="AW2206" s="21"/>
    </row>
    <row r="2207" spans="1:49" x14ac:dyDescent="0.2">
      <c r="A2207">
        <v>1171</v>
      </c>
      <c r="E2207">
        <f t="shared" si="734"/>
        <v>3</v>
      </c>
      <c r="F2207" s="5" t="s">
        <v>540</v>
      </c>
      <c r="G2207" s="5" t="s">
        <v>496</v>
      </c>
      <c r="J2207" t="str">
        <f t="shared" si="741"/>
        <v>5</v>
      </c>
      <c r="K2207" t="str">
        <f t="shared" si="742"/>
        <v>24</v>
      </c>
      <c r="L2207" t="str">
        <f t="shared" si="743"/>
        <v/>
      </c>
      <c r="M2207" s="6" t="str">
        <f t="shared" si="744"/>
        <v/>
      </c>
      <c r="N2207" t="s">
        <v>179</v>
      </c>
      <c r="O2207">
        <v>39</v>
      </c>
      <c r="P2207" t="s">
        <v>424</v>
      </c>
      <c r="Q2207" t="s">
        <v>13</v>
      </c>
      <c r="R2207" t="s">
        <v>204</v>
      </c>
      <c r="S2207" t="s">
        <v>110</v>
      </c>
      <c r="Y2207" t="str">
        <f t="shared" si="727"/>
        <v/>
      </c>
      <c r="Z2207" t="str">
        <f t="shared" si="728"/>
        <v/>
      </c>
      <c r="AC2207" t="str">
        <f t="shared" si="724"/>
        <v>Stoppage</v>
      </c>
      <c r="AD2207" t="str">
        <f t="shared" si="725"/>
        <v>Stoppage_Play</v>
      </c>
      <c r="AE2207" t="str">
        <f t="shared" si="726"/>
        <v>Stoppage-GoalieStoppage</v>
      </c>
      <c r="AF2207" t="str">
        <f t="shared" si="729"/>
        <v/>
      </c>
      <c r="AG2207">
        <f t="shared" si="735"/>
        <v>18981</v>
      </c>
      <c r="AH2207" t="str">
        <f t="shared" si="736"/>
        <v>Nelson</v>
      </c>
      <c r="AI2207" t="str">
        <f t="shared" si="737"/>
        <v>Velodrome</v>
      </c>
      <c r="AJ2207" s="18">
        <f t="shared" si="730"/>
        <v>0</v>
      </c>
      <c r="AP2207" s="18">
        <f t="shared" si="731"/>
        <v>0</v>
      </c>
      <c r="AQ2207">
        <f t="shared" si="732"/>
        <v>2160</v>
      </c>
      <c r="AR2207" s="23">
        <f t="shared" si="733"/>
        <v>2916</v>
      </c>
      <c r="AS2207">
        <f t="shared" si="738"/>
        <v>2911</v>
      </c>
      <c r="AT2207" s="21">
        <f t="shared" si="739"/>
        <v>2916</v>
      </c>
      <c r="AU2207" s="21"/>
      <c r="AV2207" s="21"/>
      <c r="AW2207" s="21"/>
    </row>
    <row r="2208" spans="1:49" x14ac:dyDescent="0.2">
      <c r="A2208">
        <v>1172</v>
      </c>
      <c r="E2208">
        <f t="shared" si="734"/>
        <v>3</v>
      </c>
      <c r="F2208" s="5" t="s">
        <v>540</v>
      </c>
      <c r="G2208" s="5" t="s">
        <v>496</v>
      </c>
      <c r="H2208" s="5" t="s">
        <v>533</v>
      </c>
      <c r="I2208" s="7" t="s">
        <v>530</v>
      </c>
      <c r="J2208" t="str">
        <f t="shared" si="741"/>
        <v>5</v>
      </c>
      <c r="K2208" t="str">
        <f t="shared" si="742"/>
        <v>24</v>
      </c>
      <c r="L2208" t="str">
        <f t="shared" si="743"/>
        <v>4</v>
      </c>
      <c r="M2208" s="6" t="str">
        <f t="shared" si="744"/>
        <v>58</v>
      </c>
      <c r="N2208" t="s">
        <v>179</v>
      </c>
      <c r="O2208">
        <v>39</v>
      </c>
      <c r="P2208" t="s">
        <v>424</v>
      </c>
      <c r="Q2208" t="s">
        <v>282</v>
      </c>
      <c r="Y2208" t="str">
        <f t="shared" si="727"/>
        <v/>
      </c>
      <c r="Z2208" t="str">
        <f t="shared" si="728"/>
        <v/>
      </c>
      <c r="AC2208" t="str">
        <f t="shared" si="724"/>
        <v>DeadIce</v>
      </c>
      <c r="AD2208" t="str">
        <f t="shared" si="725"/>
        <v/>
      </c>
      <c r="AE2208" t="str">
        <f t="shared" si="726"/>
        <v/>
      </c>
      <c r="AF2208" t="str">
        <f t="shared" si="729"/>
        <v/>
      </c>
      <c r="AG2208">
        <f t="shared" si="735"/>
        <v>18981</v>
      </c>
      <c r="AH2208" t="str">
        <f t="shared" si="736"/>
        <v>Nelson</v>
      </c>
      <c r="AI2208" t="str">
        <f t="shared" si="737"/>
        <v>Velodrome</v>
      </c>
      <c r="AJ2208" s="18">
        <f t="shared" si="730"/>
        <v>26</v>
      </c>
      <c r="AP2208" s="18">
        <f t="shared" si="731"/>
        <v>0</v>
      </c>
      <c r="AQ2208">
        <f t="shared" si="732"/>
        <v>2160</v>
      </c>
      <c r="AR2208" s="23">
        <f t="shared" si="733"/>
        <v>2916</v>
      </c>
      <c r="AS2208">
        <f t="shared" si="738"/>
        <v>2911</v>
      </c>
      <c r="AT2208" s="21">
        <f t="shared" si="739"/>
        <v>2942</v>
      </c>
      <c r="AU2208" s="21"/>
      <c r="AV2208" s="21"/>
      <c r="AW2208" s="21"/>
    </row>
    <row r="2209" spans="1:49" x14ac:dyDescent="0.2">
      <c r="A2209">
        <v>1173</v>
      </c>
      <c r="E2209">
        <f t="shared" si="734"/>
        <v>3</v>
      </c>
      <c r="F2209" s="5" t="s">
        <v>533</v>
      </c>
      <c r="G2209" s="5" t="s">
        <v>530</v>
      </c>
      <c r="J2209" t="str">
        <f t="shared" si="741"/>
        <v>4</v>
      </c>
      <c r="K2209" t="str">
        <f t="shared" si="742"/>
        <v>58</v>
      </c>
      <c r="L2209" t="str">
        <f t="shared" si="743"/>
        <v/>
      </c>
      <c r="M2209" s="6" t="str">
        <f t="shared" si="744"/>
        <v/>
      </c>
      <c r="N2209" t="s">
        <v>179</v>
      </c>
      <c r="O2209">
        <v>49</v>
      </c>
      <c r="P2209" t="s">
        <v>424</v>
      </c>
      <c r="Q2209" t="s">
        <v>6</v>
      </c>
      <c r="R2209" t="s">
        <v>275</v>
      </c>
      <c r="Y2209" t="str">
        <f t="shared" si="727"/>
        <v/>
      </c>
      <c r="Z2209" t="str">
        <f t="shared" si="728"/>
        <v/>
      </c>
      <c r="AC2209" t="str">
        <f t="shared" si="724"/>
        <v>Faceoff</v>
      </c>
      <c r="AD2209" t="str">
        <f t="shared" si="725"/>
        <v>Faceoff_AfterStoppage</v>
      </c>
      <c r="AE2209" t="str">
        <f t="shared" si="726"/>
        <v/>
      </c>
      <c r="AF2209" t="str">
        <f t="shared" si="729"/>
        <v>Offensive</v>
      </c>
      <c r="AG2209">
        <f t="shared" si="735"/>
        <v>18981</v>
      </c>
      <c r="AH2209" t="str">
        <f t="shared" si="736"/>
        <v>Nelson</v>
      </c>
      <c r="AI2209" t="str">
        <f t="shared" si="737"/>
        <v>Velodrome</v>
      </c>
      <c r="AJ2209" s="18">
        <f t="shared" si="730"/>
        <v>0</v>
      </c>
      <c r="AP2209" s="18">
        <f t="shared" si="731"/>
        <v>0</v>
      </c>
      <c r="AQ2209">
        <f t="shared" si="732"/>
        <v>2160</v>
      </c>
      <c r="AR2209" s="23">
        <f t="shared" si="733"/>
        <v>2942</v>
      </c>
      <c r="AS2209">
        <f t="shared" si="738"/>
        <v>2937</v>
      </c>
      <c r="AT2209" s="21">
        <f t="shared" si="739"/>
        <v>2942</v>
      </c>
      <c r="AU2209" s="21"/>
      <c r="AV2209" s="21"/>
      <c r="AW2209" s="21"/>
    </row>
    <row r="2210" spans="1:49" x14ac:dyDescent="0.2">
      <c r="A2210">
        <v>1173</v>
      </c>
      <c r="E2210">
        <f t="shared" si="734"/>
        <v>3</v>
      </c>
      <c r="J2210" t="str">
        <f t="shared" si="741"/>
        <v>4</v>
      </c>
      <c r="K2210" t="str">
        <f t="shared" si="742"/>
        <v>58</v>
      </c>
      <c r="L2210" t="str">
        <f t="shared" si="743"/>
        <v/>
      </c>
      <c r="M2210" s="6" t="str">
        <f t="shared" si="744"/>
        <v/>
      </c>
      <c r="N2210" t="str">
        <f t="shared" si="740"/>
        <v>Away</v>
      </c>
      <c r="O2210">
        <v>52</v>
      </c>
      <c r="P2210" t="s">
        <v>424</v>
      </c>
      <c r="Y2210" t="str">
        <f t="shared" si="727"/>
        <v/>
      </c>
      <c r="Z2210" t="str">
        <f t="shared" si="728"/>
        <v/>
      </c>
      <c r="AC2210" t="str">
        <f t="shared" si="724"/>
        <v>Faceoff</v>
      </c>
      <c r="AD2210" t="str">
        <f t="shared" si="725"/>
        <v>Faceoff_AfterStoppage</v>
      </c>
      <c r="AE2210" t="str">
        <f t="shared" si="726"/>
        <v/>
      </c>
      <c r="AF2210" t="str">
        <f t="shared" si="729"/>
        <v>Offensive</v>
      </c>
      <c r="AG2210">
        <f t="shared" si="735"/>
        <v>18981</v>
      </c>
      <c r="AH2210" t="str">
        <f t="shared" si="736"/>
        <v>Nelson</v>
      </c>
      <c r="AI2210" t="str">
        <f t="shared" si="737"/>
        <v>Velodrome</v>
      </c>
      <c r="AJ2210" s="18">
        <f t="shared" si="730"/>
        <v>0</v>
      </c>
      <c r="AP2210" s="18">
        <f t="shared" si="731"/>
        <v>0</v>
      </c>
      <c r="AQ2210">
        <f t="shared" si="732"/>
        <v>2160</v>
      </c>
      <c r="AR2210" s="23">
        <f t="shared" si="733"/>
        <v>2942</v>
      </c>
      <c r="AS2210">
        <f t="shared" si="738"/>
        <v>2937</v>
      </c>
      <c r="AT2210" s="21">
        <f t="shared" si="739"/>
        <v>2942</v>
      </c>
      <c r="AU2210" s="21"/>
      <c r="AV2210" s="21"/>
      <c r="AW2210" s="21"/>
    </row>
    <row r="2211" spans="1:49" x14ac:dyDescent="0.2">
      <c r="A2211">
        <v>1173</v>
      </c>
      <c r="E2211">
        <f t="shared" si="734"/>
        <v>3</v>
      </c>
      <c r="J2211" t="str">
        <f t="shared" si="741"/>
        <v>4</v>
      </c>
      <c r="K2211" t="str">
        <f t="shared" si="742"/>
        <v>58</v>
      </c>
      <c r="L2211" t="str">
        <f t="shared" si="743"/>
        <v/>
      </c>
      <c r="M2211" s="6" t="str">
        <f t="shared" si="744"/>
        <v/>
      </c>
      <c r="N2211" t="str">
        <f t="shared" si="740"/>
        <v>Away</v>
      </c>
      <c r="O2211">
        <v>70</v>
      </c>
      <c r="P2211" t="s">
        <v>425</v>
      </c>
      <c r="Y2211" t="str">
        <f t="shared" si="727"/>
        <v/>
      </c>
      <c r="Z2211" t="str">
        <f t="shared" si="728"/>
        <v/>
      </c>
      <c r="AC2211" t="str">
        <f t="shared" si="724"/>
        <v>Faceoff</v>
      </c>
      <c r="AD2211" t="str">
        <f t="shared" si="725"/>
        <v>Faceoff_AfterStoppage</v>
      </c>
      <c r="AE2211" t="str">
        <f t="shared" si="726"/>
        <v/>
      </c>
      <c r="AF2211" t="str">
        <f t="shared" si="729"/>
        <v>Defensive</v>
      </c>
      <c r="AG2211">
        <f t="shared" si="735"/>
        <v>18981</v>
      </c>
      <c r="AH2211" t="str">
        <f t="shared" si="736"/>
        <v>Nelson</v>
      </c>
      <c r="AI2211" t="str">
        <f t="shared" si="737"/>
        <v>Velodrome</v>
      </c>
      <c r="AJ2211" s="18">
        <f t="shared" si="730"/>
        <v>0</v>
      </c>
      <c r="AP2211" s="18">
        <f t="shared" si="731"/>
        <v>0</v>
      </c>
      <c r="AQ2211">
        <f t="shared" si="732"/>
        <v>2160</v>
      </c>
      <c r="AR2211" s="23">
        <f t="shared" si="733"/>
        <v>2942</v>
      </c>
      <c r="AS2211">
        <f t="shared" si="738"/>
        <v>2937</v>
      </c>
      <c r="AT2211" s="21">
        <f t="shared" si="739"/>
        <v>2942</v>
      </c>
      <c r="AU2211" s="21"/>
      <c r="AV2211" s="21"/>
      <c r="AW2211" s="21"/>
    </row>
    <row r="2212" spans="1:49" x14ac:dyDescent="0.2">
      <c r="A2212">
        <v>1174</v>
      </c>
      <c r="E2212">
        <f t="shared" si="734"/>
        <v>3</v>
      </c>
      <c r="F2212" s="5" t="s">
        <v>533</v>
      </c>
      <c r="G2212" s="5" t="s">
        <v>529</v>
      </c>
      <c r="J2212" t="str">
        <f t="shared" si="741"/>
        <v>4</v>
      </c>
      <c r="K2212" t="str">
        <f t="shared" si="742"/>
        <v>57</v>
      </c>
      <c r="L2212" t="str">
        <f t="shared" si="743"/>
        <v/>
      </c>
      <c r="M2212" s="6" t="str">
        <f t="shared" si="744"/>
        <v/>
      </c>
      <c r="N2212" t="s">
        <v>179</v>
      </c>
      <c r="O2212">
        <v>52</v>
      </c>
      <c r="P2212" t="s">
        <v>424</v>
      </c>
      <c r="Q2212" t="s">
        <v>8</v>
      </c>
      <c r="R2212" t="s">
        <v>189</v>
      </c>
      <c r="S2212" t="s">
        <v>70</v>
      </c>
      <c r="Y2212" t="str">
        <f t="shared" si="727"/>
        <v/>
      </c>
      <c r="Z2212" t="str">
        <f t="shared" si="728"/>
        <v/>
      </c>
      <c r="AC2212" t="str">
        <f t="shared" si="724"/>
        <v>Pass</v>
      </c>
      <c r="AD2212" t="str">
        <f t="shared" si="725"/>
        <v>Pass_Completed</v>
      </c>
      <c r="AE2212" t="str">
        <f t="shared" si="726"/>
        <v>Pass-Forehand</v>
      </c>
      <c r="AF2212" t="str">
        <f t="shared" si="729"/>
        <v>Offensive</v>
      </c>
      <c r="AG2212">
        <f t="shared" si="735"/>
        <v>18981</v>
      </c>
      <c r="AH2212" t="str">
        <f t="shared" si="736"/>
        <v>Nelson</v>
      </c>
      <c r="AI2212" t="str">
        <f t="shared" si="737"/>
        <v>Velodrome</v>
      </c>
      <c r="AJ2212" s="18">
        <f t="shared" si="730"/>
        <v>0</v>
      </c>
      <c r="AP2212" s="18">
        <f t="shared" si="731"/>
        <v>0</v>
      </c>
      <c r="AQ2212">
        <f t="shared" si="732"/>
        <v>2160</v>
      </c>
      <c r="AR2212" s="23">
        <f t="shared" si="733"/>
        <v>2943</v>
      </c>
      <c r="AS2212">
        <f t="shared" si="738"/>
        <v>2938</v>
      </c>
      <c r="AT2212" s="21">
        <f t="shared" si="739"/>
        <v>2943</v>
      </c>
      <c r="AU2212" s="21"/>
      <c r="AV2212" s="21"/>
      <c r="AW2212" s="21"/>
    </row>
    <row r="2213" spans="1:49" x14ac:dyDescent="0.2">
      <c r="A2213">
        <v>1174</v>
      </c>
      <c r="E2213">
        <f t="shared" si="734"/>
        <v>3</v>
      </c>
      <c r="J2213" t="str">
        <f t="shared" si="741"/>
        <v>4</v>
      </c>
      <c r="K2213" t="str">
        <f t="shared" si="742"/>
        <v>57</v>
      </c>
      <c r="L2213" t="str">
        <f t="shared" si="743"/>
        <v/>
      </c>
      <c r="M2213" s="6" t="str">
        <f t="shared" si="744"/>
        <v/>
      </c>
      <c r="N2213" t="str">
        <f t="shared" si="740"/>
        <v>Away</v>
      </c>
      <c r="O2213">
        <v>14</v>
      </c>
      <c r="P2213" t="s">
        <v>424</v>
      </c>
      <c r="Y2213" t="str">
        <f t="shared" si="727"/>
        <v/>
      </c>
      <c r="Z2213" t="str">
        <f t="shared" si="728"/>
        <v/>
      </c>
      <c r="AC2213" t="str">
        <f t="shared" si="724"/>
        <v>Pass</v>
      </c>
      <c r="AD2213" t="str">
        <f t="shared" si="725"/>
        <v>Pass_Completed</v>
      </c>
      <c r="AE2213" t="str">
        <f t="shared" si="726"/>
        <v>Pass-Forehand</v>
      </c>
      <c r="AF2213" t="str">
        <f t="shared" si="729"/>
        <v>Offensive</v>
      </c>
      <c r="AG2213">
        <f t="shared" si="735"/>
        <v>18981</v>
      </c>
      <c r="AH2213" t="str">
        <f t="shared" si="736"/>
        <v>Nelson</v>
      </c>
      <c r="AI2213" t="str">
        <f t="shared" si="737"/>
        <v>Velodrome</v>
      </c>
      <c r="AJ2213" s="18">
        <f t="shared" si="730"/>
        <v>0</v>
      </c>
      <c r="AP2213" s="18">
        <f t="shared" si="731"/>
        <v>0</v>
      </c>
      <c r="AQ2213">
        <f t="shared" si="732"/>
        <v>2160</v>
      </c>
      <c r="AR2213" s="23">
        <f t="shared" si="733"/>
        <v>2943</v>
      </c>
      <c r="AS2213">
        <f t="shared" si="738"/>
        <v>2938</v>
      </c>
      <c r="AT2213" s="21">
        <f t="shared" si="739"/>
        <v>2943</v>
      </c>
      <c r="AU2213" s="21"/>
      <c r="AV2213" s="21"/>
      <c r="AW2213" s="21"/>
    </row>
    <row r="2214" spans="1:49" x14ac:dyDescent="0.2">
      <c r="A2214">
        <v>1175</v>
      </c>
      <c r="E2214">
        <f t="shared" si="734"/>
        <v>3</v>
      </c>
      <c r="F2214" s="5" t="s">
        <v>533</v>
      </c>
      <c r="G2214" s="5" t="s">
        <v>526</v>
      </c>
      <c r="J2214" t="str">
        <f t="shared" si="741"/>
        <v>4</v>
      </c>
      <c r="K2214" t="str">
        <f t="shared" si="742"/>
        <v>54</v>
      </c>
      <c r="L2214" t="str">
        <f t="shared" si="743"/>
        <v/>
      </c>
      <c r="M2214" s="6" t="str">
        <f t="shared" si="744"/>
        <v/>
      </c>
      <c r="N2214" t="s">
        <v>179</v>
      </c>
      <c r="O2214">
        <v>14</v>
      </c>
      <c r="P2214" t="s">
        <v>424</v>
      </c>
      <c r="Q2214" t="s">
        <v>8</v>
      </c>
      <c r="R2214" t="s">
        <v>189</v>
      </c>
      <c r="S2214" t="s">
        <v>70</v>
      </c>
      <c r="Y2214" t="str">
        <f t="shared" si="727"/>
        <v/>
      </c>
      <c r="Z2214" t="str">
        <f t="shared" si="728"/>
        <v/>
      </c>
      <c r="AC2214" t="str">
        <f t="shared" si="724"/>
        <v>Pass</v>
      </c>
      <c r="AD2214" t="str">
        <f t="shared" si="725"/>
        <v>Pass_Completed</v>
      </c>
      <c r="AE2214" t="str">
        <f t="shared" si="726"/>
        <v>Pass-Forehand</v>
      </c>
      <c r="AF2214" t="str">
        <f t="shared" si="729"/>
        <v>Offensive</v>
      </c>
      <c r="AG2214">
        <f t="shared" si="735"/>
        <v>18981</v>
      </c>
      <c r="AH2214" t="str">
        <f t="shared" si="736"/>
        <v>Nelson</v>
      </c>
      <c r="AI2214" t="str">
        <f t="shared" si="737"/>
        <v>Velodrome</v>
      </c>
      <c r="AJ2214" s="18">
        <f t="shared" si="730"/>
        <v>0</v>
      </c>
      <c r="AP2214" s="18">
        <f t="shared" si="731"/>
        <v>0</v>
      </c>
      <c r="AQ2214">
        <f t="shared" si="732"/>
        <v>2160</v>
      </c>
      <c r="AR2214" s="23">
        <f t="shared" si="733"/>
        <v>2946</v>
      </c>
      <c r="AS2214">
        <f t="shared" si="738"/>
        <v>2941</v>
      </c>
      <c r="AT2214" s="21">
        <f t="shared" si="739"/>
        <v>2946</v>
      </c>
      <c r="AU2214" s="21"/>
      <c r="AV2214" s="21"/>
      <c r="AW2214" s="21"/>
    </row>
    <row r="2215" spans="1:49" x14ac:dyDescent="0.2">
      <c r="A2215">
        <v>1175</v>
      </c>
      <c r="E2215">
        <f t="shared" si="734"/>
        <v>3</v>
      </c>
      <c r="J2215" t="str">
        <f t="shared" si="741"/>
        <v>4</v>
      </c>
      <c r="K2215" t="str">
        <f t="shared" si="742"/>
        <v>54</v>
      </c>
      <c r="L2215" t="str">
        <f t="shared" si="743"/>
        <v/>
      </c>
      <c r="M2215" s="6" t="str">
        <f t="shared" si="744"/>
        <v/>
      </c>
      <c r="N2215" t="str">
        <f t="shared" si="740"/>
        <v>Away</v>
      </c>
      <c r="O2215">
        <v>52</v>
      </c>
      <c r="P2215" t="s">
        <v>424</v>
      </c>
      <c r="Y2215" t="str">
        <f t="shared" si="727"/>
        <v/>
      </c>
      <c r="Z2215" t="str">
        <f t="shared" si="728"/>
        <v/>
      </c>
      <c r="AC2215" t="str">
        <f t="shared" si="724"/>
        <v>Pass</v>
      </c>
      <c r="AD2215" t="str">
        <f t="shared" si="725"/>
        <v>Pass_Completed</v>
      </c>
      <c r="AE2215" t="str">
        <f t="shared" si="726"/>
        <v>Pass-Forehand</v>
      </c>
      <c r="AF2215" t="str">
        <f t="shared" si="729"/>
        <v>Offensive</v>
      </c>
      <c r="AG2215">
        <f t="shared" si="735"/>
        <v>18981</v>
      </c>
      <c r="AH2215" t="str">
        <f t="shared" si="736"/>
        <v>Nelson</v>
      </c>
      <c r="AI2215" t="str">
        <f t="shared" si="737"/>
        <v>Velodrome</v>
      </c>
      <c r="AJ2215" s="18">
        <f t="shared" si="730"/>
        <v>0</v>
      </c>
      <c r="AP2215" s="18">
        <f t="shared" si="731"/>
        <v>0</v>
      </c>
      <c r="AQ2215">
        <f t="shared" si="732"/>
        <v>2160</v>
      </c>
      <c r="AR2215" s="23">
        <f t="shared" si="733"/>
        <v>2946</v>
      </c>
      <c r="AS2215">
        <f t="shared" si="738"/>
        <v>2941</v>
      </c>
      <c r="AT2215" s="21">
        <f t="shared" si="739"/>
        <v>2946</v>
      </c>
      <c r="AU2215" s="21"/>
      <c r="AV2215" s="21"/>
      <c r="AW2215" s="21"/>
    </row>
    <row r="2216" spans="1:49" x14ac:dyDescent="0.2">
      <c r="A2216">
        <v>1176</v>
      </c>
      <c r="E2216">
        <f t="shared" si="734"/>
        <v>3</v>
      </c>
      <c r="F2216" s="5" t="s">
        <v>533</v>
      </c>
      <c r="G2216" s="5" t="s">
        <v>524</v>
      </c>
      <c r="H2216" s="5" t="s">
        <v>533</v>
      </c>
      <c r="I2216" s="7" t="s">
        <v>522</v>
      </c>
      <c r="J2216" t="str">
        <f t="shared" si="741"/>
        <v>4</v>
      </c>
      <c r="K2216" t="str">
        <f t="shared" si="742"/>
        <v>52</v>
      </c>
      <c r="L2216" t="str">
        <f t="shared" si="743"/>
        <v>4</v>
      </c>
      <c r="M2216" s="6" t="str">
        <f t="shared" si="744"/>
        <v>50</v>
      </c>
      <c r="N2216" t="s">
        <v>179</v>
      </c>
      <c r="O2216">
        <v>52</v>
      </c>
      <c r="P2216" t="s">
        <v>424</v>
      </c>
      <c r="Q2216" t="s">
        <v>15</v>
      </c>
      <c r="Y2216" t="str">
        <f t="shared" si="727"/>
        <v/>
      </c>
      <c r="Z2216" t="str">
        <f t="shared" si="728"/>
        <v/>
      </c>
      <c r="AC2216" t="str">
        <f t="shared" si="724"/>
        <v>Possession</v>
      </c>
      <c r="AD2216" t="str">
        <f t="shared" si="725"/>
        <v/>
      </c>
      <c r="AE2216" t="str">
        <f t="shared" si="726"/>
        <v/>
      </c>
      <c r="AF2216" t="str">
        <f t="shared" si="729"/>
        <v>Offensive</v>
      </c>
      <c r="AG2216">
        <f t="shared" si="735"/>
        <v>18981</v>
      </c>
      <c r="AH2216" t="str">
        <f t="shared" si="736"/>
        <v>Nelson</v>
      </c>
      <c r="AI2216" t="str">
        <f t="shared" si="737"/>
        <v>Velodrome</v>
      </c>
      <c r="AJ2216" s="18">
        <f t="shared" si="730"/>
        <v>2</v>
      </c>
      <c r="AP2216" s="18">
        <f t="shared" si="731"/>
        <v>0</v>
      </c>
      <c r="AQ2216">
        <f t="shared" si="732"/>
        <v>2160</v>
      </c>
      <c r="AR2216" s="23">
        <f t="shared" si="733"/>
        <v>2948</v>
      </c>
      <c r="AS2216">
        <f t="shared" si="738"/>
        <v>2943</v>
      </c>
      <c r="AT2216" s="21">
        <f t="shared" si="739"/>
        <v>2950</v>
      </c>
      <c r="AU2216" s="21"/>
      <c r="AV2216" s="21"/>
      <c r="AW2216" s="21"/>
    </row>
    <row r="2217" spans="1:49" x14ac:dyDescent="0.2">
      <c r="A2217">
        <v>1177</v>
      </c>
      <c r="E2217">
        <f t="shared" si="734"/>
        <v>3</v>
      </c>
      <c r="F2217" s="5" t="s">
        <v>533</v>
      </c>
      <c r="G2217" s="5" t="s">
        <v>522</v>
      </c>
      <c r="J2217" t="str">
        <f t="shared" si="741"/>
        <v>4</v>
      </c>
      <c r="K2217" t="str">
        <f t="shared" si="742"/>
        <v>50</v>
      </c>
      <c r="L2217" t="str">
        <f t="shared" si="743"/>
        <v/>
      </c>
      <c r="M2217" s="6" t="str">
        <f t="shared" si="744"/>
        <v/>
      </c>
      <c r="N2217" t="s">
        <v>179</v>
      </c>
      <c r="O2217">
        <v>52</v>
      </c>
      <c r="P2217" t="s">
        <v>424</v>
      </c>
      <c r="Q2217" t="s">
        <v>8</v>
      </c>
      <c r="R2217" t="s">
        <v>199</v>
      </c>
      <c r="S2217" t="s">
        <v>572</v>
      </c>
      <c r="Y2217" t="str">
        <f t="shared" si="727"/>
        <v/>
      </c>
      <c r="Z2217" t="str">
        <f t="shared" si="728"/>
        <v/>
      </c>
      <c r="AC2217" t="str">
        <f t="shared" si="724"/>
        <v>Pass</v>
      </c>
      <c r="AD2217" t="str">
        <f t="shared" si="725"/>
        <v>Pass_Missed</v>
      </c>
      <c r="AE2217" t="str">
        <f t="shared" si="726"/>
        <v>Pass-ReceiverMissed</v>
      </c>
      <c r="AF2217" t="str">
        <f t="shared" si="729"/>
        <v>Offensive</v>
      </c>
      <c r="AG2217">
        <f t="shared" si="735"/>
        <v>18981</v>
      </c>
      <c r="AH2217" t="str">
        <f t="shared" si="736"/>
        <v>Nelson</v>
      </c>
      <c r="AI2217" t="str">
        <f t="shared" si="737"/>
        <v>Velodrome</v>
      </c>
      <c r="AJ2217" s="18">
        <f t="shared" si="730"/>
        <v>0</v>
      </c>
      <c r="AP2217" s="18">
        <f t="shared" si="731"/>
        <v>0</v>
      </c>
      <c r="AQ2217">
        <f t="shared" si="732"/>
        <v>2160</v>
      </c>
      <c r="AR2217" s="23">
        <f t="shared" si="733"/>
        <v>2950</v>
      </c>
      <c r="AS2217">
        <f t="shared" si="738"/>
        <v>2945</v>
      </c>
      <c r="AT2217" s="21">
        <f t="shared" si="739"/>
        <v>2950</v>
      </c>
      <c r="AU2217" s="21"/>
      <c r="AV2217" s="21"/>
      <c r="AW2217" s="21"/>
    </row>
    <row r="2218" spans="1:49" x14ac:dyDescent="0.2">
      <c r="A2218">
        <v>1177</v>
      </c>
      <c r="E2218">
        <f t="shared" si="734"/>
        <v>3</v>
      </c>
      <c r="J2218" t="str">
        <f t="shared" si="741"/>
        <v>4</v>
      </c>
      <c r="K2218" t="str">
        <f t="shared" si="742"/>
        <v>50</v>
      </c>
      <c r="L2218" t="str">
        <f t="shared" si="743"/>
        <v/>
      </c>
      <c r="M2218" s="6" t="str">
        <f t="shared" si="744"/>
        <v/>
      </c>
      <c r="N2218" t="str">
        <f t="shared" si="740"/>
        <v>Away</v>
      </c>
      <c r="O2218">
        <v>61</v>
      </c>
      <c r="P2218" t="s">
        <v>424</v>
      </c>
      <c r="Y2218" t="str">
        <f t="shared" si="727"/>
        <v/>
      </c>
      <c r="Z2218" t="str">
        <f t="shared" si="728"/>
        <v/>
      </c>
      <c r="AC2218" t="str">
        <f t="shared" si="724"/>
        <v>Pass</v>
      </c>
      <c r="AD2218" t="str">
        <f t="shared" si="725"/>
        <v>Pass_Missed</v>
      </c>
      <c r="AE2218" t="str">
        <f t="shared" si="726"/>
        <v>Pass-ReceiverMissed</v>
      </c>
      <c r="AF2218" t="str">
        <f t="shared" si="729"/>
        <v>Offensive</v>
      </c>
      <c r="AG2218">
        <f t="shared" si="735"/>
        <v>18981</v>
      </c>
      <c r="AH2218" t="str">
        <f t="shared" si="736"/>
        <v>Nelson</v>
      </c>
      <c r="AI2218" t="str">
        <f t="shared" si="737"/>
        <v>Velodrome</v>
      </c>
      <c r="AJ2218" s="18">
        <f t="shared" si="730"/>
        <v>0</v>
      </c>
      <c r="AP2218" s="18">
        <f t="shared" si="731"/>
        <v>0</v>
      </c>
      <c r="AQ2218">
        <f t="shared" si="732"/>
        <v>2160</v>
      </c>
      <c r="AR2218" s="23">
        <f t="shared" si="733"/>
        <v>2950</v>
      </c>
      <c r="AS2218">
        <f t="shared" si="738"/>
        <v>2945</v>
      </c>
      <c r="AT2218" s="21">
        <f t="shared" si="739"/>
        <v>2950</v>
      </c>
      <c r="AU2218" s="21"/>
      <c r="AV2218" s="21"/>
      <c r="AW2218" s="21"/>
    </row>
    <row r="2219" spans="1:49" x14ac:dyDescent="0.2">
      <c r="A2219">
        <v>1178</v>
      </c>
      <c r="E2219">
        <f t="shared" si="734"/>
        <v>3</v>
      </c>
      <c r="F2219" s="5" t="s">
        <v>533</v>
      </c>
      <c r="G2219" s="5" t="s">
        <v>518</v>
      </c>
      <c r="H2219" s="5" t="s">
        <v>533</v>
      </c>
      <c r="I2219" s="7" t="s">
        <v>516</v>
      </c>
      <c r="J2219" t="str">
        <f t="shared" si="741"/>
        <v>4</v>
      </c>
      <c r="K2219" t="str">
        <f t="shared" si="742"/>
        <v>46</v>
      </c>
      <c r="L2219" t="str">
        <f t="shared" si="743"/>
        <v>4</v>
      </c>
      <c r="M2219" s="6" t="str">
        <f t="shared" si="744"/>
        <v>44</v>
      </c>
      <c r="N2219" t="s">
        <v>179</v>
      </c>
      <c r="O2219">
        <v>93</v>
      </c>
      <c r="P2219" t="s">
        <v>424</v>
      </c>
      <c r="Q2219" t="s">
        <v>277</v>
      </c>
      <c r="R2219" t="s">
        <v>201</v>
      </c>
      <c r="S2219" t="s">
        <v>90</v>
      </c>
      <c r="Y2219" t="str">
        <f t="shared" si="727"/>
        <v/>
      </c>
      <c r="Z2219" t="str">
        <f t="shared" si="728"/>
        <v/>
      </c>
      <c r="AC2219" t="str">
        <f t="shared" si="724"/>
        <v>Zone_Entry_Exit</v>
      </c>
      <c r="AD2219" t="str">
        <f t="shared" si="725"/>
        <v>Zone_Exit</v>
      </c>
      <c r="AE2219" t="str">
        <f t="shared" si="726"/>
        <v>ZoneExit-Rush</v>
      </c>
      <c r="AF2219" t="str">
        <f t="shared" si="729"/>
        <v>Offensive</v>
      </c>
      <c r="AG2219">
        <f t="shared" si="735"/>
        <v>18981</v>
      </c>
      <c r="AH2219" t="str">
        <f t="shared" si="736"/>
        <v>Nelson</v>
      </c>
      <c r="AI2219" t="str">
        <f t="shared" si="737"/>
        <v>Velodrome</v>
      </c>
      <c r="AJ2219" s="18">
        <f t="shared" si="730"/>
        <v>2</v>
      </c>
      <c r="AP2219" s="18">
        <f t="shared" si="731"/>
        <v>0</v>
      </c>
      <c r="AQ2219">
        <f t="shared" si="732"/>
        <v>2160</v>
      </c>
      <c r="AR2219" s="23">
        <f t="shared" si="733"/>
        <v>2954</v>
      </c>
      <c r="AS2219">
        <f t="shared" si="738"/>
        <v>2949</v>
      </c>
      <c r="AT2219" s="21">
        <f t="shared" si="739"/>
        <v>2956</v>
      </c>
      <c r="AU2219" s="21"/>
      <c r="AV2219" s="21"/>
      <c r="AW2219" s="21"/>
    </row>
    <row r="2220" spans="1:49" x14ac:dyDescent="0.2">
      <c r="A2220">
        <v>1179</v>
      </c>
      <c r="E2220">
        <f t="shared" si="734"/>
        <v>3</v>
      </c>
      <c r="F2220" s="5" t="s">
        <v>533</v>
      </c>
      <c r="G2220" s="5" t="s">
        <v>516</v>
      </c>
      <c r="J2220" t="str">
        <f t="shared" si="741"/>
        <v>4</v>
      </c>
      <c r="K2220" t="str">
        <f t="shared" si="742"/>
        <v>44</v>
      </c>
      <c r="L2220" t="str">
        <f t="shared" si="743"/>
        <v/>
      </c>
      <c r="M2220" s="6" t="str">
        <f t="shared" si="744"/>
        <v/>
      </c>
      <c r="N2220" t="s">
        <v>179</v>
      </c>
      <c r="O2220">
        <v>93</v>
      </c>
      <c r="P2220" t="s">
        <v>424</v>
      </c>
      <c r="Q2220" t="s">
        <v>8</v>
      </c>
      <c r="R2220" t="s">
        <v>216</v>
      </c>
      <c r="S2220" t="s">
        <v>69</v>
      </c>
      <c r="Y2220" t="str">
        <f t="shared" si="727"/>
        <v/>
      </c>
      <c r="Z2220" t="str">
        <f t="shared" si="728"/>
        <v/>
      </c>
      <c r="AC2220" t="str">
        <f t="shared" si="724"/>
        <v>Pass</v>
      </c>
      <c r="AD2220" t="str">
        <f t="shared" si="725"/>
        <v>Pass_Intercepted</v>
      </c>
      <c r="AE2220" t="str">
        <f t="shared" si="726"/>
        <v>Pass-Backhand</v>
      </c>
      <c r="AF2220" t="str">
        <f t="shared" si="729"/>
        <v>Offensive</v>
      </c>
      <c r="AG2220">
        <f t="shared" si="735"/>
        <v>18981</v>
      </c>
      <c r="AH2220" t="str">
        <f t="shared" si="736"/>
        <v>Nelson</v>
      </c>
      <c r="AI2220" t="str">
        <f t="shared" si="737"/>
        <v>Velodrome</v>
      </c>
      <c r="AJ2220" s="18">
        <f t="shared" si="730"/>
        <v>0</v>
      </c>
      <c r="AP2220" s="18">
        <f t="shared" si="731"/>
        <v>0</v>
      </c>
      <c r="AQ2220">
        <f t="shared" si="732"/>
        <v>2160</v>
      </c>
      <c r="AR2220" s="23">
        <f t="shared" si="733"/>
        <v>2956</v>
      </c>
      <c r="AS2220">
        <f t="shared" si="738"/>
        <v>2951</v>
      </c>
      <c r="AT2220" s="21">
        <f t="shared" si="739"/>
        <v>2956</v>
      </c>
      <c r="AU2220" s="21"/>
      <c r="AV2220" s="21"/>
      <c r="AW2220" s="21"/>
    </row>
    <row r="2221" spans="1:49" x14ac:dyDescent="0.2">
      <c r="A2221">
        <v>1179</v>
      </c>
      <c r="E2221">
        <f t="shared" si="734"/>
        <v>3</v>
      </c>
      <c r="J2221" t="str">
        <f t="shared" si="741"/>
        <v>4</v>
      </c>
      <c r="K2221" t="str">
        <f t="shared" si="742"/>
        <v>44</v>
      </c>
      <c r="L2221" t="str">
        <f t="shared" si="743"/>
        <v/>
      </c>
      <c r="M2221" s="6" t="str">
        <f t="shared" si="744"/>
        <v/>
      </c>
      <c r="N2221" t="str">
        <f t="shared" si="740"/>
        <v>Away</v>
      </c>
      <c r="O2221">
        <v>14</v>
      </c>
      <c r="P2221" t="s">
        <v>424</v>
      </c>
      <c r="Y2221" t="str">
        <f t="shared" si="727"/>
        <v/>
      </c>
      <c r="Z2221" t="str">
        <f t="shared" si="728"/>
        <v/>
      </c>
      <c r="AC2221" t="str">
        <f t="shared" si="724"/>
        <v>Pass</v>
      </c>
      <c r="AD2221" t="str">
        <f t="shared" si="725"/>
        <v>Pass_Intercepted</v>
      </c>
      <c r="AE2221" t="str">
        <f t="shared" si="726"/>
        <v>Pass-Backhand</v>
      </c>
      <c r="AF2221" t="str">
        <f t="shared" si="729"/>
        <v>Offensive</v>
      </c>
      <c r="AG2221">
        <f t="shared" si="735"/>
        <v>18981</v>
      </c>
      <c r="AH2221" t="str">
        <f t="shared" si="736"/>
        <v>Nelson</v>
      </c>
      <c r="AI2221" t="str">
        <f t="shared" si="737"/>
        <v>Velodrome</v>
      </c>
      <c r="AJ2221" s="18">
        <f t="shared" si="730"/>
        <v>0</v>
      </c>
      <c r="AP2221" s="18">
        <f t="shared" si="731"/>
        <v>0</v>
      </c>
      <c r="AQ2221">
        <f t="shared" si="732"/>
        <v>2160</v>
      </c>
      <c r="AR2221" s="23">
        <f t="shared" si="733"/>
        <v>2956</v>
      </c>
      <c r="AS2221">
        <f t="shared" si="738"/>
        <v>2951</v>
      </c>
      <c r="AT2221" s="21">
        <f t="shared" si="739"/>
        <v>2956</v>
      </c>
      <c r="AU2221" s="21"/>
      <c r="AV2221" s="21"/>
      <c r="AW2221" s="21"/>
    </row>
    <row r="2222" spans="1:49" x14ac:dyDescent="0.2">
      <c r="A2222">
        <v>1179</v>
      </c>
      <c r="E2222">
        <f t="shared" si="734"/>
        <v>3</v>
      </c>
      <c r="J2222" t="str">
        <f t="shared" si="741"/>
        <v>4</v>
      </c>
      <c r="K2222" t="str">
        <f t="shared" si="742"/>
        <v>44</v>
      </c>
      <c r="L2222" t="str">
        <f t="shared" si="743"/>
        <v/>
      </c>
      <c r="M2222" s="6" t="str">
        <f t="shared" si="744"/>
        <v/>
      </c>
      <c r="N2222" t="str">
        <f t="shared" si="740"/>
        <v>Away</v>
      </c>
      <c r="O2222">
        <v>23</v>
      </c>
      <c r="P2222" t="s">
        <v>425</v>
      </c>
      <c r="Y2222" t="str">
        <f t="shared" si="727"/>
        <v/>
      </c>
      <c r="Z2222" t="str">
        <f t="shared" si="728"/>
        <v/>
      </c>
      <c r="AC2222" t="str">
        <f t="shared" si="724"/>
        <v>Pass</v>
      </c>
      <c r="AD2222" t="str">
        <f t="shared" si="725"/>
        <v>Pass_Intercepted</v>
      </c>
      <c r="AE2222" t="str">
        <f t="shared" si="726"/>
        <v>Pass-Backhand</v>
      </c>
      <c r="AF2222" t="str">
        <f t="shared" si="729"/>
        <v>Defensive</v>
      </c>
      <c r="AG2222">
        <f t="shared" si="735"/>
        <v>18981</v>
      </c>
      <c r="AH2222" t="str">
        <f t="shared" si="736"/>
        <v>Nelson</v>
      </c>
      <c r="AI2222" t="str">
        <f t="shared" si="737"/>
        <v>Velodrome</v>
      </c>
      <c r="AJ2222" s="18">
        <f t="shared" si="730"/>
        <v>0</v>
      </c>
      <c r="AP2222" s="18">
        <f t="shared" si="731"/>
        <v>0</v>
      </c>
      <c r="AQ2222">
        <f t="shared" si="732"/>
        <v>2160</v>
      </c>
      <c r="AR2222" s="23">
        <f t="shared" si="733"/>
        <v>2956</v>
      </c>
      <c r="AS2222">
        <f t="shared" si="738"/>
        <v>2951</v>
      </c>
      <c r="AT2222" s="21">
        <f t="shared" si="739"/>
        <v>2956</v>
      </c>
      <c r="AU2222" s="21"/>
      <c r="AV2222" s="21"/>
      <c r="AW2222" s="21"/>
    </row>
    <row r="2223" spans="1:49" x14ac:dyDescent="0.2">
      <c r="A2223">
        <v>1180</v>
      </c>
      <c r="E2223">
        <f t="shared" si="734"/>
        <v>3</v>
      </c>
      <c r="F2223" s="5" t="s">
        <v>533</v>
      </c>
      <c r="G2223" s="5" t="s">
        <v>516</v>
      </c>
      <c r="J2223" t="str">
        <f t="shared" si="741"/>
        <v>4</v>
      </c>
      <c r="K2223" t="str">
        <f t="shared" si="742"/>
        <v>44</v>
      </c>
      <c r="L2223" t="str">
        <f t="shared" si="743"/>
        <v/>
      </c>
      <c r="M2223" s="6" t="str">
        <f t="shared" si="744"/>
        <v/>
      </c>
      <c r="N2223" t="s">
        <v>179</v>
      </c>
      <c r="O2223">
        <v>93</v>
      </c>
      <c r="P2223" t="s">
        <v>424</v>
      </c>
      <c r="Q2223" t="s">
        <v>10</v>
      </c>
      <c r="R2223" t="s">
        <v>190</v>
      </c>
      <c r="S2223" t="s">
        <v>75</v>
      </c>
      <c r="Y2223" t="str">
        <f t="shared" si="727"/>
        <v/>
      </c>
      <c r="Z2223" t="str">
        <f t="shared" si="728"/>
        <v/>
      </c>
      <c r="AC2223" t="str">
        <f t="shared" ref="AC2223:AC2286" si="745">IF(Q2223&lt;&gt;"",Q2223,IF($A2223=$A2222,AC2222,""))</f>
        <v>Turnover</v>
      </c>
      <c r="AD2223" t="str">
        <f t="shared" ref="AD2223:AD2286" si="746">IF(R2223&lt;&gt;"",R2223,IF($A2223=$A2222,AD2222,""))</f>
        <v>Turnover_Giveaway</v>
      </c>
      <c r="AE2223" t="str">
        <f t="shared" ref="AE2223:AE2286" si="747">IF(S2223&lt;&gt;"",S2223,IF($A2223=$A2222,AE2222,""))</f>
        <v>Giveaway-PassIntercepted</v>
      </c>
      <c r="AF2223" t="str">
        <f t="shared" si="729"/>
        <v>Offensive</v>
      </c>
      <c r="AG2223">
        <f t="shared" si="735"/>
        <v>18981</v>
      </c>
      <c r="AH2223" t="str">
        <f t="shared" si="736"/>
        <v>Nelson</v>
      </c>
      <c r="AI2223" t="str">
        <f t="shared" si="737"/>
        <v>Velodrome</v>
      </c>
      <c r="AJ2223" s="18">
        <f t="shared" si="730"/>
        <v>0</v>
      </c>
      <c r="AP2223" s="18">
        <f t="shared" si="731"/>
        <v>0</v>
      </c>
      <c r="AQ2223">
        <f t="shared" si="732"/>
        <v>2160</v>
      </c>
      <c r="AR2223" s="23">
        <f t="shared" si="733"/>
        <v>2956</v>
      </c>
      <c r="AS2223">
        <f t="shared" si="738"/>
        <v>2951</v>
      </c>
      <c r="AT2223" s="21">
        <f t="shared" si="739"/>
        <v>2956</v>
      </c>
      <c r="AU2223" s="21"/>
      <c r="AV2223" s="21"/>
      <c r="AW2223" s="21"/>
    </row>
    <row r="2224" spans="1:49" x14ac:dyDescent="0.2">
      <c r="A2224">
        <v>1180</v>
      </c>
      <c r="E2224">
        <f t="shared" si="734"/>
        <v>3</v>
      </c>
      <c r="J2224" t="str">
        <f t="shared" si="741"/>
        <v>4</v>
      </c>
      <c r="K2224" t="str">
        <f t="shared" si="742"/>
        <v>44</v>
      </c>
      <c r="L2224" t="str">
        <f t="shared" si="743"/>
        <v/>
      </c>
      <c r="M2224" s="6" t="str">
        <f t="shared" si="744"/>
        <v/>
      </c>
      <c r="N2224" t="str">
        <f t="shared" si="740"/>
        <v>Away</v>
      </c>
      <c r="O2224">
        <v>14</v>
      </c>
      <c r="P2224" t="s">
        <v>424</v>
      </c>
      <c r="Y2224" t="str">
        <f t="shared" si="727"/>
        <v/>
      </c>
      <c r="Z2224" t="str">
        <f t="shared" si="728"/>
        <v/>
      </c>
      <c r="AC2224" t="str">
        <f t="shared" si="745"/>
        <v>Turnover</v>
      </c>
      <c r="AD2224" t="str">
        <f t="shared" si="746"/>
        <v>Turnover_Giveaway</v>
      </c>
      <c r="AE2224" t="str">
        <f t="shared" si="747"/>
        <v>Giveaway-PassIntercepted</v>
      </c>
      <c r="AF2224" t="str">
        <f t="shared" si="729"/>
        <v>Offensive</v>
      </c>
      <c r="AG2224">
        <f t="shared" si="735"/>
        <v>18981</v>
      </c>
      <c r="AH2224" t="str">
        <f t="shared" si="736"/>
        <v>Nelson</v>
      </c>
      <c r="AI2224" t="str">
        <f t="shared" si="737"/>
        <v>Velodrome</v>
      </c>
      <c r="AJ2224" s="18">
        <f t="shared" si="730"/>
        <v>0</v>
      </c>
      <c r="AP2224" s="18">
        <f t="shared" si="731"/>
        <v>0</v>
      </c>
      <c r="AQ2224">
        <f t="shared" si="732"/>
        <v>2160</v>
      </c>
      <c r="AR2224" s="23">
        <f t="shared" si="733"/>
        <v>2956</v>
      </c>
      <c r="AS2224">
        <f t="shared" si="738"/>
        <v>2951</v>
      </c>
      <c r="AT2224" s="21">
        <f t="shared" si="739"/>
        <v>2956</v>
      </c>
      <c r="AU2224" s="21"/>
      <c r="AV2224" s="21"/>
      <c r="AW2224" s="21"/>
    </row>
    <row r="2225" spans="1:49" x14ac:dyDescent="0.2">
      <c r="A2225">
        <v>1180</v>
      </c>
      <c r="E2225">
        <f t="shared" si="734"/>
        <v>3</v>
      </c>
      <c r="J2225" t="str">
        <f t="shared" si="741"/>
        <v>4</v>
      </c>
      <c r="K2225" t="str">
        <f t="shared" si="742"/>
        <v>44</v>
      </c>
      <c r="L2225" t="str">
        <f t="shared" si="743"/>
        <v/>
      </c>
      <c r="M2225" s="6" t="str">
        <f t="shared" si="744"/>
        <v/>
      </c>
      <c r="N2225" t="str">
        <f t="shared" si="740"/>
        <v>Away</v>
      </c>
      <c r="O2225">
        <v>23</v>
      </c>
      <c r="P2225" t="s">
        <v>425</v>
      </c>
      <c r="Y2225" t="str">
        <f t="shared" si="727"/>
        <v/>
      </c>
      <c r="Z2225" t="str">
        <f t="shared" si="728"/>
        <v/>
      </c>
      <c r="AC2225" t="str">
        <f t="shared" si="745"/>
        <v>Turnover</v>
      </c>
      <c r="AD2225" t="str">
        <f t="shared" si="746"/>
        <v>Turnover_Giveaway</v>
      </c>
      <c r="AE2225" t="str">
        <f t="shared" si="747"/>
        <v>Giveaway-PassIntercepted</v>
      </c>
      <c r="AF2225" t="str">
        <f t="shared" si="729"/>
        <v>Defensive</v>
      </c>
      <c r="AG2225">
        <f t="shared" si="735"/>
        <v>18981</v>
      </c>
      <c r="AH2225" t="str">
        <f t="shared" si="736"/>
        <v>Nelson</v>
      </c>
      <c r="AI2225" t="str">
        <f t="shared" si="737"/>
        <v>Velodrome</v>
      </c>
      <c r="AJ2225" s="18">
        <f t="shared" si="730"/>
        <v>0</v>
      </c>
      <c r="AP2225" s="18">
        <f t="shared" si="731"/>
        <v>0</v>
      </c>
      <c r="AQ2225">
        <f t="shared" si="732"/>
        <v>2160</v>
      </c>
      <c r="AR2225" s="23">
        <f t="shared" si="733"/>
        <v>2956</v>
      </c>
      <c r="AS2225">
        <f t="shared" si="738"/>
        <v>2951</v>
      </c>
      <c r="AT2225" s="21">
        <f t="shared" si="739"/>
        <v>2956</v>
      </c>
      <c r="AU2225" s="21"/>
      <c r="AV2225" s="21"/>
      <c r="AW2225" s="21"/>
    </row>
    <row r="2226" spans="1:49" x14ac:dyDescent="0.2">
      <c r="A2226">
        <v>1181</v>
      </c>
      <c r="E2226">
        <f t="shared" si="734"/>
        <v>3</v>
      </c>
      <c r="F2226" s="5" t="s">
        <v>533</v>
      </c>
      <c r="G2226" s="5" t="s">
        <v>513</v>
      </c>
      <c r="H2226" s="5" t="s">
        <v>533</v>
      </c>
      <c r="I2226" s="7" t="s">
        <v>512</v>
      </c>
      <c r="J2226" t="str">
        <f t="shared" si="741"/>
        <v>4</v>
      </c>
      <c r="K2226" t="str">
        <f t="shared" si="742"/>
        <v>41</v>
      </c>
      <c r="L2226" t="str">
        <f t="shared" si="743"/>
        <v>4</v>
      </c>
      <c r="M2226" s="6" t="str">
        <f t="shared" si="744"/>
        <v>40</v>
      </c>
      <c r="N2226" t="s">
        <v>178</v>
      </c>
      <c r="O2226">
        <v>44</v>
      </c>
      <c r="P2226" t="s">
        <v>424</v>
      </c>
      <c r="Q2226" t="s">
        <v>15</v>
      </c>
      <c r="Y2226" t="str">
        <f t="shared" si="727"/>
        <v/>
      </c>
      <c r="Z2226" t="str">
        <f t="shared" si="728"/>
        <v/>
      </c>
      <c r="AC2226" t="str">
        <f t="shared" si="745"/>
        <v>Possession</v>
      </c>
      <c r="AD2226" t="str">
        <f t="shared" si="746"/>
        <v/>
      </c>
      <c r="AE2226" t="str">
        <f t="shared" si="747"/>
        <v/>
      </c>
      <c r="AF2226" t="str">
        <f t="shared" si="729"/>
        <v>Offensive</v>
      </c>
      <c r="AG2226">
        <f t="shared" si="735"/>
        <v>18981</v>
      </c>
      <c r="AH2226" t="str">
        <f t="shared" si="736"/>
        <v>Nelson</v>
      </c>
      <c r="AI2226" t="str">
        <f t="shared" si="737"/>
        <v>Velodrome</v>
      </c>
      <c r="AJ2226" s="18">
        <f t="shared" si="730"/>
        <v>1</v>
      </c>
      <c r="AP2226" s="18">
        <f t="shared" si="731"/>
        <v>0</v>
      </c>
      <c r="AQ2226">
        <f t="shared" si="732"/>
        <v>2160</v>
      </c>
      <c r="AR2226" s="23">
        <f t="shared" si="733"/>
        <v>2959</v>
      </c>
      <c r="AS2226">
        <f t="shared" si="738"/>
        <v>2954</v>
      </c>
      <c r="AT2226" s="21">
        <f t="shared" si="739"/>
        <v>2960</v>
      </c>
      <c r="AU2226" s="21"/>
      <c r="AV2226" s="21"/>
      <c r="AW2226" s="21"/>
    </row>
    <row r="2227" spans="1:49" x14ac:dyDescent="0.2">
      <c r="A2227">
        <v>1182</v>
      </c>
      <c r="E2227">
        <f t="shared" si="734"/>
        <v>3</v>
      </c>
      <c r="F2227" s="5" t="s">
        <v>533</v>
      </c>
      <c r="G2227" s="5" t="s">
        <v>512</v>
      </c>
      <c r="H2227" s="5" t="s">
        <v>533</v>
      </c>
      <c r="I2227" s="7" t="s">
        <v>509</v>
      </c>
      <c r="J2227" t="str">
        <f t="shared" si="741"/>
        <v>4</v>
      </c>
      <c r="K2227" t="str">
        <f t="shared" si="742"/>
        <v>40</v>
      </c>
      <c r="L2227" t="str">
        <f t="shared" si="743"/>
        <v>4</v>
      </c>
      <c r="M2227" s="6" t="str">
        <f t="shared" si="744"/>
        <v>37</v>
      </c>
      <c r="N2227" t="s">
        <v>178</v>
      </c>
      <c r="O2227">
        <v>44</v>
      </c>
      <c r="P2227" t="s">
        <v>424</v>
      </c>
      <c r="Q2227" t="s">
        <v>277</v>
      </c>
      <c r="R2227" t="s">
        <v>191</v>
      </c>
      <c r="S2227" t="s">
        <v>87</v>
      </c>
      <c r="Y2227" t="str">
        <f t="shared" si="727"/>
        <v/>
      </c>
      <c r="Z2227" t="str">
        <f t="shared" si="728"/>
        <v/>
      </c>
      <c r="AC2227" t="str">
        <f t="shared" si="745"/>
        <v>Zone_Entry_Exit</v>
      </c>
      <c r="AD2227" t="str">
        <f t="shared" si="746"/>
        <v>Zone_Entry</v>
      </c>
      <c r="AE2227" t="str">
        <f t="shared" si="747"/>
        <v>ZoneEntry-Rush</v>
      </c>
      <c r="AF2227" t="str">
        <f t="shared" si="729"/>
        <v>Offensive</v>
      </c>
      <c r="AG2227">
        <f t="shared" si="735"/>
        <v>18981</v>
      </c>
      <c r="AH2227" t="str">
        <f t="shared" si="736"/>
        <v>Nelson</v>
      </c>
      <c r="AI2227" t="str">
        <f t="shared" si="737"/>
        <v>Velodrome</v>
      </c>
      <c r="AJ2227" s="18">
        <f t="shared" si="730"/>
        <v>3</v>
      </c>
      <c r="AP2227" s="18">
        <f t="shared" si="731"/>
        <v>0</v>
      </c>
      <c r="AQ2227">
        <f t="shared" si="732"/>
        <v>2160</v>
      </c>
      <c r="AR2227" s="23">
        <f t="shared" si="733"/>
        <v>2960</v>
      </c>
      <c r="AS2227">
        <f t="shared" si="738"/>
        <v>2955</v>
      </c>
      <c r="AT2227" s="21">
        <f t="shared" si="739"/>
        <v>2963</v>
      </c>
      <c r="AU2227" s="21"/>
      <c r="AV2227" s="21"/>
      <c r="AW2227" s="21"/>
    </row>
    <row r="2228" spans="1:49" x14ac:dyDescent="0.2">
      <c r="A2228">
        <v>1182</v>
      </c>
      <c r="E2228">
        <f t="shared" si="734"/>
        <v>3</v>
      </c>
      <c r="J2228" t="str">
        <f t="shared" si="741"/>
        <v>4</v>
      </c>
      <c r="K2228" t="str">
        <f t="shared" si="742"/>
        <v>40</v>
      </c>
      <c r="L2228" t="str">
        <f t="shared" si="743"/>
        <v>4</v>
      </c>
      <c r="M2228" s="6" t="str">
        <f t="shared" si="744"/>
        <v>37</v>
      </c>
      <c r="N2228" t="str">
        <f t="shared" si="740"/>
        <v>Home</v>
      </c>
      <c r="O2228">
        <v>52</v>
      </c>
      <c r="P2228" t="s">
        <v>425</v>
      </c>
      <c r="Y2228" t="str">
        <f t="shared" si="727"/>
        <v/>
      </c>
      <c r="Z2228" t="str">
        <f t="shared" si="728"/>
        <v/>
      </c>
      <c r="AC2228" t="str">
        <f t="shared" si="745"/>
        <v>Zone_Entry_Exit</v>
      </c>
      <c r="AD2228" t="str">
        <f t="shared" si="746"/>
        <v>Zone_Entry</v>
      </c>
      <c r="AE2228" t="str">
        <f t="shared" si="747"/>
        <v>ZoneEntry-Rush</v>
      </c>
      <c r="AF2228" t="str">
        <f t="shared" si="729"/>
        <v>Defensive</v>
      </c>
      <c r="AG2228">
        <f t="shared" si="735"/>
        <v>18981</v>
      </c>
      <c r="AH2228" t="str">
        <f t="shared" si="736"/>
        <v>Nelson</v>
      </c>
      <c r="AI2228" t="str">
        <f t="shared" si="737"/>
        <v>Velodrome</v>
      </c>
      <c r="AJ2228" s="18">
        <f t="shared" si="730"/>
        <v>3</v>
      </c>
      <c r="AP2228" s="18">
        <f t="shared" si="731"/>
        <v>0</v>
      </c>
      <c r="AQ2228">
        <f t="shared" si="732"/>
        <v>2160</v>
      </c>
      <c r="AR2228" s="23">
        <f t="shared" si="733"/>
        <v>2960</v>
      </c>
      <c r="AS2228">
        <f t="shared" si="738"/>
        <v>2955</v>
      </c>
      <c r="AT2228" s="21">
        <f t="shared" si="739"/>
        <v>2963</v>
      </c>
      <c r="AU2228" s="21"/>
      <c r="AV2228" s="21"/>
      <c r="AW2228" s="21"/>
    </row>
    <row r="2229" spans="1:49" x14ac:dyDescent="0.2">
      <c r="A2229">
        <v>1182</v>
      </c>
      <c r="E2229">
        <f t="shared" si="734"/>
        <v>3</v>
      </c>
      <c r="J2229" t="str">
        <f t="shared" si="741"/>
        <v>4</v>
      </c>
      <c r="K2229" t="str">
        <f t="shared" si="742"/>
        <v>40</v>
      </c>
      <c r="L2229" t="str">
        <f t="shared" si="743"/>
        <v>4</v>
      </c>
      <c r="M2229" s="6" t="str">
        <f t="shared" si="744"/>
        <v>37</v>
      </c>
      <c r="N2229" t="str">
        <f t="shared" si="740"/>
        <v>Home</v>
      </c>
      <c r="O2229">
        <v>61</v>
      </c>
      <c r="P2229" t="s">
        <v>425</v>
      </c>
      <c r="Y2229" t="str">
        <f t="shared" si="727"/>
        <v/>
      </c>
      <c r="Z2229" t="str">
        <f t="shared" si="728"/>
        <v/>
      </c>
      <c r="AC2229" t="str">
        <f t="shared" si="745"/>
        <v>Zone_Entry_Exit</v>
      </c>
      <c r="AD2229" t="str">
        <f t="shared" si="746"/>
        <v>Zone_Entry</v>
      </c>
      <c r="AE2229" t="str">
        <f t="shared" si="747"/>
        <v>ZoneEntry-Rush</v>
      </c>
      <c r="AF2229" t="str">
        <f t="shared" si="729"/>
        <v>Defensive</v>
      </c>
      <c r="AG2229">
        <f t="shared" si="735"/>
        <v>18981</v>
      </c>
      <c r="AH2229" t="str">
        <f t="shared" si="736"/>
        <v>Nelson</v>
      </c>
      <c r="AI2229" t="str">
        <f t="shared" si="737"/>
        <v>Velodrome</v>
      </c>
      <c r="AJ2229" s="18">
        <f t="shared" si="730"/>
        <v>3</v>
      </c>
      <c r="AP2229" s="18">
        <f t="shared" si="731"/>
        <v>0</v>
      </c>
      <c r="AQ2229">
        <f t="shared" si="732"/>
        <v>2160</v>
      </c>
      <c r="AR2229" s="23">
        <f t="shared" si="733"/>
        <v>2960</v>
      </c>
      <c r="AS2229">
        <f t="shared" si="738"/>
        <v>2955</v>
      </c>
      <c r="AT2229" s="21">
        <f t="shared" si="739"/>
        <v>2963</v>
      </c>
      <c r="AU2229" s="21"/>
      <c r="AV2229" s="21"/>
      <c r="AW2229" s="21"/>
    </row>
    <row r="2230" spans="1:49" x14ac:dyDescent="0.2">
      <c r="A2230">
        <v>1183</v>
      </c>
      <c r="E2230">
        <f t="shared" si="734"/>
        <v>3</v>
      </c>
      <c r="F2230" s="5" t="s">
        <v>533</v>
      </c>
      <c r="G2230" s="5" t="s">
        <v>509</v>
      </c>
      <c r="J2230" t="str">
        <f t="shared" si="741"/>
        <v>4</v>
      </c>
      <c r="K2230" t="str">
        <f t="shared" si="742"/>
        <v>37</v>
      </c>
      <c r="L2230" t="str">
        <f t="shared" si="743"/>
        <v/>
      </c>
      <c r="M2230" s="6" t="str">
        <f t="shared" si="744"/>
        <v/>
      </c>
      <c r="N2230" t="s">
        <v>178</v>
      </c>
      <c r="O2230">
        <v>44</v>
      </c>
      <c r="P2230" t="s">
        <v>424</v>
      </c>
      <c r="Q2230" t="s">
        <v>247</v>
      </c>
      <c r="R2230" t="s">
        <v>445</v>
      </c>
      <c r="S2230" t="s">
        <v>574</v>
      </c>
      <c r="Y2230" t="str">
        <f t="shared" si="727"/>
        <v/>
      </c>
      <c r="Z2230" t="str">
        <f t="shared" si="728"/>
        <v/>
      </c>
      <c r="AC2230" t="str">
        <f t="shared" si="745"/>
        <v>Play</v>
      </c>
      <c r="AD2230" t="str">
        <f t="shared" si="746"/>
        <v>Play_Offensive</v>
      </c>
      <c r="AE2230" t="str">
        <f t="shared" si="747"/>
        <v>Play-Deke</v>
      </c>
      <c r="AF2230" t="str">
        <f t="shared" si="729"/>
        <v>Offensive</v>
      </c>
      <c r="AG2230">
        <f t="shared" si="735"/>
        <v>18981</v>
      </c>
      <c r="AH2230" t="str">
        <f t="shared" si="736"/>
        <v>Nelson</v>
      </c>
      <c r="AI2230" t="str">
        <f t="shared" si="737"/>
        <v>Velodrome</v>
      </c>
      <c r="AJ2230" s="18">
        <f t="shared" si="730"/>
        <v>0</v>
      </c>
      <c r="AP2230" s="18">
        <f t="shared" si="731"/>
        <v>0</v>
      </c>
      <c r="AQ2230">
        <f t="shared" si="732"/>
        <v>2160</v>
      </c>
      <c r="AR2230" s="23">
        <f t="shared" si="733"/>
        <v>2963</v>
      </c>
      <c r="AS2230">
        <f t="shared" si="738"/>
        <v>2958</v>
      </c>
      <c r="AT2230" s="21">
        <f t="shared" si="739"/>
        <v>2963</v>
      </c>
      <c r="AU2230" s="21"/>
      <c r="AV2230" s="21"/>
      <c r="AW2230" s="21"/>
    </row>
    <row r="2231" spans="1:49" x14ac:dyDescent="0.2">
      <c r="A2231">
        <v>1183</v>
      </c>
      <c r="E2231">
        <f t="shared" si="734"/>
        <v>3</v>
      </c>
      <c r="J2231" t="str">
        <f t="shared" si="741"/>
        <v>4</v>
      </c>
      <c r="K2231" t="str">
        <f t="shared" si="742"/>
        <v>37</v>
      </c>
      <c r="L2231" t="str">
        <f t="shared" si="743"/>
        <v/>
      </c>
      <c r="M2231" s="6" t="str">
        <f t="shared" si="744"/>
        <v/>
      </c>
      <c r="N2231" t="str">
        <f t="shared" si="740"/>
        <v>Home</v>
      </c>
      <c r="O2231">
        <v>52</v>
      </c>
      <c r="P2231" t="s">
        <v>425</v>
      </c>
      <c r="Y2231" t="str">
        <f t="shared" si="727"/>
        <v/>
      </c>
      <c r="Z2231" t="str">
        <f t="shared" si="728"/>
        <v/>
      </c>
      <c r="AC2231" t="str">
        <f t="shared" si="745"/>
        <v>Play</v>
      </c>
      <c r="AD2231" t="str">
        <f t="shared" si="746"/>
        <v>Play_Offensive</v>
      </c>
      <c r="AE2231" t="str">
        <f t="shared" si="747"/>
        <v>Play-Deke</v>
      </c>
      <c r="AF2231" t="str">
        <f t="shared" si="729"/>
        <v>Defensive</v>
      </c>
      <c r="AG2231">
        <f t="shared" si="735"/>
        <v>18981</v>
      </c>
      <c r="AH2231" t="str">
        <f t="shared" si="736"/>
        <v>Nelson</v>
      </c>
      <c r="AI2231" t="str">
        <f t="shared" si="737"/>
        <v>Velodrome</v>
      </c>
      <c r="AJ2231" s="18">
        <f t="shared" si="730"/>
        <v>0</v>
      </c>
      <c r="AP2231" s="18">
        <f t="shared" si="731"/>
        <v>0</v>
      </c>
      <c r="AQ2231">
        <f t="shared" si="732"/>
        <v>2160</v>
      </c>
      <c r="AR2231" s="23">
        <f t="shared" si="733"/>
        <v>2963</v>
      </c>
      <c r="AS2231">
        <f t="shared" si="738"/>
        <v>2958</v>
      </c>
      <c r="AT2231" s="21">
        <f t="shared" si="739"/>
        <v>2963</v>
      </c>
      <c r="AU2231" s="21"/>
      <c r="AV2231" s="21"/>
      <c r="AW2231" s="21"/>
    </row>
    <row r="2232" spans="1:49" x14ac:dyDescent="0.2">
      <c r="A2232">
        <v>1184</v>
      </c>
      <c r="E2232">
        <f t="shared" si="734"/>
        <v>3</v>
      </c>
      <c r="F2232" s="5" t="s">
        <v>533</v>
      </c>
      <c r="G2232" s="5" t="s">
        <v>509</v>
      </c>
      <c r="H2232" s="5" t="s">
        <v>533</v>
      </c>
      <c r="I2232" s="7" t="s">
        <v>505</v>
      </c>
      <c r="J2232" t="str">
        <f t="shared" si="741"/>
        <v>4</v>
      </c>
      <c r="K2232" t="str">
        <f t="shared" si="742"/>
        <v>37</v>
      </c>
      <c r="L2232" t="str">
        <f t="shared" si="743"/>
        <v>4</v>
      </c>
      <c r="M2232" s="6" t="str">
        <f t="shared" si="744"/>
        <v>33</v>
      </c>
      <c r="N2232" t="s">
        <v>178</v>
      </c>
      <c r="O2232">
        <v>44</v>
      </c>
      <c r="P2232" t="s">
        <v>424</v>
      </c>
      <c r="Q2232" t="s">
        <v>15</v>
      </c>
      <c r="Y2232" t="str">
        <f t="shared" si="727"/>
        <v/>
      </c>
      <c r="Z2232" t="str">
        <f t="shared" si="728"/>
        <v/>
      </c>
      <c r="AC2232" t="str">
        <f t="shared" si="745"/>
        <v>Possession</v>
      </c>
      <c r="AD2232" t="str">
        <f t="shared" si="746"/>
        <v/>
      </c>
      <c r="AE2232" t="str">
        <f t="shared" si="747"/>
        <v/>
      </c>
      <c r="AF2232" t="str">
        <f t="shared" si="729"/>
        <v>Offensive</v>
      </c>
      <c r="AG2232">
        <f t="shared" si="735"/>
        <v>18981</v>
      </c>
      <c r="AH2232" t="str">
        <f t="shared" si="736"/>
        <v>Nelson</v>
      </c>
      <c r="AI2232" t="str">
        <f t="shared" si="737"/>
        <v>Velodrome</v>
      </c>
      <c r="AJ2232" s="18">
        <f t="shared" si="730"/>
        <v>4</v>
      </c>
      <c r="AP2232" s="18">
        <f t="shared" si="731"/>
        <v>0</v>
      </c>
      <c r="AQ2232">
        <f t="shared" si="732"/>
        <v>2160</v>
      </c>
      <c r="AR2232" s="23">
        <f t="shared" si="733"/>
        <v>2963</v>
      </c>
      <c r="AS2232">
        <f t="shared" si="738"/>
        <v>2958</v>
      </c>
      <c r="AT2232" s="21">
        <f t="shared" si="739"/>
        <v>2967</v>
      </c>
      <c r="AU2232" s="21"/>
      <c r="AV2232" s="21"/>
      <c r="AW2232" s="21"/>
    </row>
    <row r="2233" spans="1:49" x14ac:dyDescent="0.2">
      <c r="A2233">
        <v>1184</v>
      </c>
      <c r="E2233">
        <f t="shared" si="734"/>
        <v>3</v>
      </c>
      <c r="J2233" t="str">
        <f t="shared" si="741"/>
        <v>4</v>
      </c>
      <c r="K2233" t="str">
        <f t="shared" si="742"/>
        <v>37</v>
      </c>
      <c r="L2233" t="str">
        <f t="shared" si="743"/>
        <v>4</v>
      </c>
      <c r="M2233" s="6" t="str">
        <f t="shared" si="744"/>
        <v>33</v>
      </c>
      <c r="N2233" t="str">
        <f t="shared" si="740"/>
        <v>Home</v>
      </c>
      <c r="O2233">
        <v>52</v>
      </c>
      <c r="P2233" t="s">
        <v>425</v>
      </c>
      <c r="Y2233" t="str">
        <f t="shared" si="727"/>
        <v/>
      </c>
      <c r="Z2233" t="str">
        <f t="shared" si="728"/>
        <v/>
      </c>
      <c r="AC2233" t="str">
        <f t="shared" si="745"/>
        <v>Possession</v>
      </c>
      <c r="AD2233" t="str">
        <f t="shared" si="746"/>
        <v/>
      </c>
      <c r="AE2233" t="str">
        <f t="shared" si="747"/>
        <v/>
      </c>
      <c r="AF2233" t="str">
        <f t="shared" si="729"/>
        <v>Defensive</v>
      </c>
      <c r="AG2233">
        <f t="shared" si="735"/>
        <v>18981</v>
      </c>
      <c r="AH2233" t="str">
        <f t="shared" si="736"/>
        <v>Nelson</v>
      </c>
      <c r="AI2233" t="str">
        <f t="shared" si="737"/>
        <v>Velodrome</v>
      </c>
      <c r="AJ2233" s="18">
        <f t="shared" si="730"/>
        <v>4</v>
      </c>
      <c r="AP2233" s="18">
        <f t="shared" si="731"/>
        <v>0</v>
      </c>
      <c r="AQ2233">
        <f t="shared" si="732"/>
        <v>2160</v>
      </c>
      <c r="AR2233" s="23">
        <f t="shared" si="733"/>
        <v>2963</v>
      </c>
      <c r="AS2233">
        <f t="shared" si="738"/>
        <v>2958</v>
      </c>
      <c r="AT2233" s="21">
        <f t="shared" si="739"/>
        <v>2967</v>
      </c>
      <c r="AU2233" s="21"/>
      <c r="AV2233" s="21"/>
      <c r="AW2233" s="21"/>
    </row>
    <row r="2234" spans="1:49" x14ac:dyDescent="0.2">
      <c r="A2234">
        <v>1185</v>
      </c>
      <c r="E2234">
        <f t="shared" si="734"/>
        <v>3</v>
      </c>
      <c r="F2234" s="5" t="s">
        <v>533</v>
      </c>
      <c r="G2234" s="5" t="s">
        <v>505</v>
      </c>
      <c r="J2234" t="str">
        <f t="shared" si="741"/>
        <v>4</v>
      </c>
      <c r="K2234" t="str">
        <f t="shared" si="742"/>
        <v>33</v>
      </c>
      <c r="L2234" t="str">
        <f t="shared" si="743"/>
        <v/>
      </c>
      <c r="M2234" s="6" t="str">
        <f t="shared" si="744"/>
        <v/>
      </c>
      <c r="N2234" t="s">
        <v>178</v>
      </c>
      <c r="O2234">
        <v>44</v>
      </c>
      <c r="P2234" t="s">
        <v>424</v>
      </c>
      <c r="Q2234" t="s">
        <v>8</v>
      </c>
      <c r="R2234" t="s">
        <v>189</v>
      </c>
      <c r="S2234" t="s">
        <v>70</v>
      </c>
      <c r="Y2234" t="str">
        <f t="shared" si="727"/>
        <v/>
      </c>
      <c r="Z2234" t="str">
        <f t="shared" si="728"/>
        <v/>
      </c>
      <c r="AC2234" t="str">
        <f t="shared" si="745"/>
        <v>Pass</v>
      </c>
      <c r="AD2234" t="str">
        <f t="shared" si="746"/>
        <v>Pass_Completed</v>
      </c>
      <c r="AE2234" t="str">
        <f t="shared" si="747"/>
        <v>Pass-Forehand</v>
      </c>
      <c r="AF2234" t="str">
        <f t="shared" si="729"/>
        <v>Offensive</v>
      </c>
      <c r="AG2234">
        <f t="shared" si="735"/>
        <v>18981</v>
      </c>
      <c r="AH2234" t="str">
        <f t="shared" si="736"/>
        <v>Nelson</v>
      </c>
      <c r="AI2234" t="str">
        <f t="shared" si="737"/>
        <v>Velodrome</v>
      </c>
      <c r="AJ2234" s="18">
        <f t="shared" si="730"/>
        <v>0</v>
      </c>
      <c r="AP2234" s="18">
        <f t="shared" si="731"/>
        <v>0</v>
      </c>
      <c r="AQ2234">
        <f t="shared" si="732"/>
        <v>2160</v>
      </c>
      <c r="AR2234" s="23">
        <f t="shared" si="733"/>
        <v>2967</v>
      </c>
      <c r="AS2234">
        <f t="shared" si="738"/>
        <v>2962</v>
      </c>
      <c r="AT2234" s="21">
        <f t="shared" si="739"/>
        <v>2967</v>
      </c>
      <c r="AU2234" s="21"/>
      <c r="AV2234" s="21"/>
      <c r="AW2234" s="21"/>
    </row>
    <row r="2235" spans="1:49" x14ac:dyDescent="0.2">
      <c r="A2235">
        <v>1185</v>
      </c>
      <c r="E2235">
        <f t="shared" si="734"/>
        <v>3</v>
      </c>
      <c r="J2235" t="str">
        <f t="shared" si="741"/>
        <v>4</v>
      </c>
      <c r="K2235" t="str">
        <f t="shared" si="742"/>
        <v>33</v>
      </c>
      <c r="L2235" t="str">
        <f t="shared" si="743"/>
        <v/>
      </c>
      <c r="M2235" s="6" t="str">
        <f t="shared" si="744"/>
        <v/>
      </c>
      <c r="N2235" t="str">
        <f t="shared" si="740"/>
        <v>Home</v>
      </c>
      <c r="O2235">
        <v>37</v>
      </c>
      <c r="P2235" t="s">
        <v>424</v>
      </c>
      <c r="Y2235" t="str">
        <f t="shared" si="727"/>
        <v/>
      </c>
      <c r="Z2235" t="str">
        <f t="shared" si="728"/>
        <v/>
      </c>
      <c r="AC2235" t="str">
        <f t="shared" si="745"/>
        <v>Pass</v>
      </c>
      <c r="AD2235" t="str">
        <f t="shared" si="746"/>
        <v>Pass_Completed</v>
      </c>
      <c r="AE2235" t="str">
        <f t="shared" si="747"/>
        <v>Pass-Forehand</v>
      </c>
      <c r="AF2235" t="str">
        <f t="shared" si="729"/>
        <v>Offensive</v>
      </c>
      <c r="AG2235">
        <f t="shared" si="735"/>
        <v>18981</v>
      </c>
      <c r="AH2235" t="str">
        <f t="shared" si="736"/>
        <v>Nelson</v>
      </c>
      <c r="AI2235" t="str">
        <f t="shared" si="737"/>
        <v>Velodrome</v>
      </c>
      <c r="AJ2235" s="18">
        <f t="shared" si="730"/>
        <v>0</v>
      </c>
      <c r="AP2235" s="18">
        <f t="shared" si="731"/>
        <v>0</v>
      </c>
      <c r="AQ2235">
        <f t="shared" si="732"/>
        <v>2160</v>
      </c>
      <c r="AR2235" s="23">
        <f t="shared" si="733"/>
        <v>2967</v>
      </c>
      <c r="AS2235">
        <f t="shared" si="738"/>
        <v>2962</v>
      </c>
      <c r="AT2235" s="21">
        <f t="shared" si="739"/>
        <v>2967</v>
      </c>
      <c r="AU2235" s="21"/>
      <c r="AV2235" s="21"/>
      <c r="AW2235" s="21"/>
    </row>
    <row r="2236" spans="1:49" x14ac:dyDescent="0.2">
      <c r="A2236">
        <v>1186</v>
      </c>
      <c r="E2236">
        <f t="shared" si="734"/>
        <v>3</v>
      </c>
      <c r="F2236" s="5" t="s">
        <v>533</v>
      </c>
      <c r="G2236" s="5" t="s">
        <v>504</v>
      </c>
      <c r="H2236" s="5" t="s">
        <v>533</v>
      </c>
      <c r="I2236" s="7" t="s">
        <v>500</v>
      </c>
      <c r="J2236" t="str">
        <f t="shared" si="741"/>
        <v>4</v>
      </c>
      <c r="K2236" t="str">
        <f t="shared" si="742"/>
        <v>32</v>
      </c>
      <c r="L2236" t="str">
        <f t="shared" si="743"/>
        <v>4</v>
      </c>
      <c r="M2236" s="6" t="str">
        <f t="shared" si="744"/>
        <v>28</v>
      </c>
      <c r="N2236" t="s">
        <v>178</v>
      </c>
      <c r="O2236">
        <v>37</v>
      </c>
      <c r="P2236" t="s">
        <v>424</v>
      </c>
      <c r="Q2236" t="s">
        <v>15</v>
      </c>
      <c r="Y2236" t="str">
        <f t="shared" si="727"/>
        <v/>
      </c>
      <c r="Z2236" t="str">
        <f t="shared" si="728"/>
        <v/>
      </c>
      <c r="AC2236" t="str">
        <f t="shared" si="745"/>
        <v>Possession</v>
      </c>
      <c r="AD2236" t="str">
        <f t="shared" si="746"/>
        <v/>
      </c>
      <c r="AE2236" t="str">
        <f t="shared" si="747"/>
        <v/>
      </c>
      <c r="AF2236" t="str">
        <f t="shared" si="729"/>
        <v>Offensive</v>
      </c>
      <c r="AG2236">
        <f t="shared" si="735"/>
        <v>18981</v>
      </c>
      <c r="AH2236" t="str">
        <f t="shared" si="736"/>
        <v>Nelson</v>
      </c>
      <c r="AI2236" t="str">
        <f t="shared" si="737"/>
        <v>Velodrome</v>
      </c>
      <c r="AJ2236" s="18">
        <f t="shared" si="730"/>
        <v>4</v>
      </c>
      <c r="AP2236" s="18">
        <f t="shared" si="731"/>
        <v>0</v>
      </c>
      <c r="AQ2236">
        <f t="shared" si="732"/>
        <v>2160</v>
      </c>
      <c r="AR2236" s="23">
        <f t="shared" si="733"/>
        <v>2968</v>
      </c>
      <c r="AS2236">
        <f t="shared" si="738"/>
        <v>2963</v>
      </c>
      <c r="AT2236" s="21">
        <f t="shared" si="739"/>
        <v>2972</v>
      </c>
      <c r="AU2236" s="21"/>
      <c r="AV2236" s="21"/>
      <c r="AW2236" s="21"/>
    </row>
    <row r="2237" spans="1:49" x14ac:dyDescent="0.2">
      <c r="A2237">
        <v>1186</v>
      </c>
      <c r="E2237">
        <f t="shared" si="734"/>
        <v>3</v>
      </c>
      <c r="J2237" t="str">
        <f t="shared" si="741"/>
        <v>4</v>
      </c>
      <c r="K2237" t="str">
        <f t="shared" si="742"/>
        <v>32</v>
      </c>
      <c r="L2237" t="str">
        <f t="shared" si="743"/>
        <v>4</v>
      </c>
      <c r="M2237" s="6" t="str">
        <f t="shared" si="744"/>
        <v>28</v>
      </c>
      <c r="N2237" t="str">
        <f t="shared" si="740"/>
        <v>Home</v>
      </c>
      <c r="O2237">
        <v>61</v>
      </c>
      <c r="P2237" t="s">
        <v>425</v>
      </c>
      <c r="Y2237" t="str">
        <f t="shared" si="727"/>
        <v/>
      </c>
      <c r="Z2237" t="str">
        <f t="shared" si="728"/>
        <v/>
      </c>
      <c r="AC2237" t="str">
        <f t="shared" si="745"/>
        <v>Possession</v>
      </c>
      <c r="AD2237" t="str">
        <f t="shared" si="746"/>
        <v/>
      </c>
      <c r="AE2237" t="str">
        <f t="shared" si="747"/>
        <v/>
      </c>
      <c r="AF2237" t="str">
        <f t="shared" si="729"/>
        <v>Defensive</v>
      </c>
      <c r="AG2237">
        <f t="shared" si="735"/>
        <v>18981</v>
      </c>
      <c r="AH2237" t="str">
        <f t="shared" si="736"/>
        <v>Nelson</v>
      </c>
      <c r="AI2237" t="str">
        <f t="shared" si="737"/>
        <v>Velodrome</v>
      </c>
      <c r="AJ2237" s="18">
        <f t="shared" si="730"/>
        <v>4</v>
      </c>
      <c r="AP2237" s="18">
        <f t="shared" si="731"/>
        <v>0</v>
      </c>
      <c r="AQ2237">
        <f t="shared" si="732"/>
        <v>2160</v>
      </c>
      <c r="AR2237" s="23">
        <f t="shared" si="733"/>
        <v>2968</v>
      </c>
      <c r="AS2237">
        <f t="shared" si="738"/>
        <v>2963</v>
      </c>
      <c r="AT2237" s="21">
        <f t="shared" si="739"/>
        <v>2972</v>
      </c>
      <c r="AU2237" s="21"/>
      <c r="AV2237" s="21"/>
      <c r="AW2237" s="21"/>
    </row>
    <row r="2238" spans="1:49" x14ac:dyDescent="0.2">
      <c r="A2238">
        <v>1187</v>
      </c>
      <c r="E2238">
        <f t="shared" si="734"/>
        <v>3</v>
      </c>
      <c r="F2238" s="5" t="s">
        <v>533</v>
      </c>
      <c r="G2238" s="5" t="s">
        <v>500</v>
      </c>
      <c r="J2238" t="str">
        <f t="shared" si="741"/>
        <v>4</v>
      </c>
      <c r="K2238" t="str">
        <f t="shared" si="742"/>
        <v>28</v>
      </c>
      <c r="L2238" t="str">
        <f t="shared" si="743"/>
        <v/>
      </c>
      <c r="M2238" s="6" t="str">
        <f t="shared" si="744"/>
        <v/>
      </c>
      <c r="N2238" t="s">
        <v>178</v>
      </c>
      <c r="O2238">
        <v>37</v>
      </c>
      <c r="P2238" t="s">
        <v>424</v>
      </c>
      <c r="Q2238" t="s">
        <v>7</v>
      </c>
      <c r="R2238" t="s">
        <v>222</v>
      </c>
      <c r="S2238" t="s">
        <v>53</v>
      </c>
      <c r="Y2238" t="str">
        <f t="shared" si="727"/>
        <v/>
      </c>
      <c r="Z2238" t="str">
        <f t="shared" si="728"/>
        <v/>
      </c>
      <c r="AC2238" t="str">
        <f t="shared" si="745"/>
        <v>Shot</v>
      </c>
      <c r="AD2238" t="str">
        <f t="shared" si="746"/>
        <v>Shot_OnNetSaved</v>
      </c>
      <c r="AE2238" t="str">
        <f t="shared" si="747"/>
        <v>Shot-Wrist</v>
      </c>
      <c r="AF2238" t="str">
        <f t="shared" si="729"/>
        <v>Offensive</v>
      </c>
      <c r="AG2238">
        <f t="shared" si="735"/>
        <v>18981</v>
      </c>
      <c r="AH2238" t="str">
        <f t="shared" si="736"/>
        <v>Nelson</v>
      </c>
      <c r="AI2238" t="str">
        <f t="shared" si="737"/>
        <v>Velodrome</v>
      </c>
      <c r="AJ2238" s="18">
        <f t="shared" si="730"/>
        <v>0</v>
      </c>
      <c r="AP2238" s="18">
        <f t="shared" si="731"/>
        <v>0</v>
      </c>
      <c r="AQ2238">
        <f t="shared" si="732"/>
        <v>2160</v>
      </c>
      <c r="AR2238" s="23">
        <f t="shared" si="733"/>
        <v>2972</v>
      </c>
      <c r="AS2238">
        <f t="shared" si="738"/>
        <v>2967</v>
      </c>
      <c r="AT2238" s="21">
        <f t="shared" si="739"/>
        <v>2972</v>
      </c>
      <c r="AU2238" s="21"/>
      <c r="AV2238" s="21"/>
      <c r="AW2238" s="21"/>
    </row>
    <row r="2239" spans="1:49" x14ac:dyDescent="0.2">
      <c r="A2239">
        <v>1187</v>
      </c>
      <c r="E2239">
        <f t="shared" si="734"/>
        <v>3</v>
      </c>
      <c r="J2239" t="str">
        <f t="shared" si="741"/>
        <v>4</v>
      </c>
      <c r="K2239" t="str">
        <f t="shared" si="742"/>
        <v>28</v>
      </c>
      <c r="L2239" t="str">
        <f t="shared" si="743"/>
        <v/>
      </c>
      <c r="M2239" s="6" t="str">
        <f t="shared" si="744"/>
        <v/>
      </c>
      <c r="N2239" t="str">
        <f t="shared" si="740"/>
        <v>Home</v>
      </c>
      <c r="O2239">
        <v>39</v>
      </c>
      <c r="P2239" t="s">
        <v>425</v>
      </c>
      <c r="Y2239" t="str">
        <f t="shared" si="727"/>
        <v/>
      </c>
      <c r="Z2239" t="str">
        <f t="shared" si="728"/>
        <v/>
      </c>
      <c r="AC2239" t="str">
        <f t="shared" si="745"/>
        <v>Shot</v>
      </c>
      <c r="AD2239" t="str">
        <f t="shared" si="746"/>
        <v>Shot_OnNetSaved</v>
      </c>
      <c r="AE2239" t="str">
        <f t="shared" si="747"/>
        <v>Shot-Wrist</v>
      </c>
      <c r="AF2239" t="str">
        <f t="shared" si="729"/>
        <v>Defensive</v>
      </c>
      <c r="AG2239">
        <f t="shared" si="735"/>
        <v>18981</v>
      </c>
      <c r="AH2239" t="str">
        <f t="shared" si="736"/>
        <v>Nelson</v>
      </c>
      <c r="AI2239" t="str">
        <f t="shared" si="737"/>
        <v>Velodrome</v>
      </c>
      <c r="AJ2239" s="18">
        <f t="shared" si="730"/>
        <v>0</v>
      </c>
      <c r="AP2239" s="18">
        <f t="shared" si="731"/>
        <v>0</v>
      </c>
      <c r="AQ2239">
        <f t="shared" si="732"/>
        <v>2160</v>
      </c>
      <c r="AR2239" s="23">
        <f t="shared" si="733"/>
        <v>2972</v>
      </c>
      <c r="AS2239">
        <f t="shared" si="738"/>
        <v>2967</v>
      </c>
      <c r="AT2239" s="21">
        <f t="shared" si="739"/>
        <v>2972</v>
      </c>
      <c r="AU2239" s="21"/>
      <c r="AV2239" s="21"/>
      <c r="AW2239" s="21"/>
    </row>
    <row r="2240" spans="1:49" x14ac:dyDescent="0.2">
      <c r="A2240">
        <v>1188</v>
      </c>
      <c r="E2240">
        <f t="shared" si="734"/>
        <v>3</v>
      </c>
      <c r="F2240" s="5" t="s">
        <v>533</v>
      </c>
      <c r="G2240" s="5" t="s">
        <v>500</v>
      </c>
      <c r="J2240" t="str">
        <f t="shared" si="741"/>
        <v>4</v>
      </c>
      <c r="K2240" t="str">
        <f t="shared" si="742"/>
        <v>28</v>
      </c>
      <c r="L2240" t="str">
        <f t="shared" si="743"/>
        <v/>
      </c>
      <c r="M2240" s="6" t="str">
        <f t="shared" si="744"/>
        <v/>
      </c>
      <c r="N2240" t="s">
        <v>179</v>
      </c>
      <c r="O2240">
        <v>39</v>
      </c>
      <c r="P2240" t="s">
        <v>424</v>
      </c>
      <c r="Q2240" t="s">
        <v>17</v>
      </c>
      <c r="R2240" t="s">
        <v>206</v>
      </c>
      <c r="S2240" t="s">
        <v>542</v>
      </c>
      <c r="Y2240" t="str">
        <f t="shared" si="727"/>
        <v/>
      </c>
      <c r="Z2240" t="str">
        <f t="shared" si="728"/>
        <v/>
      </c>
      <c r="AC2240" t="str">
        <f t="shared" si="745"/>
        <v>Save</v>
      </c>
      <c r="AD2240" t="str">
        <f t="shared" si="746"/>
        <v>Save_Freeze</v>
      </c>
      <c r="AE2240" t="str">
        <f t="shared" si="747"/>
        <v>Save-Shoulder</v>
      </c>
      <c r="AF2240" t="str">
        <f t="shared" si="729"/>
        <v>Defensive</v>
      </c>
      <c r="AG2240">
        <f t="shared" si="735"/>
        <v>18981</v>
      </c>
      <c r="AH2240" t="str">
        <f t="shared" si="736"/>
        <v>Nelson</v>
      </c>
      <c r="AI2240" t="str">
        <f t="shared" si="737"/>
        <v>Velodrome</v>
      </c>
      <c r="AJ2240" s="18">
        <f t="shared" si="730"/>
        <v>0</v>
      </c>
      <c r="AP2240" s="18">
        <f t="shared" si="731"/>
        <v>0</v>
      </c>
      <c r="AQ2240">
        <f t="shared" si="732"/>
        <v>2160</v>
      </c>
      <c r="AR2240" s="23">
        <f t="shared" si="733"/>
        <v>2972</v>
      </c>
      <c r="AS2240">
        <f t="shared" si="738"/>
        <v>2967</v>
      </c>
      <c r="AT2240" s="21">
        <f t="shared" si="739"/>
        <v>2972</v>
      </c>
      <c r="AU2240" s="21"/>
      <c r="AV2240" s="21"/>
      <c r="AW2240" s="21"/>
    </row>
    <row r="2241" spans="1:49" x14ac:dyDescent="0.2">
      <c r="A2241">
        <v>1188</v>
      </c>
      <c r="E2241">
        <f t="shared" si="734"/>
        <v>3</v>
      </c>
      <c r="J2241" t="str">
        <f t="shared" si="741"/>
        <v>4</v>
      </c>
      <c r="K2241" t="str">
        <f t="shared" si="742"/>
        <v>28</v>
      </c>
      <c r="L2241" t="str">
        <f t="shared" si="743"/>
        <v/>
      </c>
      <c r="M2241" s="6" t="str">
        <f t="shared" si="744"/>
        <v/>
      </c>
      <c r="N2241" t="str">
        <f t="shared" si="740"/>
        <v>Away</v>
      </c>
      <c r="O2241">
        <v>37</v>
      </c>
      <c r="P2241" t="s">
        <v>425</v>
      </c>
      <c r="Y2241" t="str">
        <f t="shared" si="727"/>
        <v/>
      </c>
      <c r="Z2241" t="str">
        <f t="shared" si="728"/>
        <v/>
      </c>
      <c r="AC2241" t="str">
        <f t="shared" si="745"/>
        <v>Save</v>
      </c>
      <c r="AD2241" t="str">
        <f t="shared" si="746"/>
        <v>Save_Freeze</v>
      </c>
      <c r="AE2241" t="str">
        <f t="shared" si="747"/>
        <v>Save-Shoulder</v>
      </c>
      <c r="AF2241" t="str">
        <f t="shared" si="729"/>
        <v>Offensive</v>
      </c>
      <c r="AG2241">
        <f t="shared" si="735"/>
        <v>18981</v>
      </c>
      <c r="AH2241" t="str">
        <f t="shared" si="736"/>
        <v>Nelson</v>
      </c>
      <c r="AI2241" t="str">
        <f t="shared" si="737"/>
        <v>Velodrome</v>
      </c>
      <c r="AJ2241" s="18">
        <f t="shared" si="730"/>
        <v>0</v>
      </c>
      <c r="AP2241" s="18">
        <f t="shared" si="731"/>
        <v>0</v>
      </c>
      <c r="AQ2241">
        <f t="shared" si="732"/>
        <v>2160</v>
      </c>
      <c r="AR2241" s="23">
        <f t="shared" si="733"/>
        <v>2972</v>
      </c>
      <c r="AS2241">
        <f t="shared" si="738"/>
        <v>2967</v>
      </c>
      <c r="AT2241" s="21">
        <f t="shared" si="739"/>
        <v>2972</v>
      </c>
      <c r="AU2241" s="21"/>
      <c r="AV2241" s="21"/>
      <c r="AW2241" s="21"/>
    </row>
    <row r="2242" spans="1:49" x14ac:dyDescent="0.2">
      <c r="A2242">
        <v>1189</v>
      </c>
      <c r="E2242">
        <f t="shared" si="734"/>
        <v>3</v>
      </c>
      <c r="F2242" s="5" t="s">
        <v>533</v>
      </c>
      <c r="G2242" s="5" t="s">
        <v>500</v>
      </c>
      <c r="J2242" t="str">
        <f t="shared" si="741"/>
        <v>4</v>
      </c>
      <c r="K2242" t="str">
        <f t="shared" si="742"/>
        <v>28</v>
      </c>
      <c r="L2242" t="str">
        <f t="shared" si="743"/>
        <v/>
      </c>
      <c r="M2242" s="6" t="str">
        <f t="shared" si="744"/>
        <v/>
      </c>
      <c r="N2242" t="s">
        <v>179</v>
      </c>
      <c r="O2242">
        <v>39</v>
      </c>
      <c r="P2242" t="s">
        <v>424</v>
      </c>
      <c r="Q2242" t="s">
        <v>13</v>
      </c>
      <c r="R2242" t="s">
        <v>204</v>
      </c>
      <c r="S2242" t="s">
        <v>110</v>
      </c>
      <c r="Y2242" t="str">
        <f t="shared" si="727"/>
        <v/>
      </c>
      <c r="Z2242" t="str">
        <f t="shared" si="728"/>
        <v/>
      </c>
      <c r="AC2242" t="str">
        <f t="shared" si="745"/>
        <v>Stoppage</v>
      </c>
      <c r="AD2242" t="str">
        <f t="shared" si="746"/>
        <v>Stoppage_Play</v>
      </c>
      <c r="AE2242" t="str">
        <f t="shared" si="747"/>
        <v>Stoppage-GoalieStoppage</v>
      </c>
      <c r="AF2242" t="str">
        <f t="shared" si="729"/>
        <v/>
      </c>
      <c r="AG2242">
        <f t="shared" si="735"/>
        <v>18981</v>
      </c>
      <c r="AH2242" t="str">
        <f t="shared" si="736"/>
        <v>Nelson</v>
      </c>
      <c r="AI2242" t="str">
        <f t="shared" si="737"/>
        <v>Velodrome</v>
      </c>
      <c r="AJ2242" s="18">
        <f t="shared" si="730"/>
        <v>0</v>
      </c>
      <c r="AP2242" s="18">
        <f t="shared" si="731"/>
        <v>0</v>
      </c>
      <c r="AQ2242">
        <f t="shared" si="732"/>
        <v>2160</v>
      </c>
      <c r="AR2242" s="23">
        <f t="shared" si="733"/>
        <v>2972</v>
      </c>
      <c r="AS2242">
        <f t="shared" si="738"/>
        <v>2967</v>
      </c>
      <c r="AT2242" s="21">
        <f t="shared" si="739"/>
        <v>2972</v>
      </c>
      <c r="AU2242" s="21"/>
      <c r="AV2242" s="21"/>
      <c r="AW2242" s="21"/>
    </row>
    <row r="2243" spans="1:49" x14ac:dyDescent="0.2">
      <c r="A2243">
        <v>1190</v>
      </c>
      <c r="E2243">
        <f t="shared" si="734"/>
        <v>3</v>
      </c>
      <c r="F2243" s="5" t="s">
        <v>533</v>
      </c>
      <c r="G2243" s="5" t="s">
        <v>499</v>
      </c>
      <c r="H2243" s="5" t="s">
        <v>533</v>
      </c>
      <c r="I2243" s="7" t="s">
        <v>485</v>
      </c>
      <c r="J2243" t="str">
        <f t="shared" si="741"/>
        <v>4</v>
      </c>
      <c r="K2243" t="str">
        <f t="shared" si="742"/>
        <v>27</v>
      </c>
      <c r="L2243" t="str">
        <f t="shared" si="743"/>
        <v>4</v>
      </c>
      <c r="M2243" s="6" t="str">
        <f t="shared" si="744"/>
        <v>10</v>
      </c>
      <c r="N2243" t="s">
        <v>179</v>
      </c>
      <c r="O2243">
        <v>39</v>
      </c>
      <c r="P2243" t="s">
        <v>424</v>
      </c>
      <c r="Q2243" t="s">
        <v>282</v>
      </c>
      <c r="Y2243" t="str">
        <f t="shared" ref="Y2243:Y2306" si="748">IF($N2243="","",IF(X2243="","",IF($N2243="Home",$X2243,IF($X2243="n","n",IF($X2243="d","o",IF($X2243="o","d",""))))))</f>
        <v/>
      </c>
      <c r="Z2243" t="str">
        <f t="shared" ref="Z2243:Z2306" si="749">IF($N2243="","",IF(X2243="","",IF($N2243="Away",$X2243,IF($X2243="n","n",IF($X2243="d","o",IF($X2243="o","d",""))))))</f>
        <v/>
      </c>
      <c r="AC2243" t="str">
        <f t="shared" si="745"/>
        <v>DeadIce</v>
      </c>
      <c r="AD2243" t="str">
        <f t="shared" si="746"/>
        <v/>
      </c>
      <c r="AE2243" t="str">
        <f t="shared" si="747"/>
        <v/>
      </c>
      <c r="AF2243" t="str">
        <f t="shared" ref="AF2243:AF2306" si="750">IF(AND(P2243="e",OR(AC2243="Save",AD2243="Turnover_Takeaway",AD2243="Play_Defensive")),"Defensive",IF(AND(P2243="o",OR(AC2243="Save",AD2243="Turnover_Takeaway",AD2243="Play_Defensive")),"Offensive",IF(OR(AC2243="Deadice",AC2243="Stoppage",AC2243="Intermission"),"",IF(P2243="e","Offensive",IF(P2243="o","Defensive","")))))</f>
        <v/>
      </c>
      <c r="AG2243">
        <f t="shared" si="735"/>
        <v>18981</v>
      </c>
      <c r="AH2243" t="str">
        <f t="shared" si="736"/>
        <v>Nelson</v>
      </c>
      <c r="AI2243" t="str">
        <f t="shared" si="737"/>
        <v>Velodrome</v>
      </c>
      <c r="AJ2243" s="18">
        <f t="shared" ref="AJ2243:AJ2306" si="751">IF(AND(L2243="",M2243=""),0,((J2243*60)+K2243)-((L2243*60)+M2243))</f>
        <v>17</v>
      </c>
      <c r="AP2243" s="18">
        <f t="shared" ref="AP2243:AP2306" si="752">SUMIFS(AJ2243:AJ2243,Q2243:Q2243,"=Intermission")</f>
        <v>0</v>
      </c>
      <c r="AQ2243">
        <f t="shared" ref="AQ2243:AQ2306" si="753">IF(E2243=1,0,IF(E2243=2,1080+AP2243,IF(E2243=3,(1080*2)+AP2243,0)))</f>
        <v>2160</v>
      </c>
      <c r="AR2243" s="23">
        <f t="shared" ref="AR2243:AR2306" si="754">IF(Q2243="Intermission",AR2242,((1080)-((J2243*60)+K2243))+AQ2243)</f>
        <v>2973</v>
      </c>
      <c r="AS2243">
        <f t="shared" si="738"/>
        <v>2968</v>
      </c>
      <c r="AT2243" s="21">
        <f t="shared" si="739"/>
        <v>2990</v>
      </c>
      <c r="AU2243" s="21"/>
      <c r="AV2243" s="21"/>
      <c r="AW2243" s="21"/>
    </row>
    <row r="2244" spans="1:49" x14ac:dyDescent="0.2">
      <c r="A2244">
        <v>1191</v>
      </c>
      <c r="E2244">
        <f t="shared" ref="E2244:E2307" si="755">IF(Q2244="Intermission",E2243+1,E2243)</f>
        <v>3</v>
      </c>
      <c r="F2244" s="5" t="s">
        <v>533</v>
      </c>
      <c r="G2244" s="5" t="s">
        <v>485</v>
      </c>
      <c r="J2244" t="str">
        <f t="shared" si="741"/>
        <v>4</v>
      </c>
      <c r="K2244" t="str">
        <f t="shared" si="742"/>
        <v>10</v>
      </c>
      <c r="L2244" t="str">
        <f t="shared" si="743"/>
        <v/>
      </c>
      <c r="M2244" s="6" t="str">
        <f t="shared" si="744"/>
        <v/>
      </c>
      <c r="N2244" t="s">
        <v>178</v>
      </c>
      <c r="O2244">
        <v>10</v>
      </c>
      <c r="P2244" t="s">
        <v>424</v>
      </c>
      <c r="Q2244" t="s">
        <v>6</v>
      </c>
      <c r="R2244" t="s">
        <v>275</v>
      </c>
      <c r="Y2244" t="str">
        <f t="shared" si="748"/>
        <v/>
      </c>
      <c r="Z2244" t="str">
        <f t="shared" si="749"/>
        <v/>
      </c>
      <c r="AC2244" t="str">
        <f t="shared" si="745"/>
        <v>Faceoff</v>
      </c>
      <c r="AD2244" t="str">
        <f t="shared" si="746"/>
        <v>Faceoff_AfterStoppage</v>
      </c>
      <c r="AE2244" t="str">
        <f t="shared" si="747"/>
        <v/>
      </c>
      <c r="AF2244" t="str">
        <f t="shared" si="750"/>
        <v>Offensive</v>
      </c>
      <c r="AG2244">
        <f t="shared" ref="AG2244:AG2307" si="756">AG2243</f>
        <v>18981</v>
      </c>
      <c r="AH2244" t="str">
        <f t="shared" ref="AH2244:AH2307" si="757">AH2243</f>
        <v>Nelson</v>
      </c>
      <c r="AI2244" t="str">
        <f t="shared" ref="AI2244:AI2307" si="758">AI2243</f>
        <v>Velodrome</v>
      </c>
      <c r="AJ2244" s="18">
        <f t="shared" si="751"/>
        <v>0</v>
      </c>
      <c r="AP2244" s="18">
        <f t="shared" si="752"/>
        <v>0</v>
      </c>
      <c r="AQ2244">
        <f t="shared" si="753"/>
        <v>2160</v>
      </c>
      <c r="AR2244" s="23">
        <f t="shared" si="754"/>
        <v>2990</v>
      </c>
      <c r="AS2244">
        <f t="shared" ref="AS2244:AS2307" si="759">IF(AR2244&lt;5,0,AR2244-5)</f>
        <v>2985</v>
      </c>
      <c r="AT2244" s="21">
        <f t="shared" ref="AT2244:AT2307" si="760">AS2244+AJ2244+5</f>
        <v>2990</v>
      </c>
      <c r="AU2244" s="21"/>
      <c r="AV2244" s="21"/>
      <c r="AW2244" s="21"/>
    </row>
    <row r="2245" spans="1:49" x14ac:dyDescent="0.2">
      <c r="A2245">
        <v>1191</v>
      </c>
      <c r="E2245">
        <f t="shared" si="755"/>
        <v>3</v>
      </c>
      <c r="J2245" t="str">
        <f t="shared" si="741"/>
        <v>4</v>
      </c>
      <c r="K2245" t="str">
        <f t="shared" si="742"/>
        <v>10</v>
      </c>
      <c r="L2245" t="str">
        <f t="shared" si="743"/>
        <v/>
      </c>
      <c r="M2245" s="6" t="str">
        <f t="shared" si="744"/>
        <v/>
      </c>
      <c r="N2245" t="str">
        <f t="shared" si="740"/>
        <v>Home</v>
      </c>
      <c r="O2245">
        <v>37</v>
      </c>
      <c r="P2245" t="s">
        <v>424</v>
      </c>
      <c r="Y2245" t="str">
        <f t="shared" si="748"/>
        <v/>
      </c>
      <c r="Z2245" t="str">
        <f t="shared" si="749"/>
        <v/>
      </c>
      <c r="AC2245" t="str">
        <f t="shared" si="745"/>
        <v>Faceoff</v>
      </c>
      <c r="AD2245" t="str">
        <f t="shared" si="746"/>
        <v>Faceoff_AfterStoppage</v>
      </c>
      <c r="AE2245" t="str">
        <f t="shared" si="747"/>
        <v/>
      </c>
      <c r="AF2245" t="str">
        <f t="shared" si="750"/>
        <v>Offensive</v>
      </c>
      <c r="AG2245">
        <f t="shared" si="756"/>
        <v>18981</v>
      </c>
      <c r="AH2245" t="str">
        <f t="shared" si="757"/>
        <v>Nelson</v>
      </c>
      <c r="AI2245" t="str">
        <f t="shared" si="758"/>
        <v>Velodrome</v>
      </c>
      <c r="AJ2245" s="18">
        <f t="shared" si="751"/>
        <v>0</v>
      </c>
      <c r="AP2245" s="18">
        <f t="shared" si="752"/>
        <v>0</v>
      </c>
      <c r="AQ2245">
        <f t="shared" si="753"/>
        <v>2160</v>
      </c>
      <c r="AR2245" s="23">
        <f t="shared" si="754"/>
        <v>2990</v>
      </c>
      <c r="AS2245">
        <f t="shared" si="759"/>
        <v>2985</v>
      </c>
      <c r="AT2245" s="21">
        <f t="shared" si="760"/>
        <v>2990</v>
      </c>
      <c r="AU2245" s="21"/>
      <c r="AV2245" s="21"/>
      <c r="AW2245" s="21"/>
    </row>
    <row r="2246" spans="1:49" x14ac:dyDescent="0.2">
      <c r="A2246">
        <v>1191</v>
      </c>
      <c r="E2246">
        <f t="shared" si="755"/>
        <v>3</v>
      </c>
      <c r="J2246" t="str">
        <f t="shared" si="741"/>
        <v>4</v>
      </c>
      <c r="K2246" t="str">
        <f t="shared" si="742"/>
        <v>10</v>
      </c>
      <c r="L2246" t="str">
        <f t="shared" si="743"/>
        <v/>
      </c>
      <c r="M2246" s="6" t="str">
        <f t="shared" si="744"/>
        <v/>
      </c>
      <c r="N2246" t="str">
        <f t="shared" ref="N2246:N2309" si="761">IF(A2246=A2245,N2245,"")</f>
        <v>Home</v>
      </c>
      <c r="O2246">
        <v>49</v>
      </c>
      <c r="P2246" t="s">
        <v>425</v>
      </c>
      <c r="Y2246" t="str">
        <f t="shared" si="748"/>
        <v/>
      </c>
      <c r="Z2246" t="str">
        <f t="shared" si="749"/>
        <v/>
      </c>
      <c r="AC2246" t="str">
        <f t="shared" si="745"/>
        <v>Faceoff</v>
      </c>
      <c r="AD2246" t="str">
        <f t="shared" si="746"/>
        <v>Faceoff_AfterStoppage</v>
      </c>
      <c r="AE2246" t="str">
        <f t="shared" si="747"/>
        <v/>
      </c>
      <c r="AF2246" t="str">
        <f t="shared" si="750"/>
        <v>Defensive</v>
      </c>
      <c r="AG2246">
        <f t="shared" si="756"/>
        <v>18981</v>
      </c>
      <c r="AH2246" t="str">
        <f t="shared" si="757"/>
        <v>Nelson</v>
      </c>
      <c r="AI2246" t="str">
        <f t="shared" si="758"/>
        <v>Velodrome</v>
      </c>
      <c r="AJ2246" s="18">
        <f t="shared" si="751"/>
        <v>0</v>
      </c>
      <c r="AP2246" s="18">
        <f t="shared" si="752"/>
        <v>0</v>
      </c>
      <c r="AQ2246">
        <f t="shared" si="753"/>
        <v>2160</v>
      </c>
      <c r="AR2246" s="23">
        <f t="shared" si="754"/>
        <v>2990</v>
      </c>
      <c r="AS2246">
        <f t="shared" si="759"/>
        <v>2985</v>
      </c>
      <c r="AT2246" s="21">
        <f t="shared" si="760"/>
        <v>2990</v>
      </c>
      <c r="AU2246" s="21"/>
      <c r="AV2246" s="21"/>
      <c r="AW2246" s="21"/>
    </row>
    <row r="2247" spans="1:49" x14ac:dyDescent="0.2">
      <c r="A2247">
        <v>1192</v>
      </c>
      <c r="E2247">
        <f t="shared" si="755"/>
        <v>3</v>
      </c>
      <c r="F2247" s="5" t="s">
        <v>533</v>
      </c>
      <c r="G2247" s="5" t="s">
        <v>480</v>
      </c>
      <c r="J2247" t="str">
        <f t="shared" si="741"/>
        <v>4</v>
      </c>
      <c r="K2247" t="str">
        <f t="shared" si="742"/>
        <v>04</v>
      </c>
      <c r="L2247" t="str">
        <f t="shared" si="743"/>
        <v/>
      </c>
      <c r="M2247" s="6" t="str">
        <f t="shared" si="744"/>
        <v/>
      </c>
      <c r="N2247" t="s">
        <v>179</v>
      </c>
      <c r="O2247">
        <v>52</v>
      </c>
      <c r="P2247" t="s">
        <v>424</v>
      </c>
      <c r="Q2247" t="s">
        <v>8</v>
      </c>
      <c r="R2247" t="s">
        <v>189</v>
      </c>
      <c r="S2247" t="s">
        <v>68</v>
      </c>
      <c r="Y2247" t="str">
        <f t="shared" si="748"/>
        <v/>
      </c>
      <c r="Z2247" t="str">
        <f t="shared" si="749"/>
        <v/>
      </c>
      <c r="AC2247" t="str">
        <f t="shared" si="745"/>
        <v>Pass</v>
      </c>
      <c r="AD2247" t="str">
        <f t="shared" si="746"/>
        <v>Pass_Completed</v>
      </c>
      <c r="AE2247" t="str">
        <f t="shared" si="747"/>
        <v>Pass-Rim/Wrap</v>
      </c>
      <c r="AF2247" t="str">
        <f t="shared" si="750"/>
        <v>Offensive</v>
      </c>
      <c r="AG2247">
        <f t="shared" si="756"/>
        <v>18981</v>
      </c>
      <c r="AH2247" t="str">
        <f t="shared" si="757"/>
        <v>Nelson</v>
      </c>
      <c r="AI2247" t="str">
        <f t="shared" si="758"/>
        <v>Velodrome</v>
      </c>
      <c r="AJ2247" s="18">
        <f t="shared" si="751"/>
        <v>0</v>
      </c>
      <c r="AP2247" s="18">
        <f t="shared" si="752"/>
        <v>0</v>
      </c>
      <c r="AQ2247">
        <f t="shared" si="753"/>
        <v>2160</v>
      </c>
      <c r="AR2247" s="23">
        <f t="shared" si="754"/>
        <v>2996</v>
      </c>
      <c r="AS2247">
        <f t="shared" si="759"/>
        <v>2991</v>
      </c>
      <c r="AT2247" s="21">
        <f t="shared" si="760"/>
        <v>2996</v>
      </c>
      <c r="AU2247" s="21"/>
      <c r="AV2247" s="21"/>
      <c r="AW2247" s="21"/>
    </row>
    <row r="2248" spans="1:49" x14ac:dyDescent="0.2">
      <c r="A2248">
        <v>1192</v>
      </c>
      <c r="E2248">
        <f t="shared" si="755"/>
        <v>3</v>
      </c>
      <c r="J2248" t="str">
        <f t="shared" si="741"/>
        <v>4</v>
      </c>
      <c r="K2248" t="str">
        <f t="shared" si="742"/>
        <v>04</v>
      </c>
      <c r="L2248" t="str">
        <f t="shared" si="743"/>
        <v/>
      </c>
      <c r="M2248" s="6" t="str">
        <f t="shared" si="744"/>
        <v/>
      </c>
      <c r="N2248" t="str">
        <f t="shared" si="761"/>
        <v>Away</v>
      </c>
      <c r="O2248">
        <v>61</v>
      </c>
      <c r="P2248" t="s">
        <v>425</v>
      </c>
      <c r="Y2248" t="str">
        <f t="shared" si="748"/>
        <v/>
      </c>
      <c r="Z2248" t="str">
        <f t="shared" si="749"/>
        <v/>
      </c>
      <c r="AC2248" t="str">
        <f t="shared" si="745"/>
        <v>Pass</v>
      </c>
      <c r="AD2248" t="str">
        <f t="shared" si="746"/>
        <v>Pass_Completed</v>
      </c>
      <c r="AE2248" t="str">
        <f t="shared" si="747"/>
        <v>Pass-Rim/Wrap</v>
      </c>
      <c r="AF2248" t="str">
        <f t="shared" si="750"/>
        <v>Defensive</v>
      </c>
      <c r="AG2248">
        <f t="shared" si="756"/>
        <v>18981</v>
      </c>
      <c r="AH2248" t="str">
        <f t="shared" si="757"/>
        <v>Nelson</v>
      </c>
      <c r="AI2248" t="str">
        <f t="shared" si="758"/>
        <v>Velodrome</v>
      </c>
      <c r="AJ2248" s="18">
        <f t="shared" si="751"/>
        <v>0</v>
      </c>
      <c r="AP2248" s="18">
        <f t="shared" si="752"/>
        <v>0</v>
      </c>
      <c r="AQ2248">
        <f t="shared" si="753"/>
        <v>2160</v>
      </c>
      <c r="AR2248" s="23">
        <f t="shared" si="754"/>
        <v>2996</v>
      </c>
      <c r="AS2248">
        <f t="shared" si="759"/>
        <v>2991</v>
      </c>
      <c r="AT2248" s="21">
        <f t="shared" si="760"/>
        <v>2996</v>
      </c>
      <c r="AU2248" s="21"/>
      <c r="AV2248" s="21"/>
      <c r="AW2248" s="21"/>
    </row>
    <row r="2249" spans="1:49" x14ac:dyDescent="0.2">
      <c r="A2249">
        <v>1192</v>
      </c>
      <c r="E2249">
        <f t="shared" si="755"/>
        <v>3</v>
      </c>
      <c r="J2249" t="str">
        <f t="shared" ref="J2249:J2312" si="762">IF(F2249&lt;&gt;"",F2249,IF($A2249=$A2248,J2248,J2249))</f>
        <v>4</v>
      </c>
      <c r="K2249" t="str">
        <f t="shared" ref="K2249:K2312" si="763">IF($A2249=$A2248,K2248,G2249)</f>
        <v>04</v>
      </c>
      <c r="L2249" t="str">
        <f t="shared" ref="L2249:L2312" si="764">IF(H2249&lt;&gt;"",H2249,IF($A2249=$A2248,L2248,""))</f>
        <v/>
      </c>
      <c r="M2249" s="6" t="str">
        <f t="shared" ref="M2249:M2312" si="765">IF(I2249&lt;&gt;"",I2249,IF($A2249=$A2248,M2248,""))</f>
        <v/>
      </c>
      <c r="N2249" t="str">
        <f t="shared" si="761"/>
        <v>Away</v>
      </c>
      <c r="O2249">
        <v>37</v>
      </c>
      <c r="P2249" t="s">
        <v>425</v>
      </c>
      <c r="Y2249" t="str">
        <f t="shared" si="748"/>
        <v/>
      </c>
      <c r="Z2249" t="str">
        <f t="shared" si="749"/>
        <v/>
      </c>
      <c r="AC2249" t="str">
        <f t="shared" si="745"/>
        <v>Pass</v>
      </c>
      <c r="AD2249" t="str">
        <f t="shared" si="746"/>
        <v>Pass_Completed</v>
      </c>
      <c r="AE2249" t="str">
        <f t="shared" si="747"/>
        <v>Pass-Rim/Wrap</v>
      </c>
      <c r="AF2249" t="str">
        <f t="shared" si="750"/>
        <v>Defensive</v>
      </c>
      <c r="AG2249">
        <f t="shared" si="756"/>
        <v>18981</v>
      </c>
      <c r="AH2249" t="str">
        <f t="shared" si="757"/>
        <v>Nelson</v>
      </c>
      <c r="AI2249" t="str">
        <f t="shared" si="758"/>
        <v>Velodrome</v>
      </c>
      <c r="AJ2249" s="18">
        <f t="shared" si="751"/>
        <v>0</v>
      </c>
      <c r="AP2249" s="18">
        <f t="shared" si="752"/>
        <v>0</v>
      </c>
      <c r="AQ2249">
        <f t="shared" si="753"/>
        <v>2160</v>
      </c>
      <c r="AR2249" s="23">
        <f t="shared" si="754"/>
        <v>2996</v>
      </c>
      <c r="AS2249">
        <f t="shared" si="759"/>
        <v>2991</v>
      </c>
      <c r="AT2249" s="21">
        <f t="shared" si="760"/>
        <v>2996</v>
      </c>
      <c r="AU2249" s="21"/>
      <c r="AV2249" s="21"/>
      <c r="AW2249" s="21"/>
    </row>
    <row r="2250" spans="1:49" x14ac:dyDescent="0.2">
      <c r="A2250">
        <v>1193</v>
      </c>
      <c r="E2250">
        <f t="shared" si="755"/>
        <v>3</v>
      </c>
      <c r="F2250" s="5" t="s">
        <v>533</v>
      </c>
      <c r="G2250" s="5" t="s">
        <v>473</v>
      </c>
      <c r="H2250" s="5" t="s">
        <v>531</v>
      </c>
      <c r="I2250" s="7" t="s">
        <v>529</v>
      </c>
      <c r="J2250" t="str">
        <f t="shared" si="762"/>
        <v>4</v>
      </c>
      <c r="K2250" t="str">
        <f t="shared" si="763"/>
        <v>03</v>
      </c>
      <c r="L2250" t="str">
        <f t="shared" si="764"/>
        <v>3</v>
      </c>
      <c r="M2250" s="6" t="str">
        <f t="shared" si="765"/>
        <v>57</v>
      </c>
      <c r="N2250" t="s">
        <v>179</v>
      </c>
      <c r="O2250">
        <v>61</v>
      </c>
      <c r="P2250" t="s">
        <v>424</v>
      </c>
      <c r="Q2250" t="s">
        <v>15</v>
      </c>
      <c r="Y2250" t="str">
        <f t="shared" si="748"/>
        <v/>
      </c>
      <c r="Z2250" t="str">
        <f t="shared" si="749"/>
        <v/>
      </c>
      <c r="AC2250" t="str">
        <f t="shared" si="745"/>
        <v>Possession</v>
      </c>
      <c r="AD2250" t="str">
        <f t="shared" si="746"/>
        <v/>
      </c>
      <c r="AE2250" t="str">
        <f t="shared" si="747"/>
        <v/>
      </c>
      <c r="AF2250" t="str">
        <f t="shared" si="750"/>
        <v>Offensive</v>
      </c>
      <c r="AG2250">
        <f t="shared" si="756"/>
        <v>18981</v>
      </c>
      <c r="AH2250" t="str">
        <f t="shared" si="757"/>
        <v>Nelson</v>
      </c>
      <c r="AI2250" t="str">
        <f t="shared" si="758"/>
        <v>Velodrome</v>
      </c>
      <c r="AJ2250" s="18">
        <f t="shared" si="751"/>
        <v>6</v>
      </c>
      <c r="AP2250" s="18">
        <f t="shared" si="752"/>
        <v>0</v>
      </c>
      <c r="AQ2250">
        <f t="shared" si="753"/>
        <v>2160</v>
      </c>
      <c r="AR2250" s="23">
        <f t="shared" si="754"/>
        <v>2997</v>
      </c>
      <c r="AS2250">
        <f t="shared" si="759"/>
        <v>2992</v>
      </c>
      <c r="AT2250" s="21">
        <f t="shared" si="760"/>
        <v>3003</v>
      </c>
      <c r="AU2250" s="21"/>
      <c r="AV2250" s="21"/>
      <c r="AW2250" s="21"/>
    </row>
    <row r="2251" spans="1:49" x14ac:dyDescent="0.2">
      <c r="A2251">
        <v>1193</v>
      </c>
      <c r="E2251">
        <f t="shared" si="755"/>
        <v>3</v>
      </c>
      <c r="J2251" t="str">
        <f t="shared" si="762"/>
        <v>4</v>
      </c>
      <c r="K2251" t="str">
        <f t="shared" si="763"/>
        <v>03</v>
      </c>
      <c r="L2251" t="str">
        <f t="shared" si="764"/>
        <v>3</v>
      </c>
      <c r="M2251" s="6" t="str">
        <f t="shared" si="765"/>
        <v>57</v>
      </c>
      <c r="N2251" t="str">
        <f t="shared" si="761"/>
        <v>Away</v>
      </c>
      <c r="O2251">
        <v>37</v>
      </c>
      <c r="P2251" t="s">
        <v>425</v>
      </c>
      <c r="Y2251" t="str">
        <f t="shared" si="748"/>
        <v/>
      </c>
      <c r="Z2251" t="str">
        <f t="shared" si="749"/>
        <v/>
      </c>
      <c r="AC2251" t="str">
        <f t="shared" si="745"/>
        <v>Possession</v>
      </c>
      <c r="AD2251" t="str">
        <f t="shared" si="746"/>
        <v/>
      </c>
      <c r="AE2251" t="str">
        <f t="shared" si="747"/>
        <v/>
      </c>
      <c r="AF2251" t="str">
        <f t="shared" si="750"/>
        <v>Defensive</v>
      </c>
      <c r="AG2251">
        <f t="shared" si="756"/>
        <v>18981</v>
      </c>
      <c r="AH2251" t="str">
        <f t="shared" si="757"/>
        <v>Nelson</v>
      </c>
      <c r="AI2251" t="str">
        <f t="shared" si="758"/>
        <v>Velodrome</v>
      </c>
      <c r="AJ2251" s="18">
        <f t="shared" si="751"/>
        <v>6</v>
      </c>
      <c r="AP2251" s="18">
        <f t="shared" si="752"/>
        <v>0</v>
      </c>
      <c r="AQ2251">
        <f t="shared" si="753"/>
        <v>2160</v>
      </c>
      <c r="AR2251" s="23">
        <f t="shared" si="754"/>
        <v>2997</v>
      </c>
      <c r="AS2251">
        <f t="shared" si="759"/>
        <v>2992</v>
      </c>
      <c r="AT2251" s="21">
        <f t="shared" si="760"/>
        <v>3003</v>
      </c>
      <c r="AU2251" s="21"/>
      <c r="AV2251" s="21"/>
      <c r="AW2251" s="21"/>
    </row>
    <row r="2252" spans="1:49" x14ac:dyDescent="0.2">
      <c r="A2252">
        <v>1194</v>
      </c>
      <c r="E2252">
        <f t="shared" si="755"/>
        <v>3</v>
      </c>
      <c r="F2252" s="5" t="s">
        <v>531</v>
      </c>
      <c r="G2252" s="5" t="s">
        <v>529</v>
      </c>
      <c r="J2252" t="str">
        <f t="shared" si="762"/>
        <v>3</v>
      </c>
      <c r="K2252" t="str">
        <f t="shared" si="763"/>
        <v>57</v>
      </c>
      <c r="L2252" t="str">
        <f t="shared" si="764"/>
        <v/>
      </c>
      <c r="M2252" s="6" t="str">
        <f t="shared" si="765"/>
        <v/>
      </c>
      <c r="N2252" t="s">
        <v>179</v>
      </c>
      <c r="O2252">
        <v>61</v>
      </c>
      <c r="P2252" t="s">
        <v>424</v>
      </c>
      <c r="Q2252" t="s">
        <v>8</v>
      </c>
      <c r="R2252" t="s">
        <v>189</v>
      </c>
      <c r="S2252" t="s">
        <v>70</v>
      </c>
      <c r="Y2252" t="str">
        <f t="shared" si="748"/>
        <v/>
      </c>
      <c r="Z2252" t="str">
        <f t="shared" si="749"/>
        <v/>
      </c>
      <c r="AC2252" t="str">
        <f t="shared" si="745"/>
        <v>Pass</v>
      </c>
      <c r="AD2252" t="str">
        <f t="shared" si="746"/>
        <v>Pass_Completed</v>
      </c>
      <c r="AE2252" t="str">
        <f t="shared" si="747"/>
        <v>Pass-Forehand</v>
      </c>
      <c r="AF2252" t="str">
        <f t="shared" si="750"/>
        <v>Offensive</v>
      </c>
      <c r="AG2252">
        <f t="shared" si="756"/>
        <v>18981</v>
      </c>
      <c r="AH2252" t="str">
        <f t="shared" si="757"/>
        <v>Nelson</v>
      </c>
      <c r="AI2252" t="str">
        <f t="shared" si="758"/>
        <v>Velodrome</v>
      </c>
      <c r="AJ2252" s="18">
        <f t="shared" si="751"/>
        <v>0</v>
      </c>
      <c r="AP2252" s="18">
        <f t="shared" si="752"/>
        <v>0</v>
      </c>
      <c r="AQ2252">
        <f t="shared" si="753"/>
        <v>2160</v>
      </c>
      <c r="AR2252" s="23">
        <f t="shared" si="754"/>
        <v>3003</v>
      </c>
      <c r="AS2252">
        <f t="shared" si="759"/>
        <v>2998</v>
      </c>
      <c r="AT2252" s="21">
        <f t="shared" si="760"/>
        <v>3003</v>
      </c>
      <c r="AU2252" s="21"/>
      <c r="AV2252" s="21"/>
      <c r="AW2252" s="21"/>
    </row>
    <row r="2253" spans="1:49" x14ac:dyDescent="0.2">
      <c r="A2253">
        <v>1194</v>
      </c>
      <c r="E2253">
        <f t="shared" si="755"/>
        <v>3</v>
      </c>
      <c r="J2253" t="str">
        <f t="shared" si="762"/>
        <v>3</v>
      </c>
      <c r="K2253" t="str">
        <f t="shared" si="763"/>
        <v>57</v>
      </c>
      <c r="L2253" t="str">
        <f t="shared" si="764"/>
        <v/>
      </c>
      <c r="M2253" s="6" t="str">
        <f t="shared" si="765"/>
        <v/>
      </c>
      <c r="N2253" t="str">
        <f t="shared" si="761"/>
        <v>Away</v>
      </c>
      <c r="O2253">
        <v>14</v>
      </c>
      <c r="P2253" t="s">
        <v>424</v>
      </c>
      <c r="Y2253" t="str">
        <f t="shared" si="748"/>
        <v/>
      </c>
      <c r="Z2253" t="str">
        <f t="shared" si="749"/>
        <v/>
      </c>
      <c r="AC2253" t="str">
        <f t="shared" si="745"/>
        <v>Pass</v>
      </c>
      <c r="AD2253" t="str">
        <f t="shared" si="746"/>
        <v>Pass_Completed</v>
      </c>
      <c r="AE2253" t="str">
        <f t="shared" si="747"/>
        <v>Pass-Forehand</v>
      </c>
      <c r="AF2253" t="str">
        <f t="shared" si="750"/>
        <v>Offensive</v>
      </c>
      <c r="AG2253">
        <f t="shared" si="756"/>
        <v>18981</v>
      </c>
      <c r="AH2253" t="str">
        <f t="shared" si="757"/>
        <v>Nelson</v>
      </c>
      <c r="AI2253" t="str">
        <f t="shared" si="758"/>
        <v>Velodrome</v>
      </c>
      <c r="AJ2253" s="18">
        <f t="shared" si="751"/>
        <v>0</v>
      </c>
      <c r="AP2253" s="18">
        <f t="shared" si="752"/>
        <v>0</v>
      </c>
      <c r="AQ2253">
        <f t="shared" si="753"/>
        <v>2160</v>
      </c>
      <c r="AR2253" s="23">
        <f t="shared" si="754"/>
        <v>3003</v>
      </c>
      <c r="AS2253">
        <f t="shared" si="759"/>
        <v>2998</v>
      </c>
      <c r="AT2253" s="21">
        <f t="shared" si="760"/>
        <v>3003</v>
      </c>
      <c r="AU2253" s="21"/>
      <c r="AV2253" s="21"/>
      <c r="AW2253" s="21"/>
    </row>
    <row r="2254" spans="1:49" x14ac:dyDescent="0.2">
      <c r="A2254">
        <v>1194</v>
      </c>
      <c r="E2254">
        <f t="shared" si="755"/>
        <v>3</v>
      </c>
      <c r="J2254" t="str">
        <f t="shared" si="762"/>
        <v>3</v>
      </c>
      <c r="K2254" t="str">
        <f t="shared" si="763"/>
        <v>57</v>
      </c>
      <c r="L2254" t="str">
        <f t="shared" si="764"/>
        <v/>
      </c>
      <c r="M2254" s="6" t="str">
        <f t="shared" si="765"/>
        <v/>
      </c>
      <c r="N2254" t="str">
        <f t="shared" si="761"/>
        <v>Away</v>
      </c>
      <c r="O2254">
        <v>37</v>
      </c>
      <c r="P2254" t="s">
        <v>425</v>
      </c>
      <c r="Y2254" t="str">
        <f t="shared" si="748"/>
        <v/>
      </c>
      <c r="Z2254" t="str">
        <f t="shared" si="749"/>
        <v/>
      </c>
      <c r="AC2254" t="str">
        <f t="shared" si="745"/>
        <v>Pass</v>
      </c>
      <c r="AD2254" t="str">
        <f t="shared" si="746"/>
        <v>Pass_Completed</v>
      </c>
      <c r="AE2254" t="str">
        <f t="shared" si="747"/>
        <v>Pass-Forehand</v>
      </c>
      <c r="AF2254" t="str">
        <f t="shared" si="750"/>
        <v>Defensive</v>
      </c>
      <c r="AG2254">
        <f t="shared" si="756"/>
        <v>18981</v>
      </c>
      <c r="AH2254" t="str">
        <f t="shared" si="757"/>
        <v>Nelson</v>
      </c>
      <c r="AI2254" t="str">
        <f t="shared" si="758"/>
        <v>Velodrome</v>
      </c>
      <c r="AJ2254" s="18">
        <f t="shared" si="751"/>
        <v>0</v>
      </c>
      <c r="AP2254" s="18">
        <f t="shared" si="752"/>
        <v>0</v>
      </c>
      <c r="AQ2254">
        <f t="shared" si="753"/>
        <v>2160</v>
      </c>
      <c r="AR2254" s="23">
        <f t="shared" si="754"/>
        <v>3003</v>
      </c>
      <c r="AS2254">
        <f t="shared" si="759"/>
        <v>2998</v>
      </c>
      <c r="AT2254" s="21">
        <f t="shared" si="760"/>
        <v>3003</v>
      </c>
      <c r="AU2254" s="21"/>
      <c r="AV2254" s="21"/>
      <c r="AW2254" s="21"/>
    </row>
    <row r="2255" spans="1:49" x14ac:dyDescent="0.2">
      <c r="A2255">
        <v>1195</v>
      </c>
      <c r="E2255">
        <f t="shared" si="755"/>
        <v>3</v>
      </c>
      <c r="F2255" s="5" t="s">
        <v>531</v>
      </c>
      <c r="G2255" s="5" t="s">
        <v>529</v>
      </c>
      <c r="J2255" t="str">
        <f t="shared" si="762"/>
        <v>3</v>
      </c>
      <c r="K2255" t="str">
        <f t="shared" si="763"/>
        <v>57</v>
      </c>
      <c r="L2255" t="str">
        <f t="shared" si="764"/>
        <v/>
      </c>
      <c r="M2255" s="6" t="str">
        <f t="shared" si="765"/>
        <v/>
      </c>
      <c r="N2255" t="s">
        <v>179</v>
      </c>
      <c r="O2255">
        <v>14</v>
      </c>
      <c r="P2255" t="s">
        <v>424</v>
      </c>
      <c r="Q2255" t="s">
        <v>277</v>
      </c>
      <c r="R2255" t="s">
        <v>201</v>
      </c>
      <c r="S2255" t="s">
        <v>183</v>
      </c>
      <c r="Y2255" t="str">
        <f t="shared" si="748"/>
        <v/>
      </c>
      <c r="Z2255" t="str">
        <f t="shared" si="749"/>
        <v/>
      </c>
      <c r="AC2255" t="str">
        <f t="shared" si="745"/>
        <v>Zone_Entry_Exit</v>
      </c>
      <c r="AD2255" t="str">
        <f t="shared" si="746"/>
        <v>Zone_Exit</v>
      </c>
      <c r="AE2255" t="str">
        <f t="shared" si="747"/>
        <v>ZoneExit-Other</v>
      </c>
      <c r="AF2255" t="str">
        <f t="shared" si="750"/>
        <v>Offensive</v>
      </c>
      <c r="AG2255">
        <f t="shared" si="756"/>
        <v>18981</v>
      </c>
      <c r="AH2255" t="str">
        <f t="shared" si="757"/>
        <v>Nelson</v>
      </c>
      <c r="AI2255" t="str">
        <f t="shared" si="758"/>
        <v>Velodrome</v>
      </c>
      <c r="AJ2255" s="18">
        <f t="shared" si="751"/>
        <v>0</v>
      </c>
      <c r="AP2255" s="18">
        <f t="shared" si="752"/>
        <v>0</v>
      </c>
      <c r="AQ2255">
        <f t="shared" si="753"/>
        <v>2160</v>
      </c>
      <c r="AR2255" s="23">
        <f t="shared" si="754"/>
        <v>3003</v>
      </c>
      <c r="AS2255">
        <f t="shared" si="759"/>
        <v>2998</v>
      </c>
      <c r="AT2255" s="21">
        <f t="shared" si="760"/>
        <v>3003</v>
      </c>
      <c r="AU2255" s="21"/>
      <c r="AV2255" s="21"/>
      <c r="AW2255" s="21"/>
    </row>
    <row r="2256" spans="1:49" x14ac:dyDescent="0.2">
      <c r="A2256">
        <v>1196</v>
      </c>
      <c r="E2256">
        <f t="shared" si="755"/>
        <v>3</v>
      </c>
      <c r="F2256" s="5" t="s">
        <v>531</v>
      </c>
      <c r="G2256" s="5" t="s">
        <v>529</v>
      </c>
      <c r="J2256" t="str">
        <f t="shared" si="762"/>
        <v>3</v>
      </c>
      <c r="K2256" t="str">
        <f t="shared" si="763"/>
        <v>57</v>
      </c>
      <c r="L2256" t="str">
        <f t="shared" si="764"/>
        <v/>
      </c>
      <c r="M2256" s="6" t="str">
        <f t="shared" si="765"/>
        <v/>
      </c>
      <c r="N2256" t="s">
        <v>179</v>
      </c>
      <c r="O2256">
        <v>14</v>
      </c>
      <c r="P2256" t="s">
        <v>424</v>
      </c>
      <c r="Q2256" t="s">
        <v>10</v>
      </c>
      <c r="R2256" t="s">
        <v>190</v>
      </c>
      <c r="S2256" t="s">
        <v>440</v>
      </c>
      <c r="Y2256" t="str">
        <f t="shared" si="748"/>
        <v/>
      </c>
      <c r="Z2256" t="str">
        <f t="shared" si="749"/>
        <v/>
      </c>
      <c r="AC2256" t="str">
        <f t="shared" si="745"/>
        <v>Turnover</v>
      </c>
      <c r="AD2256" t="str">
        <f t="shared" si="746"/>
        <v>Turnover_Giveaway</v>
      </c>
      <c r="AE2256" t="str">
        <f t="shared" si="747"/>
        <v>Giveaway-ZoneEntry/ExitMisplay</v>
      </c>
      <c r="AF2256" t="str">
        <f t="shared" si="750"/>
        <v>Offensive</v>
      </c>
      <c r="AG2256">
        <f t="shared" si="756"/>
        <v>18981</v>
      </c>
      <c r="AH2256" t="str">
        <f t="shared" si="757"/>
        <v>Nelson</v>
      </c>
      <c r="AI2256" t="str">
        <f t="shared" si="758"/>
        <v>Velodrome</v>
      </c>
      <c r="AJ2256" s="18">
        <f t="shared" si="751"/>
        <v>0</v>
      </c>
      <c r="AP2256" s="18">
        <f t="shared" si="752"/>
        <v>0</v>
      </c>
      <c r="AQ2256">
        <f t="shared" si="753"/>
        <v>2160</v>
      </c>
      <c r="AR2256" s="23">
        <f t="shared" si="754"/>
        <v>3003</v>
      </c>
      <c r="AS2256">
        <f t="shared" si="759"/>
        <v>2998</v>
      </c>
      <c r="AT2256" s="21">
        <f t="shared" si="760"/>
        <v>3003</v>
      </c>
      <c r="AU2256" s="21"/>
      <c r="AV2256" s="21"/>
      <c r="AW2256" s="21"/>
    </row>
    <row r="2257" spans="1:49" x14ac:dyDescent="0.2">
      <c r="A2257">
        <v>1197</v>
      </c>
      <c r="E2257">
        <f t="shared" si="755"/>
        <v>3</v>
      </c>
      <c r="F2257" s="5" t="s">
        <v>531</v>
      </c>
      <c r="G2257" s="5" t="s">
        <v>527</v>
      </c>
      <c r="H2257" s="5" t="s">
        <v>531</v>
      </c>
      <c r="I2257" s="7" t="s">
        <v>525</v>
      </c>
      <c r="J2257" t="str">
        <f t="shared" si="762"/>
        <v>3</v>
      </c>
      <c r="K2257" t="str">
        <f t="shared" si="763"/>
        <v>55</v>
      </c>
      <c r="L2257" t="str">
        <f t="shared" si="764"/>
        <v>3</v>
      </c>
      <c r="M2257" s="6" t="str">
        <f t="shared" si="765"/>
        <v>53</v>
      </c>
      <c r="N2257" t="s">
        <v>178</v>
      </c>
      <c r="O2257">
        <v>23</v>
      </c>
      <c r="P2257" t="s">
        <v>424</v>
      </c>
      <c r="Q2257" t="s">
        <v>15</v>
      </c>
      <c r="Y2257" t="str">
        <f t="shared" si="748"/>
        <v/>
      </c>
      <c r="Z2257" t="str">
        <f t="shared" si="749"/>
        <v/>
      </c>
      <c r="AC2257" t="str">
        <f t="shared" si="745"/>
        <v>Possession</v>
      </c>
      <c r="AD2257" t="str">
        <f t="shared" si="746"/>
        <v/>
      </c>
      <c r="AE2257" t="str">
        <f t="shared" si="747"/>
        <v/>
      </c>
      <c r="AF2257" t="str">
        <f t="shared" si="750"/>
        <v>Offensive</v>
      </c>
      <c r="AG2257">
        <f t="shared" si="756"/>
        <v>18981</v>
      </c>
      <c r="AH2257" t="str">
        <f t="shared" si="757"/>
        <v>Nelson</v>
      </c>
      <c r="AI2257" t="str">
        <f t="shared" si="758"/>
        <v>Velodrome</v>
      </c>
      <c r="AJ2257" s="18">
        <f t="shared" si="751"/>
        <v>2</v>
      </c>
      <c r="AP2257" s="18">
        <f t="shared" si="752"/>
        <v>0</v>
      </c>
      <c r="AQ2257">
        <f t="shared" si="753"/>
        <v>2160</v>
      </c>
      <c r="AR2257" s="23">
        <f t="shared" si="754"/>
        <v>3005</v>
      </c>
      <c r="AS2257">
        <f t="shared" si="759"/>
        <v>3000</v>
      </c>
      <c r="AT2257" s="21">
        <f t="shared" si="760"/>
        <v>3007</v>
      </c>
      <c r="AU2257" s="21"/>
      <c r="AV2257" s="21"/>
      <c r="AW2257" s="21"/>
    </row>
    <row r="2258" spans="1:49" x14ac:dyDescent="0.2">
      <c r="A2258">
        <v>1198</v>
      </c>
      <c r="E2258">
        <f t="shared" si="755"/>
        <v>3</v>
      </c>
      <c r="F2258" s="5" t="s">
        <v>531</v>
      </c>
      <c r="G2258" s="5" t="s">
        <v>525</v>
      </c>
      <c r="J2258" t="str">
        <f t="shared" si="762"/>
        <v>3</v>
      </c>
      <c r="K2258" t="str">
        <f t="shared" si="763"/>
        <v>53</v>
      </c>
      <c r="L2258" t="str">
        <f t="shared" si="764"/>
        <v/>
      </c>
      <c r="M2258" s="6" t="str">
        <f t="shared" si="765"/>
        <v/>
      </c>
      <c r="N2258" t="s">
        <v>178</v>
      </c>
      <c r="O2258">
        <v>23</v>
      </c>
      <c r="P2258" t="s">
        <v>424</v>
      </c>
      <c r="Q2258" t="s">
        <v>277</v>
      </c>
      <c r="R2258" t="s">
        <v>191</v>
      </c>
      <c r="S2258" t="s">
        <v>89</v>
      </c>
      <c r="Y2258" t="str">
        <f t="shared" si="748"/>
        <v/>
      </c>
      <c r="Z2258" t="str">
        <f t="shared" si="749"/>
        <v/>
      </c>
      <c r="AC2258" t="str">
        <f t="shared" si="745"/>
        <v>Zone_Entry_Exit</v>
      </c>
      <c r="AD2258" t="str">
        <f t="shared" si="746"/>
        <v>Zone_Entry</v>
      </c>
      <c r="AE2258" t="str">
        <f t="shared" si="747"/>
        <v>ZoneEntry-DumpIn</v>
      </c>
      <c r="AF2258" t="str">
        <f t="shared" si="750"/>
        <v>Offensive</v>
      </c>
      <c r="AG2258">
        <f t="shared" si="756"/>
        <v>18981</v>
      </c>
      <c r="AH2258" t="str">
        <f t="shared" si="757"/>
        <v>Nelson</v>
      </c>
      <c r="AI2258" t="str">
        <f t="shared" si="758"/>
        <v>Velodrome</v>
      </c>
      <c r="AJ2258" s="18">
        <f t="shared" si="751"/>
        <v>0</v>
      </c>
      <c r="AP2258" s="18">
        <f t="shared" si="752"/>
        <v>0</v>
      </c>
      <c r="AQ2258">
        <f t="shared" si="753"/>
        <v>2160</v>
      </c>
      <c r="AR2258" s="23">
        <f t="shared" si="754"/>
        <v>3007</v>
      </c>
      <c r="AS2258">
        <f t="shared" si="759"/>
        <v>3002</v>
      </c>
      <c r="AT2258" s="21">
        <f t="shared" si="760"/>
        <v>3007</v>
      </c>
      <c r="AU2258" s="21"/>
      <c r="AV2258" s="21"/>
      <c r="AW2258" s="21"/>
    </row>
    <row r="2259" spans="1:49" x14ac:dyDescent="0.2">
      <c r="A2259">
        <v>1199</v>
      </c>
      <c r="E2259">
        <f t="shared" si="755"/>
        <v>3</v>
      </c>
      <c r="F2259" s="5" t="s">
        <v>531</v>
      </c>
      <c r="G2259" s="5" t="s">
        <v>525</v>
      </c>
      <c r="J2259" t="str">
        <f t="shared" si="762"/>
        <v>3</v>
      </c>
      <c r="K2259" t="str">
        <f t="shared" si="763"/>
        <v>53</v>
      </c>
      <c r="L2259" t="str">
        <f t="shared" si="764"/>
        <v/>
      </c>
      <c r="M2259" s="6" t="str">
        <f t="shared" si="765"/>
        <v/>
      </c>
      <c r="N2259" t="s">
        <v>178</v>
      </c>
      <c r="O2259">
        <v>23</v>
      </c>
      <c r="P2259" t="s">
        <v>424</v>
      </c>
      <c r="Q2259" t="s">
        <v>10</v>
      </c>
      <c r="R2259" t="s">
        <v>190</v>
      </c>
      <c r="S2259" t="s">
        <v>411</v>
      </c>
      <c r="Y2259" t="str">
        <f t="shared" si="748"/>
        <v/>
      </c>
      <c r="Z2259" t="str">
        <f t="shared" si="749"/>
        <v/>
      </c>
      <c r="AC2259" t="str">
        <f t="shared" si="745"/>
        <v>Turnover</v>
      </c>
      <c r="AD2259" t="str">
        <f t="shared" si="746"/>
        <v>Turnover_Giveaway</v>
      </c>
      <c r="AE2259" t="str">
        <f t="shared" si="747"/>
        <v>Giveaway-ZoneClear/Dump</v>
      </c>
      <c r="AF2259" t="str">
        <f t="shared" si="750"/>
        <v>Offensive</v>
      </c>
      <c r="AG2259">
        <f t="shared" si="756"/>
        <v>18981</v>
      </c>
      <c r="AH2259" t="str">
        <f t="shared" si="757"/>
        <v>Nelson</v>
      </c>
      <c r="AI2259" t="str">
        <f t="shared" si="758"/>
        <v>Velodrome</v>
      </c>
      <c r="AJ2259" s="18">
        <f t="shared" si="751"/>
        <v>0</v>
      </c>
      <c r="AP2259" s="18">
        <f t="shared" si="752"/>
        <v>0</v>
      </c>
      <c r="AQ2259">
        <f t="shared" si="753"/>
        <v>2160</v>
      </c>
      <c r="AR2259" s="23">
        <f t="shared" si="754"/>
        <v>3007</v>
      </c>
      <c r="AS2259">
        <f t="shared" si="759"/>
        <v>3002</v>
      </c>
      <c r="AT2259" s="21">
        <f t="shared" si="760"/>
        <v>3007</v>
      </c>
      <c r="AU2259" s="21"/>
      <c r="AV2259" s="21"/>
      <c r="AW2259" s="21"/>
    </row>
    <row r="2260" spans="1:49" x14ac:dyDescent="0.2">
      <c r="A2260">
        <v>1200</v>
      </c>
      <c r="E2260">
        <f t="shared" si="755"/>
        <v>3</v>
      </c>
      <c r="F2260" s="5" t="s">
        <v>531</v>
      </c>
      <c r="G2260" s="5" t="s">
        <v>524</v>
      </c>
      <c r="J2260" t="str">
        <f t="shared" si="762"/>
        <v>3</v>
      </c>
      <c r="K2260" t="str">
        <f t="shared" si="763"/>
        <v>52</v>
      </c>
      <c r="L2260" t="str">
        <f t="shared" si="764"/>
        <v/>
      </c>
      <c r="M2260" s="6" t="str">
        <f t="shared" si="765"/>
        <v/>
      </c>
      <c r="N2260" t="s">
        <v>179</v>
      </c>
      <c r="O2260">
        <v>93</v>
      </c>
      <c r="P2260" t="s">
        <v>424</v>
      </c>
      <c r="Q2260" t="s">
        <v>277</v>
      </c>
      <c r="R2260" t="s">
        <v>201</v>
      </c>
      <c r="S2260" t="s">
        <v>92</v>
      </c>
      <c r="Y2260" t="str">
        <f t="shared" si="748"/>
        <v/>
      </c>
      <c r="Z2260" t="str">
        <f t="shared" si="749"/>
        <v/>
      </c>
      <c r="AC2260" t="str">
        <f t="shared" si="745"/>
        <v>Zone_Entry_Exit</v>
      </c>
      <c r="AD2260" t="str">
        <f t="shared" si="746"/>
        <v>Zone_Exit</v>
      </c>
      <c r="AE2260" t="str">
        <f t="shared" si="747"/>
        <v>ZoneExit-Clear</v>
      </c>
      <c r="AF2260" t="str">
        <f t="shared" si="750"/>
        <v>Offensive</v>
      </c>
      <c r="AG2260">
        <f t="shared" si="756"/>
        <v>18981</v>
      </c>
      <c r="AH2260" t="str">
        <f t="shared" si="757"/>
        <v>Nelson</v>
      </c>
      <c r="AI2260" t="str">
        <f t="shared" si="758"/>
        <v>Velodrome</v>
      </c>
      <c r="AJ2260" s="18">
        <f t="shared" si="751"/>
        <v>0</v>
      </c>
      <c r="AP2260" s="18">
        <f t="shared" si="752"/>
        <v>0</v>
      </c>
      <c r="AQ2260">
        <f t="shared" si="753"/>
        <v>2160</v>
      </c>
      <c r="AR2260" s="23">
        <f t="shared" si="754"/>
        <v>3008</v>
      </c>
      <c r="AS2260">
        <f t="shared" si="759"/>
        <v>3003</v>
      </c>
      <c r="AT2260" s="21">
        <f t="shared" si="760"/>
        <v>3008</v>
      </c>
      <c r="AU2260" s="21"/>
      <c r="AV2260" s="21"/>
      <c r="AW2260" s="21"/>
    </row>
    <row r="2261" spans="1:49" x14ac:dyDescent="0.2">
      <c r="A2261">
        <v>1201</v>
      </c>
      <c r="E2261">
        <f t="shared" si="755"/>
        <v>3</v>
      </c>
      <c r="F2261" s="5" t="s">
        <v>531</v>
      </c>
      <c r="G2261" s="5" t="s">
        <v>524</v>
      </c>
      <c r="J2261" t="str">
        <f t="shared" si="762"/>
        <v>3</v>
      </c>
      <c r="K2261" t="str">
        <f t="shared" si="763"/>
        <v>52</v>
      </c>
      <c r="L2261" t="str">
        <f t="shared" si="764"/>
        <v/>
      </c>
      <c r="M2261" s="6" t="str">
        <f t="shared" si="765"/>
        <v/>
      </c>
      <c r="N2261" t="s">
        <v>179</v>
      </c>
      <c r="O2261">
        <v>93</v>
      </c>
      <c r="P2261" t="s">
        <v>424</v>
      </c>
      <c r="Q2261" t="s">
        <v>277</v>
      </c>
      <c r="R2261" t="s">
        <v>191</v>
      </c>
      <c r="S2261" t="s">
        <v>432</v>
      </c>
      <c r="Y2261" t="str">
        <f t="shared" si="748"/>
        <v/>
      </c>
      <c r="Z2261" t="str">
        <f t="shared" si="749"/>
        <v/>
      </c>
      <c r="AC2261" t="str">
        <f t="shared" si="745"/>
        <v>Zone_Entry_Exit</v>
      </c>
      <c r="AD2261" t="str">
        <f t="shared" si="746"/>
        <v>Zone_Entry</v>
      </c>
      <c r="AE2261" t="str">
        <f t="shared" si="747"/>
        <v>ZoneEntry-FromExitClear</v>
      </c>
      <c r="AF2261" t="str">
        <f t="shared" si="750"/>
        <v>Offensive</v>
      </c>
      <c r="AG2261">
        <f t="shared" si="756"/>
        <v>18981</v>
      </c>
      <c r="AH2261" t="str">
        <f t="shared" si="757"/>
        <v>Nelson</v>
      </c>
      <c r="AI2261" t="str">
        <f t="shared" si="758"/>
        <v>Velodrome</v>
      </c>
      <c r="AJ2261" s="18">
        <f t="shared" si="751"/>
        <v>0</v>
      </c>
      <c r="AP2261" s="18">
        <f t="shared" si="752"/>
        <v>0</v>
      </c>
      <c r="AQ2261">
        <f t="shared" si="753"/>
        <v>2160</v>
      </c>
      <c r="AR2261" s="23">
        <f t="shared" si="754"/>
        <v>3008</v>
      </c>
      <c r="AS2261">
        <f t="shared" si="759"/>
        <v>3003</v>
      </c>
      <c r="AT2261" s="21">
        <f t="shared" si="760"/>
        <v>3008</v>
      </c>
      <c r="AU2261" s="21"/>
      <c r="AV2261" s="21"/>
      <c r="AW2261" s="21"/>
    </row>
    <row r="2262" spans="1:49" x14ac:dyDescent="0.2">
      <c r="A2262">
        <v>1202</v>
      </c>
      <c r="E2262">
        <f t="shared" si="755"/>
        <v>3</v>
      </c>
      <c r="F2262" s="5" t="s">
        <v>531</v>
      </c>
      <c r="G2262" s="5" t="s">
        <v>524</v>
      </c>
      <c r="J2262" t="str">
        <f t="shared" si="762"/>
        <v>3</v>
      </c>
      <c r="K2262" t="str">
        <f t="shared" si="763"/>
        <v>52</v>
      </c>
      <c r="L2262" t="str">
        <f t="shared" si="764"/>
        <v/>
      </c>
      <c r="M2262" s="6" t="str">
        <f t="shared" si="765"/>
        <v/>
      </c>
      <c r="N2262" t="s">
        <v>179</v>
      </c>
      <c r="O2262">
        <v>93</v>
      </c>
      <c r="P2262" t="s">
        <v>424</v>
      </c>
      <c r="Q2262" t="s">
        <v>10</v>
      </c>
      <c r="R2262" t="s">
        <v>190</v>
      </c>
      <c r="S2262" t="s">
        <v>411</v>
      </c>
      <c r="Y2262" t="str">
        <f t="shared" si="748"/>
        <v/>
      </c>
      <c r="Z2262" t="str">
        <f t="shared" si="749"/>
        <v/>
      </c>
      <c r="AC2262" t="str">
        <f t="shared" si="745"/>
        <v>Turnover</v>
      </c>
      <c r="AD2262" t="str">
        <f t="shared" si="746"/>
        <v>Turnover_Giveaway</v>
      </c>
      <c r="AE2262" t="str">
        <f t="shared" si="747"/>
        <v>Giveaway-ZoneClear/Dump</v>
      </c>
      <c r="AF2262" t="str">
        <f t="shared" si="750"/>
        <v>Offensive</v>
      </c>
      <c r="AG2262">
        <f t="shared" si="756"/>
        <v>18981</v>
      </c>
      <c r="AH2262" t="str">
        <f t="shared" si="757"/>
        <v>Nelson</v>
      </c>
      <c r="AI2262" t="str">
        <f t="shared" si="758"/>
        <v>Velodrome</v>
      </c>
      <c r="AJ2262" s="18">
        <f t="shared" si="751"/>
        <v>0</v>
      </c>
      <c r="AP2262" s="18">
        <f t="shared" si="752"/>
        <v>0</v>
      </c>
      <c r="AQ2262">
        <f t="shared" si="753"/>
        <v>2160</v>
      </c>
      <c r="AR2262" s="23">
        <f t="shared" si="754"/>
        <v>3008</v>
      </c>
      <c r="AS2262">
        <f t="shared" si="759"/>
        <v>3003</v>
      </c>
      <c r="AT2262" s="21">
        <f t="shared" si="760"/>
        <v>3008</v>
      </c>
      <c r="AU2262" s="21"/>
      <c r="AV2262" s="21"/>
      <c r="AW2262" s="21"/>
    </row>
    <row r="2263" spans="1:49" x14ac:dyDescent="0.2">
      <c r="A2263">
        <v>1203</v>
      </c>
      <c r="E2263">
        <f t="shared" si="755"/>
        <v>3</v>
      </c>
      <c r="F2263" s="5" t="s">
        <v>531</v>
      </c>
      <c r="G2263" s="5" t="s">
        <v>518</v>
      </c>
      <c r="H2263" s="5" t="s">
        <v>531</v>
      </c>
      <c r="I2263" s="7" t="s">
        <v>514</v>
      </c>
      <c r="J2263" t="str">
        <f t="shared" si="762"/>
        <v>3</v>
      </c>
      <c r="K2263" t="str">
        <f t="shared" si="763"/>
        <v>46</v>
      </c>
      <c r="L2263" t="str">
        <f t="shared" si="764"/>
        <v>3</v>
      </c>
      <c r="M2263" s="6" t="str">
        <f t="shared" si="765"/>
        <v>42</v>
      </c>
      <c r="N2263" t="s">
        <v>178</v>
      </c>
      <c r="O2263">
        <v>37</v>
      </c>
      <c r="P2263" t="s">
        <v>424</v>
      </c>
      <c r="Q2263" t="s">
        <v>15</v>
      </c>
      <c r="Y2263" t="str">
        <f t="shared" si="748"/>
        <v/>
      </c>
      <c r="Z2263" t="str">
        <f t="shared" si="749"/>
        <v/>
      </c>
      <c r="AC2263" t="str">
        <f t="shared" si="745"/>
        <v>Possession</v>
      </c>
      <c r="AD2263" t="str">
        <f t="shared" si="746"/>
        <v/>
      </c>
      <c r="AE2263" t="str">
        <f t="shared" si="747"/>
        <v/>
      </c>
      <c r="AF2263" t="str">
        <f t="shared" si="750"/>
        <v>Offensive</v>
      </c>
      <c r="AG2263">
        <f t="shared" si="756"/>
        <v>18981</v>
      </c>
      <c r="AH2263" t="str">
        <f t="shared" si="757"/>
        <v>Nelson</v>
      </c>
      <c r="AI2263" t="str">
        <f t="shared" si="758"/>
        <v>Velodrome</v>
      </c>
      <c r="AJ2263" s="18">
        <f t="shared" si="751"/>
        <v>4</v>
      </c>
      <c r="AP2263" s="18">
        <f t="shared" si="752"/>
        <v>0</v>
      </c>
      <c r="AQ2263">
        <f t="shared" si="753"/>
        <v>2160</v>
      </c>
      <c r="AR2263" s="23">
        <f t="shared" si="754"/>
        <v>3014</v>
      </c>
      <c r="AS2263">
        <f t="shared" si="759"/>
        <v>3009</v>
      </c>
      <c r="AT2263" s="21">
        <f t="shared" si="760"/>
        <v>3018</v>
      </c>
      <c r="AU2263" s="21"/>
      <c r="AV2263" s="21"/>
      <c r="AW2263" s="21"/>
    </row>
    <row r="2264" spans="1:49" x14ac:dyDescent="0.2">
      <c r="A2264">
        <v>1204</v>
      </c>
      <c r="E2264">
        <f t="shared" si="755"/>
        <v>3</v>
      </c>
      <c r="F2264" s="5" t="s">
        <v>531</v>
      </c>
      <c r="G2264" s="5" t="s">
        <v>514</v>
      </c>
      <c r="J2264" t="str">
        <f t="shared" si="762"/>
        <v>3</v>
      </c>
      <c r="K2264" t="str">
        <f t="shared" si="763"/>
        <v>42</v>
      </c>
      <c r="L2264" t="str">
        <f t="shared" si="764"/>
        <v/>
      </c>
      <c r="M2264" s="6" t="str">
        <f t="shared" si="765"/>
        <v/>
      </c>
      <c r="N2264" t="s">
        <v>178</v>
      </c>
      <c r="O2264">
        <v>37</v>
      </c>
      <c r="P2264" t="s">
        <v>424</v>
      </c>
      <c r="Q2264" t="s">
        <v>8</v>
      </c>
      <c r="R2264" t="s">
        <v>199</v>
      </c>
      <c r="S2264" t="s">
        <v>572</v>
      </c>
      <c r="Y2264" t="str">
        <f t="shared" si="748"/>
        <v/>
      </c>
      <c r="Z2264" t="str">
        <f t="shared" si="749"/>
        <v/>
      </c>
      <c r="AC2264" t="str">
        <f t="shared" si="745"/>
        <v>Pass</v>
      </c>
      <c r="AD2264" t="str">
        <f t="shared" si="746"/>
        <v>Pass_Missed</v>
      </c>
      <c r="AE2264" t="str">
        <f t="shared" si="747"/>
        <v>Pass-ReceiverMissed</v>
      </c>
      <c r="AF2264" t="str">
        <f t="shared" si="750"/>
        <v>Offensive</v>
      </c>
      <c r="AG2264">
        <f t="shared" si="756"/>
        <v>18981</v>
      </c>
      <c r="AH2264" t="str">
        <f t="shared" si="757"/>
        <v>Nelson</v>
      </c>
      <c r="AI2264" t="str">
        <f t="shared" si="758"/>
        <v>Velodrome</v>
      </c>
      <c r="AJ2264" s="18">
        <f t="shared" si="751"/>
        <v>0</v>
      </c>
      <c r="AP2264" s="18">
        <f t="shared" si="752"/>
        <v>0</v>
      </c>
      <c r="AQ2264">
        <f t="shared" si="753"/>
        <v>2160</v>
      </c>
      <c r="AR2264" s="23">
        <f t="shared" si="754"/>
        <v>3018</v>
      </c>
      <c r="AS2264">
        <f t="shared" si="759"/>
        <v>3013</v>
      </c>
      <c r="AT2264" s="21">
        <f t="shared" si="760"/>
        <v>3018</v>
      </c>
      <c r="AU2264" s="21"/>
      <c r="AV2264" s="21"/>
      <c r="AW2264" s="21"/>
    </row>
    <row r="2265" spans="1:49" x14ac:dyDescent="0.2">
      <c r="A2265">
        <v>1204</v>
      </c>
      <c r="E2265">
        <f t="shared" si="755"/>
        <v>3</v>
      </c>
      <c r="J2265" t="str">
        <f t="shared" si="762"/>
        <v>3</v>
      </c>
      <c r="K2265" t="str">
        <f t="shared" si="763"/>
        <v>42</v>
      </c>
      <c r="L2265" t="str">
        <f t="shared" si="764"/>
        <v/>
      </c>
      <c r="M2265" s="6" t="str">
        <f t="shared" si="765"/>
        <v/>
      </c>
      <c r="N2265" t="str">
        <f t="shared" si="761"/>
        <v>Home</v>
      </c>
      <c r="O2265">
        <v>44</v>
      </c>
      <c r="P2265" t="s">
        <v>424</v>
      </c>
      <c r="Y2265" t="str">
        <f t="shared" si="748"/>
        <v/>
      </c>
      <c r="Z2265" t="str">
        <f t="shared" si="749"/>
        <v/>
      </c>
      <c r="AC2265" t="str">
        <f t="shared" si="745"/>
        <v>Pass</v>
      </c>
      <c r="AD2265" t="str">
        <f t="shared" si="746"/>
        <v>Pass_Missed</v>
      </c>
      <c r="AE2265" t="str">
        <f t="shared" si="747"/>
        <v>Pass-ReceiverMissed</v>
      </c>
      <c r="AF2265" t="str">
        <f t="shared" si="750"/>
        <v>Offensive</v>
      </c>
      <c r="AG2265">
        <f t="shared" si="756"/>
        <v>18981</v>
      </c>
      <c r="AH2265" t="str">
        <f t="shared" si="757"/>
        <v>Nelson</v>
      </c>
      <c r="AI2265" t="str">
        <f t="shared" si="758"/>
        <v>Velodrome</v>
      </c>
      <c r="AJ2265" s="18">
        <f t="shared" si="751"/>
        <v>0</v>
      </c>
      <c r="AP2265" s="18">
        <f t="shared" si="752"/>
        <v>0</v>
      </c>
      <c r="AQ2265">
        <f t="shared" si="753"/>
        <v>2160</v>
      </c>
      <c r="AR2265" s="23">
        <f t="shared" si="754"/>
        <v>3018</v>
      </c>
      <c r="AS2265">
        <f t="shared" si="759"/>
        <v>3013</v>
      </c>
      <c r="AT2265" s="21">
        <f t="shared" si="760"/>
        <v>3018</v>
      </c>
      <c r="AU2265" s="21"/>
      <c r="AV2265" s="21"/>
      <c r="AW2265" s="21"/>
    </row>
    <row r="2266" spans="1:49" x14ac:dyDescent="0.2">
      <c r="A2266">
        <v>1205</v>
      </c>
      <c r="E2266">
        <f t="shared" si="755"/>
        <v>3</v>
      </c>
      <c r="F2266" s="5" t="s">
        <v>531</v>
      </c>
      <c r="G2266" s="5" t="s">
        <v>514</v>
      </c>
      <c r="J2266" t="str">
        <f t="shared" si="762"/>
        <v>3</v>
      </c>
      <c r="K2266" t="str">
        <f t="shared" si="763"/>
        <v>42</v>
      </c>
      <c r="L2266" t="str">
        <f t="shared" si="764"/>
        <v/>
      </c>
      <c r="M2266" s="6" t="str">
        <f t="shared" si="765"/>
        <v/>
      </c>
      <c r="N2266" t="s">
        <v>178</v>
      </c>
      <c r="O2266">
        <v>37</v>
      </c>
      <c r="P2266" t="s">
        <v>424</v>
      </c>
      <c r="Q2266" t="s">
        <v>277</v>
      </c>
      <c r="R2266" t="s">
        <v>201</v>
      </c>
      <c r="S2266" t="s">
        <v>433</v>
      </c>
      <c r="Y2266" t="str">
        <f t="shared" si="748"/>
        <v/>
      </c>
      <c r="Z2266" t="str">
        <f t="shared" si="749"/>
        <v/>
      </c>
      <c r="AC2266" t="str">
        <f t="shared" si="745"/>
        <v>Zone_Entry_Exit</v>
      </c>
      <c r="AD2266" t="str">
        <f t="shared" si="746"/>
        <v>Zone_Exit</v>
      </c>
      <c r="AE2266" t="str">
        <f t="shared" si="747"/>
        <v>ZoneExit-PassMiss/Misplay</v>
      </c>
      <c r="AF2266" t="str">
        <f t="shared" si="750"/>
        <v>Offensive</v>
      </c>
      <c r="AG2266">
        <f t="shared" si="756"/>
        <v>18981</v>
      </c>
      <c r="AH2266" t="str">
        <f t="shared" si="757"/>
        <v>Nelson</v>
      </c>
      <c r="AI2266" t="str">
        <f t="shared" si="758"/>
        <v>Velodrome</v>
      </c>
      <c r="AJ2266" s="18">
        <f t="shared" si="751"/>
        <v>0</v>
      </c>
      <c r="AP2266" s="18">
        <f t="shared" si="752"/>
        <v>0</v>
      </c>
      <c r="AQ2266">
        <f t="shared" si="753"/>
        <v>2160</v>
      </c>
      <c r="AR2266" s="23">
        <f t="shared" si="754"/>
        <v>3018</v>
      </c>
      <c r="AS2266">
        <f t="shared" si="759"/>
        <v>3013</v>
      </c>
      <c r="AT2266" s="21">
        <f t="shared" si="760"/>
        <v>3018</v>
      </c>
      <c r="AU2266" s="21"/>
      <c r="AV2266" s="21"/>
      <c r="AW2266" s="21"/>
    </row>
    <row r="2267" spans="1:49" x14ac:dyDescent="0.2">
      <c r="A2267">
        <v>1205</v>
      </c>
      <c r="E2267">
        <f t="shared" si="755"/>
        <v>3</v>
      </c>
      <c r="J2267" t="str">
        <f t="shared" si="762"/>
        <v>3</v>
      </c>
      <c r="K2267" t="str">
        <f t="shared" si="763"/>
        <v>42</v>
      </c>
      <c r="L2267" t="str">
        <f t="shared" si="764"/>
        <v/>
      </c>
      <c r="M2267" s="6" t="str">
        <f t="shared" si="765"/>
        <v/>
      </c>
      <c r="N2267" t="str">
        <f t="shared" si="761"/>
        <v>Home</v>
      </c>
      <c r="O2267">
        <v>44</v>
      </c>
      <c r="P2267" t="s">
        <v>424</v>
      </c>
      <c r="Y2267" t="str">
        <f t="shared" si="748"/>
        <v/>
      </c>
      <c r="Z2267" t="str">
        <f t="shared" si="749"/>
        <v/>
      </c>
      <c r="AC2267" t="str">
        <f t="shared" si="745"/>
        <v>Zone_Entry_Exit</v>
      </c>
      <c r="AD2267" t="str">
        <f t="shared" si="746"/>
        <v>Zone_Exit</v>
      </c>
      <c r="AE2267" t="str">
        <f t="shared" si="747"/>
        <v>ZoneExit-PassMiss/Misplay</v>
      </c>
      <c r="AF2267" t="str">
        <f t="shared" si="750"/>
        <v>Offensive</v>
      </c>
      <c r="AG2267">
        <f t="shared" si="756"/>
        <v>18981</v>
      </c>
      <c r="AH2267" t="str">
        <f t="shared" si="757"/>
        <v>Nelson</v>
      </c>
      <c r="AI2267" t="str">
        <f t="shared" si="758"/>
        <v>Velodrome</v>
      </c>
      <c r="AJ2267" s="18">
        <f t="shared" si="751"/>
        <v>0</v>
      </c>
      <c r="AP2267" s="18">
        <f t="shared" si="752"/>
        <v>0</v>
      </c>
      <c r="AQ2267">
        <f t="shared" si="753"/>
        <v>2160</v>
      </c>
      <c r="AR2267" s="23">
        <f t="shared" si="754"/>
        <v>3018</v>
      </c>
      <c r="AS2267">
        <f t="shared" si="759"/>
        <v>3013</v>
      </c>
      <c r="AT2267" s="21">
        <f t="shared" si="760"/>
        <v>3018</v>
      </c>
      <c r="AU2267" s="21"/>
      <c r="AV2267" s="21"/>
      <c r="AW2267" s="21"/>
    </row>
    <row r="2268" spans="1:49" x14ac:dyDescent="0.2">
      <c r="A2268">
        <v>1206</v>
      </c>
      <c r="E2268">
        <f t="shared" si="755"/>
        <v>3</v>
      </c>
      <c r="F2268" s="5" t="s">
        <v>531</v>
      </c>
      <c r="G2268" s="5" t="s">
        <v>512</v>
      </c>
      <c r="H2268" s="5" t="s">
        <v>531</v>
      </c>
      <c r="I2268" s="7" t="s">
        <v>511</v>
      </c>
      <c r="J2268" t="str">
        <f t="shared" si="762"/>
        <v>3</v>
      </c>
      <c r="K2268" t="str">
        <f t="shared" si="763"/>
        <v>40</v>
      </c>
      <c r="L2268" t="str">
        <f t="shared" si="764"/>
        <v>3</v>
      </c>
      <c r="M2268" s="6" t="str">
        <f t="shared" si="765"/>
        <v>39</v>
      </c>
      <c r="N2268" t="s">
        <v>178</v>
      </c>
      <c r="O2268">
        <v>44</v>
      </c>
      <c r="P2268" t="s">
        <v>424</v>
      </c>
      <c r="Q2268" t="s">
        <v>15</v>
      </c>
      <c r="Y2268" t="str">
        <f t="shared" si="748"/>
        <v/>
      </c>
      <c r="Z2268" t="str">
        <f t="shared" si="749"/>
        <v/>
      </c>
      <c r="AC2268" t="str">
        <f t="shared" si="745"/>
        <v>Possession</v>
      </c>
      <c r="AD2268" t="str">
        <f t="shared" si="746"/>
        <v/>
      </c>
      <c r="AE2268" t="str">
        <f t="shared" si="747"/>
        <v/>
      </c>
      <c r="AF2268" t="str">
        <f t="shared" si="750"/>
        <v>Offensive</v>
      </c>
      <c r="AG2268">
        <f t="shared" si="756"/>
        <v>18981</v>
      </c>
      <c r="AH2268" t="str">
        <f t="shared" si="757"/>
        <v>Nelson</v>
      </c>
      <c r="AI2268" t="str">
        <f t="shared" si="758"/>
        <v>Velodrome</v>
      </c>
      <c r="AJ2268" s="18">
        <f t="shared" si="751"/>
        <v>1</v>
      </c>
      <c r="AP2268" s="18">
        <f t="shared" si="752"/>
        <v>0</v>
      </c>
      <c r="AQ2268">
        <f t="shared" si="753"/>
        <v>2160</v>
      </c>
      <c r="AR2268" s="23">
        <f t="shared" si="754"/>
        <v>3020</v>
      </c>
      <c r="AS2268">
        <f t="shared" si="759"/>
        <v>3015</v>
      </c>
      <c r="AT2268" s="21">
        <f t="shared" si="760"/>
        <v>3021</v>
      </c>
      <c r="AU2268" s="21"/>
      <c r="AV2268" s="21"/>
      <c r="AW2268" s="21"/>
    </row>
    <row r="2269" spans="1:49" x14ac:dyDescent="0.2">
      <c r="A2269">
        <v>1207</v>
      </c>
      <c r="E2269">
        <f t="shared" si="755"/>
        <v>3</v>
      </c>
      <c r="F2269" s="5" t="s">
        <v>531</v>
      </c>
      <c r="G2269" s="5" t="s">
        <v>511</v>
      </c>
      <c r="H2269" s="5" t="s">
        <v>531</v>
      </c>
      <c r="I2269" s="7" t="s">
        <v>509</v>
      </c>
      <c r="J2269" t="str">
        <f t="shared" si="762"/>
        <v>3</v>
      </c>
      <c r="K2269" t="str">
        <f t="shared" si="763"/>
        <v>39</v>
      </c>
      <c r="L2269" t="str">
        <f t="shared" si="764"/>
        <v>3</v>
      </c>
      <c r="M2269" s="6" t="str">
        <f t="shared" si="765"/>
        <v>37</v>
      </c>
      <c r="N2269" t="s">
        <v>178</v>
      </c>
      <c r="O2269">
        <v>44</v>
      </c>
      <c r="P2269" t="s">
        <v>424</v>
      </c>
      <c r="Q2269" t="s">
        <v>277</v>
      </c>
      <c r="R2269" t="s">
        <v>191</v>
      </c>
      <c r="S2269" t="s">
        <v>87</v>
      </c>
      <c r="Y2269" t="str">
        <f t="shared" si="748"/>
        <v/>
      </c>
      <c r="Z2269" t="str">
        <f t="shared" si="749"/>
        <v/>
      </c>
      <c r="AC2269" t="str">
        <f t="shared" si="745"/>
        <v>Zone_Entry_Exit</v>
      </c>
      <c r="AD2269" t="str">
        <f t="shared" si="746"/>
        <v>Zone_Entry</v>
      </c>
      <c r="AE2269" t="str">
        <f t="shared" si="747"/>
        <v>ZoneEntry-Rush</v>
      </c>
      <c r="AF2269" t="str">
        <f t="shared" si="750"/>
        <v>Offensive</v>
      </c>
      <c r="AG2269">
        <f t="shared" si="756"/>
        <v>18981</v>
      </c>
      <c r="AH2269" t="str">
        <f t="shared" si="757"/>
        <v>Nelson</v>
      </c>
      <c r="AI2269" t="str">
        <f t="shared" si="758"/>
        <v>Velodrome</v>
      </c>
      <c r="AJ2269" s="18">
        <f t="shared" si="751"/>
        <v>2</v>
      </c>
      <c r="AP2269" s="18">
        <f t="shared" si="752"/>
        <v>0</v>
      </c>
      <c r="AQ2269">
        <f t="shared" si="753"/>
        <v>2160</v>
      </c>
      <c r="AR2269" s="23">
        <f t="shared" si="754"/>
        <v>3021</v>
      </c>
      <c r="AS2269">
        <f t="shared" si="759"/>
        <v>3016</v>
      </c>
      <c r="AT2269" s="21">
        <f t="shared" si="760"/>
        <v>3023</v>
      </c>
      <c r="AU2269" s="21"/>
      <c r="AV2269" s="21"/>
      <c r="AW2269" s="21"/>
    </row>
    <row r="2270" spans="1:49" x14ac:dyDescent="0.2">
      <c r="A2270">
        <v>1207</v>
      </c>
      <c r="E2270">
        <f t="shared" si="755"/>
        <v>3</v>
      </c>
      <c r="J2270" t="str">
        <f t="shared" si="762"/>
        <v>3</v>
      </c>
      <c r="K2270" t="str">
        <f t="shared" si="763"/>
        <v>39</v>
      </c>
      <c r="L2270" t="str">
        <f t="shared" si="764"/>
        <v>3</v>
      </c>
      <c r="M2270" s="6" t="str">
        <f t="shared" si="765"/>
        <v>37</v>
      </c>
      <c r="N2270" t="str">
        <f t="shared" si="761"/>
        <v>Home</v>
      </c>
      <c r="O2270">
        <v>14</v>
      </c>
      <c r="P2270" t="s">
        <v>425</v>
      </c>
      <c r="Y2270" t="str">
        <f t="shared" si="748"/>
        <v/>
      </c>
      <c r="Z2270" t="str">
        <f t="shared" si="749"/>
        <v/>
      </c>
      <c r="AC2270" t="str">
        <f t="shared" si="745"/>
        <v>Zone_Entry_Exit</v>
      </c>
      <c r="AD2270" t="str">
        <f t="shared" si="746"/>
        <v>Zone_Entry</v>
      </c>
      <c r="AE2270" t="str">
        <f t="shared" si="747"/>
        <v>ZoneEntry-Rush</v>
      </c>
      <c r="AF2270" t="str">
        <f t="shared" si="750"/>
        <v>Defensive</v>
      </c>
      <c r="AG2270">
        <f t="shared" si="756"/>
        <v>18981</v>
      </c>
      <c r="AH2270" t="str">
        <f t="shared" si="757"/>
        <v>Nelson</v>
      </c>
      <c r="AI2270" t="str">
        <f t="shared" si="758"/>
        <v>Velodrome</v>
      </c>
      <c r="AJ2270" s="18">
        <f t="shared" si="751"/>
        <v>2</v>
      </c>
      <c r="AP2270" s="18">
        <f t="shared" si="752"/>
        <v>0</v>
      </c>
      <c r="AQ2270">
        <f t="shared" si="753"/>
        <v>2160</v>
      </c>
      <c r="AR2270" s="23">
        <f t="shared" si="754"/>
        <v>3021</v>
      </c>
      <c r="AS2270">
        <f t="shared" si="759"/>
        <v>3016</v>
      </c>
      <c r="AT2270" s="21">
        <f t="shared" si="760"/>
        <v>3023</v>
      </c>
      <c r="AU2270" s="21"/>
      <c r="AV2270" s="21"/>
      <c r="AW2270" s="21"/>
    </row>
    <row r="2271" spans="1:49" x14ac:dyDescent="0.2">
      <c r="A2271">
        <v>1207</v>
      </c>
      <c r="E2271">
        <f t="shared" si="755"/>
        <v>3</v>
      </c>
      <c r="J2271" t="str">
        <f t="shared" si="762"/>
        <v>3</v>
      </c>
      <c r="K2271" t="str">
        <f t="shared" si="763"/>
        <v>39</v>
      </c>
      <c r="L2271" t="str">
        <f t="shared" si="764"/>
        <v>3</v>
      </c>
      <c r="M2271" s="6" t="str">
        <f t="shared" si="765"/>
        <v>37</v>
      </c>
      <c r="N2271" t="str">
        <f t="shared" si="761"/>
        <v>Home</v>
      </c>
      <c r="O2271">
        <v>22</v>
      </c>
      <c r="P2271" t="s">
        <v>425</v>
      </c>
      <c r="Y2271" t="str">
        <f t="shared" si="748"/>
        <v/>
      </c>
      <c r="Z2271" t="str">
        <f t="shared" si="749"/>
        <v/>
      </c>
      <c r="AC2271" t="str">
        <f t="shared" si="745"/>
        <v>Zone_Entry_Exit</v>
      </c>
      <c r="AD2271" t="str">
        <f t="shared" si="746"/>
        <v>Zone_Entry</v>
      </c>
      <c r="AE2271" t="str">
        <f t="shared" si="747"/>
        <v>ZoneEntry-Rush</v>
      </c>
      <c r="AF2271" t="str">
        <f t="shared" si="750"/>
        <v>Defensive</v>
      </c>
      <c r="AG2271">
        <f t="shared" si="756"/>
        <v>18981</v>
      </c>
      <c r="AH2271" t="str">
        <f t="shared" si="757"/>
        <v>Nelson</v>
      </c>
      <c r="AI2271" t="str">
        <f t="shared" si="758"/>
        <v>Velodrome</v>
      </c>
      <c r="AJ2271" s="18">
        <f t="shared" si="751"/>
        <v>2</v>
      </c>
      <c r="AP2271" s="18">
        <f t="shared" si="752"/>
        <v>0</v>
      </c>
      <c r="AQ2271">
        <f t="shared" si="753"/>
        <v>2160</v>
      </c>
      <c r="AR2271" s="23">
        <f t="shared" si="754"/>
        <v>3021</v>
      </c>
      <c r="AS2271">
        <f t="shared" si="759"/>
        <v>3016</v>
      </c>
      <c r="AT2271" s="21">
        <f t="shared" si="760"/>
        <v>3023</v>
      </c>
      <c r="AU2271" s="21"/>
      <c r="AV2271" s="21"/>
      <c r="AW2271" s="21"/>
    </row>
    <row r="2272" spans="1:49" x14ac:dyDescent="0.2">
      <c r="A2272">
        <v>1207</v>
      </c>
      <c r="E2272">
        <f t="shared" si="755"/>
        <v>3</v>
      </c>
      <c r="J2272" t="str">
        <f t="shared" si="762"/>
        <v>3</v>
      </c>
      <c r="K2272" t="str">
        <f t="shared" si="763"/>
        <v>39</v>
      </c>
      <c r="L2272" t="str">
        <f t="shared" si="764"/>
        <v>3</v>
      </c>
      <c r="M2272" s="6" t="str">
        <f t="shared" si="765"/>
        <v>37</v>
      </c>
      <c r="N2272" t="str">
        <f t="shared" si="761"/>
        <v>Home</v>
      </c>
      <c r="O2272">
        <v>52</v>
      </c>
      <c r="P2272" t="s">
        <v>425</v>
      </c>
      <c r="Y2272" t="str">
        <f t="shared" si="748"/>
        <v/>
      </c>
      <c r="Z2272" t="str">
        <f t="shared" si="749"/>
        <v/>
      </c>
      <c r="AC2272" t="str">
        <f t="shared" si="745"/>
        <v>Zone_Entry_Exit</v>
      </c>
      <c r="AD2272" t="str">
        <f t="shared" si="746"/>
        <v>Zone_Entry</v>
      </c>
      <c r="AE2272" t="str">
        <f t="shared" si="747"/>
        <v>ZoneEntry-Rush</v>
      </c>
      <c r="AF2272" t="str">
        <f t="shared" si="750"/>
        <v>Defensive</v>
      </c>
      <c r="AG2272">
        <f t="shared" si="756"/>
        <v>18981</v>
      </c>
      <c r="AH2272" t="str">
        <f t="shared" si="757"/>
        <v>Nelson</v>
      </c>
      <c r="AI2272" t="str">
        <f t="shared" si="758"/>
        <v>Velodrome</v>
      </c>
      <c r="AJ2272" s="18">
        <f t="shared" si="751"/>
        <v>2</v>
      </c>
      <c r="AP2272" s="18">
        <f t="shared" si="752"/>
        <v>0</v>
      </c>
      <c r="AQ2272">
        <f t="shared" si="753"/>
        <v>2160</v>
      </c>
      <c r="AR2272" s="23">
        <f t="shared" si="754"/>
        <v>3021</v>
      </c>
      <c r="AS2272">
        <f t="shared" si="759"/>
        <v>3016</v>
      </c>
      <c r="AT2272" s="21">
        <f t="shared" si="760"/>
        <v>3023</v>
      </c>
      <c r="AU2272" s="21"/>
      <c r="AV2272" s="21"/>
      <c r="AW2272" s="21"/>
    </row>
    <row r="2273" spans="1:49" x14ac:dyDescent="0.2">
      <c r="A2273">
        <v>1208</v>
      </c>
      <c r="E2273">
        <f t="shared" si="755"/>
        <v>3</v>
      </c>
      <c r="F2273" s="5" t="s">
        <v>531</v>
      </c>
      <c r="G2273" s="5" t="s">
        <v>509</v>
      </c>
      <c r="J2273" t="str">
        <f t="shared" si="762"/>
        <v>3</v>
      </c>
      <c r="K2273" t="str">
        <f t="shared" si="763"/>
        <v>37</v>
      </c>
      <c r="L2273" t="str">
        <f t="shared" si="764"/>
        <v/>
      </c>
      <c r="M2273" s="6" t="str">
        <f t="shared" si="765"/>
        <v/>
      </c>
      <c r="N2273" t="s">
        <v>179</v>
      </c>
      <c r="O2273">
        <v>14</v>
      </c>
      <c r="P2273" t="s">
        <v>424</v>
      </c>
      <c r="Q2273" t="s">
        <v>10</v>
      </c>
      <c r="R2273" t="s">
        <v>200</v>
      </c>
      <c r="S2273" t="s">
        <v>82</v>
      </c>
      <c r="Y2273" t="str">
        <f t="shared" si="748"/>
        <v/>
      </c>
      <c r="Z2273" t="str">
        <f t="shared" si="749"/>
        <v/>
      </c>
      <c r="AC2273" t="str">
        <f t="shared" si="745"/>
        <v>Turnover</v>
      </c>
      <c r="AD2273" t="str">
        <f t="shared" si="746"/>
        <v>Turnover_Takeaway</v>
      </c>
      <c r="AE2273" t="str">
        <f t="shared" si="747"/>
        <v>Takeaway-PokeCheck</v>
      </c>
      <c r="AF2273" t="str">
        <f t="shared" si="750"/>
        <v>Defensive</v>
      </c>
      <c r="AG2273">
        <f t="shared" si="756"/>
        <v>18981</v>
      </c>
      <c r="AH2273" t="str">
        <f t="shared" si="757"/>
        <v>Nelson</v>
      </c>
      <c r="AI2273" t="str">
        <f t="shared" si="758"/>
        <v>Velodrome</v>
      </c>
      <c r="AJ2273" s="18">
        <f t="shared" si="751"/>
        <v>0</v>
      </c>
      <c r="AP2273" s="18">
        <f t="shared" si="752"/>
        <v>0</v>
      </c>
      <c r="AQ2273">
        <f t="shared" si="753"/>
        <v>2160</v>
      </c>
      <c r="AR2273" s="23">
        <f t="shared" si="754"/>
        <v>3023</v>
      </c>
      <c r="AS2273">
        <f t="shared" si="759"/>
        <v>3018</v>
      </c>
      <c r="AT2273" s="21">
        <f t="shared" si="760"/>
        <v>3023</v>
      </c>
      <c r="AU2273" s="21"/>
      <c r="AV2273" s="21"/>
      <c r="AW2273" s="21"/>
    </row>
    <row r="2274" spans="1:49" x14ac:dyDescent="0.2">
      <c r="A2274">
        <v>1208</v>
      </c>
      <c r="E2274">
        <f t="shared" si="755"/>
        <v>3</v>
      </c>
      <c r="J2274" t="str">
        <f t="shared" si="762"/>
        <v>3</v>
      </c>
      <c r="K2274" t="str">
        <f t="shared" si="763"/>
        <v>37</v>
      </c>
      <c r="L2274" t="str">
        <f t="shared" si="764"/>
        <v/>
      </c>
      <c r="M2274" s="6" t="str">
        <f t="shared" si="765"/>
        <v/>
      </c>
      <c r="N2274" t="str">
        <f t="shared" si="761"/>
        <v>Away</v>
      </c>
      <c r="O2274">
        <v>44</v>
      </c>
      <c r="P2274" t="s">
        <v>425</v>
      </c>
      <c r="Y2274" t="str">
        <f t="shared" si="748"/>
        <v/>
      </c>
      <c r="Z2274" t="str">
        <f t="shared" si="749"/>
        <v/>
      </c>
      <c r="AC2274" t="str">
        <f t="shared" si="745"/>
        <v>Turnover</v>
      </c>
      <c r="AD2274" t="str">
        <f t="shared" si="746"/>
        <v>Turnover_Takeaway</v>
      </c>
      <c r="AE2274" t="str">
        <f t="shared" si="747"/>
        <v>Takeaway-PokeCheck</v>
      </c>
      <c r="AF2274" t="str">
        <f t="shared" si="750"/>
        <v>Offensive</v>
      </c>
      <c r="AG2274">
        <f t="shared" si="756"/>
        <v>18981</v>
      </c>
      <c r="AH2274" t="str">
        <f t="shared" si="757"/>
        <v>Nelson</v>
      </c>
      <c r="AI2274" t="str">
        <f t="shared" si="758"/>
        <v>Velodrome</v>
      </c>
      <c r="AJ2274" s="18">
        <f t="shared" si="751"/>
        <v>0</v>
      </c>
      <c r="AP2274" s="18">
        <f t="shared" si="752"/>
        <v>0</v>
      </c>
      <c r="AQ2274">
        <f t="shared" si="753"/>
        <v>2160</v>
      </c>
      <c r="AR2274" s="23">
        <f t="shared" si="754"/>
        <v>3023</v>
      </c>
      <c r="AS2274">
        <f t="shared" si="759"/>
        <v>3018</v>
      </c>
      <c r="AT2274" s="21">
        <f t="shared" si="760"/>
        <v>3023</v>
      </c>
      <c r="AU2274" s="21"/>
      <c r="AV2274" s="21"/>
      <c r="AW2274" s="21"/>
    </row>
    <row r="2275" spans="1:49" x14ac:dyDescent="0.2">
      <c r="A2275">
        <v>1209</v>
      </c>
      <c r="E2275">
        <f t="shared" si="755"/>
        <v>3</v>
      </c>
      <c r="F2275" s="5" t="s">
        <v>531</v>
      </c>
      <c r="G2275" s="5" t="s">
        <v>507</v>
      </c>
      <c r="H2275" s="5" t="s">
        <v>531</v>
      </c>
      <c r="I2275" s="7" t="s">
        <v>506</v>
      </c>
      <c r="J2275" t="str">
        <f t="shared" si="762"/>
        <v>3</v>
      </c>
      <c r="K2275" t="str">
        <f t="shared" si="763"/>
        <v>35</v>
      </c>
      <c r="L2275" t="str">
        <f t="shared" si="764"/>
        <v>3</v>
      </c>
      <c r="M2275" s="6" t="str">
        <f t="shared" si="765"/>
        <v>34</v>
      </c>
      <c r="N2275" t="s">
        <v>179</v>
      </c>
      <c r="O2275">
        <v>14</v>
      </c>
      <c r="P2275" t="s">
        <v>424</v>
      </c>
      <c r="Q2275" t="s">
        <v>277</v>
      </c>
      <c r="R2275" t="s">
        <v>201</v>
      </c>
      <c r="S2275" t="s">
        <v>90</v>
      </c>
      <c r="Y2275" t="str">
        <f t="shared" si="748"/>
        <v/>
      </c>
      <c r="Z2275" t="str">
        <f t="shared" si="749"/>
        <v/>
      </c>
      <c r="AC2275" t="str">
        <f t="shared" si="745"/>
        <v>Zone_Entry_Exit</v>
      </c>
      <c r="AD2275" t="str">
        <f t="shared" si="746"/>
        <v>Zone_Exit</v>
      </c>
      <c r="AE2275" t="str">
        <f t="shared" si="747"/>
        <v>ZoneExit-Rush</v>
      </c>
      <c r="AF2275" t="str">
        <f t="shared" si="750"/>
        <v>Offensive</v>
      </c>
      <c r="AG2275">
        <f t="shared" si="756"/>
        <v>18981</v>
      </c>
      <c r="AH2275" t="str">
        <f t="shared" si="757"/>
        <v>Nelson</v>
      </c>
      <c r="AI2275" t="str">
        <f t="shared" si="758"/>
        <v>Velodrome</v>
      </c>
      <c r="AJ2275" s="18">
        <f t="shared" si="751"/>
        <v>1</v>
      </c>
      <c r="AP2275" s="18">
        <f t="shared" si="752"/>
        <v>0</v>
      </c>
      <c r="AQ2275">
        <f t="shared" si="753"/>
        <v>2160</v>
      </c>
      <c r="AR2275" s="23">
        <f t="shared" si="754"/>
        <v>3025</v>
      </c>
      <c r="AS2275">
        <f t="shared" si="759"/>
        <v>3020</v>
      </c>
      <c r="AT2275" s="21">
        <f t="shared" si="760"/>
        <v>3026</v>
      </c>
      <c r="AU2275" s="21"/>
      <c r="AV2275" s="21"/>
      <c r="AW2275" s="21"/>
    </row>
    <row r="2276" spans="1:49" x14ac:dyDescent="0.2">
      <c r="A2276">
        <v>1209</v>
      </c>
      <c r="E2276">
        <f t="shared" si="755"/>
        <v>3</v>
      </c>
      <c r="J2276" t="str">
        <f t="shared" si="762"/>
        <v>3</v>
      </c>
      <c r="K2276" t="str">
        <f t="shared" si="763"/>
        <v>35</v>
      </c>
      <c r="L2276" t="str">
        <f t="shared" si="764"/>
        <v>3</v>
      </c>
      <c r="M2276" s="6" t="str">
        <f t="shared" si="765"/>
        <v>34</v>
      </c>
      <c r="N2276" t="str">
        <f t="shared" si="761"/>
        <v>Away</v>
      </c>
      <c r="O2276">
        <v>44</v>
      </c>
      <c r="P2276" t="s">
        <v>425</v>
      </c>
      <c r="Y2276" t="str">
        <f t="shared" si="748"/>
        <v/>
      </c>
      <c r="Z2276" t="str">
        <f t="shared" si="749"/>
        <v/>
      </c>
      <c r="AC2276" t="str">
        <f t="shared" si="745"/>
        <v>Zone_Entry_Exit</v>
      </c>
      <c r="AD2276" t="str">
        <f t="shared" si="746"/>
        <v>Zone_Exit</v>
      </c>
      <c r="AE2276" t="str">
        <f t="shared" si="747"/>
        <v>ZoneExit-Rush</v>
      </c>
      <c r="AF2276" t="str">
        <f t="shared" si="750"/>
        <v>Defensive</v>
      </c>
      <c r="AG2276">
        <f t="shared" si="756"/>
        <v>18981</v>
      </c>
      <c r="AH2276" t="str">
        <f t="shared" si="757"/>
        <v>Nelson</v>
      </c>
      <c r="AI2276" t="str">
        <f t="shared" si="758"/>
        <v>Velodrome</v>
      </c>
      <c r="AJ2276" s="18">
        <f t="shared" si="751"/>
        <v>1</v>
      </c>
      <c r="AP2276" s="18">
        <f t="shared" si="752"/>
        <v>0</v>
      </c>
      <c r="AQ2276">
        <f t="shared" si="753"/>
        <v>2160</v>
      </c>
      <c r="AR2276" s="23">
        <f t="shared" si="754"/>
        <v>3025</v>
      </c>
      <c r="AS2276">
        <f t="shared" si="759"/>
        <v>3020</v>
      </c>
      <c r="AT2276" s="21">
        <f t="shared" si="760"/>
        <v>3026</v>
      </c>
      <c r="AU2276" s="21"/>
      <c r="AV2276" s="21"/>
      <c r="AW2276" s="21"/>
    </row>
    <row r="2277" spans="1:49" x14ac:dyDescent="0.2">
      <c r="A2277">
        <v>1210</v>
      </c>
      <c r="E2277">
        <f t="shared" si="755"/>
        <v>3</v>
      </c>
      <c r="F2277" s="5" t="s">
        <v>531</v>
      </c>
      <c r="G2277" s="5" t="s">
        <v>506</v>
      </c>
      <c r="J2277" t="str">
        <f t="shared" si="762"/>
        <v>3</v>
      </c>
      <c r="K2277" t="str">
        <f t="shared" si="763"/>
        <v>34</v>
      </c>
      <c r="L2277" t="str">
        <f t="shared" si="764"/>
        <v/>
      </c>
      <c r="M2277" s="6" t="str">
        <f t="shared" si="765"/>
        <v/>
      </c>
      <c r="N2277" t="s">
        <v>178</v>
      </c>
      <c r="O2277">
        <v>44</v>
      </c>
      <c r="P2277" t="s">
        <v>424</v>
      </c>
      <c r="Q2277" t="s">
        <v>544</v>
      </c>
      <c r="Y2277" t="str">
        <f t="shared" si="748"/>
        <v/>
      </c>
      <c r="Z2277" t="str">
        <f t="shared" si="749"/>
        <v/>
      </c>
      <c r="AC2277" t="str">
        <f t="shared" si="745"/>
        <v>Penalty_Delayed</v>
      </c>
      <c r="AD2277" t="str">
        <f t="shared" si="746"/>
        <v/>
      </c>
      <c r="AE2277" t="str">
        <f t="shared" si="747"/>
        <v/>
      </c>
      <c r="AF2277" t="str">
        <f t="shared" si="750"/>
        <v>Offensive</v>
      </c>
      <c r="AG2277">
        <f t="shared" si="756"/>
        <v>18981</v>
      </c>
      <c r="AH2277" t="str">
        <f t="shared" si="757"/>
        <v>Nelson</v>
      </c>
      <c r="AI2277" t="str">
        <f t="shared" si="758"/>
        <v>Velodrome</v>
      </c>
      <c r="AJ2277" s="18">
        <f t="shared" si="751"/>
        <v>0</v>
      </c>
      <c r="AP2277" s="18">
        <f t="shared" si="752"/>
        <v>0</v>
      </c>
      <c r="AQ2277">
        <f t="shared" si="753"/>
        <v>2160</v>
      </c>
      <c r="AR2277" s="23">
        <f t="shared" si="754"/>
        <v>3026</v>
      </c>
      <c r="AS2277">
        <f t="shared" si="759"/>
        <v>3021</v>
      </c>
      <c r="AT2277" s="21">
        <f t="shared" si="760"/>
        <v>3026</v>
      </c>
      <c r="AU2277" s="21"/>
      <c r="AV2277" s="21"/>
      <c r="AW2277" s="21"/>
    </row>
    <row r="2278" spans="1:49" x14ac:dyDescent="0.2">
      <c r="A2278">
        <v>1210</v>
      </c>
      <c r="E2278">
        <f t="shared" si="755"/>
        <v>3</v>
      </c>
      <c r="J2278" t="str">
        <f t="shared" si="762"/>
        <v>3</v>
      </c>
      <c r="K2278" t="str">
        <f t="shared" si="763"/>
        <v>34</v>
      </c>
      <c r="L2278" t="str">
        <f t="shared" si="764"/>
        <v/>
      </c>
      <c r="M2278" s="6" t="str">
        <f t="shared" si="765"/>
        <v/>
      </c>
      <c r="N2278" t="str">
        <f t="shared" si="761"/>
        <v>Home</v>
      </c>
      <c r="O2278">
        <v>14</v>
      </c>
      <c r="P2278" t="s">
        <v>425</v>
      </c>
      <c r="Y2278" t="str">
        <f t="shared" si="748"/>
        <v/>
      </c>
      <c r="Z2278" t="str">
        <f t="shared" si="749"/>
        <v/>
      </c>
      <c r="AC2278" t="str">
        <f t="shared" si="745"/>
        <v>Penalty_Delayed</v>
      </c>
      <c r="AD2278" t="str">
        <f t="shared" si="746"/>
        <v/>
      </c>
      <c r="AE2278" t="str">
        <f t="shared" si="747"/>
        <v/>
      </c>
      <c r="AF2278" t="str">
        <f t="shared" si="750"/>
        <v>Defensive</v>
      </c>
      <c r="AG2278">
        <f t="shared" si="756"/>
        <v>18981</v>
      </c>
      <c r="AH2278" t="str">
        <f t="shared" si="757"/>
        <v>Nelson</v>
      </c>
      <c r="AI2278" t="str">
        <f t="shared" si="758"/>
        <v>Velodrome</v>
      </c>
      <c r="AJ2278" s="18">
        <f t="shared" si="751"/>
        <v>0</v>
      </c>
      <c r="AP2278" s="18">
        <f t="shared" si="752"/>
        <v>0</v>
      </c>
      <c r="AQ2278">
        <f t="shared" si="753"/>
        <v>2160</v>
      </c>
      <c r="AR2278" s="23">
        <f t="shared" si="754"/>
        <v>3026</v>
      </c>
      <c r="AS2278">
        <f t="shared" si="759"/>
        <v>3021</v>
      </c>
      <c r="AT2278" s="21">
        <f t="shared" si="760"/>
        <v>3026</v>
      </c>
      <c r="AU2278" s="21"/>
      <c r="AV2278" s="21"/>
      <c r="AW2278" s="21"/>
    </row>
    <row r="2279" spans="1:49" x14ac:dyDescent="0.2">
      <c r="A2279">
        <v>1211</v>
      </c>
      <c r="E2279">
        <f t="shared" si="755"/>
        <v>3</v>
      </c>
      <c r="F2279" s="5" t="s">
        <v>531</v>
      </c>
      <c r="G2279" s="5" t="s">
        <v>506</v>
      </c>
      <c r="H2279" s="5" t="s">
        <v>531</v>
      </c>
      <c r="I2279" s="7" t="s">
        <v>504</v>
      </c>
      <c r="J2279" t="str">
        <f t="shared" si="762"/>
        <v>3</v>
      </c>
      <c r="K2279" t="str">
        <f t="shared" si="763"/>
        <v>34</v>
      </c>
      <c r="L2279" t="str">
        <f t="shared" si="764"/>
        <v>3</v>
      </c>
      <c r="M2279" s="6" t="str">
        <f t="shared" si="765"/>
        <v>32</v>
      </c>
      <c r="N2279" t="s">
        <v>179</v>
      </c>
      <c r="O2279">
        <v>49</v>
      </c>
      <c r="P2279" t="s">
        <v>424</v>
      </c>
      <c r="Q2279" t="s">
        <v>15</v>
      </c>
      <c r="Y2279" t="str">
        <f t="shared" si="748"/>
        <v/>
      </c>
      <c r="Z2279" t="str">
        <f t="shared" si="749"/>
        <v/>
      </c>
      <c r="AC2279" t="str">
        <f t="shared" si="745"/>
        <v>Possession</v>
      </c>
      <c r="AD2279" t="str">
        <f t="shared" si="746"/>
        <v/>
      </c>
      <c r="AE2279" t="str">
        <f t="shared" si="747"/>
        <v/>
      </c>
      <c r="AF2279" t="str">
        <f t="shared" si="750"/>
        <v>Offensive</v>
      </c>
      <c r="AG2279">
        <f t="shared" si="756"/>
        <v>18981</v>
      </c>
      <c r="AH2279" t="str">
        <f t="shared" si="757"/>
        <v>Nelson</v>
      </c>
      <c r="AI2279" t="str">
        <f t="shared" si="758"/>
        <v>Velodrome</v>
      </c>
      <c r="AJ2279" s="18">
        <f t="shared" si="751"/>
        <v>2</v>
      </c>
      <c r="AP2279" s="18">
        <f t="shared" si="752"/>
        <v>0</v>
      </c>
      <c r="AQ2279">
        <f t="shared" si="753"/>
        <v>2160</v>
      </c>
      <c r="AR2279" s="23">
        <f t="shared" si="754"/>
        <v>3026</v>
      </c>
      <c r="AS2279">
        <f t="shared" si="759"/>
        <v>3021</v>
      </c>
      <c r="AT2279" s="21">
        <f t="shared" si="760"/>
        <v>3028</v>
      </c>
      <c r="AU2279" s="21"/>
      <c r="AV2279" s="21"/>
      <c r="AW2279" s="21"/>
    </row>
    <row r="2280" spans="1:49" x14ac:dyDescent="0.2">
      <c r="A2280">
        <v>1212</v>
      </c>
      <c r="E2280">
        <f t="shared" si="755"/>
        <v>3</v>
      </c>
      <c r="F2280" s="5" t="s">
        <v>531</v>
      </c>
      <c r="G2280" s="5" t="s">
        <v>504</v>
      </c>
      <c r="H2280" s="5" t="s">
        <v>531</v>
      </c>
      <c r="I2280" s="7" t="s">
        <v>502</v>
      </c>
      <c r="J2280" t="str">
        <f t="shared" si="762"/>
        <v>3</v>
      </c>
      <c r="K2280" t="str">
        <f t="shared" si="763"/>
        <v>32</v>
      </c>
      <c r="L2280" t="str">
        <f t="shared" si="764"/>
        <v>3</v>
      </c>
      <c r="M2280" s="6" t="str">
        <f t="shared" si="765"/>
        <v>30</v>
      </c>
      <c r="N2280" t="s">
        <v>179</v>
      </c>
      <c r="O2280">
        <v>49</v>
      </c>
      <c r="P2280" t="s">
        <v>424</v>
      </c>
      <c r="Q2280" t="s">
        <v>277</v>
      </c>
      <c r="R2280" t="s">
        <v>191</v>
      </c>
      <c r="S2280" t="s">
        <v>87</v>
      </c>
      <c r="Y2280" t="str">
        <f t="shared" si="748"/>
        <v/>
      </c>
      <c r="Z2280" t="str">
        <f t="shared" si="749"/>
        <v/>
      </c>
      <c r="AC2280" t="str">
        <f t="shared" si="745"/>
        <v>Zone_Entry_Exit</v>
      </c>
      <c r="AD2280" t="str">
        <f t="shared" si="746"/>
        <v>Zone_Entry</v>
      </c>
      <c r="AE2280" t="str">
        <f t="shared" si="747"/>
        <v>ZoneEntry-Rush</v>
      </c>
      <c r="AF2280" t="str">
        <f t="shared" si="750"/>
        <v>Offensive</v>
      </c>
      <c r="AG2280">
        <f t="shared" si="756"/>
        <v>18981</v>
      </c>
      <c r="AH2280" t="str">
        <f t="shared" si="757"/>
        <v>Nelson</v>
      </c>
      <c r="AI2280" t="str">
        <f t="shared" si="758"/>
        <v>Velodrome</v>
      </c>
      <c r="AJ2280" s="18">
        <f t="shared" si="751"/>
        <v>2</v>
      </c>
      <c r="AP2280" s="18">
        <f t="shared" si="752"/>
        <v>0</v>
      </c>
      <c r="AQ2280">
        <f t="shared" si="753"/>
        <v>2160</v>
      </c>
      <c r="AR2280" s="23">
        <f t="shared" si="754"/>
        <v>3028</v>
      </c>
      <c r="AS2280">
        <f t="shared" si="759"/>
        <v>3023</v>
      </c>
      <c r="AT2280" s="21">
        <f t="shared" si="760"/>
        <v>3030</v>
      </c>
      <c r="AU2280" s="21"/>
      <c r="AV2280" s="21"/>
      <c r="AW2280" s="21"/>
    </row>
    <row r="2281" spans="1:49" x14ac:dyDescent="0.2">
      <c r="A2281">
        <v>1212</v>
      </c>
      <c r="E2281">
        <f t="shared" si="755"/>
        <v>3</v>
      </c>
      <c r="J2281" t="str">
        <f t="shared" si="762"/>
        <v>3</v>
      </c>
      <c r="K2281" t="str">
        <f t="shared" si="763"/>
        <v>32</v>
      </c>
      <c r="L2281" t="str">
        <f t="shared" si="764"/>
        <v>3</v>
      </c>
      <c r="M2281" s="6" t="str">
        <f t="shared" si="765"/>
        <v>30</v>
      </c>
      <c r="N2281" t="str">
        <f t="shared" si="761"/>
        <v>Away</v>
      </c>
      <c r="O2281">
        <v>23</v>
      </c>
      <c r="P2281" t="s">
        <v>425</v>
      </c>
      <c r="Y2281" t="str">
        <f t="shared" si="748"/>
        <v/>
      </c>
      <c r="Z2281" t="str">
        <f t="shared" si="749"/>
        <v/>
      </c>
      <c r="AC2281" t="str">
        <f t="shared" si="745"/>
        <v>Zone_Entry_Exit</v>
      </c>
      <c r="AD2281" t="str">
        <f t="shared" si="746"/>
        <v>Zone_Entry</v>
      </c>
      <c r="AE2281" t="str">
        <f t="shared" si="747"/>
        <v>ZoneEntry-Rush</v>
      </c>
      <c r="AF2281" t="str">
        <f t="shared" si="750"/>
        <v>Defensive</v>
      </c>
      <c r="AG2281">
        <f t="shared" si="756"/>
        <v>18981</v>
      </c>
      <c r="AH2281" t="str">
        <f t="shared" si="757"/>
        <v>Nelson</v>
      </c>
      <c r="AI2281" t="str">
        <f t="shared" si="758"/>
        <v>Velodrome</v>
      </c>
      <c r="AJ2281" s="18">
        <f t="shared" si="751"/>
        <v>2</v>
      </c>
      <c r="AP2281" s="18">
        <f t="shared" si="752"/>
        <v>0</v>
      </c>
      <c r="AQ2281">
        <f t="shared" si="753"/>
        <v>2160</v>
      </c>
      <c r="AR2281" s="23">
        <f t="shared" si="754"/>
        <v>3028</v>
      </c>
      <c r="AS2281">
        <f t="shared" si="759"/>
        <v>3023</v>
      </c>
      <c r="AT2281" s="21">
        <f t="shared" si="760"/>
        <v>3030</v>
      </c>
      <c r="AU2281" s="21"/>
      <c r="AV2281" s="21"/>
      <c r="AW2281" s="21"/>
    </row>
    <row r="2282" spans="1:49" x14ac:dyDescent="0.2">
      <c r="A2282">
        <v>1212</v>
      </c>
      <c r="E2282">
        <f t="shared" si="755"/>
        <v>3</v>
      </c>
      <c r="J2282" t="str">
        <f t="shared" si="762"/>
        <v>3</v>
      </c>
      <c r="K2282" t="str">
        <f t="shared" si="763"/>
        <v>32</v>
      </c>
      <c r="L2282" t="str">
        <f t="shared" si="764"/>
        <v>3</v>
      </c>
      <c r="M2282" s="6" t="str">
        <f t="shared" si="765"/>
        <v>30</v>
      </c>
      <c r="N2282" t="str">
        <f t="shared" si="761"/>
        <v>Away</v>
      </c>
      <c r="O2282">
        <v>37</v>
      </c>
      <c r="P2282" t="s">
        <v>425</v>
      </c>
      <c r="Y2282" t="str">
        <f t="shared" si="748"/>
        <v/>
      </c>
      <c r="Z2282" t="str">
        <f t="shared" si="749"/>
        <v/>
      </c>
      <c r="AC2282" t="str">
        <f t="shared" si="745"/>
        <v>Zone_Entry_Exit</v>
      </c>
      <c r="AD2282" t="str">
        <f t="shared" si="746"/>
        <v>Zone_Entry</v>
      </c>
      <c r="AE2282" t="str">
        <f t="shared" si="747"/>
        <v>ZoneEntry-Rush</v>
      </c>
      <c r="AF2282" t="str">
        <f t="shared" si="750"/>
        <v>Defensive</v>
      </c>
      <c r="AG2282">
        <f t="shared" si="756"/>
        <v>18981</v>
      </c>
      <c r="AH2282" t="str">
        <f t="shared" si="757"/>
        <v>Nelson</v>
      </c>
      <c r="AI2282" t="str">
        <f t="shared" si="758"/>
        <v>Velodrome</v>
      </c>
      <c r="AJ2282" s="18">
        <f t="shared" si="751"/>
        <v>2</v>
      </c>
      <c r="AP2282" s="18">
        <f t="shared" si="752"/>
        <v>0</v>
      </c>
      <c r="AQ2282">
        <f t="shared" si="753"/>
        <v>2160</v>
      </c>
      <c r="AR2282" s="23">
        <f t="shared" si="754"/>
        <v>3028</v>
      </c>
      <c r="AS2282">
        <f t="shared" si="759"/>
        <v>3023</v>
      </c>
      <c r="AT2282" s="21">
        <f t="shared" si="760"/>
        <v>3030</v>
      </c>
      <c r="AU2282" s="21"/>
      <c r="AV2282" s="21"/>
      <c r="AW2282" s="21"/>
    </row>
    <row r="2283" spans="1:49" x14ac:dyDescent="0.2">
      <c r="A2283">
        <v>1213</v>
      </c>
      <c r="E2283">
        <f t="shared" si="755"/>
        <v>3</v>
      </c>
      <c r="F2283" s="5" t="s">
        <v>531</v>
      </c>
      <c r="G2283" s="5" t="s">
        <v>502</v>
      </c>
      <c r="J2283" t="str">
        <f t="shared" si="762"/>
        <v>3</v>
      </c>
      <c r="K2283" t="str">
        <f t="shared" si="763"/>
        <v>30</v>
      </c>
      <c r="L2283" t="str">
        <f t="shared" si="764"/>
        <v/>
      </c>
      <c r="M2283" s="6" t="str">
        <f t="shared" si="765"/>
        <v/>
      </c>
      <c r="N2283" t="s">
        <v>179</v>
      </c>
      <c r="O2283">
        <v>49</v>
      </c>
      <c r="P2283" t="s">
        <v>424</v>
      </c>
      <c r="Q2283" t="s">
        <v>8</v>
      </c>
      <c r="R2283" t="s">
        <v>189</v>
      </c>
      <c r="S2283" t="s">
        <v>69</v>
      </c>
      <c r="Y2283" t="str">
        <f t="shared" si="748"/>
        <v/>
      </c>
      <c r="Z2283" t="str">
        <f t="shared" si="749"/>
        <v/>
      </c>
      <c r="AC2283" t="str">
        <f t="shared" si="745"/>
        <v>Pass</v>
      </c>
      <c r="AD2283" t="str">
        <f t="shared" si="746"/>
        <v>Pass_Completed</v>
      </c>
      <c r="AE2283" t="str">
        <f t="shared" si="747"/>
        <v>Pass-Backhand</v>
      </c>
      <c r="AF2283" t="str">
        <f t="shared" si="750"/>
        <v>Offensive</v>
      </c>
      <c r="AG2283">
        <f t="shared" si="756"/>
        <v>18981</v>
      </c>
      <c r="AH2283" t="str">
        <f t="shared" si="757"/>
        <v>Nelson</v>
      </c>
      <c r="AI2283" t="str">
        <f t="shared" si="758"/>
        <v>Velodrome</v>
      </c>
      <c r="AJ2283" s="18">
        <f t="shared" si="751"/>
        <v>0</v>
      </c>
      <c r="AP2283" s="18">
        <f t="shared" si="752"/>
        <v>0</v>
      </c>
      <c r="AQ2283">
        <f t="shared" si="753"/>
        <v>2160</v>
      </c>
      <c r="AR2283" s="23">
        <f t="shared" si="754"/>
        <v>3030</v>
      </c>
      <c r="AS2283">
        <f t="shared" si="759"/>
        <v>3025</v>
      </c>
      <c r="AT2283" s="21">
        <f t="shared" si="760"/>
        <v>3030</v>
      </c>
      <c r="AU2283" s="21"/>
      <c r="AV2283" s="21"/>
      <c r="AW2283" s="21"/>
    </row>
    <row r="2284" spans="1:49" x14ac:dyDescent="0.2">
      <c r="A2284">
        <v>1213</v>
      </c>
      <c r="E2284">
        <f t="shared" si="755"/>
        <v>3</v>
      </c>
      <c r="J2284" t="str">
        <f t="shared" si="762"/>
        <v>3</v>
      </c>
      <c r="K2284" t="str">
        <f t="shared" si="763"/>
        <v>30</v>
      </c>
      <c r="L2284" t="str">
        <f t="shared" si="764"/>
        <v/>
      </c>
      <c r="M2284" s="6" t="str">
        <f t="shared" si="765"/>
        <v/>
      </c>
      <c r="N2284" t="str">
        <f t="shared" si="761"/>
        <v>Away</v>
      </c>
      <c r="O2284">
        <v>61</v>
      </c>
      <c r="P2284" t="s">
        <v>424</v>
      </c>
      <c r="Y2284" t="str">
        <f t="shared" si="748"/>
        <v/>
      </c>
      <c r="Z2284" t="str">
        <f t="shared" si="749"/>
        <v/>
      </c>
      <c r="AC2284" t="str">
        <f t="shared" si="745"/>
        <v>Pass</v>
      </c>
      <c r="AD2284" t="str">
        <f t="shared" si="746"/>
        <v>Pass_Completed</v>
      </c>
      <c r="AE2284" t="str">
        <f t="shared" si="747"/>
        <v>Pass-Backhand</v>
      </c>
      <c r="AF2284" t="str">
        <f t="shared" si="750"/>
        <v>Offensive</v>
      </c>
      <c r="AG2284">
        <f t="shared" si="756"/>
        <v>18981</v>
      </c>
      <c r="AH2284" t="str">
        <f t="shared" si="757"/>
        <v>Nelson</v>
      </c>
      <c r="AI2284" t="str">
        <f t="shared" si="758"/>
        <v>Velodrome</v>
      </c>
      <c r="AJ2284" s="18">
        <f t="shared" si="751"/>
        <v>0</v>
      </c>
      <c r="AP2284" s="18">
        <f t="shared" si="752"/>
        <v>0</v>
      </c>
      <c r="AQ2284">
        <f t="shared" si="753"/>
        <v>2160</v>
      </c>
      <c r="AR2284" s="23">
        <f t="shared" si="754"/>
        <v>3030</v>
      </c>
      <c r="AS2284">
        <f t="shared" si="759"/>
        <v>3025</v>
      </c>
      <c r="AT2284" s="21">
        <f t="shared" si="760"/>
        <v>3030</v>
      </c>
      <c r="AU2284" s="21"/>
      <c r="AV2284" s="21"/>
      <c r="AW2284" s="21"/>
    </row>
    <row r="2285" spans="1:49" x14ac:dyDescent="0.2">
      <c r="A2285">
        <v>1214</v>
      </c>
      <c r="E2285">
        <f t="shared" si="755"/>
        <v>3</v>
      </c>
      <c r="F2285" s="5" t="s">
        <v>531</v>
      </c>
      <c r="G2285" s="5" t="s">
        <v>502</v>
      </c>
      <c r="H2285" s="5" t="s">
        <v>531</v>
      </c>
      <c r="I2285" s="7" t="s">
        <v>500</v>
      </c>
      <c r="J2285" t="str">
        <f t="shared" si="762"/>
        <v>3</v>
      </c>
      <c r="K2285" t="str">
        <f t="shared" si="763"/>
        <v>30</v>
      </c>
      <c r="L2285" t="str">
        <f t="shared" si="764"/>
        <v>3</v>
      </c>
      <c r="M2285" s="6" t="str">
        <f t="shared" si="765"/>
        <v>28</v>
      </c>
      <c r="N2285" t="s">
        <v>179</v>
      </c>
      <c r="O2285">
        <v>61</v>
      </c>
      <c r="P2285" t="s">
        <v>424</v>
      </c>
      <c r="Q2285" t="s">
        <v>15</v>
      </c>
      <c r="Y2285" t="str">
        <f t="shared" si="748"/>
        <v/>
      </c>
      <c r="Z2285" t="str">
        <f t="shared" si="749"/>
        <v/>
      </c>
      <c r="AC2285" t="str">
        <f t="shared" si="745"/>
        <v>Possession</v>
      </c>
      <c r="AD2285" t="str">
        <f t="shared" si="746"/>
        <v/>
      </c>
      <c r="AE2285" t="str">
        <f t="shared" si="747"/>
        <v/>
      </c>
      <c r="AF2285" t="str">
        <f t="shared" si="750"/>
        <v>Offensive</v>
      </c>
      <c r="AG2285">
        <f t="shared" si="756"/>
        <v>18981</v>
      </c>
      <c r="AH2285" t="str">
        <f t="shared" si="757"/>
        <v>Nelson</v>
      </c>
      <c r="AI2285" t="str">
        <f t="shared" si="758"/>
        <v>Velodrome</v>
      </c>
      <c r="AJ2285" s="18">
        <f t="shared" si="751"/>
        <v>2</v>
      </c>
      <c r="AP2285" s="18">
        <f t="shared" si="752"/>
        <v>0</v>
      </c>
      <c r="AQ2285">
        <f t="shared" si="753"/>
        <v>2160</v>
      </c>
      <c r="AR2285" s="23">
        <f t="shared" si="754"/>
        <v>3030</v>
      </c>
      <c r="AS2285">
        <f t="shared" si="759"/>
        <v>3025</v>
      </c>
      <c r="AT2285" s="21">
        <f t="shared" si="760"/>
        <v>3032</v>
      </c>
      <c r="AU2285" s="21"/>
      <c r="AV2285" s="21"/>
      <c r="AW2285" s="21"/>
    </row>
    <row r="2286" spans="1:49" x14ac:dyDescent="0.2">
      <c r="A2286">
        <v>1215</v>
      </c>
      <c r="E2286">
        <f t="shared" si="755"/>
        <v>3</v>
      </c>
      <c r="F2286" s="5" t="s">
        <v>531</v>
      </c>
      <c r="G2286" s="5" t="s">
        <v>500</v>
      </c>
      <c r="J2286" t="str">
        <f t="shared" si="762"/>
        <v>3</v>
      </c>
      <c r="K2286" t="str">
        <f t="shared" si="763"/>
        <v>28</v>
      </c>
      <c r="L2286" t="str">
        <f t="shared" si="764"/>
        <v/>
      </c>
      <c r="M2286" s="6" t="str">
        <f t="shared" si="765"/>
        <v/>
      </c>
      <c r="N2286" t="s">
        <v>179</v>
      </c>
      <c r="O2286">
        <v>61</v>
      </c>
      <c r="P2286" t="s">
        <v>424</v>
      </c>
      <c r="Q2286" t="s">
        <v>7</v>
      </c>
      <c r="R2286" t="s">
        <v>198</v>
      </c>
      <c r="S2286" t="s">
        <v>53</v>
      </c>
      <c r="Y2286" t="str">
        <f t="shared" si="748"/>
        <v/>
      </c>
      <c r="Z2286" t="str">
        <f t="shared" si="749"/>
        <v/>
      </c>
      <c r="AC2286" t="str">
        <f t="shared" si="745"/>
        <v>Shot</v>
      </c>
      <c r="AD2286" t="str">
        <f t="shared" si="746"/>
        <v>Shot_Missed</v>
      </c>
      <c r="AE2286" t="str">
        <f t="shared" si="747"/>
        <v>Shot-Wrist</v>
      </c>
      <c r="AF2286" t="str">
        <f t="shared" si="750"/>
        <v>Offensive</v>
      </c>
      <c r="AG2286">
        <f t="shared" si="756"/>
        <v>18981</v>
      </c>
      <c r="AH2286" t="str">
        <f t="shared" si="757"/>
        <v>Nelson</v>
      </c>
      <c r="AI2286" t="str">
        <f t="shared" si="758"/>
        <v>Velodrome</v>
      </c>
      <c r="AJ2286" s="18">
        <f t="shared" si="751"/>
        <v>0</v>
      </c>
      <c r="AP2286" s="18">
        <f t="shared" si="752"/>
        <v>0</v>
      </c>
      <c r="AQ2286">
        <f t="shared" si="753"/>
        <v>2160</v>
      </c>
      <c r="AR2286" s="23">
        <f t="shared" si="754"/>
        <v>3032</v>
      </c>
      <c r="AS2286">
        <f t="shared" si="759"/>
        <v>3027</v>
      </c>
      <c r="AT2286" s="21">
        <f t="shared" si="760"/>
        <v>3032</v>
      </c>
      <c r="AU2286" s="21"/>
      <c r="AV2286" s="21"/>
      <c r="AW2286" s="21"/>
    </row>
    <row r="2287" spans="1:49" x14ac:dyDescent="0.2">
      <c r="A2287">
        <v>1216</v>
      </c>
      <c r="E2287">
        <f t="shared" si="755"/>
        <v>3</v>
      </c>
      <c r="F2287" s="5" t="s">
        <v>531</v>
      </c>
      <c r="G2287" s="5" t="s">
        <v>499</v>
      </c>
      <c r="J2287" t="str">
        <f t="shared" si="762"/>
        <v>3</v>
      </c>
      <c r="K2287" t="str">
        <f t="shared" si="763"/>
        <v>27</v>
      </c>
      <c r="L2287" t="str">
        <f t="shared" si="764"/>
        <v/>
      </c>
      <c r="M2287" s="6" t="str">
        <f t="shared" si="765"/>
        <v/>
      </c>
      <c r="N2287" t="s">
        <v>179</v>
      </c>
      <c r="O2287">
        <v>14</v>
      </c>
      <c r="P2287" t="s">
        <v>424</v>
      </c>
      <c r="Q2287" t="s">
        <v>8</v>
      </c>
      <c r="R2287" t="s">
        <v>189</v>
      </c>
      <c r="S2287" t="s">
        <v>68</v>
      </c>
      <c r="Y2287" t="str">
        <f t="shared" si="748"/>
        <v/>
      </c>
      <c r="Z2287" t="str">
        <f t="shared" si="749"/>
        <v/>
      </c>
      <c r="AC2287" t="str">
        <f t="shared" ref="AC2287:AC2350" si="766">IF(Q2287&lt;&gt;"",Q2287,IF($A2287=$A2286,AC2286,""))</f>
        <v>Pass</v>
      </c>
      <c r="AD2287" t="str">
        <f t="shared" ref="AD2287:AD2350" si="767">IF(R2287&lt;&gt;"",R2287,IF($A2287=$A2286,AD2286,""))</f>
        <v>Pass_Completed</v>
      </c>
      <c r="AE2287" t="str">
        <f t="shared" ref="AE2287:AE2350" si="768">IF(S2287&lt;&gt;"",S2287,IF($A2287=$A2286,AE2286,""))</f>
        <v>Pass-Rim/Wrap</v>
      </c>
      <c r="AF2287" t="str">
        <f t="shared" si="750"/>
        <v>Offensive</v>
      </c>
      <c r="AG2287">
        <f t="shared" si="756"/>
        <v>18981</v>
      </c>
      <c r="AH2287" t="str">
        <f t="shared" si="757"/>
        <v>Nelson</v>
      </c>
      <c r="AI2287" t="str">
        <f t="shared" si="758"/>
        <v>Velodrome</v>
      </c>
      <c r="AJ2287" s="18">
        <f t="shared" si="751"/>
        <v>0</v>
      </c>
      <c r="AP2287" s="18">
        <f t="shared" si="752"/>
        <v>0</v>
      </c>
      <c r="AQ2287">
        <f t="shared" si="753"/>
        <v>2160</v>
      </c>
      <c r="AR2287" s="23">
        <f t="shared" si="754"/>
        <v>3033</v>
      </c>
      <c r="AS2287">
        <f t="shared" si="759"/>
        <v>3028</v>
      </c>
      <c r="AT2287" s="21">
        <f t="shared" si="760"/>
        <v>3033</v>
      </c>
      <c r="AU2287" s="21"/>
      <c r="AV2287" s="21"/>
      <c r="AW2287" s="21"/>
    </row>
    <row r="2288" spans="1:49" x14ac:dyDescent="0.2">
      <c r="A2288">
        <v>1216</v>
      </c>
      <c r="E2288">
        <f t="shared" si="755"/>
        <v>3</v>
      </c>
      <c r="J2288" t="str">
        <f t="shared" si="762"/>
        <v>3</v>
      </c>
      <c r="K2288" t="str">
        <f t="shared" si="763"/>
        <v>27</v>
      </c>
      <c r="L2288" t="str">
        <f t="shared" si="764"/>
        <v/>
      </c>
      <c r="M2288" s="6" t="str">
        <f t="shared" si="765"/>
        <v/>
      </c>
      <c r="N2288" t="str">
        <f t="shared" si="761"/>
        <v>Away</v>
      </c>
      <c r="O2288">
        <v>49</v>
      </c>
      <c r="P2288" t="s">
        <v>424</v>
      </c>
      <c r="Y2288" t="str">
        <f t="shared" si="748"/>
        <v/>
      </c>
      <c r="Z2288" t="str">
        <f t="shared" si="749"/>
        <v/>
      </c>
      <c r="AC2288" t="str">
        <f t="shared" si="766"/>
        <v>Pass</v>
      </c>
      <c r="AD2288" t="str">
        <f t="shared" si="767"/>
        <v>Pass_Completed</v>
      </c>
      <c r="AE2288" t="str">
        <f t="shared" si="768"/>
        <v>Pass-Rim/Wrap</v>
      </c>
      <c r="AF2288" t="str">
        <f t="shared" si="750"/>
        <v>Offensive</v>
      </c>
      <c r="AG2288">
        <f t="shared" si="756"/>
        <v>18981</v>
      </c>
      <c r="AH2288" t="str">
        <f t="shared" si="757"/>
        <v>Nelson</v>
      </c>
      <c r="AI2288" t="str">
        <f t="shared" si="758"/>
        <v>Velodrome</v>
      </c>
      <c r="AJ2288" s="18">
        <f t="shared" si="751"/>
        <v>0</v>
      </c>
      <c r="AP2288" s="18">
        <f t="shared" si="752"/>
        <v>0</v>
      </c>
      <c r="AQ2288">
        <f t="shared" si="753"/>
        <v>2160</v>
      </c>
      <c r="AR2288" s="23">
        <f t="shared" si="754"/>
        <v>3033</v>
      </c>
      <c r="AS2288">
        <f t="shared" si="759"/>
        <v>3028</v>
      </c>
      <c r="AT2288" s="21">
        <f t="shared" si="760"/>
        <v>3033</v>
      </c>
      <c r="AU2288" s="21"/>
      <c r="AV2288" s="21"/>
      <c r="AW2288" s="21"/>
    </row>
    <row r="2289" spans="1:49" x14ac:dyDescent="0.2">
      <c r="A2289">
        <v>1216</v>
      </c>
      <c r="E2289">
        <f t="shared" si="755"/>
        <v>3</v>
      </c>
      <c r="J2289" t="str">
        <f t="shared" si="762"/>
        <v>3</v>
      </c>
      <c r="K2289" t="str">
        <f t="shared" si="763"/>
        <v>27</v>
      </c>
      <c r="L2289" t="str">
        <f t="shared" si="764"/>
        <v/>
      </c>
      <c r="M2289" s="6" t="str">
        <f t="shared" si="765"/>
        <v/>
      </c>
      <c r="N2289" t="str">
        <f t="shared" si="761"/>
        <v>Away</v>
      </c>
      <c r="O2289">
        <v>15</v>
      </c>
      <c r="P2289" t="s">
        <v>425</v>
      </c>
      <c r="Y2289" t="str">
        <f t="shared" si="748"/>
        <v/>
      </c>
      <c r="Z2289" t="str">
        <f t="shared" si="749"/>
        <v/>
      </c>
      <c r="AC2289" t="str">
        <f t="shared" si="766"/>
        <v>Pass</v>
      </c>
      <c r="AD2289" t="str">
        <f t="shared" si="767"/>
        <v>Pass_Completed</v>
      </c>
      <c r="AE2289" t="str">
        <f t="shared" si="768"/>
        <v>Pass-Rim/Wrap</v>
      </c>
      <c r="AF2289" t="str">
        <f t="shared" si="750"/>
        <v>Defensive</v>
      </c>
      <c r="AG2289">
        <f t="shared" si="756"/>
        <v>18981</v>
      </c>
      <c r="AH2289" t="str">
        <f t="shared" si="757"/>
        <v>Nelson</v>
      </c>
      <c r="AI2289" t="str">
        <f t="shared" si="758"/>
        <v>Velodrome</v>
      </c>
      <c r="AJ2289" s="18">
        <f t="shared" si="751"/>
        <v>0</v>
      </c>
      <c r="AP2289" s="18">
        <f t="shared" si="752"/>
        <v>0</v>
      </c>
      <c r="AQ2289">
        <f t="shared" si="753"/>
        <v>2160</v>
      </c>
      <c r="AR2289" s="23">
        <f t="shared" si="754"/>
        <v>3033</v>
      </c>
      <c r="AS2289">
        <f t="shared" si="759"/>
        <v>3028</v>
      </c>
      <c r="AT2289" s="21">
        <f t="shared" si="760"/>
        <v>3033</v>
      </c>
      <c r="AU2289" s="21"/>
      <c r="AV2289" s="21"/>
      <c r="AW2289" s="21"/>
    </row>
    <row r="2290" spans="1:49" x14ac:dyDescent="0.2">
      <c r="A2290">
        <v>1217</v>
      </c>
      <c r="E2290">
        <f t="shared" si="755"/>
        <v>3</v>
      </c>
      <c r="F2290" s="5" t="s">
        <v>531</v>
      </c>
      <c r="G2290" s="5" t="s">
        <v>498</v>
      </c>
      <c r="H2290" s="5" t="s">
        <v>531</v>
      </c>
      <c r="I2290" s="7" t="s">
        <v>496</v>
      </c>
      <c r="J2290" t="str">
        <f t="shared" si="762"/>
        <v>3</v>
      </c>
      <c r="K2290" t="str">
        <f t="shared" si="763"/>
        <v>26</v>
      </c>
      <c r="L2290" t="str">
        <f t="shared" si="764"/>
        <v>3</v>
      </c>
      <c r="M2290" s="6" t="str">
        <f t="shared" si="765"/>
        <v>24</v>
      </c>
      <c r="N2290" t="s">
        <v>179</v>
      </c>
      <c r="O2290">
        <v>49</v>
      </c>
      <c r="P2290" t="s">
        <v>424</v>
      </c>
      <c r="Q2290" t="s">
        <v>15</v>
      </c>
      <c r="Y2290" t="str">
        <f t="shared" si="748"/>
        <v/>
      </c>
      <c r="Z2290" t="str">
        <f t="shared" si="749"/>
        <v/>
      </c>
      <c r="AC2290" t="str">
        <f t="shared" si="766"/>
        <v>Possession</v>
      </c>
      <c r="AD2290" t="str">
        <f t="shared" si="767"/>
        <v/>
      </c>
      <c r="AE2290" t="str">
        <f t="shared" si="768"/>
        <v/>
      </c>
      <c r="AF2290" t="str">
        <f t="shared" si="750"/>
        <v>Offensive</v>
      </c>
      <c r="AG2290">
        <f t="shared" si="756"/>
        <v>18981</v>
      </c>
      <c r="AH2290" t="str">
        <f t="shared" si="757"/>
        <v>Nelson</v>
      </c>
      <c r="AI2290" t="str">
        <f t="shared" si="758"/>
        <v>Velodrome</v>
      </c>
      <c r="AJ2290" s="18">
        <f t="shared" si="751"/>
        <v>2</v>
      </c>
      <c r="AP2290" s="18">
        <f t="shared" si="752"/>
        <v>0</v>
      </c>
      <c r="AQ2290">
        <f t="shared" si="753"/>
        <v>2160</v>
      </c>
      <c r="AR2290" s="23">
        <f t="shared" si="754"/>
        <v>3034</v>
      </c>
      <c r="AS2290">
        <f t="shared" si="759"/>
        <v>3029</v>
      </c>
      <c r="AT2290" s="21">
        <f t="shared" si="760"/>
        <v>3036</v>
      </c>
      <c r="AU2290" s="21"/>
      <c r="AV2290" s="21"/>
      <c r="AW2290" s="21"/>
    </row>
    <row r="2291" spans="1:49" x14ac:dyDescent="0.2">
      <c r="A2291">
        <v>1217</v>
      </c>
      <c r="E2291">
        <f t="shared" si="755"/>
        <v>3</v>
      </c>
      <c r="J2291" t="str">
        <f t="shared" si="762"/>
        <v>3</v>
      </c>
      <c r="K2291" t="str">
        <f t="shared" si="763"/>
        <v>26</v>
      </c>
      <c r="L2291" t="str">
        <f t="shared" si="764"/>
        <v>3</v>
      </c>
      <c r="M2291" s="6" t="str">
        <f t="shared" si="765"/>
        <v>24</v>
      </c>
      <c r="N2291" t="str">
        <f t="shared" si="761"/>
        <v>Away</v>
      </c>
      <c r="O2291">
        <v>37</v>
      </c>
      <c r="P2291" t="s">
        <v>425</v>
      </c>
      <c r="Y2291" t="str">
        <f t="shared" si="748"/>
        <v/>
      </c>
      <c r="Z2291" t="str">
        <f t="shared" si="749"/>
        <v/>
      </c>
      <c r="AC2291" t="str">
        <f t="shared" si="766"/>
        <v>Possession</v>
      </c>
      <c r="AD2291" t="str">
        <f t="shared" si="767"/>
        <v/>
      </c>
      <c r="AE2291" t="str">
        <f t="shared" si="768"/>
        <v/>
      </c>
      <c r="AF2291" t="str">
        <f t="shared" si="750"/>
        <v>Defensive</v>
      </c>
      <c r="AG2291">
        <f t="shared" si="756"/>
        <v>18981</v>
      </c>
      <c r="AH2291" t="str">
        <f t="shared" si="757"/>
        <v>Nelson</v>
      </c>
      <c r="AI2291" t="str">
        <f t="shared" si="758"/>
        <v>Velodrome</v>
      </c>
      <c r="AJ2291" s="18">
        <f t="shared" si="751"/>
        <v>2</v>
      </c>
      <c r="AP2291" s="18">
        <f t="shared" si="752"/>
        <v>0</v>
      </c>
      <c r="AQ2291">
        <f t="shared" si="753"/>
        <v>2160</v>
      </c>
      <c r="AR2291" s="23">
        <f t="shared" si="754"/>
        <v>3034</v>
      </c>
      <c r="AS2291">
        <f t="shared" si="759"/>
        <v>3029</v>
      </c>
      <c r="AT2291" s="21">
        <f t="shared" si="760"/>
        <v>3036</v>
      </c>
      <c r="AU2291" s="21"/>
      <c r="AV2291" s="21"/>
      <c r="AW2291" s="21"/>
    </row>
    <row r="2292" spans="1:49" x14ac:dyDescent="0.2">
      <c r="A2292">
        <v>1218</v>
      </c>
      <c r="E2292">
        <f t="shared" si="755"/>
        <v>3</v>
      </c>
      <c r="F2292" s="5" t="s">
        <v>531</v>
      </c>
      <c r="G2292" s="5" t="s">
        <v>496</v>
      </c>
      <c r="J2292" t="str">
        <f t="shared" si="762"/>
        <v>3</v>
      </c>
      <c r="K2292" t="str">
        <f t="shared" si="763"/>
        <v>24</v>
      </c>
      <c r="L2292" t="str">
        <f t="shared" si="764"/>
        <v/>
      </c>
      <c r="M2292" s="6" t="str">
        <f t="shared" si="765"/>
        <v/>
      </c>
      <c r="N2292" t="s">
        <v>179</v>
      </c>
      <c r="O2292">
        <v>49</v>
      </c>
      <c r="P2292" t="s">
        <v>424</v>
      </c>
      <c r="Q2292" t="s">
        <v>8</v>
      </c>
      <c r="R2292" t="s">
        <v>189</v>
      </c>
      <c r="S2292" t="s">
        <v>69</v>
      </c>
      <c r="Y2292" t="str">
        <f t="shared" si="748"/>
        <v/>
      </c>
      <c r="Z2292" t="str">
        <f t="shared" si="749"/>
        <v/>
      </c>
      <c r="AC2292" t="str">
        <f t="shared" si="766"/>
        <v>Pass</v>
      </c>
      <c r="AD2292" t="str">
        <f t="shared" si="767"/>
        <v>Pass_Completed</v>
      </c>
      <c r="AE2292" t="str">
        <f t="shared" si="768"/>
        <v>Pass-Backhand</v>
      </c>
      <c r="AF2292" t="str">
        <f t="shared" si="750"/>
        <v>Offensive</v>
      </c>
      <c r="AG2292">
        <f t="shared" si="756"/>
        <v>18981</v>
      </c>
      <c r="AH2292" t="str">
        <f t="shared" si="757"/>
        <v>Nelson</v>
      </c>
      <c r="AI2292" t="str">
        <f t="shared" si="758"/>
        <v>Velodrome</v>
      </c>
      <c r="AJ2292" s="18">
        <f t="shared" si="751"/>
        <v>0</v>
      </c>
      <c r="AP2292" s="18">
        <f t="shared" si="752"/>
        <v>0</v>
      </c>
      <c r="AQ2292">
        <f t="shared" si="753"/>
        <v>2160</v>
      </c>
      <c r="AR2292" s="23">
        <f t="shared" si="754"/>
        <v>3036</v>
      </c>
      <c r="AS2292">
        <f t="shared" si="759"/>
        <v>3031</v>
      </c>
      <c r="AT2292" s="21">
        <f t="shared" si="760"/>
        <v>3036</v>
      </c>
      <c r="AU2292" s="21"/>
      <c r="AV2292" s="21"/>
      <c r="AW2292" s="21"/>
    </row>
    <row r="2293" spans="1:49" x14ac:dyDescent="0.2">
      <c r="A2293">
        <v>1218</v>
      </c>
      <c r="E2293">
        <f t="shared" si="755"/>
        <v>3</v>
      </c>
      <c r="J2293" t="str">
        <f t="shared" si="762"/>
        <v>3</v>
      </c>
      <c r="K2293" t="str">
        <f t="shared" si="763"/>
        <v>24</v>
      </c>
      <c r="L2293" t="str">
        <f t="shared" si="764"/>
        <v/>
      </c>
      <c r="M2293" s="6" t="str">
        <f t="shared" si="765"/>
        <v/>
      </c>
      <c r="N2293" t="str">
        <f t="shared" si="761"/>
        <v>Away</v>
      </c>
      <c r="O2293">
        <v>9</v>
      </c>
      <c r="P2293" t="s">
        <v>424</v>
      </c>
      <c r="Y2293" t="str">
        <f t="shared" si="748"/>
        <v/>
      </c>
      <c r="Z2293" t="str">
        <f t="shared" si="749"/>
        <v/>
      </c>
      <c r="AC2293" t="str">
        <f t="shared" si="766"/>
        <v>Pass</v>
      </c>
      <c r="AD2293" t="str">
        <f t="shared" si="767"/>
        <v>Pass_Completed</v>
      </c>
      <c r="AE2293" t="str">
        <f t="shared" si="768"/>
        <v>Pass-Backhand</v>
      </c>
      <c r="AF2293" t="str">
        <f t="shared" si="750"/>
        <v>Offensive</v>
      </c>
      <c r="AG2293">
        <f t="shared" si="756"/>
        <v>18981</v>
      </c>
      <c r="AH2293" t="str">
        <f t="shared" si="757"/>
        <v>Nelson</v>
      </c>
      <c r="AI2293" t="str">
        <f t="shared" si="758"/>
        <v>Velodrome</v>
      </c>
      <c r="AJ2293" s="18">
        <f t="shared" si="751"/>
        <v>0</v>
      </c>
      <c r="AP2293" s="18">
        <f t="shared" si="752"/>
        <v>0</v>
      </c>
      <c r="AQ2293">
        <f t="shared" si="753"/>
        <v>2160</v>
      </c>
      <c r="AR2293" s="23">
        <f t="shared" si="754"/>
        <v>3036</v>
      </c>
      <c r="AS2293">
        <f t="shared" si="759"/>
        <v>3031</v>
      </c>
      <c r="AT2293" s="21">
        <f t="shared" si="760"/>
        <v>3036</v>
      </c>
      <c r="AU2293" s="21"/>
      <c r="AV2293" s="21"/>
      <c r="AW2293" s="21"/>
    </row>
    <row r="2294" spans="1:49" x14ac:dyDescent="0.2">
      <c r="A2294">
        <v>1218</v>
      </c>
      <c r="E2294">
        <f t="shared" si="755"/>
        <v>3</v>
      </c>
      <c r="J2294" t="str">
        <f t="shared" si="762"/>
        <v>3</v>
      </c>
      <c r="K2294" t="str">
        <f t="shared" si="763"/>
        <v>24</v>
      </c>
      <c r="L2294" t="str">
        <f t="shared" si="764"/>
        <v/>
      </c>
      <c r="M2294" s="6" t="str">
        <f t="shared" si="765"/>
        <v/>
      </c>
      <c r="N2294" t="str">
        <f t="shared" si="761"/>
        <v>Away</v>
      </c>
      <c r="O2294">
        <v>37</v>
      </c>
      <c r="P2294" t="s">
        <v>425</v>
      </c>
      <c r="Y2294" t="str">
        <f t="shared" si="748"/>
        <v/>
      </c>
      <c r="Z2294" t="str">
        <f t="shared" si="749"/>
        <v/>
      </c>
      <c r="AC2294" t="str">
        <f t="shared" si="766"/>
        <v>Pass</v>
      </c>
      <c r="AD2294" t="str">
        <f t="shared" si="767"/>
        <v>Pass_Completed</v>
      </c>
      <c r="AE2294" t="str">
        <f t="shared" si="768"/>
        <v>Pass-Backhand</v>
      </c>
      <c r="AF2294" t="str">
        <f t="shared" si="750"/>
        <v>Defensive</v>
      </c>
      <c r="AG2294">
        <f t="shared" si="756"/>
        <v>18981</v>
      </c>
      <c r="AH2294" t="str">
        <f t="shared" si="757"/>
        <v>Nelson</v>
      </c>
      <c r="AI2294" t="str">
        <f t="shared" si="758"/>
        <v>Velodrome</v>
      </c>
      <c r="AJ2294" s="18">
        <f t="shared" si="751"/>
        <v>0</v>
      </c>
      <c r="AP2294" s="18">
        <f t="shared" si="752"/>
        <v>0</v>
      </c>
      <c r="AQ2294">
        <f t="shared" si="753"/>
        <v>2160</v>
      </c>
      <c r="AR2294" s="23">
        <f t="shared" si="754"/>
        <v>3036</v>
      </c>
      <c r="AS2294">
        <f t="shared" si="759"/>
        <v>3031</v>
      </c>
      <c r="AT2294" s="21">
        <f t="shared" si="760"/>
        <v>3036</v>
      </c>
      <c r="AU2294" s="21"/>
      <c r="AV2294" s="21"/>
      <c r="AW2294" s="21"/>
    </row>
    <row r="2295" spans="1:49" x14ac:dyDescent="0.2">
      <c r="A2295">
        <v>1219</v>
      </c>
      <c r="E2295">
        <f t="shared" si="755"/>
        <v>3</v>
      </c>
      <c r="F2295" s="5" t="s">
        <v>531</v>
      </c>
      <c r="G2295" s="5" t="s">
        <v>494</v>
      </c>
      <c r="J2295" t="str">
        <f t="shared" si="762"/>
        <v>3</v>
      </c>
      <c r="K2295" t="str">
        <f t="shared" si="763"/>
        <v>22</v>
      </c>
      <c r="L2295" t="str">
        <f t="shared" si="764"/>
        <v/>
      </c>
      <c r="M2295" s="6" t="str">
        <f t="shared" si="765"/>
        <v/>
      </c>
      <c r="N2295" t="s">
        <v>179</v>
      </c>
      <c r="O2295">
        <v>9</v>
      </c>
      <c r="P2295" t="s">
        <v>424</v>
      </c>
      <c r="Q2295" t="s">
        <v>7</v>
      </c>
      <c r="R2295" t="s">
        <v>208</v>
      </c>
      <c r="S2295" t="s">
        <v>53</v>
      </c>
      <c r="Y2295" t="str">
        <f t="shared" si="748"/>
        <v/>
      </c>
      <c r="Z2295" t="str">
        <f t="shared" si="749"/>
        <v/>
      </c>
      <c r="AC2295" t="str">
        <f t="shared" si="766"/>
        <v>Shot</v>
      </c>
      <c r="AD2295" t="str">
        <f t="shared" si="767"/>
        <v>Shot_Blocked</v>
      </c>
      <c r="AE2295" t="str">
        <f t="shared" si="768"/>
        <v>Shot-Wrist</v>
      </c>
      <c r="AF2295" t="str">
        <f t="shared" si="750"/>
        <v>Offensive</v>
      </c>
      <c r="AG2295">
        <f t="shared" si="756"/>
        <v>18981</v>
      </c>
      <c r="AH2295" t="str">
        <f t="shared" si="757"/>
        <v>Nelson</v>
      </c>
      <c r="AI2295" t="str">
        <f t="shared" si="758"/>
        <v>Velodrome</v>
      </c>
      <c r="AJ2295" s="18">
        <f t="shared" si="751"/>
        <v>0</v>
      </c>
      <c r="AP2295" s="18">
        <f t="shared" si="752"/>
        <v>0</v>
      </c>
      <c r="AQ2295">
        <f t="shared" si="753"/>
        <v>2160</v>
      </c>
      <c r="AR2295" s="23">
        <f t="shared" si="754"/>
        <v>3038</v>
      </c>
      <c r="AS2295">
        <f t="shared" si="759"/>
        <v>3033</v>
      </c>
      <c r="AT2295" s="21">
        <f t="shared" si="760"/>
        <v>3038</v>
      </c>
      <c r="AU2295" s="21"/>
      <c r="AV2295" s="21"/>
      <c r="AW2295" s="21"/>
    </row>
    <row r="2296" spans="1:49" x14ac:dyDescent="0.2">
      <c r="A2296">
        <v>1219</v>
      </c>
      <c r="E2296">
        <f t="shared" si="755"/>
        <v>3</v>
      </c>
      <c r="J2296" t="str">
        <f t="shared" si="762"/>
        <v>3</v>
      </c>
      <c r="K2296" t="str">
        <f t="shared" si="763"/>
        <v>22</v>
      </c>
      <c r="L2296" t="str">
        <f t="shared" si="764"/>
        <v/>
      </c>
      <c r="M2296" s="6" t="str">
        <f t="shared" si="765"/>
        <v/>
      </c>
      <c r="N2296" t="str">
        <f t="shared" si="761"/>
        <v>Away</v>
      </c>
      <c r="O2296">
        <v>23</v>
      </c>
      <c r="P2296" t="s">
        <v>425</v>
      </c>
      <c r="Y2296" t="str">
        <f t="shared" si="748"/>
        <v/>
      </c>
      <c r="Z2296" t="str">
        <f t="shared" si="749"/>
        <v/>
      </c>
      <c r="AC2296" t="str">
        <f t="shared" si="766"/>
        <v>Shot</v>
      </c>
      <c r="AD2296" t="str">
        <f t="shared" si="767"/>
        <v>Shot_Blocked</v>
      </c>
      <c r="AE2296" t="str">
        <f t="shared" si="768"/>
        <v>Shot-Wrist</v>
      </c>
      <c r="AF2296" t="str">
        <f t="shared" si="750"/>
        <v>Defensive</v>
      </c>
      <c r="AG2296">
        <f t="shared" si="756"/>
        <v>18981</v>
      </c>
      <c r="AH2296" t="str">
        <f t="shared" si="757"/>
        <v>Nelson</v>
      </c>
      <c r="AI2296" t="str">
        <f t="shared" si="758"/>
        <v>Velodrome</v>
      </c>
      <c r="AJ2296" s="18">
        <f t="shared" si="751"/>
        <v>0</v>
      </c>
      <c r="AP2296" s="18">
        <f t="shared" si="752"/>
        <v>0</v>
      </c>
      <c r="AQ2296">
        <f t="shared" si="753"/>
        <v>2160</v>
      </c>
      <c r="AR2296" s="23">
        <f t="shared" si="754"/>
        <v>3038</v>
      </c>
      <c r="AS2296">
        <f t="shared" si="759"/>
        <v>3033</v>
      </c>
      <c r="AT2296" s="21">
        <f t="shared" si="760"/>
        <v>3038</v>
      </c>
      <c r="AU2296" s="21"/>
      <c r="AV2296" s="21"/>
      <c r="AW2296" s="21"/>
    </row>
    <row r="2297" spans="1:49" x14ac:dyDescent="0.2">
      <c r="A2297">
        <v>1220</v>
      </c>
      <c r="E2297">
        <f t="shared" si="755"/>
        <v>3</v>
      </c>
      <c r="F2297" s="5" t="s">
        <v>531</v>
      </c>
      <c r="G2297" s="5" t="s">
        <v>492</v>
      </c>
      <c r="J2297" t="str">
        <f t="shared" si="762"/>
        <v>3</v>
      </c>
      <c r="K2297" t="str">
        <f t="shared" si="763"/>
        <v>20</v>
      </c>
      <c r="L2297" t="str">
        <f t="shared" si="764"/>
        <v/>
      </c>
      <c r="M2297" s="6" t="str">
        <f t="shared" si="765"/>
        <v/>
      </c>
      <c r="N2297" t="s">
        <v>178</v>
      </c>
      <c r="O2297">
        <v>44</v>
      </c>
      <c r="P2297" t="s">
        <v>424</v>
      </c>
      <c r="Q2297" t="s">
        <v>12</v>
      </c>
      <c r="R2297" t="s">
        <v>192</v>
      </c>
      <c r="S2297" t="s">
        <v>141</v>
      </c>
      <c r="Y2297" t="str">
        <f t="shared" si="748"/>
        <v/>
      </c>
      <c r="Z2297" t="str">
        <f t="shared" si="749"/>
        <v/>
      </c>
      <c r="AC2297" t="str">
        <f t="shared" si="766"/>
        <v>Penalty</v>
      </c>
      <c r="AD2297" t="str">
        <f t="shared" si="767"/>
        <v>Penalty_Minor</v>
      </c>
      <c r="AE2297" t="str">
        <f t="shared" si="768"/>
        <v>Penalty-Tripping</v>
      </c>
      <c r="AF2297" t="str">
        <f t="shared" si="750"/>
        <v>Offensive</v>
      </c>
      <c r="AG2297">
        <f t="shared" si="756"/>
        <v>18981</v>
      </c>
      <c r="AH2297" t="str">
        <f t="shared" si="757"/>
        <v>Nelson</v>
      </c>
      <c r="AI2297" t="str">
        <f t="shared" si="758"/>
        <v>Velodrome</v>
      </c>
      <c r="AJ2297" s="18">
        <f t="shared" si="751"/>
        <v>0</v>
      </c>
      <c r="AP2297" s="18">
        <f t="shared" si="752"/>
        <v>0</v>
      </c>
      <c r="AQ2297">
        <f t="shared" si="753"/>
        <v>2160</v>
      </c>
      <c r="AR2297" s="23">
        <f t="shared" si="754"/>
        <v>3040</v>
      </c>
      <c r="AS2297">
        <f t="shared" si="759"/>
        <v>3035</v>
      </c>
      <c r="AT2297" s="21">
        <f t="shared" si="760"/>
        <v>3040</v>
      </c>
      <c r="AU2297" s="21"/>
      <c r="AV2297" s="21"/>
      <c r="AW2297" s="21"/>
    </row>
    <row r="2298" spans="1:49" x14ac:dyDescent="0.2">
      <c r="A2298">
        <v>1221</v>
      </c>
      <c r="E2298">
        <f t="shared" si="755"/>
        <v>3</v>
      </c>
      <c r="F2298" s="5" t="s">
        <v>531</v>
      </c>
      <c r="G2298" s="5" t="s">
        <v>492</v>
      </c>
      <c r="J2298" t="str">
        <f t="shared" si="762"/>
        <v>3</v>
      </c>
      <c r="K2298" t="str">
        <f t="shared" si="763"/>
        <v>20</v>
      </c>
      <c r="L2298" t="str">
        <f t="shared" si="764"/>
        <v/>
      </c>
      <c r="M2298" s="6" t="str">
        <f t="shared" si="765"/>
        <v/>
      </c>
      <c r="N2298" t="s">
        <v>178</v>
      </c>
      <c r="O2298">
        <v>44</v>
      </c>
      <c r="P2298" t="s">
        <v>424</v>
      </c>
      <c r="Q2298" t="s">
        <v>13</v>
      </c>
      <c r="R2298" t="s">
        <v>204</v>
      </c>
      <c r="S2298" t="s">
        <v>43</v>
      </c>
      <c r="Y2298" t="str">
        <f t="shared" si="748"/>
        <v/>
      </c>
      <c r="Z2298" t="str">
        <f t="shared" si="749"/>
        <v/>
      </c>
      <c r="AC2298" t="str">
        <f t="shared" si="766"/>
        <v>Stoppage</v>
      </c>
      <c r="AD2298" t="str">
        <f t="shared" si="767"/>
        <v>Stoppage_Play</v>
      </c>
      <c r="AE2298" t="str">
        <f t="shared" si="768"/>
        <v>Stoppage-Penalty</v>
      </c>
      <c r="AF2298" t="str">
        <f t="shared" si="750"/>
        <v/>
      </c>
      <c r="AG2298">
        <f t="shared" si="756"/>
        <v>18981</v>
      </c>
      <c r="AH2298" t="str">
        <f t="shared" si="757"/>
        <v>Nelson</v>
      </c>
      <c r="AI2298" t="str">
        <f t="shared" si="758"/>
        <v>Velodrome</v>
      </c>
      <c r="AJ2298" s="18">
        <f t="shared" si="751"/>
        <v>0</v>
      </c>
      <c r="AP2298" s="18">
        <f t="shared" si="752"/>
        <v>0</v>
      </c>
      <c r="AQ2298">
        <f t="shared" si="753"/>
        <v>2160</v>
      </c>
      <c r="AR2298" s="23">
        <f t="shared" si="754"/>
        <v>3040</v>
      </c>
      <c r="AS2298">
        <f t="shared" si="759"/>
        <v>3035</v>
      </c>
      <c r="AT2298" s="21">
        <f t="shared" si="760"/>
        <v>3040</v>
      </c>
      <c r="AU2298" s="21"/>
      <c r="AV2298" s="21"/>
      <c r="AW2298" s="21"/>
    </row>
    <row r="2299" spans="1:49" x14ac:dyDescent="0.2">
      <c r="A2299">
        <v>1222</v>
      </c>
      <c r="E2299">
        <f t="shared" si="755"/>
        <v>3</v>
      </c>
      <c r="F2299" s="5" t="s">
        <v>531</v>
      </c>
      <c r="G2299" s="5" t="s">
        <v>492</v>
      </c>
      <c r="H2299" s="5" t="s">
        <v>534</v>
      </c>
      <c r="I2299" s="7" t="s">
        <v>526</v>
      </c>
      <c r="J2299" t="str">
        <f t="shared" si="762"/>
        <v>3</v>
      </c>
      <c r="K2299" t="str">
        <f t="shared" si="763"/>
        <v>20</v>
      </c>
      <c r="L2299" t="str">
        <f t="shared" si="764"/>
        <v>2</v>
      </c>
      <c r="M2299" s="6" t="str">
        <f t="shared" si="765"/>
        <v>54</v>
      </c>
      <c r="N2299" t="s">
        <v>178</v>
      </c>
      <c r="O2299">
        <v>44</v>
      </c>
      <c r="P2299" t="s">
        <v>424</v>
      </c>
      <c r="Q2299" t="s">
        <v>282</v>
      </c>
      <c r="Y2299" t="str">
        <f t="shared" si="748"/>
        <v/>
      </c>
      <c r="Z2299" t="str">
        <f t="shared" si="749"/>
        <v/>
      </c>
      <c r="AC2299" t="str">
        <f t="shared" si="766"/>
        <v>DeadIce</v>
      </c>
      <c r="AD2299" t="str">
        <f t="shared" si="767"/>
        <v/>
      </c>
      <c r="AE2299" t="str">
        <f t="shared" si="768"/>
        <v/>
      </c>
      <c r="AF2299" t="str">
        <f t="shared" si="750"/>
        <v/>
      </c>
      <c r="AG2299">
        <f t="shared" si="756"/>
        <v>18981</v>
      </c>
      <c r="AH2299" t="str">
        <f t="shared" si="757"/>
        <v>Nelson</v>
      </c>
      <c r="AI2299" t="str">
        <f t="shared" si="758"/>
        <v>Velodrome</v>
      </c>
      <c r="AJ2299" s="18">
        <f t="shared" si="751"/>
        <v>26</v>
      </c>
      <c r="AP2299" s="18">
        <f t="shared" si="752"/>
        <v>0</v>
      </c>
      <c r="AQ2299">
        <f t="shared" si="753"/>
        <v>2160</v>
      </c>
      <c r="AR2299" s="23">
        <f t="shared" si="754"/>
        <v>3040</v>
      </c>
      <c r="AS2299">
        <f t="shared" si="759"/>
        <v>3035</v>
      </c>
      <c r="AT2299" s="21">
        <f t="shared" si="760"/>
        <v>3066</v>
      </c>
      <c r="AU2299" s="21"/>
      <c r="AV2299" s="21"/>
      <c r="AW2299" s="21"/>
    </row>
    <row r="2300" spans="1:49" x14ac:dyDescent="0.2">
      <c r="A2300">
        <v>1223</v>
      </c>
      <c r="E2300">
        <f t="shared" si="755"/>
        <v>3</v>
      </c>
      <c r="F2300" s="5" t="s">
        <v>534</v>
      </c>
      <c r="G2300" s="5" t="s">
        <v>526</v>
      </c>
      <c r="J2300" t="str">
        <f t="shared" si="762"/>
        <v>2</v>
      </c>
      <c r="K2300" t="str">
        <f t="shared" si="763"/>
        <v>54</v>
      </c>
      <c r="L2300" t="str">
        <f t="shared" si="764"/>
        <v/>
      </c>
      <c r="M2300" s="6" t="str">
        <f t="shared" si="765"/>
        <v/>
      </c>
      <c r="N2300" t="s">
        <v>178</v>
      </c>
      <c r="O2300">
        <v>79</v>
      </c>
      <c r="P2300" t="s">
        <v>424</v>
      </c>
      <c r="Q2300" t="s">
        <v>6</v>
      </c>
      <c r="R2300" t="s">
        <v>197</v>
      </c>
      <c r="Y2300" t="str">
        <f t="shared" si="748"/>
        <v/>
      </c>
      <c r="Z2300" t="str">
        <f t="shared" si="749"/>
        <v/>
      </c>
      <c r="AC2300" t="str">
        <f t="shared" si="766"/>
        <v>Faceoff</v>
      </c>
      <c r="AD2300" t="str">
        <f t="shared" si="767"/>
        <v>Faceoff_AfterPenalty</v>
      </c>
      <c r="AE2300" t="str">
        <f t="shared" si="768"/>
        <v/>
      </c>
      <c r="AF2300" t="str">
        <f t="shared" si="750"/>
        <v>Offensive</v>
      </c>
      <c r="AG2300">
        <f t="shared" si="756"/>
        <v>18981</v>
      </c>
      <c r="AH2300" t="str">
        <f t="shared" si="757"/>
        <v>Nelson</v>
      </c>
      <c r="AI2300" t="str">
        <f t="shared" si="758"/>
        <v>Velodrome</v>
      </c>
      <c r="AJ2300" s="18">
        <f t="shared" si="751"/>
        <v>0</v>
      </c>
      <c r="AP2300" s="18">
        <f t="shared" si="752"/>
        <v>0</v>
      </c>
      <c r="AQ2300">
        <f t="shared" si="753"/>
        <v>2160</v>
      </c>
      <c r="AR2300" s="23">
        <f t="shared" si="754"/>
        <v>3066</v>
      </c>
      <c r="AS2300">
        <f t="shared" si="759"/>
        <v>3061</v>
      </c>
      <c r="AT2300" s="21">
        <f t="shared" si="760"/>
        <v>3066</v>
      </c>
      <c r="AU2300" s="21"/>
      <c r="AV2300" s="21"/>
      <c r="AW2300" s="21"/>
    </row>
    <row r="2301" spans="1:49" x14ac:dyDescent="0.2">
      <c r="A2301">
        <v>1223</v>
      </c>
      <c r="E2301">
        <f t="shared" si="755"/>
        <v>3</v>
      </c>
      <c r="J2301" t="str">
        <f t="shared" si="762"/>
        <v>2</v>
      </c>
      <c r="K2301" t="str">
        <f t="shared" si="763"/>
        <v>54</v>
      </c>
      <c r="L2301" t="str">
        <f t="shared" si="764"/>
        <v/>
      </c>
      <c r="M2301" s="6" t="str">
        <f t="shared" si="765"/>
        <v/>
      </c>
      <c r="N2301" t="str">
        <f t="shared" si="761"/>
        <v>Home</v>
      </c>
      <c r="O2301">
        <v>8</v>
      </c>
      <c r="P2301" t="s">
        <v>424</v>
      </c>
      <c r="Y2301" t="str">
        <f t="shared" si="748"/>
        <v/>
      </c>
      <c r="Z2301" t="str">
        <f t="shared" si="749"/>
        <v/>
      </c>
      <c r="AC2301" t="str">
        <f t="shared" si="766"/>
        <v>Faceoff</v>
      </c>
      <c r="AD2301" t="str">
        <f t="shared" si="767"/>
        <v>Faceoff_AfterPenalty</v>
      </c>
      <c r="AE2301" t="str">
        <f t="shared" si="768"/>
        <v/>
      </c>
      <c r="AF2301" t="str">
        <f t="shared" si="750"/>
        <v>Offensive</v>
      </c>
      <c r="AG2301">
        <f t="shared" si="756"/>
        <v>18981</v>
      </c>
      <c r="AH2301" t="str">
        <f t="shared" si="757"/>
        <v>Nelson</v>
      </c>
      <c r="AI2301" t="str">
        <f t="shared" si="758"/>
        <v>Velodrome</v>
      </c>
      <c r="AJ2301" s="18">
        <f t="shared" si="751"/>
        <v>0</v>
      </c>
      <c r="AP2301" s="18">
        <f t="shared" si="752"/>
        <v>0</v>
      </c>
      <c r="AQ2301">
        <f t="shared" si="753"/>
        <v>2160</v>
      </c>
      <c r="AR2301" s="23">
        <f t="shared" si="754"/>
        <v>3066</v>
      </c>
      <c r="AS2301">
        <f t="shared" si="759"/>
        <v>3061</v>
      </c>
      <c r="AT2301" s="21">
        <f t="shared" si="760"/>
        <v>3066</v>
      </c>
      <c r="AU2301" s="21"/>
      <c r="AV2301" s="21"/>
      <c r="AW2301" s="21"/>
    </row>
    <row r="2302" spans="1:49" x14ac:dyDescent="0.2">
      <c r="A2302">
        <v>1223</v>
      </c>
      <c r="E2302">
        <f t="shared" si="755"/>
        <v>3</v>
      </c>
      <c r="J2302" t="str">
        <f t="shared" si="762"/>
        <v>2</v>
      </c>
      <c r="K2302" t="str">
        <f t="shared" si="763"/>
        <v>54</v>
      </c>
      <c r="L2302" t="str">
        <f t="shared" si="764"/>
        <v/>
      </c>
      <c r="M2302" s="6" t="str">
        <f t="shared" si="765"/>
        <v/>
      </c>
      <c r="N2302" t="str">
        <f t="shared" si="761"/>
        <v>Home</v>
      </c>
      <c r="O2302">
        <v>70</v>
      </c>
      <c r="P2302" t="s">
        <v>425</v>
      </c>
      <c r="Y2302" t="str">
        <f t="shared" si="748"/>
        <v/>
      </c>
      <c r="Z2302" t="str">
        <f t="shared" si="749"/>
        <v/>
      </c>
      <c r="AC2302" t="str">
        <f t="shared" si="766"/>
        <v>Faceoff</v>
      </c>
      <c r="AD2302" t="str">
        <f t="shared" si="767"/>
        <v>Faceoff_AfterPenalty</v>
      </c>
      <c r="AE2302" t="str">
        <f t="shared" si="768"/>
        <v/>
      </c>
      <c r="AF2302" t="str">
        <f t="shared" si="750"/>
        <v>Defensive</v>
      </c>
      <c r="AG2302">
        <f t="shared" si="756"/>
        <v>18981</v>
      </c>
      <c r="AH2302" t="str">
        <f t="shared" si="757"/>
        <v>Nelson</v>
      </c>
      <c r="AI2302" t="str">
        <f t="shared" si="758"/>
        <v>Velodrome</v>
      </c>
      <c r="AJ2302" s="18">
        <f t="shared" si="751"/>
        <v>0</v>
      </c>
      <c r="AP2302" s="18">
        <f t="shared" si="752"/>
        <v>0</v>
      </c>
      <c r="AQ2302">
        <f t="shared" si="753"/>
        <v>2160</v>
      </c>
      <c r="AR2302" s="23">
        <f t="shared" si="754"/>
        <v>3066</v>
      </c>
      <c r="AS2302">
        <f t="shared" si="759"/>
        <v>3061</v>
      </c>
      <c r="AT2302" s="21">
        <f t="shared" si="760"/>
        <v>3066</v>
      </c>
      <c r="AU2302" s="21"/>
      <c r="AV2302" s="21"/>
      <c r="AW2302" s="21"/>
    </row>
    <row r="2303" spans="1:49" x14ac:dyDescent="0.2">
      <c r="A2303">
        <v>1224</v>
      </c>
      <c r="E2303">
        <f t="shared" si="755"/>
        <v>3</v>
      </c>
      <c r="F2303" s="5" t="s">
        <v>534</v>
      </c>
      <c r="G2303" s="5" t="s">
        <v>525</v>
      </c>
      <c r="J2303" t="str">
        <f t="shared" si="762"/>
        <v>2</v>
      </c>
      <c r="K2303" t="str">
        <f t="shared" si="763"/>
        <v>53</v>
      </c>
      <c r="L2303" t="str">
        <f t="shared" si="764"/>
        <v/>
      </c>
      <c r="M2303" s="6" t="str">
        <f t="shared" si="765"/>
        <v/>
      </c>
      <c r="N2303" t="s">
        <v>178</v>
      </c>
      <c r="O2303">
        <v>8</v>
      </c>
      <c r="P2303" t="s">
        <v>424</v>
      </c>
      <c r="Q2303" t="s">
        <v>277</v>
      </c>
      <c r="R2303" t="s">
        <v>201</v>
      </c>
      <c r="S2303" t="s">
        <v>92</v>
      </c>
      <c r="Y2303" t="str">
        <f t="shared" si="748"/>
        <v/>
      </c>
      <c r="Z2303" t="str">
        <f t="shared" si="749"/>
        <v/>
      </c>
      <c r="AC2303" t="str">
        <f t="shared" si="766"/>
        <v>Zone_Entry_Exit</v>
      </c>
      <c r="AD2303" t="str">
        <f t="shared" si="767"/>
        <v>Zone_Exit</v>
      </c>
      <c r="AE2303" t="str">
        <f t="shared" si="768"/>
        <v>ZoneExit-Clear</v>
      </c>
      <c r="AF2303" t="str">
        <f t="shared" si="750"/>
        <v>Offensive</v>
      </c>
      <c r="AG2303">
        <f t="shared" si="756"/>
        <v>18981</v>
      </c>
      <c r="AH2303" t="str">
        <f t="shared" si="757"/>
        <v>Nelson</v>
      </c>
      <c r="AI2303" t="str">
        <f t="shared" si="758"/>
        <v>Velodrome</v>
      </c>
      <c r="AJ2303" s="18">
        <f t="shared" si="751"/>
        <v>0</v>
      </c>
      <c r="AP2303" s="18">
        <f t="shared" si="752"/>
        <v>0</v>
      </c>
      <c r="AQ2303">
        <f t="shared" si="753"/>
        <v>2160</v>
      </c>
      <c r="AR2303" s="23">
        <f t="shared" si="754"/>
        <v>3067</v>
      </c>
      <c r="AS2303">
        <f t="shared" si="759"/>
        <v>3062</v>
      </c>
      <c r="AT2303" s="21">
        <f t="shared" si="760"/>
        <v>3067</v>
      </c>
      <c r="AU2303" s="21"/>
      <c r="AV2303" s="21"/>
      <c r="AW2303" s="21"/>
    </row>
    <row r="2304" spans="1:49" x14ac:dyDescent="0.2">
      <c r="A2304">
        <v>1225</v>
      </c>
      <c r="E2304">
        <f t="shared" si="755"/>
        <v>3</v>
      </c>
      <c r="F2304" s="5" t="s">
        <v>534</v>
      </c>
      <c r="G2304" s="5" t="s">
        <v>525</v>
      </c>
      <c r="J2304" t="str">
        <f t="shared" si="762"/>
        <v>2</v>
      </c>
      <c r="K2304" t="str">
        <f t="shared" si="763"/>
        <v>53</v>
      </c>
      <c r="L2304" t="str">
        <f t="shared" si="764"/>
        <v/>
      </c>
      <c r="M2304" s="6" t="str">
        <f t="shared" si="765"/>
        <v/>
      </c>
      <c r="N2304" t="s">
        <v>178</v>
      </c>
      <c r="O2304">
        <v>8</v>
      </c>
      <c r="P2304" t="s">
        <v>424</v>
      </c>
      <c r="Q2304" t="s">
        <v>277</v>
      </c>
      <c r="R2304" t="s">
        <v>191</v>
      </c>
      <c r="S2304" t="s">
        <v>432</v>
      </c>
      <c r="Y2304" t="str">
        <f t="shared" si="748"/>
        <v/>
      </c>
      <c r="Z2304" t="str">
        <f t="shared" si="749"/>
        <v/>
      </c>
      <c r="AC2304" t="str">
        <f t="shared" si="766"/>
        <v>Zone_Entry_Exit</v>
      </c>
      <c r="AD2304" t="str">
        <f t="shared" si="767"/>
        <v>Zone_Entry</v>
      </c>
      <c r="AE2304" t="str">
        <f t="shared" si="768"/>
        <v>ZoneEntry-FromExitClear</v>
      </c>
      <c r="AF2304" t="str">
        <f t="shared" si="750"/>
        <v>Offensive</v>
      </c>
      <c r="AG2304">
        <f t="shared" si="756"/>
        <v>18981</v>
      </c>
      <c r="AH2304" t="str">
        <f t="shared" si="757"/>
        <v>Nelson</v>
      </c>
      <c r="AI2304" t="str">
        <f t="shared" si="758"/>
        <v>Velodrome</v>
      </c>
      <c r="AJ2304" s="18">
        <f t="shared" si="751"/>
        <v>0</v>
      </c>
      <c r="AP2304" s="18">
        <f t="shared" si="752"/>
        <v>0</v>
      </c>
      <c r="AQ2304">
        <f t="shared" si="753"/>
        <v>2160</v>
      </c>
      <c r="AR2304" s="23">
        <f t="shared" si="754"/>
        <v>3067</v>
      </c>
      <c r="AS2304">
        <f t="shared" si="759"/>
        <v>3062</v>
      </c>
      <c r="AT2304" s="21">
        <f t="shared" si="760"/>
        <v>3067</v>
      </c>
      <c r="AU2304" s="21"/>
      <c r="AV2304" s="21"/>
      <c r="AW2304" s="21"/>
    </row>
    <row r="2305" spans="1:49" x14ac:dyDescent="0.2">
      <c r="A2305">
        <v>1226</v>
      </c>
      <c r="E2305">
        <f t="shared" si="755"/>
        <v>3</v>
      </c>
      <c r="F2305" s="5" t="s">
        <v>534</v>
      </c>
      <c r="G2305" s="5" t="s">
        <v>518</v>
      </c>
      <c r="H2305" s="5" t="s">
        <v>534</v>
      </c>
      <c r="I2305" s="7" t="s">
        <v>515</v>
      </c>
      <c r="J2305" t="str">
        <f t="shared" si="762"/>
        <v>2</v>
      </c>
      <c r="K2305" t="str">
        <f t="shared" si="763"/>
        <v>46</v>
      </c>
      <c r="L2305" t="str">
        <f t="shared" si="764"/>
        <v>2</v>
      </c>
      <c r="M2305" s="6" t="str">
        <f t="shared" si="765"/>
        <v>43</v>
      </c>
      <c r="N2305" t="s">
        <v>179</v>
      </c>
      <c r="O2305">
        <v>39</v>
      </c>
      <c r="P2305" t="s">
        <v>424</v>
      </c>
      <c r="Q2305" t="s">
        <v>15</v>
      </c>
      <c r="Y2305" t="str">
        <f t="shared" si="748"/>
        <v/>
      </c>
      <c r="Z2305" t="str">
        <f t="shared" si="749"/>
        <v/>
      </c>
      <c r="AC2305" t="str">
        <f t="shared" si="766"/>
        <v>Possession</v>
      </c>
      <c r="AD2305" t="str">
        <f t="shared" si="767"/>
        <v/>
      </c>
      <c r="AE2305" t="str">
        <f t="shared" si="768"/>
        <v/>
      </c>
      <c r="AF2305" t="str">
        <f t="shared" si="750"/>
        <v>Offensive</v>
      </c>
      <c r="AG2305">
        <f t="shared" si="756"/>
        <v>18981</v>
      </c>
      <c r="AH2305" t="str">
        <f t="shared" si="757"/>
        <v>Nelson</v>
      </c>
      <c r="AI2305" t="str">
        <f t="shared" si="758"/>
        <v>Velodrome</v>
      </c>
      <c r="AJ2305" s="18">
        <f t="shared" si="751"/>
        <v>3</v>
      </c>
      <c r="AP2305" s="18">
        <f t="shared" si="752"/>
        <v>0</v>
      </c>
      <c r="AQ2305">
        <f t="shared" si="753"/>
        <v>2160</v>
      </c>
      <c r="AR2305" s="23">
        <f t="shared" si="754"/>
        <v>3074</v>
      </c>
      <c r="AS2305">
        <f t="shared" si="759"/>
        <v>3069</v>
      </c>
      <c r="AT2305" s="21">
        <f t="shared" si="760"/>
        <v>3077</v>
      </c>
      <c r="AU2305" s="21"/>
      <c r="AV2305" s="21"/>
      <c r="AW2305" s="21"/>
    </row>
    <row r="2306" spans="1:49" x14ac:dyDescent="0.2">
      <c r="A2306">
        <v>1227</v>
      </c>
      <c r="E2306">
        <f t="shared" si="755"/>
        <v>3</v>
      </c>
      <c r="F2306" s="5" t="s">
        <v>534</v>
      </c>
      <c r="G2306" s="5" t="s">
        <v>515</v>
      </c>
      <c r="H2306" s="5" t="s">
        <v>534</v>
      </c>
      <c r="I2306" s="7" t="s">
        <v>509</v>
      </c>
      <c r="J2306" t="str">
        <f t="shared" si="762"/>
        <v>2</v>
      </c>
      <c r="K2306" t="str">
        <f t="shared" si="763"/>
        <v>43</v>
      </c>
      <c r="L2306" t="str">
        <f t="shared" si="764"/>
        <v>2</v>
      </c>
      <c r="M2306" s="6" t="str">
        <f t="shared" si="765"/>
        <v>37</v>
      </c>
      <c r="N2306" t="s">
        <v>179</v>
      </c>
      <c r="O2306">
        <v>84</v>
      </c>
      <c r="P2306" t="s">
        <v>424</v>
      </c>
      <c r="Q2306" t="s">
        <v>277</v>
      </c>
      <c r="R2306" t="s">
        <v>201</v>
      </c>
      <c r="S2306" t="s">
        <v>90</v>
      </c>
      <c r="Y2306" t="str">
        <f t="shared" si="748"/>
        <v/>
      </c>
      <c r="Z2306" t="str">
        <f t="shared" si="749"/>
        <v/>
      </c>
      <c r="AC2306" t="str">
        <f t="shared" si="766"/>
        <v>Zone_Entry_Exit</v>
      </c>
      <c r="AD2306" t="str">
        <f t="shared" si="767"/>
        <v>Zone_Exit</v>
      </c>
      <c r="AE2306" t="str">
        <f t="shared" si="768"/>
        <v>ZoneExit-Rush</v>
      </c>
      <c r="AF2306" t="str">
        <f t="shared" si="750"/>
        <v>Offensive</v>
      </c>
      <c r="AG2306">
        <f t="shared" si="756"/>
        <v>18981</v>
      </c>
      <c r="AH2306" t="str">
        <f t="shared" si="757"/>
        <v>Nelson</v>
      </c>
      <c r="AI2306" t="str">
        <f t="shared" si="758"/>
        <v>Velodrome</v>
      </c>
      <c r="AJ2306" s="18">
        <f t="shared" si="751"/>
        <v>6</v>
      </c>
      <c r="AP2306" s="18">
        <f t="shared" si="752"/>
        <v>0</v>
      </c>
      <c r="AQ2306">
        <f t="shared" si="753"/>
        <v>2160</v>
      </c>
      <c r="AR2306" s="23">
        <f t="shared" si="754"/>
        <v>3077</v>
      </c>
      <c r="AS2306">
        <f t="shared" si="759"/>
        <v>3072</v>
      </c>
      <c r="AT2306" s="21">
        <f t="shared" si="760"/>
        <v>3083</v>
      </c>
      <c r="AU2306" s="21"/>
      <c r="AV2306" s="21"/>
      <c r="AW2306" s="21"/>
    </row>
    <row r="2307" spans="1:49" x14ac:dyDescent="0.2">
      <c r="A2307">
        <v>1228</v>
      </c>
      <c r="E2307">
        <f t="shared" si="755"/>
        <v>3</v>
      </c>
      <c r="F2307" s="5" t="s">
        <v>534</v>
      </c>
      <c r="G2307" s="5" t="s">
        <v>509</v>
      </c>
      <c r="H2307" s="5" t="s">
        <v>534</v>
      </c>
      <c r="I2307" s="7" t="s">
        <v>508</v>
      </c>
      <c r="J2307" t="str">
        <f t="shared" si="762"/>
        <v>2</v>
      </c>
      <c r="K2307" t="str">
        <f t="shared" si="763"/>
        <v>37</v>
      </c>
      <c r="L2307" t="str">
        <f t="shared" si="764"/>
        <v>2</v>
      </c>
      <c r="M2307" s="6" t="str">
        <f t="shared" si="765"/>
        <v>36</v>
      </c>
      <c r="N2307" t="s">
        <v>179</v>
      </c>
      <c r="O2307">
        <v>84</v>
      </c>
      <c r="P2307" t="s">
        <v>424</v>
      </c>
      <c r="Q2307" t="s">
        <v>15</v>
      </c>
      <c r="Y2307" t="str">
        <f t="shared" ref="Y2307:Y2370" si="769">IF($N2307="","",IF(X2307="","",IF($N2307="Home",$X2307,IF($X2307="n","n",IF($X2307="d","o",IF($X2307="o","d",""))))))</f>
        <v/>
      </c>
      <c r="Z2307" t="str">
        <f t="shared" ref="Z2307:Z2370" si="770">IF($N2307="","",IF(X2307="","",IF($N2307="Away",$X2307,IF($X2307="n","n",IF($X2307="d","o",IF($X2307="o","d",""))))))</f>
        <v/>
      </c>
      <c r="AC2307" t="str">
        <f t="shared" si="766"/>
        <v>Possession</v>
      </c>
      <c r="AD2307" t="str">
        <f t="shared" si="767"/>
        <v/>
      </c>
      <c r="AE2307" t="str">
        <f t="shared" si="768"/>
        <v/>
      </c>
      <c r="AF2307" t="str">
        <f t="shared" ref="AF2307:AF2370" si="771">IF(AND(P2307="e",OR(AC2307="Save",AD2307="Turnover_Takeaway",AD2307="Play_Defensive")),"Defensive",IF(AND(P2307="o",OR(AC2307="Save",AD2307="Turnover_Takeaway",AD2307="Play_Defensive")),"Offensive",IF(OR(AC2307="Deadice",AC2307="Stoppage",AC2307="Intermission"),"",IF(P2307="e","Offensive",IF(P2307="o","Defensive","")))))</f>
        <v>Offensive</v>
      </c>
      <c r="AG2307">
        <f t="shared" si="756"/>
        <v>18981</v>
      </c>
      <c r="AH2307" t="str">
        <f t="shared" si="757"/>
        <v>Nelson</v>
      </c>
      <c r="AI2307" t="str">
        <f t="shared" si="758"/>
        <v>Velodrome</v>
      </c>
      <c r="AJ2307" s="18">
        <f t="shared" ref="AJ2307:AJ2370" si="772">IF(AND(L2307="",M2307=""),0,((J2307*60)+K2307)-((L2307*60)+M2307))</f>
        <v>1</v>
      </c>
      <c r="AP2307" s="18">
        <f t="shared" ref="AP2307:AP2370" si="773">SUMIFS(AJ2307:AJ2307,Q2307:Q2307,"=Intermission")</f>
        <v>0</v>
      </c>
      <c r="AQ2307">
        <f t="shared" ref="AQ2307:AQ2370" si="774">IF(E2307=1,0,IF(E2307=2,1080+AP2307,IF(E2307=3,(1080*2)+AP2307,0)))</f>
        <v>2160</v>
      </c>
      <c r="AR2307" s="23">
        <f t="shared" ref="AR2307:AR2370" si="775">IF(Q2307="Intermission",AR2306,((1080)-((J2307*60)+K2307))+AQ2307)</f>
        <v>3083</v>
      </c>
      <c r="AS2307">
        <f t="shared" si="759"/>
        <v>3078</v>
      </c>
      <c r="AT2307" s="21">
        <f t="shared" si="760"/>
        <v>3084</v>
      </c>
      <c r="AU2307" s="21"/>
      <c r="AV2307" s="21"/>
      <c r="AW2307" s="21"/>
    </row>
    <row r="2308" spans="1:49" x14ac:dyDescent="0.2">
      <c r="A2308">
        <v>1229</v>
      </c>
      <c r="E2308">
        <f t="shared" ref="E2308:E2371" si="776">IF(Q2308="Intermission",E2307+1,E2307)</f>
        <v>3</v>
      </c>
      <c r="F2308" s="5" t="s">
        <v>534</v>
      </c>
      <c r="G2308" s="5" t="s">
        <v>508</v>
      </c>
      <c r="J2308" t="str">
        <f t="shared" si="762"/>
        <v>2</v>
      </c>
      <c r="K2308" t="str">
        <f t="shared" si="763"/>
        <v>36</v>
      </c>
      <c r="L2308" t="str">
        <f t="shared" si="764"/>
        <v/>
      </c>
      <c r="M2308" s="6" t="str">
        <f t="shared" si="765"/>
        <v/>
      </c>
      <c r="N2308" t="s">
        <v>178</v>
      </c>
      <c r="O2308">
        <v>79</v>
      </c>
      <c r="P2308" t="s">
        <v>424</v>
      </c>
      <c r="Q2308" t="s">
        <v>10</v>
      </c>
      <c r="R2308" t="s">
        <v>200</v>
      </c>
      <c r="S2308" t="s">
        <v>82</v>
      </c>
      <c r="Y2308" t="str">
        <f t="shared" si="769"/>
        <v/>
      </c>
      <c r="Z2308" t="str">
        <f t="shared" si="770"/>
        <v/>
      </c>
      <c r="AC2308" t="str">
        <f t="shared" si="766"/>
        <v>Turnover</v>
      </c>
      <c r="AD2308" t="str">
        <f t="shared" si="767"/>
        <v>Turnover_Takeaway</v>
      </c>
      <c r="AE2308" t="str">
        <f t="shared" si="768"/>
        <v>Takeaway-PokeCheck</v>
      </c>
      <c r="AF2308" t="str">
        <f t="shared" si="771"/>
        <v>Defensive</v>
      </c>
      <c r="AG2308">
        <f t="shared" ref="AG2308:AG2371" si="777">AG2307</f>
        <v>18981</v>
      </c>
      <c r="AH2308" t="str">
        <f t="shared" ref="AH2308:AH2371" si="778">AH2307</f>
        <v>Nelson</v>
      </c>
      <c r="AI2308" t="str">
        <f t="shared" ref="AI2308:AI2371" si="779">AI2307</f>
        <v>Velodrome</v>
      </c>
      <c r="AJ2308" s="18">
        <f t="shared" si="772"/>
        <v>0</v>
      </c>
      <c r="AP2308" s="18">
        <f t="shared" si="773"/>
        <v>0</v>
      </c>
      <c r="AQ2308">
        <f t="shared" si="774"/>
        <v>2160</v>
      </c>
      <c r="AR2308" s="23">
        <f t="shared" si="775"/>
        <v>3084</v>
      </c>
      <c r="AS2308">
        <f t="shared" ref="AS2308:AS2371" si="780">IF(AR2308&lt;5,0,AR2308-5)</f>
        <v>3079</v>
      </c>
      <c r="AT2308" s="21">
        <f t="shared" ref="AT2308:AT2371" si="781">AS2308+AJ2308+5</f>
        <v>3084</v>
      </c>
      <c r="AU2308" s="21"/>
      <c r="AV2308" s="21"/>
      <c r="AW2308" s="21"/>
    </row>
    <row r="2309" spans="1:49" x14ac:dyDescent="0.2">
      <c r="A2309">
        <v>1229</v>
      </c>
      <c r="E2309">
        <f t="shared" si="776"/>
        <v>3</v>
      </c>
      <c r="J2309" t="str">
        <f t="shared" si="762"/>
        <v>2</v>
      </c>
      <c r="K2309" t="str">
        <f t="shared" si="763"/>
        <v>36</v>
      </c>
      <c r="L2309" t="str">
        <f t="shared" si="764"/>
        <v/>
      </c>
      <c r="M2309" s="6" t="str">
        <f t="shared" si="765"/>
        <v/>
      </c>
      <c r="N2309" t="str">
        <f t="shared" si="761"/>
        <v>Home</v>
      </c>
      <c r="O2309">
        <v>84</v>
      </c>
      <c r="P2309" t="s">
        <v>425</v>
      </c>
      <c r="Y2309" t="str">
        <f t="shared" si="769"/>
        <v/>
      </c>
      <c r="Z2309" t="str">
        <f t="shared" si="770"/>
        <v/>
      </c>
      <c r="AC2309" t="str">
        <f t="shared" si="766"/>
        <v>Turnover</v>
      </c>
      <c r="AD2309" t="str">
        <f t="shared" si="767"/>
        <v>Turnover_Takeaway</v>
      </c>
      <c r="AE2309" t="str">
        <f t="shared" si="768"/>
        <v>Takeaway-PokeCheck</v>
      </c>
      <c r="AF2309" t="str">
        <f t="shared" si="771"/>
        <v>Offensive</v>
      </c>
      <c r="AG2309">
        <f t="shared" si="777"/>
        <v>18981</v>
      </c>
      <c r="AH2309" t="str">
        <f t="shared" si="778"/>
        <v>Nelson</v>
      </c>
      <c r="AI2309" t="str">
        <f t="shared" si="779"/>
        <v>Velodrome</v>
      </c>
      <c r="AJ2309" s="18">
        <f t="shared" si="772"/>
        <v>0</v>
      </c>
      <c r="AP2309" s="18">
        <f t="shared" si="773"/>
        <v>0</v>
      </c>
      <c r="AQ2309">
        <f t="shared" si="774"/>
        <v>2160</v>
      </c>
      <c r="AR2309" s="23">
        <f t="shared" si="775"/>
        <v>3084</v>
      </c>
      <c r="AS2309">
        <f t="shared" si="780"/>
        <v>3079</v>
      </c>
      <c r="AT2309" s="21">
        <f t="shared" si="781"/>
        <v>3084</v>
      </c>
      <c r="AU2309" s="21"/>
      <c r="AV2309" s="21"/>
      <c r="AW2309" s="21"/>
    </row>
    <row r="2310" spans="1:49" x14ac:dyDescent="0.2">
      <c r="A2310">
        <v>1230</v>
      </c>
      <c r="E2310">
        <f t="shared" si="776"/>
        <v>3</v>
      </c>
      <c r="F2310" s="5" t="s">
        <v>534</v>
      </c>
      <c r="G2310" s="5" t="s">
        <v>508</v>
      </c>
      <c r="J2310" t="str">
        <f t="shared" si="762"/>
        <v>2</v>
      </c>
      <c r="K2310" t="str">
        <f t="shared" si="763"/>
        <v>36</v>
      </c>
      <c r="L2310" t="str">
        <f t="shared" si="764"/>
        <v/>
      </c>
      <c r="M2310" s="6" t="str">
        <f t="shared" si="765"/>
        <v/>
      </c>
      <c r="N2310" t="s">
        <v>178</v>
      </c>
      <c r="O2310">
        <v>79</v>
      </c>
      <c r="P2310" t="s">
        <v>424</v>
      </c>
      <c r="Q2310" t="s">
        <v>277</v>
      </c>
      <c r="R2310" t="s">
        <v>191</v>
      </c>
      <c r="S2310" t="s">
        <v>89</v>
      </c>
      <c r="Y2310" t="str">
        <f t="shared" si="769"/>
        <v/>
      </c>
      <c r="Z2310" t="str">
        <f t="shared" si="770"/>
        <v/>
      </c>
      <c r="AC2310" t="str">
        <f t="shared" si="766"/>
        <v>Zone_Entry_Exit</v>
      </c>
      <c r="AD2310" t="str">
        <f t="shared" si="767"/>
        <v>Zone_Entry</v>
      </c>
      <c r="AE2310" t="str">
        <f t="shared" si="768"/>
        <v>ZoneEntry-DumpIn</v>
      </c>
      <c r="AF2310" t="str">
        <f t="shared" si="771"/>
        <v>Offensive</v>
      </c>
      <c r="AG2310">
        <f t="shared" si="777"/>
        <v>18981</v>
      </c>
      <c r="AH2310" t="str">
        <f t="shared" si="778"/>
        <v>Nelson</v>
      </c>
      <c r="AI2310" t="str">
        <f t="shared" si="779"/>
        <v>Velodrome</v>
      </c>
      <c r="AJ2310" s="18">
        <f t="shared" si="772"/>
        <v>0</v>
      </c>
      <c r="AP2310" s="18">
        <f t="shared" si="773"/>
        <v>0</v>
      </c>
      <c r="AQ2310">
        <f t="shared" si="774"/>
        <v>2160</v>
      </c>
      <c r="AR2310" s="23">
        <f t="shared" si="775"/>
        <v>3084</v>
      </c>
      <c r="AS2310">
        <f t="shared" si="780"/>
        <v>3079</v>
      </c>
      <c r="AT2310" s="21">
        <f t="shared" si="781"/>
        <v>3084</v>
      </c>
      <c r="AU2310" s="21"/>
      <c r="AV2310" s="21"/>
      <c r="AW2310" s="21"/>
    </row>
    <row r="2311" spans="1:49" x14ac:dyDescent="0.2">
      <c r="A2311">
        <v>1231</v>
      </c>
      <c r="E2311">
        <f t="shared" si="776"/>
        <v>3</v>
      </c>
      <c r="F2311" s="5" t="s">
        <v>534</v>
      </c>
      <c r="G2311" s="5" t="s">
        <v>501</v>
      </c>
      <c r="H2311" s="5" t="s">
        <v>534</v>
      </c>
      <c r="I2311" s="7" t="s">
        <v>498</v>
      </c>
      <c r="J2311" t="str">
        <f t="shared" si="762"/>
        <v>2</v>
      </c>
      <c r="K2311" t="str">
        <f t="shared" si="763"/>
        <v>29</v>
      </c>
      <c r="L2311" t="str">
        <f t="shared" si="764"/>
        <v>2</v>
      </c>
      <c r="M2311" s="6" t="str">
        <f t="shared" si="765"/>
        <v>26</v>
      </c>
      <c r="N2311" t="s">
        <v>179</v>
      </c>
      <c r="O2311">
        <v>22</v>
      </c>
      <c r="P2311" t="s">
        <v>424</v>
      </c>
      <c r="Q2311" t="s">
        <v>15</v>
      </c>
      <c r="Y2311" t="str">
        <f t="shared" si="769"/>
        <v/>
      </c>
      <c r="Z2311" t="str">
        <f t="shared" si="770"/>
        <v/>
      </c>
      <c r="AC2311" t="str">
        <f t="shared" si="766"/>
        <v>Possession</v>
      </c>
      <c r="AD2311" t="str">
        <f t="shared" si="767"/>
        <v/>
      </c>
      <c r="AE2311" t="str">
        <f t="shared" si="768"/>
        <v/>
      </c>
      <c r="AF2311" t="str">
        <f t="shared" si="771"/>
        <v>Offensive</v>
      </c>
      <c r="AG2311">
        <f t="shared" si="777"/>
        <v>18981</v>
      </c>
      <c r="AH2311" t="str">
        <f t="shared" si="778"/>
        <v>Nelson</v>
      </c>
      <c r="AI2311" t="str">
        <f t="shared" si="779"/>
        <v>Velodrome</v>
      </c>
      <c r="AJ2311" s="18">
        <f t="shared" si="772"/>
        <v>3</v>
      </c>
      <c r="AP2311" s="18">
        <f t="shared" si="773"/>
        <v>0</v>
      </c>
      <c r="AQ2311">
        <f t="shared" si="774"/>
        <v>2160</v>
      </c>
      <c r="AR2311" s="23">
        <f t="shared" si="775"/>
        <v>3091</v>
      </c>
      <c r="AS2311">
        <f t="shared" si="780"/>
        <v>3086</v>
      </c>
      <c r="AT2311" s="21">
        <f t="shared" si="781"/>
        <v>3094</v>
      </c>
      <c r="AU2311" s="21"/>
      <c r="AV2311" s="21"/>
      <c r="AW2311" s="21"/>
    </row>
    <row r="2312" spans="1:49" x14ac:dyDescent="0.2">
      <c r="A2312">
        <v>1232</v>
      </c>
      <c r="E2312">
        <f t="shared" si="776"/>
        <v>3</v>
      </c>
      <c r="F2312" s="5" t="s">
        <v>534</v>
      </c>
      <c r="G2312" s="5" t="s">
        <v>498</v>
      </c>
      <c r="J2312" t="str">
        <f t="shared" si="762"/>
        <v>2</v>
      </c>
      <c r="K2312" t="str">
        <f t="shared" si="763"/>
        <v>26</v>
      </c>
      <c r="L2312" t="str">
        <f t="shared" si="764"/>
        <v/>
      </c>
      <c r="M2312" s="6" t="str">
        <f t="shared" si="765"/>
        <v/>
      </c>
      <c r="N2312" t="s">
        <v>179</v>
      </c>
      <c r="O2312">
        <v>22</v>
      </c>
      <c r="P2312" t="s">
        <v>424</v>
      </c>
      <c r="Q2312" t="s">
        <v>8</v>
      </c>
      <c r="R2312" t="s">
        <v>216</v>
      </c>
      <c r="S2312" t="s">
        <v>67</v>
      </c>
      <c r="Y2312" t="str">
        <f t="shared" si="769"/>
        <v/>
      </c>
      <c r="Z2312" t="str">
        <f t="shared" si="770"/>
        <v/>
      </c>
      <c r="AC2312" t="str">
        <f t="shared" si="766"/>
        <v>Pass</v>
      </c>
      <c r="AD2312" t="str">
        <f t="shared" si="767"/>
        <v>Pass_Intercepted</v>
      </c>
      <c r="AE2312" t="str">
        <f t="shared" si="768"/>
        <v>Pass-Stretch</v>
      </c>
      <c r="AF2312" t="str">
        <f t="shared" si="771"/>
        <v>Offensive</v>
      </c>
      <c r="AG2312">
        <f t="shared" si="777"/>
        <v>18981</v>
      </c>
      <c r="AH2312" t="str">
        <f t="shared" si="778"/>
        <v>Nelson</v>
      </c>
      <c r="AI2312" t="str">
        <f t="shared" si="779"/>
        <v>Velodrome</v>
      </c>
      <c r="AJ2312" s="18">
        <f t="shared" si="772"/>
        <v>0</v>
      </c>
      <c r="AP2312" s="18">
        <f t="shared" si="773"/>
        <v>0</v>
      </c>
      <c r="AQ2312">
        <f t="shared" si="774"/>
        <v>2160</v>
      </c>
      <c r="AR2312" s="23">
        <f t="shared" si="775"/>
        <v>3094</v>
      </c>
      <c r="AS2312">
        <f t="shared" si="780"/>
        <v>3089</v>
      </c>
      <c r="AT2312" s="21">
        <f t="shared" si="781"/>
        <v>3094</v>
      </c>
      <c r="AU2312" s="21"/>
      <c r="AV2312" s="21"/>
      <c r="AW2312" s="21"/>
    </row>
    <row r="2313" spans="1:49" x14ac:dyDescent="0.2">
      <c r="A2313">
        <v>1232</v>
      </c>
      <c r="E2313">
        <f t="shared" si="776"/>
        <v>3</v>
      </c>
      <c r="J2313" t="str">
        <f t="shared" ref="J2313:J2376" si="782">IF(F2313&lt;&gt;"",F2313,IF($A2313=$A2312,J2312,J2313))</f>
        <v>2</v>
      </c>
      <c r="K2313" t="str">
        <f t="shared" ref="K2313:K2376" si="783">IF($A2313=$A2312,K2312,G2313)</f>
        <v>26</v>
      </c>
      <c r="L2313" t="str">
        <f t="shared" ref="L2313:L2376" si="784">IF(H2313&lt;&gt;"",H2313,IF($A2313=$A2312,L2312,""))</f>
        <v/>
      </c>
      <c r="M2313" s="6" t="str">
        <f t="shared" ref="M2313:M2376" si="785">IF(I2313&lt;&gt;"",I2313,IF($A2313=$A2312,M2312,""))</f>
        <v/>
      </c>
      <c r="N2313" t="str">
        <f t="shared" ref="N2313:N2373" si="786">IF(A2313=A2312,N2312,"")</f>
        <v>Away</v>
      </c>
      <c r="O2313">
        <v>87</v>
      </c>
      <c r="P2313" t="s">
        <v>424</v>
      </c>
      <c r="Y2313" t="str">
        <f t="shared" si="769"/>
        <v/>
      </c>
      <c r="Z2313" t="str">
        <f t="shared" si="770"/>
        <v/>
      </c>
      <c r="AC2313" t="str">
        <f t="shared" si="766"/>
        <v>Pass</v>
      </c>
      <c r="AD2313" t="str">
        <f t="shared" si="767"/>
        <v>Pass_Intercepted</v>
      </c>
      <c r="AE2313" t="str">
        <f t="shared" si="768"/>
        <v>Pass-Stretch</v>
      </c>
      <c r="AF2313" t="str">
        <f t="shared" si="771"/>
        <v>Offensive</v>
      </c>
      <c r="AG2313">
        <f t="shared" si="777"/>
        <v>18981</v>
      </c>
      <c r="AH2313" t="str">
        <f t="shared" si="778"/>
        <v>Nelson</v>
      </c>
      <c r="AI2313" t="str">
        <f t="shared" si="779"/>
        <v>Velodrome</v>
      </c>
      <c r="AJ2313" s="18">
        <f t="shared" si="772"/>
        <v>0</v>
      </c>
      <c r="AP2313" s="18">
        <f t="shared" si="773"/>
        <v>0</v>
      </c>
      <c r="AQ2313">
        <f t="shared" si="774"/>
        <v>2160</v>
      </c>
      <c r="AR2313" s="23">
        <f t="shared" si="775"/>
        <v>3094</v>
      </c>
      <c r="AS2313">
        <f t="shared" si="780"/>
        <v>3089</v>
      </c>
      <c r="AT2313" s="21">
        <f t="shared" si="781"/>
        <v>3094</v>
      </c>
      <c r="AU2313" s="21"/>
      <c r="AV2313" s="21"/>
      <c r="AW2313" s="21"/>
    </row>
    <row r="2314" spans="1:49" x14ac:dyDescent="0.2">
      <c r="A2314">
        <v>1232</v>
      </c>
      <c r="E2314">
        <f t="shared" si="776"/>
        <v>3</v>
      </c>
      <c r="J2314" t="str">
        <f t="shared" si="782"/>
        <v>2</v>
      </c>
      <c r="K2314" t="str">
        <f t="shared" si="783"/>
        <v>26</v>
      </c>
      <c r="L2314" t="str">
        <f t="shared" si="784"/>
        <v/>
      </c>
      <c r="M2314" s="6" t="str">
        <f t="shared" si="785"/>
        <v/>
      </c>
      <c r="N2314" t="str">
        <f t="shared" si="786"/>
        <v>Away</v>
      </c>
      <c r="O2314">
        <v>79</v>
      </c>
      <c r="P2314" t="s">
        <v>425</v>
      </c>
      <c r="Y2314" t="str">
        <f t="shared" si="769"/>
        <v/>
      </c>
      <c r="Z2314" t="str">
        <f t="shared" si="770"/>
        <v/>
      </c>
      <c r="AC2314" t="str">
        <f t="shared" si="766"/>
        <v>Pass</v>
      </c>
      <c r="AD2314" t="str">
        <f t="shared" si="767"/>
        <v>Pass_Intercepted</v>
      </c>
      <c r="AE2314" t="str">
        <f t="shared" si="768"/>
        <v>Pass-Stretch</v>
      </c>
      <c r="AF2314" t="str">
        <f t="shared" si="771"/>
        <v>Defensive</v>
      </c>
      <c r="AG2314">
        <f t="shared" si="777"/>
        <v>18981</v>
      </c>
      <c r="AH2314" t="str">
        <f t="shared" si="778"/>
        <v>Nelson</v>
      </c>
      <c r="AI2314" t="str">
        <f t="shared" si="779"/>
        <v>Velodrome</v>
      </c>
      <c r="AJ2314" s="18">
        <f t="shared" si="772"/>
        <v>0</v>
      </c>
      <c r="AP2314" s="18">
        <f t="shared" si="773"/>
        <v>0</v>
      </c>
      <c r="AQ2314">
        <f t="shared" si="774"/>
        <v>2160</v>
      </c>
      <c r="AR2314" s="23">
        <f t="shared" si="775"/>
        <v>3094</v>
      </c>
      <c r="AS2314">
        <f t="shared" si="780"/>
        <v>3089</v>
      </c>
      <c r="AT2314" s="21">
        <f t="shared" si="781"/>
        <v>3094</v>
      </c>
      <c r="AU2314" s="21"/>
      <c r="AV2314" s="21"/>
      <c r="AW2314" s="21"/>
    </row>
    <row r="2315" spans="1:49" x14ac:dyDescent="0.2">
      <c r="A2315">
        <v>1233</v>
      </c>
      <c r="E2315">
        <f t="shared" si="776"/>
        <v>3</v>
      </c>
      <c r="F2315" s="5" t="s">
        <v>534</v>
      </c>
      <c r="G2315" s="5" t="s">
        <v>498</v>
      </c>
      <c r="J2315" t="str">
        <f t="shared" si="782"/>
        <v>2</v>
      </c>
      <c r="K2315" t="str">
        <f t="shared" si="783"/>
        <v>26</v>
      </c>
      <c r="L2315" t="str">
        <f t="shared" si="784"/>
        <v/>
      </c>
      <c r="M2315" s="6" t="str">
        <f t="shared" si="785"/>
        <v/>
      </c>
      <c r="N2315" t="s">
        <v>179</v>
      </c>
      <c r="O2315">
        <v>22</v>
      </c>
      <c r="P2315" t="s">
        <v>424</v>
      </c>
      <c r="Q2315" t="s">
        <v>277</v>
      </c>
      <c r="R2315" t="s">
        <v>201</v>
      </c>
      <c r="S2315" t="s">
        <v>433</v>
      </c>
      <c r="Y2315" t="str">
        <f t="shared" si="769"/>
        <v/>
      </c>
      <c r="Z2315" t="str">
        <f t="shared" si="770"/>
        <v/>
      </c>
      <c r="AC2315" t="str">
        <f t="shared" si="766"/>
        <v>Zone_Entry_Exit</v>
      </c>
      <c r="AD2315" t="str">
        <f t="shared" si="767"/>
        <v>Zone_Exit</v>
      </c>
      <c r="AE2315" t="str">
        <f t="shared" si="768"/>
        <v>ZoneExit-PassMiss/Misplay</v>
      </c>
      <c r="AF2315" t="str">
        <f t="shared" si="771"/>
        <v>Offensive</v>
      </c>
      <c r="AG2315">
        <f t="shared" si="777"/>
        <v>18981</v>
      </c>
      <c r="AH2315" t="str">
        <f t="shared" si="778"/>
        <v>Nelson</v>
      </c>
      <c r="AI2315" t="str">
        <f t="shared" si="779"/>
        <v>Velodrome</v>
      </c>
      <c r="AJ2315" s="18">
        <f t="shared" si="772"/>
        <v>0</v>
      </c>
      <c r="AP2315" s="18">
        <f t="shared" si="773"/>
        <v>0</v>
      </c>
      <c r="AQ2315">
        <f t="shared" si="774"/>
        <v>2160</v>
      </c>
      <c r="AR2315" s="23">
        <f t="shared" si="775"/>
        <v>3094</v>
      </c>
      <c r="AS2315">
        <f t="shared" si="780"/>
        <v>3089</v>
      </c>
      <c r="AT2315" s="21">
        <f t="shared" si="781"/>
        <v>3094</v>
      </c>
      <c r="AU2315" s="21"/>
      <c r="AV2315" s="21"/>
      <c r="AW2315" s="21"/>
    </row>
    <row r="2316" spans="1:49" x14ac:dyDescent="0.2">
      <c r="A2316">
        <v>1233</v>
      </c>
      <c r="E2316">
        <f t="shared" si="776"/>
        <v>3</v>
      </c>
      <c r="J2316" t="str">
        <f t="shared" si="782"/>
        <v>2</v>
      </c>
      <c r="K2316" t="str">
        <f t="shared" si="783"/>
        <v>26</v>
      </c>
      <c r="L2316" t="str">
        <f t="shared" si="784"/>
        <v/>
      </c>
      <c r="M2316" s="6" t="str">
        <f t="shared" si="785"/>
        <v/>
      </c>
      <c r="N2316" t="str">
        <f t="shared" si="786"/>
        <v>Away</v>
      </c>
      <c r="O2316">
        <v>87</v>
      </c>
      <c r="P2316" t="s">
        <v>424</v>
      </c>
      <c r="Y2316" t="str">
        <f t="shared" si="769"/>
        <v/>
      </c>
      <c r="Z2316" t="str">
        <f t="shared" si="770"/>
        <v/>
      </c>
      <c r="AC2316" t="str">
        <f t="shared" si="766"/>
        <v>Zone_Entry_Exit</v>
      </c>
      <c r="AD2316" t="str">
        <f t="shared" si="767"/>
        <v>Zone_Exit</v>
      </c>
      <c r="AE2316" t="str">
        <f t="shared" si="768"/>
        <v>ZoneExit-PassMiss/Misplay</v>
      </c>
      <c r="AF2316" t="str">
        <f t="shared" si="771"/>
        <v>Offensive</v>
      </c>
      <c r="AG2316">
        <f t="shared" si="777"/>
        <v>18981</v>
      </c>
      <c r="AH2316" t="str">
        <f t="shared" si="778"/>
        <v>Nelson</v>
      </c>
      <c r="AI2316" t="str">
        <f t="shared" si="779"/>
        <v>Velodrome</v>
      </c>
      <c r="AJ2316" s="18">
        <f t="shared" si="772"/>
        <v>0</v>
      </c>
      <c r="AP2316" s="18">
        <f t="shared" si="773"/>
        <v>0</v>
      </c>
      <c r="AQ2316">
        <f t="shared" si="774"/>
        <v>2160</v>
      </c>
      <c r="AR2316" s="23">
        <f t="shared" si="775"/>
        <v>3094</v>
      </c>
      <c r="AS2316">
        <f t="shared" si="780"/>
        <v>3089</v>
      </c>
      <c r="AT2316" s="21">
        <f t="shared" si="781"/>
        <v>3094</v>
      </c>
      <c r="AU2316" s="21"/>
      <c r="AV2316" s="21"/>
      <c r="AW2316" s="21"/>
    </row>
    <row r="2317" spans="1:49" x14ac:dyDescent="0.2">
      <c r="A2317">
        <v>1233</v>
      </c>
      <c r="E2317">
        <f t="shared" si="776"/>
        <v>3</v>
      </c>
      <c r="J2317" t="str">
        <f t="shared" si="782"/>
        <v>2</v>
      </c>
      <c r="K2317" t="str">
        <f t="shared" si="783"/>
        <v>26</v>
      </c>
      <c r="L2317" t="str">
        <f t="shared" si="784"/>
        <v/>
      </c>
      <c r="M2317" s="6" t="str">
        <f t="shared" si="785"/>
        <v/>
      </c>
      <c r="N2317" t="str">
        <f t="shared" si="786"/>
        <v>Away</v>
      </c>
      <c r="O2317">
        <v>79</v>
      </c>
      <c r="P2317" t="s">
        <v>425</v>
      </c>
      <c r="Y2317" t="str">
        <f t="shared" si="769"/>
        <v/>
      </c>
      <c r="Z2317" t="str">
        <f t="shared" si="770"/>
        <v/>
      </c>
      <c r="AC2317" t="str">
        <f t="shared" si="766"/>
        <v>Zone_Entry_Exit</v>
      </c>
      <c r="AD2317" t="str">
        <f t="shared" si="767"/>
        <v>Zone_Exit</v>
      </c>
      <c r="AE2317" t="str">
        <f t="shared" si="768"/>
        <v>ZoneExit-PassMiss/Misplay</v>
      </c>
      <c r="AF2317" t="str">
        <f t="shared" si="771"/>
        <v>Defensive</v>
      </c>
      <c r="AG2317">
        <f t="shared" si="777"/>
        <v>18981</v>
      </c>
      <c r="AH2317" t="str">
        <f t="shared" si="778"/>
        <v>Nelson</v>
      </c>
      <c r="AI2317" t="str">
        <f t="shared" si="779"/>
        <v>Velodrome</v>
      </c>
      <c r="AJ2317" s="18">
        <f t="shared" si="772"/>
        <v>0</v>
      </c>
      <c r="AP2317" s="18">
        <f t="shared" si="773"/>
        <v>0</v>
      </c>
      <c r="AQ2317">
        <f t="shared" si="774"/>
        <v>2160</v>
      </c>
      <c r="AR2317" s="23">
        <f t="shared" si="775"/>
        <v>3094</v>
      </c>
      <c r="AS2317">
        <f t="shared" si="780"/>
        <v>3089</v>
      </c>
      <c r="AT2317" s="21">
        <f t="shared" si="781"/>
        <v>3094</v>
      </c>
      <c r="AU2317" s="21"/>
      <c r="AV2317" s="21"/>
      <c r="AW2317" s="21"/>
    </row>
    <row r="2318" spans="1:49" x14ac:dyDescent="0.2">
      <c r="A2318">
        <v>1234</v>
      </c>
      <c r="E2318">
        <f t="shared" si="776"/>
        <v>3</v>
      </c>
      <c r="F2318" s="5" t="s">
        <v>534</v>
      </c>
      <c r="G2318" s="5" t="s">
        <v>498</v>
      </c>
      <c r="J2318" t="str">
        <f t="shared" si="782"/>
        <v>2</v>
      </c>
      <c r="K2318" t="str">
        <f t="shared" si="783"/>
        <v>26</v>
      </c>
      <c r="L2318" t="str">
        <f t="shared" si="784"/>
        <v/>
      </c>
      <c r="M2318" s="6" t="str">
        <f t="shared" si="785"/>
        <v/>
      </c>
      <c r="N2318" t="s">
        <v>179</v>
      </c>
      <c r="O2318">
        <v>22</v>
      </c>
      <c r="P2318" t="s">
        <v>424</v>
      </c>
      <c r="Q2318" t="s">
        <v>10</v>
      </c>
      <c r="R2318" t="s">
        <v>190</v>
      </c>
      <c r="S2318" t="s">
        <v>75</v>
      </c>
      <c r="Y2318" t="str">
        <f t="shared" si="769"/>
        <v/>
      </c>
      <c r="Z2318" t="str">
        <f t="shared" si="770"/>
        <v/>
      </c>
      <c r="AC2318" t="str">
        <f t="shared" si="766"/>
        <v>Turnover</v>
      </c>
      <c r="AD2318" t="str">
        <f t="shared" si="767"/>
        <v>Turnover_Giveaway</v>
      </c>
      <c r="AE2318" t="str">
        <f t="shared" si="768"/>
        <v>Giveaway-PassIntercepted</v>
      </c>
      <c r="AF2318" t="str">
        <f t="shared" si="771"/>
        <v>Offensive</v>
      </c>
      <c r="AG2318">
        <f t="shared" si="777"/>
        <v>18981</v>
      </c>
      <c r="AH2318" t="str">
        <f t="shared" si="778"/>
        <v>Nelson</v>
      </c>
      <c r="AI2318" t="str">
        <f t="shared" si="779"/>
        <v>Velodrome</v>
      </c>
      <c r="AJ2318" s="18">
        <f t="shared" si="772"/>
        <v>0</v>
      </c>
      <c r="AP2318" s="18">
        <f t="shared" si="773"/>
        <v>0</v>
      </c>
      <c r="AQ2318">
        <f t="shared" si="774"/>
        <v>2160</v>
      </c>
      <c r="AR2318" s="23">
        <f t="shared" si="775"/>
        <v>3094</v>
      </c>
      <c r="AS2318">
        <f t="shared" si="780"/>
        <v>3089</v>
      </c>
      <c r="AT2318" s="21">
        <f t="shared" si="781"/>
        <v>3094</v>
      </c>
      <c r="AU2318" s="21"/>
      <c r="AV2318" s="21"/>
      <c r="AW2318" s="21"/>
    </row>
    <row r="2319" spans="1:49" x14ac:dyDescent="0.2">
      <c r="A2319">
        <v>1234</v>
      </c>
      <c r="E2319">
        <f t="shared" si="776"/>
        <v>3</v>
      </c>
      <c r="J2319" t="str">
        <f t="shared" si="782"/>
        <v>2</v>
      </c>
      <c r="K2319" t="str">
        <f t="shared" si="783"/>
        <v>26</v>
      </c>
      <c r="L2319" t="str">
        <f t="shared" si="784"/>
        <v/>
      </c>
      <c r="M2319" s="6" t="str">
        <f t="shared" si="785"/>
        <v/>
      </c>
      <c r="N2319" t="str">
        <f t="shared" si="786"/>
        <v>Away</v>
      </c>
      <c r="O2319">
        <v>87</v>
      </c>
      <c r="P2319" t="s">
        <v>424</v>
      </c>
      <c r="Y2319" t="str">
        <f t="shared" si="769"/>
        <v/>
      </c>
      <c r="Z2319" t="str">
        <f t="shared" si="770"/>
        <v/>
      </c>
      <c r="AC2319" t="str">
        <f t="shared" si="766"/>
        <v>Turnover</v>
      </c>
      <c r="AD2319" t="str">
        <f t="shared" si="767"/>
        <v>Turnover_Giveaway</v>
      </c>
      <c r="AE2319" t="str">
        <f t="shared" si="768"/>
        <v>Giveaway-PassIntercepted</v>
      </c>
      <c r="AF2319" t="str">
        <f t="shared" si="771"/>
        <v>Offensive</v>
      </c>
      <c r="AG2319">
        <f t="shared" si="777"/>
        <v>18981</v>
      </c>
      <c r="AH2319" t="str">
        <f t="shared" si="778"/>
        <v>Nelson</v>
      </c>
      <c r="AI2319" t="str">
        <f t="shared" si="779"/>
        <v>Velodrome</v>
      </c>
      <c r="AJ2319" s="18">
        <f t="shared" si="772"/>
        <v>0</v>
      </c>
      <c r="AP2319" s="18">
        <f t="shared" si="773"/>
        <v>0</v>
      </c>
      <c r="AQ2319">
        <f t="shared" si="774"/>
        <v>2160</v>
      </c>
      <c r="AR2319" s="23">
        <f t="shared" si="775"/>
        <v>3094</v>
      </c>
      <c r="AS2319">
        <f t="shared" si="780"/>
        <v>3089</v>
      </c>
      <c r="AT2319" s="21">
        <f t="shared" si="781"/>
        <v>3094</v>
      </c>
      <c r="AU2319" s="21"/>
      <c r="AV2319" s="21"/>
      <c r="AW2319" s="21"/>
    </row>
    <row r="2320" spans="1:49" x14ac:dyDescent="0.2">
      <c r="A2320">
        <v>1234</v>
      </c>
      <c r="E2320">
        <f t="shared" si="776"/>
        <v>3</v>
      </c>
      <c r="J2320" t="str">
        <f t="shared" si="782"/>
        <v>2</v>
      </c>
      <c r="K2320" t="str">
        <f t="shared" si="783"/>
        <v>26</v>
      </c>
      <c r="L2320" t="str">
        <f t="shared" si="784"/>
        <v/>
      </c>
      <c r="M2320" s="6" t="str">
        <f t="shared" si="785"/>
        <v/>
      </c>
      <c r="N2320" t="str">
        <f t="shared" si="786"/>
        <v>Away</v>
      </c>
      <c r="O2320">
        <v>79</v>
      </c>
      <c r="P2320" t="s">
        <v>425</v>
      </c>
      <c r="Y2320" t="str">
        <f t="shared" si="769"/>
        <v/>
      </c>
      <c r="Z2320" t="str">
        <f t="shared" si="770"/>
        <v/>
      </c>
      <c r="AC2320" t="str">
        <f t="shared" si="766"/>
        <v>Turnover</v>
      </c>
      <c r="AD2320" t="str">
        <f t="shared" si="767"/>
        <v>Turnover_Giveaway</v>
      </c>
      <c r="AE2320" t="str">
        <f t="shared" si="768"/>
        <v>Giveaway-PassIntercepted</v>
      </c>
      <c r="AF2320" t="str">
        <f t="shared" si="771"/>
        <v>Defensive</v>
      </c>
      <c r="AG2320">
        <f t="shared" si="777"/>
        <v>18981</v>
      </c>
      <c r="AH2320" t="str">
        <f t="shared" si="778"/>
        <v>Nelson</v>
      </c>
      <c r="AI2320" t="str">
        <f t="shared" si="779"/>
        <v>Velodrome</v>
      </c>
      <c r="AJ2320" s="18">
        <f t="shared" si="772"/>
        <v>0</v>
      </c>
      <c r="AP2320" s="18">
        <f t="shared" si="773"/>
        <v>0</v>
      </c>
      <c r="AQ2320">
        <f t="shared" si="774"/>
        <v>2160</v>
      </c>
      <c r="AR2320" s="23">
        <f t="shared" si="775"/>
        <v>3094</v>
      </c>
      <c r="AS2320">
        <f t="shared" si="780"/>
        <v>3089</v>
      </c>
      <c r="AT2320" s="21">
        <f t="shared" si="781"/>
        <v>3094</v>
      </c>
      <c r="AU2320" s="21"/>
      <c r="AV2320" s="21"/>
      <c r="AW2320" s="21"/>
    </row>
    <row r="2321" spans="1:49" x14ac:dyDescent="0.2">
      <c r="A2321">
        <v>1235</v>
      </c>
      <c r="E2321">
        <f t="shared" si="776"/>
        <v>3</v>
      </c>
      <c r="F2321" s="5" t="s">
        <v>534</v>
      </c>
      <c r="G2321" s="5" t="s">
        <v>496</v>
      </c>
      <c r="J2321" t="str">
        <f t="shared" si="782"/>
        <v>2</v>
      </c>
      <c r="K2321" t="str">
        <f t="shared" si="783"/>
        <v>24</v>
      </c>
      <c r="L2321" t="str">
        <f t="shared" si="784"/>
        <v/>
      </c>
      <c r="M2321" s="6" t="str">
        <f t="shared" si="785"/>
        <v/>
      </c>
      <c r="N2321" t="s">
        <v>178</v>
      </c>
      <c r="O2321">
        <v>79</v>
      </c>
      <c r="P2321" t="s">
        <v>424</v>
      </c>
      <c r="Q2321" t="s">
        <v>277</v>
      </c>
      <c r="R2321" t="s">
        <v>191</v>
      </c>
      <c r="S2321" t="s">
        <v>89</v>
      </c>
      <c r="Y2321" t="str">
        <f t="shared" si="769"/>
        <v/>
      </c>
      <c r="Z2321" t="str">
        <f t="shared" si="770"/>
        <v/>
      </c>
      <c r="AC2321" t="str">
        <f t="shared" si="766"/>
        <v>Zone_Entry_Exit</v>
      </c>
      <c r="AD2321" t="str">
        <f t="shared" si="767"/>
        <v>Zone_Entry</v>
      </c>
      <c r="AE2321" t="str">
        <f t="shared" si="768"/>
        <v>ZoneEntry-DumpIn</v>
      </c>
      <c r="AF2321" t="str">
        <f t="shared" si="771"/>
        <v>Offensive</v>
      </c>
      <c r="AG2321">
        <f t="shared" si="777"/>
        <v>18981</v>
      </c>
      <c r="AH2321" t="str">
        <f t="shared" si="778"/>
        <v>Nelson</v>
      </c>
      <c r="AI2321" t="str">
        <f t="shared" si="779"/>
        <v>Velodrome</v>
      </c>
      <c r="AJ2321" s="18">
        <f t="shared" si="772"/>
        <v>0</v>
      </c>
      <c r="AP2321" s="18">
        <f t="shared" si="773"/>
        <v>0</v>
      </c>
      <c r="AQ2321">
        <f t="shared" si="774"/>
        <v>2160</v>
      </c>
      <c r="AR2321" s="23">
        <f t="shared" si="775"/>
        <v>3096</v>
      </c>
      <c r="AS2321">
        <f t="shared" si="780"/>
        <v>3091</v>
      </c>
      <c r="AT2321" s="21">
        <f t="shared" si="781"/>
        <v>3096</v>
      </c>
      <c r="AU2321" s="21"/>
      <c r="AV2321" s="21"/>
      <c r="AW2321" s="21"/>
    </row>
    <row r="2322" spans="1:49" x14ac:dyDescent="0.2">
      <c r="A2322">
        <v>1236</v>
      </c>
      <c r="E2322">
        <f t="shared" si="776"/>
        <v>3</v>
      </c>
      <c r="F2322" s="5" t="s">
        <v>534</v>
      </c>
      <c r="G2322" s="5" t="s">
        <v>493</v>
      </c>
      <c r="H2322" s="5" t="s">
        <v>534</v>
      </c>
      <c r="I2322" s="7" t="s">
        <v>478</v>
      </c>
      <c r="J2322" t="str">
        <f t="shared" si="782"/>
        <v>2</v>
      </c>
      <c r="K2322" t="str">
        <f t="shared" si="783"/>
        <v>21</v>
      </c>
      <c r="L2322" t="str">
        <f t="shared" si="784"/>
        <v>2</v>
      </c>
      <c r="M2322" s="6" t="str">
        <f t="shared" si="785"/>
        <v>15</v>
      </c>
      <c r="N2322" t="s">
        <v>179</v>
      </c>
      <c r="O2322">
        <v>22</v>
      </c>
      <c r="P2322" t="s">
        <v>424</v>
      </c>
      <c r="Q2322" t="s">
        <v>15</v>
      </c>
      <c r="Y2322" t="str">
        <f t="shared" si="769"/>
        <v/>
      </c>
      <c r="Z2322" t="str">
        <f t="shared" si="770"/>
        <v/>
      </c>
      <c r="AC2322" t="str">
        <f t="shared" si="766"/>
        <v>Possession</v>
      </c>
      <c r="AD2322" t="str">
        <f t="shared" si="767"/>
        <v/>
      </c>
      <c r="AE2322" t="str">
        <f t="shared" si="768"/>
        <v/>
      </c>
      <c r="AF2322" t="str">
        <f t="shared" si="771"/>
        <v>Offensive</v>
      </c>
      <c r="AG2322">
        <f t="shared" si="777"/>
        <v>18981</v>
      </c>
      <c r="AH2322" t="str">
        <f t="shared" si="778"/>
        <v>Nelson</v>
      </c>
      <c r="AI2322" t="str">
        <f t="shared" si="779"/>
        <v>Velodrome</v>
      </c>
      <c r="AJ2322" s="18">
        <f t="shared" si="772"/>
        <v>6</v>
      </c>
      <c r="AP2322" s="18">
        <f t="shared" si="773"/>
        <v>0</v>
      </c>
      <c r="AQ2322">
        <f t="shared" si="774"/>
        <v>2160</v>
      </c>
      <c r="AR2322" s="23">
        <f t="shared" si="775"/>
        <v>3099</v>
      </c>
      <c r="AS2322">
        <f t="shared" si="780"/>
        <v>3094</v>
      </c>
      <c r="AT2322" s="21">
        <f t="shared" si="781"/>
        <v>3105</v>
      </c>
      <c r="AU2322" s="21"/>
      <c r="AV2322" s="21"/>
      <c r="AW2322" s="21"/>
    </row>
    <row r="2323" spans="1:49" x14ac:dyDescent="0.2">
      <c r="A2323">
        <v>1237</v>
      </c>
      <c r="E2323">
        <f t="shared" si="776"/>
        <v>3</v>
      </c>
      <c r="F2323" s="5" t="s">
        <v>534</v>
      </c>
      <c r="G2323" s="5" t="s">
        <v>478</v>
      </c>
      <c r="J2323" t="str">
        <f t="shared" si="782"/>
        <v>2</v>
      </c>
      <c r="K2323" t="str">
        <f t="shared" si="783"/>
        <v>15</v>
      </c>
      <c r="L2323" t="str">
        <f t="shared" si="784"/>
        <v/>
      </c>
      <c r="M2323" s="6" t="str">
        <f t="shared" si="785"/>
        <v/>
      </c>
      <c r="N2323" t="s">
        <v>179</v>
      </c>
      <c r="O2323">
        <v>22</v>
      </c>
      <c r="P2323" t="s">
        <v>424</v>
      </c>
      <c r="Q2323" t="s">
        <v>277</v>
      </c>
      <c r="R2323" t="s">
        <v>201</v>
      </c>
      <c r="S2323" t="s">
        <v>433</v>
      </c>
      <c r="Y2323" t="str">
        <f t="shared" si="769"/>
        <v/>
      </c>
      <c r="Z2323" t="str">
        <f t="shared" si="770"/>
        <v/>
      </c>
      <c r="AC2323" t="str">
        <f t="shared" si="766"/>
        <v>Zone_Entry_Exit</v>
      </c>
      <c r="AD2323" t="str">
        <f t="shared" si="767"/>
        <v>Zone_Exit</v>
      </c>
      <c r="AE2323" t="str">
        <f t="shared" si="768"/>
        <v>ZoneExit-PassMiss/Misplay</v>
      </c>
      <c r="AF2323" t="str">
        <f t="shared" si="771"/>
        <v>Offensive</v>
      </c>
      <c r="AG2323">
        <f t="shared" si="777"/>
        <v>18981</v>
      </c>
      <c r="AH2323" t="str">
        <f t="shared" si="778"/>
        <v>Nelson</v>
      </c>
      <c r="AI2323" t="str">
        <f t="shared" si="779"/>
        <v>Velodrome</v>
      </c>
      <c r="AJ2323" s="18">
        <f t="shared" si="772"/>
        <v>0</v>
      </c>
      <c r="AP2323" s="18">
        <f t="shared" si="773"/>
        <v>0</v>
      </c>
      <c r="AQ2323">
        <f t="shared" si="774"/>
        <v>2160</v>
      </c>
      <c r="AR2323" s="23">
        <f t="shared" si="775"/>
        <v>3105</v>
      </c>
      <c r="AS2323">
        <f t="shared" si="780"/>
        <v>3100</v>
      </c>
      <c r="AT2323" s="21">
        <f t="shared" si="781"/>
        <v>3105</v>
      </c>
      <c r="AU2323" s="21"/>
      <c r="AV2323" s="21"/>
      <c r="AW2323" s="21"/>
    </row>
    <row r="2324" spans="1:49" x14ac:dyDescent="0.2">
      <c r="A2324">
        <v>1237</v>
      </c>
      <c r="E2324">
        <f t="shared" si="776"/>
        <v>3</v>
      </c>
      <c r="J2324" t="str">
        <f t="shared" si="782"/>
        <v>2</v>
      </c>
      <c r="K2324" t="str">
        <f t="shared" si="783"/>
        <v>15</v>
      </c>
      <c r="L2324" t="str">
        <f t="shared" si="784"/>
        <v/>
      </c>
      <c r="M2324" s="6" t="str">
        <f t="shared" si="785"/>
        <v/>
      </c>
      <c r="N2324" t="str">
        <f t="shared" si="786"/>
        <v>Away</v>
      </c>
      <c r="O2324">
        <v>70</v>
      </c>
      <c r="P2324" t="s">
        <v>424</v>
      </c>
      <c r="Y2324" t="str">
        <f t="shared" si="769"/>
        <v/>
      </c>
      <c r="Z2324" t="str">
        <f t="shared" si="770"/>
        <v/>
      </c>
      <c r="AC2324" t="str">
        <f t="shared" si="766"/>
        <v>Zone_Entry_Exit</v>
      </c>
      <c r="AD2324" t="str">
        <f t="shared" si="767"/>
        <v>Zone_Exit</v>
      </c>
      <c r="AE2324" t="str">
        <f t="shared" si="768"/>
        <v>ZoneExit-PassMiss/Misplay</v>
      </c>
      <c r="AF2324" t="str">
        <f t="shared" si="771"/>
        <v>Offensive</v>
      </c>
      <c r="AG2324">
        <f t="shared" si="777"/>
        <v>18981</v>
      </c>
      <c r="AH2324" t="str">
        <f t="shared" si="778"/>
        <v>Nelson</v>
      </c>
      <c r="AI2324" t="str">
        <f t="shared" si="779"/>
        <v>Velodrome</v>
      </c>
      <c r="AJ2324" s="18">
        <f t="shared" si="772"/>
        <v>0</v>
      </c>
      <c r="AP2324" s="18">
        <f t="shared" si="773"/>
        <v>0</v>
      </c>
      <c r="AQ2324">
        <f t="shared" si="774"/>
        <v>2160</v>
      </c>
      <c r="AR2324" s="23">
        <f t="shared" si="775"/>
        <v>3105</v>
      </c>
      <c r="AS2324">
        <f t="shared" si="780"/>
        <v>3100</v>
      </c>
      <c r="AT2324" s="21">
        <f t="shared" si="781"/>
        <v>3105</v>
      </c>
      <c r="AU2324" s="21"/>
      <c r="AV2324" s="21"/>
      <c r="AW2324" s="21"/>
    </row>
    <row r="2325" spans="1:49" x14ac:dyDescent="0.2">
      <c r="A2325">
        <v>1238</v>
      </c>
      <c r="E2325">
        <f t="shared" si="776"/>
        <v>3</v>
      </c>
      <c r="F2325" s="5" t="s">
        <v>534</v>
      </c>
      <c r="G2325" s="5" t="s">
        <v>478</v>
      </c>
      <c r="J2325" t="str">
        <f t="shared" si="782"/>
        <v>2</v>
      </c>
      <c r="K2325" t="str">
        <f t="shared" si="783"/>
        <v>15</v>
      </c>
      <c r="L2325" t="str">
        <f t="shared" si="784"/>
        <v/>
      </c>
      <c r="M2325" s="6" t="str">
        <f t="shared" si="785"/>
        <v/>
      </c>
      <c r="N2325" t="s">
        <v>179</v>
      </c>
      <c r="O2325">
        <v>22</v>
      </c>
      <c r="P2325" t="s">
        <v>424</v>
      </c>
      <c r="Q2325" t="s">
        <v>8</v>
      </c>
      <c r="R2325" t="s">
        <v>199</v>
      </c>
      <c r="S2325" t="s">
        <v>70</v>
      </c>
      <c r="Y2325" t="str">
        <f t="shared" si="769"/>
        <v/>
      </c>
      <c r="Z2325" t="str">
        <f t="shared" si="770"/>
        <v/>
      </c>
      <c r="AC2325" t="str">
        <f t="shared" si="766"/>
        <v>Pass</v>
      </c>
      <c r="AD2325" t="str">
        <f t="shared" si="767"/>
        <v>Pass_Missed</v>
      </c>
      <c r="AE2325" t="str">
        <f t="shared" si="768"/>
        <v>Pass-Forehand</v>
      </c>
      <c r="AF2325" t="str">
        <f t="shared" si="771"/>
        <v>Offensive</v>
      </c>
      <c r="AG2325">
        <f t="shared" si="777"/>
        <v>18981</v>
      </c>
      <c r="AH2325" t="str">
        <f t="shared" si="778"/>
        <v>Nelson</v>
      </c>
      <c r="AI2325" t="str">
        <f t="shared" si="779"/>
        <v>Velodrome</v>
      </c>
      <c r="AJ2325" s="18">
        <f t="shared" si="772"/>
        <v>0</v>
      </c>
      <c r="AP2325" s="18">
        <f t="shared" si="773"/>
        <v>0</v>
      </c>
      <c r="AQ2325">
        <f t="shared" si="774"/>
        <v>2160</v>
      </c>
      <c r="AR2325" s="23">
        <f t="shared" si="775"/>
        <v>3105</v>
      </c>
      <c r="AS2325">
        <f t="shared" si="780"/>
        <v>3100</v>
      </c>
      <c r="AT2325" s="21">
        <f t="shared" si="781"/>
        <v>3105</v>
      </c>
      <c r="AU2325" s="21"/>
      <c r="AV2325" s="21"/>
      <c r="AW2325" s="21"/>
    </row>
    <row r="2326" spans="1:49" x14ac:dyDescent="0.2">
      <c r="A2326">
        <v>1238</v>
      </c>
      <c r="E2326">
        <f t="shared" si="776"/>
        <v>3</v>
      </c>
      <c r="J2326" t="str">
        <f t="shared" si="782"/>
        <v>2</v>
      </c>
      <c r="K2326" t="str">
        <f t="shared" si="783"/>
        <v>15</v>
      </c>
      <c r="L2326" t="str">
        <f t="shared" si="784"/>
        <v/>
      </c>
      <c r="M2326" s="6" t="str">
        <f t="shared" si="785"/>
        <v/>
      </c>
      <c r="N2326" t="str">
        <f t="shared" si="786"/>
        <v>Away</v>
      </c>
      <c r="O2326">
        <v>70</v>
      </c>
      <c r="P2326" t="s">
        <v>424</v>
      </c>
      <c r="Y2326" t="str">
        <f t="shared" si="769"/>
        <v/>
      </c>
      <c r="Z2326" t="str">
        <f t="shared" si="770"/>
        <v/>
      </c>
      <c r="AC2326" t="str">
        <f t="shared" si="766"/>
        <v>Pass</v>
      </c>
      <c r="AD2326" t="str">
        <f t="shared" si="767"/>
        <v>Pass_Missed</v>
      </c>
      <c r="AE2326" t="str">
        <f t="shared" si="768"/>
        <v>Pass-Forehand</v>
      </c>
      <c r="AF2326" t="str">
        <f t="shared" si="771"/>
        <v>Offensive</v>
      </c>
      <c r="AG2326">
        <f t="shared" si="777"/>
        <v>18981</v>
      </c>
      <c r="AH2326" t="str">
        <f t="shared" si="778"/>
        <v>Nelson</v>
      </c>
      <c r="AI2326" t="str">
        <f t="shared" si="779"/>
        <v>Velodrome</v>
      </c>
      <c r="AJ2326" s="18">
        <f t="shared" si="772"/>
        <v>0</v>
      </c>
      <c r="AP2326" s="18">
        <f t="shared" si="773"/>
        <v>0</v>
      </c>
      <c r="AQ2326">
        <f t="shared" si="774"/>
        <v>2160</v>
      </c>
      <c r="AR2326" s="23">
        <f t="shared" si="775"/>
        <v>3105</v>
      </c>
      <c r="AS2326">
        <f t="shared" si="780"/>
        <v>3100</v>
      </c>
      <c r="AT2326" s="21">
        <f t="shared" si="781"/>
        <v>3105</v>
      </c>
      <c r="AU2326" s="21"/>
      <c r="AV2326" s="21"/>
      <c r="AW2326" s="21"/>
    </row>
    <row r="2327" spans="1:49" x14ac:dyDescent="0.2">
      <c r="A2327">
        <v>1239</v>
      </c>
      <c r="E2327">
        <f t="shared" si="776"/>
        <v>3</v>
      </c>
      <c r="F2327" s="5" t="s">
        <v>534</v>
      </c>
      <c r="G2327" s="5" t="s">
        <v>478</v>
      </c>
      <c r="J2327" t="str">
        <f t="shared" si="782"/>
        <v>2</v>
      </c>
      <c r="K2327" t="str">
        <f t="shared" si="783"/>
        <v>15</v>
      </c>
      <c r="L2327" t="str">
        <f t="shared" si="784"/>
        <v/>
      </c>
      <c r="M2327" s="6" t="str">
        <f t="shared" si="785"/>
        <v/>
      </c>
      <c r="N2327" t="s">
        <v>179</v>
      </c>
      <c r="O2327">
        <v>22</v>
      </c>
      <c r="P2327" t="s">
        <v>424</v>
      </c>
      <c r="Q2327" t="s">
        <v>10</v>
      </c>
      <c r="R2327" t="s">
        <v>190</v>
      </c>
      <c r="S2327" t="s">
        <v>76</v>
      </c>
      <c r="Y2327" t="str">
        <f t="shared" si="769"/>
        <v/>
      </c>
      <c r="Z2327" t="str">
        <f t="shared" si="770"/>
        <v/>
      </c>
      <c r="AC2327" t="str">
        <f t="shared" si="766"/>
        <v>Turnover</v>
      </c>
      <c r="AD2327" t="str">
        <f t="shared" si="767"/>
        <v>Turnover_Giveaway</v>
      </c>
      <c r="AE2327" t="str">
        <f t="shared" si="768"/>
        <v>Giveaway-PassMissed</v>
      </c>
      <c r="AF2327" t="str">
        <f t="shared" si="771"/>
        <v>Offensive</v>
      </c>
      <c r="AG2327">
        <f t="shared" si="777"/>
        <v>18981</v>
      </c>
      <c r="AH2327" t="str">
        <f t="shared" si="778"/>
        <v>Nelson</v>
      </c>
      <c r="AI2327" t="str">
        <f t="shared" si="779"/>
        <v>Velodrome</v>
      </c>
      <c r="AJ2327" s="18">
        <f t="shared" si="772"/>
        <v>0</v>
      </c>
      <c r="AP2327" s="18">
        <f t="shared" si="773"/>
        <v>0</v>
      </c>
      <c r="AQ2327">
        <f t="shared" si="774"/>
        <v>2160</v>
      </c>
      <c r="AR2327" s="23">
        <f t="shared" si="775"/>
        <v>3105</v>
      </c>
      <c r="AS2327">
        <f t="shared" si="780"/>
        <v>3100</v>
      </c>
      <c r="AT2327" s="21">
        <f t="shared" si="781"/>
        <v>3105</v>
      </c>
      <c r="AU2327" s="21"/>
      <c r="AV2327" s="21"/>
      <c r="AW2327" s="21"/>
    </row>
    <row r="2328" spans="1:49" x14ac:dyDescent="0.2">
      <c r="A2328">
        <v>1240</v>
      </c>
      <c r="E2328">
        <f t="shared" si="776"/>
        <v>3</v>
      </c>
      <c r="F2328" s="5" t="s">
        <v>534</v>
      </c>
      <c r="G2328" s="5" t="s">
        <v>487</v>
      </c>
      <c r="J2328" t="str">
        <f t="shared" si="782"/>
        <v>2</v>
      </c>
      <c r="K2328" t="str">
        <f t="shared" si="783"/>
        <v>12</v>
      </c>
      <c r="L2328" t="str">
        <f t="shared" si="784"/>
        <v/>
      </c>
      <c r="M2328" s="6" t="str">
        <f t="shared" si="785"/>
        <v/>
      </c>
      <c r="N2328" t="s">
        <v>178</v>
      </c>
      <c r="O2328">
        <v>80</v>
      </c>
      <c r="P2328" t="s">
        <v>424</v>
      </c>
      <c r="Q2328" t="s">
        <v>277</v>
      </c>
      <c r="R2328" t="s">
        <v>191</v>
      </c>
      <c r="S2328" t="s">
        <v>89</v>
      </c>
      <c r="Y2328" t="str">
        <f t="shared" si="769"/>
        <v/>
      </c>
      <c r="Z2328" t="str">
        <f t="shared" si="770"/>
        <v/>
      </c>
      <c r="AC2328" t="str">
        <f t="shared" si="766"/>
        <v>Zone_Entry_Exit</v>
      </c>
      <c r="AD2328" t="str">
        <f t="shared" si="767"/>
        <v>Zone_Entry</v>
      </c>
      <c r="AE2328" t="str">
        <f t="shared" si="768"/>
        <v>ZoneEntry-DumpIn</v>
      </c>
      <c r="AF2328" t="str">
        <f t="shared" si="771"/>
        <v>Offensive</v>
      </c>
      <c r="AG2328">
        <f t="shared" si="777"/>
        <v>18981</v>
      </c>
      <c r="AH2328" t="str">
        <f t="shared" si="778"/>
        <v>Nelson</v>
      </c>
      <c r="AI2328" t="str">
        <f t="shared" si="779"/>
        <v>Velodrome</v>
      </c>
      <c r="AJ2328" s="18">
        <f t="shared" si="772"/>
        <v>0</v>
      </c>
      <c r="AP2328" s="18">
        <f t="shared" si="773"/>
        <v>0</v>
      </c>
      <c r="AQ2328">
        <f t="shared" si="774"/>
        <v>2160</v>
      </c>
      <c r="AR2328" s="23">
        <f t="shared" si="775"/>
        <v>3108</v>
      </c>
      <c r="AS2328">
        <f t="shared" si="780"/>
        <v>3103</v>
      </c>
      <c r="AT2328" s="21">
        <f t="shared" si="781"/>
        <v>3108</v>
      </c>
      <c r="AU2328" s="21"/>
      <c r="AV2328" s="21"/>
      <c r="AW2328" s="21"/>
    </row>
    <row r="2329" spans="1:49" x14ac:dyDescent="0.2">
      <c r="A2329">
        <v>1241</v>
      </c>
      <c r="E2329">
        <f t="shared" si="776"/>
        <v>3</v>
      </c>
      <c r="F2329" s="5" t="s">
        <v>534</v>
      </c>
      <c r="G2329" s="5" t="s">
        <v>480</v>
      </c>
      <c r="J2329" t="str">
        <f t="shared" si="782"/>
        <v>2</v>
      </c>
      <c r="K2329" t="str">
        <f t="shared" si="783"/>
        <v>04</v>
      </c>
      <c r="L2329" t="str">
        <f t="shared" si="784"/>
        <v/>
      </c>
      <c r="M2329" s="6" t="str">
        <f t="shared" si="785"/>
        <v/>
      </c>
      <c r="N2329" t="s">
        <v>179</v>
      </c>
      <c r="O2329">
        <v>84</v>
      </c>
      <c r="P2329" t="s">
        <v>424</v>
      </c>
      <c r="Q2329" t="s">
        <v>8</v>
      </c>
      <c r="R2329" t="s">
        <v>199</v>
      </c>
      <c r="S2329" t="s">
        <v>70</v>
      </c>
      <c r="Y2329" t="str">
        <f t="shared" si="769"/>
        <v/>
      </c>
      <c r="Z2329" t="str">
        <f t="shared" si="770"/>
        <v/>
      </c>
      <c r="AC2329" t="str">
        <f t="shared" si="766"/>
        <v>Pass</v>
      </c>
      <c r="AD2329" t="str">
        <f t="shared" si="767"/>
        <v>Pass_Missed</v>
      </c>
      <c r="AE2329" t="str">
        <f t="shared" si="768"/>
        <v>Pass-Forehand</v>
      </c>
      <c r="AF2329" t="str">
        <f t="shared" si="771"/>
        <v>Offensive</v>
      </c>
      <c r="AG2329">
        <f t="shared" si="777"/>
        <v>18981</v>
      </c>
      <c r="AH2329" t="str">
        <f t="shared" si="778"/>
        <v>Nelson</v>
      </c>
      <c r="AI2329" t="str">
        <f t="shared" si="779"/>
        <v>Velodrome</v>
      </c>
      <c r="AJ2329" s="18">
        <f t="shared" si="772"/>
        <v>0</v>
      </c>
      <c r="AP2329" s="18">
        <f t="shared" si="773"/>
        <v>0</v>
      </c>
      <c r="AQ2329">
        <f t="shared" si="774"/>
        <v>2160</v>
      </c>
      <c r="AR2329" s="23">
        <f t="shared" si="775"/>
        <v>3116</v>
      </c>
      <c r="AS2329">
        <f t="shared" si="780"/>
        <v>3111</v>
      </c>
      <c r="AT2329" s="21">
        <f t="shared" si="781"/>
        <v>3116</v>
      </c>
      <c r="AU2329" s="21"/>
      <c r="AV2329" s="21"/>
      <c r="AW2329" s="21"/>
    </row>
    <row r="2330" spans="1:49" x14ac:dyDescent="0.2">
      <c r="A2330">
        <v>1241</v>
      </c>
      <c r="E2330">
        <f t="shared" si="776"/>
        <v>3</v>
      </c>
      <c r="J2330" t="str">
        <f t="shared" si="782"/>
        <v>2</v>
      </c>
      <c r="K2330" t="str">
        <f t="shared" si="783"/>
        <v>04</v>
      </c>
      <c r="L2330" t="str">
        <f t="shared" si="784"/>
        <v/>
      </c>
      <c r="M2330" s="6" t="str">
        <f t="shared" si="785"/>
        <v/>
      </c>
      <c r="N2330" t="str">
        <f t="shared" si="786"/>
        <v>Away</v>
      </c>
      <c r="O2330">
        <v>70</v>
      </c>
      <c r="P2330" t="s">
        <v>424</v>
      </c>
      <c r="Y2330" t="str">
        <f t="shared" si="769"/>
        <v/>
      </c>
      <c r="Z2330" t="str">
        <f t="shared" si="770"/>
        <v/>
      </c>
      <c r="AC2330" t="str">
        <f t="shared" si="766"/>
        <v>Pass</v>
      </c>
      <c r="AD2330" t="str">
        <f t="shared" si="767"/>
        <v>Pass_Missed</v>
      </c>
      <c r="AE2330" t="str">
        <f t="shared" si="768"/>
        <v>Pass-Forehand</v>
      </c>
      <c r="AF2330" t="str">
        <f t="shared" si="771"/>
        <v>Offensive</v>
      </c>
      <c r="AG2330">
        <f t="shared" si="777"/>
        <v>18981</v>
      </c>
      <c r="AH2330" t="str">
        <f t="shared" si="778"/>
        <v>Nelson</v>
      </c>
      <c r="AI2330" t="str">
        <f t="shared" si="779"/>
        <v>Velodrome</v>
      </c>
      <c r="AJ2330" s="18">
        <f t="shared" si="772"/>
        <v>0</v>
      </c>
      <c r="AP2330" s="18">
        <f t="shared" si="773"/>
        <v>0</v>
      </c>
      <c r="AQ2330">
        <f t="shared" si="774"/>
        <v>2160</v>
      </c>
      <c r="AR2330" s="23">
        <f t="shared" si="775"/>
        <v>3116</v>
      </c>
      <c r="AS2330">
        <f t="shared" si="780"/>
        <v>3111</v>
      </c>
      <c r="AT2330" s="21">
        <f t="shared" si="781"/>
        <v>3116</v>
      </c>
      <c r="AU2330" s="21"/>
      <c r="AV2330" s="21"/>
      <c r="AW2330" s="21"/>
    </row>
    <row r="2331" spans="1:49" x14ac:dyDescent="0.2">
      <c r="A2331">
        <v>1241</v>
      </c>
      <c r="E2331">
        <f t="shared" si="776"/>
        <v>3</v>
      </c>
      <c r="J2331" t="str">
        <f t="shared" si="782"/>
        <v>2</v>
      </c>
      <c r="K2331" t="str">
        <f t="shared" si="783"/>
        <v>04</v>
      </c>
      <c r="L2331" t="str">
        <f t="shared" si="784"/>
        <v/>
      </c>
      <c r="M2331" s="6" t="str">
        <f t="shared" si="785"/>
        <v/>
      </c>
      <c r="N2331" t="str">
        <f t="shared" si="786"/>
        <v>Away</v>
      </c>
      <c r="O2331">
        <v>79</v>
      </c>
      <c r="P2331" t="s">
        <v>425</v>
      </c>
      <c r="Y2331" t="str">
        <f t="shared" si="769"/>
        <v/>
      </c>
      <c r="Z2331" t="str">
        <f t="shared" si="770"/>
        <v/>
      </c>
      <c r="AC2331" t="str">
        <f t="shared" si="766"/>
        <v>Pass</v>
      </c>
      <c r="AD2331" t="str">
        <f t="shared" si="767"/>
        <v>Pass_Missed</v>
      </c>
      <c r="AE2331" t="str">
        <f t="shared" si="768"/>
        <v>Pass-Forehand</v>
      </c>
      <c r="AF2331" t="str">
        <f t="shared" si="771"/>
        <v>Defensive</v>
      </c>
      <c r="AG2331">
        <f t="shared" si="777"/>
        <v>18981</v>
      </c>
      <c r="AH2331" t="str">
        <f t="shared" si="778"/>
        <v>Nelson</v>
      </c>
      <c r="AI2331" t="str">
        <f t="shared" si="779"/>
        <v>Velodrome</v>
      </c>
      <c r="AJ2331" s="18">
        <f t="shared" si="772"/>
        <v>0</v>
      </c>
      <c r="AP2331" s="18">
        <f t="shared" si="773"/>
        <v>0</v>
      </c>
      <c r="AQ2331">
        <f t="shared" si="774"/>
        <v>2160</v>
      </c>
      <c r="AR2331" s="23">
        <f t="shared" si="775"/>
        <v>3116</v>
      </c>
      <c r="AS2331">
        <f t="shared" si="780"/>
        <v>3111</v>
      </c>
      <c r="AT2331" s="21">
        <f t="shared" si="781"/>
        <v>3116</v>
      </c>
      <c r="AU2331" s="21"/>
      <c r="AV2331" s="21"/>
      <c r="AW2331" s="21"/>
    </row>
    <row r="2332" spans="1:49" x14ac:dyDescent="0.2">
      <c r="A2332">
        <v>1242</v>
      </c>
      <c r="E2332">
        <f t="shared" si="776"/>
        <v>3</v>
      </c>
      <c r="F2332" s="5" t="s">
        <v>534</v>
      </c>
      <c r="G2332" s="5" t="s">
        <v>480</v>
      </c>
      <c r="J2332" t="str">
        <f t="shared" si="782"/>
        <v>2</v>
      </c>
      <c r="K2332" t="str">
        <f t="shared" si="783"/>
        <v>04</v>
      </c>
      <c r="L2332" t="str">
        <f t="shared" si="784"/>
        <v/>
      </c>
      <c r="M2332" s="6" t="str">
        <f t="shared" si="785"/>
        <v/>
      </c>
      <c r="N2332" t="s">
        <v>179</v>
      </c>
      <c r="O2332">
        <v>84</v>
      </c>
      <c r="P2332" t="s">
        <v>424</v>
      </c>
      <c r="Q2332" t="s">
        <v>277</v>
      </c>
      <c r="R2332" t="s">
        <v>201</v>
      </c>
      <c r="S2332" t="s">
        <v>433</v>
      </c>
      <c r="Y2332" t="str">
        <f t="shared" si="769"/>
        <v/>
      </c>
      <c r="Z2332" t="str">
        <f t="shared" si="770"/>
        <v/>
      </c>
      <c r="AC2332" t="str">
        <f t="shared" si="766"/>
        <v>Zone_Entry_Exit</v>
      </c>
      <c r="AD2332" t="str">
        <f t="shared" si="767"/>
        <v>Zone_Exit</v>
      </c>
      <c r="AE2332" t="str">
        <f t="shared" si="768"/>
        <v>ZoneExit-PassMiss/Misplay</v>
      </c>
      <c r="AF2332" t="str">
        <f t="shared" si="771"/>
        <v>Offensive</v>
      </c>
      <c r="AG2332">
        <f t="shared" si="777"/>
        <v>18981</v>
      </c>
      <c r="AH2332" t="str">
        <f t="shared" si="778"/>
        <v>Nelson</v>
      </c>
      <c r="AI2332" t="str">
        <f t="shared" si="779"/>
        <v>Velodrome</v>
      </c>
      <c r="AJ2332" s="18">
        <f t="shared" si="772"/>
        <v>0</v>
      </c>
      <c r="AP2332" s="18">
        <f t="shared" si="773"/>
        <v>0</v>
      </c>
      <c r="AQ2332">
        <f t="shared" si="774"/>
        <v>2160</v>
      </c>
      <c r="AR2332" s="23">
        <f t="shared" si="775"/>
        <v>3116</v>
      </c>
      <c r="AS2332">
        <f t="shared" si="780"/>
        <v>3111</v>
      </c>
      <c r="AT2332" s="21">
        <f t="shared" si="781"/>
        <v>3116</v>
      </c>
      <c r="AU2332" s="21"/>
      <c r="AV2332" s="21"/>
      <c r="AW2332" s="21"/>
    </row>
    <row r="2333" spans="1:49" x14ac:dyDescent="0.2">
      <c r="A2333">
        <v>1242</v>
      </c>
      <c r="E2333">
        <f t="shared" si="776"/>
        <v>3</v>
      </c>
      <c r="J2333" t="str">
        <f t="shared" si="782"/>
        <v>2</v>
      </c>
      <c r="K2333" t="str">
        <f t="shared" si="783"/>
        <v>04</v>
      </c>
      <c r="L2333" t="str">
        <f t="shared" si="784"/>
        <v/>
      </c>
      <c r="M2333" s="6" t="str">
        <f t="shared" si="785"/>
        <v/>
      </c>
      <c r="N2333" t="s">
        <v>179</v>
      </c>
      <c r="O2333">
        <v>70</v>
      </c>
      <c r="P2333" t="s">
        <v>424</v>
      </c>
      <c r="Y2333" t="str">
        <f t="shared" si="769"/>
        <v/>
      </c>
      <c r="Z2333" t="str">
        <f t="shared" si="770"/>
        <v/>
      </c>
      <c r="AC2333" t="str">
        <f t="shared" si="766"/>
        <v>Zone_Entry_Exit</v>
      </c>
      <c r="AD2333" t="str">
        <f t="shared" si="767"/>
        <v>Zone_Exit</v>
      </c>
      <c r="AE2333" t="str">
        <f t="shared" si="768"/>
        <v>ZoneExit-PassMiss/Misplay</v>
      </c>
      <c r="AF2333" t="str">
        <f t="shared" si="771"/>
        <v>Offensive</v>
      </c>
      <c r="AG2333">
        <f t="shared" si="777"/>
        <v>18981</v>
      </c>
      <c r="AH2333" t="str">
        <f t="shared" si="778"/>
        <v>Nelson</v>
      </c>
      <c r="AI2333" t="str">
        <f t="shared" si="779"/>
        <v>Velodrome</v>
      </c>
      <c r="AJ2333" s="18">
        <f t="shared" si="772"/>
        <v>0</v>
      </c>
      <c r="AP2333" s="18">
        <f t="shared" si="773"/>
        <v>0</v>
      </c>
      <c r="AQ2333">
        <f t="shared" si="774"/>
        <v>2160</v>
      </c>
      <c r="AR2333" s="23">
        <f t="shared" si="775"/>
        <v>3116</v>
      </c>
      <c r="AS2333">
        <f t="shared" si="780"/>
        <v>3111</v>
      </c>
      <c r="AT2333" s="21">
        <f t="shared" si="781"/>
        <v>3116</v>
      </c>
      <c r="AU2333" s="21"/>
      <c r="AV2333" s="21"/>
      <c r="AW2333" s="21"/>
    </row>
    <row r="2334" spans="1:49" x14ac:dyDescent="0.2">
      <c r="A2334">
        <v>1242</v>
      </c>
      <c r="E2334">
        <f t="shared" si="776"/>
        <v>3</v>
      </c>
      <c r="J2334" t="str">
        <f t="shared" si="782"/>
        <v>2</v>
      </c>
      <c r="K2334" t="str">
        <f t="shared" si="783"/>
        <v>04</v>
      </c>
      <c r="L2334" t="str">
        <f t="shared" si="784"/>
        <v/>
      </c>
      <c r="M2334" s="6" t="str">
        <f t="shared" si="785"/>
        <v/>
      </c>
      <c r="N2334" t="str">
        <f t="shared" si="786"/>
        <v>Away</v>
      </c>
      <c r="O2334">
        <v>79</v>
      </c>
      <c r="P2334" t="s">
        <v>425</v>
      </c>
      <c r="Y2334" t="str">
        <f t="shared" si="769"/>
        <v/>
      </c>
      <c r="Z2334" t="str">
        <f t="shared" si="770"/>
        <v/>
      </c>
      <c r="AC2334" t="str">
        <f t="shared" si="766"/>
        <v>Zone_Entry_Exit</v>
      </c>
      <c r="AD2334" t="str">
        <f t="shared" si="767"/>
        <v>Zone_Exit</v>
      </c>
      <c r="AE2334" t="str">
        <f t="shared" si="768"/>
        <v>ZoneExit-PassMiss/Misplay</v>
      </c>
      <c r="AF2334" t="str">
        <f t="shared" si="771"/>
        <v>Defensive</v>
      </c>
      <c r="AG2334">
        <f t="shared" si="777"/>
        <v>18981</v>
      </c>
      <c r="AH2334" t="str">
        <f t="shared" si="778"/>
        <v>Nelson</v>
      </c>
      <c r="AI2334" t="str">
        <f t="shared" si="779"/>
        <v>Velodrome</v>
      </c>
      <c r="AJ2334" s="18">
        <f t="shared" si="772"/>
        <v>0</v>
      </c>
      <c r="AP2334" s="18">
        <f t="shared" si="773"/>
        <v>0</v>
      </c>
      <c r="AQ2334">
        <f t="shared" si="774"/>
        <v>2160</v>
      </c>
      <c r="AR2334" s="23">
        <f t="shared" si="775"/>
        <v>3116</v>
      </c>
      <c r="AS2334">
        <f t="shared" si="780"/>
        <v>3111</v>
      </c>
      <c r="AT2334" s="21">
        <f t="shared" si="781"/>
        <v>3116</v>
      </c>
      <c r="AU2334" s="21"/>
      <c r="AV2334" s="21"/>
      <c r="AW2334" s="21"/>
    </row>
    <row r="2335" spans="1:49" x14ac:dyDescent="0.2">
      <c r="A2335">
        <v>1243</v>
      </c>
      <c r="E2335">
        <f t="shared" si="776"/>
        <v>3</v>
      </c>
      <c r="F2335" s="5" t="s">
        <v>534</v>
      </c>
      <c r="G2335" s="5" t="s">
        <v>480</v>
      </c>
      <c r="J2335" t="str">
        <f t="shared" si="782"/>
        <v>2</v>
      </c>
      <c r="K2335" t="str">
        <f t="shared" si="783"/>
        <v>04</v>
      </c>
      <c r="L2335" t="str">
        <f t="shared" si="784"/>
        <v/>
      </c>
      <c r="M2335" s="6" t="str">
        <f t="shared" si="785"/>
        <v/>
      </c>
      <c r="N2335" t="s">
        <v>179</v>
      </c>
      <c r="O2335">
        <v>84</v>
      </c>
      <c r="P2335" t="s">
        <v>424</v>
      </c>
      <c r="Q2335" t="s">
        <v>277</v>
      </c>
      <c r="R2335" t="s">
        <v>191</v>
      </c>
      <c r="S2335" t="s">
        <v>447</v>
      </c>
      <c r="Y2335" t="str">
        <f t="shared" si="769"/>
        <v/>
      </c>
      <c r="Z2335" t="str">
        <f t="shared" si="770"/>
        <v/>
      </c>
      <c r="AC2335" t="str">
        <f t="shared" si="766"/>
        <v>Zone_Entry_Exit</v>
      </c>
      <c r="AD2335" t="str">
        <f t="shared" si="767"/>
        <v>Zone_Entry</v>
      </c>
      <c r="AE2335" t="str">
        <f t="shared" si="768"/>
        <v>ZoneEntry-PassMiss/Misplay</v>
      </c>
      <c r="AF2335" t="str">
        <f t="shared" si="771"/>
        <v>Offensive</v>
      </c>
      <c r="AG2335">
        <f t="shared" si="777"/>
        <v>18981</v>
      </c>
      <c r="AH2335" t="str">
        <f t="shared" si="778"/>
        <v>Nelson</v>
      </c>
      <c r="AI2335" t="str">
        <f t="shared" si="779"/>
        <v>Velodrome</v>
      </c>
      <c r="AJ2335" s="18">
        <f t="shared" si="772"/>
        <v>0</v>
      </c>
      <c r="AP2335" s="18">
        <f t="shared" si="773"/>
        <v>0</v>
      </c>
      <c r="AQ2335">
        <f t="shared" si="774"/>
        <v>2160</v>
      </c>
      <c r="AR2335" s="23">
        <f t="shared" si="775"/>
        <v>3116</v>
      </c>
      <c r="AS2335">
        <f t="shared" si="780"/>
        <v>3111</v>
      </c>
      <c r="AT2335" s="21">
        <f t="shared" si="781"/>
        <v>3116</v>
      </c>
      <c r="AU2335" s="21"/>
      <c r="AV2335" s="21"/>
      <c r="AW2335" s="21"/>
    </row>
    <row r="2336" spans="1:49" x14ac:dyDescent="0.2">
      <c r="A2336">
        <v>1244</v>
      </c>
      <c r="E2336">
        <f t="shared" si="776"/>
        <v>3</v>
      </c>
      <c r="F2336" s="5" t="s">
        <v>534</v>
      </c>
      <c r="G2336" s="5" t="s">
        <v>480</v>
      </c>
      <c r="J2336" t="str">
        <f t="shared" si="782"/>
        <v>2</v>
      </c>
      <c r="K2336" t="str">
        <f t="shared" si="783"/>
        <v>04</v>
      </c>
      <c r="L2336" t="str">
        <f t="shared" si="784"/>
        <v/>
      </c>
      <c r="M2336" s="6" t="str">
        <f t="shared" si="785"/>
        <v/>
      </c>
      <c r="N2336" t="s">
        <v>179</v>
      </c>
      <c r="O2336">
        <v>84</v>
      </c>
      <c r="P2336" t="s">
        <v>424</v>
      </c>
      <c r="Q2336" t="s">
        <v>10</v>
      </c>
      <c r="R2336" t="s">
        <v>190</v>
      </c>
      <c r="S2336" t="s">
        <v>76</v>
      </c>
      <c r="Y2336" t="str">
        <f t="shared" si="769"/>
        <v/>
      </c>
      <c r="Z2336" t="str">
        <f t="shared" si="770"/>
        <v/>
      </c>
      <c r="AC2336" t="str">
        <f t="shared" si="766"/>
        <v>Turnover</v>
      </c>
      <c r="AD2336" t="str">
        <f t="shared" si="767"/>
        <v>Turnover_Giveaway</v>
      </c>
      <c r="AE2336" t="str">
        <f t="shared" si="768"/>
        <v>Giveaway-PassMissed</v>
      </c>
      <c r="AF2336" t="str">
        <f t="shared" si="771"/>
        <v>Offensive</v>
      </c>
      <c r="AG2336">
        <f t="shared" si="777"/>
        <v>18981</v>
      </c>
      <c r="AH2336" t="str">
        <f t="shared" si="778"/>
        <v>Nelson</v>
      </c>
      <c r="AI2336" t="str">
        <f t="shared" si="779"/>
        <v>Velodrome</v>
      </c>
      <c r="AJ2336" s="18">
        <f t="shared" si="772"/>
        <v>0</v>
      </c>
      <c r="AP2336" s="18">
        <f t="shared" si="773"/>
        <v>0</v>
      </c>
      <c r="AQ2336">
        <f t="shared" si="774"/>
        <v>2160</v>
      </c>
      <c r="AR2336" s="23">
        <f t="shared" si="775"/>
        <v>3116</v>
      </c>
      <c r="AS2336">
        <f t="shared" si="780"/>
        <v>3111</v>
      </c>
      <c r="AT2336" s="21">
        <f t="shared" si="781"/>
        <v>3116</v>
      </c>
      <c r="AU2336" s="21"/>
      <c r="AV2336" s="21"/>
      <c r="AW2336" s="21"/>
    </row>
    <row r="2337" spans="1:49" x14ac:dyDescent="0.2">
      <c r="A2337">
        <v>1245</v>
      </c>
      <c r="E2337">
        <f t="shared" si="776"/>
        <v>3</v>
      </c>
      <c r="F2337" s="5" t="s">
        <v>534</v>
      </c>
      <c r="G2337" s="5" t="s">
        <v>471</v>
      </c>
      <c r="H2337" s="5" t="s">
        <v>543</v>
      </c>
      <c r="I2337" s="7" t="s">
        <v>530</v>
      </c>
      <c r="J2337" t="str">
        <f t="shared" si="782"/>
        <v>2</v>
      </c>
      <c r="K2337" t="str">
        <f t="shared" si="783"/>
        <v>01</v>
      </c>
      <c r="L2337" t="str">
        <f t="shared" si="784"/>
        <v>1</v>
      </c>
      <c r="M2337" s="6" t="str">
        <f t="shared" si="785"/>
        <v>58</v>
      </c>
      <c r="N2337" t="s">
        <v>178</v>
      </c>
      <c r="O2337">
        <v>80</v>
      </c>
      <c r="P2337" t="s">
        <v>424</v>
      </c>
      <c r="Q2337" t="s">
        <v>15</v>
      </c>
      <c r="Y2337" t="str">
        <f t="shared" si="769"/>
        <v/>
      </c>
      <c r="Z2337" t="str">
        <f t="shared" si="770"/>
        <v/>
      </c>
      <c r="AC2337" t="str">
        <f t="shared" si="766"/>
        <v>Possession</v>
      </c>
      <c r="AD2337" t="str">
        <f t="shared" si="767"/>
        <v/>
      </c>
      <c r="AE2337" t="str">
        <f t="shared" si="768"/>
        <v/>
      </c>
      <c r="AF2337" t="str">
        <f t="shared" si="771"/>
        <v>Offensive</v>
      </c>
      <c r="AG2337">
        <f t="shared" si="777"/>
        <v>18981</v>
      </c>
      <c r="AH2337" t="str">
        <f t="shared" si="778"/>
        <v>Nelson</v>
      </c>
      <c r="AI2337" t="str">
        <f t="shared" si="779"/>
        <v>Velodrome</v>
      </c>
      <c r="AJ2337" s="18">
        <f t="shared" si="772"/>
        <v>3</v>
      </c>
      <c r="AP2337" s="18">
        <f t="shared" si="773"/>
        <v>0</v>
      </c>
      <c r="AQ2337">
        <f t="shared" si="774"/>
        <v>2160</v>
      </c>
      <c r="AR2337" s="23">
        <f t="shared" si="775"/>
        <v>3119</v>
      </c>
      <c r="AS2337">
        <f t="shared" si="780"/>
        <v>3114</v>
      </c>
      <c r="AT2337" s="21">
        <f t="shared" si="781"/>
        <v>3122</v>
      </c>
      <c r="AU2337" s="21"/>
      <c r="AV2337" s="21"/>
      <c r="AW2337" s="21"/>
    </row>
    <row r="2338" spans="1:49" x14ac:dyDescent="0.2">
      <c r="A2338">
        <v>1246</v>
      </c>
      <c r="E2338">
        <f t="shared" si="776"/>
        <v>3</v>
      </c>
      <c r="F2338" s="5" t="s">
        <v>543</v>
      </c>
      <c r="G2338" s="5" t="s">
        <v>530</v>
      </c>
      <c r="J2338" t="str">
        <f t="shared" si="782"/>
        <v>1</v>
      </c>
      <c r="K2338" t="str">
        <f t="shared" si="783"/>
        <v>58</v>
      </c>
      <c r="L2338" t="str">
        <f t="shared" si="784"/>
        <v/>
      </c>
      <c r="M2338" s="6" t="str">
        <f t="shared" si="785"/>
        <v/>
      </c>
      <c r="N2338" t="s">
        <v>178</v>
      </c>
      <c r="O2338">
        <v>80</v>
      </c>
      <c r="P2338" t="s">
        <v>424</v>
      </c>
      <c r="Q2338" t="s">
        <v>277</v>
      </c>
      <c r="R2338" t="s">
        <v>201</v>
      </c>
      <c r="S2338" t="s">
        <v>92</v>
      </c>
      <c r="Y2338" t="str">
        <f t="shared" si="769"/>
        <v/>
      </c>
      <c r="Z2338" t="str">
        <f t="shared" si="770"/>
        <v/>
      </c>
      <c r="AC2338" t="str">
        <f t="shared" si="766"/>
        <v>Zone_Entry_Exit</v>
      </c>
      <c r="AD2338" t="str">
        <f t="shared" si="767"/>
        <v>Zone_Exit</v>
      </c>
      <c r="AE2338" t="str">
        <f t="shared" si="768"/>
        <v>ZoneExit-Clear</v>
      </c>
      <c r="AF2338" t="str">
        <f t="shared" si="771"/>
        <v>Offensive</v>
      </c>
      <c r="AG2338">
        <f t="shared" si="777"/>
        <v>18981</v>
      </c>
      <c r="AH2338" t="str">
        <f t="shared" si="778"/>
        <v>Nelson</v>
      </c>
      <c r="AI2338" t="str">
        <f t="shared" si="779"/>
        <v>Velodrome</v>
      </c>
      <c r="AJ2338" s="18">
        <f t="shared" si="772"/>
        <v>0</v>
      </c>
      <c r="AP2338" s="18">
        <f t="shared" si="773"/>
        <v>0</v>
      </c>
      <c r="AQ2338">
        <f t="shared" si="774"/>
        <v>2160</v>
      </c>
      <c r="AR2338" s="23">
        <f t="shared" si="775"/>
        <v>3122</v>
      </c>
      <c r="AS2338">
        <f t="shared" si="780"/>
        <v>3117</v>
      </c>
      <c r="AT2338" s="21">
        <f t="shared" si="781"/>
        <v>3122</v>
      </c>
      <c r="AU2338" s="21"/>
      <c r="AV2338" s="21"/>
      <c r="AW2338" s="21"/>
    </row>
    <row r="2339" spans="1:49" x14ac:dyDescent="0.2">
      <c r="A2339">
        <v>1247</v>
      </c>
      <c r="E2339">
        <f t="shared" si="776"/>
        <v>3</v>
      </c>
      <c r="F2339" s="5" t="s">
        <v>543</v>
      </c>
      <c r="G2339" s="5" t="s">
        <v>530</v>
      </c>
      <c r="J2339" t="str">
        <f t="shared" si="782"/>
        <v>1</v>
      </c>
      <c r="K2339" t="str">
        <f t="shared" si="783"/>
        <v>58</v>
      </c>
      <c r="L2339" t="str">
        <f t="shared" si="784"/>
        <v/>
      </c>
      <c r="M2339" s="6" t="str">
        <f t="shared" si="785"/>
        <v/>
      </c>
      <c r="N2339" t="s">
        <v>178</v>
      </c>
      <c r="O2339">
        <v>80</v>
      </c>
      <c r="P2339" t="s">
        <v>424</v>
      </c>
      <c r="Q2339" t="s">
        <v>13</v>
      </c>
      <c r="R2339" t="s">
        <v>204</v>
      </c>
      <c r="S2339" t="s">
        <v>107</v>
      </c>
      <c r="Y2339" t="str">
        <f t="shared" si="769"/>
        <v/>
      </c>
      <c r="Z2339" t="str">
        <f t="shared" si="770"/>
        <v/>
      </c>
      <c r="AC2339" t="str">
        <f t="shared" si="766"/>
        <v>Stoppage</v>
      </c>
      <c r="AD2339" t="str">
        <f t="shared" si="767"/>
        <v>Stoppage_Play</v>
      </c>
      <c r="AE2339" t="str">
        <f t="shared" si="768"/>
        <v>Stoppage-PuckOutofPlay</v>
      </c>
      <c r="AF2339" t="str">
        <f t="shared" si="771"/>
        <v/>
      </c>
      <c r="AG2339">
        <f t="shared" si="777"/>
        <v>18981</v>
      </c>
      <c r="AH2339" t="str">
        <f t="shared" si="778"/>
        <v>Nelson</v>
      </c>
      <c r="AI2339" t="str">
        <f t="shared" si="779"/>
        <v>Velodrome</v>
      </c>
      <c r="AJ2339" s="18">
        <f t="shared" si="772"/>
        <v>0</v>
      </c>
      <c r="AP2339" s="18">
        <f t="shared" si="773"/>
        <v>0</v>
      </c>
      <c r="AQ2339">
        <f t="shared" si="774"/>
        <v>2160</v>
      </c>
      <c r="AR2339" s="23">
        <f t="shared" si="775"/>
        <v>3122</v>
      </c>
      <c r="AS2339">
        <f t="shared" si="780"/>
        <v>3117</v>
      </c>
      <c r="AT2339" s="21">
        <f t="shared" si="781"/>
        <v>3122</v>
      </c>
      <c r="AU2339" s="21"/>
      <c r="AV2339" s="21"/>
      <c r="AW2339" s="21"/>
    </row>
    <row r="2340" spans="1:49" x14ac:dyDescent="0.2">
      <c r="A2340">
        <v>1248</v>
      </c>
      <c r="E2340">
        <f t="shared" si="776"/>
        <v>3</v>
      </c>
      <c r="F2340" s="5" t="s">
        <v>543</v>
      </c>
      <c r="G2340" s="5" t="s">
        <v>530</v>
      </c>
      <c r="H2340" s="5" t="s">
        <v>543</v>
      </c>
      <c r="I2340" s="7" t="s">
        <v>509</v>
      </c>
      <c r="J2340" t="str">
        <f t="shared" si="782"/>
        <v>1</v>
      </c>
      <c r="K2340" t="str">
        <f t="shared" si="783"/>
        <v>58</v>
      </c>
      <c r="L2340" t="str">
        <f t="shared" si="784"/>
        <v>1</v>
      </c>
      <c r="M2340" s="6" t="str">
        <f t="shared" si="785"/>
        <v>37</v>
      </c>
      <c r="N2340" t="s">
        <v>178</v>
      </c>
      <c r="O2340">
        <v>80</v>
      </c>
      <c r="P2340" t="s">
        <v>424</v>
      </c>
      <c r="Q2340" t="s">
        <v>282</v>
      </c>
      <c r="Y2340" t="str">
        <f t="shared" si="769"/>
        <v/>
      </c>
      <c r="Z2340" t="str">
        <f t="shared" si="770"/>
        <v/>
      </c>
      <c r="AC2340" t="str">
        <f t="shared" si="766"/>
        <v>DeadIce</v>
      </c>
      <c r="AD2340" t="str">
        <f t="shared" si="767"/>
        <v/>
      </c>
      <c r="AE2340" t="str">
        <f t="shared" si="768"/>
        <v/>
      </c>
      <c r="AF2340" t="str">
        <f t="shared" si="771"/>
        <v/>
      </c>
      <c r="AG2340">
        <f t="shared" si="777"/>
        <v>18981</v>
      </c>
      <c r="AH2340" t="str">
        <f t="shared" si="778"/>
        <v>Nelson</v>
      </c>
      <c r="AI2340" t="str">
        <f t="shared" si="779"/>
        <v>Velodrome</v>
      </c>
      <c r="AJ2340" s="18">
        <f t="shared" si="772"/>
        <v>21</v>
      </c>
      <c r="AP2340" s="18">
        <f t="shared" si="773"/>
        <v>0</v>
      </c>
      <c r="AQ2340">
        <f t="shared" si="774"/>
        <v>2160</v>
      </c>
      <c r="AR2340" s="23">
        <f t="shared" si="775"/>
        <v>3122</v>
      </c>
      <c r="AS2340">
        <f t="shared" si="780"/>
        <v>3117</v>
      </c>
      <c r="AT2340" s="21">
        <f t="shared" si="781"/>
        <v>3143</v>
      </c>
      <c r="AU2340" s="21"/>
      <c r="AV2340" s="21"/>
      <c r="AW2340" s="21"/>
    </row>
    <row r="2341" spans="1:49" x14ac:dyDescent="0.2">
      <c r="A2341">
        <v>1249</v>
      </c>
      <c r="E2341">
        <f t="shared" si="776"/>
        <v>3</v>
      </c>
      <c r="F2341" s="5" t="s">
        <v>543</v>
      </c>
      <c r="G2341" s="5" t="s">
        <v>509</v>
      </c>
      <c r="J2341" t="str">
        <f t="shared" si="782"/>
        <v>1</v>
      </c>
      <c r="K2341" t="str">
        <f t="shared" si="783"/>
        <v>37</v>
      </c>
      <c r="L2341" t="str">
        <f t="shared" si="784"/>
        <v/>
      </c>
      <c r="M2341" s="6" t="str">
        <f t="shared" si="785"/>
        <v/>
      </c>
      <c r="N2341" t="s">
        <v>179</v>
      </c>
      <c r="O2341">
        <v>70</v>
      </c>
      <c r="P2341" t="s">
        <v>424</v>
      </c>
      <c r="Q2341" t="s">
        <v>6</v>
      </c>
      <c r="R2341" t="s">
        <v>275</v>
      </c>
      <c r="Y2341" t="str">
        <f t="shared" si="769"/>
        <v/>
      </c>
      <c r="Z2341" t="str">
        <f t="shared" si="770"/>
        <v/>
      </c>
      <c r="AC2341" t="str">
        <f t="shared" si="766"/>
        <v>Faceoff</v>
      </c>
      <c r="AD2341" t="str">
        <f t="shared" si="767"/>
        <v>Faceoff_AfterStoppage</v>
      </c>
      <c r="AE2341" t="str">
        <f t="shared" si="768"/>
        <v/>
      </c>
      <c r="AF2341" t="str">
        <f t="shared" si="771"/>
        <v>Offensive</v>
      </c>
      <c r="AG2341">
        <f t="shared" si="777"/>
        <v>18981</v>
      </c>
      <c r="AH2341" t="str">
        <f t="shared" si="778"/>
        <v>Nelson</v>
      </c>
      <c r="AI2341" t="str">
        <f t="shared" si="779"/>
        <v>Velodrome</v>
      </c>
      <c r="AJ2341" s="18">
        <f t="shared" si="772"/>
        <v>0</v>
      </c>
      <c r="AP2341" s="18">
        <f t="shared" si="773"/>
        <v>0</v>
      </c>
      <c r="AQ2341">
        <f t="shared" si="774"/>
        <v>2160</v>
      </c>
      <c r="AR2341" s="23">
        <f t="shared" si="775"/>
        <v>3143</v>
      </c>
      <c r="AS2341">
        <f t="shared" si="780"/>
        <v>3138</v>
      </c>
      <c r="AT2341" s="21">
        <f t="shared" si="781"/>
        <v>3143</v>
      </c>
      <c r="AU2341" s="21"/>
      <c r="AV2341" s="21"/>
      <c r="AW2341" s="21"/>
    </row>
    <row r="2342" spans="1:49" x14ac:dyDescent="0.2">
      <c r="A2342">
        <v>1249</v>
      </c>
      <c r="E2342">
        <f t="shared" si="776"/>
        <v>3</v>
      </c>
      <c r="J2342" t="str">
        <f t="shared" si="782"/>
        <v>1</v>
      </c>
      <c r="K2342" t="str">
        <f t="shared" si="783"/>
        <v>37</v>
      </c>
      <c r="L2342" t="str">
        <f t="shared" si="784"/>
        <v/>
      </c>
      <c r="M2342" s="6" t="str">
        <f t="shared" si="785"/>
        <v/>
      </c>
      <c r="N2342" t="str">
        <f t="shared" si="786"/>
        <v>Away</v>
      </c>
      <c r="O2342">
        <v>84</v>
      </c>
      <c r="P2342" t="s">
        <v>424</v>
      </c>
      <c r="Y2342" t="str">
        <f t="shared" si="769"/>
        <v/>
      </c>
      <c r="Z2342" t="str">
        <f t="shared" si="770"/>
        <v/>
      </c>
      <c r="AC2342" t="str">
        <f t="shared" si="766"/>
        <v>Faceoff</v>
      </c>
      <c r="AD2342" t="str">
        <f t="shared" si="767"/>
        <v>Faceoff_AfterStoppage</v>
      </c>
      <c r="AE2342" t="str">
        <f t="shared" si="768"/>
        <v/>
      </c>
      <c r="AF2342" t="str">
        <f t="shared" si="771"/>
        <v>Offensive</v>
      </c>
      <c r="AG2342">
        <f t="shared" si="777"/>
        <v>18981</v>
      </c>
      <c r="AH2342" t="str">
        <f t="shared" si="778"/>
        <v>Nelson</v>
      </c>
      <c r="AI2342" t="str">
        <f t="shared" si="779"/>
        <v>Velodrome</v>
      </c>
      <c r="AJ2342" s="18">
        <f t="shared" si="772"/>
        <v>0</v>
      </c>
      <c r="AP2342" s="18">
        <f t="shared" si="773"/>
        <v>0</v>
      </c>
      <c r="AQ2342">
        <f t="shared" si="774"/>
        <v>2160</v>
      </c>
      <c r="AR2342" s="23">
        <f t="shared" si="775"/>
        <v>3143</v>
      </c>
      <c r="AS2342">
        <f t="shared" si="780"/>
        <v>3138</v>
      </c>
      <c r="AT2342" s="21">
        <f t="shared" si="781"/>
        <v>3143</v>
      </c>
      <c r="AU2342" s="21"/>
      <c r="AV2342" s="21"/>
      <c r="AW2342" s="21"/>
    </row>
    <row r="2343" spans="1:49" x14ac:dyDescent="0.2">
      <c r="A2343">
        <v>1249</v>
      </c>
      <c r="E2343">
        <f t="shared" si="776"/>
        <v>3</v>
      </c>
      <c r="J2343" t="str">
        <f t="shared" si="782"/>
        <v>1</v>
      </c>
      <c r="K2343" t="str">
        <f t="shared" si="783"/>
        <v>37</v>
      </c>
      <c r="L2343" t="str">
        <f t="shared" si="784"/>
        <v/>
      </c>
      <c r="M2343" s="6" t="str">
        <f t="shared" si="785"/>
        <v/>
      </c>
      <c r="N2343" t="str">
        <f t="shared" si="786"/>
        <v>Away</v>
      </c>
      <c r="O2343">
        <v>10</v>
      </c>
      <c r="P2343" t="s">
        <v>425</v>
      </c>
      <c r="Y2343" t="str">
        <f t="shared" si="769"/>
        <v/>
      </c>
      <c r="Z2343" t="str">
        <f t="shared" si="770"/>
        <v/>
      </c>
      <c r="AC2343" t="str">
        <f t="shared" si="766"/>
        <v>Faceoff</v>
      </c>
      <c r="AD2343" t="str">
        <f t="shared" si="767"/>
        <v>Faceoff_AfterStoppage</v>
      </c>
      <c r="AE2343" t="str">
        <f t="shared" si="768"/>
        <v/>
      </c>
      <c r="AF2343" t="str">
        <f t="shared" si="771"/>
        <v>Defensive</v>
      </c>
      <c r="AG2343">
        <f t="shared" si="777"/>
        <v>18981</v>
      </c>
      <c r="AH2343" t="str">
        <f t="shared" si="778"/>
        <v>Nelson</v>
      </c>
      <c r="AI2343" t="str">
        <f t="shared" si="779"/>
        <v>Velodrome</v>
      </c>
      <c r="AJ2343" s="18">
        <f t="shared" si="772"/>
        <v>0</v>
      </c>
      <c r="AP2343" s="18">
        <f t="shared" si="773"/>
        <v>0</v>
      </c>
      <c r="AQ2343">
        <f t="shared" si="774"/>
        <v>2160</v>
      </c>
      <c r="AR2343" s="23">
        <f t="shared" si="775"/>
        <v>3143</v>
      </c>
      <c r="AS2343">
        <f t="shared" si="780"/>
        <v>3138</v>
      </c>
      <c r="AT2343" s="21">
        <f t="shared" si="781"/>
        <v>3143</v>
      </c>
      <c r="AU2343" s="21"/>
      <c r="AV2343" s="21"/>
      <c r="AW2343" s="21"/>
    </row>
    <row r="2344" spans="1:49" x14ac:dyDescent="0.2">
      <c r="A2344">
        <v>1250</v>
      </c>
      <c r="E2344">
        <f t="shared" si="776"/>
        <v>3</v>
      </c>
      <c r="F2344" s="5" t="s">
        <v>543</v>
      </c>
      <c r="G2344" s="5" t="s">
        <v>506</v>
      </c>
      <c r="J2344" t="str">
        <f t="shared" si="782"/>
        <v>1</v>
      </c>
      <c r="K2344" t="str">
        <f t="shared" si="783"/>
        <v>34</v>
      </c>
      <c r="L2344" t="str">
        <f t="shared" si="784"/>
        <v/>
      </c>
      <c r="M2344" s="6" t="str">
        <f t="shared" si="785"/>
        <v/>
      </c>
      <c r="N2344" t="s">
        <v>179</v>
      </c>
      <c r="O2344">
        <v>84</v>
      </c>
      <c r="P2344" t="s">
        <v>424</v>
      </c>
      <c r="Q2344" t="s">
        <v>8</v>
      </c>
      <c r="R2344" t="s">
        <v>189</v>
      </c>
      <c r="S2344" t="s">
        <v>70</v>
      </c>
      <c r="Y2344" t="str">
        <f t="shared" si="769"/>
        <v/>
      </c>
      <c r="Z2344" t="str">
        <f t="shared" si="770"/>
        <v/>
      </c>
      <c r="AC2344" t="str">
        <f t="shared" si="766"/>
        <v>Pass</v>
      </c>
      <c r="AD2344" t="str">
        <f t="shared" si="767"/>
        <v>Pass_Completed</v>
      </c>
      <c r="AE2344" t="str">
        <f t="shared" si="768"/>
        <v>Pass-Forehand</v>
      </c>
      <c r="AF2344" t="str">
        <f t="shared" si="771"/>
        <v>Offensive</v>
      </c>
      <c r="AG2344">
        <f t="shared" si="777"/>
        <v>18981</v>
      </c>
      <c r="AH2344" t="str">
        <f t="shared" si="778"/>
        <v>Nelson</v>
      </c>
      <c r="AI2344" t="str">
        <f t="shared" si="779"/>
        <v>Velodrome</v>
      </c>
      <c r="AJ2344" s="18">
        <f t="shared" si="772"/>
        <v>0</v>
      </c>
      <c r="AP2344" s="18">
        <f t="shared" si="773"/>
        <v>0</v>
      </c>
      <c r="AQ2344">
        <f t="shared" si="774"/>
        <v>2160</v>
      </c>
      <c r="AR2344" s="23">
        <f t="shared" si="775"/>
        <v>3146</v>
      </c>
      <c r="AS2344">
        <f t="shared" si="780"/>
        <v>3141</v>
      </c>
      <c r="AT2344" s="21">
        <f t="shared" si="781"/>
        <v>3146</v>
      </c>
      <c r="AU2344" s="21"/>
      <c r="AV2344" s="21"/>
      <c r="AW2344" s="21"/>
    </row>
    <row r="2345" spans="1:49" x14ac:dyDescent="0.2">
      <c r="A2345">
        <v>1250</v>
      </c>
      <c r="E2345">
        <f t="shared" si="776"/>
        <v>3</v>
      </c>
      <c r="J2345" t="str">
        <f t="shared" si="782"/>
        <v>1</v>
      </c>
      <c r="K2345" t="str">
        <f t="shared" si="783"/>
        <v>34</v>
      </c>
      <c r="L2345" t="str">
        <f t="shared" si="784"/>
        <v/>
      </c>
      <c r="M2345" s="6" t="str">
        <f t="shared" si="785"/>
        <v/>
      </c>
      <c r="N2345" t="str">
        <f t="shared" si="786"/>
        <v>Away</v>
      </c>
      <c r="O2345">
        <v>87</v>
      </c>
      <c r="P2345" t="s">
        <v>424</v>
      </c>
      <c r="Y2345" t="str">
        <f t="shared" si="769"/>
        <v/>
      </c>
      <c r="Z2345" t="str">
        <f t="shared" si="770"/>
        <v/>
      </c>
      <c r="AC2345" t="str">
        <f t="shared" si="766"/>
        <v>Pass</v>
      </c>
      <c r="AD2345" t="str">
        <f t="shared" si="767"/>
        <v>Pass_Completed</v>
      </c>
      <c r="AE2345" t="str">
        <f t="shared" si="768"/>
        <v>Pass-Forehand</v>
      </c>
      <c r="AF2345" t="str">
        <f t="shared" si="771"/>
        <v>Offensive</v>
      </c>
      <c r="AG2345">
        <f t="shared" si="777"/>
        <v>18981</v>
      </c>
      <c r="AH2345" t="str">
        <f t="shared" si="778"/>
        <v>Nelson</v>
      </c>
      <c r="AI2345" t="str">
        <f t="shared" si="779"/>
        <v>Velodrome</v>
      </c>
      <c r="AJ2345" s="18">
        <f t="shared" si="772"/>
        <v>0</v>
      </c>
      <c r="AP2345" s="18">
        <f t="shared" si="773"/>
        <v>0</v>
      </c>
      <c r="AQ2345">
        <f t="shared" si="774"/>
        <v>2160</v>
      </c>
      <c r="AR2345" s="23">
        <f t="shared" si="775"/>
        <v>3146</v>
      </c>
      <c r="AS2345">
        <f t="shared" si="780"/>
        <v>3141</v>
      </c>
      <c r="AT2345" s="21">
        <f t="shared" si="781"/>
        <v>3146</v>
      </c>
      <c r="AU2345" s="21"/>
      <c r="AV2345" s="21"/>
      <c r="AW2345" s="21"/>
    </row>
    <row r="2346" spans="1:49" x14ac:dyDescent="0.2">
      <c r="A2346">
        <v>1251</v>
      </c>
      <c r="E2346">
        <f t="shared" si="776"/>
        <v>3</v>
      </c>
      <c r="F2346" s="5" t="s">
        <v>543</v>
      </c>
      <c r="G2346" s="5" t="s">
        <v>505</v>
      </c>
      <c r="H2346" s="5" t="s">
        <v>543</v>
      </c>
      <c r="I2346" s="7" t="s">
        <v>502</v>
      </c>
      <c r="J2346" t="str">
        <f t="shared" si="782"/>
        <v>1</v>
      </c>
      <c r="K2346" t="str">
        <f t="shared" si="783"/>
        <v>33</v>
      </c>
      <c r="L2346" t="str">
        <f t="shared" si="784"/>
        <v>1</v>
      </c>
      <c r="M2346" s="6" t="str">
        <f t="shared" si="785"/>
        <v>30</v>
      </c>
      <c r="N2346" t="s">
        <v>179</v>
      </c>
      <c r="O2346">
        <v>87</v>
      </c>
      <c r="P2346" t="s">
        <v>424</v>
      </c>
      <c r="Q2346" t="s">
        <v>15</v>
      </c>
      <c r="Y2346" t="str">
        <f t="shared" si="769"/>
        <v/>
      </c>
      <c r="Z2346" t="str">
        <f t="shared" si="770"/>
        <v/>
      </c>
      <c r="AC2346" t="str">
        <f t="shared" si="766"/>
        <v>Possession</v>
      </c>
      <c r="AD2346" t="str">
        <f t="shared" si="767"/>
        <v/>
      </c>
      <c r="AE2346" t="str">
        <f t="shared" si="768"/>
        <v/>
      </c>
      <c r="AF2346" t="str">
        <f t="shared" si="771"/>
        <v>Offensive</v>
      </c>
      <c r="AG2346">
        <f t="shared" si="777"/>
        <v>18981</v>
      </c>
      <c r="AH2346" t="str">
        <f t="shared" si="778"/>
        <v>Nelson</v>
      </c>
      <c r="AI2346" t="str">
        <f t="shared" si="779"/>
        <v>Velodrome</v>
      </c>
      <c r="AJ2346" s="18">
        <f t="shared" si="772"/>
        <v>3</v>
      </c>
      <c r="AP2346" s="18">
        <f t="shared" si="773"/>
        <v>0</v>
      </c>
      <c r="AQ2346">
        <f t="shared" si="774"/>
        <v>2160</v>
      </c>
      <c r="AR2346" s="23">
        <f t="shared" si="775"/>
        <v>3147</v>
      </c>
      <c r="AS2346">
        <f t="shared" si="780"/>
        <v>3142</v>
      </c>
      <c r="AT2346" s="21">
        <f t="shared" si="781"/>
        <v>3150</v>
      </c>
      <c r="AU2346" s="21"/>
      <c r="AV2346" s="21"/>
      <c r="AW2346" s="21"/>
    </row>
    <row r="2347" spans="1:49" x14ac:dyDescent="0.2">
      <c r="A2347">
        <v>1252</v>
      </c>
      <c r="E2347">
        <f t="shared" si="776"/>
        <v>3</v>
      </c>
      <c r="F2347" s="5" t="s">
        <v>543</v>
      </c>
      <c r="G2347" s="5" t="s">
        <v>502</v>
      </c>
      <c r="H2347" s="5" t="s">
        <v>543</v>
      </c>
      <c r="I2347" s="7" t="s">
        <v>498</v>
      </c>
      <c r="J2347" t="str">
        <f t="shared" si="782"/>
        <v>1</v>
      </c>
      <c r="K2347" t="str">
        <f t="shared" si="783"/>
        <v>30</v>
      </c>
      <c r="L2347" t="str">
        <f t="shared" si="784"/>
        <v>1</v>
      </c>
      <c r="M2347" s="6" t="str">
        <f t="shared" si="785"/>
        <v>26</v>
      </c>
      <c r="N2347" t="s">
        <v>179</v>
      </c>
      <c r="O2347">
        <v>87</v>
      </c>
      <c r="P2347" t="s">
        <v>424</v>
      </c>
      <c r="Q2347" t="s">
        <v>277</v>
      </c>
      <c r="R2347" t="s">
        <v>191</v>
      </c>
      <c r="S2347" t="s">
        <v>87</v>
      </c>
      <c r="Y2347" t="str">
        <f t="shared" si="769"/>
        <v/>
      </c>
      <c r="Z2347" t="str">
        <f t="shared" si="770"/>
        <v/>
      </c>
      <c r="AC2347" t="str">
        <f t="shared" si="766"/>
        <v>Zone_Entry_Exit</v>
      </c>
      <c r="AD2347" t="str">
        <f t="shared" si="767"/>
        <v>Zone_Entry</v>
      </c>
      <c r="AE2347" t="str">
        <f t="shared" si="768"/>
        <v>ZoneEntry-Rush</v>
      </c>
      <c r="AF2347" t="str">
        <f t="shared" si="771"/>
        <v>Offensive</v>
      </c>
      <c r="AG2347">
        <f t="shared" si="777"/>
        <v>18981</v>
      </c>
      <c r="AH2347" t="str">
        <f t="shared" si="778"/>
        <v>Nelson</v>
      </c>
      <c r="AI2347" t="str">
        <f t="shared" si="779"/>
        <v>Velodrome</v>
      </c>
      <c r="AJ2347" s="18">
        <f t="shared" si="772"/>
        <v>4</v>
      </c>
      <c r="AP2347" s="18">
        <f t="shared" si="773"/>
        <v>0</v>
      </c>
      <c r="AQ2347">
        <f t="shared" si="774"/>
        <v>2160</v>
      </c>
      <c r="AR2347" s="23">
        <f t="shared" si="775"/>
        <v>3150</v>
      </c>
      <c r="AS2347">
        <f t="shared" si="780"/>
        <v>3145</v>
      </c>
      <c r="AT2347" s="21">
        <f t="shared" si="781"/>
        <v>3154</v>
      </c>
      <c r="AU2347" s="21"/>
      <c r="AV2347" s="21"/>
      <c r="AW2347" s="21"/>
    </row>
    <row r="2348" spans="1:49" x14ac:dyDescent="0.2">
      <c r="A2348">
        <v>1252</v>
      </c>
      <c r="E2348">
        <f t="shared" si="776"/>
        <v>3</v>
      </c>
      <c r="J2348" t="str">
        <f t="shared" si="782"/>
        <v>1</v>
      </c>
      <c r="K2348" t="str">
        <f t="shared" si="783"/>
        <v>30</v>
      </c>
      <c r="L2348" t="str">
        <f t="shared" si="784"/>
        <v>1</v>
      </c>
      <c r="M2348" s="6" t="str">
        <f t="shared" si="785"/>
        <v>26</v>
      </c>
      <c r="N2348" t="str">
        <f t="shared" si="786"/>
        <v>Away</v>
      </c>
      <c r="O2348">
        <v>70</v>
      </c>
      <c r="P2348" t="s">
        <v>424</v>
      </c>
      <c r="Y2348" t="str">
        <f t="shared" si="769"/>
        <v/>
      </c>
      <c r="Z2348" t="str">
        <f t="shared" si="770"/>
        <v/>
      </c>
      <c r="AC2348" t="str">
        <f t="shared" si="766"/>
        <v>Zone_Entry_Exit</v>
      </c>
      <c r="AD2348" t="str">
        <f t="shared" si="767"/>
        <v>Zone_Entry</v>
      </c>
      <c r="AE2348" t="str">
        <f t="shared" si="768"/>
        <v>ZoneEntry-Rush</v>
      </c>
      <c r="AF2348" t="str">
        <f t="shared" si="771"/>
        <v>Offensive</v>
      </c>
      <c r="AG2348">
        <f t="shared" si="777"/>
        <v>18981</v>
      </c>
      <c r="AH2348" t="str">
        <f t="shared" si="778"/>
        <v>Nelson</v>
      </c>
      <c r="AI2348" t="str">
        <f t="shared" si="779"/>
        <v>Velodrome</v>
      </c>
      <c r="AJ2348" s="18">
        <f t="shared" si="772"/>
        <v>4</v>
      </c>
      <c r="AP2348" s="18">
        <f t="shared" si="773"/>
        <v>0</v>
      </c>
      <c r="AQ2348">
        <f t="shared" si="774"/>
        <v>2160</v>
      </c>
      <c r="AR2348" s="23">
        <f t="shared" si="775"/>
        <v>3150</v>
      </c>
      <c r="AS2348">
        <f t="shared" si="780"/>
        <v>3145</v>
      </c>
      <c r="AT2348" s="21">
        <f t="shared" si="781"/>
        <v>3154</v>
      </c>
      <c r="AU2348" s="21"/>
      <c r="AV2348" s="21"/>
      <c r="AW2348" s="21"/>
    </row>
    <row r="2349" spans="1:49" x14ac:dyDescent="0.2">
      <c r="A2349">
        <v>1252</v>
      </c>
      <c r="E2349">
        <f t="shared" si="776"/>
        <v>3</v>
      </c>
      <c r="J2349" t="str">
        <f t="shared" si="782"/>
        <v>1</v>
      </c>
      <c r="K2349" t="str">
        <f t="shared" si="783"/>
        <v>30</v>
      </c>
      <c r="L2349" t="str">
        <f t="shared" si="784"/>
        <v>1</v>
      </c>
      <c r="M2349" s="6" t="str">
        <f t="shared" si="785"/>
        <v>26</v>
      </c>
      <c r="N2349" t="str">
        <f t="shared" si="786"/>
        <v>Away</v>
      </c>
      <c r="O2349">
        <v>15</v>
      </c>
      <c r="P2349" t="s">
        <v>425</v>
      </c>
      <c r="Y2349" t="str">
        <f t="shared" si="769"/>
        <v/>
      </c>
      <c r="Z2349" t="str">
        <f t="shared" si="770"/>
        <v/>
      </c>
      <c r="AC2349" t="str">
        <f t="shared" si="766"/>
        <v>Zone_Entry_Exit</v>
      </c>
      <c r="AD2349" t="str">
        <f t="shared" si="767"/>
        <v>Zone_Entry</v>
      </c>
      <c r="AE2349" t="str">
        <f t="shared" si="768"/>
        <v>ZoneEntry-Rush</v>
      </c>
      <c r="AF2349" t="str">
        <f t="shared" si="771"/>
        <v>Defensive</v>
      </c>
      <c r="AG2349">
        <f t="shared" si="777"/>
        <v>18981</v>
      </c>
      <c r="AH2349" t="str">
        <f t="shared" si="778"/>
        <v>Nelson</v>
      </c>
      <c r="AI2349" t="str">
        <f t="shared" si="779"/>
        <v>Velodrome</v>
      </c>
      <c r="AJ2349" s="18">
        <f t="shared" si="772"/>
        <v>4</v>
      </c>
      <c r="AP2349" s="18">
        <f t="shared" si="773"/>
        <v>0</v>
      </c>
      <c r="AQ2349">
        <f t="shared" si="774"/>
        <v>2160</v>
      </c>
      <c r="AR2349" s="23">
        <f t="shared" si="775"/>
        <v>3150</v>
      </c>
      <c r="AS2349">
        <f t="shared" si="780"/>
        <v>3145</v>
      </c>
      <c r="AT2349" s="21">
        <f t="shared" si="781"/>
        <v>3154</v>
      </c>
      <c r="AU2349" s="21"/>
      <c r="AV2349" s="21"/>
      <c r="AW2349" s="21"/>
    </row>
    <row r="2350" spans="1:49" x14ac:dyDescent="0.2">
      <c r="A2350">
        <v>1252</v>
      </c>
      <c r="E2350">
        <f t="shared" si="776"/>
        <v>3</v>
      </c>
      <c r="J2350" t="str">
        <f t="shared" si="782"/>
        <v>1</v>
      </c>
      <c r="K2350" t="str">
        <f t="shared" si="783"/>
        <v>30</v>
      </c>
      <c r="L2350" t="str">
        <f t="shared" si="784"/>
        <v>1</v>
      </c>
      <c r="M2350" s="6" t="str">
        <f t="shared" si="785"/>
        <v>26</v>
      </c>
      <c r="N2350" t="str">
        <f t="shared" si="786"/>
        <v>Away</v>
      </c>
      <c r="O2350">
        <v>8</v>
      </c>
      <c r="P2350" t="s">
        <v>425</v>
      </c>
      <c r="Y2350" t="str">
        <f t="shared" si="769"/>
        <v/>
      </c>
      <c r="Z2350" t="str">
        <f t="shared" si="770"/>
        <v/>
      </c>
      <c r="AC2350" t="str">
        <f t="shared" si="766"/>
        <v>Zone_Entry_Exit</v>
      </c>
      <c r="AD2350" t="str">
        <f t="shared" si="767"/>
        <v>Zone_Entry</v>
      </c>
      <c r="AE2350" t="str">
        <f t="shared" si="768"/>
        <v>ZoneEntry-Rush</v>
      </c>
      <c r="AF2350" t="str">
        <f t="shared" si="771"/>
        <v>Defensive</v>
      </c>
      <c r="AG2350">
        <f t="shared" si="777"/>
        <v>18981</v>
      </c>
      <c r="AH2350" t="str">
        <f t="shared" si="778"/>
        <v>Nelson</v>
      </c>
      <c r="AI2350" t="str">
        <f t="shared" si="779"/>
        <v>Velodrome</v>
      </c>
      <c r="AJ2350" s="18">
        <f t="shared" si="772"/>
        <v>4</v>
      </c>
      <c r="AP2350" s="18">
        <f t="shared" si="773"/>
        <v>0</v>
      </c>
      <c r="AQ2350">
        <f t="shared" si="774"/>
        <v>2160</v>
      </c>
      <c r="AR2350" s="23">
        <f t="shared" si="775"/>
        <v>3150</v>
      </c>
      <c r="AS2350">
        <f t="shared" si="780"/>
        <v>3145</v>
      </c>
      <c r="AT2350" s="21">
        <f t="shared" si="781"/>
        <v>3154</v>
      </c>
      <c r="AU2350" s="21"/>
      <c r="AV2350" s="21"/>
      <c r="AW2350" s="21"/>
    </row>
    <row r="2351" spans="1:49" x14ac:dyDescent="0.2">
      <c r="A2351">
        <v>1252</v>
      </c>
      <c r="E2351">
        <f t="shared" si="776"/>
        <v>3</v>
      </c>
      <c r="J2351" t="str">
        <f t="shared" si="782"/>
        <v>1</v>
      </c>
      <c r="K2351" t="str">
        <f t="shared" si="783"/>
        <v>30</v>
      </c>
      <c r="L2351" t="str">
        <f t="shared" si="784"/>
        <v>1</v>
      </c>
      <c r="M2351" s="6" t="str">
        <f t="shared" si="785"/>
        <v>26</v>
      </c>
      <c r="N2351" t="str">
        <f t="shared" si="786"/>
        <v>Away</v>
      </c>
      <c r="O2351">
        <v>80</v>
      </c>
      <c r="P2351" t="s">
        <v>425</v>
      </c>
      <c r="Y2351" t="str">
        <f t="shared" si="769"/>
        <v/>
      </c>
      <c r="Z2351" t="str">
        <f t="shared" si="770"/>
        <v/>
      </c>
      <c r="AC2351" t="str">
        <f t="shared" ref="AC2351:AC2414" si="787">IF(Q2351&lt;&gt;"",Q2351,IF($A2351=$A2350,AC2350,""))</f>
        <v>Zone_Entry_Exit</v>
      </c>
      <c r="AD2351" t="str">
        <f t="shared" ref="AD2351:AD2414" si="788">IF(R2351&lt;&gt;"",R2351,IF($A2351=$A2350,AD2350,""))</f>
        <v>Zone_Entry</v>
      </c>
      <c r="AE2351" t="str">
        <f t="shared" ref="AE2351:AE2414" si="789">IF(S2351&lt;&gt;"",S2351,IF($A2351=$A2350,AE2350,""))</f>
        <v>ZoneEntry-Rush</v>
      </c>
      <c r="AF2351" t="str">
        <f t="shared" si="771"/>
        <v>Defensive</v>
      </c>
      <c r="AG2351">
        <f t="shared" si="777"/>
        <v>18981</v>
      </c>
      <c r="AH2351" t="str">
        <f t="shared" si="778"/>
        <v>Nelson</v>
      </c>
      <c r="AI2351" t="str">
        <f t="shared" si="779"/>
        <v>Velodrome</v>
      </c>
      <c r="AJ2351" s="18">
        <f t="shared" si="772"/>
        <v>4</v>
      </c>
      <c r="AP2351" s="18">
        <f t="shared" si="773"/>
        <v>0</v>
      </c>
      <c r="AQ2351">
        <f t="shared" si="774"/>
        <v>2160</v>
      </c>
      <c r="AR2351" s="23">
        <f t="shared" si="775"/>
        <v>3150</v>
      </c>
      <c r="AS2351">
        <f t="shared" si="780"/>
        <v>3145</v>
      </c>
      <c r="AT2351" s="21">
        <f t="shared" si="781"/>
        <v>3154</v>
      </c>
      <c r="AU2351" s="21"/>
      <c r="AV2351" s="21"/>
      <c r="AW2351" s="21"/>
    </row>
    <row r="2352" spans="1:49" x14ac:dyDescent="0.2">
      <c r="A2352">
        <v>1253</v>
      </c>
      <c r="E2352">
        <f t="shared" si="776"/>
        <v>3</v>
      </c>
      <c r="F2352" s="5" t="s">
        <v>543</v>
      </c>
      <c r="G2352" s="5" t="s">
        <v>496</v>
      </c>
      <c r="J2352" t="str">
        <f t="shared" si="782"/>
        <v>1</v>
      </c>
      <c r="K2352" t="str">
        <f t="shared" si="783"/>
        <v>24</v>
      </c>
      <c r="L2352" t="str">
        <f t="shared" si="784"/>
        <v/>
      </c>
      <c r="M2352" s="6" t="str">
        <f t="shared" si="785"/>
        <v/>
      </c>
      <c r="N2352" t="s">
        <v>179</v>
      </c>
      <c r="O2352">
        <v>70</v>
      </c>
      <c r="P2352" t="s">
        <v>424</v>
      </c>
      <c r="Q2352" t="s">
        <v>8</v>
      </c>
      <c r="R2352" t="s">
        <v>189</v>
      </c>
      <c r="S2352" t="s">
        <v>69</v>
      </c>
      <c r="Y2352" t="str">
        <f t="shared" si="769"/>
        <v/>
      </c>
      <c r="Z2352" t="str">
        <f t="shared" si="770"/>
        <v/>
      </c>
      <c r="AC2352" t="str">
        <f t="shared" si="787"/>
        <v>Pass</v>
      </c>
      <c r="AD2352" t="str">
        <f t="shared" si="788"/>
        <v>Pass_Completed</v>
      </c>
      <c r="AE2352" t="str">
        <f t="shared" si="789"/>
        <v>Pass-Backhand</v>
      </c>
      <c r="AF2352" t="str">
        <f t="shared" si="771"/>
        <v>Offensive</v>
      </c>
      <c r="AG2352">
        <f t="shared" si="777"/>
        <v>18981</v>
      </c>
      <c r="AH2352" t="str">
        <f t="shared" si="778"/>
        <v>Nelson</v>
      </c>
      <c r="AI2352" t="str">
        <f t="shared" si="779"/>
        <v>Velodrome</v>
      </c>
      <c r="AJ2352" s="18">
        <f t="shared" si="772"/>
        <v>0</v>
      </c>
      <c r="AP2352" s="18">
        <f t="shared" si="773"/>
        <v>0</v>
      </c>
      <c r="AQ2352">
        <f t="shared" si="774"/>
        <v>2160</v>
      </c>
      <c r="AR2352" s="23">
        <f t="shared" si="775"/>
        <v>3156</v>
      </c>
      <c r="AS2352">
        <f t="shared" si="780"/>
        <v>3151</v>
      </c>
      <c r="AT2352" s="21">
        <f t="shared" si="781"/>
        <v>3156</v>
      </c>
      <c r="AU2352" s="21"/>
      <c r="AV2352" s="21"/>
      <c r="AW2352" s="21"/>
    </row>
    <row r="2353" spans="1:49" x14ac:dyDescent="0.2">
      <c r="A2353">
        <v>1253</v>
      </c>
      <c r="E2353">
        <f t="shared" si="776"/>
        <v>3</v>
      </c>
      <c r="J2353" t="str">
        <f t="shared" si="782"/>
        <v>1</v>
      </c>
      <c r="K2353" t="str">
        <f t="shared" si="783"/>
        <v>24</v>
      </c>
      <c r="L2353" t="str">
        <f t="shared" si="784"/>
        <v/>
      </c>
      <c r="M2353" s="6" t="str">
        <f t="shared" si="785"/>
        <v/>
      </c>
      <c r="N2353" t="str">
        <f t="shared" si="786"/>
        <v>Away</v>
      </c>
      <c r="O2353">
        <v>87</v>
      </c>
      <c r="P2353" t="s">
        <v>424</v>
      </c>
      <c r="Y2353" t="str">
        <f t="shared" si="769"/>
        <v/>
      </c>
      <c r="Z2353" t="str">
        <f t="shared" si="770"/>
        <v/>
      </c>
      <c r="AC2353" t="str">
        <f t="shared" si="787"/>
        <v>Pass</v>
      </c>
      <c r="AD2353" t="str">
        <f t="shared" si="788"/>
        <v>Pass_Completed</v>
      </c>
      <c r="AE2353" t="str">
        <f t="shared" si="789"/>
        <v>Pass-Backhand</v>
      </c>
      <c r="AF2353" t="str">
        <f t="shared" si="771"/>
        <v>Offensive</v>
      </c>
      <c r="AG2353">
        <f t="shared" si="777"/>
        <v>18981</v>
      </c>
      <c r="AH2353" t="str">
        <f t="shared" si="778"/>
        <v>Nelson</v>
      </c>
      <c r="AI2353" t="str">
        <f t="shared" si="779"/>
        <v>Velodrome</v>
      </c>
      <c r="AJ2353" s="18">
        <f t="shared" si="772"/>
        <v>0</v>
      </c>
      <c r="AP2353" s="18">
        <f t="shared" si="773"/>
        <v>0</v>
      </c>
      <c r="AQ2353">
        <f t="shared" si="774"/>
        <v>2160</v>
      </c>
      <c r="AR2353" s="23">
        <f t="shared" si="775"/>
        <v>3156</v>
      </c>
      <c r="AS2353">
        <f t="shared" si="780"/>
        <v>3151</v>
      </c>
      <c r="AT2353" s="21">
        <f t="shared" si="781"/>
        <v>3156</v>
      </c>
      <c r="AU2353" s="21"/>
      <c r="AV2353" s="21"/>
      <c r="AW2353" s="21"/>
    </row>
    <row r="2354" spans="1:49" x14ac:dyDescent="0.2">
      <c r="A2354">
        <v>1253</v>
      </c>
      <c r="E2354">
        <f t="shared" si="776"/>
        <v>3</v>
      </c>
      <c r="J2354" t="str">
        <f t="shared" si="782"/>
        <v>1</v>
      </c>
      <c r="K2354" t="str">
        <f t="shared" si="783"/>
        <v>24</v>
      </c>
      <c r="L2354" t="str">
        <f t="shared" si="784"/>
        <v/>
      </c>
      <c r="M2354" s="6" t="str">
        <f t="shared" si="785"/>
        <v/>
      </c>
      <c r="N2354" t="str">
        <f t="shared" si="786"/>
        <v>Away</v>
      </c>
      <c r="O2354">
        <v>8</v>
      </c>
      <c r="P2354" t="s">
        <v>425</v>
      </c>
      <c r="Y2354" t="str">
        <f t="shared" si="769"/>
        <v/>
      </c>
      <c r="Z2354" t="str">
        <f t="shared" si="770"/>
        <v/>
      </c>
      <c r="AC2354" t="str">
        <f t="shared" si="787"/>
        <v>Pass</v>
      </c>
      <c r="AD2354" t="str">
        <f t="shared" si="788"/>
        <v>Pass_Completed</v>
      </c>
      <c r="AE2354" t="str">
        <f t="shared" si="789"/>
        <v>Pass-Backhand</v>
      </c>
      <c r="AF2354" t="str">
        <f t="shared" si="771"/>
        <v>Defensive</v>
      </c>
      <c r="AG2354">
        <f t="shared" si="777"/>
        <v>18981</v>
      </c>
      <c r="AH2354" t="str">
        <f t="shared" si="778"/>
        <v>Nelson</v>
      </c>
      <c r="AI2354" t="str">
        <f t="shared" si="779"/>
        <v>Velodrome</v>
      </c>
      <c r="AJ2354" s="18">
        <f t="shared" si="772"/>
        <v>0</v>
      </c>
      <c r="AP2354" s="18">
        <f t="shared" si="773"/>
        <v>0</v>
      </c>
      <c r="AQ2354">
        <f t="shared" si="774"/>
        <v>2160</v>
      </c>
      <c r="AR2354" s="23">
        <f t="shared" si="775"/>
        <v>3156</v>
      </c>
      <c r="AS2354">
        <f t="shared" si="780"/>
        <v>3151</v>
      </c>
      <c r="AT2354" s="21">
        <f t="shared" si="781"/>
        <v>3156</v>
      </c>
      <c r="AU2354" s="21"/>
      <c r="AV2354" s="21"/>
      <c r="AW2354" s="21"/>
    </row>
    <row r="2355" spans="1:49" x14ac:dyDescent="0.2">
      <c r="A2355">
        <v>1254</v>
      </c>
      <c r="E2355">
        <f t="shared" si="776"/>
        <v>3</v>
      </c>
      <c r="F2355" s="5" t="s">
        <v>543</v>
      </c>
      <c r="G2355" s="5" t="s">
        <v>496</v>
      </c>
      <c r="H2355" s="5" t="s">
        <v>543</v>
      </c>
      <c r="I2355" s="7" t="s">
        <v>493</v>
      </c>
      <c r="J2355" t="str">
        <f t="shared" si="782"/>
        <v>1</v>
      </c>
      <c r="K2355" t="str">
        <f t="shared" si="783"/>
        <v>24</v>
      </c>
      <c r="L2355" t="str">
        <f t="shared" si="784"/>
        <v>1</v>
      </c>
      <c r="M2355" s="6" t="str">
        <f t="shared" si="785"/>
        <v>21</v>
      </c>
      <c r="N2355" t="s">
        <v>179</v>
      </c>
      <c r="O2355">
        <v>87</v>
      </c>
      <c r="P2355" t="s">
        <v>424</v>
      </c>
      <c r="Q2355" t="s">
        <v>15</v>
      </c>
      <c r="Y2355" t="str">
        <f t="shared" si="769"/>
        <v/>
      </c>
      <c r="Z2355" t="str">
        <f t="shared" si="770"/>
        <v/>
      </c>
      <c r="AC2355" t="str">
        <f t="shared" si="787"/>
        <v>Possession</v>
      </c>
      <c r="AD2355" t="str">
        <f t="shared" si="788"/>
        <v/>
      </c>
      <c r="AE2355" t="str">
        <f t="shared" si="789"/>
        <v/>
      </c>
      <c r="AF2355" t="str">
        <f t="shared" si="771"/>
        <v>Offensive</v>
      </c>
      <c r="AG2355">
        <f t="shared" si="777"/>
        <v>18981</v>
      </c>
      <c r="AH2355" t="str">
        <f t="shared" si="778"/>
        <v>Nelson</v>
      </c>
      <c r="AI2355" t="str">
        <f t="shared" si="779"/>
        <v>Velodrome</v>
      </c>
      <c r="AJ2355" s="18">
        <f t="shared" si="772"/>
        <v>3</v>
      </c>
      <c r="AP2355" s="18">
        <f t="shared" si="773"/>
        <v>0</v>
      </c>
      <c r="AQ2355">
        <f t="shared" si="774"/>
        <v>2160</v>
      </c>
      <c r="AR2355" s="23">
        <f t="shared" si="775"/>
        <v>3156</v>
      </c>
      <c r="AS2355">
        <f t="shared" si="780"/>
        <v>3151</v>
      </c>
      <c r="AT2355" s="21">
        <f t="shared" si="781"/>
        <v>3159</v>
      </c>
      <c r="AU2355" s="21"/>
      <c r="AV2355" s="21"/>
      <c r="AW2355" s="21"/>
    </row>
    <row r="2356" spans="1:49" x14ac:dyDescent="0.2">
      <c r="A2356">
        <v>1255</v>
      </c>
      <c r="E2356">
        <f t="shared" si="776"/>
        <v>3</v>
      </c>
      <c r="F2356" s="5" t="s">
        <v>543</v>
      </c>
      <c r="G2356" s="5" t="s">
        <v>493</v>
      </c>
      <c r="J2356" t="str">
        <f t="shared" si="782"/>
        <v>1</v>
      </c>
      <c r="K2356" t="str">
        <f t="shared" si="783"/>
        <v>21</v>
      </c>
      <c r="L2356" t="str">
        <f t="shared" si="784"/>
        <v/>
      </c>
      <c r="M2356" s="6" t="str">
        <f t="shared" si="785"/>
        <v/>
      </c>
      <c r="N2356" t="s">
        <v>179</v>
      </c>
      <c r="O2356">
        <v>87</v>
      </c>
      <c r="P2356" t="s">
        <v>424</v>
      </c>
      <c r="Q2356" t="s">
        <v>7</v>
      </c>
      <c r="R2356" t="s">
        <v>222</v>
      </c>
      <c r="S2356" t="s">
        <v>53</v>
      </c>
      <c r="Y2356" t="str">
        <f t="shared" si="769"/>
        <v/>
      </c>
      <c r="Z2356" t="str">
        <f t="shared" si="770"/>
        <v/>
      </c>
      <c r="AC2356" t="str">
        <f t="shared" si="787"/>
        <v>Shot</v>
      </c>
      <c r="AD2356" t="str">
        <f t="shared" si="788"/>
        <v>Shot_OnNetSaved</v>
      </c>
      <c r="AE2356" t="str">
        <f t="shared" si="789"/>
        <v>Shot-Wrist</v>
      </c>
      <c r="AF2356" t="str">
        <f t="shared" si="771"/>
        <v>Offensive</v>
      </c>
      <c r="AG2356">
        <f t="shared" si="777"/>
        <v>18981</v>
      </c>
      <c r="AH2356" t="str">
        <f t="shared" si="778"/>
        <v>Nelson</v>
      </c>
      <c r="AI2356" t="str">
        <f t="shared" si="779"/>
        <v>Velodrome</v>
      </c>
      <c r="AJ2356" s="18">
        <f t="shared" si="772"/>
        <v>0</v>
      </c>
      <c r="AP2356" s="18">
        <f t="shared" si="773"/>
        <v>0</v>
      </c>
      <c r="AQ2356">
        <f t="shared" si="774"/>
        <v>2160</v>
      </c>
      <c r="AR2356" s="23">
        <f t="shared" si="775"/>
        <v>3159</v>
      </c>
      <c r="AS2356">
        <f t="shared" si="780"/>
        <v>3154</v>
      </c>
      <c r="AT2356" s="21">
        <f t="shared" si="781"/>
        <v>3159</v>
      </c>
      <c r="AU2356" s="21"/>
      <c r="AV2356" s="21"/>
      <c r="AW2356" s="21"/>
    </row>
    <row r="2357" spans="1:49" x14ac:dyDescent="0.2">
      <c r="A2357">
        <v>1255</v>
      </c>
      <c r="E2357">
        <f t="shared" si="776"/>
        <v>3</v>
      </c>
      <c r="J2357" t="str">
        <f t="shared" si="782"/>
        <v>1</v>
      </c>
      <c r="K2357" t="str">
        <f t="shared" si="783"/>
        <v>21</v>
      </c>
      <c r="L2357" t="str">
        <f t="shared" si="784"/>
        <v/>
      </c>
      <c r="M2357" s="6" t="str">
        <f t="shared" si="785"/>
        <v/>
      </c>
      <c r="N2357" t="str">
        <f t="shared" si="786"/>
        <v>Away</v>
      </c>
      <c r="O2357">
        <v>31</v>
      </c>
      <c r="P2357" t="s">
        <v>425</v>
      </c>
      <c r="Y2357" t="str">
        <f t="shared" si="769"/>
        <v/>
      </c>
      <c r="Z2357" t="str">
        <f t="shared" si="770"/>
        <v/>
      </c>
      <c r="AC2357" t="str">
        <f t="shared" si="787"/>
        <v>Shot</v>
      </c>
      <c r="AD2357" t="str">
        <f t="shared" si="788"/>
        <v>Shot_OnNetSaved</v>
      </c>
      <c r="AE2357" t="str">
        <f t="shared" si="789"/>
        <v>Shot-Wrist</v>
      </c>
      <c r="AF2357" t="str">
        <f t="shared" si="771"/>
        <v>Defensive</v>
      </c>
      <c r="AG2357">
        <f t="shared" si="777"/>
        <v>18981</v>
      </c>
      <c r="AH2357" t="str">
        <f t="shared" si="778"/>
        <v>Nelson</v>
      </c>
      <c r="AI2357" t="str">
        <f t="shared" si="779"/>
        <v>Velodrome</v>
      </c>
      <c r="AJ2357" s="18">
        <f t="shared" si="772"/>
        <v>0</v>
      </c>
      <c r="AP2357" s="18">
        <f t="shared" si="773"/>
        <v>0</v>
      </c>
      <c r="AQ2357">
        <f t="shared" si="774"/>
        <v>2160</v>
      </c>
      <c r="AR2357" s="23">
        <f t="shared" si="775"/>
        <v>3159</v>
      </c>
      <c r="AS2357">
        <f t="shared" si="780"/>
        <v>3154</v>
      </c>
      <c r="AT2357" s="21">
        <f t="shared" si="781"/>
        <v>3159</v>
      </c>
      <c r="AU2357" s="21"/>
      <c r="AV2357" s="21"/>
      <c r="AW2357" s="21"/>
    </row>
    <row r="2358" spans="1:49" x14ac:dyDescent="0.2">
      <c r="A2358">
        <v>1256</v>
      </c>
      <c r="E2358">
        <f t="shared" si="776"/>
        <v>3</v>
      </c>
      <c r="F2358" s="5" t="s">
        <v>543</v>
      </c>
      <c r="G2358" s="5" t="s">
        <v>493</v>
      </c>
      <c r="J2358" t="str">
        <f t="shared" si="782"/>
        <v>1</v>
      </c>
      <c r="K2358" t="str">
        <f t="shared" si="783"/>
        <v>21</v>
      </c>
      <c r="L2358" t="str">
        <f t="shared" si="784"/>
        <v/>
      </c>
      <c r="M2358" s="6" t="str">
        <f t="shared" si="785"/>
        <v/>
      </c>
      <c r="N2358" t="s">
        <v>178</v>
      </c>
      <c r="O2358">
        <v>31</v>
      </c>
      <c r="P2358" t="s">
        <v>424</v>
      </c>
      <c r="Q2358" t="s">
        <v>17</v>
      </c>
      <c r="R2358" t="s">
        <v>196</v>
      </c>
      <c r="S2358" t="s">
        <v>103</v>
      </c>
      <c r="Y2358" t="str">
        <f t="shared" si="769"/>
        <v/>
      </c>
      <c r="Z2358" t="str">
        <f t="shared" si="770"/>
        <v/>
      </c>
      <c r="AC2358" t="str">
        <f t="shared" si="787"/>
        <v>Save</v>
      </c>
      <c r="AD2358" t="str">
        <f t="shared" si="788"/>
        <v>Save_Rebound</v>
      </c>
      <c r="AE2358" t="str">
        <f t="shared" si="789"/>
        <v>Save-Chest</v>
      </c>
      <c r="AF2358" t="str">
        <f t="shared" si="771"/>
        <v>Defensive</v>
      </c>
      <c r="AG2358">
        <f t="shared" si="777"/>
        <v>18981</v>
      </c>
      <c r="AH2358" t="str">
        <f t="shared" si="778"/>
        <v>Nelson</v>
      </c>
      <c r="AI2358" t="str">
        <f t="shared" si="779"/>
        <v>Velodrome</v>
      </c>
      <c r="AJ2358" s="18">
        <f t="shared" si="772"/>
        <v>0</v>
      </c>
      <c r="AP2358" s="18">
        <f t="shared" si="773"/>
        <v>0</v>
      </c>
      <c r="AQ2358">
        <f t="shared" si="774"/>
        <v>2160</v>
      </c>
      <c r="AR2358" s="23">
        <f t="shared" si="775"/>
        <v>3159</v>
      </c>
      <c r="AS2358">
        <f t="shared" si="780"/>
        <v>3154</v>
      </c>
      <c r="AT2358" s="21">
        <f t="shared" si="781"/>
        <v>3159</v>
      </c>
      <c r="AU2358" s="21"/>
      <c r="AV2358" s="21"/>
      <c r="AW2358" s="21"/>
    </row>
    <row r="2359" spans="1:49" x14ac:dyDescent="0.2">
      <c r="A2359">
        <v>1256</v>
      </c>
      <c r="E2359">
        <f t="shared" si="776"/>
        <v>3</v>
      </c>
      <c r="J2359" t="str">
        <f t="shared" si="782"/>
        <v>1</v>
      </c>
      <c r="K2359" t="str">
        <f t="shared" si="783"/>
        <v>21</v>
      </c>
      <c r="L2359" t="str">
        <f t="shared" si="784"/>
        <v/>
      </c>
      <c r="M2359" s="6" t="str">
        <f t="shared" si="785"/>
        <v/>
      </c>
      <c r="N2359" t="str">
        <f t="shared" si="786"/>
        <v>Home</v>
      </c>
      <c r="O2359">
        <v>87</v>
      </c>
      <c r="P2359" t="s">
        <v>425</v>
      </c>
      <c r="Y2359" t="str">
        <f t="shared" si="769"/>
        <v/>
      </c>
      <c r="Z2359" t="str">
        <f t="shared" si="770"/>
        <v/>
      </c>
      <c r="AC2359" t="str">
        <f t="shared" si="787"/>
        <v>Save</v>
      </c>
      <c r="AD2359" t="str">
        <f t="shared" si="788"/>
        <v>Save_Rebound</v>
      </c>
      <c r="AE2359" t="str">
        <f t="shared" si="789"/>
        <v>Save-Chest</v>
      </c>
      <c r="AF2359" t="str">
        <f t="shared" si="771"/>
        <v>Offensive</v>
      </c>
      <c r="AG2359">
        <f t="shared" si="777"/>
        <v>18981</v>
      </c>
      <c r="AH2359" t="str">
        <f t="shared" si="778"/>
        <v>Nelson</v>
      </c>
      <c r="AI2359" t="str">
        <f t="shared" si="779"/>
        <v>Velodrome</v>
      </c>
      <c r="AJ2359" s="18">
        <f t="shared" si="772"/>
        <v>0</v>
      </c>
      <c r="AP2359" s="18">
        <f t="shared" si="773"/>
        <v>0</v>
      </c>
      <c r="AQ2359">
        <f t="shared" si="774"/>
        <v>2160</v>
      </c>
      <c r="AR2359" s="23">
        <f t="shared" si="775"/>
        <v>3159</v>
      </c>
      <c r="AS2359">
        <f t="shared" si="780"/>
        <v>3154</v>
      </c>
      <c r="AT2359" s="21">
        <f t="shared" si="781"/>
        <v>3159</v>
      </c>
      <c r="AU2359" s="21"/>
      <c r="AV2359" s="21"/>
      <c r="AW2359" s="21"/>
    </row>
    <row r="2360" spans="1:49" x14ac:dyDescent="0.2">
      <c r="A2360">
        <v>1257</v>
      </c>
      <c r="E2360">
        <f t="shared" si="776"/>
        <v>3</v>
      </c>
      <c r="F2360" s="5" t="s">
        <v>543</v>
      </c>
      <c r="G2360" s="5" t="s">
        <v>493</v>
      </c>
      <c r="J2360" t="str">
        <f t="shared" si="782"/>
        <v>1</v>
      </c>
      <c r="K2360" t="str">
        <f t="shared" si="783"/>
        <v>21</v>
      </c>
      <c r="L2360" t="str">
        <f t="shared" si="784"/>
        <v/>
      </c>
      <c r="M2360" s="6" t="str">
        <f t="shared" si="785"/>
        <v/>
      </c>
      <c r="N2360" t="s">
        <v>178</v>
      </c>
      <c r="O2360">
        <v>31</v>
      </c>
      <c r="P2360" t="s">
        <v>424</v>
      </c>
      <c r="Q2360" t="s">
        <v>270</v>
      </c>
      <c r="R2360" t="s">
        <v>273</v>
      </c>
      <c r="Y2360" t="str">
        <f t="shared" si="769"/>
        <v/>
      </c>
      <c r="Z2360" t="str">
        <f t="shared" si="770"/>
        <v/>
      </c>
      <c r="AC2360" t="str">
        <f t="shared" si="787"/>
        <v>Rebound</v>
      </c>
      <c r="AD2360" t="str">
        <f t="shared" si="788"/>
        <v>Rebound_ShotGenerated</v>
      </c>
      <c r="AE2360" t="str">
        <f t="shared" si="789"/>
        <v/>
      </c>
      <c r="AF2360" t="str">
        <f t="shared" si="771"/>
        <v>Offensive</v>
      </c>
      <c r="AG2360">
        <f t="shared" si="777"/>
        <v>18981</v>
      </c>
      <c r="AH2360" t="str">
        <f t="shared" si="778"/>
        <v>Nelson</v>
      </c>
      <c r="AI2360" t="str">
        <f t="shared" si="779"/>
        <v>Velodrome</v>
      </c>
      <c r="AJ2360" s="18">
        <f t="shared" si="772"/>
        <v>0</v>
      </c>
      <c r="AP2360" s="18">
        <f t="shared" si="773"/>
        <v>0</v>
      </c>
      <c r="AQ2360">
        <f t="shared" si="774"/>
        <v>2160</v>
      </c>
      <c r="AR2360" s="23">
        <f t="shared" si="775"/>
        <v>3159</v>
      </c>
      <c r="AS2360">
        <f t="shared" si="780"/>
        <v>3154</v>
      </c>
      <c r="AT2360" s="21">
        <f t="shared" si="781"/>
        <v>3159</v>
      </c>
      <c r="AU2360" s="21"/>
      <c r="AV2360" s="21"/>
      <c r="AW2360" s="21"/>
    </row>
    <row r="2361" spans="1:49" x14ac:dyDescent="0.2">
      <c r="A2361">
        <v>1258</v>
      </c>
      <c r="E2361">
        <f t="shared" si="776"/>
        <v>3</v>
      </c>
      <c r="F2361" s="5" t="s">
        <v>543</v>
      </c>
      <c r="G2361" s="5" t="s">
        <v>493</v>
      </c>
      <c r="H2361" s="5" t="s">
        <v>543</v>
      </c>
      <c r="I2361" s="7" t="s">
        <v>491</v>
      </c>
      <c r="J2361" t="str">
        <f t="shared" si="782"/>
        <v>1</v>
      </c>
      <c r="K2361" t="str">
        <f t="shared" si="783"/>
        <v>21</v>
      </c>
      <c r="L2361" t="str">
        <f t="shared" si="784"/>
        <v>1</v>
      </c>
      <c r="M2361" s="6" t="str">
        <f t="shared" si="785"/>
        <v>19</v>
      </c>
      <c r="N2361" t="s">
        <v>179</v>
      </c>
      <c r="O2361">
        <v>87</v>
      </c>
      <c r="P2361" t="s">
        <v>424</v>
      </c>
      <c r="Q2361" t="s">
        <v>15</v>
      </c>
      <c r="Y2361" t="str">
        <f t="shared" si="769"/>
        <v/>
      </c>
      <c r="Z2361" t="str">
        <f t="shared" si="770"/>
        <v/>
      </c>
      <c r="AC2361" t="str">
        <f t="shared" si="787"/>
        <v>Possession</v>
      </c>
      <c r="AD2361" t="str">
        <f t="shared" si="788"/>
        <v/>
      </c>
      <c r="AE2361" t="str">
        <f t="shared" si="789"/>
        <v/>
      </c>
      <c r="AF2361" t="str">
        <f t="shared" si="771"/>
        <v>Offensive</v>
      </c>
      <c r="AG2361">
        <f t="shared" si="777"/>
        <v>18981</v>
      </c>
      <c r="AH2361" t="str">
        <f t="shared" si="778"/>
        <v>Nelson</v>
      </c>
      <c r="AI2361" t="str">
        <f t="shared" si="779"/>
        <v>Velodrome</v>
      </c>
      <c r="AJ2361" s="18">
        <f t="shared" si="772"/>
        <v>2</v>
      </c>
      <c r="AP2361" s="18">
        <f t="shared" si="773"/>
        <v>0</v>
      </c>
      <c r="AQ2361">
        <f t="shared" si="774"/>
        <v>2160</v>
      </c>
      <c r="AR2361" s="23">
        <f t="shared" si="775"/>
        <v>3159</v>
      </c>
      <c r="AS2361">
        <f t="shared" si="780"/>
        <v>3154</v>
      </c>
      <c r="AT2361" s="21">
        <f t="shared" si="781"/>
        <v>3161</v>
      </c>
      <c r="AU2361" s="21"/>
      <c r="AV2361" s="21"/>
      <c r="AW2361" s="21"/>
    </row>
    <row r="2362" spans="1:49" x14ac:dyDescent="0.2">
      <c r="A2362">
        <v>1259</v>
      </c>
      <c r="E2362">
        <f t="shared" si="776"/>
        <v>3</v>
      </c>
      <c r="F2362" s="5" t="s">
        <v>543</v>
      </c>
      <c r="G2362" s="5" t="s">
        <v>491</v>
      </c>
      <c r="J2362" t="str">
        <f t="shared" si="782"/>
        <v>1</v>
      </c>
      <c r="K2362" t="str">
        <f t="shared" si="783"/>
        <v>19</v>
      </c>
      <c r="L2362" t="str">
        <f t="shared" si="784"/>
        <v/>
      </c>
      <c r="M2362" s="6" t="str">
        <f t="shared" si="785"/>
        <v/>
      </c>
      <c r="N2362" t="s">
        <v>179</v>
      </c>
      <c r="O2362">
        <v>87</v>
      </c>
      <c r="P2362" t="s">
        <v>424</v>
      </c>
      <c r="Q2362" t="s">
        <v>7</v>
      </c>
      <c r="R2362" t="s">
        <v>198</v>
      </c>
      <c r="S2362" t="s">
        <v>53</v>
      </c>
      <c r="Y2362" t="str">
        <f t="shared" si="769"/>
        <v/>
      </c>
      <c r="Z2362" t="str">
        <f t="shared" si="770"/>
        <v/>
      </c>
      <c r="AC2362" t="str">
        <f t="shared" si="787"/>
        <v>Shot</v>
      </c>
      <c r="AD2362" t="str">
        <f t="shared" si="788"/>
        <v>Shot_Missed</v>
      </c>
      <c r="AE2362" t="str">
        <f t="shared" si="789"/>
        <v>Shot-Wrist</v>
      </c>
      <c r="AF2362" t="str">
        <f t="shared" si="771"/>
        <v>Offensive</v>
      </c>
      <c r="AG2362">
        <f t="shared" si="777"/>
        <v>18981</v>
      </c>
      <c r="AH2362" t="str">
        <f t="shared" si="778"/>
        <v>Nelson</v>
      </c>
      <c r="AI2362" t="str">
        <f t="shared" si="779"/>
        <v>Velodrome</v>
      </c>
      <c r="AJ2362" s="18">
        <f t="shared" si="772"/>
        <v>0</v>
      </c>
      <c r="AP2362" s="18">
        <f t="shared" si="773"/>
        <v>0</v>
      </c>
      <c r="AQ2362">
        <f t="shared" si="774"/>
        <v>2160</v>
      </c>
      <c r="AR2362" s="23">
        <f t="shared" si="775"/>
        <v>3161</v>
      </c>
      <c r="AS2362">
        <f t="shared" si="780"/>
        <v>3156</v>
      </c>
      <c r="AT2362" s="21">
        <f t="shared" si="781"/>
        <v>3161</v>
      </c>
      <c r="AU2362" s="21"/>
      <c r="AV2362" s="21"/>
      <c r="AW2362" s="21"/>
    </row>
    <row r="2363" spans="1:49" x14ac:dyDescent="0.2">
      <c r="A2363">
        <v>1259</v>
      </c>
      <c r="E2363">
        <f t="shared" si="776"/>
        <v>3</v>
      </c>
      <c r="J2363" t="str">
        <f t="shared" si="782"/>
        <v>1</v>
      </c>
      <c r="K2363" t="str">
        <f t="shared" si="783"/>
        <v>19</v>
      </c>
      <c r="L2363" t="str">
        <f t="shared" si="784"/>
        <v/>
      </c>
      <c r="M2363" s="6" t="str">
        <f t="shared" si="785"/>
        <v/>
      </c>
      <c r="N2363" t="str">
        <f t="shared" si="786"/>
        <v>Away</v>
      </c>
      <c r="O2363">
        <v>8</v>
      </c>
      <c r="P2363" t="s">
        <v>425</v>
      </c>
      <c r="Y2363" t="str">
        <f t="shared" si="769"/>
        <v/>
      </c>
      <c r="Z2363" t="str">
        <f t="shared" si="770"/>
        <v/>
      </c>
      <c r="AC2363" t="str">
        <f t="shared" si="787"/>
        <v>Shot</v>
      </c>
      <c r="AD2363" t="str">
        <f t="shared" si="788"/>
        <v>Shot_Missed</v>
      </c>
      <c r="AE2363" t="str">
        <f t="shared" si="789"/>
        <v>Shot-Wrist</v>
      </c>
      <c r="AF2363" t="str">
        <f t="shared" si="771"/>
        <v>Defensive</v>
      </c>
      <c r="AG2363">
        <f t="shared" si="777"/>
        <v>18981</v>
      </c>
      <c r="AH2363" t="str">
        <f t="shared" si="778"/>
        <v>Nelson</v>
      </c>
      <c r="AI2363" t="str">
        <f t="shared" si="779"/>
        <v>Velodrome</v>
      </c>
      <c r="AJ2363" s="18">
        <f t="shared" si="772"/>
        <v>0</v>
      </c>
      <c r="AP2363" s="18">
        <f t="shared" si="773"/>
        <v>0</v>
      </c>
      <c r="AQ2363">
        <f t="shared" si="774"/>
        <v>2160</v>
      </c>
      <c r="AR2363" s="23">
        <f t="shared" si="775"/>
        <v>3161</v>
      </c>
      <c r="AS2363">
        <f t="shared" si="780"/>
        <v>3156</v>
      </c>
      <c r="AT2363" s="21">
        <f t="shared" si="781"/>
        <v>3161</v>
      </c>
      <c r="AU2363" s="21"/>
      <c r="AV2363" s="21"/>
      <c r="AW2363" s="21"/>
    </row>
    <row r="2364" spans="1:49" x14ac:dyDescent="0.2">
      <c r="A2364">
        <v>1260</v>
      </c>
      <c r="E2364">
        <f t="shared" si="776"/>
        <v>3</v>
      </c>
      <c r="F2364" s="5" t="s">
        <v>543</v>
      </c>
      <c r="G2364" s="5" t="s">
        <v>477</v>
      </c>
      <c r="J2364" t="str">
        <f t="shared" si="782"/>
        <v>1</v>
      </c>
      <c r="K2364" t="str">
        <f t="shared" si="783"/>
        <v>16</v>
      </c>
      <c r="L2364" t="str">
        <f t="shared" si="784"/>
        <v/>
      </c>
      <c r="M2364" s="6" t="str">
        <f t="shared" si="785"/>
        <v/>
      </c>
      <c r="N2364" t="s">
        <v>178</v>
      </c>
      <c r="O2364">
        <v>8</v>
      </c>
      <c r="P2364" t="s">
        <v>424</v>
      </c>
      <c r="Q2364" t="s">
        <v>277</v>
      </c>
      <c r="R2364" t="s">
        <v>201</v>
      </c>
      <c r="S2364" t="s">
        <v>435</v>
      </c>
      <c r="Y2364" t="str">
        <f t="shared" si="769"/>
        <v/>
      </c>
      <c r="Z2364" t="str">
        <f t="shared" si="770"/>
        <v/>
      </c>
      <c r="AC2364" t="str">
        <f t="shared" si="787"/>
        <v>Zone_Entry_Exit</v>
      </c>
      <c r="AD2364" t="str">
        <f t="shared" si="788"/>
        <v>Zone_Exit</v>
      </c>
      <c r="AE2364" t="str">
        <f t="shared" si="789"/>
        <v>ZoneExit-OppTeam</v>
      </c>
      <c r="AF2364" t="str">
        <f t="shared" si="771"/>
        <v>Offensive</v>
      </c>
      <c r="AG2364">
        <f t="shared" si="777"/>
        <v>18981</v>
      </c>
      <c r="AH2364" t="str">
        <f t="shared" si="778"/>
        <v>Nelson</v>
      </c>
      <c r="AI2364" t="str">
        <f t="shared" si="779"/>
        <v>Velodrome</v>
      </c>
      <c r="AJ2364" s="18">
        <f t="shared" si="772"/>
        <v>0</v>
      </c>
      <c r="AP2364" s="18">
        <f t="shared" si="773"/>
        <v>0</v>
      </c>
      <c r="AQ2364">
        <f t="shared" si="774"/>
        <v>2160</v>
      </c>
      <c r="AR2364" s="23">
        <f t="shared" si="775"/>
        <v>3164</v>
      </c>
      <c r="AS2364">
        <f t="shared" si="780"/>
        <v>3159</v>
      </c>
      <c r="AT2364" s="21">
        <f t="shared" si="781"/>
        <v>3164</v>
      </c>
      <c r="AU2364" s="21"/>
      <c r="AV2364" s="21"/>
      <c r="AW2364" s="21"/>
    </row>
    <row r="2365" spans="1:49" x14ac:dyDescent="0.2">
      <c r="A2365">
        <v>1261</v>
      </c>
      <c r="E2365">
        <f t="shared" si="776"/>
        <v>3</v>
      </c>
      <c r="F2365" s="5" t="s">
        <v>543</v>
      </c>
      <c r="G2365" s="5" t="s">
        <v>488</v>
      </c>
      <c r="H2365" s="5" t="s">
        <v>543</v>
      </c>
      <c r="I2365" s="7" t="s">
        <v>485</v>
      </c>
      <c r="J2365" t="str">
        <f t="shared" si="782"/>
        <v>1</v>
      </c>
      <c r="K2365" t="str">
        <f t="shared" si="783"/>
        <v>13</v>
      </c>
      <c r="L2365" t="str">
        <f t="shared" si="784"/>
        <v>1</v>
      </c>
      <c r="M2365" s="6" t="str">
        <f t="shared" si="785"/>
        <v>10</v>
      </c>
      <c r="N2365" t="s">
        <v>179</v>
      </c>
      <c r="O2365">
        <v>52</v>
      </c>
      <c r="P2365" t="s">
        <v>424</v>
      </c>
      <c r="Q2365" t="s">
        <v>15</v>
      </c>
      <c r="Y2365" t="str">
        <f t="shared" si="769"/>
        <v/>
      </c>
      <c r="Z2365" t="str">
        <f t="shared" si="770"/>
        <v/>
      </c>
      <c r="AC2365" t="str">
        <f t="shared" si="787"/>
        <v>Possession</v>
      </c>
      <c r="AD2365" t="str">
        <f t="shared" si="788"/>
        <v/>
      </c>
      <c r="AE2365" t="str">
        <f t="shared" si="789"/>
        <v/>
      </c>
      <c r="AF2365" t="str">
        <f t="shared" si="771"/>
        <v>Offensive</v>
      </c>
      <c r="AG2365">
        <f t="shared" si="777"/>
        <v>18981</v>
      </c>
      <c r="AH2365" t="str">
        <f t="shared" si="778"/>
        <v>Nelson</v>
      </c>
      <c r="AI2365" t="str">
        <f t="shared" si="779"/>
        <v>Velodrome</v>
      </c>
      <c r="AJ2365" s="18">
        <f t="shared" si="772"/>
        <v>3</v>
      </c>
      <c r="AP2365" s="18">
        <f t="shared" si="773"/>
        <v>0</v>
      </c>
      <c r="AQ2365">
        <f t="shared" si="774"/>
        <v>2160</v>
      </c>
      <c r="AR2365" s="23">
        <f t="shared" si="775"/>
        <v>3167</v>
      </c>
      <c r="AS2365">
        <f t="shared" si="780"/>
        <v>3162</v>
      </c>
      <c r="AT2365" s="21">
        <f t="shared" si="781"/>
        <v>3170</v>
      </c>
      <c r="AU2365" s="21"/>
      <c r="AV2365" s="21"/>
      <c r="AW2365" s="21"/>
    </row>
    <row r="2366" spans="1:49" x14ac:dyDescent="0.2">
      <c r="A2366">
        <v>1262</v>
      </c>
      <c r="E2366">
        <f t="shared" si="776"/>
        <v>3</v>
      </c>
      <c r="F2366" s="5" t="s">
        <v>543</v>
      </c>
      <c r="G2366" s="5" t="s">
        <v>485</v>
      </c>
      <c r="J2366" t="str">
        <f t="shared" si="782"/>
        <v>1</v>
      </c>
      <c r="K2366" t="str">
        <f t="shared" si="783"/>
        <v>10</v>
      </c>
      <c r="L2366" t="str">
        <f t="shared" si="784"/>
        <v/>
      </c>
      <c r="M2366" s="6" t="str">
        <f t="shared" si="785"/>
        <v/>
      </c>
      <c r="N2366" t="s">
        <v>179</v>
      </c>
      <c r="O2366">
        <v>52</v>
      </c>
      <c r="P2366" t="s">
        <v>424</v>
      </c>
      <c r="Q2366" t="s">
        <v>8</v>
      </c>
      <c r="R2366" t="s">
        <v>189</v>
      </c>
      <c r="S2366" t="s">
        <v>70</v>
      </c>
      <c r="Y2366" t="str">
        <f t="shared" si="769"/>
        <v/>
      </c>
      <c r="Z2366" t="str">
        <f t="shared" si="770"/>
        <v/>
      </c>
      <c r="AC2366" t="str">
        <f t="shared" si="787"/>
        <v>Pass</v>
      </c>
      <c r="AD2366" t="str">
        <f t="shared" si="788"/>
        <v>Pass_Completed</v>
      </c>
      <c r="AE2366" t="str">
        <f t="shared" si="789"/>
        <v>Pass-Forehand</v>
      </c>
      <c r="AF2366" t="str">
        <f t="shared" si="771"/>
        <v>Offensive</v>
      </c>
      <c r="AG2366">
        <f t="shared" si="777"/>
        <v>18981</v>
      </c>
      <c r="AH2366" t="str">
        <f t="shared" si="778"/>
        <v>Nelson</v>
      </c>
      <c r="AI2366" t="str">
        <f t="shared" si="779"/>
        <v>Velodrome</v>
      </c>
      <c r="AJ2366" s="18">
        <f t="shared" si="772"/>
        <v>0</v>
      </c>
      <c r="AP2366" s="18">
        <f t="shared" si="773"/>
        <v>0</v>
      </c>
      <c r="AQ2366">
        <f t="shared" si="774"/>
        <v>2160</v>
      </c>
      <c r="AR2366" s="23">
        <f t="shared" si="775"/>
        <v>3170</v>
      </c>
      <c r="AS2366">
        <f t="shared" si="780"/>
        <v>3165</v>
      </c>
      <c r="AT2366" s="21">
        <f t="shared" si="781"/>
        <v>3170</v>
      </c>
      <c r="AU2366" s="21"/>
      <c r="AV2366" s="21"/>
      <c r="AW2366" s="21"/>
    </row>
    <row r="2367" spans="1:49" x14ac:dyDescent="0.2">
      <c r="A2367">
        <v>1262</v>
      </c>
      <c r="E2367">
        <f t="shared" si="776"/>
        <v>3</v>
      </c>
      <c r="J2367" t="str">
        <f t="shared" si="782"/>
        <v>1</v>
      </c>
      <c r="K2367" t="str">
        <f t="shared" si="783"/>
        <v>10</v>
      </c>
      <c r="L2367" t="str">
        <f t="shared" si="784"/>
        <v/>
      </c>
      <c r="M2367" s="6" t="str">
        <f t="shared" si="785"/>
        <v/>
      </c>
      <c r="N2367" t="str">
        <f t="shared" si="786"/>
        <v>Away</v>
      </c>
      <c r="O2367">
        <v>70</v>
      </c>
      <c r="P2367" t="s">
        <v>424</v>
      </c>
      <c r="Y2367" t="str">
        <f t="shared" si="769"/>
        <v/>
      </c>
      <c r="Z2367" t="str">
        <f t="shared" si="770"/>
        <v/>
      </c>
      <c r="AC2367" t="str">
        <f t="shared" si="787"/>
        <v>Pass</v>
      </c>
      <c r="AD2367" t="str">
        <f t="shared" si="788"/>
        <v>Pass_Completed</v>
      </c>
      <c r="AE2367" t="str">
        <f t="shared" si="789"/>
        <v>Pass-Forehand</v>
      </c>
      <c r="AF2367" t="str">
        <f t="shared" si="771"/>
        <v>Offensive</v>
      </c>
      <c r="AG2367">
        <f t="shared" si="777"/>
        <v>18981</v>
      </c>
      <c r="AH2367" t="str">
        <f t="shared" si="778"/>
        <v>Nelson</v>
      </c>
      <c r="AI2367" t="str">
        <f t="shared" si="779"/>
        <v>Velodrome</v>
      </c>
      <c r="AJ2367" s="18">
        <f t="shared" si="772"/>
        <v>0</v>
      </c>
      <c r="AP2367" s="18">
        <f t="shared" si="773"/>
        <v>0</v>
      </c>
      <c r="AQ2367">
        <f t="shared" si="774"/>
        <v>2160</v>
      </c>
      <c r="AR2367" s="23">
        <f t="shared" si="775"/>
        <v>3170</v>
      </c>
      <c r="AS2367">
        <f t="shared" si="780"/>
        <v>3165</v>
      </c>
      <c r="AT2367" s="21">
        <f t="shared" si="781"/>
        <v>3170</v>
      </c>
      <c r="AU2367" s="21"/>
      <c r="AV2367" s="21"/>
      <c r="AW2367" s="21"/>
    </row>
    <row r="2368" spans="1:49" x14ac:dyDescent="0.2">
      <c r="A2368">
        <v>1263</v>
      </c>
      <c r="E2368">
        <f t="shared" si="776"/>
        <v>3</v>
      </c>
      <c r="F2368" s="5" t="s">
        <v>543</v>
      </c>
      <c r="G2368" s="5" t="s">
        <v>485</v>
      </c>
      <c r="H2368" s="5" t="s">
        <v>543</v>
      </c>
      <c r="I2368" s="7" t="s">
        <v>482</v>
      </c>
      <c r="J2368" t="str">
        <f t="shared" si="782"/>
        <v>1</v>
      </c>
      <c r="K2368" t="str">
        <f t="shared" si="783"/>
        <v>10</v>
      </c>
      <c r="L2368" t="str">
        <f t="shared" si="784"/>
        <v>1</v>
      </c>
      <c r="M2368" s="6" t="str">
        <f t="shared" si="785"/>
        <v>07</v>
      </c>
      <c r="N2368" t="s">
        <v>179</v>
      </c>
      <c r="O2368">
        <v>70</v>
      </c>
      <c r="P2368" t="s">
        <v>424</v>
      </c>
      <c r="Q2368" t="s">
        <v>277</v>
      </c>
      <c r="R2368" t="s">
        <v>191</v>
      </c>
      <c r="S2368" t="s">
        <v>87</v>
      </c>
      <c r="Y2368" t="str">
        <f t="shared" si="769"/>
        <v/>
      </c>
      <c r="Z2368" t="str">
        <f t="shared" si="770"/>
        <v/>
      </c>
      <c r="AC2368" t="str">
        <f t="shared" si="787"/>
        <v>Zone_Entry_Exit</v>
      </c>
      <c r="AD2368" t="str">
        <f t="shared" si="788"/>
        <v>Zone_Entry</v>
      </c>
      <c r="AE2368" t="str">
        <f t="shared" si="789"/>
        <v>ZoneEntry-Rush</v>
      </c>
      <c r="AF2368" t="str">
        <f t="shared" si="771"/>
        <v>Offensive</v>
      </c>
      <c r="AG2368">
        <f t="shared" si="777"/>
        <v>18981</v>
      </c>
      <c r="AH2368" t="str">
        <f t="shared" si="778"/>
        <v>Nelson</v>
      </c>
      <c r="AI2368" t="str">
        <f t="shared" si="779"/>
        <v>Velodrome</v>
      </c>
      <c r="AJ2368" s="18">
        <f t="shared" si="772"/>
        <v>3</v>
      </c>
      <c r="AP2368" s="18">
        <f t="shared" si="773"/>
        <v>0</v>
      </c>
      <c r="AQ2368">
        <f t="shared" si="774"/>
        <v>2160</v>
      </c>
      <c r="AR2368" s="23">
        <f t="shared" si="775"/>
        <v>3170</v>
      </c>
      <c r="AS2368">
        <f t="shared" si="780"/>
        <v>3165</v>
      </c>
      <c r="AT2368" s="21">
        <f t="shared" si="781"/>
        <v>3173</v>
      </c>
      <c r="AU2368" s="21"/>
      <c r="AV2368" s="21"/>
      <c r="AW2368" s="21"/>
    </row>
    <row r="2369" spans="1:49" x14ac:dyDescent="0.2">
      <c r="A2369">
        <v>1263</v>
      </c>
      <c r="E2369">
        <f t="shared" si="776"/>
        <v>3</v>
      </c>
      <c r="J2369" t="str">
        <f t="shared" si="782"/>
        <v>1</v>
      </c>
      <c r="K2369" t="str">
        <f t="shared" si="783"/>
        <v>10</v>
      </c>
      <c r="L2369" t="str">
        <f t="shared" si="784"/>
        <v>1</v>
      </c>
      <c r="M2369" s="6" t="str">
        <f t="shared" si="785"/>
        <v>07</v>
      </c>
      <c r="N2369" t="str">
        <f t="shared" si="786"/>
        <v>Away</v>
      </c>
      <c r="O2369">
        <v>87</v>
      </c>
      <c r="P2369" t="s">
        <v>424</v>
      </c>
      <c r="Y2369" t="str">
        <f t="shared" si="769"/>
        <v/>
      </c>
      <c r="Z2369" t="str">
        <f t="shared" si="770"/>
        <v/>
      </c>
      <c r="AC2369" t="str">
        <f t="shared" si="787"/>
        <v>Zone_Entry_Exit</v>
      </c>
      <c r="AD2369" t="str">
        <f t="shared" si="788"/>
        <v>Zone_Entry</v>
      </c>
      <c r="AE2369" t="str">
        <f t="shared" si="789"/>
        <v>ZoneEntry-Rush</v>
      </c>
      <c r="AF2369" t="str">
        <f t="shared" si="771"/>
        <v>Offensive</v>
      </c>
      <c r="AG2369">
        <f t="shared" si="777"/>
        <v>18981</v>
      </c>
      <c r="AH2369" t="str">
        <f t="shared" si="778"/>
        <v>Nelson</v>
      </c>
      <c r="AI2369" t="str">
        <f t="shared" si="779"/>
        <v>Velodrome</v>
      </c>
      <c r="AJ2369" s="18">
        <f t="shared" si="772"/>
        <v>3</v>
      </c>
      <c r="AP2369" s="18">
        <f t="shared" si="773"/>
        <v>0</v>
      </c>
      <c r="AQ2369">
        <f t="shared" si="774"/>
        <v>2160</v>
      </c>
      <c r="AR2369" s="23">
        <f t="shared" si="775"/>
        <v>3170</v>
      </c>
      <c r="AS2369">
        <f t="shared" si="780"/>
        <v>3165</v>
      </c>
      <c r="AT2369" s="21">
        <f t="shared" si="781"/>
        <v>3173</v>
      </c>
      <c r="AU2369" s="21"/>
      <c r="AV2369" s="21"/>
      <c r="AW2369" s="21"/>
    </row>
    <row r="2370" spans="1:49" x14ac:dyDescent="0.2">
      <c r="A2370">
        <v>1263</v>
      </c>
      <c r="E2370">
        <f t="shared" si="776"/>
        <v>3</v>
      </c>
      <c r="J2370" t="str">
        <f t="shared" si="782"/>
        <v>1</v>
      </c>
      <c r="K2370" t="str">
        <f t="shared" si="783"/>
        <v>10</v>
      </c>
      <c r="L2370" t="str">
        <f t="shared" si="784"/>
        <v>1</v>
      </c>
      <c r="M2370" s="6" t="str">
        <f t="shared" si="785"/>
        <v>07</v>
      </c>
      <c r="N2370" t="str">
        <f t="shared" si="786"/>
        <v>Away</v>
      </c>
      <c r="O2370">
        <v>8</v>
      </c>
      <c r="P2370" t="s">
        <v>425</v>
      </c>
      <c r="Y2370" t="str">
        <f t="shared" si="769"/>
        <v/>
      </c>
      <c r="Z2370" t="str">
        <f t="shared" si="770"/>
        <v/>
      </c>
      <c r="AC2370" t="str">
        <f t="shared" si="787"/>
        <v>Zone_Entry_Exit</v>
      </c>
      <c r="AD2370" t="str">
        <f t="shared" si="788"/>
        <v>Zone_Entry</v>
      </c>
      <c r="AE2370" t="str">
        <f t="shared" si="789"/>
        <v>ZoneEntry-Rush</v>
      </c>
      <c r="AF2370" t="str">
        <f t="shared" si="771"/>
        <v>Defensive</v>
      </c>
      <c r="AG2370">
        <f t="shared" si="777"/>
        <v>18981</v>
      </c>
      <c r="AH2370" t="str">
        <f t="shared" si="778"/>
        <v>Nelson</v>
      </c>
      <c r="AI2370" t="str">
        <f t="shared" si="779"/>
        <v>Velodrome</v>
      </c>
      <c r="AJ2370" s="18">
        <f t="shared" si="772"/>
        <v>3</v>
      </c>
      <c r="AP2370" s="18">
        <f t="shared" si="773"/>
        <v>0</v>
      </c>
      <c r="AQ2370">
        <f t="shared" si="774"/>
        <v>2160</v>
      </c>
      <c r="AR2370" s="23">
        <f t="shared" si="775"/>
        <v>3170</v>
      </c>
      <c r="AS2370">
        <f t="shared" si="780"/>
        <v>3165</v>
      </c>
      <c r="AT2370" s="21">
        <f t="shared" si="781"/>
        <v>3173</v>
      </c>
      <c r="AU2370" s="21"/>
      <c r="AV2370" s="21"/>
      <c r="AW2370" s="21"/>
    </row>
    <row r="2371" spans="1:49" x14ac:dyDescent="0.2">
      <c r="A2371">
        <v>1263</v>
      </c>
      <c r="E2371">
        <f t="shared" si="776"/>
        <v>3</v>
      </c>
      <c r="J2371" t="str">
        <f t="shared" si="782"/>
        <v>1</v>
      </c>
      <c r="K2371" t="str">
        <f t="shared" si="783"/>
        <v>10</v>
      </c>
      <c r="L2371" t="str">
        <f t="shared" si="784"/>
        <v>1</v>
      </c>
      <c r="M2371" s="6" t="str">
        <f t="shared" si="785"/>
        <v>07</v>
      </c>
      <c r="N2371" t="str">
        <f t="shared" si="786"/>
        <v>Away</v>
      </c>
      <c r="O2371">
        <v>80</v>
      </c>
      <c r="P2371" t="s">
        <v>425</v>
      </c>
      <c r="Y2371" t="str">
        <f t="shared" ref="Y2371:Y2434" si="790">IF($N2371="","",IF(X2371="","",IF($N2371="Home",$X2371,IF($X2371="n","n",IF($X2371="d","o",IF($X2371="o","d",""))))))</f>
        <v/>
      </c>
      <c r="Z2371" t="str">
        <f t="shared" ref="Z2371:Z2434" si="791">IF($N2371="","",IF(X2371="","",IF($N2371="Away",$X2371,IF($X2371="n","n",IF($X2371="d","o",IF($X2371="o","d",""))))))</f>
        <v/>
      </c>
      <c r="AC2371" t="str">
        <f t="shared" si="787"/>
        <v>Zone_Entry_Exit</v>
      </c>
      <c r="AD2371" t="str">
        <f t="shared" si="788"/>
        <v>Zone_Entry</v>
      </c>
      <c r="AE2371" t="str">
        <f t="shared" si="789"/>
        <v>ZoneEntry-Rush</v>
      </c>
      <c r="AF2371" t="str">
        <f t="shared" ref="AF2371:AF2434" si="792">IF(AND(P2371="e",OR(AC2371="Save",AD2371="Turnover_Takeaway",AD2371="Play_Defensive")),"Defensive",IF(AND(P2371="o",OR(AC2371="Save",AD2371="Turnover_Takeaway",AD2371="Play_Defensive")),"Offensive",IF(OR(AC2371="Deadice",AC2371="Stoppage",AC2371="Intermission"),"",IF(P2371="e","Offensive",IF(P2371="o","Defensive","")))))</f>
        <v>Defensive</v>
      </c>
      <c r="AG2371">
        <f t="shared" si="777"/>
        <v>18981</v>
      </c>
      <c r="AH2371" t="str">
        <f t="shared" si="778"/>
        <v>Nelson</v>
      </c>
      <c r="AI2371" t="str">
        <f t="shared" si="779"/>
        <v>Velodrome</v>
      </c>
      <c r="AJ2371" s="18">
        <f t="shared" ref="AJ2371:AJ2434" si="793">IF(AND(L2371="",M2371=""),0,((J2371*60)+K2371)-((L2371*60)+M2371))</f>
        <v>3</v>
      </c>
      <c r="AP2371" s="18">
        <f t="shared" ref="AP2371:AP2434" si="794">SUMIFS(AJ2371:AJ2371,Q2371:Q2371,"=Intermission")</f>
        <v>0</v>
      </c>
      <c r="AQ2371">
        <f t="shared" ref="AQ2371:AQ2434" si="795">IF(E2371=1,0,IF(E2371=2,1080+AP2371,IF(E2371=3,(1080*2)+AP2371,0)))</f>
        <v>2160</v>
      </c>
      <c r="AR2371" s="23">
        <f t="shared" ref="AR2371:AR2434" si="796">IF(Q2371="Intermission",AR2370,((1080)-((J2371*60)+K2371))+AQ2371)</f>
        <v>3170</v>
      </c>
      <c r="AS2371">
        <f t="shared" si="780"/>
        <v>3165</v>
      </c>
      <c r="AT2371" s="21">
        <f t="shared" si="781"/>
        <v>3173</v>
      </c>
      <c r="AU2371" s="21"/>
      <c r="AV2371" s="21"/>
      <c r="AW2371" s="21"/>
    </row>
    <row r="2372" spans="1:49" x14ac:dyDescent="0.2">
      <c r="A2372">
        <v>1264</v>
      </c>
      <c r="E2372">
        <f t="shared" ref="E2372:E2435" si="797">IF(Q2372="Intermission",E2371+1,E2371)</f>
        <v>3</v>
      </c>
      <c r="F2372" s="5" t="s">
        <v>543</v>
      </c>
      <c r="G2372" s="5" t="s">
        <v>482</v>
      </c>
      <c r="J2372" t="str">
        <f t="shared" si="782"/>
        <v>1</v>
      </c>
      <c r="K2372" t="str">
        <f t="shared" si="783"/>
        <v>07</v>
      </c>
      <c r="L2372" t="str">
        <f t="shared" si="784"/>
        <v/>
      </c>
      <c r="M2372" s="6" t="str">
        <f t="shared" si="785"/>
        <v/>
      </c>
      <c r="N2372" t="s">
        <v>178</v>
      </c>
      <c r="O2372">
        <v>80</v>
      </c>
      <c r="P2372" t="s">
        <v>424</v>
      </c>
      <c r="Q2372" t="s">
        <v>247</v>
      </c>
      <c r="R2372" t="s">
        <v>446</v>
      </c>
      <c r="S2372" t="s">
        <v>559</v>
      </c>
      <c r="Y2372" t="str">
        <f t="shared" si="790"/>
        <v/>
      </c>
      <c r="Z2372" t="str">
        <f t="shared" si="791"/>
        <v/>
      </c>
      <c r="AC2372" t="str">
        <f t="shared" si="787"/>
        <v>Play</v>
      </c>
      <c r="AD2372" t="str">
        <f t="shared" si="788"/>
        <v>Play_Defensive</v>
      </c>
      <c r="AE2372" t="str">
        <f t="shared" si="789"/>
        <v>Play-PokeCheck</v>
      </c>
      <c r="AF2372" t="str">
        <f t="shared" si="792"/>
        <v>Defensive</v>
      </c>
      <c r="AG2372">
        <f t="shared" ref="AG2372:AG2435" si="798">AG2371</f>
        <v>18981</v>
      </c>
      <c r="AH2372" t="str">
        <f t="shared" ref="AH2372:AH2435" si="799">AH2371</f>
        <v>Nelson</v>
      </c>
      <c r="AI2372" t="str">
        <f t="shared" ref="AI2372:AI2435" si="800">AI2371</f>
        <v>Velodrome</v>
      </c>
      <c r="AJ2372" s="18">
        <f t="shared" si="793"/>
        <v>0</v>
      </c>
      <c r="AP2372" s="18">
        <f t="shared" si="794"/>
        <v>0</v>
      </c>
      <c r="AQ2372">
        <f t="shared" si="795"/>
        <v>2160</v>
      </c>
      <c r="AR2372" s="23">
        <f t="shared" si="796"/>
        <v>3173</v>
      </c>
      <c r="AS2372">
        <f t="shared" ref="AS2372:AS2435" si="801">IF(AR2372&lt;5,0,AR2372-5)</f>
        <v>3168</v>
      </c>
      <c r="AT2372" s="21">
        <f t="shared" ref="AT2372:AT2435" si="802">AS2372+AJ2372+5</f>
        <v>3173</v>
      </c>
      <c r="AU2372" s="21"/>
      <c r="AV2372" s="21"/>
      <c r="AW2372" s="21"/>
    </row>
    <row r="2373" spans="1:49" x14ac:dyDescent="0.2">
      <c r="A2373">
        <v>1264</v>
      </c>
      <c r="E2373">
        <f t="shared" si="797"/>
        <v>3</v>
      </c>
      <c r="J2373" t="str">
        <f t="shared" si="782"/>
        <v>1</v>
      </c>
      <c r="K2373" t="str">
        <f t="shared" si="783"/>
        <v>07</v>
      </c>
      <c r="L2373" t="str">
        <f t="shared" si="784"/>
        <v/>
      </c>
      <c r="M2373" s="6" t="str">
        <f t="shared" si="785"/>
        <v/>
      </c>
      <c r="N2373" t="str">
        <f t="shared" si="786"/>
        <v>Home</v>
      </c>
      <c r="O2373">
        <v>8</v>
      </c>
      <c r="P2373" t="s">
        <v>424</v>
      </c>
      <c r="Y2373" t="str">
        <f t="shared" si="790"/>
        <v/>
      </c>
      <c r="Z2373" t="str">
        <f t="shared" si="791"/>
        <v/>
      </c>
      <c r="AC2373" t="str">
        <f t="shared" si="787"/>
        <v>Play</v>
      </c>
      <c r="AD2373" t="str">
        <f t="shared" si="788"/>
        <v>Play_Defensive</v>
      </c>
      <c r="AE2373" t="str">
        <f t="shared" si="789"/>
        <v>Play-PokeCheck</v>
      </c>
      <c r="AF2373" t="str">
        <f t="shared" si="792"/>
        <v>Defensive</v>
      </c>
      <c r="AG2373">
        <f t="shared" si="798"/>
        <v>18981</v>
      </c>
      <c r="AH2373" t="str">
        <f t="shared" si="799"/>
        <v>Nelson</v>
      </c>
      <c r="AI2373" t="str">
        <f t="shared" si="800"/>
        <v>Velodrome</v>
      </c>
      <c r="AJ2373" s="18">
        <f t="shared" si="793"/>
        <v>0</v>
      </c>
      <c r="AP2373" s="18">
        <f t="shared" si="794"/>
        <v>0</v>
      </c>
      <c r="AQ2373">
        <f t="shared" si="795"/>
        <v>2160</v>
      </c>
      <c r="AR2373" s="23">
        <f t="shared" si="796"/>
        <v>3173</v>
      </c>
      <c r="AS2373">
        <f t="shared" si="801"/>
        <v>3168</v>
      </c>
      <c r="AT2373" s="21">
        <f t="shared" si="802"/>
        <v>3173</v>
      </c>
      <c r="AU2373" s="21"/>
      <c r="AV2373" s="21"/>
      <c r="AW2373" s="21"/>
    </row>
    <row r="2374" spans="1:49" x14ac:dyDescent="0.2">
      <c r="A2374">
        <v>1264</v>
      </c>
      <c r="E2374">
        <f t="shared" si="797"/>
        <v>3</v>
      </c>
      <c r="J2374" t="str">
        <f t="shared" si="782"/>
        <v>1</v>
      </c>
      <c r="K2374" t="str">
        <f t="shared" si="783"/>
        <v>07</v>
      </c>
      <c r="L2374" t="str">
        <f t="shared" si="784"/>
        <v/>
      </c>
      <c r="M2374" s="6" t="str">
        <f t="shared" si="785"/>
        <v/>
      </c>
      <c r="N2374" t="str">
        <f t="shared" ref="N2374:N2437" si="803">IF(A2374=A2373,N2373,"")</f>
        <v>Home</v>
      </c>
      <c r="O2374">
        <v>70</v>
      </c>
      <c r="P2374" t="s">
        <v>425</v>
      </c>
      <c r="Y2374" t="str">
        <f t="shared" si="790"/>
        <v/>
      </c>
      <c r="Z2374" t="str">
        <f t="shared" si="791"/>
        <v/>
      </c>
      <c r="AC2374" t="str">
        <f t="shared" si="787"/>
        <v>Play</v>
      </c>
      <c r="AD2374" t="str">
        <f t="shared" si="788"/>
        <v>Play_Defensive</v>
      </c>
      <c r="AE2374" t="str">
        <f t="shared" si="789"/>
        <v>Play-PokeCheck</v>
      </c>
      <c r="AF2374" t="str">
        <f t="shared" si="792"/>
        <v>Offensive</v>
      </c>
      <c r="AG2374">
        <f t="shared" si="798"/>
        <v>18981</v>
      </c>
      <c r="AH2374" t="str">
        <f t="shared" si="799"/>
        <v>Nelson</v>
      </c>
      <c r="AI2374" t="str">
        <f t="shared" si="800"/>
        <v>Velodrome</v>
      </c>
      <c r="AJ2374" s="18">
        <f t="shared" si="793"/>
        <v>0</v>
      </c>
      <c r="AP2374" s="18">
        <f t="shared" si="794"/>
        <v>0</v>
      </c>
      <c r="AQ2374">
        <f t="shared" si="795"/>
        <v>2160</v>
      </c>
      <c r="AR2374" s="23">
        <f t="shared" si="796"/>
        <v>3173</v>
      </c>
      <c r="AS2374">
        <f t="shared" si="801"/>
        <v>3168</v>
      </c>
      <c r="AT2374" s="21">
        <f t="shared" si="802"/>
        <v>3173</v>
      </c>
      <c r="AU2374" s="21"/>
      <c r="AV2374" s="21"/>
      <c r="AW2374" s="21"/>
    </row>
    <row r="2375" spans="1:49" x14ac:dyDescent="0.2">
      <c r="A2375">
        <v>1265</v>
      </c>
      <c r="E2375">
        <f t="shared" si="797"/>
        <v>3</v>
      </c>
      <c r="F2375" s="5" t="s">
        <v>543</v>
      </c>
      <c r="G2375" s="5" t="s">
        <v>473</v>
      </c>
      <c r="J2375" t="str">
        <f t="shared" si="782"/>
        <v>1</v>
      </c>
      <c r="K2375" t="str">
        <f t="shared" si="783"/>
        <v>03</v>
      </c>
      <c r="L2375" t="str">
        <f t="shared" si="784"/>
        <v/>
      </c>
      <c r="M2375" s="6" t="str">
        <f t="shared" si="785"/>
        <v/>
      </c>
      <c r="N2375" t="s">
        <v>179</v>
      </c>
      <c r="O2375">
        <v>75</v>
      </c>
      <c r="P2375" t="s">
        <v>424</v>
      </c>
      <c r="Q2375" t="s">
        <v>7</v>
      </c>
      <c r="R2375" t="s">
        <v>208</v>
      </c>
      <c r="S2375" t="s">
        <v>53</v>
      </c>
      <c r="Y2375" t="str">
        <f t="shared" si="790"/>
        <v/>
      </c>
      <c r="Z2375" t="str">
        <f t="shared" si="791"/>
        <v/>
      </c>
      <c r="AC2375" t="str">
        <f t="shared" si="787"/>
        <v>Shot</v>
      </c>
      <c r="AD2375" t="str">
        <f t="shared" si="788"/>
        <v>Shot_Blocked</v>
      </c>
      <c r="AE2375" t="str">
        <f t="shared" si="789"/>
        <v>Shot-Wrist</v>
      </c>
      <c r="AF2375" t="str">
        <f t="shared" si="792"/>
        <v>Offensive</v>
      </c>
      <c r="AG2375">
        <f t="shared" si="798"/>
        <v>18981</v>
      </c>
      <c r="AH2375" t="str">
        <f t="shared" si="799"/>
        <v>Nelson</v>
      </c>
      <c r="AI2375" t="str">
        <f t="shared" si="800"/>
        <v>Velodrome</v>
      </c>
      <c r="AJ2375" s="18">
        <f t="shared" si="793"/>
        <v>0</v>
      </c>
      <c r="AP2375" s="18">
        <f t="shared" si="794"/>
        <v>0</v>
      </c>
      <c r="AQ2375">
        <f t="shared" si="795"/>
        <v>2160</v>
      </c>
      <c r="AR2375" s="23">
        <f t="shared" si="796"/>
        <v>3177</v>
      </c>
      <c r="AS2375">
        <f t="shared" si="801"/>
        <v>3172</v>
      </c>
      <c r="AT2375" s="21">
        <f t="shared" si="802"/>
        <v>3177</v>
      </c>
      <c r="AU2375" s="21"/>
      <c r="AV2375" s="21"/>
      <c r="AW2375" s="21"/>
    </row>
    <row r="2376" spans="1:49" x14ac:dyDescent="0.2">
      <c r="A2376">
        <v>1265</v>
      </c>
      <c r="E2376">
        <f t="shared" si="797"/>
        <v>3</v>
      </c>
      <c r="J2376" t="str">
        <f t="shared" si="782"/>
        <v>1</v>
      </c>
      <c r="K2376" t="str">
        <f t="shared" si="783"/>
        <v>03</v>
      </c>
      <c r="L2376" t="str">
        <f t="shared" si="784"/>
        <v/>
      </c>
      <c r="M2376" s="6" t="str">
        <f t="shared" si="785"/>
        <v/>
      </c>
      <c r="N2376" t="str">
        <f t="shared" si="803"/>
        <v>Away</v>
      </c>
      <c r="O2376">
        <v>8</v>
      </c>
      <c r="P2376" t="s">
        <v>425</v>
      </c>
      <c r="Y2376" t="str">
        <f t="shared" si="790"/>
        <v/>
      </c>
      <c r="Z2376" t="str">
        <f t="shared" si="791"/>
        <v/>
      </c>
      <c r="AC2376" t="str">
        <f t="shared" si="787"/>
        <v>Shot</v>
      </c>
      <c r="AD2376" t="str">
        <f t="shared" si="788"/>
        <v>Shot_Blocked</v>
      </c>
      <c r="AE2376" t="str">
        <f t="shared" si="789"/>
        <v>Shot-Wrist</v>
      </c>
      <c r="AF2376" t="str">
        <f t="shared" si="792"/>
        <v>Defensive</v>
      </c>
      <c r="AG2376">
        <f t="shared" si="798"/>
        <v>18981</v>
      </c>
      <c r="AH2376" t="str">
        <f t="shared" si="799"/>
        <v>Nelson</v>
      </c>
      <c r="AI2376" t="str">
        <f t="shared" si="800"/>
        <v>Velodrome</v>
      </c>
      <c r="AJ2376" s="18">
        <f t="shared" si="793"/>
        <v>0</v>
      </c>
      <c r="AP2376" s="18">
        <f t="shared" si="794"/>
        <v>0</v>
      </c>
      <c r="AQ2376">
        <f t="shared" si="795"/>
        <v>2160</v>
      </c>
      <c r="AR2376" s="23">
        <f t="shared" si="796"/>
        <v>3177</v>
      </c>
      <c r="AS2376">
        <f t="shared" si="801"/>
        <v>3172</v>
      </c>
      <c r="AT2376" s="21">
        <f t="shared" si="802"/>
        <v>3177</v>
      </c>
      <c r="AU2376" s="21"/>
      <c r="AV2376" s="21"/>
      <c r="AW2376" s="21"/>
    </row>
    <row r="2377" spans="1:49" x14ac:dyDescent="0.2">
      <c r="A2377">
        <v>1266</v>
      </c>
      <c r="E2377">
        <f t="shared" si="797"/>
        <v>3</v>
      </c>
      <c r="F2377" s="5" t="s">
        <v>543</v>
      </c>
      <c r="G2377" s="5" t="s">
        <v>475</v>
      </c>
      <c r="J2377" t="str">
        <f t="shared" ref="J2377:J2440" si="804">IF(F2377&lt;&gt;"",F2377,IF($A2377=$A2376,J2376,J2377))</f>
        <v>1</v>
      </c>
      <c r="K2377" t="str">
        <f t="shared" ref="K2377:K2440" si="805">IF($A2377=$A2376,K2376,G2377)</f>
        <v>00</v>
      </c>
      <c r="L2377" t="str">
        <f t="shared" ref="L2377:L2440" si="806">IF(H2377&lt;&gt;"",H2377,IF($A2377=$A2376,L2376,""))</f>
        <v/>
      </c>
      <c r="M2377" s="6" t="str">
        <f t="shared" ref="M2377:M2440" si="807">IF(I2377&lt;&gt;"",I2377,IF($A2377=$A2376,M2376,""))</f>
        <v/>
      </c>
      <c r="N2377" t="s">
        <v>178</v>
      </c>
      <c r="O2377">
        <v>8</v>
      </c>
      <c r="P2377" t="s">
        <v>424</v>
      </c>
      <c r="Q2377" t="s">
        <v>10</v>
      </c>
      <c r="R2377" t="s">
        <v>190</v>
      </c>
      <c r="S2377" t="s">
        <v>422</v>
      </c>
      <c r="Y2377" t="str">
        <f t="shared" si="790"/>
        <v/>
      </c>
      <c r="Z2377" t="str">
        <f t="shared" si="791"/>
        <v/>
      </c>
      <c r="AC2377" t="str">
        <f t="shared" si="787"/>
        <v>Turnover</v>
      </c>
      <c r="AD2377" t="str">
        <f t="shared" si="788"/>
        <v>Turnover_Giveaway</v>
      </c>
      <c r="AE2377" t="str">
        <f t="shared" si="789"/>
        <v>Giveaway-AttemptedZoneClear/Dump</v>
      </c>
      <c r="AF2377" t="str">
        <f t="shared" si="792"/>
        <v>Offensive</v>
      </c>
      <c r="AG2377">
        <f t="shared" si="798"/>
        <v>18981</v>
      </c>
      <c r="AH2377" t="str">
        <f t="shared" si="799"/>
        <v>Nelson</v>
      </c>
      <c r="AI2377" t="str">
        <f t="shared" si="800"/>
        <v>Velodrome</v>
      </c>
      <c r="AJ2377" s="18">
        <f t="shared" si="793"/>
        <v>0</v>
      </c>
      <c r="AP2377" s="18">
        <f t="shared" si="794"/>
        <v>0</v>
      </c>
      <c r="AQ2377">
        <f t="shared" si="795"/>
        <v>2160</v>
      </c>
      <c r="AR2377" s="23">
        <f t="shared" si="796"/>
        <v>3180</v>
      </c>
      <c r="AS2377">
        <f t="shared" si="801"/>
        <v>3175</v>
      </c>
      <c r="AT2377" s="21">
        <f t="shared" si="802"/>
        <v>3180</v>
      </c>
      <c r="AU2377" s="21"/>
      <c r="AV2377" s="21"/>
      <c r="AW2377" s="21"/>
    </row>
    <row r="2378" spans="1:49" x14ac:dyDescent="0.2">
      <c r="A2378">
        <v>1267</v>
      </c>
      <c r="E2378">
        <f t="shared" si="797"/>
        <v>3</v>
      </c>
      <c r="F2378" s="5" t="s">
        <v>543</v>
      </c>
      <c r="G2378" s="5" t="s">
        <v>475</v>
      </c>
      <c r="J2378" t="str">
        <f t="shared" si="804"/>
        <v>1</v>
      </c>
      <c r="K2378" t="str">
        <f t="shared" si="805"/>
        <v>00</v>
      </c>
      <c r="L2378" t="str">
        <f t="shared" si="806"/>
        <v/>
      </c>
      <c r="M2378" s="6" t="str">
        <f t="shared" si="807"/>
        <v/>
      </c>
      <c r="N2378" t="s">
        <v>179</v>
      </c>
      <c r="O2378">
        <v>52</v>
      </c>
      <c r="P2378" t="s">
        <v>424</v>
      </c>
      <c r="Q2378" t="s">
        <v>277</v>
      </c>
      <c r="R2378" t="s">
        <v>210</v>
      </c>
      <c r="S2378" t="s">
        <v>93</v>
      </c>
      <c r="Y2378" t="str">
        <f t="shared" si="790"/>
        <v/>
      </c>
      <c r="Z2378" t="str">
        <f t="shared" si="791"/>
        <v/>
      </c>
      <c r="AC2378" t="str">
        <f t="shared" si="787"/>
        <v>Zone_Entry_Exit</v>
      </c>
      <c r="AD2378" t="str">
        <f t="shared" si="788"/>
        <v>Zone_Keepin</v>
      </c>
      <c r="AE2378" t="str">
        <f t="shared" si="789"/>
        <v>Zone-KeepIn</v>
      </c>
      <c r="AF2378" t="str">
        <f t="shared" si="792"/>
        <v>Offensive</v>
      </c>
      <c r="AG2378">
        <f t="shared" si="798"/>
        <v>18981</v>
      </c>
      <c r="AH2378" t="str">
        <f t="shared" si="799"/>
        <v>Nelson</v>
      </c>
      <c r="AI2378" t="str">
        <f t="shared" si="800"/>
        <v>Velodrome</v>
      </c>
      <c r="AJ2378" s="18">
        <f t="shared" si="793"/>
        <v>0</v>
      </c>
      <c r="AP2378" s="18">
        <f t="shared" si="794"/>
        <v>0</v>
      </c>
      <c r="AQ2378">
        <f t="shared" si="795"/>
        <v>2160</v>
      </c>
      <c r="AR2378" s="23">
        <f t="shared" si="796"/>
        <v>3180</v>
      </c>
      <c r="AS2378">
        <f t="shared" si="801"/>
        <v>3175</v>
      </c>
      <c r="AT2378" s="21">
        <f t="shared" si="802"/>
        <v>3180</v>
      </c>
      <c r="AU2378" s="21"/>
      <c r="AV2378" s="21"/>
      <c r="AW2378" s="21"/>
    </row>
    <row r="2379" spans="1:49" x14ac:dyDescent="0.2">
      <c r="A2379">
        <v>1268</v>
      </c>
      <c r="E2379">
        <f t="shared" si="797"/>
        <v>3</v>
      </c>
      <c r="F2379" s="5" t="s">
        <v>543</v>
      </c>
      <c r="G2379" s="5" t="s">
        <v>475</v>
      </c>
      <c r="H2379" s="5" t="s">
        <v>532</v>
      </c>
      <c r="I2379" s="7" t="s">
        <v>530</v>
      </c>
      <c r="J2379" t="str">
        <f t="shared" si="804"/>
        <v>1</v>
      </c>
      <c r="K2379" t="str">
        <f t="shared" si="805"/>
        <v>00</v>
      </c>
      <c r="L2379" t="str">
        <f t="shared" si="806"/>
        <v>0</v>
      </c>
      <c r="M2379" s="6" t="str">
        <f t="shared" si="807"/>
        <v>58</v>
      </c>
      <c r="N2379" t="s">
        <v>179</v>
      </c>
      <c r="O2379">
        <v>52</v>
      </c>
      <c r="P2379" t="s">
        <v>424</v>
      </c>
      <c r="Q2379" t="s">
        <v>15</v>
      </c>
      <c r="Y2379" t="str">
        <f t="shared" si="790"/>
        <v/>
      </c>
      <c r="Z2379" t="str">
        <f t="shared" si="791"/>
        <v/>
      </c>
      <c r="AC2379" t="str">
        <f t="shared" si="787"/>
        <v>Possession</v>
      </c>
      <c r="AD2379" t="str">
        <f t="shared" si="788"/>
        <v/>
      </c>
      <c r="AE2379" t="str">
        <f t="shared" si="789"/>
        <v/>
      </c>
      <c r="AF2379" t="str">
        <f t="shared" si="792"/>
        <v>Offensive</v>
      </c>
      <c r="AG2379">
        <f t="shared" si="798"/>
        <v>18981</v>
      </c>
      <c r="AH2379" t="str">
        <f t="shared" si="799"/>
        <v>Nelson</v>
      </c>
      <c r="AI2379" t="str">
        <f t="shared" si="800"/>
        <v>Velodrome</v>
      </c>
      <c r="AJ2379" s="18">
        <f t="shared" si="793"/>
        <v>2</v>
      </c>
      <c r="AP2379" s="18">
        <f t="shared" si="794"/>
        <v>0</v>
      </c>
      <c r="AQ2379">
        <f t="shared" si="795"/>
        <v>2160</v>
      </c>
      <c r="AR2379" s="23">
        <f t="shared" si="796"/>
        <v>3180</v>
      </c>
      <c r="AS2379">
        <f t="shared" si="801"/>
        <v>3175</v>
      </c>
      <c r="AT2379" s="21">
        <f t="shared" si="802"/>
        <v>3182</v>
      </c>
      <c r="AU2379" s="21"/>
      <c r="AV2379" s="21"/>
      <c r="AW2379" s="21"/>
    </row>
    <row r="2380" spans="1:49" x14ac:dyDescent="0.2">
      <c r="A2380">
        <v>1269</v>
      </c>
      <c r="E2380">
        <f t="shared" si="797"/>
        <v>3</v>
      </c>
      <c r="F2380" s="5" t="s">
        <v>532</v>
      </c>
      <c r="G2380" s="5" t="s">
        <v>530</v>
      </c>
      <c r="J2380" t="str">
        <f t="shared" si="804"/>
        <v>0</v>
      </c>
      <c r="K2380" t="str">
        <f t="shared" si="805"/>
        <v>58</v>
      </c>
      <c r="L2380" t="str">
        <f t="shared" si="806"/>
        <v/>
      </c>
      <c r="M2380" s="6" t="str">
        <f t="shared" si="807"/>
        <v/>
      </c>
      <c r="N2380" t="s">
        <v>179</v>
      </c>
      <c r="O2380">
        <v>52</v>
      </c>
      <c r="P2380" t="s">
        <v>424</v>
      </c>
      <c r="Q2380" t="s">
        <v>7</v>
      </c>
      <c r="R2380" t="s">
        <v>198</v>
      </c>
      <c r="S2380" t="s">
        <v>53</v>
      </c>
      <c r="Y2380" t="str">
        <f t="shared" si="790"/>
        <v/>
      </c>
      <c r="Z2380" t="str">
        <f t="shared" si="791"/>
        <v/>
      </c>
      <c r="AC2380" t="str">
        <f t="shared" si="787"/>
        <v>Shot</v>
      </c>
      <c r="AD2380" t="str">
        <f t="shared" si="788"/>
        <v>Shot_Missed</v>
      </c>
      <c r="AE2380" t="str">
        <f t="shared" si="789"/>
        <v>Shot-Wrist</v>
      </c>
      <c r="AF2380" t="str">
        <f t="shared" si="792"/>
        <v>Offensive</v>
      </c>
      <c r="AG2380">
        <f t="shared" si="798"/>
        <v>18981</v>
      </c>
      <c r="AH2380" t="str">
        <f t="shared" si="799"/>
        <v>Nelson</v>
      </c>
      <c r="AI2380" t="str">
        <f t="shared" si="800"/>
        <v>Velodrome</v>
      </c>
      <c r="AJ2380" s="18">
        <f t="shared" si="793"/>
        <v>0</v>
      </c>
      <c r="AP2380" s="18">
        <f t="shared" si="794"/>
        <v>0</v>
      </c>
      <c r="AQ2380">
        <f t="shared" si="795"/>
        <v>2160</v>
      </c>
      <c r="AR2380" s="23">
        <f t="shared" si="796"/>
        <v>3182</v>
      </c>
      <c r="AS2380">
        <f t="shared" si="801"/>
        <v>3177</v>
      </c>
      <c r="AT2380" s="21">
        <f t="shared" si="802"/>
        <v>3182</v>
      </c>
      <c r="AU2380" s="21"/>
      <c r="AV2380" s="21"/>
      <c r="AW2380" s="21"/>
    </row>
    <row r="2381" spans="1:49" x14ac:dyDescent="0.2">
      <c r="A2381">
        <v>1270</v>
      </c>
      <c r="E2381">
        <f t="shared" si="797"/>
        <v>3</v>
      </c>
      <c r="F2381" s="5" t="s">
        <v>532</v>
      </c>
      <c r="G2381" s="5" t="s">
        <v>518</v>
      </c>
      <c r="J2381" t="str">
        <f t="shared" si="804"/>
        <v>0</v>
      </c>
      <c r="K2381" t="str">
        <f t="shared" si="805"/>
        <v>46</v>
      </c>
      <c r="L2381" t="str">
        <f t="shared" si="806"/>
        <v/>
      </c>
      <c r="M2381" s="6" t="str">
        <f t="shared" si="807"/>
        <v/>
      </c>
      <c r="N2381" t="s">
        <v>179</v>
      </c>
      <c r="O2381">
        <v>87</v>
      </c>
      <c r="P2381" t="s">
        <v>424</v>
      </c>
      <c r="Q2381" t="s">
        <v>12</v>
      </c>
      <c r="R2381" t="s">
        <v>192</v>
      </c>
      <c r="S2381" t="s">
        <v>137</v>
      </c>
      <c r="Y2381" t="str">
        <f t="shared" si="790"/>
        <v/>
      </c>
      <c r="Z2381" t="str">
        <f t="shared" si="791"/>
        <v/>
      </c>
      <c r="AC2381" t="str">
        <f t="shared" si="787"/>
        <v>Penalty</v>
      </c>
      <c r="AD2381" t="str">
        <f t="shared" si="788"/>
        <v>Penalty_Minor</v>
      </c>
      <c r="AE2381" t="str">
        <f t="shared" si="789"/>
        <v>Penalty-Roughing</v>
      </c>
      <c r="AF2381" t="str">
        <f t="shared" si="792"/>
        <v>Offensive</v>
      </c>
      <c r="AG2381">
        <f t="shared" si="798"/>
        <v>18981</v>
      </c>
      <c r="AH2381" t="str">
        <f t="shared" si="799"/>
        <v>Nelson</v>
      </c>
      <c r="AI2381" t="str">
        <f t="shared" si="800"/>
        <v>Velodrome</v>
      </c>
      <c r="AJ2381" s="18">
        <f t="shared" si="793"/>
        <v>0</v>
      </c>
      <c r="AP2381" s="18">
        <f t="shared" si="794"/>
        <v>0</v>
      </c>
      <c r="AQ2381">
        <f t="shared" si="795"/>
        <v>2160</v>
      </c>
      <c r="AR2381" s="23">
        <f t="shared" si="796"/>
        <v>3194</v>
      </c>
      <c r="AS2381">
        <f t="shared" si="801"/>
        <v>3189</v>
      </c>
      <c r="AT2381" s="21">
        <f t="shared" si="802"/>
        <v>3194</v>
      </c>
      <c r="AU2381" s="21"/>
      <c r="AV2381" s="21"/>
      <c r="AW2381" s="21"/>
    </row>
    <row r="2382" spans="1:49" x14ac:dyDescent="0.2">
      <c r="A2382">
        <v>1271</v>
      </c>
      <c r="E2382">
        <f t="shared" si="797"/>
        <v>3</v>
      </c>
      <c r="F2382" s="5" t="s">
        <v>532</v>
      </c>
      <c r="G2382" s="5" t="s">
        <v>518</v>
      </c>
      <c r="J2382" t="str">
        <f t="shared" si="804"/>
        <v>0</v>
      </c>
      <c r="K2382" t="str">
        <f t="shared" si="805"/>
        <v>46</v>
      </c>
      <c r="L2382" t="str">
        <f t="shared" si="806"/>
        <v/>
      </c>
      <c r="M2382" s="6" t="str">
        <f t="shared" si="807"/>
        <v/>
      </c>
      <c r="N2382" t="s">
        <v>178</v>
      </c>
      <c r="O2382">
        <v>80</v>
      </c>
      <c r="P2382" t="s">
        <v>424</v>
      </c>
      <c r="Q2382" t="s">
        <v>12</v>
      </c>
      <c r="R2382" t="s">
        <v>192</v>
      </c>
      <c r="S2382" t="s">
        <v>137</v>
      </c>
      <c r="Y2382" t="str">
        <f t="shared" si="790"/>
        <v/>
      </c>
      <c r="Z2382" t="str">
        <f t="shared" si="791"/>
        <v/>
      </c>
      <c r="AC2382" t="str">
        <f t="shared" si="787"/>
        <v>Penalty</v>
      </c>
      <c r="AD2382" t="str">
        <f t="shared" si="788"/>
        <v>Penalty_Minor</v>
      </c>
      <c r="AE2382" t="str">
        <f t="shared" si="789"/>
        <v>Penalty-Roughing</v>
      </c>
      <c r="AF2382" t="str">
        <f t="shared" si="792"/>
        <v>Offensive</v>
      </c>
      <c r="AG2382">
        <f t="shared" si="798"/>
        <v>18981</v>
      </c>
      <c r="AH2382" t="str">
        <f t="shared" si="799"/>
        <v>Nelson</v>
      </c>
      <c r="AI2382" t="str">
        <f t="shared" si="800"/>
        <v>Velodrome</v>
      </c>
      <c r="AJ2382" s="18">
        <f t="shared" si="793"/>
        <v>0</v>
      </c>
      <c r="AP2382" s="18">
        <f t="shared" si="794"/>
        <v>0</v>
      </c>
      <c r="AQ2382">
        <f t="shared" si="795"/>
        <v>2160</v>
      </c>
      <c r="AR2382" s="23">
        <f t="shared" si="796"/>
        <v>3194</v>
      </c>
      <c r="AS2382">
        <f t="shared" si="801"/>
        <v>3189</v>
      </c>
      <c r="AT2382" s="21">
        <f t="shared" si="802"/>
        <v>3194</v>
      </c>
      <c r="AU2382" s="21"/>
      <c r="AV2382" s="21"/>
      <c r="AW2382" s="21"/>
    </row>
    <row r="2383" spans="1:49" x14ac:dyDescent="0.2">
      <c r="A2383">
        <v>1272</v>
      </c>
      <c r="E2383">
        <f t="shared" si="797"/>
        <v>3</v>
      </c>
      <c r="F2383" s="5" t="s">
        <v>532</v>
      </c>
      <c r="G2383" s="5" t="s">
        <v>518</v>
      </c>
      <c r="J2383" t="str">
        <f t="shared" si="804"/>
        <v>0</v>
      </c>
      <c r="K2383" t="str">
        <f t="shared" si="805"/>
        <v>46</v>
      </c>
      <c r="L2383" t="str">
        <f t="shared" si="806"/>
        <v/>
      </c>
      <c r="M2383" s="6" t="str">
        <f t="shared" si="807"/>
        <v/>
      </c>
      <c r="N2383" t="s">
        <v>178</v>
      </c>
      <c r="O2383">
        <v>80</v>
      </c>
      <c r="P2383" t="s">
        <v>424</v>
      </c>
      <c r="Q2383" t="s">
        <v>13</v>
      </c>
      <c r="R2383" t="s">
        <v>204</v>
      </c>
      <c r="S2383" t="s">
        <v>43</v>
      </c>
      <c r="Y2383" t="str">
        <f t="shared" si="790"/>
        <v/>
      </c>
      <c r="Z2383" t="str">
        <f t="shared" si="791"/>
        <v/>
      </c>
      <c r="AC2383" t="str">
        <f t="shared" si="787"/>
        <v>Stoppage</v>
      </c>
      <c r="AD2383" t="str">
        <f t="shared" si="788"/>
        <v>Stoppage_Play</v>
      </c>
      <c r="AE2383" t="str">
        <f t="shared" si="789"/>
        <v>Stoppage-Penalty</v>
      </c>
      <c r="AF2383" t="str">
        <f t="shared" si="792"/>
        <v/>
      </c>
      <c r="AG2383">
        <f t="shared" si="798"/>
        <v>18981</v>
      </c>
      <c r="AH2383" t="str">
        <f t="shared" si="799"/>
        <v>Nelson</v>
      </c>
      <c r="AI2383" t="str">
        <f t="shared" si="800"/>
        <v>Velodrome</v>
      </c>
      <c r="AJ2383" s="18">
        <f t="shared" si="793"/>
        <v>0</v>
      </c>
      <c r="AP2383" s="18">
        <f t="shared" si="794"/>
        <v>0</v>
      </c>
      <c r="AQ2383">
        <f t="shared" si="795"/>
        <v>2160</v>
      </c>
      <c r="AR2383" s="23">
        <f t="shared" si="796"/>
        <v>3194</v>
      </c>
      <c r="AS2383">
        <f t="shared" si="801"/>
        <v>3189</v>
      </c>
      <c r="AT2383" s="21">
        <f t="shared" si="802"/>
        <v>3194</v>
      </c>
      <c r="AU2383" s="21"/>
      <c r="AV2383" s="21"/>
      <c r="AW2383" s="21"/>
    </row>
    <row r="2384" spans="1:49" x14ac:dyDescent="0.2">
      <c r="A2384">
        <v>1273</v>
      </c>
      <c r="E2384">
        <f t="shared" si="797"/>
        <v>3</v>
      </c>
      <c r="F2384" s="5" t="s">
        <v>514</v>
      </c>
      <c r="G2384" s="5" t="s">
        <v>485</v>
      </c>
      <c r="H2384" s="5" t="s">
        <v>513</v>
      </c>
      <c r="I2384" s="7" t="s">
        <v>483</v>
      </c>
      <c r="J2384" t="str">
        <f t="shared" si="804"/>
        <v>42</v>
      </c>
      <c r="K2384" t="str">
        <f t="shared" si="805"/>
        <v>10</v>
      </c>
      <c r="L2384" t="str">
        <f t="shared" si="806"/>
        <v>41</v>
      </c>
      <c r="M2384" s="6" t="str">
        <f t="shared" si="807"/>
        <v>08</v>
      </c>
      <c r="N2384" t="str">
        <f t="shared" si="803"/>
        <v/>
      </c>
      <c r="Q2384" t="s">
        <v>455</v>
      </c>
      <c r="Y2384" t="str">
        <f t="shared" si="790"/>
        <v/>
      </c>
      <c r="Z2384" t="str">
        <f t="shared" si="791"/>
        <v/>
      </c>
      <c r="AC2384" t="str">
        <f t="shared" si="787"/>
        <v>Clockstop</v>
      </c>
      <c r="AD2384" t="str">
        <f t="shared" si="788"/>
        <v/>
      </c>
      <c r="AE2384" t="str">
        <f t="shared" si="789"/>
        <v/>
      </c>
      <c r="AF2384" t="str">
        <f t="shared" si="792"/>
        <v/>
      </c>
      <c r="AG2384">
        <f t="shared" si="798"/>
        <v>18981</v>
      </c>
      <c r="AH2384" t="str">
        <f t="shared" si="799"/>
        <v>Nelson</v>
      </c>
      <c r="AI2384" t="str">
        <f t="shared" si="800"/>
        <v>Velodrome</v>
      </c>
      <c r="AJ2384" s="18">
        <f t="shared" si="793"/>
        <v>62</v>
      </c>
      <c r="AP2384" s="18">
        <f t="shared" si="794"/>
        <v>0</v>
      </c>
      <c r="AQ2384">
        <f t="shared" si="795"/>
        <v>2160</v>
      </c>
      <c r="AR2384" s="23">
        <f t="shared" si="796"/>
        <v>710</v>
      </c>
      <c r="AS2384">
        <f t="shared" si="801"/>
        <v>705</v>
      </c>
      <c r="AT2384" s="21">
        <f t="shared" si="802"/>
        <v>772</v>
      </c>
      <c r="AU2384" s="21"/>
      <c r="AV2384" s="21"/>
      <c r="AW2384" s="21"/>
    </row>
    <row r="2385" spans="1:49" x14ac:dyDescent="0.2">
      <c r="A2385">
        <v>1274</v>
      </c>
      <c r="E2385">
        <f t="shared" si="797"/>
        <v>3</v>
      </c>
      <c r="F2385" s="5" t="s">
        <v>532</v>
      </c>
      <c r="G2385" s="5" t="s">
        <v>518</v>
      </c>
      <c r="J2385" t="str">
        <f t="shared" si="804"/>
        <v>0</v>
      </c>
      <c r="K2385" t="str">
        <f t="shared" si="805"/>
        <v>46</v>
      </c>
      <c r="L2385" t="str">
        <f t="shared" si="806"/>
        <v/>
      </c>
      <c r="M2385" s="6" t="str">
        <f t="shared" si="807"/>
        <v/>
      </c>
      <c r="N2385" t="s">
        <v>179</v>
      </c>
      <c r="O2385">
        <v>42</v>
      </c>
      <c r="P2385" t="s">
        <v>424</v>
      </c>
      <c r="Q2385" t="s">
        <v>6</v>
      </c>
      <c r="R2385" t="s">
        <v>197</v>
      </c>
      <c r="Y2385" t="str">
        <f t="shared" si="790"/>
        <v/>
      </c>
      <c r="Z2385" t="str">
        <f t="shared" si="791"/>
        <v/>
      </c>
      <c r="AC2385" t="str">
        <f t="shared" si="787"/>
        <v>Faceoff</v>
      </c>
      <c r="AD2385" t="str">
        <f t="shared" si="788"/>
        <v>Faceoff_AfterPenalty</v>
      </c>
      <c r="AE2385" t="str">
        <f t="shared" si="789"/>
        <v/>
      </c>
      <c r="AF2385" t="str">
        <f t="shared" si="792"/>
        <v>Offensive</v>
      </c>
      <c r="AG2385">
        <f t="shared" si="798"/>
        <v>18981</v>
      </c>
      <c r="AH2385" t="str">
        <f t="shared" si="799"/>
        <v>Nelson</v>
      </c>
      <c r="AI2385" t="str">
        <f t="shared" si="800"/>
        <v>Velodrome</v>
      </c>
      <c r="AJ2385" s="18">
        <f t="shared" si="793"/>
        <v>0</v>
      </c>
      <c r="AP2385" s="18">
        <f t="shared" si="794"/>
        <v>0</v>
      </c>
      <c r="AQ2385">
        <f t="shared" si="795"/>
        <v>2160</v>
      </c>
      <c r="AR2385" s="23">
        <f t="shared" si="796"/>
        <v>3194</v>
      </c>
      <c r="AS2385">
        <f t="shared" si="801"/>
        <v>3189</v>
      </c>
      <c r="AT2385" s="21">
        <f t="shared" si="802"/>
        <v>3194</v>
      </c>
      <c r="AU2385" s="21"/>
      <c r="AV2385" s="21"/>
      <c r="AW2385" s="21"/>
    </row>
    <row r="2386" spans="1:49" x14ac:dyDescent="0.2">
      <c r="A2386">
        <v>1274</v>
      </c>
      <c r="E2386">
        <f t="shared" si="797"/>
        <v>3</v>
      </c>
      <c r="J2386" t="str">
        <f t="shared" si="804"/>
        <v>0</v>
      </c>
      <c r="K2386" t="str">
        <f t="shared" si="805"/>
        <v>46</v>
      </c>
      <c r="L2386" t="str">
        <f t="shared" si="806"/>
        <v/>
      </c>
      <c r="M2386" s="6" t="str">
        <f t="shared" si="807"/>
        <v/>
      </c>
      <c r="N2386" t="str">
        <f t="shared" si="803"/>
        <v>Away</v>
      </c>
      <c r="O2386">
        <v>70</v>
      </c>
      <c r="P2386" t="s">
        <v>424</v>
      </c>
      <c r="Y2386" t="str">
        <f t="shared" si="790"/>
        <v/>
      </c>
      <c r="Z2386" t="str">
        <f t="shared" si="791"/>
        <v/>
      </c>
      <c r="AC2386" t="str">
        <f t="shared" si="787"/>
        <v>Faceoff</v>
      </c>
      <c r="AD2386" t="str">
        <f t="shared" si="788"/>
        <v>Faceoff_AfterPenalty</v>
      </c>
      <c r="AE2386" t="str">
        <f t="shared" si="789"/>
        <v/>
      </c>
      <c r="AF2386" t="str">
        <f t="shared" si="792"/>
        <v>Offensive</v>
      </c>
      <c r="AG2386">
        <f t="shared" si="798"/>
        <v>18981</v>
      </c>
      <c r="AH2386" t="str">
        <f t="shared" si="799"/>
        <v>Nelson</v>
      </c>
      <c r="AI2386" t="str">
        <f t="shared" si="800"/>
        <v>Velodrome</v>
      </c>
      <c r="AJ2386" s="18">
        <f t="shared" si="793"/>
        <v>0</v>
      </c>
      <c r="AP2386" s="18">
        <f t="shared" si="794"/>
        <v>0</v>
      </c>
      <c r="AQ2386">
        <f t="shared" si="795"/>
        <v>2160</v>
      </c>
      <c r="AR2386" s="23">
        <f t="shared" si="796"/>
        <v>3194</v>
      </c>
      <c r="AS2386">
        <f t="shared" si="801"/>
        <v>3189</v>
      </c>
      <c r="AT2386" s="21">
        <f t="shared" si="802"/>
        <v>3194</v>
      </c>
      <c r="AU2386" s="21"/>
      <c r="AV2386" s="21"/>
      <c r="AW2386" s="21"/>
    </row>
    <row r="2387" spans="1:49" x14ac:dyDescent="0.2">
      <c r="A2387">
        <v>1274</v>
      </c>
      <c r="E2387">
        <f t="shared" si="797"/>
        <v>3</v>
      </c>
      <c r="J2387" t="str">
        <f t="shared" si="804"/>
        <v>0</v>
      </c>
      <c r="K2387" t="str">
        <f t="shared" si="805"/>
        <v>46</v>
      </c>
      <c r="L2387" t="str">
        <f t="shared" si="806"/>
        <v/>
      </c>
      <c r="M2387" s="6" t="str">
        <f t="shared" si="807"/>
        <v/>
      </c>
      <c r="N2387" t="str">
        <f t="shared" si="803"/>
        <v>Away</v>
      </c>
      <c r="O2387">
        <v>10</v>
      </c>
      <c r="P2387" t="s">
        <v>425</v>
      </c>
      <c r="Y2387" t="str">
        <f t="shared" si="790"/>
        <v/>
      </c>
      <c r="Z2387" t="str">
        <f t="shared" si="791"/>
        <v/>
      </c>
      <c r="AC2387" t="str">
        <f t="shared" si="787"/>
        <v>Faceoff</v>
      </c>
      <c r="AD2387" t="str">
        <f t="shared" si="788"/>
        <v>Faceoff_AfterPenalty</v>
      </c>
      <c r="AE2387" t="str">
        <f t="shared" si="789"/>
        <v/>
      </c>
      <c r="AF2387" t="str">
        <f t="shared" si="792"/>
        <v>Defensive</v>
      </c>
      <c r="AG2387">
        <f t="shared" si="798"/>
        <v>18981</v>
      </c>
      <c r="AH2387" t="str">
        <f t="shared" si="799"/>
        <v>Nelson</v>
      </c>
      <c r="AI2387" t="str">
        <f t="shared" si="800"/>
        <v>Velodrome</v>
      </c>
      <c r="AJ2387" s="18">
        <f t="shared" si="793"/>
        <v>0</v>
      </c>
      <c r="AP2387" s="18">
        <f t="shared" si="794"/>
        <v>0</v>
      </c>
      <c r="AQ2387">
        <f t="shared" si="795"/>
        <v>2160</v>
      </c>
      <c r="AR2387" s="23">
        <f t="shared" si="796"/>
        <v>3194</v>
      </c>
      <c r="AS2387">
        <f t="shared" si="801"/>
        <v>3189</v>
      </c>
      <c r="AT2387" s="21">
        <f t="shared" si="802"/>
        <v>3194</v>
      </c>
      <c r="AU2387" s="21"/>
      <c r="AV2387" s="21"/>
      <c r="AW2387" s="21"/>
    </row>
    <row r="2388" spans="1:49" x14ac:dyDescent="0.2">
      <c r="A2388">
        <v>1275</v>
      </c>
      <c r="E2388">
        <f t="shared" si="797"/>
        <v>3</v>
      </c>
      <c r="F2388" s="5" t="s">
        <v>532</v>
      </c>
      <c r="G2388" s="5" t="s">
        <v>517</v>
      </c>
      <c r="J2388" t="str">
        <f t="shared" si="804"/>
        <v>0</v>
      </c>
      <c r="K2388" t="str">
        <f t="shared" si="805"/>
        <v>45</v>
      </c>
      <c r="L2388" t="str">
        <f t="shared" si="806"/>
        <v/>
      </c>
      <c r="M2388" s="6" t="str">
        <f t="shared" si="807"/>
        <v/>
      </c>
      <c r="N2388" t="s">
        <v>179</v>
      </c>
      <c r="O2388">
        <v>70</v>
      </c>
      <c r="P2388" t="s">
        <v>424</v>
      </c>
      <c r="Q2388" t="s">
        <v>8</v>
      </c>
      <c r="R2388" t="s">
        <v>189</v>
      </c>
      <c r="S2388" t="s">
        <v>70</v>
      </c>
      <c r="Y2388" t="str">
        <f t="shared" si="790"/>
        <v/>
      </c>
      <c r="Z2388" t="str">
        <f t="shared" si="791"/>
        <v/>
      </c>
      <c r="AC2388" t="str">
        <f t="shared" si="787"/>
        <v>Pass</v>
      </c>
      <c r="AD2388" t="str">
        <f t="shared" si="788"/>
        <v>Pass_Completed</v>
      </c>
      <c r="AE2388" t="str">
        <f t="shared" si="789"/>
        <v>Pass-Forehand</v>
      </c>
      <c r="AF2388" t="str">
        <f t="shared" si="792"/>
        <v>Offensive</v>
      </c>
      <c r="AG2388">
        <f t="shared" si="798"/>
        <v>18981</v>
      </c>
      <c r="AH2388" t="str">
        <f t="shared" si="799"/>
        <v>Nelson</v>
      </c>
      <c r="AI2388" t="str">
        <f t="shared" si="800"/>
        <v>Velodrome</v>
      </c>
      <c r="AJ2388" s="18">
        <f t="shared" si="793"/>
        <v>0</v>
      </c>
      <c r="AP2388" s="18">
        <f t="shared" si="794"/>
        <v>0</v>
      </c>
      <c r="AQ2388">
        <f t="shared" si="795"/>
        <v>2160</v>
      </c>
      <c r="AR2388" s="23">
        <f t="shared" si="796"/>
        <v>3195</v>
      </c>
      <c r="AS2388">
        <f t="shared" si="801"/>
        <v>3190</v>
      </c>
      <c r="AT2388" s="21">
        <f t="shared" si="802"/>
        <v>3195</v>
      </c>
      <c r="AU2388" s="21"/>
      <c r="AV2388" s="21"/>
      <c r="AW2388" s="21"/>
    </row>
    <row r="2389" spans="1:49" x14ac:dyDescent="0.2">
      <c r="A2389">
        <v>1275</v>
      </c>
      <c r="E2389">
        <f t="shared" si="797"/>
        <v>3</v>
      </c>
      <c r="J2389" t="str">
        <f t="shared" si="804"/>
        <v>0</v>
      </c>
      <c r="K2389" t="str">
        <f t="shared" si="805"/>
        <v>45</v>
      </c>
      <c r="L2389" t="str">
        <f t="shared" si="806"/>
        <v/>
      </c>
      <c r="M2389" s="6" t="str">
        <f t="shared" si="807"/>
        <v/>
      </c>
      <c r="N2389" t="str">
        <f t="shared" si="803"/>
        <v>Away</v>
      </c>
      <c r="O2389">
        <v>42</v>
      </c>
      <c r="P2389" t="s">
        <v>424</v>
      </c>
      <c r="Y2389" t="str">
        <f t="shared" si="790"/>
        <v/>
      </c>
      <c r="Z2389" t="str">
        <f t="shared" si="791"/>
        <v/>
      </c>
      <c r="AC2389" t="str">
        <f t="shared" si="787"/>
        <v>Pass</v>
      </c>
      <c r="AD2389" t="str">
        <f t="shared" si="788"/>
        <v>Pass_Completed</v>
      </c>
      <c r="AE2389" t="str">
        <f t="shared" si="789"/>
        <v>Pass-Forehand</v>
      </c>
      <c r="AF2389" t="str">
        <f t="shared" si="792"/>
        <v>Offensive</v>
      </c>
      <c r="AG2389">
        <f t="shared" si="798"/>
        <v>18981</v>
      </c>
      <c r="AH2389" t="str">
        <f t="shared" si="799"/>
        <v>Nelson</v>
      </c>
      <c r="AI2389" t="str">
        <f t="shared" si="800"/>
        <v>Velodrome</v>
      </c>
      <c r="AJ2389" s="18">
        <f t="shared" si="793"/>
        <v>0</v>
      </c>
      <c r="AP2389" s="18">
        <f t="shared" si="794"/>
        <v>0</v>
      </c>
      <c r="AQ2389">
        <f t="shared" si="795"/>
        <v>2160</v>
      </c>
      <c r="AR2389" s="23">
        <f t="shared" si="796"/>
        <v>3195</v>
      </c>
      <c r="AS2389">
        <f t="shared" si="801"/>
        <v>3190</v>
      </c>
      <c r="AT2389" s="21">
        <f t="shared" si="802"/>
        <v>3195</v>
      </c>
      <c r="AU2389" s="21"/>
      <c r="AV2389" s="21"/>
      <c r="AW2389" s="21"/>
    </row>
    <row r="2390" spans="1:49" x14ac:dyDescent="0.2">
      <c r="A2390">
        <v>1276</v>
      </c>
      <c r="E2390">
        <f t="shared" si="797"/>
        <v>3</v>
      </c>
      <c r="F2390" s="5" t="s">
        <v>532</v>
      </c>
      <c r="G2390" s="5" t="s">
        <v>517</v>
      </c>
      <c r="J2390" t="str">
        <f t="shared" si="804"/>
        <v>0</v>
      </c>
      <c r="K2390" t="str">
        <f t="shared" si="805"/>
        <v>45</v>
      </c>
      <c r="L2390" t="str">
        <f t="shared" si="806"/>
        <v/>
      </c>
      <c r="M2390" s="6" t="str">
        <f t="shared" si="807"/>
        <v/>
      </c>
      <c r="N2390" t="s">
        <v>179</v>
      </c>
      <c r="O2390">
        <v>42</v>
      </c>
      <c r="P2390" t="s">
        <v>424</v>
      </c>
      <c r="Q2390" t="s">
        <v>8</v>
      </c>
      <c r="R2390" t="s">
        <v>209</v>
      </c>
      <c r="S2390" t="s">
        <v>70</v>
      </c>
      <c r="Y2390" t="str">
        <f t="shared" si="790"/>
        <v/>
      </c>
      <c r="Z2390" t="str">
        <f t="shared" si="791"/>
        <v/>
      </c>
      <c r="AC2390" t="str">
        <f t="shared" si="787"/>
        <v>Pass</v>
      </c>
      <c r="AD2390" t="str">
        <f t="shared" si="788"/>
        <v>Pass_Deflected</v>
      </c>
      <c r="AE2390" t="str">
        <f t="shared" si="789"/>
        <v>Pass-Forehand</v>
      </c>
      <c r="AF2390" t="str">
        <f t="shared" si="792"/>
        <v>Offensive</v>
      </c>
      <c r="AG2390">
        <f t="shared" si="798"/>
        <v>18981</v>
      </c>
      <c r="AH2390" t="str">
        <f t="shared" si="799"/>
        <v>Nelson</v>
      </c>
      <c r="AI2390" t="str">
        <f t="shared" si="800"/>
        <v>Velodrome</v>
      </c>
      <c r="AJ2390" s="18">
        <f t="shared" si="793"/>
        <v>0</v>
      </c>
      <c r="AP2390" s="18">
        <f t="shared" si="794"/>
        <v>0</v>
      </c>
      <c r="AQ2390">
        <f t="shared" si="795"/>
        <v>2160</v>
      </c>
      <c r="AR2390" s="23">
        <f t="shared" si="796"/>
        <v>3195</v>
      </c>
      <c r="AS2390">
        <f t="shared" si="801"/>
        <v>3190</v>
      </c>
      <c r="AT2390" s="21">
        <f t="shared" si="802"/>
        <v>3195</v>
      </c>
      <c r="AU2390" s="21"/>
      <c r="AV2390" s="21"/>
      <c r="AW2390" s="21"/>
    </row>
    <row r="2391" spans="1:49" x14ac:dyDescent="0.2">
      <c r="A2391">
        <v>1276</v>
      </c>
      <c r="E2391">
        <f t="shared" si="797"/>
        <v>3</v>
      </c>
      <c r="J2391" t="str">
        <f t="shared" si="804"/>
        <v>0</v>
      </c>
      <c r="K2391" t="str">
        <f t="shared" si="805"/>
        <v>45</v>
      </c>
      <c r="L2391" t="str">
        <f t="shared" si="806"/>
        <v/>
      </c>
      <c r="M2391" s="6" t="str">
        <f t="shared" si="807"/>
        <v/>
      </c>
      <c r="N2391" t="str">
        <f t="shared" si="803"/>
        <v>Away</v>
      </c>
      <c r="O2391">
        <v>70</v>
      </c>
      <c r="P2391" t="s">
        <v>424</v>
      </c>
      <c r="Y2391" t="str">
        <f t="shared" si="790"/>
        <v/>
      </c>
      <c r="Z2391" t="str">
        <f t="shared" si="791"/>
        <v/>
      </c>
      <c r="AC2391" t="str">
        <f t="shared" si="787"/>
        <v>Pass</v>
      </c>
      <c r="AD2391" t="str">
        <f t="shared" si="788"/>
        <v>Pass_Deflected</v>
      </c>
      <c r="AE2391" t="str">
        <f t="shared" si="789"/>
        <v>Pass-Forehand</v>
      </c>
      <c r="AF2391" t="str">
        <f t="shared" si="792"/>
        <v>Offensive</v>
      </c>
      <c r="AG2391">
        <f t="shared" si="798"/>
        <v>18981</v>
      </c>
      <c r="AH2391" t="str">
        <f t="shared" si="799"/>
        <v>Nelson</v>
      </c>
      <c r="AI2391" t="str">
        <f t="shared" si="800"/>
        <v>Velodrome</v>
      </c>
      <c r="AJ2391" s="18">
        <f t="shared" si="793"/>
        <v>0</v>
      </c>
      <c r="AP2391" s="18">
        <f t="shared" si="794"/>
        <v>0</v>
      </c>
      <c r="AQ2391">
        <f t="shared" si="795"/>
        <v>2160</v>
      </c>
      <c r="AR2391" s="23">
        <f t="shared" si="796"/>
        <v>3195</v>
      </c>
      <c r="AS2391">
        <f t="shared" si="801"/>
        <v>3190</v>
      </c>
      <c r="AT2391" s="21">
        <f t="shared" si="802"/>
        <v>3195</v>
      </c>
      <c r="AU2391" s="21"/>
      <c r="AV2391" s="21"/>
      <c r="AW2391" s="21"/>
    </row>
    <row r="2392" spans="1:49" x14ac:dyDescent="0.2">
      <c r="A2392">
        <v>1276</v>
      </c>
      <c r="E2392">
        <f t="shared" si="797"/>
        <v>3</v>
      </c>
      <c r="J2392" t="str">
        <f t="shared" si="804"/>
        <v>0</v>
      </c>
      <c r="K2392" t="str">
        <f t="shared" si="805"/>
        <v>45</v>
      </c>
      <c r="L2392" t="str">
        <f t="shared" si="806"/>
        <v/>
      </c>
      <c r="M2392" s="6" t="str">
        <f t="shared" si="807"/>
        <v/>
      </c>
      <c r="N2392" t="str">
        <f t="shared" si="803"/>
        <v>Away</v>
      </c>
      <c r="O2392">
        <v>10</v>
      </c>
      <c r="P2392" t="s">
        <v>425</v>
      </c>
      <c r="Y2392" t="str">
        <f t="shared" si="790"/>
        <v/>
      </c>
      <c r="Z2392" t="str">
        <f t="shared" si="791"/>
        <v/>
      </c>
      <c r="AC2392" t="str">
        <f t="shared" si="787"/>
        <v>Pass</v>
      </c>
      <c r="AD2392" t="str">
        <f t="shared" si="788"/>
        <v>Pass_Deflected</v>
      </c>
      <c r="AE2392" t="str">
        <f t="shared" si="789"/>
        <v>Pass-Forehand</v>
      </c>
      <c r="AF2392" t="str">
        <f t="shared" si="792"/>
        <v>Defensive</v>
      </c>
      <c r="AG2392">
        <f t="shared" si="798"/>
        <v>18981</v>
      </c>
      <c r="AH2392" t="str">
        <f t="shared" si="799"/>
        <v>Nelson</v>
      </c>
      <c r="AI2392" t="str">
        <f t="shared" si="800"/>
        <v>Velodrome</v>
      </c>
      <c r="AJ2392" s="18">
        <f t="shared" si="793"/>
        <v>0</v>
      </c>
      <c r="AP2392" s="18">
        <f t="shared" si="794"/>
        <v>0</v>
      </c>
      <c r="AQ2392">
        <f t="shared" si="795"/>
        <v>2160</v>
      </c>
      <c r="AR2392" s="23">
        <f t="shared" si="796"/>
        <v>3195</v>
      </c>
      <c r="AS2392">
        <f t="shared" si="801"/>
        <v>3190</v>
      </c>
      <c r="AT2392" s="21">
        <f t="shared" si="802"/>
        <v>3195</v>
      </c>
      <c r="AU2392" s="21"/>
      <c r="AV2392" s="21"/>
      <c r="AW2392" s="21"/>
    </row>
    <row r="2393" spans="1:49" x14ac:dyDescent="0.2">
      <c r="A2393">
        <v>1277</v>
      </c>
      <c r="E2393">
        <f t="shared" si="797"/>
        <v>3</v>
      </c>
      <c r="F2393" s="5" t="s">
        <v>532</v>
      </c>
      <c r="G2393" s="5" t="s">
        <v>512</v>
      </c>
      <c r="H2393" s="5" t="s">
        <v>532</v>
      </c>
      <c r="I2393" s="7" t="s">
        <v>510</v>
      </c>
      <c r="J2393" t="str">
        <f t="shared" si="804"/>
        <v>0</v>
      </c>
      <c r="K2393" t="str">
        <f t="shared" si="805"/>
        <v>40</v>
      </c>
      <c r="L2393" t="str">
        <f t="shared" si="806"/>
        <v>0</v>
      </c>
      <c r="M2393" s="6" t="str">
        <f t="shared" si="807"/>
        <v>38</v>
      </c>
      <c r="N2393" t="s">
        <v>179</v>
      </c>
      <c r="O2393">
        <v>49</v>
      </c>
      <c r="P2393" t="s">
        <v>424</v>
      </c>
      <c r="Q2393" t="s">
        <v>15</v>
      </c>
      <c r="Y2393" t="str">
        <f t="shared" si="790"/>
        <v/>
      </c>
      <c r="Z2393" t="str">
        <f t="shared" si="791"/>
        <v/>
      </c>
      <c r="AC2393" t="str">
        <f t="shared" si="787"/>
        <v>Possession</v>
      </c>
      <c r="AD2393" t="str">
        <f t="shared" si="788"/>
        <v/>
      </c>
      <c r="AE2393" t="str">
        <f t="shared" si="789"/>
        <v/>
      </c>
      <c r="AF2393" t="str">
        <f t="shared" si="792"/>
        <v>Offensive</v>
      </c>
      <c r="AG2393">
        <f t="shared" si="798"/>
        <v>18981</v>
      </c>
      <c r="AH2393" t="str">
        <f t="shared" si="799"/>
        <v>Nelson</v>
      </c>
      <c r="AI2393" t="str">
        <f t="shared" si="800"/>
        <v>Velodrome</v>
      </c>
      <c r="AJ2393" s="18">
        <f t="shared" si="793"/>
        <v>2</v>
      </c>
      <c r="AP2393" s="18">
        <f t="shared" si="794"/>
        <v>0</v>
      </c>
      <c r="AQ2393">
        <f t="shared" si="795"/>
        <v>2160</v>
      </c>
      <c r="AR2393" s="23">
        <f t="shared" si="796"/>
        <v>3200</v>
      </c>
      <c r="AS2393">
        <f t="shared" si="801"/>
        <v>3195</v>
      </c>
      <c r="AT2393" s="21">
        <f t="shared" si="802"/>
        <v>3202</v>
      </c>
      <c r="AU2393" s="21"/>
      <c r="AV2393" s="21"/>
      <c r="AW2393" s="21"/>
    </row>
    <row r="2394" spans="1:49" x14ac:dyDescent="0.2">
      <c r="A2394">
        <v>1277</v>
      </c>
      <c r="E2394">
        <f t="shared" si="797"/>
        <v>3</v>
      </c>
      <c r="J2394" t="str">
        <f t="shared" si="804"/>
        <v>0</v>
      </c>
      <c r="K2394" t="str">
        <f t="shared" si="805"/>
        <v>40</v>
      </c>
      <c r="L2394" t="str">
        <f t="shared" si="806"/>
        <v>0</v>
      </c>
      <c r="M2394" s="6" t="str">
        <f t="shared" si="807"/>
        <v>38</v>
      </c>
      <c r="N2394" t="str">
        <f t="shared" si="803"/>
        <v>Away</v>
      </c>
      <c r="O2394">
        <v>37</v>
      </c>
      <c r="P2394" t="s">
        <v>425</v>
      </c>
      <c r="Y2394" t="str">
        <f t="shared" si="790"/>
        <v/>
      </c>
      <c r="Z2394" t="str">
        <f t="shared" si="791"/>
        <v/>
      </c>
      <c r="AC2394" t="str">
        <f t="shared" si="787"/>
        <v>Possession</v>
      </c>
      <c r="AD2394" t="str">
        <f t="shared" si="788"/>
        <v/>
      </c>
      <c r="AE2394" t="str">
        <f t="shared" si="789"/>
        <v/>
      </c>
      <c r="AF2394" t="str">
        <f t="shared" si="792"/>
        <v>Defensive</v>
      </c>
      <c r="AG2394">
        <f t="shared" si="798"/>
        <v>18981</v>
      </c>
      <c r="AH2394" t="str">
        <f t="shared" si="799"/>
        <v>Nelson</v>
      </c>
      <c r="AI2394" t="str">
        <f t="shared" si="800"/>
        <v>Velodrome</v>
      </c>
      <c r="AJ2394" s="18">
        <f t="shared" si="793"/>
        <v>2</v>
      </c>
      <c r="AP2394" s="18">
        <f t="shared" si="794"/>
        <v>0</v>
      </c>
      <c r="AQ2394">
        <f t="shared" si="795"/>
        <v>2160</v>
      </c>
      <c r="AR2394" s="23">
        <f t="shared" si="796"/>
        <v>3200</v>
      </c>
      <c r="AS2394">
        <f t="shared" si="801"/>
        <v>3195</v>
      </c>
      <c r="AT2394" s="21">
        <f t="shared" si="802"/>
        <v>3202</v>
      </c>
      <c r="AU2394" s="21"/>
      <c r="AV2394" s="21"/>
      <c r="AW2394" s="21"/>
    </row>
    <row r="2395" spans="1:49" x14ac:dyDescent="0.2">
      <c r="A2395">
        <v>1278</v>
      </c>
      <c r="E2395">
        <f t="shared" si="797"/>
        <v>3</v>
      </c>
      <c r="F2395" s="5" t="s">
        <v>532</v>
      </c>
      <c r="G2395" s="5" t="s">
        <v>510</v>
      </c>
      <c r="J2395" t="str">
        <f t="shared" si="804"/>
        <v>0</v>
      </c>
      <c r="K2395" t="str">
        <f t="shared" si="805"/>
        <v>38</v>
      </c>
      <c r="L2395" t="str">
        <f t="shared" si="806"/>
        <v/>
      </c>
      <c r="M2395" s="6" t="str">
        <f t="shared" si="807"/>
        <v/>
      </c>
      <c r="N2395" t="s">
        <v>179</v>
      </c>
      <c r="O2395">
        <v>49</v>
      </c>
      <c r="P2395" t="s">
        <v>424</v>
      </c>
      <c r="Q2395" t="s">
        <v>8</v>
      </c>
      <c r="R2395" t="s">
        <v>189</v>
      </c>
      <c r="S2395" t="s">
        <v>70</v>
      </c>
      <c r="Y2395" t="str">
        <f t="shared" si="790"/>
        <v/>
      </c>
      <c r="Z2395" t="str">
        <f t="shared" si="791"/>
        <v/>
      </c>
      <c r="AC2395" t="str">
        <f t="shared" si="787"/>
        <v>Pass</v>
      </c>
      <c r="AD2395" t="str">
        <f t="shared" si="788"/>
        <v>Pass_Completed</v>
      </c>
      <c r="AE2395" t="str">
        <f t="shared" si="789"/>
        <v>Pass-Forehand</v>
      </c>
      <c r="AF2395" t="str">
        <f t="shared" si="792"/>
        <v>Offensive</v>
      </c>
      <c r="AG2395">
        <f t="shared" si="798"/>
        <v>18981</v>
      </c>
      <c r="AH2395" t="str">
        <f t="shared" si="799"/>
        <v>Nelson</v>
      </c>
      <c r="AI2395" t="str">
        <f t="shared" si="800"/>
        <v>Velodrome</v>
      </c>
      <c r="AJ2395" s="18">
        <f t="shared" si="793"/>
        <v>0</v>
      </c>
      <c r="AP2395" s="18">
        <f t="shared" si="794"/>
        <v>0</v>
      </c>
      <c r="AQ2395">
        <f t="shared" si="795"/>
        <v>2160</v>
      </c>
      <c r="AR2395" s="23">
        <f t="shared" si="796"/>
        <v>3202</v>
      </c>
      <c r="AS2395">
        <f t="shared" si="801"/>
        <v>3197</v>
      </c>
      <c r="AT2395" s="21">
        <f t="shared" si="802"/>
        <v>3202</v>
      </c>
      <c r="AU2395" s="21"/>
      <c r="AV2395" s="21"/>
      <c r="AW2395" s="21"/>
    </row>
    <row r="2396" spans="1:49" x14ac:dyDescent="0.2">
      <c r="A2396">
        <v>1278</v>
      </c>
      <c r="E2396">
        <f t="shared" si="797"/>
        <v>3</v>
      </c>
      <c r="J2396" t="str">
        <f t="shared" si="804"/>
        <v>0</v>
      </c>
      <c r="K2396" t="str">
        <f t="shared" si="805"/>
        <v>38</v>
      </c>
      <c r="L2396" t="str">
        <f t="shared" si="806"/>
        <v/>
      </c>
      <c r="M2396" s="6" t="str">
        <f t="shared" si="807"/>
        <v/>
      </c>
      <c r="N2396" t="str">
        <f t="shared" si="803"/>
        <v>Away</v>
      </c>
      <c r="O2396">
        <v>84</v>
      </c>
      <c r="P2396" t="s">
        <v>424</v>
      </c>
      <c r="Y2396" t="str">
        <f t="shared" si="790"/>
        <v/>
      </c>
      <c r="Z2396" t="str">
        <f t="shared" si="791"/>
        <v/>
      </c>
      <c r="AC2396" t="str">
        <f t="shared" si="787"/>
        <v>Pass</v>
      </c>
      <c r="AD2396" t="str">
        <f t="shared" si="788"/>
        <v>Pass_Completed</v>
      </c>
      <c r="AE2396" t="str">
        <f t="shared" si="789"/>
        <v>Pass-Forehand</v>
      </c>
      <c r="AF2396" t="str">
        <f t="shared" si="792"/>
        <v>Offensive</v>
      </c>
      <c r="AG2396">
        <f t="shared" si="798"/>
        <v>18981</v>
      </c>
      <c r="AH2396" t="str">
        <f t="shared" si="799"/>
        <v>Nelson</v>
      </c>
      <c r="AI2396" t="str">
        <f t="shared" si="800"/>
        <v>Velodrome</v>
      </c>
      <c r="AJ2396" s="18">
        <f t="shared" si="793"/>
        <v>0</v>
      </c>
      <c r="AP2396" s="18">
        <f t="shared" si="794"/>
        <v>0</v>
      </c>
      <c r="AQ2396">
        <f t="shared" si="795"/>
        <v>2160</v>
      </c>
      <c r="AR2396" s="23">
        <f t="shared" si="796"/>
        <v>3202</v>
      </c>
      <c r="AS2396">
        <f t="shared" si="801"/>
        <v>3197</v>
      </c>
      <c r="AT2396" s="21">
        <f t="shared" si="802"/>
        <v>3202</v>
      </c>
      <c r="AU2396" s="21"/>
      <c r="AV2396" s="21"/>
      <c r="AW2396" s="21"/>
    </row>
    <row r="2397" spans="1:49" x14ac:dyDescent="0.2">
      <c r="A2397">
        <v>1279</v>
      </c>
      <c r="E2397">
        <f t="shared" si="797"/>
        <v>3</v>
      </c>
      <c r="F2397" s="5" t="s">
        <v>532</v>
      </c>
      <c r="G2397" s="5" t="s">
        <v>510</v>
      </c>
      <c r="H2397" s="5" t="s">
        <v>532</v>
      </c>
      <c r="I2397" s="7" t="s">
        <v>508</v>
      </c>
      <c r="J2397" t="str">
        <f t="shared" si="804"/>
        <v>0</v>
      </c>
      <c r="K2397" t="str">
        <f t="shared" si="805"/>
        <v>38</v>
      </c>
      <c r="L2397" t="str">
        <f t="shared" si="806"/>
        <v>0</v>
      </c>
      <c r="M2397" s="6" t="str">
        <f t="shared" si="807"/>
        <v>36</v>
      </c>
      <c r="N2397" t="s">
        <v>179</v>
      </c>
      <c r="O2397">
        <v>84</v>
      </c>
      <c r="P2397" t="s">
        <v>424</v>
      </c>
      <c r="Q2397" t="s">
        <v>15</v>
      </c>
      <c r="Y2397" t="str">
        <f t="shared" si="790"/>
        <v/>
      </c>
      <c r="Z2397" t="str">
        <f t="shared" si="791"/>
        <v/>
      </c>
      <c r="AC2397" t="str">
        <f t="shared" si="787"/>
        <v>Possession</v>
      </c>
      <c r="AD2397" t="str">
        <f t="shared" si="788"/>
        <v/>
      </c>
      <c r="AE2397" t="str">
        <f t="shared" si="789"/>
        <v/>
      </c>
      <c r="AF2397" t="str">
        <f t="shared" si="792"/>
        <v>Offensive</v>
      </c>
      <c r="AG2397">
        <f t="shared" si="798"/>
        <v>18981</v>
      </c>
      <c r="AH2397" t="str">
        <f t="shared" si="799"/>
        <v>Nelson</v>
      </c>
      <c r="AI2397" t="str">
        <f t="shared" si="800"/>
        <v>Velodrome</v>
      </c>
      <c r="AJ2397" s="18">
        <f t="shared" si="793"/>
        <v>2</v>
      </c>
      <c r="AP2397" s="18">
        <f t="shared" si="794"/>
        <v>0</v>
      </c>
      <c r="AQ2397">
        <f t="shared" si="795"/>
        <v>2160</v>
      </c>
      <c r="AR2397" s="23">
        <f t="shared" si="796"/>
        <v>3202</v>
      </c>
      <c r="AS2397">
        <f t="shared" si="801"/>
        <v>3197</v>
      </c>
      <c r="AT2397" s="21">
        <f t="shared" si="802"/>
        <v>3204</v>
      </c>
      <c r="AU2397" s="21"/>
      <c r="AV2397" s="21"/>
      <c r="AW2397" s="21"/>
    </row>
    <row r="2398" spans="1:49" x14ac:dyDescent="0.2">
      <c r="A2398">
        <v>1280</v>
      </c>
      <c r="E2398">
        <f t="shared" si="797"/>
        <v>3</v>
      </c>
      <c r="F2398" s="5" t="s">
        <v>532</v>
      </c>
      <c r="G2398" s="5" t="s">
        <v>508</v>
      </c>
      <c r="J2398" t="str">
        <f t="shared" si="804"/>
        <v>0</v>
      </c>
      <c r="K2398" t="str">
        <f t="shared" si="805"/>
        <v>36</v>
      </c>
      <c r="L2398" t="str">
        <f t="shared" si="806"/>
        <v/>
      </c>
      <c r="M2398" s="6" t="str">
        <f t="shared" si="807"/>
        <v/>
      </c>
      <c r="N2398" t="s">
        <v>179</v>
      </c>
      <c r="O2398">
        <v>84</v>
      </c>
      <c r="P2398" t="s">
        <v>424</v>
      </c>
      <c r="Q2398" t="s">
        <v>7</v>
      </c>
      <c r="R2398" t="s">
        <v>198</v>
      </c>
      <c r="S2398" t="s">
        <v>53</v>
      </c>
      <c r="Y2398" t="str">
        <f t="shared" si="790"/>
        <v/>
      </c>
      <c r="Z2398" t="str">
        <f t="shared" si="791"/>
        <v/>
      </c>
      <c r="AC2398" t="str">
        <f t="shared" si="787"/>
        <v>Shot</v>
      </c>
      <c r="AD2398" t="str">
        <f t="shared" si="788"/>
        <v>Shot_Missed</v>
      </c>
      <c r="AE2398" t="str">
        <f t="shared" si="789"/>
        <v>Shot-Wrist</v>
      </c>
      <c r="AF2398" t="str">
        <f t="shared" si="792"/>
        <v>Offensive</v>
      </c>
      <c r="AG2398">
        <f t="shared" si="798"/>
        <v>18981</v>
      </c>
      <c r="AH2398" t="str">
        <f t="shared" si="799"/>
        <v>Nelson</v>
      </c>
      <c r="AI2398" t="str">
        <f t="shared" si="800"/>
        <v>Velodrome</v>
      </c>
      <c r="AJ2398" s="18">
        <f t="shared" si="793"/>
        <v>0</v>
      </c>
      <c r="AP2398" s="18">
        <f t="shared" si="794"/>
        <v>0</v>
      </c>
      <c r="AQ2398">
        <f t="shared" si="795"/>
        <v>2160</v>
      </c>
      <c r="AR2398" s="23">
        <f t="shared" si="796"/>
        <v>3204</v>
      </c>
      <c r="AS2398">
        <f t="shared" si="801"/>
        <v>3199</v>
      </c>
      <c r="AT2398" s="21">
        <f t="shared" si="802"/>
        <v>3204</v>
      </c>
      <c r="AU2398" s="21"/>
      <c r="AV2398" s="21"/>
      <c r="AW2398" s="21"/>
    </row>
    <row r="2399" spans="1:49" x14ac:dyDescent="0.2">
      <c r="A2399">
        <v>1281</v>
      </c>
      <c r="E2399">
        <f t="shared" si="797"/>
        <v>3</v>
      </c>
      <c r="F2399" s="5" t="s">
        <v>532</v>
      </c>
      <c r="G2399" s="5" t="s">
        <v>503</v>
      </c>
      <c r="J2399" t="str">
        <f t="shared" si="804"/>
        <v>0</v>
      </c>
      <c r="K2399" t="str">
        <f t="shared" si="805"/>
        <v>31</v>
      </c>
      <c r="L2399" t="str">
        <f t="shared" si="806"/>
        <v/>
      </c>
      <c r="M2399" s="6" t="str">
        <f t="shared" si="807"/>
        <v/>
      </c>
      <c r="N2399" t="s">
        <v>179</v>
      </c>
      <c r="O2399">
        <v>70</v>
      </c>
      <c r="P2399" t="s">
        <v>424</v>
      </c>
      <c r="Q2399" t="s">
        <v>8</v>
      </c>
      <c r="R2399" t="s">
        <v>189</v>
      </c>
      <c r="S2399" t="s">
        <v>69</v>
      </c>
      <c r="Y2399" t="str">
        <f t="shared" si="790"/>
        <v/>
      </c>
      <c r="Z2399" t="str">
        <f t="shared" si="791"/>
        <v/>
      </c>
      <c r="AC2399" t="str">
        <f t="shared" si="787"/>
        <v>Pass</v>
      </c>
      <c r="AD2399" t="str">
        <f t="shared" si="788"/>
        <v>Pass_Completed</v>
      </c>
      <c r="AE2399" t="str">
        <f t="shared" si="789"/>
        <v>Pass-Backhand</v>
      </c>
      <c r="AF2399" t="str">
        <f t="shared" si="792"/>
        <v>Offensive</v>
      </c>
      <c r="AG2399">
        <f t="shared" si="798"/>
        <v>18981</v>
      </c>
      <c r="AH2399" t="str">
        <f t="shared" si="799"/>
        <v>Nelson</v>
      </c>
      <c r="AI2399" t="str">
        <f t="shared" si="800"/>
        <v>Velodrome</v>
      </c>
      <c r="AJ2399" s="18">
        <f t="shared" si="793"/>
        <v>0</v>
      </c>
      <c r="AP2399" s="18">
        <f t="shared" si="794"/>
        <v>0</v>
      </c>
      <c r="AQ2399">
        <f t="shared" si="795"/>
        <v>2160</v>
      </c>
      <c r="AR2399" s="23">
        <f t="shared" si="796"/>
        <v>3209</v>
      </c>
      <c r="AS2399">
        <f t="shared" si="801"/>
        <v>3204</v>
      </c>
      <c r="AT2399" s="21">
        <f t="shared" si="802"/>
        <v>3209</v>
      </c>
      <c r="AU2399" s="21"/>
      <c r="AV2399" s="21"/>
      <c r="AW2399" s="21"/>
    </row>
    <row r="2400" spans="1:49" x14ac:dyDescent="0.2">
      <c r="A2400">
        <v>1281</v>
      </c>
      <c r="E2400">
        <f t="shared" si="797"/>
        <v>3</v>
      </c>
      <c r="J2400" t="str">
        <f t="shared" si="804"/>
        <v>0</v>
      </c>
      <c r="K2400" t="str">
        <f t="shared" si="805"/>
        <v>31</v>
      </c>
      <c r="L2400" t="str">
        <f t="shared" si="806"/>
        <v/>
      </c>
      <c r="M2400" s="6" t="str">
        <f t="shared" si="807"/>
        <v/>
      </c>
      <c r="N2400" t="str">
        <f t="shared" si="803"/>
        <v>Away</v>
      </c>
      <c r="O2400">
        <v>52</v>
      </c>
      <c r="P2400" t="s">
        <v>424</v>
      </c>
      <c r="Y2400" t="str">
        <f t="shared" si="790"/>
        <v/>
      </c>
      <c r="Z2400" t="str">
        <f t="shared" si="791"/>
        <v/>
      </c>
      <c r="AC2400" t="str">
        <f t="shared" si="787"/>
        <v>Pass</v>
      </c>
      <c r="AD2400" t="str">
        <f t="shared" si="788"/>
        <v>Pass_Completed</v>
      </c>
      <c r="AE2400" t="str">
        <f t="shared" si="789"/>
        <v>Pass-Backhand</v>
      </c>
      <c r="AF2400" t="str">
        <f t="shared" si="792"/>
        <v>Offensive</v>
      </c>
      <c r="AG2400">
        <f t="shared" si="798"/>
        <v>18981</v>
      </c>
      <c r="AH2400" t="str">
        <f t="shared" si="799"/>
        <v>Nelson</v>
      </c>
      <c r="AI2400" t="str">
        <f t="shared" si="800"/>
        <v>Velodrome</v>
      </c>
      <c r="AJ2400" s="18">
        <f t="shared" si="793"/>
        <v>0</v>
      </c>
      <c r="AP2400" s="18">
        <f t="shared" si="794"/>
        <v>0</v>
      </c>
      <c r="AQ2400">
        <f t="shared" si="795"/>
        <v>2160</v>
      </c>
      <c r="AR2400" s="23">
        <f t="shared" si="796"/>
        <v>3209</v>
      </c>
      <c r="AS2400">
        <f t="shared" si="801"/>
        <v>3204</v>
      </c>
      <c r="AT2400" s="21">
        <f t="shared" si="802"/>
        <v>3209</v>
      </c>
      <c r="AU2400" s="21"/>
      <c r="AV2400" s="21"/>
      <c r="AW2400" s="21"/>
    </row>
    <row r="2401" spans="1:49" x14ac:dyDescent="0.2">
      <c r="A2401">
        <v>1282</v>
      </c>
      <c r="E2401">
        <f t="shared" si="797"/>
        <v>3</v>
      </c>
      <c r="F2401" s="5" t="s">
        <v>532</v>
      </c>
      <c r="G2401" s="5" t="s">
        <v>502</v>
      </c>
      <c r="J2401" t="str">
        <f t="shared" si="804"/>
        <v>0</v>
      </c>
      <c r="K2401" t="str">
        <f t="shared" si="805"/>
        <v>30</v>
      </c>
      <c r="L2401" t="str">
        <f t="shared" si="806"/>
        <v/>
      </c>
      <c r="M2401" s="6" t="str">
        <f t="shared" si="807"/>
        <v/>
      </c>
      <c r="N2401" t="s">
        <v>179</v>
      </c>
      <c r="O2401">
        <v>52</v>
      </c>
      <c r="P2401" t="s">
        <v>424</v>
      </c>
      <c r="Q2401" t="s">
        <v>7</v>
      </c>
      <c r="R2401" t="s">
        <v>208</v>
      </c>
      <c r="S2401" t="s">
        <v>53</v>
      </c>
      <c r="Y2401" t="str">
        <f t="shared" si="790"/>
        <v/>
      </c>
      <c r="Z2401" t="str">
        <f t="shared" si="791"/>
        <v/>
      </c>
      <c r="AC2401" t="str">
        <f t="shared" si="787"/>
        <v>Shot</v>
      </c>
      <c r="AD2401" t="str">
        <f t="shared" si="788"/>
        <v>Shot_Blocked</v>
      </c>
      <c r="AE2401" t="str">
        <f t="shared" si="789"/>
        <v>Shot-Wrist</v>
      </c>
      <c r="AF2401" t="str">
        <f t="shared" si="792"/>
        <v>Offensive</v>
      </c>
      <c r="AG2401">
        <f t="shared" si="798"/>
        <v>18981</v>
      </c>
      <c r="AH2401" t="str">
        <f t="shared" si="799"/>
        <v>Nelson</v>
      </c>
      <c r="AI2401" t="str">
        <f t="shared" si="800"/>
        <v>Velodrome</v>
      </c>
      <c r="AJ2401" s="18">
        <f t="shared" si="793"/>
        <v>0</v>
      </c>
      <c r="AP2401" s="18">
        <f t="shared" si="794"/>
        <v>0</v>
      </c>
      <c r="AQ2401">
        <f t="shared" si="795"/>
        <v>2160</v>
      </c>
      <c r="AR2401" s="23">
        <f t="shared" si="796"/>
        <v>3210</v>
      </c>
      <c r="AS2401">
        <f t="shared" si="801"/>
        <v>3205</v>
      </c>
      <c r="AT2401" s="21">
        <f t="shared" si="802"/>
        <v>3210</v>
      </c>
      <c r="AU2401" s="21"/>
      <c r="AV2401" s="21"/>
      <c r="AW2401" s="21"/>
    </row>
    <row r="2402" spans="1:49" x14ac:dyDescent="0.2">
      <c r="A2402">
        <v>1282</v>
      </c>
      <c r="E2402">
        <f t="shared" si="797"/>
        <v>3</v>
      </c>
      <c r="J2402" t="str">
        <f t="shared" si="804"/>
        <v>0</v>
      </c>
      <c r="K2402" t="str">
        <f t="shared" si="805"/>
        <v>30</v>
      </c>
      <c r="L2402" t="str">
        <f t="shared" si="806"/>
        <v/>
      </c>
      <c r="M2402" s="6" t="str">
        <f t="shared" si="807"/>
        <v/>
      </c>
      <c r="N2402" t="s">
        <v>179</v>
      </c>
      <c r="O2402">
        <v>37</v>
      </c>
      <c r="P2402" t="s">
        <v>425</v>
      </c>
      <c r="Y2402" t="str">
        <f t="shared" si="790"/>
        <v/>
      </c>
      <c r="Z2402" t="str">
        <f t="shared" si="791"/>
        <v/>
      </c>
      <c r="AC2402" t="str">
        <f t="shared" si="787"/>
        <v>Shot</v>
      </c>
      <c r="AD2402" t="str">
        <f t="shared" si="788"/>
        <v>Shot_Blocked</v>
      </c>
      <c r="AE2402" t="str">
        <f t="shared" si="789"/>
        <v>Shot-Wrist</v>
      </c>
      <c r="AF2402" t="str">
        <f t="shared" si="792"/>
        <v>Defensive</v>
      </c>
      <c r="AG2402">
        <f t="shared" si="798"/>
        <v>18981</v>
      </c>
      <c r="AH2402" t="str">
        <f t="shared" si="799"/>
        <v>Nelson</v>
      </c>
      <c r="AI2402" t="str">
        <f t="shared" si="800"/>
        <v>Velodrome</v>
      </c>
      <c r="AJ2402" s="18">
        <f t="shared" si="793"/>
        <v>0</v>
      </c>
      <c r="AP2402" s="18">
        <f t="shared" si="794"/>
        <v>0</v>
      </c>
      <c r="AQ2402">
        <f t="shared" si="795"/>
        <v>2160</v>
      </c>
      <c r="AR2402" s="23">
        <f t="shared" si="796"/>
        <v>3210</v>
      </c>
      <c r="AS2402">
        <f t="shared" si="801"/>
        <v>3205</v>
      </c>
      <c r="AT2402" s="21">
        <f t="shared" si="802"/>
        <v>3210</v>
      </c>
      <c r="AU2402" s="21"/>
      <c r="AV2402" s="21"/>
      <c r="AW2402" s="21"/>
    </row>
    <row r="2403" spans="1:49" x14ac:dyDescent="0.2">
      <c r="A2403">
        <v>1283</v>
      </c>
      <c r="E2403">
        <f t="shared" si="797"/>
        <v>3</v>
      </c>
      <c r="F2403" s="5" t="s">
        <v>532</v>
      </c>
      <c r="G2403" s="5" t="s">
        <v>501</v>
      </c>
      <c r="J2403" t="str">
        <f t="shared" si="804"/>
        <v>0</v>
      </c>
      <c r="K2403" t="str">
        <f t="shared" si="805"/>
        <v>29</v>
      </c>
      <c r="L2403" t="str">
        <f t="shared" si="806"/>
        <v/>
      </c>
      <c r="M2403" s="6" t="str">
        <f t="shared" si="807"/>
        <v/>
      </c>
      <c r="N2403" t="s">
        <v>179</v>
      </c>
      <c r="O2403">
        <v>52</v>
      </c>
      <c r="P2403" t="s">
        <v>424</v>
      </c>
      <c r="Q2403" t="s">
        <v>10</v>
      </c>
      <c r="R2403" t="s">
        <v>190</v>
      </c>
      <c r="S2403" t="s">
        <v>78</v>
      </c>
      <c r="Y2403" t="str">
        <f t="shared" si="790"/>
        <v/>
      </c>
      <c r="Z2403" t="str">
        <f t="shared" si="791"/>
        <v/>
      </c>
      <c r="AC2403" t="str">
        <f t="shared" si="787"/>
        <v>Turnover</v>
      </c>
      <c r="AD2403" t="str">
        <f t="shared" si="788"/>
        <v>Turnover_Giveaway</v>
      </c>
      <c r="AE2403" t="str">
        <f t="shared" si="789"/>
        <v>Giveaway-ShotBlocked</v>
      </c>
      <c r="AF2403" t="str">
        <f t="shared" si="792"/>
        <v>Offensive</v>
      </c>
      <c r="AG2403">
        <f t="shared" si="798"/>
        <v>18981</v>
      </c>
      <c r="AH2403" t="str">
        <f t="shared" si="799"/>
        <v>Nelson</v>
      </c>
      <c r="AI2403" t="str">
        <f t="shared" si="800"/>
        <v>Velodrome</v>
      </c>
      <c r="AJ2403" s="18">
        <f t="shared" si="793"/>
        <v>0</v>
      </c>
      <c r="AP2403" s="18">
        <f t="shared" si="794"/>
        <v>0</v>
      </c>
      <c r="AQ2403">
        <f t="shared" si="795"/>
        <v>2160</v>
      </c>
      <c r="AR2403" s="23">
        <f t="shared" si="796"/>
        <v>3211</v>
      </c>
      <c r="AS2403">
        <f t="shared" si="801"/>
        <v>3206</v>
      </c>
      <c r="AT2403" s="21">
        <f t="shared" si="802"/>
        <v>3211</v>
      </c>
      <c r="AU2403" s="21"/>
      <c r="AV2403" s="21"/>
      <c r="AW2403" s="21"/>
    </row>
    <row r="2404" spans="1:49" x14ac:dyDescent="0.2">
      <c r="A2404">
        <v>1283</v>
      </c>
      <c r="E2404">
        <f t="shared" si="797"/>
        <v>3</v>
      </c>
      <c r="J2404" t="str">
        <f t="shared" si="804"/>
        <v>0</v>
      </c>
      <c r="K2404" t="str">
        <f t="shared" si="805"/>
        <v>29</v>
      </c>
      <c r="L2404" t="str">
        <f t="shared" si="806"/>
        <v/>
      </c>
      <c r="M2404" s="6" t="str">
        <f t="shared" si="807"/>
        <v/>
      </c>
      <c r="N2404" t="s">
        <v>179</v>
      </c>
      <c r="O2404">
        <v>37</v>
      </c>
      <c r="P2404" t="s">
        <v>425</v>
      </c>
      <c r="Y2404" t="str">
        <f t="shared" si="790"/>
        <v/>
      </c>
      <c r="Z2404" t="str">
        <f t="shared" si="791"/>
        <v/>
      </c>
      <c r="AC2404" t="str">
        <f t="shared" si="787"/>
        <v>Turnover</v>
      </c>
      <c r="AD2404" t="str">
        <f t="shared" si="788"/>
        <v>Turnover_Giveaway</v>
      </c>
      <c r="AE2404" t="str">
        <f t="shared" si="789"/>
        <v>Giveaway-ShotBlocked</v>
      </c>
      <c r="AF2404" t="str">
        <f t="shared" si="792"/>
        <v>Defensive</v>
      </c>
      <c r="AG2404">
        <f t="shared" si="798"/>
        <v>18981</v>
      </c>
      <c r="AH2404" t="str">
        <f t="shared" si="799"/>
        <v>Nelson</v>
      </c>
      <c r="AI2404" t="str">
        <f t="shared" si="800"/>
        <v>Velodrome</v>
      </c>
      <c r="AJ2404" s="18">
        <f t="shared" si="793"/>
        <v>0</v>
      </c>
      <c r="AP2404" s="18">
        <f t="shared" si="794"/>
        <v>0</v>
      </c>
      <c r="AQ2404">
        <f t="shared" si="795"/>
        <v>2160</v>
      </c>
      <c r="AR2404" s="23">
        <f t="shared" si="796"/>
        <v>3211</v>
      </c>
      <c r="AS2404">
        <f t="shared" si="801"/>
        <v>3206</v>
      </c>
      <c r="AT2404" s="21">
        <f t="shared" si="802"/>
        <v>3211</v>
      </c>
      <c r="AU2404" s="21"/>
      <c r="AV2404" s="21"/>
      <c r="AW2404" s="21"/>
    </row>
    <row r="2405" spans="1:49" x14ac:dyDescent="0.2">
      <c r="A2405">
        <v>1284</v>
      </c>
      <c r="E2405">
        <f t="shared" si="797"/>
        <v>3</v>
      </c>
      <c r="F2405" s="5" t="s">
        <v>532</v>
      </c>
      <c r="G2405" s="5" t="s">
        <v>500</v>
      </c>
      <c r="J2405" t="str">
        <f t="shared" si="804"/>
        <v>0</v>
      </c>
      <c r="K2405" t="str">
        <f t="shared" si="805"/>
        <v>28</v>
      </c>
      <c r="L2405" t="str">
        <f t="shared" si="806"/>
        <v/>
      </c>
      <c r="M2405" s="6" t="str">
        <f t="shared" si="807"/>
        <v/>
      </c>
      <c r="N2405" t="s">
        <v>178</v>
      </c>
      <c r="O2405">
        <v>37</v>
      </c>
      <c r="P2405" t="s">
        <v>424</v>
      </c>
      <c r="Q2405" t="s">
        <v>277</v>
      </c>
      <c r="R2405" t="s">
        <v>201</v>
      </c>
      <c r="S2405" t="s">
        <v>92</v>
      </c>
      <c r="Y2405" t="str">
        <f t="shared" si="790"/>
        <v/>
      </c>
      <c r="Z2405" t="str">
        <f t="shared" si="791"/>
        <v/>
      </c>
      <c r="AC2405" t="str">
        <f t="shared" si="787"/>
        <v>Zone_Entry_Exit</v>
      </c>
      <c r="AD2405" t="str">
        <f t="shared" si="788"/>
        <v>Zone_Exit</v>
      </c>
      <c r="AE2405" t="str">
        <f t="shared" si="789"/>
        <v>ZoneExit-Clear</v>
      </c>
      <c r="AF2405" t="str">
        <f t="shared" si="792"/>
        <v>Offensive</v>
      </c>
      <c r="AG2405">
        <f t="shared" si="798"/>
        <v>18981</v>
      </c>
      <c r="AH2405" t="str">
        <f t="shared" si="799"/>
        <v>Nelson</v>
      </c>
      <c r="AI2405" t="str">
        <f t="shared" si="800"/>
        <v>Velodrome</v>
      </c>
      <c r="AJ2405" s="18">
        <f t="shared" si="793"/>
        <v>0</v>
      </c>
      <c r="AP2405" s="18">
        <f t="shared" si="794"/>
        <v>0</v>
      </c>
      <c r="AQ2405">
        <f t="shared" si="795"/>
        <v>2160</v>
      </c>
      <c r="AR2405" s="23">
        <f t="shared" si="796"/>
        <v>3212</v>
      </c>
      <c r="AS2405">
        <f t="shared" si="801"/>
        <v>3207</v>
      </c>
      <c r="AT2405" s="21">
        <f t="shared" si="802"/>
        <v>3212</v>
      </c>
      <c r="AU2405" s="21"/>
      <c r="AV2405" s="21"/>
      <c r="AW2405" s="21"/>
    </row>
    <row r="2406" spans="1:49" x14ac:dyDescent="0.2">
      <c r="A2406">
        <v>1285</v>
      </c>
      <c r="E2406">
        <f t="shared" si="797"/>
        <v>3</v>
      </c>
      <c r="F2406" s="5" t="s">
        <v>532</v>
      </c>
      <c r="G2406" s="5" t="s">
        <v>500</v>
      </c>
      <c r="J2406" t="str">
        <f t="shared" si="804"/>
        <v>0</v>
      </c>
      <c r="K2406" t="str">
        <f t="shared" si="805"/>
        <v>28</v>
      </c>
      <c r="L2406" t="str">
        <f t="shared" si="806"/>
        <v/>
      </c>
      <c r="M2406" s="6" t="str">
        <f t="shared" si="807"/>
        <v/>
      </c>
      <c r="N2406" t="s">
        <v>178</v>
      </c>
      <c r="O2406">
        <v>37</v>
      </c>
      <c r="P2406" t="s">
        <v>424</v>
      </c>
      <c r="Q2406" t="s">
        <v>277</v>
      </c>
      <c r="R2406" t="s">
        <v>191</v>
      </c>
      <c r="S2406" t="s">
        <v>432</v>
      </c>
      <c r="Y2406" t="str">
        <f t="shared" si="790"/>
        <v/>
      </c>
      <c r="Z2406" t="str">
        <f t="shared" si="791"/>
        <v/>
      </c>
      <c r="AC2406" t="str">
        <f t="shared" si="787"/>
        <v>Zone_Entry_Exit</v>
      </c>
      <c r="AD2406" t="str">
        <f t="shared" si="788"/>
        <v>Zone_Entry</v>
      </c>
      <c r="AE2406" t="str">
        <f t="shared" si="789"/>
        <v>ZoneEntry-FromExitClear</v>
      </c>
      <c r="AF2406" t="str">
        <f t="shared" si="792"/>
        <v>Offensive</v>
      </c>
      <c r="AG2406">
        <f t="shared" si="798"/>
        <v>18981</v>
      </c>
      <c r="AH2406" t="str">
        <f t="shared" si="799"/>
        <v>Nelson</v>
      </c>
      <c r="AI2406" t="str">
        <f t="shared" si="800"/>
        <v>Velodrome</v>
      </c>
      <c r="AJ2406" s="18">
        <f t="shared" si="793"/>
        <v>0</v>
      </c>
      <c r="AP2406" s="18">
        <f t="shared" si="794"/>
        <v>0</v>
      </c>
      <c r="AQ2406">
        <f t="shared" si="795"/>
        <v>2160</v>
      </c>
      <c r="AR2406" s="23">
        <f t="shared" si="796"/>
        <v>3212</v>
      </c>
      <c r="AS2406">
        <f t="shared" si="801"/>
        <v>3207</v>
      </c>
      <c r="AT2406" s="21">
        <f t="shared" si="802"/>
        <v>3212</v>
      </c>
      <c r="AU2406" s="21"/>
      <c r="AV2406" s="21"/>
      <c r="AW2406" s="21"/>
    </row>
    <row r="2407" spans="1:49" x14ac:dyDescent="0.2">
      <c r="A2407">
        <v>1286</v>
      </c>
      <c r="E2407">
        <f t="shared" si="797"/>
        <v>3</v>
      </c>
      <c r="F2407" s="5" t="s">
        <v>532</v>
      </c>
      <c r="G2407" s="5" t="s">
        <v>494</v>
      </c>
      <c r="H2407" s="5" t="s">
        <v>532</v>
      </c>
      <c r="I2407" s="7" t="s">
        <v>491</v>
      </c>
      <c r="J2407" t="str">
        <f t="shared" si="804"/>
        <v>0</v>
      </c>
      <c r="K2407" t="str">
        <f t="shared" si="805"/>
        <v>22</v>
      </c>
      <c r="L2407" t="str">
        <f t="shared" si="806"/>
        <v>0</v>
      </c>
      <c r="M2407" s="6" t="str">
        <f t="shared" si="807"/>
        <v>19</v>
      </c>
      <c r="N2407" t="s">
        <v>179</v>
      </c>
      <c r="O2407">
        <v>84</v>
      </c>
      <c r="P2407" t="s">
        <v>424</v>
      </c>
      <c r="Q2407" t="s">
        <v>15</v>
      </c>
      <c r="Y2407" t="str">
        <f t="shared" si="790"/>
        <v/>
      </c>
      <c r="Z2407" t="str">
        <f t="shared" si="791"/>
        <v/>
      </c>
      <c r="AC2407" t="str">
        <f t="shared" si="787"/>
        <v>Possession</v>
      </c>
      <c r="AD2407" t="str">
        <f t="shared" si="788"/>
        <v/>
      </c>
      <c r="AE2407" t="str">
        <f t="shared" si="789"/>
        <v/>
      </c>
      <c r="AF2407" t="str">
        <f t="shared" si="792"/>
        <v>Offensive</v>
      </c>
      <c r="AG2407">
        <f t="shared" si="798"/>
        <v>18981</v>
      </c>
      <c r="AH2407" t="str">
        <f t="shared" si="799"/>
        <v>Nelson</v>
      </c>
      <c r="AI2407" t="str">
        <f t="shared" si="800"/>
        <v>Velodrome</v>
      </c>
      <c r="AJ2407" s="18">
        <f t="shared" si="793"/>
        <v>3</v>
      </c>
      <c r="AP2407" s="18">
        <f t="shared" si="794"/>
        <v>0</v>
      </c>
      <c r="AQ2407">
        <f t="shared" si="795"/>
        <v>2160</v>
      </c>
      <c r="AR2407" s="23">
        <f t="shared" si="796"/>
        <v>3218</v>
      </c>
      <c r="AS2407">
        <f t="shared" si="801"/>
        <v>3213</v>
      </c>
      <c r="AT2407" s="21">
        <f t="shared" si="802"/>
        <v>3221</v>
      </c>
      <c r="AU2407" s="21"/>
      <c r="AV2407" s="21"/>
      <c r="AW2407" s="21"/>
    </row>
    <row r="2408" spans="1:49" x14ac:dyDescent="0.2">
      <c r="A2408">
        <v>1287</v>
      </c>
      <c r="E2408">
        <f t="shared" si="797"/>
        <v>3</v>
      </c>
      <c r="F2408" s="5" t="s">
        <v>532</v>
      </c>
      <c r="G2408" s="5" t="s">
        <v>491</v>
      </c>
      <c r="J2408" t="str">
        <f t="shared" si="804"/>
        <v>0</v>
      </c>
      <c r="K2408" t="str">
        <f t="shared" si="805"/>
        <v>19</v>
      </c>
      <c r="L2408" t="str">
        <f t="shared" si="806"/>
        <v/>
      </c>
      <c r="M2408" s="6" t="str">
        <f t="shared" si="807"/>
        <v/>
      </c>
      <c r="N2408" t="s">
        <v>179</v>
      </c>
      <c r="O2408">
        <v>84</v>
      </c>
      <c r="P2408" t="s">
        <v>424</v>
      </c>
      <c r="Q2408" t="s">
        <v>8</v>
      </c>
      <c r="R2408" t="s">
        <v>189</v>
      </c>
      <c r="S2408" t="s">
        <v>67</v>
      </c>
      <c r="Y2408" t="str">
        <f t="shared" si="790"/>
        <v/>
      </c>
      <c r="Z2408" t="str">
        <f t="shared" si="791"/>
        <v/>
      </c>
      <c r="AC2408" t="str">
        <f t="shared" si="787"/>
        <v>Pass</v>
      </c>
      <c r="AD2408" t="str">
        <f t="shared" si="788"/>
        <v>Pass_Completed</v>
      </c>
      <c r="AE2408" t="str">
        <f t="shared" si="789"/>
        <v>Pass-Stretch</v>
      </c>
      <c r="AF2408" t="str">
        <f t="shared" si="792"/>
        <v>Offensive</v>
      </c>
      <c r="AG2408">
        <f t="shared" si="798"/>
        <v>18981</v>
      </c>
      <c r="AH2408" t="str">
        <f t="shared" si="799"/>
        <v>Nelson</v>
      </c>
      <c r="AI2408" t="str">
        <f t="shared" si="800"/>
        <v>Velodrome</v>
      </c>
      <c r="AJ2408" s="18">
        <f t="shared" si="793"/>
        <v>0</v>
      </c>
      <c r="AP2408" s="18">
        <f t="shared" si="794"/>
        <v>0</v>
      </c>
      <c r="AQ2408">
        <f t="shared" si="795"/>
        <v>2160</v>
      </c>
      <c r="AR2408" s="23">
        <f t="shared" si="796"/>
        <v>3221</v>
      </c>
      <c r="AS2408">
        <f t="shared" si="801"/>
        <v>3216</v>
      </c>
      <c r="AT2408" s="21">
        <f t="shared" si="802"/>
        <v>3221</v>
      </c>
      <c r="AU2408" s="21"/>
      <c r="AV2408" s="21"/>
      <c r="AW2408" s="21"/>
    </row>
    <row r="2409" spans="1:49" x14ac:dyDescent="0.2">
      <c r="A2409">
        <v>1287</v>
      </c>
      <c r="E2409">
        <f t="shared" si="797"/>
        <v>3</v>
      </c>
      <c r="J2409" t="str">
        <f t="shared" si="804"/>
        <v>0</v>
      </c>
      <c r="K2409" t="str">
        <f t="shared" si="805"/>
        <v>19</v>
      </c>
      <c r="L2409" t="str">
        <f t="shared" si="806"/>
        <v/>
      </c>
      <c r="M2409" s="6" t="str">
        <f t="shared" si="807"/>
        <v/>
      </c>
      <c r="N2409" t="str">
        <f t="shared" si="803"/>
        <v>Away</v>
      </c>
      <c r="O2409">
        <v>42</v>
      </c>
      <c r="P2409" t="s">
        <v>424</v>
      </c>
      <c r="Y2409" t="str">
        <f t="shared" si="790"/>
        <v/>
      </c>
      <c r="Z2409" t="str">
        <f t="shared" si="791"/>
        <v/>
      </c>
      <c r="AC2409" t="str">
        <f t="shared" si="787"/>
        <v>Pass</v>
      </c>
      <c r="AD2409" t="str">
        <f t="shared" si="788"/>
        <v>Pass_Completed</v>
      </c>
      <c r="AE2409" t="str">
        <f t="shared" si="789"/>
        <v>Pass-Stretch</v>
      </c>
      <c r="AF2409" t="str">
        <f t="shared" si="792"/>
        <v>Offensive</v>
      </c>
      <c r="AG2409">
        <f t="shared" si="798"/>
        <v>18981</v>
      </c>
      <c r="AH2409" t="str">
        <f t="shared" si="799"/>
        <v>Nelson</v>
      </c>
      <c r="AI2409" t="str">
        <f t="shared" si="800"/>
        <v>Velodrome</v>
      </c>
      <c r="AJ2409" s="18">
        <f t="shared" si="793"/>
        <v>0</v>
      </c>
      <c r="AP2409" s="18">
        <f t="shared" si="794"/>
        <v>0</v>
      </c>
      <c r="AQ2409">
        <f t="shared" si="795"/>
        <v>2160</v>
      </c>
      <c r="AR2409" s="23">
        <f t="shared" si="796"/>
        <v>3221</v>
      </c>
      <c r="AS2409">
        <f t="shared" si="801"/>
        <v>3216</v>
      </c>
      <c r="AT2409" s="21">
        <f t="shared" si="802"/>
        <v>3221</v>
      </c>
      <c r="AU2409" s="21"/>
      <c r="AV2409" s="21"/>
      <c r="AW2409" s="21"/>
    </row>
    <row r="2410" spans="1:49" x14ac:dyDescent="0.2">
      <c r="A2410">
        <v>1288</v>
      </c>
      <c r="E2410">
        <f t="shared" si="797"/>
        <v>3</v>
      </c>
      <c r="F2410" s="5" t="s">
        <v>532</v>
      </c>
      <c r="G2410" s="5" t="s">
        <v>491</v>
      </c>
      <c r="J2410" t="str">
        <f t="shared" si="804"/>
        <v>0</v>
      </c>
      <c r="K2410" t="str">
        <f t="shared" si="805"/>
        <v>19</v>
      </c>
      <c r="L2410" t="str">
        <f t="shared" si="806"/>
        <v/>
      </c>
      <c r="M2410" s="6" t="str">
        <f t="shared" si="807"/>
        <v/>
      </c>
      <c r="N2410" t="s">
        <v>179</v>
      </c>
      <c r="O2410">
        <v>84</v>
      </c>
      <c r="P2410" t="s">
        <v>424</v>
      </c>
      <c r="Q2410" t="s">
        <v>277</v>
      </c>
      <c r="R2410" t="s">
        <v>201</v>
      </c>
      <c r="S2410" t="s">
        <v>91</v>
      </c>
      <c r="Y2410" t="str">
        <f t="shared" si="790"/>
        <v/>
      </c>
      <c r="Z2410" t="str">
        <f t="shared" si="791"/>
        <v/>
      </c>
      <c r="AC2410" t="str">
        <f t="shared" si="787"/>
        <v>Zone_Entry_Exit</v>
      </c>
      <c r="AD2410" t="str">
        <f t="shared" si="788"/>
        <v>Zone_Exit</v>
      </c>
      <c r="AE2410" t="str">
        <f t="shared" si="789"/>
        <v>ZoneExit-Pass</v>
      </c>
      <c r="AF2410" t="str">
        <f t="shared" si="792"/>
        <v>Offensive</v>
      </c>
      <c r="AG2410">
        <f t="shared" si="798"/>
        <v>18981</v>
      </c>
      <c r="AH2410" t="str">
        <f t="shared" si="799"/>
        <v>Nelson</v>
      </c>
      <c r="AI2410" t="str">
        <f t="shared" si="800"/>
        <v>Velodrome</v>
      </c>
      <c r="AJ2410" s="18">
        <f t="shared" si="793"/>
        <v>0</v>
      </c>
      <c r="AP2410" s="18">
        <f t="shared" si="794"/>
        <v>0</v>
      </c>
      <c r="AQ2410">
        <f t="shared" si="795"/>
        <v>2160</v>
      </c>
      <c r="AR2410" s="23">
        <f t="shared" si="796"/>
        <v>3221</v>
      </c>
      <c r="AS2410">
        <f t="shared" si="801"/>
        <v>3216</v>
      </c>
      <c r="AT2410" s="21">
        <f t="shared" si="802"/>
        <v>3221</v>
      </c>
      <c r="AU2410" s="21"/>
      <c r="AV2410" s="21"/>
      <c r="AW2410" s="21"/>
    </row>
    <row r="2411" spans="1:49" x14ac:dyDescent="0.2">
      <c r="A2411">
        <v>1288</v>
      </c>
      <c r="E2411">
        <f t="shared" si="797"/>
        <v>3</v>
      </c>
      <c r="J2411" t="str">
        <f t="shared" si="804"/>
        <v>0</v>
      </c>
      <c r="K2411" t="str">
        <f t="shared" si="805"/>
        <v>19</v>
      </c>
      <c r="L2411" t="str">
        <f t="shared" si="806"/>
        <v/>
      </c>
      <c r="M2411" s="6" t="str">
        <f t="shared" si="807"/>
        <v/>
      </c>
      <c r="N2411" t="str">
        <f t="shared" si="803"/>
        <v>Away</v>
      </c>
      <c r="O2411">
        <v>42</v>
      </c>
      <c r="P2411" t="s">
        <v>424</v>
      </c>
      <c r="Y2411" t="str">
        <f t="shared" si="790"/>
        <v/>
      </c>
      <c r="Z2411" t="str">
        <f t="shared" si="791"/>
        <v/>
      </c>
      <c r="AC2411" t="str">
        <f t="shared" si="787"/>
        <v>Zone_Entry_Exit</v>
      </c>
      <c r="AD2411" t="str">
        <f t="shared" si="788"/>
        <v>Zone_Exit</v>
      </c>
      <c r="AE2411" t="str">
        <f t="shared" si="789"/>
        <v>ZoneExit-Pass</v>
      </c>
      <c r="AF2411" t="str">
        <f t="shared" si="792"/>
        <v>Offensive</v>
      </c>
      <c r="AG2411">
        <f t="shared" si="798"/>
        <v>18981</v>
      </c>
      <c r="AH2411" t="str">
        <f t="shared" si="799"/>
        <v>Nelson</v>
      </c>
      <c r="AI2411" t="str">
        <f t="shared" si="800"/>
        <v>Velodrome</v>
      </c>
      <c r="AJ2411" s="18">
        <f t="shared" si="793"/>
        <v>0</v>
      </c>
      <c r="AP2411" s="18">
        <f t="shared" si="794"/>
        <v>0</v>
      </c>
      <c r="AQ2411">
        <f t="shared" si="795"/>
        <v>2160</v>
      </c>
      <c r="AR2411" s="23">
        <f t="shared" si="796"/>
        <v>3221</v>
      </c>
      <c r="AS2411">
        <f t="shared" si="801"/>
        <v>3216</v>
      </c>
      <c r="AT2411" s="21">
        <f t="shared" si="802"/>
        <v>3221</v>
      </c>
      <c r="AU2411" s="21"/>
      <c r="AV2411" s="21"/>
      <c r="AW2411" s="21"/>
    </row>
    <row r="2412" spans="1:49" x14ac:dyDescent="0.2">
      <c r="A2412">
        <v>1289</v>
      </c>
      <c r="E2412">
        <f t="shared" si="797"/>
        <v>3</v>
      </c>
      <c r="F2412" s="5" t="s">
        <v>532</v>
      </c>
      <c r="G2412" s="5" t="s">
        <v>472</v>
      </c>
      <c r="H2412" s="5" t="s">
        <v>532</v>
      </c>
      <c r="I2412" s="7" t="s">
        <v>478</v>
      </c>
      <c r="J2412" t="str">
        <f t="shared" si="804"/>
        <v>0</v>
      </c>
      <c r="K2412" t="str">
        <f t="shared" si="805"/>
        <v>17</v>
      </c>
      <c r="L2412" t="str">
        <f t="shared" si="806"/>
        <v>0</v>
      </c>
      <c r="M2412" s="6" t="str">
        <f t="shared" si="807"/>
        <v>15</v>
      </c>
      <c r="N2412" t="s">
        <v>179</v>
      </c>
      <c r="O2412">
        <v>42</v>
      </c>
      <c r="P2412" t="s">
        <v>424</v>
      </c>
      <c r="Q2412" t="s">
        <v>277</v>
      </c>
      <c r="R2412" t="s">
        <v>191</v>
      </c>
      <c r="S2412" t="s">
        <v>87</v>
      </c>
      <c r="Y2412" t="str">
        <f t="shared" si="790"/>
        <v/>
      </c>
      <c r="Z2412" t="str">
        <f t="shared" si="791"/>
        <v/>
      </c>
      <c r="AC2412" t="str">
        <f t="shared" si="787"/>
        <v>Zone_Entry_Exit</v>
      </c>
      <c r="AD2412" t="str">
        <f t="shared" si="788"/>
        <v>Zone_Entry</v>
      </c>
      <c r="AE2412" t="str">
        <f t="shared" si="789"/>
        <v>ZoneEntry-Rush</v>
      </c>
      <c r="AF2412" t="str">
        <f t="shared" si="792"/>
        <v>Offensive</v>
      </c>
      <c r="AG2412">
        <f t="shared" si="798"/>
        <v>18981</v>
      </c>
      <c r="AH2412" t="str">
        <f t="shared" si="799"/>
        <v>Nelson</v>
      </c>
      <c r="AI2412" t="str">
        <f t="shared" si="800"/>
        <v>Velodrome</v>
      </c>
      <c r="AJ2412" s="18">
        <f t="shared" si="793"/>
        <v>2</v>
      </c>
      <c r="AP2412" s="18">
        <f t="shared" si="794"/>
        <v>0</v>
      </c>
      <c r="AQ2412">
        <f t="shared" si="795"/>
        <v>2160</v>
      </c>
      <c r="AR2412" s="23">
        <f t="shared" si="796"/>
        <v>3223</v>
      </c>
      <c r="AS2412">
        <f t="shared" si="801"/>
        <v>3218</v>
      </c>
      <c r="AT2412" s="21">
        <f t="shared" si="802"/>
        <v>3225</v>
      </c>
      <c r="AU2412" s="21"/>
      <c r="AV2412" s="21"/>
      <c r="AW2412" s="21"/>
    </row>
    <row r="2413" spans="1:49" x14ac:dyDescent="0.2">
      <c r="A2413">
        <v>1289</v>
      </c>
      <c r="E2413">
        <f t="shared" si="797"/>
        <v>3</v>
      </c>
      <c r="J2413" t="str">
        <f t="shared" si="804"/>
        <v>0</v>
      </c>
      <c r="K2413" t="str">
        <f t="shared" si="805"/>
        <v>17</v>
      </c>
      <c r="L2413" t="str">
        <f t="shared" si="806"/>
        <v>0</v>
      </c>
      <c r="M2413" s="6" t="str">
        <f t="shared" si="807"/>
        <v>15</v>
      </c>
      <c r="N2413" t="str">
        <f t="shared" si="803"/>
        <v>Away</v>
      </c>
      <c r="O2413">
        <v>49</v>
      </c>
      <c r="P2413" t="s">
        <v>424</v>
      </c>
      <c r="Y2413" t="str">
        <f t="shared" si="790"/>
        <v/>
      </c>
      <c r="Z2413" t="str">
        <f t="shared" si="791"/>
        <v/>
      </c>
      <c r="AC2413" t="str">
        <f t="shared" si="787"/>
        <v>Zone_Entry_Exit</v>
      </c>
      <c r="AD2413" t="str">
        <f t="shared" si="788"/>
        <v>Zone_Entry</v>
      </c>
      <c r="AE2413" t="str">
        <f t="shared" si="789"/>
        <v>ZoneEntry-Rush</v>
      </c>
      <c r="AF2413" t="str">
        <f t="shared" si="792"/>
        <v>Offensive</v>
      </c>
      <c r="AG2413">
        <f t="shared" si="798"/>
        <v>18981</v>
      </c>
      <c r="AH2413" t="str">
        <f t="shared" si="799"/>
        <v>Nelson</v>
      </c>
      <c r="AI2413" t="str">
        <f t="shared" si="800"/>
        <v>Velodrome</v>
      </c>
      <c r="AJ2413" s="18">
        <f t="shared" si="793"/>
        <v>2</v>
      </c>
      <c r="AP2413" s="18">
        <f t="shared" si="794"/>
        <v>0</v>
      </c>
      <c r="AQ2413">
        <f t="shared" si="795"/>
        <v>2160</v>
      </c>
      <c r="AR2413" s="23">
        <f t="shared" si="796"/>
        <v>3223</v>
      </c>
      <c r="AS2413">
        <f t="shared" si="801"/>
        <v>3218</v>
      </c>
      <c r="AT2413" s="21">
        <f t="shared" si="802"/>
        <v>3225</v>
      </c>
      <c r="AU2413" s="21"/>
      <c r="AV2413" s="21"/>
      <c r="AW2413" s="21"/>
    </row>
    <row r="2414" spans="1:49" x14ac:dyDescent="0.2">
      <c r="A2414">
        <v>1289</v>
      </c>
      <c r="E2414">
        <f t="shared" si="797"/>
        <v>3</v>
      </c>
      <c r="J2414" t="str">
        <f t="shared" si="804"/>
        <v>0</v>
      </c>
      <c r="K2414" t="str">
        <f t="shared" si="805"/>
        <v>17</v>
      </c>
      <c r="L2414" t="str">
        <f t="shared" si="806"/>
        <v>0</v>
      </c>
      <c r="M2414" s="6" t="str">
        <f t="shared" si="807"/>
        <v>15</v>
      </c>
      <c r="N2414" t="str">
        <f t="shared" si="803"/>
        <v>Away</v>
      </c>
      <c r="O2414">
        <v>70</v>
      </c>
      <c r="P2414" t="s">
        <v>424</v>
      </c>
      <c r="Y2414" t="str">
        <f t="shared" si="790"/>
        <v/>
      </c>
      <c r="Z2414" t="str">
        <f t="shared" si="791"/>
        <v/>
      </c>
      <c r="AC2414" t="str">
        <f t="shared" si="787"/>
        <v>Zone_Entry_Exit</v>
      </c>
      <c r="AD2414" t="str">
        <f t="shared" si="788"/>
        <v>Zone_Entry</v>
      </c>
      <c r="AE2414" t="str">
        <f t="shared" si="789"/>
        <v>ZoneEntry-Rush</v>
      </c>
      <c r="AF2414" t="str">
        <f t="shared" si="792"/>
        <v>Offensive</v>
      </c>
      <c r="AG2414">
        <f t="shared" si="798"/>
        <v>18981</v>
      </c>
      <c r="AH2414" t="str">
        <f t="shared" si="799"/>
        <v>Nelson</v>
      </c>
      <c r="AI2414" t="str">
        <f t="shared" si="800"/>
        <v>Velodrome</v>
      </c>
      <c r="AJ2414" s="18">
        <f t="shared" si="793"/>
        <v>2</v>
      </c>
      <c r="AP2414" s="18">
        <f t="shared" si="794"/>
        <v>0</v>
      </c>
      <c r="AQ2414">
        <f t="shared" si="795"/>
        <v>2160</v>
      </c>
      <c r="AR2414" s="23">
        <f t="shared" si="796"/>
        <v>3223</v>
      </c>
      <c r="AS2414">
        <f t="shared" si="801"/>
        <v>3218</v>
      </c>
      <c r="AT2414" s="21">
        <f t="shared" si="802"/>
        <v>3225</v>
      </c>
      <c r="AU2414" s="21"/>
      <c r="AV2414" s="21"/>
      <c r="AW2414" s="21"/>
    </row>
    <row r="2415" spans="1:49" x14ac:dyDescent="0.2">
      <c r="A2415">
        <v>1289</v>
      </c>
      <c r="E2415">
        <f t="shared" si="797"/>
        <v>3</v>
      </c>
      <c r="J2415" t="str">
        <f t="shared" si="804"/>
        <v>0</v>
      </c>
      <c r="K2415" t="str">
        <f t="shared" si="805"/>
        <v>17</v>
      </c>
      <c r="L2415" t="str">
        <f t="shared" si="806"/>
        <v>0</v>
      </c>
      <c r="M2415" s="6" t="str">
        <f t="shared" si="807"/>
        <v>15</v>
      </c>
      <c r="N2415" t="str">
        <f t="shared" si="803"/>
        <v>Away</v>
      </c>
      <c r="O2415">
        <v>37</v>
      </c>
      <c r="P2415" t="s">
        <v>425</v>
      </c>
      <c r="Y2415" t="str">
        <f t="shared" si="790"/>
        <v/>
      </c>
      <c r="Z2415" t="str">
        <f t="shared" si="791"/>
        <v/>
      </c>
      <c r="AC2415" t="str">
        <f t="shared" ref="AC2415:AC2478" si="808">IF(Q2415&lt;&gt;"",Q2415,IF($A2415=$A2414,AC2414,""))</f>
        <v>Zone_Entry_Exit</v>
      </c>
      <c r="AD2415" t="str">
        <f t="shared" ref="AD2415:AD2478" si="809">IF(R2415&lt;&gt;"",R2415,IF($A2415=$A2414,AD2414,""))</f>
        <v>Zone_Entry</v>
      </c>
      <c r="AE2415" t="str">
        <f t="shared" ref="AE2415:AE2478" si="810">IF(S2415&lt;&gt;"",S2415,IF($A2415=$A2414,AE2414,""))</f>
        <v>ZoneEntry-Rush</v>
      </c>
      <c r="AF2415" t="str">
        <f t="shared" si="792"/>
        <v>Defensive</v>
      </c>
      <c r="AG2415">
        <f t="shared" si="798"/>
        <v>18981</v>
      </c>
      <c r="AH2415" t="str">
        <f t="shared" si="799"/>
        <v>Nelson</v>
      </c>
      <c r="AI2415" t="str">
        <f t="shared" si="800"/>
        <v>Velodrome</v>
      </c>
      <c r="AJ2415" s="18">
        <f t="shared" si="793"/>
        <v>2</v>
      </c>
      <c r="AP2415" s="18">
        <f t="shared" si="794"/>
        <v>0</v>
      </c>
      <c r="AQ2415">
        <f t="shared" si="795"/>
        <v>2160</v>
      </c>
      <c r="AR2415" s="23">
        <f t="shared" si="796"/>
        <v>3223</v>
      </c>
      <c r="AS2415">
        <f t="shared" si="801"/>
        <v>3218</v>
      </c>
      <c r="AT2415" s="21">
        <f t="shared" si="802"/>
        <v>3225</v>
      </c>
      <c r="AU2415" s="21"/>
      <c r="AV2415" s="21"/>
      <c r="AW2415" s="21"/>
    </row>
    <row r="2416" spans="1:49" x14ac:dyDescent="0.2">
      <c r="A2416">
        <v>1289</v>
      </c>
      <c r="E2416">
        <f t="shared" si="797"/>
        <v>3</v>
      </c>
      <c r="J2416" t="str">
        <f t="shared" si="804"/>
        <v>0</v>
      </c>
      <c r="K2416" t="str">
        <f t="shared" si="805"/>
        <v>17</v>
      </c>
      <c r="L2416" t="str">
        <f t="shared" si="806"/>
        <v>0</v>
      </c>
      <c r="M2416" s="6" t="str">
        <f t="shared" si="807"/>
        <v>15</v>
      </c>
      <c r="N2416" t="str">
        <f t="shared" si="803"/>
        <v>Away</v>
      </c>
      <c r="O2416">
        <v>8</v>
      </c>
      <c r="P2416" t="s">
        <v>425</v>
      </c>
      <c r="Y2416" t="str">
        <f t="shared" si="790"/>
        <v/>
      </c>
      <c r="Z2416" t="str">
        <f t="shared" si="791"/>
        <v/>
      </c>
      <c r="AC2416" t="str">
        <f t="shared" si="808"/>
        <v>Zone_Entry_Exit</v>
      </c>
      <c r="AD2416" t="str">
        <f t="shared" si="809"/>
        <v>Zone_Entry</v>
      </c>
      <c r="AE2416" t="str">
        <f t="shared" si="810"/>
        <v>ZoneEntry-Rush</v>
      </c>
      <c r="AF2416" t="str">
        <f t="shared" si="792"/>
        <v>Defensive</v>
      </c>
      <c r="AG2416">
        <f t="shared" si="798"/>
        <v>18981</v>
      </c>
      <c r="AH2416" t="str">
        <f t="shared" si="799"/>
        <v>Nelson</v>
      </c>
      <c r="AI2416" t="str">
        <f t="shared" si="800"/>
        <v>Velodrome</v>
      </c>
      <c r="AJ2416" s="18">
        <f t="shared" si="793"/>
        <v>2</v>
      </c>
      <c r="AP2416" s="18">
        <f t="shared" si="794"/>
        <v>0</v>
      </c>
      <c r="AQ2416">
        <f t="shared" si="795"/>
        <v>2160</v>
      </c>
      <c r="AR2416" s="23">
        <f t="shared" si="796"/>
        <v>3223</v>
      </c>
      <c r="AS2416">
        <f t="shared" si="801"/>
        <v>3218</v>
      </c>
      <c r="AT2416" s="21">
        <f t="shared" si="802"/>
        <v>3225</v>
      </c>
      <c r="AU2416" s="21"/>
      <c r="AV2416" s="21"/>
      <c r="AW2416" s="21"/>
    </row>
    <row r="2417" spans="1:49" x14ac:dyDescent="0.2">
      <c r="A2417">
        <v>1289</v>
      </c>
      <c r="E2417">
        <f t="shared" si="797"/>
        <v>3</v>
      </c>
      <c r="J2417" t="str">
        <f t="shared" si="804"/>
        <v>0</v>
      </c>
      <c r="K2417" t="str">
        <f t="shared" si="805"/>
        <v>17</v>
      </c>
      <c r="L2417" t="str">
        <f t="shared" si="806"/>
        <v>0</v>
      </c>
      <c r="M2417" s="6" t="str">
        <f t="shared" si="807"/>
        <v>15</v>
      </c>
      <c r="N2417" t="str">
        <f t="shared" si="803"/>
        <v>Away</v>
      </c>
      <c r="O2417">
        <v>15</v>
      </c>
      <c r="P2417" t="s">
        <v>425</v>
      </c>
      <c r="Y2417" t="str">
        <f t="shared" si="790"/>
        <v/>
      </c>
      <c r="Z2417" t="str">
        <f t="shared" si="791"/>
        <v/>
      </c>
      <c r="AC2417" t="str">
        <f t="shared" si="808"/>
        <v>Zone_Entry_Exit</v>
      </c>
      <c r="AD2417" t="str">
        <f t="shared" si="809"/>
        <v>Zone_Entry</v>
      </c>
      <c r="AE2417" t="str">
        <f t="shared" si="810"/>
        <v>ZoneEntry-Rush</v>
      </c>
      <c r="AF2417" t="str">
        <f t="shared" si="792"/>
        <v>Defensive</v>
      </c>
      <c r="AG2417">
        <f t="shared" si="798"/>
        <v>18981</v>
      </c>
      <c r="AH2417" t="str">
        <f t="shared" si="799"/>
        <v>Nelson</v>
      </c>
      <c r="AI2417" t="str">
        <f t="shared" si="800"/>
        <v>Velodrome</v>
      </c>
      <c r="AJ2417" s="18">
        <f t="shared" si="793"/>
        <v>2</v>
      </c>
      <c r="AP2417" s="18">
        <f t="shared" si="794"/>
        <v>0</v>
      </c>
      <c r="AQ2417">
        <f t="shared" si="795"/>
        <v>2160</v>
      </c>
      <c r="AR2417" s="23">
        <f t="shared" si="796"/>
        <v>3223</v>
      </c>
      <c r="AS2417">
        <f t="shared" si="801"/>
        <v>3218</v>
      </c>
      <c r="AT2417" s="21">
        <f t="shared" si="802"/>
        <v>3225</v>
      </c>
      <c r="AU2417" s="21"/>
      <c r="AV2417" s="21"/>
      <c r="AW2417" s="21"/>
    </row>
    <row r="2418" spans="1:49" x14ac:dyDescent="0.2">
      <c r="A2418">
        <v>1290</v>
      </c>
      <c r="E2418">
        <f t="shared" si="797"/>
        <v>3</v>
      </c>
      <c r="F2418" s="5" t="s">
        <v>532</v>
      </c>
      <c r="G2418" s="5" t="s">
        <v>478</v>
      </c>
      <c r="J2418" t="str">
        <f t="shared" si="804"/>
        <v>0</v>
      </c>
      <c r="K2418" t="str">
        <f t="shared" si="805"/>
        <v>15</v>
      </c>
      <c r="L2418" t="str">
        <f t="shared" si="806"/>
        <v/>
      </c>
      <c r="M2418" s="6" t="str">
        <f t="shared" si="807"/>
        <v/>
      </c>
      <c r="N2418" t="s">
        <v>179</v>
      </c>
      <c r="O2418">
        <v>42</v>
      </c>
      <c r="P2418" t="s">
        <v>424</v>
      </c>
      <c r="Q2418" t="s">
        <v>8</v>
      </c>
      <c r="R2418" t="s">
        <v>199</v>
      </c>
      <c r="S2418" t="s">
        <v>70</v>
      </c>
      <c r="Y2418" t="str">
        <f t="shared" si="790"/>
        <v/>
      </c>
      <c r="Z2418" t="str">
        <f t="shared" si="791"/>
        <v/>
      </c>
      <c r="AC2418" t="str">
        <f t="shared" si="808"/>
        <v>Pass</v>
      </c>
      <c r="AD2418" t="str">
        <f t="shared" si="809"/>
        <v>Pass_Missed</v>
      </c>
      <c r="AE2418" t="str">
        <f t="shared" si="810"/>
        <v>Pass-Forehand</v>
      </c>
      <c r="AF2418" t="str">
        <f t="shared" si="792"/>
        <v>Offensive</v>
      </c>
      <c r="AG2418">
        <f t="shared" si="798"/>
        <v>18981</v>
      </c>
      <c r="AH2418" t="str">
        <f t="shared" si="799"/>
        <v>Nelson</v>
      </c>
      <c r="AI2418" t="str">
        <f t="shared" si="800"/>
        <v>Velodrome</v>
      </c>
      <c r="AJ2418" s="18">
        <f t="shared" si="793"/>
        <v>0</v>
      </c>
      <c r="AP2418" s="18">
        <f t="shared" si="794"/>
        <v>0</v>
      </c>
      <c r="AQ2418">
        <f t="shared" si="795"/>
        <v>2160</v>
      </c>
      <c r="AR2418" s="23">
        <f t="shared" si="796"/>
        <v>3225</v>
      </c>
      <c r="AS2418">
        <f t="shared" si="801"/>
        <v>3220</v>
      </c>
      <c r="AT2418" s="21">
        <f t="shared" si="802"/>
        <v>3225</v>
      </c>
      <c r="AU2418" s="21"/>
      <c r="AV2418" s="21"/>
      <c r="AW2418" s="21"/>
    </row>
    <row r="2419" spans="1:49" x14ac:dyDescent="0.2">
      <c r="A2419">
        <v>1290</v>
      </c>
      <c r="E2419">
        <f t="shared" si="797"/>
        <v>3</v>
      </c>
      <c r="J2419" t="str">
        <f t="shared" si="804"/>
        <v>0</v>
      </c>
      <c r="K2419" t="str">
        <f t="shared" si="805"/>
        <v>15</v>
      </c>
      <c r="L2419" t="str">
        <f t="shared" si="806"/>
        <v/>
      </c>
      <c r="M2419" s="6" t="str">
        <f t="shared" si="807"/>
        <v/>
      </c>
      <c r="N2419" t="str">
        <f t="shared" si="803"/>
        <v>Away</v>
      </c>
      <c r="O2419">
        <v>49</v>
      </c>
      <c r="P2419" t="s">
        <v>424</v>
      </c>
      <c r="Y2419" t="str">
        <f t="shared" si="790"/>
        <v/>
      </c>
      <c r="Z2419" t="str">
        <f t="shared" si="791"/>
        <v/>
      </c>
      <c r="AC2419" t="str">
        <f t="shared" si="808"/>
        <v>Pass</v>
      </c>
      <c r="AD2419" t="str">
        <f t="shared" si="809"/>
        <v>Pass_Missed</v>
      </c>
      <c r="AE2419" t="str">
        <f t="shared" si="810"/>
        <v>Pass-Forehand</v>
      </c>
      <c r="AF2419" t="str">
        <f t="shared" si="792"/>
        <v>Offensive</v>
      </c>
      <c r="AG2419">
        <f t="shared" si="798"/>
        <v>18981</v>
      </c>
      <c r="AH2419" t="str">
        <f t="shared" si="799"/>
        <v>Nelson</v>
      </c>
      <c r="AI2419" t="str">
        <f t="shared" si="800"/>
        <v>Velodrome</v>
      </c>
      <c r="AJ2419" s="18">
        <f t="shared" si="793"/>
        <v>0</v>
      </c>
      <c r="AP2419" s="18">
        <f t="shared" si="794"/>
        <v>0</v>
      </c>
      <c r="AQ2419">
        <f t="shared" si="795"/>
        <v>2160</v>
      </c>
      <c r="AR2419" s="23">
        <f t="shared" si="796"/>
        <v>3225</v>
      </c>
      <c r="AS2419">
        <f t="shared" si="801"/>
        <v>3220</v>
      </c>
      <c r="AT2419" s="21">
        <f t="shared" si="802"/>
        <v>3225</v>
      </c>
      <c r="AU2419" s="21"/>
      <c r="AV2419" s="21"/>
      <c r="AW2419" s="21"/>
    </row>
    <row r="2420" spans="1:49" x14ac:dyDescent="0.2">
      <c r="A2420">
        <v>1290</v>
      </c>
      <c r="E2420">
        <f t="shared" si="797"/>
        <v>3</v>
      </c>
      <c r="J2420" t="str">
        <f t="shared" si="804"/>
        <v>0</v>
      </c>
      <c r="K2420" t="str">
        <f t="shared" si="805"/>
        <v>15</v>
      </c>
      <c r="L2420" t="str">
        <f t="shared" si="806"/>
        <v/>
      </c>
      <c r="M2420" s="6" t="str">
        <f t="shared" si="807"/>
        <v/>
      </c>
      <c r="N2420" t="str">
        <f t="shared" si="803"/>
        <v>Away</v>
      </c>
      <c r="O2420">
        <v>15</v>
      </c>
      <c r="P2420" t="s">
        <v>425</v>
      </c>
      <c r="Y2420" t="str">
        <f t="shared" si="790"/>
        <v/>
      </c>
      <c r="Z2420" t="str">
        <f t="shared" si="791"/>
        <v/>
      </c>
      <c r="AC2420" t="str">
        <f t="shared" si="808"/>
        <v>Pass</v>
      </c>
      <c r="AD2420" t="str">
        <f t="shared" si="809"/>
        <v>Pass_Missed</v>
      </c>
      <c r="AE2420" t="str">
        <f t="shared" si="810"/>
        <v>Pass-Forehand</v>
      </c>
      <c r="AF2420" t="str">
        <f t="shared" si="792"/>
        <v>Defensive</v>
      </c>
      <c r="AG2420">
        <f t="shared" si="798"/>
        <v>18981</v>
      </c>
      <c r="AH2420" t="str">
        <f t="shared" si="799"/>
        <v>Nelson</v>
      </c>
      <c r="AI2420" t="str">
        <f t="shared" si="800"/>
        <v>Velodrome</v>
      </c>
      <c r="AJ2420" s="18">
        <f t="shared" si="793"/>
        <v>0</v>
      </c>
      <c r="AP2420" s="18">
        <f t="shared" si="794"/>
        <v>0</v>
      </c>
      <c r="AQ2420">
        <f t="shared" si="795"/>
        <v>2160</v>
      </c>
      <c r="AR2420" s="23">
        <f t="shared" si="796"/>
        <v>3225</v>
      </c>
      <c r="AS2420">
        <f t="shared" si="801"/>
        <v>3220</v>
      </c>
      <c r="AT2420" s="21">
        <f t="shared" si="802"/>
        <v>3225</v>
      </c>
      <c r="AU2420" s="21"/>
      <c r="AV2420" s="21"/>
      <c r="AW2420" s="21"/>
    </row>
    <row r="2421" spans="1:49" x14ac:dyDescent="0.2">
      <c r="A2421">
        <v>1291</v>
      </c>
      <c r="E2421">
        <f t="shared" si="797"/>
        <v>3</v>
      </c>
      <c r="F2421" s="5" t="s">
        <v>532</v>
      </c>
      <c r="G2421" s="5" t="s">
        <v>478</v>
      </c>
      <c r="J2421" t="str">
        <f t="shared" si="804"/>
        <v>0</v>
      </c>
      <c r="K2421" t="str">
        <f t="shared" si="805"/>
        <v>15</v>
      </c>
      <c r="L2421" t="str">
        <f t="shared" si="806"/>
        <v/>
      </c>
      <c r="M2421" s="6" t="str">
        <f t="shared" si="807"/>
        <v/>
      </c>
      <c r="N2421" t="s">
        <v>178</v>
      </c>
      <c r="O2421">
        <v>15</v>
      </c>
      <c r="P2421" t="s">
        <v>424</v>
      </c>
      <c r="Q2421" t="s">
        <v>277</v>
      </c>
      <c r="R2421" t="s">
        <v>201</v>
      </c>
      <c r="S2421" t="s">
        <v>435</v>
      </c>
      <c r="Y2421" t="str">
        <f t="shared" si="790"/>
        <v/>
      </c>
      <c r="Z2421" t="str">
        <f t="shared" si="791"/>
        <v/>
      </c>
      <c r="AC2421" t="str">
        <f t="shared" si="808"/>
        <v>Zone_Entry_Exit</v>
      </c>
      <c r="AD2421" t="str">
        <f t="shared" si="809"/>
        <v>Zone_Exit</v>
      </c>
      <c r="AE2421" t="str">
        <f t="shared" si="810"/>
        <v>ZoneExit-OppTeam</v>
      </c>
      <c r="AF2421" t="str">
        <f t="shared" si="792"/>
        <v>Offensive</v>
      </c>
      <c r="AG2421">
        <f t="shared" si="798"/>
        <v>18981</v>
      </c>
      <c r="AH2421" t="str">
        <f t="shared" si="799"/>
        <v>Nelson</v>
      </c>
      <c r="AI2421" t="str">
        <f t="shared" si="800"/>
        <v>Velodrome</v>
      </c>
      <c r="AJ2421" s="18">
        <f t="shared" si="793"/>
        <v>0</v>
      </c>
      <c r="AP2421" s="18">
        <f t="shared" si="794"/>
        <v>0</v>
      </c>
      <c r="AQ2421">
        <f t="shared" si="795"/>
        <v>2160</v>
      </c>
      <c r="AR2421" s="23">
        <f t="shared" si="796"/>
        <v>3225</v>
      </c>
      <c r="AS2421">
        <f t="shared" si="801"/>
        <v>3220</v>
      </c>
      <c r="AT2421" s="21">
        <f t="shared" si="802"/>
        <v>3225</v>
      </c>
      <c r="AU2421" s="21"/>
      <c r="AV2421" s="21"/>
      <c r="AW2421" s="21"/>
    </row>
    <row r="2422" spans="1:49" x14ac:dyDescent="0.2">
      <c r="A2422">
        <v>1291</v>
      </c>
      <c r="E2422">
        <f t="shared" si="797"/>
        <v>3</v>
      </c>
      <c r="J2422" t="str">
        <f t="shared" si="804"/>
        <v>0</v>
      </c>
      <c r="K2422" t="str">
        <f t="shared" si="805"/>
        <v>15</v>
      </c>
      <c r="L2422" t="str">
        <f t="shared" si="806"/>
        <v/>
      </c>
      <c r="M2422" s="6" t="str">
        <f t="shared" si="807"/>
        <v/>
      </c>
      <c r="N2422" t="str">
        <f t="shared" si="803"/>
        <v>Home</v>
      </c>
      <c r="O2422">
        <v>42</v>
      </c>
      <c r="P2422" t="s">
        <v>425</v>
      </c>
      <c r="Y2422" t="str">
        <f t="shared" si="790"/>
        <v/>
      </c>
      <c r="Z2422" t="str">
        <f t="shared" si="791"/>
        <v/>
      </c>
      <c r="AC2422" t="str">
        <f t="shared" si="808"/>
        <v>Zone_Entry_Exit</v>
      </c>
      <c r="AD2422" t="str">
        <f t="shared" si="809"/>
        <v>Zone_Exit</v>
      </c>
      <c r="AE2422" t="str">
        <f t="shared" si="810"/>
        <v>ZoneExit-OppTeam</v>
      </c>
      <c r="AF2422" t="str">
        <f t="shared" si="792"/>
        <v>Defensive</v>
      </c>
      <c r="AG2422">
        <f t="shared" si="798"/>
        <v>18981</v>
      </c>
      <c r="AH2422" t="str">
        <f t="shared" si="799"/>
        <v>Nelson</v>
      </c>
      <c r="AI2422" t="str">
        <f t="shared" si="800"/>
        <v>Velodrome</v>
      </c>
      <c r="AJ2422" s="18">
        <f t="shared" si="793"/>
        <v>0</v>
      </c>
      <c r="AP2422" s="18">
        <f t="shared" si="794"/>
        <v>0</v>
      </c>
      <c r="AQ2422">
        <f t="shared" si="795"/>
        <v>2160</v>
      </c>
      <c r="AR2422" s="23">
        <f t="shared" si="796"/>
        <v>3225</v>
      </c>
      <c r="AS2422">
        <f t="shared" si="801"/>
        <v>3220</v>
      </c>
      <c r="AT2422" s="21">
        <f t="shared" si="802"/>
        <v>3225</v>
      </c>
      <c r="AU2422" s="21"/>
      <c r="AV2422" s="21"/>
      <c r="AW2422" s="21"/>
    </row>
    <row r="2423" spans="1:49" x14ac:dyDescent="0.2">
      <c r="A2423">
        <v>1291</v>
      </c>
      <c r="E2423">
        <f t="shared" si="797"/>
        <v>3</v>
      </c>
      <c r="J2423" t="str">
        <f t="shared" si="804"/>
        <v>0</v>
      </c>
      <c r="K2423" t="str">
        <f t="shared" si="805"/>
        <v>15</v>
      </c>
      <c r="L2423" t="str">
        <f t="shared" si="806"/>
        <v/>
      </c>
      <c r="M2423" s="6" t="str">
        <f t="shared" si="807"/>
        <v/>
      </c>
      <c r="N2423" t="str">
        <f t="shared" si="803"/>
        <v>Home</v>
      </c>
      <c r="O2423">
        <v>49</v>
      </c>
      <c r="P2423" t="s">
        <v>425</v>
      </c>
      <c r="Y2423" t="str">
        <f t="shared" si="790"/>
        <v/>
      </c>
      <c r="Z2423" t="str">
        <f t="shared" si="791"/>
        <v/>
      </c>
      <c r="AC2423" t="str">
        <f t="shared" si="808"/>
        <v>Zone_Entry_Exit</v>
      </c>
      <c r="AD2423" t="str">
        <f t="shared" si="809"/>
        <v>Zone_Exit</v>
      </c>
      <c r="AE2423" t="str">
        <f t="shared" si="810"/>
        <v>ZoneExit-OppTeam</v>
      </c>
      <c r="AF2423" t="str">
        <f t="shared" si="792"/>
        <v>Defensive</v>
      </c>
      <c r="AG2423">
        <f t="shared" si="798"/>
        <v>18981</v>
      </c>
      <c r="AH2423" t="str">
        <f t="shared" si="799"/>
        <v>Nelson</v>
      </c>
      <c r="AI2423" t="str">
        <f t="shared" si="800"/>
        <v>Velodrome</v>
      </c>
      <c r="AJ2423" s="18">
        <f t="shared" si="793"/>
        <v>0</v>
      </c>
      <c r="AP2423" s="18">
        <f t="shared" si="794"/>
        <v>0</v>
      </c>
      <c r="AQ2423">
        <f t="shared" si="795"/>
        <v>2160</v>
      </c>
      <c r="AR2423" s="23">
        <f t="shared" si="796"/>
        <v>3225</v>
      </c>
      <c r="AS2423">
        <f t="shared" si="801"/>
        <v>3220</v>
      </c>
      <c r="AT2423" s="21">
        <f t="shared" si="802"/>
        <v>3225</v>
      </c>
      <c r="AU2423" s="21"/>
      <c r="AV2423" s="21"/>
      <c r="AW2423" s="21"/>
    </row>
    <row r="2424" spans="1:49" x14ac:dyDescent="0.2">
      <c r="A2424">
        <v>1292</v>
      </c>
      <c r="E2424">
        <f t="shared" si="797"/>
        <v>3</v>
      </c>
      <c r="F2424" s="5" t="s">
        <v>532</v>
      </c>
      <c r="G2424" s="5" t="s">
        <v>484</v>
      </c>
      <c r="J2424" t="str">
        <f t="shared" si="804"/>
        <v>0</v>
      </c>
      <c r="K2424" t="str">
        <f t="shared" si="805"/>
        <v>09</v>
      </c>
      <c r="L2424" t="str">
        <f t="shared" si="806"/>
        <v/>
      </c>
      <c r="M2424" s="6" t="str">
        <f t="shared" si="807"/>
        <v/>
      </c>
      <c r="N2424" t="s">
        <v>179</v>
      </c>
      <c r="O2424">
        <v>52</v>
      </c>
      <c r="P2424" t="s">
        <v>424</v>
      </c>
      <c r="Q2424" t="s">
        <v>277</v>
      </c>
      <c r="R2424" t="s">
        <v>191</v>
      </c>
      <c r="S2424" t="s">
        <v>89</v>
      </c>
      <c r="Y2424" t="str">
        <f t="shared" si="790"/>
        <v/>
      </c>
      <c r="Z2424" t="str">
        <f t="shared" si="791"/>
        <v/>
      </c>
      <c r="AC2424" t="str">
        <f t="shared" si="808"/>
        <v>Zone_Entry_Exit</v>
      </c>
      <c r="AD2424" t="str">
        <f t="shared" si="809"/>
        <v>Zone_Entry</v>
      </c>
      <c r="AE2424" t="str">
        <f t="shared" si="810"/>
        <v>ZoneEntry-DumpIn</v>
      </c>
      <c r="AF2424" t="str">
        <f t="shared" si="792"/>
        <v>Offensive</v>
      </c>
      <c r="AG2424">
        <f t="shared" si="798"/>
        <v>18981</v>
      </c>
      <c r="AH2424" t="str">
        <f t="shared" si="799"/>
        <v>Nelson</v>
      </c>
      <c r="AI2424" t="str">
        <f t="shared" si="800"/>
        <v>Velodrome</v>
      </c>
      <c r="AJ2424" s="18">
        <f t="shared" si="793"/>
        <v>0</v>
      </c>
      <c r="AP2424" s="18">
        <f t="shared" si="794"/>
        <v>0</v>
      </c>
      <c r="AQ2424">
        <f t="shared" si="795"/>
        <v>2160</v>
      </c>
      <c r="AR2424" s="23">
        <f t="shared" si="796"/>
        <v>3231</v>
      </c>
      <c r="AS2424">
        <f t="shared" si="801"/>
        <v>3226</v>
      </c>
      <c r="AT2424" s="21">
        <f t="shared" si="802"/>
        <v>3231</v>
      </c>
      <c r="AU2424" s="21"/>
      <c r="AV2424" s="21"/>
      <c r="AW2424" s="21"/>
    </row>
    <row r="2425" spans="1:49" x14ac:dyDescent="0.2">
      <c r="A2425">
        <v>1293</v>
      </c>
      <c r="E2425">
        <f t="shared" si="797"/>
        <v>3</v>
      </c>
      <c r="F2425" s="5" t="s">
        <v>532</v>
      </c>
      <c r="G2425" s="5" t="s">
        <v>484</v>
      </c>
      <c r="J2425" t="str">
        <f t="shared" si="804"/>
        <v>0</v>
      </c>
      <c r="K2425" t="str">
        <f t="shared" si="805"/>
        <v>09</v>
      </c>
      <c r="L2425" t="str">
        <f t="shared" si="806"/>
        <v/>
      </c>
      <c r="M2425" s="6" t="str">
        <f t="shared" si="807"/>
        <v/>
      </c>
      <c r="N2425" t="s">
        <v>179</v>
      </c>
      <c r="O2425">
        <v>52</v>
      </c>
      <c r="P2425" t="s">
        <v>424</v>
      </c>
      <c r="Q2425" t="s">
        <v>10</v>
      </c>
      <c r="R2425" t="s">
        <v>190</v>
      </c>
      <c r="S2425" t="s">
        <v>422</v>
      </c>
      <c r="Y2425" t="str">
        <f t="shared" si="790"/>
        <v/>
      </c>
      <c r="Z2425" t="str">
        <f t="shared" si="791"/>
        <v/>
      </c>
      <c r="AC2425" t="str">
        <f t="shared" si="808"/>
        <v>Turnover</v>
      </c>
      <c r="AD2425" t="str">
        <f t="shared" si="809"/>
        <v>Turnover_Giveaway</v>
      </c>
      <c r="AE2425" t="str">
        <f t="shared" si="810"/>
        <v>Giveaway-AttemptedZoneClear/Dump</v>
      </c>
      <c r="AF2425" t="str">
        <f t="shared" si="792"/>
        <v>Offensive</v>
      </c>
      <c r="AG2425">
        <f t="shared" si="798"/>
        <v>18981</v>
      </c>
      <c r="AH2425" t="str">
        <f t="shared" si="799"/>
        <v>Nelson</v>
      </c>
      <c r="AI2425" t="str">
        <f t="shared" si="800"/>
        <v>Velodrome</v>
      </c>
      <c r="AJ2425" s="18">
        <f t="shared" si="793"/>
        <v>0</v>
      </c>
      <c r="AP2425" s="18">
        <f t="shared" si="794"/>
        <v>0</v>
      </c>
      <c r="AQ2425">
        <f t="shared" si="795"/>
        <v>2160</v>
      </c>
      <c r="AR2425" s="23">
        <f t="shared" si="796"/>
        <v>3231</v>
      </c>
      <c r="AS2425">
        <f t="shared" si="801"/>
        <v>3226</v>
      </c>
      <c r="AT2425" s="21">
        <f t="shared" si="802"/>
        <v>3231</v>
      </c>
      <c r="AU2425" s="21"/>
      <c r="AV2425" s="21"/>
      <c r="AW2425" s="21"/>
    </row>
    <row r="2426" spans="1:49" x14ac:dyDescent="0.2">
      <c r="A2426">
        <v>1294</v>
      </c>
      <c r="E2426">
        <f t="shared" si="797"/>
        <v>3</v>
      </c>
      <c r="F2426" s="5" t="s">
        <v>532</v>
      </c>
      <c r="G2426" s="5" t="s">
        <v>482</v>
      </c>
      <c r="J2426" t="str">
        <f t="shared" si="804"/>
        <v>0</v>
      </c>
      <c r="K2426" t="str">
        <f t="shared" si="805"/>
        <v>07</v>
      </c>
      <c r="L2426" t="str">
        <f t="shared" si="806"/>
        <v/>
      </c>
      <c r="M2426" s="6" t="str">
        <f t="shared" si="807"/>
        <v/>
      </c>
      <c r="N2426" t="s">
        <v>178</v>
      </c>
      <c r="O2426">
        <v>37</v>
      </c>
      <c r="P2426" t="s">
        <v>424</v>
      </c>
      <c r="Q2426" t="s">
        <v>277</v>
      </c>
      <c r="R2426" t="s">
        <v>201</v>
      </c>
      <c r="S2426" t="s">
        <v>92</v>
      </c>
      <c r="Y2426" t="str">
        <f t="shared" si="790"/>
        <v/>
      </c>
      <c r="Z2426" t="str">
        <f t="shared" si="791"/>
        <v/>
      </c>
      <c r="AC2426" t="str">
        <f t="shared" si="808"/>
        <v>Zone_Entry_Exit</v>
      </c>
      <c r="AD2426" t="str">
        <f t="shared" si="809"/>
        <v>Zone_Exit</v>
      </c>
      <c r="AE2426" t="str">
        <f t="shared" si="810"/>
        <v>ZoneExit-Clear</v>
      </c>
      <c r="AF2426" t="str">
        <f t="shared" si="792"/>
        <v>Offensive</v>
      </c>
      <c r="AG2426">
        <f t="shared" si="798"/>
        <v>18981</v>
      </c>
      <c r="AH2426" t="str">
        <f t="shared" si="799"/>
        <v>Nelson</v>
      </c>
      <c r="AI2426" t="str">
        <f t="shared" si="800"/>
        <v>Velodrome</v>
      </c>
      <c r="AJ2426" s="18">
        <f t="shared" si="793"/>
        <v>0</v>
      </c>
      <c r="AP2426" s="18">
        <f t="shared" si="794"/>
        <v>0</v>
      </c>
      <c r="AQ2426">
        <f t="shared" si="795"/>
        <v>2160</v>
      </c>
      <c r="AR2426" s="23">
        <f t="shared" si="796"/>
        <v>3233</v>
      </c>
      <c r="AS2426">
        <f t="shared" si="801"/>
        <v>3228</v>
      </c>
      <c r="AT2426" s="21">
        <f t="shared" si="802"/>
        <v>3233</v>
      </c>
      <c r="AU2426" s="21"/>
      <c r="AV2426" s="21"/>
      <c r="AW2426" s="21"/>
    </row>
    <row r="2427" spans="1:49" x14ac:dyDescent="0.2">
      <c r="A2427">
        <v>1295</v>
      </c>
      <c r="E2427">
        <f t="shared" si="797"/>
        <v>3</v>
      </c>
      <c r="F2427" s="5" t="s">
        <v>532</v>
      </c>
      <c r="G2427" s="5" t="s">
        <v>482</v>
      </c>
      <c r="J2427" t="str">
        <f t="shared" si="804"/>
        <v>0</v>
      </c>
      <c r="K2427" t="str">
        <f t="shared" si="805"/>
        <v>07</v>
      </c>
      <c r="L2427" t="str">
        <f t="shared" si="806"/>
        <v/>
      </c>
      <c r="M2427" s="6" t="str">
        <f t="shared" si="807"/>
        <v/>
      </c>
      <c r="N2427" t="s">
        <v>178</v>
      </c>
      <c r="O2427">
        <v>37</v>
      </c>
      <c r="P2427" t="s">
        <v>424</v>
      </c>
      <c r="Q2427" t="s">
        <v>277</v>
      </c>
      <c r="R2427" t="s">
        <v>191</v>
      </c>
      <c r="S2427" t="s">
        <v>432</v>
      </c>
      <c r="Y2427" t="str">
        <f t="shared" si="790"/>
        <v/>
      </c>
      <c r="Z2427" t="str">
        <f t="shared" si="791"/>
        <v/>
      </c>
      <c r="AC2427" t="str">
        <f t="shared" si="808"/>
        <v>Zone_Entry_Exit</v>
      </c>
      <c r="AD2427" t="str">
        <f t="shared" si="809"/>
        <v>Zone_Entry</v>
      </c>
      <c r="AE2427" t="str">
        <f t="shared" si="810"/>
        <v>ZoneEntry-FromExitClear</v>
      </c>
      <c r="AF2427" t="str">
        <f t="shared" si="792"/>
        <v>Offensive</v>
      </c>
      <c r="AG2427">
        <f t="shared" si="798"/>
        <v>18981</v>
      </c>
      <c r="AH2427" t="str">
        <f t="shared" si="799"/>
        <v>Nelson</v>
      </c>
      <c r="AI2427" t="str">
        <f t="shared" si="800"/>
        <v>Velodrome</v>
      </c>
      <c r="AJ2427" s="18">
        <f t="shared" si="793"/>
        <v>0</v>
      </c>
      <c r="AP2427" s="18">
        <f t="shared" si="794"/>
        <v>0</v>
      </c>
      <c r="AQ2427">
        <f t="shared" si="795"/>
        <v>2160</v>
      </c>
      <c r="AR2427" s="23">
        <f t="shared" si="796"/>
        <v>3233</v>
      </c>
      <c r="AS2427">
        <f t="shared" si="801"/>
        <v>3228</v>
      </c>
      <c r="AT2427" s="21">
        <f t="shared" si="802"/>
        <v>3233</v>
      </c>
      <c r="AU2427" s="21"/>
      <c r="AV2427" s="21"/>
      <c r="AW2427" s="21"/>
    </row>
    <row r="2428" spans="1:49" x14ac:dyDescent="0.2">
      <c r="A2428">
        <v>1296</v>
      </c>
      <c r="E2428">
        <f t="shared" si="797"/>
        <v>3</v>
      </c>
      <c r="F2428" s="5" t="s">
        <v>532</v>
      </c>
      <c r="G2428" s="5" t="s">
        <v>475</v>
      </c>
      <c r="J2428" t="str">
        <f t="shared" si="804"/>
        <v>0</v>
      </c>
      <c r="K2428" t="str">
        <f t="shared" si="805"/>
        <v>00</v>
      </c>
      <c r="L2428" t="str">
        <f t="shared" si="806"/>
        <v/>
      </c>
      <c r="M2428" s="6" t="str">
        <f t="shared" si="807"/>
        <v/>
      </c>
      <c r="N2428" t="str">
        <f t="shared" si="803"/>
        <v/>
      </c>
      <c r="Q2428" t="s">
        <v>13</v>
      </c>
      <c r="R2428" t="s">
        <v>459</v>
      </c>
      <c r="Y2428" t="str">
        <f t="shared" si="790"/>
        <v/>
      </c>
      <c r="Z2428" t="str">
        <f t="shared" si="791"/>
        <v/>
      </c>
      <c r="AC2428" t="str">
        <f t="shared" si="808"/>
        <v>Stoppage</v>
      </c>
      <c r="AD2428" t="str">
        <f t="shared" si="809"/>
        <v>Stoppage_GameEnd</v>
      </c>
      <c r="AE2428" t="str">
        <f t="shared" si="810"/>
        <v/>
      </c>
      <c r="AF2428" t="str">
        <f t="shared" si="792"/>
        <v/>
      </c>
      <c r="AG2428">
        <f t="shared" si="798"/>
        <v>18981</v>
      </c>
      <c r="AH2428" t="str">
        <f t="shared" si="799"/>
        <v>Nelson</v>
      </c>
      <c r="AI2428" t="str">
        <f t="shared" si="800"/>
        <v>Velodrome</v>
      </c>
      <c r="AJ2428" s="18">
        <f t="shared" si="793"/>
        <v>0</v>
      </c>
      <c r="AP2428" s="18">
        <f t="shared" si="794"/>
        <v>0</v>
      </c>
      <c r="AQ2428">
        <f t="shared" si="795"/>
        <v>2160</v>
      </c>
      <c r="AR2428" s="23">
        <f t="shared" si="796"/>
        <v>3240</v>
      </c>
      <c r="AS2428">
        <f t="shared" si="801"/>
        <v>3235</v>
      </c>
      <c r="AT2428" s="21">
        <f t="shared" si="802"/>
        <v>3240</v>
      </c>
      <c r="AU2428" s="21"/>
      <c r="AV2428" s="21"/>
      <c r="AW2428" s="21"/>
    </row>
    <row r="2429" spans="1:49" x14ac:dyDescent="0.2">
      <c r="A2429">
        <v>1297</v>
      </c>
      <c r="E2429">
        <f t="shared" si="797"/>
        <v>3</v>
      </c>
      <c r="F2429" s="5" t="s">
        <v>532</v>
      </c>
      <c r="G2429" s="5" t="s">
        <v>475</v>
      </c>
      <c r="J2429" t="str">
        <f t="shared" si="804"/>
        <v>0</v>
      </c>
      <c r="K2429" t="str">
        <f t="shared" si="805"/>
        <v>00</v>
      </c>
      <c r="L2429" t="str">
        <f t="shared" si="806"/>
        <v/>
      </c>
      <c r="M2429" s="6" t="str">
        <f t="shared" si="807"/>
        <v/>
      </c>
      <c r="N2429" t="str">
        <f t="shared" si="803"/>
        <v/>
      </c>
      <c r="Q2429" t="s">
        <v>457</v>
      </c>
      <c r="Y2429" t="str">
        <f t="shared" si="790"/>
        <v/>
      </c>
      <c r="Z2429" t="str">
        <f t="shared" si="791"/>
        <v/>
      </c>
      <c r="AC2429" t="str">
        <f t="shared" si="808"/>
        <v>GameEnd</v>
      </c>
      <c r="AD2429" t="str">
        <f t="shared" si="809"/>
        <v/>
      </c>
      <c r="AE2429" t="str">
        <f t="shared" si="810"/>
        <v/>
      </c>
      <c r="AF2429" t="str">
        <f t="shared" si="792"/>
        <v/>
      </c>
      <c r="AG2429">
        <f t="shared" si="798"/>
        <v>18981</v>
      </c>
      <c r="AH2429" t="str">
        <f t="shared" si="799"/>
        <v>Nelson</v>
      </c>
      <c r="AI2429" t="str">
        <f t="shared" si="800"/>
        <v>Velodrome</v>
      </c>
      <c r="AJ2429" s="18">
        <f t="shared" si="793"/>
        <v>0</v>
      </c>
      <c r="AP2429" s="18">
        <f t="shared" si="794"/>
        <v>0</v>
      </c>
      <c r="AQ2429">
        <f t="shared" si="795"/>
        <v>2160</v>
      </c>
      <c r="AR2429" s="23">
        <f t="shared" si="796"/>
        <v>3240</v>
      </c>
      <c r="AS2429">
        <f t="shared" si="801"/>
        <v>3235</v>
      </c>
      <c r="AT2429" s="21">
        <f t="shared" si="802"/>
        <v>3240</v>
      </c>
      <c r="AU2429" s="21"/>
      <c r="AV2429" s="21"/>
      <c r="AW2429" s="21"/>
    </row>
    <row r="2430" spans="1:49" x14ac:dyDescent="0.2">
      <c r="E2430">
        <f t="shared" si="797"/>
        <v>3</v>
      </c>
      <c r="K2430">
        <f t="shared" si="805"/>
        <v>0</v>
      </c>
      <c r="L2430" t="str">
        <f t="shared" si="806"/>
        <v/>
      </c>
      <c r="M2430" s="6" t="str">
        <f t="shared" si="807"/>
        <v/>
      </c>
      <c r="N2430" t="str">
        <f t="shared" si="803"/>
        <v/>
      </c>
      <c r="Y2430" t="str">
        <f t="shared" si="790"/>
        <v/>
      </c>
      <c r="Z2430" t="str">
        <f t="shared" si="791"/>
        <v/>
      </c>
      <c r="AC2430" t="str">
        <f t="shared" si="808"/>
        <v/>
      </c>
      <c r="AD2430" t="str">
        <f t="shared" si="809"/>
        <v/>
      </c>
      <c r="AE2430" t="str">
        <f t="shared" si="810"/>
        <v/>
      </c>
      <c r="AF2430" t="str">
        <f t="shared" si="792"/>
        <v/>
      </c>
      <c r="AG2430">
        <f t="shared" si="798"/>
        <v>18981</v>
      </c>
      <c r="AH2430" t="str">
        <f t="shared" si="799"/>
        <v>Nelson</v>
      </c>
      <c r="AI2430" t="str">
        <f t="shared" si="800"/>
        <v>Velodrome</v>
      </c>
      <c r="AJ2430" s="18">
        <f t="shared" si="793"/>
        <v>0</v>
      </c>
      <c r="AP2430" s="18">
        <f t="shared" si="794"/>
        <v>0</v>
      </c>
      <c r="AQ2430">
        <f t="shared" si="795"/>
        <v>2160</v>
      </c>
      <c r="AR2430" s="23">
        <f t="shared" si="796"/>
        <v>3240</v>
      </c>
      <c r="AS2430">
        <f t="shared" si="801"/>
        <v>3235</v>
      </c>
      <c r="AT2430" s="21">
        <f t="shared" si="802"/>
        <v>3240</v>
      </c>
      <c r="AU2430" s="21"/>
      <c r="AV2430" s="21"/>
      <c r="AW2430" s="21"/>
    </row>
    <row r="2431" spans="1:49" x14ac:dyDescent="0.2">
      <c r="E2431">
        <f t="shared" si="797"/>
        <v>3</v>
      </c>
      <c r="J2431">
        <f t="shared" si="804"/>
        <v>0</v>
      </c>
      <c r="K2431">
        <f t="shared" si="805"/>
        <v>0</v>
      </c>
      <c r="L2431" t="str">
        <f t="shared" si="806"/>
        <v/>
      </c>
      <c r="M2431" s="6" t="str">
        <f t="shared" si="807"/>
        <v/>
      </c>
      <c r="N2431" t="str">
        <f t="shared" si="803"/>
        <v/>
      </c>
      <c r="Y2431" t="str">
        <f t="shared" si="790"/>
        <v/>
      </c>
      <c r="Z2431" t="str">
        <f t="shared" si="791"/>
        <v/>
      </c>
      <c r="AC2431" t="str">
        <f t="shared" si="808"/>
        <v/>
      </c>
      <c r="AD2431" t="str">
        <f t="shared" si="809"/>
        <v/>
      </c>
      <c r="AE2431" t="str">
        <f t="shared" si="810"/>
        <v/>
      </c>
      <c r="AF2431" t="str">
        <f t="shared" si="792"/>
        <v/>
      </c>
      <c r="AG2431">
        <f t="shared" si="798"/>
        <v>18981</v>
      </c>
      <c r="AH2431" t="str">
        <f t="shared" si="799"/>
        <v>Nelson</v>
      </c>
      <c r="AI2431" t="str">
        <f t="shared" si="800"/>
        <v>Velodrome</v>
      </c>
      <c r="AJ2431" s="18">
        <f t="shared" si="793"/>
        <v>0</v>
      </c>
      <c r="AP2431" s="18">
        <f t="shared" si="794"/>
        <v>0</v>
      </c>
      <c r="AQ2431">
        <f t="shared" si="795"/>
        <v>2160</v>
      </c>
      <c r="AR2431" s="23">
        <f t="shared" si="796"/>
        <v>3240</v>
      </c>
      <c r="AS2431">
        <f t="shared" si="801"/>
        <v>3235</v>
      </c>
      <c r="AT2431" s="21">
        <f t="shared" si="802"/>
        <v>3240</v>
      </c>
      <c r="AU2431" s="21"/>
      <c r="AV2431" s="21"/>
      <c r="AW2431" s="21"/>
    </row>
    <row r="2432" spans="1:49" x14ac:dyDescent="0.2">
      <c r="E2432">
        <f t="shared" si="797"/>
        <v>3</v>
      </c>
      <c r="J2432">
        <f t="shared" si="804"/>
        <v>0</v>
      </c>
      <c r="K2432">
        <f t="shared" si="805"/>
        <v>0</v>
      </c>
      <c r="L2432" t="str">
        <f t="shared" si="806"/>
        <v/>
      </c>
      <c r="M2432" s="6" t="str">
        <f t="shared" si="807"/>
        <v/>
      </c>
      <c r="N2432" t="str">
        <f t="shared" si="803"/>
        <v/>
      </c>
      <c r="Y2432" t="str">
        <f t="shared" si="790"/>
        <v/>
      </c>
      <c r="Z2432" t="str">
        <f t="shared" si="791"/>
        <v/>
      </c>
      <c r="AC2432" t="str">
        <f t="shared" si="808"/>
        <v/>
      </c>
      <c r="AD2432" t="str">
        <f t="shared" si="809"/>
        <v/>
      </c>
      <c r="AE2432" t="str">
        <f t="shared" si="810"/>
        <v/>
      </c>
      <c r="AF2432" t="str">
        <f t="shared" si="792"/>
        <v/>
      </c>
      <c r="AG2432">
        <f t="shared" si="798"/>
        <v>18981</v>
      </c>
      <c r="AH2432" t="str">
        <f t="shared" si="799"/>
        <v>Nelson</v>
      </c>
      <c r="AI2432" t="str">
        <f t="shared" si="800"/>
        <v>Velodrome</v>
      </c>
      <c r="AJ2432" s="18">
        <f t="shared" si="793"/>
        <v>0</v>
      </c>
      <c r="AP2432" s="18">
        <f t="shared" si="794"/>
        <v>0</v>
      </c>
      <c r="AQ2432">
        <f t="shared" si="795"/>
        <v>2160</v>
      </c>
      <c r="AR2432" s="23">
        <f t="shared" si="796"/>
        <v>3240</v>
      </c>
      <c r="AS2432">
        <f t="shared" si="801"/>
        <v>3235</v>
      </c>
      <c r="AT2432" s="21">
        <f t="shared" si="802"/>
        <v>3240</v>
      </c>
      <c r="AU2432" s="21"/>
      <c r="AV2432" s="21"/>
      <c r="AW2432" s="21"/>
    </row>
    <row r="2433" spans="5:49" x14ac:dyDescent="0.2">
      <c r="E2433">
        <f t="shared" si="797"/>
        <v>3</v>
      </c>
      <c r="J2433">
        <f t="shared" si="804"/>
        <v>0</v>
      </c>
      <c r="K2433">
        <f t="shared" si="805"/>
        <v>0</v>
      </c>
      <c r="L2433" t="str">
        <f t="shared" si="806"/>
        <v/>
      </c>
      <c r="M2433" s="6" t="str">
        <f t="shared" si="807"/>
        <v/>
      </c>
      <c r="N2433" t="str">
        <f t="shared" si="803"/>
        <v/>
      </c>
      <c r="Y2433" t="str">
        <f t="shared" si="790"/>
        <v/>
      </c>
      <c r="Z2433" t="str">
        <f t="shared" si="791"/>
        <v/>
      </c>
      <c r="AC2433" t="str">
        <f t="shared" si="808"/>
        <v/>
      </c>
      <c r="AD2433" t="str">
        <f t="shared" si="809"/>
        <v/>
      </c>
      <c r="AE2433" t="str">
        <f t="shared" si="810"/>
        <v/>
      </c>
      <c r="AF2433" t="str">
        <f t="shared" si="792"/>
        <v/>
      </c>
      <c r="AG2433">
        <f t="shared" si="798"/>
        <v>18981</v>
      </c>
      <c r="AH2433" t="str">
        <f t="shared" si="799"/>
        <v>Nelson</v>
      </c>
      <c r="AI2433" t="str">
        <f t="shared" si="800"/>
        <v>Velodrome</v>
      </c>
      <c r="AJ2433" s="18">
        <f t="shared" si="793"/>
        <v>0</v>
      </c>
      <c r="AP2433" s="18">
        <f t="shared" si="794"/>
        <v>0</v>
      </c>
      <c r="AQ2433">
        <f t="shared" si="795"/>
        <v>2160</v>
      </c>
      <c r="AR2433" s="23">
        <f t="shared" si="796"/>
        <v>3240</v>
      </c>
      <c r="AS2433">
        <f t="shared" si="801"/>
        <v>3235</v>
      </c>
      <c r="AT2433" s="21">
        <f t="shared" si="802"/>
        <v>3240</v>
      </c>
      <c r="AU2433" s="21"/>
      <c r="AV2433" s="21"/>
      <c r="AW2433" s="21"/>
    </row>
    <row r="2434" spans="5:49" x14ac:dyDescent="0.2">
      <c r="E2434">
        <f t="shared" si="797"/>
        <v>3</v>
      </c>
      <c r="J2434">
        <f t="shared" si="804"/>
        <v>0</v>
      </c>
      <c r="K2434">
        <f t="shared" si="805"/>
        <v>0</v>
      </c>
      <c r="L2434" t="str">
        <f t="shared" si="806"/>
        <v/>
      </c>
      <c r="M2434" s="6" t="str">
        <f t="shared" si="807"/>
        <v/>
      </c>
      <c r="N2434" t="str">
        <f t="shared" si="803"/>
        <v/>
      </c>
      <c r="Y2434" t="str">
        <f t="shared" si="790"/>
        <v/>
      </c>
      <c r="Z2434" t="str">
        <f t="shared" si="791"/>
        <v/>
      </c>
      <c r="AC2434" t="str">
        <f t="shared" si="808"/>
        <v/>
      </c>
      <c r="AD2434" t="str">
        <f t="shared" si="809"/>
        <v/>
      </c>
      <c r="AE2434" t="str">
        <f t="shared" si="810"/>
        <v/>
      </c>
      <c r="AF2434" t="str">
        <f t="shared" si="792"/>
        <v/>
      </c>
      <c r="AG2434">
        <f t="shared" si="798"/>
        <v>18981</v>
      </c>
      <c r="AH2434" t="str">
        <f t="shared" si="799"/>
        <v>Nelson</v>
      </c>
      <c r="AI2434" t="str">
        <f t="shared" si="800"/>
        <v>Velodrome</v>
      </c>
      <c r="AJ2434" s="18">
        <f t="shared" si="793"/>
        <v>0</v>
      </c>
      <c r="AP2434" s="18">
        <f t="shared" si="794"/>
        <v>0</v>
      </c>
      <c r="AQ2434">
        <f t="shared" si="795"/>
        <v>2160</v>
      </c>
      <c r="AR2434" s="23">
        <f t="shared" si="796"/>
        <v>3240</v>
      </c>
      <c r="AS2434">
        <f t="shared" si="801"/>
        <v>3235</v>
      </c>
      <c r="AT2434" s="21">
        <f t="shared" si="802"/>
        <v>3240</v>
      </c>
      <c r="AU2434" s="21"/>
      <c r="AV2434" s="21"/>
      <c r="AW2434" s="21"/>
    </row>
    <row r="2435" spans="5:49" x14ac:dyDescent="0.2">
      <c r="E2435">
        <f t="shared" si="797"/>
        <v>3</v>
      </c>
      <c r="J2435">
        <f t="shared" si="804"/>
        <v>0</v>
      </c>
      <c r="K2435">
        <f t="shared" si="805"/>
        <v>0</v>
      </c>
      <c r="L2435" t="str">
        <f t="shared" si="806"/>
        <v/>
      </c>
      <c r="M2435" s="6" t="str">
        <f t="shared" si="807"/>
        <v/>
      </c>
      <c r="N2435" t="str">
        <f t="shared" si="803"/>
        <v/>
      </c>
      <c r="Y2435" t="str">
        <f t="shared" ref="Y2435:Y2498" si="811">IF($N2435="","",IF(X2435="","",IF($N2435="Home",$X2435,IF($X2435="n","n",IF($X2435="d","o",IF($X2435="o","d",""))))))</f>
        <v/>
      </c>
      <c r="Z2435" t="str">
        <f t="shared" ref="Z2435:Z2498" si="812">IF($N2435="","",IF(X2435="","",IF($N2435="Away",$X2435,IF($X2435="n","n",IF($X2435="d","o",IF($X2435="o","d",""))))))</f>
        <v/>
      </c>
      <c r="AC2435" t="str">
        <f t="shared" si="808"/>
        <v/>
      </c>
      <c r="AD2435" t="str">
        <f t="shared" si="809"/>
        <v/>
      </c>
      <c r="AE2435" t="str">
        <f t="shared" si="810"/>
        <v/>
      </c>
      <c r="AF2435" t="str">
        <f t="shared" ref="AF2435:AF2498" si="813">IF(AND(P2435="e",OR(AC2435="Save",AD2435="Turnover_Takeaway",AD2435="Play_Defensive")),"Defensive",IF(AND(P2435="o",OR(AC2435="Save",AD2435="Turnover_Takeaway",AD2435="Play_Defensive")),"Offensive",IF(OR(AC2435="Deadice",AC2435="Stoppage",AC2435="Intermission"),"",IF(P2435="e","Offensive",IF(P2435="o","Defensive","")))))</f>
        <v/>
      </c>
      <c r="AG2435">
        <f t="shared" si="798"/>
        <v>18981</v>
      </c>
      <c r="AH2435" t="str">
        <f t="shared" si="799"/>
        <v>Nelson</v>
      </c>
      <c r="AI2435" t="str">
        <f t="shared" si="800"/>
        <v>Velodrome</v>
      </c>
      <c r="AJ2435" s="18">
        <f t="shared" ref="AJ2435:AJ2498" si="814">IF(AND(L2435="",M2435=""),0,((J2435*60)+K2435)-((L2435*60)+M2435))</f>
        <v>0</v>
      </c>
      <c r="AP2435" s="18">
        <f t="shared" ref="AP2435:AP2498" si="815">SUMIFS(AJ2435:AJ2435,Q2435:Q2435,"=Intermission")</f>
        <v>0</v>
      </c>
      <c r="AQ2435">
        <f t="shared" ref="AQ2435:AQ2498" si="816">IF(E2435=1,0,IF(E2435=2,1080+AP2435,IF(E2435=3,(1080*2)+AP2435,0)))</f>
        <v>2160</v>
      </c>
      <c r="AR2435" s="23">
        <f t="shared" ref="AR2435:AR2498" si="817">IF(Q2435="Intermission",AR2434,((1080)-((J2435*60)+K2435))+AQ2435)</f>
        <v>3240</v>
      </c>
      <c r="AS2435">
        <f t="shared" si="801"/>
        <v>3235</v>
      </c>
      <c r="AT2435" s="21">
        <f t="shared" si="802"/>
        <v>3240</v>
      </c>
      <c r="AU2435" s="21"/>
      <c r="AV2435" s="21"/>
      <c r="AW2435" s="21"/>
    </row>
    <row r="2436" spans="5:49" x14ac:dyDescent="0.2">
      <c r="E2436">
        <f t="shared" ref="E2436:E2499" si="818">IF(Q2436="Intermission",E2435+1,E2435)</f>
        <v>3</v>
      </c>
      <c r="J2436">
        <f t="shared" si="804"/>
        <v>0</v>
      </c>
      <c r="K2436">
        <f t="shared" si="805"/>
        <v>0</v>
      </c>
      <c r="L2436" t="str">
        <f t="shared" si="806"/>
        <v/>
      </c>
      <c r="M2436" s="6" t="str">
        <f t="shared" si="807"/>
        <v/>
      </c>
      <c r="N2436" t="str">
        <f t="shared" si="803"/>
        <v/>
      </c>
      <c r="Y2436" t="str">
        <f t="shared" si="811"/>
        <v/>
      </c>
      <c r="Z2436" t="str">
        <f t="shared" si="812"/>
        <v/>
      </c>
      <c r="AC2436" t="str">
        <f t="shared" si="808"/>
        <v/>
      </c>
      <c r="AD2436" t="str">
        <f t="shared" si="809"/>
        <v/>
      </c>
      <c r="AE2436" t="str">
        <f t="shared" si="810"/>
        <v/>
      </c>
      <c r="AF2436" t="str">
        <f t="shared" si="813"/>
        <v/>
      </c>
      <c r="AG2436">
        <f t="shared" ref="AG2436:AG2499" si="819">AG2435</f>
        <v>18981</v>
      </c>
      <c r="AH2436" t="str">
        <f t="shared" ref="AH2436:AH2499" si="820">AH2435</f>
        <v>Nelson</v>
      </c>
      <c r="AI2436" t="str">
        <f t="shared" ref="AI2436:AI2499" si="821">AI2435</f>
        <v>Velodrome</v>
      </c>
      <c r="AJ2436" s="18">
        <f t="shared" si="814"/>
        <v>0</v>
      </c>
      <c r="AP2436" s="18">
        <f t="shared" si="815"/>
        <v>0</v>
      </c>
      <c r="AQ2436">
        <f t="shared" si="816"/>
        <v>2160</v>
      </c>
      <c r="AR2436" s="23">
        <f t="shared" si="817"/>
        <v>3240</v>
      </c>
      <c r="AS2436">
        <f t="shared" ref="AS2436:AS2499" si="822">IF(AR2436&lt;5,0,AR2436-5)</f>
        <v>3235</v>
      </c>
      <c r="AT2436" s="21">
        <f t="shared" ref="AT2436:AT2499" si="823">AS2436+AJ2436+5</f>
        <v>3240</v>
      </c>
      <c r="AU2436" s="21"/>
      <c r="AV2436" s="21"/>
      <c r="AW2436" s="21"/>
    </row>
    <row r="2437" spans="5:49" x14ac:dyDescent="0.2">
      <c r="E2437">
        <f t="shared" si="818"/>
        <v>3</v>
      </c>
      <c r="J2437">
        <f t="shared" si="804"/>
        <v>0</v>
      </c>
      <c r="K2437">
        <f t="shared" si="805"/>
        <v>0</v>
      </c>
      <c r="L2437" t="str">
        <f t="shared" si="806"/>
        <v/>
      </c>
      <c r="M2437" s="6" t="str">
        <f t="shared" si="807"/>
        <v/>
      </c>
      <c r="N2437" t="str">
        <f t="shared" si="803"/>
        <v/>
      </c>
      <c r="Y2437" t="str">
        <f t="shared" si="811"/>
        <v/>
      </c>
      <c r="Z2437" t="str">
        <f t="shared" si="812"/>
        <v/>
      </c>
      <c r="AC2437" t="str">
        <f t="shared" si="808"/>
        <v/>
      </c>
      <c r="AD2437" t="str">
        <f t="shared" si="809"/>
        <v/>
      </c>
      <c r="AE2437" t="str">
        <f t="shared" si="810"/>
        <v/>
      </c>
      <c r="AF2437" t="str">
        <f t="shared" si="813"/>
        <v/>
      </c>
      <c r="AG2437">
        <f t="shared" si="819"/>
        <v>18981</v>
      </c>
      <c r="AH2437" t="str">
        <f t="shared" si="820"/>
        <v>Nelson</v>
      </c>
      <c r="AI2437" t="str">
        <f t="shared" si="821"/>
        <v>Velodrome</v>
      </c>
      <c r="AJ2437" s="18">
        <f t="shared" si="814"/>
        <v>0</v>
      </c>
      <c r="AP2437" s="18">
        <f t="shared" si="815"/>
        <v>0</v>
      </c>
      <c r="AQ2437">
        <f t="shared" si="816"/>
        <v>2160</v>
      </c>
      <c r="AR2437" s="23">
        <f t="shared" si="817"/>
        <v>3240</v>
      </c>
      <c r="AS2437">
        <f t="shared" si="822"/>
        <v>3235</v>
      </c>
      <c r="AT2437" s="21">
        <f t="shared" si="823"/>
        <v>3240</v>
      </c>
      <c r="AU2437" s="21"/>
      <c r="AV2437" s="21"/>
      <c r="AW2437" s="21"/>
    </row>
    <row r="2438" spans="5:49" x14ac:dyDescent="0.2">
      <c r="E2438">
        <f t="shared" si="818"/>
        <v>3</v>
      </c>
      <c r="J2438">
        <f t="shared" si="804"/>
        <v>0</v>
      </c>
      <c r="K2438">
        <f t="shared" si="805"/>
        <v>0</v>
      </c>
      <c r="L2438" t="str">
        <f t="shared" si="806"/>
        <v/>
      </c>
      <c r="M2438" s="6" t="str">
        <f t="shared" si="807"/>
        <v/>
      </c>
      <c r="N2438" t="str">
        <f t="shared" ref="N2438:N2501" si="824">IF(A2438=A2437,N2437,"")</f>
        <v/>
      </c>
      <c r="Y2438" t="str">
        <f t="shared" si="811"/>
        <v/>
      </c>
      <c r="Z2438" t="str">
        <f t="shared" si="812"/>
        <v/>
      </c>
      <c r="AC2438" t="str">
        <f t="shared" si="808"/>
        <v/>
      </c>
      <c r="AD2438" t="str">
        <f t="shared" si="809"/>
        <v/>
      </c>
      <c r="AE2438" t="str">
        <f t="shared" si="810"/>
        <v/>
      </c>
      <c r="AF2438" t="str">
        <f t="shared" si="813"/>
        <v/>
      </c>
      <c r="AG2438">
        <f t="shared" si="819"/>
        <v>18981</v>
      </c>
      <c r="AH2438" t="str">
        <f t="shared" si="820"/>
        <v>Nelson</v>
      </c>
      <c r="AI2438" t="str">
        <f t="shared" si="821"/>
        <v>Velodrome</v>
      </c>
      <c r="AJ2438" s="18">
        <f t="shared" si="814"/>
        <v>0</v>
      </c>
      <c r="AP2438" s="18">
        <f t="shared" si="815"/>
        <v>0</v>
      </c>
      <c r="AQ2438">
        <f t="shared" si="816"/>
        <v>2160</v>
      </c>
      <c r="AR2438" s="23">
        <f t="shared" si="817"/>
        <v>3240</v>
      </c>
      <c r="AS2438">
        <f t="shared" si="822"/>
        <v>3235</v>
      </c>
      <c r="AT2438" s="21">
        <f t="shared" si="823"/>
        <v>3240</v>
      </c>
      <c r="AU2438" s="21"/>
      <c r="AV2438" s="21"/>
      <c r="AW2438" s="21"/>
    </row>
    <row r="2439" spans="5:49" x14ac:dyDescent="0.2">
      <c r="E2439">
        <f t="shared" si="818"/>
        <v>3</v>
      </c>
      <c r="J2439">
        <f t="shared" si="804"/>
        <v>0</v>
      </c>
      <c r="K2439">
        <f t="shared" si="805"/>
        <v>0</v>
      </c>
      <c r="L2439" t="str">
        <f t="shared" si="806"/>
        <v/>
      </c>
      <c r="M2439" s="6" t="str">
        <f t="shared" si="807"/>
        <v/>
      </c>
      <c r="N2439" t="str">
        <f t="shared" si="824"/>
        <v/>
      </c>
      <c r="Y2439" t="str">
        <f t="shared" si="811"/>
        <v/>
      </c>
      <c r="Z2439" t="str">
        <f t="shared" si="812"/>
        <v/>
      </c>
      <c r="AC2439" t="str">
        <f t="shared" si="808"/>
        <v/>
      </c>
      <c r="AD2439" t="str">
        <f t="shared" si="809"/>
        <v/>
      </c>
      <c r="AE2439" t="str">
        <f t="shared" si="810"/>
        <v/>
      </c>
      <c r="AF2439" t="str">
        <f t="shared" si="813"/>
        <v/>
      </c>
      <c r="AG2439">
        <f t="shared" si="819"/>
        <v>18981</v>
      </c>
      <c r="AH2439" t="str">
        <f t="shared" si="820"/>
        <v>Nelson</v>
      </c>
      <c r="AI2439" t="str">
        <f t="shared" si="821"/>
        <v>Velodrome</v>
      </c>
      <c r="AJ2439" s="18">
        <f t="shared" si="814"/>
        <v>0</v>
      </c>
      <c r="AP2439" s="18">
        <f t="shared" si="815"/>
        <v>0</v>
      </c>
      <c r="AQ2439">
        <f t="shared" si="816"/>
        <v>2160</v>
      </c>
      <c r="AR2439" s="23">
        <f t="shared" si="817"/>
        <v>3240</v>
      </c>
      <c r="AS2439">
        <f t="shared" si="822"/>
        <v>3235</v>
      </c>
      <c r="AT2439" s="21">
        <f t="shared" si="823"/>
        <v>3240</v>
      </c>
      <c r="AU2439" s="21"/>
      <c r="AV2439" s="21"/>
      <c r="AW2439" s="21"/>
    </row>
    <row r="2440" spans="5:49" x14ac:dyDescent="0.2">
      <c r="E2440">
        <f t="shared" si="818"/>
        <v>3</v>
      </c>
      <c r="J2440">
        <f t="shared" si="804"/>
        <v>0</v>
      </c>
      <c r="K2440">
        <f t="shared" si="805"/>
        <v>0</v>
      </c>
      <c r="L2440" t="str">
        <f t="shared" si="806"/>
        <v/>
      </c>
      <c r="M2440" s="6" t="str">
        <f t="shared" si="807"/>
        <v/>
      </c>
      <c r="N2440" t="str">
        <f t="shared" si="824"/>
        <v/>
      </c>
      <c r="Y2440" t="str">
        <f t="shared" si="811"/>
        <v/>
      </c>
      <c r="Z2440" t="str">
        <f t="shared" si="812"/>
        <v/>
      </c>
      <c r="AC2440" t="str">
        <f t="shared" si="808"/>
        <v/>
      </c>
      <c r="AD2440" t="str">
        <f t="shared" si="809"/>
        <v/>
      </c>
      <c r="AE2440" t="str">
        <f t="shared" si="810"/>
        <v/>
      </c>
      <c r="AF2440" t="str">
        <f t="shared" si="813"/>
        <v/>
      </c>
      <c r="AG2440">
        <f t="shared" si="819"/>
        <v>18981</v>
      </c>
      <c r="AH2440" t="str">
        <f t="shared" si="820"/>
        <v>Nelson</v>
      </c>
      <c r="AI2440" t="str">
        <f t="shared" si="821"/>
        <v>Velodrome</v>
      </c>
      <c r="AJ2440" s="18">
        <f t="shared" si="814"/>
        <v>0</v>
      </c>
      <c r="AP2440" s="18">
        <f t="shared" si="815"/>
        <v>0</v>
      </c>
      <c r="AQ2440">
        <f t="shared" si="816"/>
        <v>2160</v>
      </c>
      <c r="AR2440" s="23">
        <f t="shared" si="817"/>
        <v>3240</v>
      </c>
      <c r="AS2440">
        <f t="shared" si="822"/>
        <v>3235</v>
      </c>
      <c r="AT2440" s="21">
        <f t="shared" si="823"/>
        <v>3240</v>
      </c>
      <c r="AU2440" s="21"/>
      <c r="AV2440" s="21"/>
      <c r="AW2440" s="21"/>
    </row>
    <row r="2441" spans="5:49" x14ac:dyDescent="0.2">
      <c r="E2441">
        <f t="shared" si="818"/>
        <v>3</v>
      </c>
      <c r="J2441">
        <f t="shared" ref="J2441:J2504" si="825">IF(F2441&lt;&gt;"",F2441,IF($A2441=$A2440,J2440,J2441))</f>
        <v>0</v>
      </c>
      <c r="K2441">
        <f t="shared" ref="K2441:K2504" si="826">IF($A2441=$A2440,K2440,G2441)</f>
        <v>0</v>
      </c>
      <c r="L2441" t="str">
        <f t="shared" ref="L2441:L2504" si="827">IF(H2441&lt;&gt;"",H2441,IF($A2441=$A2440,L2440,""))</f>
        <v/>
      </c>
      <c r="M2441" s="6" t="str">
        <f t="shared" ref="M2441:M2504" si="828">IF(I2441&lt;&gt;"",I2441,IF($A2441=$A2440,M2440,""))</f>
        <v/>
      </c>
      <c r="N2441" t="str">
        <f t="shared" si="824"/>
        <v/>
      </c>
      <c r="Y2441" t="str">
        <f t="shared" si="811"/>
        <v/>
      </c>
      <c r="Z2441" t="str">
        <f t="shared" si="812"/>
        <v/>
      </c>
      <c r="AC2441" t="str">
        <f t="shared" si="808"/>
        <v/>
      </c>
      <c r="AD2441" t="str">
        <f t="shared" si="809"/>
        <v/>
      </c>
      <c r="AE2441" t="str">
        <f t="shared" si="810"/>
        <v/>
      </c>
      <c r="AF2441" t="str">
        <f t="shared" si="813"/>
        <v/>
      </c>
      <c r="AG2441">
        <f t="shared" si="819"/>
        <v>18981</v>
      </c>
      <c r="AH2441" t="str">
        <f t="shared" si="820"/>
        <v>Nelson</v>
      </c>
      <c r="AI2441" t="str">
        <f t="shared" si="821"/>
        <v>Velodrome</v>
      </c>
      <c r="AJ2441" s="18">
        <f t="shared" si="814"/>
        <v>0</v>
      </c>
      <c r="AP2441" s="18">
        <f t="shared" si="815"/>
        <v>0</v>
      </c>
      <c r="AQ2441">
        <f t="shared" si="816"/>
        <v>2160</v>
      </c>
      <c r="AR2441" s="23">
        <f t="shared" si="817"/>
        <v>3240</v>
      </c>
      <c r="AS2441">
        <f t="shared" si="822"/>
        <v>3235</v>
      </c>
      <c r="AT2441" s="21">
        <f t="shared" si="823"/>
        <v>3240</v>
      </c>
      <c r="AU2441" s="21"/>
      <c r="AV2441" s="21"/>
      <c r="AW2441" s="21"/>
    </row>
    <row r="2442" spans="5:49" x14ac:dyDescent="0.2">
      <c r="E2442">
        <f t="shared" si="818"/>
        <v>3</v>
      </c>
      <c r="J2442">
        <f t="shared" si="825"/>
        <v>0</v>
      </c>
      <c r="K2442">
        <f t="shared" si="826"/>
        <v>0</v>
      </c>
      <c r="L2442" t="str">
        <f t="shared" si="827"/>
        <v/>
      </c>
      <c r="M2442" s="6" t="str">
        <f t="shared" si="828"/>
        <v/>
      </c>
      <c r="N2442" t="str">
        <f t="shared" si="824"/>
        <v/>
      </c>
      <c r="Y2442" t="str">
        <f t="shared" si="811"/>
        <v/>
      </c>
      <c r="Z2442" t="str">
        <f t="shared" si="812"/>
        <v/>
      </c>
      <c r="AC2442" t="str">
        <f t="shared" si="808"/>
        <v/>
      </c>
      <c r="AD2442" t="str">
        <f t="shared" si="809"/>
        <v/>
      </c>
      <c r="AE2442" t="str">
        <f t="shared" si="810"/>
        <v/>
      </c>
      <c r="AF2442" t="str">
        <f t="shared" si="813"/>
        <v/>
      </c>
      <c r="AG2442">
        <f t="shared" si="819"/>
        <v>18981</v>
      </c>
      <c r="AH2442" t="str">
        <f t="shared" si="820"/>
        <v>Nelson</v>
      </c>
      <c r="AI2442" t="str">
        <f t="shared" si="821"/>
        <v>Velodrome</v>
      </c>
      <c r="AJ2442" s="18">
        <f t="shared" si="814"/>
        <v>0</v>
      </c>
      <c r="AP2442" s="18">
        <f t="shared" si="815"/>
        <v>0</v>
      </c>
      <c r="AQ2442">
        <f t="shared" si="816"/>
        <v>2160</v>
      </c>
      <c r="AR2442" s="23">
        <f t="shared" si="817"/>
        <v>3240</v>
      </c>
      <c r="AS2442">
        <f t="shared" si="822"/>
        <v>3235</v>
      </c>
      <c r="AT2442" s="21">
        <f t="shared" si="823"/>
        <v>3240</v>
      </c>
      <c r="AU2442" s="21"/>
      <c r="AV2442" s="21"/>
      <c r="AW2442" s="21"/>
    </row>
    <row r="2443" spans="5:49" x14ac:dyDescent="0.2">
      <c r="E2443">
        <f t="shared" si="818"/>
        <v>3</v>
      </c>
      <c r="J2443">
        <f t="shared" si="825"/>
        <v>0</v>
      </c>
      <c r="K2443">
        <f t="shared" si="826"/>
        <v>0</v>
      </c>
      <c r="L2443" t="str">
        <f t="shared" si="827"/>
        <v/>
      </c>
      <c r="M2443" s="6" t="str">
        <f t="shared" si="828"/>
        <v/>
      </c>
      <c r="N2443" t="str">
        <f t="shared" si="824"/>
        <v/>
      </c>
      <c r="Y2443" t="str">
        <f t="shared" si="811"/>
        <v/>
      </c>
      <c r="Z2443" t="str">
        <f t="shared" si="812"/>
        <v/>
      </c>
      <c r="AC2443" t="str">
        <f t="shared" si="808"/>
        <v/>
      </c>
      <c r="AD2443" t="str">
        <f t="shared" si="809"/>
        <v/>
      </c>
      <c r="AE2443" t="str">
        <f t="shared" si="810"/>
        <v/>
      </c>
      <c r="AF2443" t="str">
        <f t="shared" si="813"/>
        <v/>
      </c>
      <c r="AG2443">
        <f t="shared" si="819"/>
        <v>18981</v>
      </c>
      <c r="AH2443" t="str">
        <f t="shared" si="820"/>
        <v>Nelson</v>
      </c>
      <c r="AI2443" t="str">
        <f t="shared" si="821"/>
        <v>Velodrome</v>
      </c>
      <c r="AJ2443" s="18">
        <f t="shared" si="814"/>
        <v>0</v>
      </c>
      <c r="AP2443" s="18">
        <f t="shared" si="815"/>
        <v>0</v>
      </c>
      <c r="AQ2443">
        <f t="shared" si="816"/>
        <v>2160</v>
      </c>
      <c r="AR2443" s="23">
        <f t="shared" si="817"/>
        <v>3240</v>
      </c>
      <c r="AS2443">
        <f t="shared" si="822"/>
        <v>3235</v>
      </c>
      <c r="AT2443" s="21">
        <f t="shared" si="823"/>
        <v>3240</v>
      </c>
      <c r="AU2443" s="21"/>
      <c r="AV2443" s="21"/>
      <c r="AW2443" s="21"/>
    </row>
    <row r="2444" spans="5:49" x14ac:dyDescent="0.2">
      <c r="E2444">
        <f t="shared" si="818"/>
        <v>3</v>
      </c>
      <c r="J2444">
        <f t="shared" si="825"/>
        <v>0</v>
      </c>
      <c r="K2444">
        <f t="shared" si="826"/>
        <v>0</v>
      </c>
      <c r="L2444" t="str">
        <f t="shared" si="827"/>
        <v/>
      </c>
      <c r="M2444" s="6" t="str">
        <f t="shared" si="828"/>
        <v/>
      </c>
      <c r="N2444" t="str">
        <f t="shared" si="824"/>
        <v/>
      </c>
      <c r="Y2444" t="str">
        <f t="shared" si="811"/>
        <v/>
      </c>
      <c r="Z2444" t="str">
        <f t="shared" si="812"/>
        <v/>
      </c>
      <c r="AC2444" t="str">
        <f t="shared" si="808"/>
        <v/>
      </c>
      <c r="AD2444" t="str">
        <f t="shared" si="809"/>
        <v/>
      </c>
      <c r="AE2444" t="str">
        <f t="shared" si="810"/>
        <v/>
      </c>
      <c r="AF2444" t="str">
        <f t="shared" si="813"/>
        <v/>
      </c>
      <c r="AG2444">
        <f t="shared" si="819"/>
        <v>18981</v>
      </c>
      <c r="AH2444" t="str">
        <f t="shared" si="820"/>
        <v>Nelson</v>
      </c>
      <c r="AI2444" t="str">
        <f t="shared" si="821"/>
        <v>Velodrome</v>
      </c>
      <c r="AJ2444" s="18">
        <f t="shared" si="814"/>
        <v>0</v>
      </c>
      <c r="AP2444" s="18">
        <f t="shared" si="815"/>
        <v>0</v>
      </c>
      <c r="AQ2444">
        <f t="shared" si="816"/>
        <v>2160</v>
      </c>
      <c r="AR2444" s="23">
        <f t="shared" si="817"/>
        <v>3240</v>
      </c>
      <c r="AS2444">
        <f t="shared" si="822"/>
        <v>3235</v>
      </c>
      <c r="AT2444" s="21">
        <f t="shared" si="823"/>
        <v>3240</v>
      </c>
      <c r="AU2444" s="21"/>
      <c r="AV2444" s="21"/>
      <c r="AW2444" s="21"/>
    </row>
    <row r="2445" spans="5:49" x14ac:dyDescent="0.2">
      <c r="E2445">
        <f t="shared" si="818"/>
        <v>3</v>
      </c>
      <c r="J2445">
        <f t="shared" si="825"/>
        <v>0</v>
      </c>
      <c r="K2445">
        <f t="shared" si="826"/>
        <v>0</v>
      </c>
      <c r="L2445" t="str">
        <f t="shared" si="827"/>
        <v/>
      </c>
      <c r="M2445" s="6" t="str">
        <f t="shared" si="828"/>
        <v/>
      </c>
      <c r="N2445" t="str">
        <f t="shared" si="824"/>
        <v/>
      </c>
      <c r="Y2445" t="str">
        <f t="shared" si="811"/>
        <v/>
      </c>
      <c r="Z2445" t="str">
        <f t="shared" si="812"/>
        <v/>
      </c>
      <c r="AC2445" t="str">
        <f t="shared" si="808"/>
        <v/>
      </c>
      <c r="AD2445" t="str">
        <f t="shared" si="809"/>
        <v/>
      </c>
      <c r="AE2445" t="str">
        <f t="shared" si="810"/>
        <v/>
      </c>
      <c r="AF2445" t="str">
        <f t="shared" si="813"/>
        <v/>
      </c>
      <c r="AG2445">
        <f t="shared" si="819"/>
        <v>18981</v>
      </c>
      <c r="AH2445" t="str">
        <f t="shared" si="820"/>
        <v>Nelson</v>
      </c>
      <c r="AI2445" t="str">
        <f t="shared" si="821"/>
        <v>Velodrome</v>
      </c>
      <c r="AJ2445" s="18">
        <f t="shared" si="814"/>
        <v>0</v>
      </c>
      <c r="AP2445" s="18">
        <f t="shared" si="815"/>
        <v>0</v>
      </c>
      <c r="AQ2445">
        <f t="shared" si="816"/>
        <v>2160</v>
      </c>
      <c r="AR2445" s="23">
        <f t="shared" si="817"/>
        <v>3240</v>
      </c>
      <c r="AS2445">
        <f t="shared" si="822"/>
        <v>3235</v>
      </c>
      <c r="AT2445" s="21">
        <f t="shared" si="823"/>
        <v>3240</v>
      </c>
      <c r="AU2445" s="21"/>
      <c r="AV2445" s="21"/>
      <c r="AW2445" s="21"/>
    </row>
    <row r="2446" spans="5:49" x14ac:dyDescent="0.2">
      <c r="E2446">
        <f t="shared" si="818"/>
        <v>3</v>
      </c>
      <c r="J2446">
        <f t="shared" si="825"/>
        <v>0</v>
      </c>
      <c r="K2446">
        <f t="shared" si="826"/>
        <v>0</v>
      </c>
      <c r="L2446" t="str">
        <f t="shared" si="827"/>
        <v/>
      </c>
      <c r="M2446" s="6" t="str">
        <f t="shared" si="828"/>
        <v/>
      </c>
      <c r="N2446" t="str">
        <f t="shared" si="824"/>
        <v/>
      </c>
      <c r="Y2446" t="str">
        <f t="shared" si="811"/>
        <v/>
      </c>
      <c r="Z2446" t="str">
        <f t="shared" si="812"/>
        <v/>
      </c>
      <c r="AC2446" t="str">
        <f t="shared" si="808"/>
        <v/>
      </c>
      <c r="AD2446" t="str">
        <f t="shared" si="809"/>
        <v/>
      </c>
      <c r="AE2446" t="str">
        <f t="shared" si="810"/>
        <v/>
      </c>
      <c r="AF2446" t="str">
        <f t="shared" si="813"/>
        <v/>
      </c>
      <c r="AG2446">
        <f t="shared" si="819"/>
        <v>18981</v>
      </c>
      <c r="AH2446" t="str">
        <f t="shared" si="820"/>
        <v>Nelson</v>
      </c>
      <c r="AI2446" t="str">
        <f t="shared" si="821"/>
        <v>Velodrome</v>
      </c>
      <c r="AJ2446" s="18">
        <f t="shared" si="814"/>
        <v>0</v>
      </c>
      <c r="AP2446" s="18">
        <f t="shared" si="815"/>
        <v>0</v>
      </c>
      <c r="AQ2446">
        <f t="shared" si="816"/>
        <v>2160</v>
      </c>
      <c r="AR2446" s="23">
        <f t="shared" si="817"/>
        <v>3240</v>
      </c>
      <c r="AS2446">
        <f t="shared" si="822"/>
        <v>3235</v>
      </c>
      <c r="AT2446" s="21">
        <f t="shared" si="823"/>
        <v>3240</v>
      </c>
      <c r="AU2446" s="21"/>
      <c r="AV2446" s="21"/>
      <c r="AW2446" s="21"/>
    </row>
    <row r="2447" spans="5:49" x14ac:dyDescent="0.2">
      <c r="E2447">
        <f t="shared" si="818"/>
        <v>3</v>
      </c>
      <c r="J2447">
        <f t="shared" si="825"/>
        <v>0</v>
      </c>
      <c r="K2447">
        <f t="shared" si="826"/>
        <v>0</v>
      </c>
      <c r="L2447" t="str">
        <f t="shared" si="827"/>
        <v/>
      </c>
      <c r="M2447" s="6" t="str">
        <f t="shared" si="828"/>
        <v/>
      </c>
      <c r="N2447" t="str">
        <f t="shared" si="824"/>
        <v/>
      </c>
      <c r="Y2447" t="str">
        <f t="shared" si="811"/>
        <v/>
      </c>
      <c r="Z2447" t="str">
        <f t="shared" si="812"/>
        <v/>
      </c>
      <c r="AC2447" t="str">
        <f t="shared" si="808"/>
        <v/>
      </c>
      <c r="AD2447" t="str">
        <f t="shared" si="809"/>
        <v/>
      </c>
      <c r="AE2447" t="str">
        <f t="shared" si="810"/>
        <v/>
      </c>
      <c r="AF2447" t="str">
        <f t="shared" si="813"/>
        <v/>
      </c>
      <c r="AG2447">
        <f t="shared" si="819"/>
        <v>18981</v>
      </c>
      <c r="AH2447" t="str">
        <f t="shared" si="820"/>
        <v>Nelson</v>
      </c>
      <c r="AI2447" t="str">
        <f t="shared" si="821"/>
        <v>Velodrome</v>
      </c>
      <c r="AJ2447" s="18">
        <f t="shared" si="814"/>
        <v>0</v>
      </c>
      <c r="AP2447" s="18">
        <f t="shared" si="815"/>
        <v>0</v>
      </c>
      <c r="AQ2447">
        <f t="shared" si="816"/>
        <v>2160</v>
      </c>
      <c r="AR2447" s="23">
        <f t="shared" si="817"/>
        <v>3240</v>
      </c>
      <c r="AS2447">
        <f t="shared" si="822"/>
        <v>3235</v>
      </c>
      <c r="AT2447" s="21">
        <f t="shared" si="823"/>
        <v>3240</v>
      </c>
      <c r="AU2447" s="21"/>
      <c r="AV2447" s="21"/>
      <c r="AW2447" s="21"/>
    </row>
    <row r="2448" spans="5:49" x14ac:dyDescent="0.2">
      <c r="E2448">
        <f t="shared" si="818"/>
        <v>3</v>
      </c>
      <c r="J2448">
        <f t="shared" si="825"/>
        <v>0</v>
      </c>
      <c r="K2448">
        <f t="shared" si="826"/>
        <v>0</v>
      </c>
      <c r="L2448" t="str">
        <f t="shared" si="827"/>
        <v/>
      </c>
      <c r="M2448" s="6" t="str">
        <f t="shared" si="828"/>
        <v/>
      </c>
      <c r="N2448" t="str">
        <f t="shared" si="824"/>
        <v/>
      </c>
      <c r="Y2448" t="str">
        <f t="shared" si="811"/>
        <v/>
      </c>
      <c r="Z2448" t="str">
        <f t="shared" si="812"/>
        <v/>
      </c>
      <c r="AC2448" t="str">
        <f t="shared" si="808"/>
        <v/>
      </c>
      <c r="AD2448" t="str">
        <f t="shared" si="809"/>
        <v/>
      </c>
      <c r="AE2448" t="str">
        <f t="shared" si="810"/>
        <v/>
      </c>
      <c r="AF2448" t="str">
        <f t="shared" si="813"/>
        <v/>
      </c>
      <c r="AG2448">
        <f t="shared" si="819"/>
        <v>18981</v>
      </c>
      <c r="AH2448" t="str">
        <f t="shared" si="820"/>
        <v>Nelson</v>
      </c>
      <c r="AI2448" t="str">
        <f t="shared" si="821"/>
        <v>Velodrome</v>
      </c>
      <c r="AJ2448" s="18">
        <f t="shared" si="814"/>
        <v>0</v>
      </c>
      <c r="AP2448" s="18">
        <f t="shared" si="815"/>
        <v>0</v>
      </c>
      <c r="AQ2448">
        <f t="shared" si="816"/>
        <v>2160</v>
      </c>
      <c r="AR2448" s="23">
        <f t="shared" si="817"/>
        <v>3240</v>
      </c>
      <c r="AS2448">
        <f t="shared" si="822"/>
        <v>3235</v>
      </c>
      <c r="AT2448" s="21">
        <f t="shared" si="823"/>
        <v>3240</v>
      </c>
      <c r="AU2448" s="21"/>
      <c r="AV2448" s="21"/>
      <c r="AW2448" s="21"/>
    </row>
    <row r="2449" spans="5:49" x14ac:dyDescent="0.2">
      <c r="E2449">
        <f t="shared" si="818"/>
        <v>3</v>
      </c>
      <c r="J2449">
        <f t="shared" si="825"/>
        <v>0</v>
      </c>
      <c r="K2449">
        <f t="shared" si="826"/>
        <v>0</v>
      </c>
      <c r="L2449" t="str">
        <f t="shared" si="827"/>
        <v/>
      </c>
      <c r="M2449" s="6" t="str">
        <f t="shared" si="828"/>
        <v/>
      </c>
      <c r="N2449" t="str">
        <f t="shared" si="824"/>
        <v/>
      </c>
      <c r="Y2449" t="str">
        <f t="shared" si="811"/>
        <v/>
      </c>
      <c r="Z2449" t="str">
        <f t="shared" si="812"/>
        <v/>
      </c>
      <c r="AC2449" t="str">
        <f t="shared" si="808"/>
        <v/>
      </c>
      <c r="AD2449" t="str">
        <f t="shared" si="809"/>
        <v/>
      </c>
      <c r="AE2449" t="str">
        <f t="shared" si="810"/>
        <v/>
      </c>
      <c r="AF2449" t="str">
        <f t="shared" si="813"/>
        <v/>
      </c>
      <c r="AG2449">
        <f t="shared" si="819"/>
        <v>18981</v>
      </c>
      <c r="AH2449" t="str">
        <f t="shared" si="820"/>
        <v>Nelson</v>
      </c>
      <c r="AI2449" t="str">
        <f t="shared" si="821"/>
        <v>Velodrome</v>
      </c>
      <c r="AJ2449" s="18">
        <f t="shared" si="814"/>
        <v>0</v>
      </c>
      <c r="AP2449" s="18">
        <f t="shared" si="815"/>
        <v>0</v>
      </c>
      <c r="AQ2449">
        <f t="shared" si="816"/>
        <v>2160</v>
      </c>
      <c r="AR2449" s="23">
        <f t="shared" si="817"/>
        <v>3240</v>
      </c>
      <c r="AS2449">
        <f t="shared" si="822"/>
        <v>3235</v>
      </c>
      <c r="AT2449" s="21">
        <f t="shared" si="823"/>
        <v>3240</v>
      </c>
      <c r="AU2449" s="21"/>
      <c r="AV2449" s="21"/>
      <c r="AW2449" s="21"/>
    </row>
    <row r="2450" spans="5:49" x14ac:dyDescent="0.2">
      <c r="E2450">
        <f t="shared" si="818"/>
        <v>3</v>
      </c>
      <c r="J2450">
        <f t="shared" si="825"/>
        <v>0</v>
      </c>
      <c r="K2450">
        <f t="shared" si="826"/>
        <v>0</v>
      </c>
      <c r="L2450" t="str">
        <f t="shared" si="827"/>
        <v/>
      </c>
      <c r="M2450" s="6" t="str">
        <f t="shared" si="828"/>
        <v/>
      </c>
      <c r="N2450" t="str">
        <f t="shared" si="824"/>
        <v/>
      </c>
      <c r="Y2450" t="str">
        <f t="shared" si="811"/>
        <v/>
      </c>
      <c r="Z2450" t="str">
        <f t="shared" si="812"/>
        <v/>
      </c>
      <c r="AC2450" t="str">
        <f t="shared" si="808"/>
        <v/>
      </c>
      <c r="AD2450" t="str">
        <f t="shared" si="809"/>
        <v/>
      </c>
      <c r="AE2450" t="str">
        <f t="shared" si="810"/>
        <v/>
      </c>
      <c r="AF2450" t="str">
        <f t="shared" si="813"/>
        <v/>
      </c>
      <c r="AG2450">
        <f t="shared" si="819"/>
        <v>18981</v>
      </c>
      <c r="AH2450" t="str">
        <f t="shared" si="820"/>
        <v>Nelson</v>
      </c>
      <c r="AI2450" t="str">
        <f t="shared" si="821"/>
        <v>Velodrome</v>
      </c>
      <c r="AJ2450" s="18">
        <f t="shared" si="814"/>
        <v>0</v>
      </c>
      <c r="AP2450" s="18">
        <f t="shared" si="815"/>
        <v>0</v>
      </c>
      <c r="AQ2450">
        <f t="shared" si="816"/>
        <v>2160</v>
      </c>
      <c r="AR2450" s="23">
        <f t="shared" si="817"/>
        <v>3240</v>
      </c>
      <c r="AS2450">
        <f t="shared" si="822"/>
        <v>3235</v>
      </c>
      <c r="AT2450" s="21">
        <f t="shared" si="823"/>
        <v>3240</v>
      </c>
      <c r="AU2450" s="21"/>
      <c r="AV2450" s="21"/>
      <c r="AW2450" s="21"/>
    </row>
    <row r="2451" spans="5:49" x14ac:dyDescent="0.2">
      <c r="E2451">
        <f t="shared" si="818"/>
        <v>3</v>
      </c>
      <c r="J2451">
        <f t="shared" si="825"/>
        <v>0</v>
      </c>
      <c r="K2451">
        <f t="shared" si="826"/>
        <v>0</v>
      </c>
      <c r="L2451" t="str">
        <f t="shared" si="827"/>
        <v/>
      </c>
      <c r="M2451" s="6" t="str">
        <f t="shared" si="828"/>
        <v/>
      </c>
      <c r="N2451" t="str">
        <f t="shared" si="824"/>
        <v/>
      </c>
      <c r="Y2451" t="str">
        <f t="shared" si="811"/>
        <v/>
      </c>
      <c r="Z2451" t="str">
        <f t="shared" si="812"/>
        <v/>
      </c>
      <c r="AC2451" t="str">
        <f t="shared" si="808"/>
        <v/>
      </c>
      <c r="AD2451" t="str">
        <f t="shared" si="809"/>
        <v/>
      </c>
      <c r="AE2451" t="str">
        <f t="shared" si="810"/>
        <v/>
      </c>
      <c r="AF2451" t="str">
        <f t="shared" si="813"/>
        <v/>
      </c>
      <c r="AG2451">
        <f t="shared" si="819"/>
        <v>18981</v>
      </c>
      <c r="AH2451" t="str">
        <f t="shared" si="820"/>
        <v>Nelson</v>
      </c>
      <c r="AI2451" t="str">
        <f t="shared" si="821"/>
        <v>Velodrome</v>
      </c>
      <c r="AJ2451" s="18">
        <f t="shared" si="814"/>
        <v>0</v>
      </c>
      <c r="AP2451" s="18">
        <f t="shared" si="815"/>
        <v>0</v>
      </c>
      <c r="AQ2451">
        <f t="shared" si="816"/>
        <v>2160</v>
      </c>
      <c r="AR2451" s="23">
        <f t="shared" si="817"/>
        <v>3240</v>
      </c>
      <c r="AS2451">
        <f t="shared" si="822"/>
        <v>3235</v>
      </c>
      <c r="AT2451" s="21">
        <f t="shared" si="823"/>
        <v>3240</v>
      </c>
      <c r="AU2451" s="21"/>
      <c r="AV2451" s="21"/>
      <c r="AW2451" s="21"/>
    </row>
    <row r="2452" spans="5:49" x14ac:dyDescent="0.2">
      <c r="E2452">
        <f t="shared" si="818"/>
        <v>3</v>
      </c>
      <c r="J2452">
        <f t="shared" si="825"/>
        <v>0</v>
      </c>
      <c r="K2452">
        <f t="shared" si="826"/>
        <v>0</v>
      </c>
      <c r="L2452" t="str">
        <f t="shared" si="827"/>
        <v/>
      </c>
      <c r="M2452" s="6" t="str">
        <f t="shared" si="828"/>
        <v/>
      </c>
      <c r="N2452" t="str">
        <f t="shared" si="824"/>
        <v/>
      </c>
      <c r="Y2452" t="str">
        <f t="shared" si="811"/>
        <v/>
      </c>
      <c r="Z2452" t="str">
        <f t="shared" si="812"/>
        <v/>
      </c>
      <c r="AC2452" t="str">
        <f t="shared" si="808"/>
        <v/>
      </c>
      <c r="AD2452" t="str">
        <f t="shared" si="809"/>
        <v/>
      </c>
      <c r="AE2452" t="str">
        <f t="shared" si="810"/>
        <v/>
      </c>
      <c r="AF2452" t="str">
        <f t="shared" si="813"/>
        <v/>
      </c>
      <c r="AG2452">
        <f t="shared" si="819"/>
        <v>18981</v>
      </c>
      <c r="AH2452" t="str">
        <f t="shared" si="820"/>
        <v>Nelson</v>
      </c>
      <c r="AI2452" t="str">
        <f t="shared" si="821"/>
        <v>Velodrome</v>
      </c>
      <c r="AJ2452" s="18">
        <f t="shared" si="814"/>
        <v>0</v>
      </c>
      <c r="AP2452" s="18">
        <f t="shared" si="815"/>
        <v>0</v>
      </c>
      <c r="AQ2452">
        <f t="shared" si="816"/>
        <v>2160</v>
      </c>
      <c r="AR2452" s="23">
        <f t="shared" si="817"/>
        <v>3240</v>
      </c>
      <c r="AS2452">
        <f t="shared" si="822"/>
        <v>3235</v>
      </c>
      <c r="AT2452" s="21">
        <f t="shared" si="823"/>
        <v>3240</v>
      </c>
      <c r="AU2452" s="21"/>
      <c r="AV2452" s="21"/>
      <c r="AW2452" s="21"/>
    </row>
    <row r="2453" spans="5:49" x14ac:dyDescent="0.2">
      <c r="E2453">
        <f t="shared" si="818"/>
        <v>3</v>
      </c>
      <c r="J2453">
        <f t="shared" si="825"/>
        <v>0</v>
      </c>
      <c r="K2453">
        <f t="shared" si="826"/>
        <v>0</v>
      </c>
      <c r="L2453" t="str">
        <f t="shared" si="827"/>
        <v/>
      </c>
      <c r="M2453" s="6" t="str">
        <f t="shared" si="828"/>
        <v/>
      </c>
      <c r="N2453" t="str">
        <f t="shared" si="824"/>
        <v/>
      </c>
      <c r="Y2453" t="str">
        <f t="shared" si="811"/>
        <v/>
      </c>
      <c r="Z2453" t="str">
        <f t="shared" si="812"/>
        <v/>
      </c>
      <c r="AC2453" t="str">
        <f t="shared" si="808"/>
        <v/>
      </c>
      <c r="AD2453" t="str">
        <f t="shared" si="809"/>
        <v/>
      </c>
      <c r="AE2453" t="str">
        <f t="shared" si="810"/>
        <v/>
      </c>
      <c r="AF2453" t="str">
        <f t="shared" si="813"/>
        <v/>
      </c>
      <c r="AG2453">
        <f t="shared" si="819"/>
        <v>18981</v>
      </c>
      <c r="AH2453" t="str">
        <f t="shared" si="820"/>
        <v>Nelson</v>
      </c>
      <c r="AI2453" t="str">
        <f t="shared" si="821"/>
        <v>Velodrome</v>
      </c>
      <c r="AJ2453" s="18">
        <f t="shared" si="814"/>
        <v>0</v>
      </c>
      <c r="AP2453" s="18">
        <f t="shared" si="815"/>
        <v>0</v>
      </c>
      <c r="AQ2453">
        <f t="shared" si="816"/>
        <v>2160</v>
      </c>
      <c r="AR2453" s="23">
        <f t="shared" si="817"/>
        <v>3240</v>
      </c>
      <c r="AS2453">
        <f t="shared" si="822"/>
        <v>3235</v>
      </c>
      <c r="AT2453" s="21">
        <f t="shared" si="823"/>
        <v>3240</v>
      </c>
      <c r="AU2453" s="21"/>
      <c r="AV2453" s="21"/>
      <c r="AW2453" s="21"/>
    </row>
    <row r="2454" spans="5:49" x14ac:dyDescent="0.2">
      <c r="E2454">
        <f t="shared" si="818"/>
        <v>3</v>
      </c>
      <c r="J2454">
        <f t="shared" si="825"/>
        <v>0</v>
      </c>
      <c r="K2454">
        <f t="shared" si="826"/>
        <v>0</v>
      </c>
      <c r="L2454" t="str">
        <f t="shared" si="827"/>
        <v/>
      </c>
      <c r="M2454" s="6" t="str">
        <f t="shared" si="828"/>
        <v/>
      </c>
      <c r="N2454" t="str">
        <f t="shared" si="824"/>
        <v/>
      </c>
      <c r="Y2454" t="str">
        <f t="shared" si="811"/>
        <v/>
      </c>
      <c r="Z2454" t="str">
        <f t="shared" si="812"/>
        <v/>
      </c>
      <c r="AC2454" t="str">
        <f t="shared" si="808"/>
        <v/>
      </c>
      <c r="AD2454" t="str">
        <f t="shared" si="809"/>
        <v/>
      </c>
      <c r="AE2454" t="str">
        <f t="shared" si="810"/>
        <v/>
      </c>
      <c r="AF2454" t="str">
        <f t="shared" si="813"/>
        <v/>
      </c>
      <c r="AG2454">
        <f t="shared" si="819"/>
        <v>18981</v>
      </c>
      <c r="AH2454" t="str">
        <f t="shared" si="820"/>
        <v>Nelson</v>
      </c>
      <c r="AI2454" t="str">
        <f t="shared" si="821"/>
        <v>Velodrome</v>
      </c>
      <c r="AJ2454" s="18">
        <f t="shared" si="814"/>
        <v>0</v>
      </c>
      <c r="AP2454" s="18">
        <f t="shared" si="815"/>
        <v>0</v>
      </c>
      <c r="AQ2454">
        <f t="shared" si="816"/>
        <v>2160</v>
      </c>
      <c r="AR2454" s="23">
        <f t="shared" si="817"/>
        <v>3240</v>
      </c>
      <c r="AS2454">
        <f t="shared" si="822"/>
        <v>3235</v>
      </c>
      <c r="AT2454" s="21">
        <f t="shared" si="823"/>
        <v>3240</v>
      </c>
      <c r="AU2454" s="21"/>
      <c r="AV2454" s="21"/>
      <c r="AW2454" s="21"/>
    </row>
    <row r="2455" spans="5:49" x14ac:dyDescent="0.2">
      <c r="E2455">
        <f t="shared" si="818"/>
        <v>3</v>
      </c>
      <c r="J2455">
        <f t="shared" si="825"/>
        <v>0</v>
      </c>
      <c r="K2455">
        <f t="shared" si="826"/>
        <v>0</v>
      </c>
      <c r="L2455" t="str">
        <f t="shared" si="827"/>
        <v/>
      </c>
      <c r="M2455" s="6" t="str">
        <f t="shared" si="828"/>
        <v/>
      </c>
      <c r="N2455" t="str">
        <f t="shared" si="824"/>
        <v/>
      </c>
      <c r="Y2455" t="str">
        <f t="shared" si="811"/>
        <v/>
      </c>
      <c r="Z2455" t="str">
        <f t="shared" si="812"/>
        <v/>
      </c>
      <c r="AC2455" t="str">
        <f t="shared" si="808"/>
        <v/>
      </c>
      <c r="AD2455" t="str">
        <f t="shared" si="809"/>
        <v/>
      </c>
      <c r="AE2455" t="str">
        <f t="shared" si="810"/>
        <v/>
      </c>
      <c r="AF2455" t="str">
        <f t="shared" si="813"/>
        <v/>
      </c>
      <c r="AG2455">
        <f t="shared" si="819"/>
        <v>18981</v>
      </c>
      <c r="AH2455" t="str">
        <f t="shared" si="820"/>
        <v>Nelson</v>
      </c>
      <c r="AI2455" t="str">
        <f t="shared" si="821"/>
        <v>Velodrome</v>
      </c>
      <c r="AJ2455" s="18">
        <f t="shared" si="814"/>
        <v>0</v>
      </c>
      <c r="AP2455" s="18">
        <f t="shared" si="815"/>
        <v>0</v>
      </c>
      <c r="AQ2455">
        <f t="shared" si="816"/>
        <v>2160</v>
      </c>
      <c r="AR2455" s="23">
        <f t="shared" si="817"/>
        <v>3240</v>
      </c>
      <c r="AS2455">
        <f t="shared" si="822"/>
        <v>3235</v>
      </c>
      <c r="AT2455" s="21">
        <f t="shared" si="823"/>
        <v>3240</v>
      </c>
      <c r="AU2455" s="21"/>
      <c r="AV2455" s="21"/>
      <c r="AW2455" s="21"/>
    </row>
    <row r="2456" spans="5:49" x14ac:dyDescent="0.2">
      <c r="E2456">
        <f t="shared" si="818"/>
        <v>3</v>
      </c>
      <c r="J2456">
        <f t="shared" si="825"/>
        <v>0</v>
      </c>
      <c r="K2456">
        <f t="shared" si="826"/>
        <v>0</v>
      </c>
      <c r="L2456" t="str">
        <f t="shared" si="827"/>
        <v/>
      </c>
      <c r="M2456" s="6" t="str">
        <f t="shared" si="828"/>
        <v/>
      </c>
      <c r="N2456" t="str">
        <f t="shared" si="824"/>
        <v/>
      </c>
      <c r="Y2456" t="str">
        <f t="shared" si="811"/>
        <v/>
      </c>
      <c r="Z2456" t="str">
        <f t="shared" si="812"/>
        <v/>
      </c>
      <c r="AC2456" t="str">
        <f t="shared" si="808"/>
        <v/>
      </c>
      <c r="AD2456" t="str">
        <f t="shared" si="809"/>
        <v/>
      </c>
      <c r="AE2456" t="str">
        <f t="shared" si="810"/>
        <v/>
      </c>
      <c r="AF2456" t="str">
        <f t="shared" si="813"/>
        <v/>
      </c>
      <c r="AG2456">
        <f t="shared" si="819"/>
        <v>18981</v>
      </c>
      <c r="AH2456" t="str">
        <f t="shared" si="820"/>
        <v>Nelson</v>
      </c>
      <c r="AI2456" t="str">
        <f t="shared" si="821"/>
        <v>Velodrome</v>
      </c>
      <c r="AJ2456" s="18">
        <f t="shared" si="814"/>
        <v>0</v>
      </c>
      <c r="AP2456" s="18">
        <f t="shared" si="815"/>
        <v>0</v>
      </c>
      <c r="AQ2456">
        <f t="shared" si="816"/>
        <v>2160</v>
      </c>
      <c r="AR2456" s="23">
        <f t="shared" si="817"/>
        <v>3240</v>
      </c>
      <c r="AS2456">
        <f t="shared" si="822"/>
        <v>3235</v>
      </c>
      <c r="AT2456" s="21">
        <f t="shared" si="823"/>
        <v>3240</v>
      </c>
      <c r="AU2456" s="21"/>
      <c r="AV2456" s="21"/>
      <c r="AW2456" s="21"/>
    </row>
    <row r="2457" spans="5:49" x14ac:dyDescent="0.2">
      <c r="E2457">
        <f t="shared" si="818"/>
        <v>3</v>
      </c>
      <c r="J2457">
        <f t="shared" si="825"/>
        <v>0</v>
      </c>
      <c r="K2457">
        <f t="shared" si="826"/>
        <v>0</v>
      </c>
      <c r="L2457" t="str">
        <f t="shared" si="827"/>
        <v/>
      </c>
      <c r="M2457" s="6" t="str">
        <f t="shared" si="828"/>
        <v/>
      </c>
      <c r="N2457" t="str">
        <f t="shared" si="824"/>
        <v/>
      </c>
      <c r="Y2457" t="str">
        <f t="shared" si="811"/>
        <v/>
      </c>
      <c r="Z2457" t="str">
        <f t="shared" si="812"/>
        <v/>
      </c>
      <c r="AC2457" t="str">
        <f t="shared" si="808"/>
        <v/>
      </c>
      <c r="AD2457" t="str">
        <f t="shared" si="809"/>
        <v/>
      </c>
      <c r="AE2457" t="str">
        <f t="shared" si="810"/>
        <v/>
      </c>
      <c r="AF2457" t="str">
        <f t="shared" si="813"/>
        <v/>
      </c>
      <c r="AG2457">
        <f t="shared" si="819"/>
        <v>18981</v>
      </c>
      <c r="AH2457" t="str">
        <f t="shared" si="820"/>
        <v>Nelson</v>
      </c>
      <c r="AI2457" t="str">
        <f t="shared" si="821"/>
        <v>Velodrome</v>
      </c>
      <c r="AJ2457" s="18">
        <f t="shared" si="814"/>
        <v>0</v>
      </c>
      <c r="AP2457" s="18">
        <f t="shared" si="815"/>
        <v>0</v>
      </c>
      <c r="AQ2457">
        <f t="shared" si="816"/>
        <v>2160</v>
      </c>
      <c r="AR2457" s="23">
        <f t="shared" si="817"/>
        <v>3240</v>
      </c>
      <c r="AS2457">
        <f t="shared" si="822"/>
        <v>3235</v>
      </c>
      <c r="AT2457" s="21">
        <f t="shared" si="823"/>
        <v>3240</v>
      </c>
      <c r="AU2457" s="21"/>
      <c r="AV2457" s="21"/>
      <c r="AW2457" s="21"/>
    </row>
    <row r="2458" spans="5:49" x14ac:dyDescent="0.2">
      <c r="E2458">
        <f t="shared" si="818"/>
        <v>3</v>
      </c>
      <c r="J2458">
        <f t="shared" si="825"/>
        <v>0</v>
      </c>
      <c r="K2458">
        <f t="shared" si="826"/>
        <v>0</v>
      </c>
      <c r="L2458" t="str">
        <f t="shared" si="827"/>
        <v/>
      </c>
      <c r="M2458" s="6" t="str">
        <f t="shared" si="828"/>
        <v/>
      </c>
      <c r="N2458" t="str">
        <f t="shared" si="824"/>
        <v/>
      </c>
      <c r="Y2458" t="str">
        <f t="shared" si="811"/>
        <v/>
      </c>
      <c r="Z2458" t="str">
        <f t="shared" si="812"/>
        <v/>
      </c>
      <c r="AC2458" t="str">
        <f t="shared" si="808"/>
        <v/>
      </c>
      <c r="AD2458" t="str">
        <f t="shared" si="809"/>
        <v/>
      </c>
      <c r="AE2458" t="str">
        <f t="shared" si="810"/>
        <v/>
      </c>
      <c r="AF2458" t="str">
        <f t="shared" si="813"/>
        <v/>
      </c>
      <c r="AG2458">
        <f t="shared" si="819"/>
        <v>18981</v>
      </c>
      <c r="AH2458" t="str">
        <f t="shared" si="820"/>
        <v>Nelson</v>
      </c>
      <c r="AI2458" t="str">
        <f t="shared" si="821"/>
        <v>Velodrome</v>
      </c>
      <c r="AJ2458" s="18">
        <f t="shared" si="814"/>
        <v>0</v>
      </c>
      <c r="AP2458" s="18">
        <f t="shared" si="815"/>
        <v>0</v>
      </c>
      <c r="AQ2458">
        <f t="shared" si="816"/>
        <v>2160</v>
      </c>
      <c r="AR2458" s="23">
        <f t="shared" si="817"/>
        <v>3240</v>
      </c>
      <c r="AS2458">
        <f t="shared" si="822"/>
        <v>3235</v>
      </c>
      <c r="AT2458" s="21">
        <f t="shared" si="823"/>
        <v>3240</v>
      </c>
      <c r="AU2458" s="21"/>
      <c r="AV2458" s="21"/>
      <c r="AW2458" s="21"/>
    </row>
    <row r="2459" spans="5:49" x14ac:dyDescent="0.2">
      <c r="E2459">
        <f t="shared" si="818"/>
        <v>3</v>
      </c>
      <c r="J2459">
        <f t="shared" si="825"/>
        <v>0</v>
      </c>
      <c r="K2459">
        <f t="shared" si="826"/>
        <v>0</v>
      </c>
      <c r="L2459" t="str">
        <f t="shared" si="827"/>
        <v/>
      </c>
      <c r="M2459" s="6" t="str">
        <f t="shared" si="828"/>
        <v/>
      </c>
      <c r="N2459" t="str">
        <f t="shared" si="824"/>
        <v/>
      </c>
      <c r="Y2459" t="str">
        <f t="shared" si="811"/>
        <v/>
      </c>
      <c r="Z2459" t="str">
        <f t="shared" si="812"/>
        <v/>
      </c>
      <c r="AC2459" t="str">
        <f t="shared" si="808"/>
        <v/>
      </c>
      <c r="AD2459" t="str">
        <f t="shared" si="809"/>
        <v/>
      </c>
      <c r="AE2459" t="str">
        <f t="shared" si="810"/>
        <v/>
      </c>
      <c r="AF2459" t="str">
        <f t="shared" si="813"/>
        <v/>
      </c>
      <c r="AG2459">
        <f t="shared" si="819"/>
        <v>18981</v>
      </c>
      <c r="AH2459" t="str">
        <f t="shared" si="820"/>
        <v>Nelson</v>
      </c>
      <c r="AI2459" t="str">
        <f t="shared" si="821"/>
        <v>Velodrome</v>
      </c>
      <c r="AJ2459" s="18">
        <f t="shared" si="814"/>
        <v>0</v>
      </c>
      <c r="AP2459" s="18">
        <f t="shared" si="815"/>
        <v>0</v>
      </c>
      <c r="AQ2459">
        <f t="shared" si="816"/>
        <v>2160</v>
      </c>
      <c r="AR2459" s="23">
        <f t="shared" si="817"/>
        <v>3240</v>
      </c>
      <c r="AS2459">
        <f t="shared" si="822"/>
        <v>3235</v>
      </c>
      <c r="AT2459" s="21">
        <f t="shared" si="823"/>
        <v>3240</v>
      </c>
      <c r="AU2459" s="21"/>
      <c r="AV2459" s="21"/>
      <c r="AW2459" s="21"/>
    </row>
    <row r="2460" spans="5:49" x14ac:dyDescent="0.2">
      <c r="E2460">
        <f t="shared" si="818"/>
        <v>3</v>
      </c>
      <c r="J2460">
        <f t="shared" si="825"/>
        <v>0</v>
      </c>
      <c r="K2460">
        <f t="shared" si="826"/>
        <v>0</v>
      </c>
      <c r="L2460" t="str">
        <f t="shared" si="827"/>
        <v/>
      </c>
      <c r="M2460" s="6" t="str">
        <f t="shared" si="828"/>
        <v/>
      </c>
      <c r="N2460" t="str">
        <f t="shared" si="824"/>
        <v/>
      </c>
      <c r="Y2460" t="str">
        <f t="shared" si="811"/>
        <v/>
      </c>
      <c r="Z2460" t="str">
        <f t="shared" si="812"/>
        <v/>
      </c>
      <c r="AC2460" t="str">
        <f t="shared" si="808"/>
        <v/>
      </c>
      <c r="AD2460" t="str">
        <f t="shared" si="809"/>
        <v/>
      </c>
      <c r="AE2460" t="str">
        <f t="shared" si="810"/>
        <v/>
      </c>
      <c r="AF2460" t="str">
        <f t="shared" si="813"/>
        <v/>
      </c>
      <c r="AG2460">
        <f t="shared" si="819"/>
        <v>18981</v>
      </c>
      <c r="AH2460" t="str">
        <f t="shared" si="820"/>
        <v>Nelson</v>
      </c>
      <c r="AI2460" t="str">
        <f t="shared" si="821"/>
        <v>Velodrome</v>
      </c>
      <c r="AJ2460" s="18">
        <f t="shared" si="814"/>
        <v>0</v>
      </c>
      <c r="AP2460" s="18">
        <f t="shared" si="815"/>
        <v>0</v>
      </c>
      <c r="AQ2460">
        <f t="shared" si="816"/>
        <v>2160</v>
      </c>
      <c r="AR2460" s="23">
        <f t="shared" si="817"/>
        <v>3240</v>
      </c>
      <c r="AS2460">
        <f t="shared" si="822"/>
        <v>3235</v>
      </c>
      <c r="AT2460" s="21">
        <f t="shared" si="823"/>
        <v>3240</v>
      </c>
      <c r="AU2460" s="21"/>
      <c r="AV2460" s="21"/>
      <c r="AW2460" s="21"/>
    </row>
    <row r="2461" spans="5:49" x14ac:dyDescent="0.2">
      <c r="E2461">
        <f t="shared" si="818"/>
        <v>3</v>
      </c>
      <c r="J2461">
        <f t="shared" si="825"/>
        <v>0</v>
      </c>
      <c r="K2461">
        <f t="shared" si="826"/>
        <v>0</v>
      </c>
      <c r="L2461" t="str">
        <f t="shared" si="827"/>
        <v/>
      </c>
      <c r="M2461" s="6" t="str">
        <f t="shared" si="828"/>
        <v/>
      </c>
      <c r="N2461" t="str">
        <f t="shared" si="824"/>
        <v/>
      </c>
      <c r="Y2461" t="str">
        <f t="shared" si="811"/>
        <v/>
      </c>
      <c r="Z2461" t="str">
        <f t="shared" si="812"/>
        <v/>
      </c>
      <c r="AC2461" t="str">
        <f t="shared" si="808"/>
        <v/>
      </c>
      <c r="AD2461" t="str">
        <f t="shared" si="809"/>
        <v/>
      </c>
      <c r="AE2461" t="str">
        <f t="shared" si="810"/>
        <v/>
      </c>
      <c r="AF2461" t="str">
        <f t="shared" si="813"/>
        <v/>
      </c>
      <c r="AG2461">
        <f t="shared" si="819"/>
        <v>18981</v>
      </c>
      <c r="AH2461" t="str">
        <f t="shared" si="820"/>
        <v>Nelson</v>
      </c>
      <c r="AI2461" t="str">
        <f t="shared" si="821"/>
        <v>Velodrome</v>
      </c>
      <c r="AJ2461" s="18">
        <f t="shared" si="814"/>
        <v>0</v>
      </c>
      <c r="AP2461" s="18">
        <f t="shared" si="815"/>
        <v>0</v>
      </c>
      <c r="AQ2461">
        <f t="shared" si="816"/>
        <v>2160</v>
      </c>
      <c r="AR2461" s="23">
        <f t="shared" si="817"/>
        <v>3240</v>
      </c>
      <c r="AS2461">
        <f t="shared" si="822"/>
        <v>3235</v>
      </c>
      <c r="AT2461" s="21">
        <f t="shared" si="823"/>
        <v>3240</v>
      </c>
      <c r="AU2461" s="21"/>
      <c r="AV2461" s="21"/>
      <c r="AW2461" s="21"/>
    </row>
    <row r="2462" spans="5:49" x14ac:dyDescent="0.2">
      <c r="E2462">
        <f t="shared" si="818"/>
        <v>3</v>
      </c>
      <c r="J2462">
        <f t="shared" si="825"/>
        <v>0</v>
      </c>
      <c r="K2462">
        <f t="shared" si="826"/>
        <v>0</v>
      </c>
      <c r="L2462" t="str">
        <f t="shared" si="827"/>
        <v/>
      </c>
      <c r="M2462" s="6" t="str">
        <f t="shared" si="828"/>
        <v/>
      </c>
      <c r="N2462" t="str">
        <f t="shared" si="824"/>
        <v/>
      </c>
      <c r="Y2462" t="str">
        <f t="shared" si="811"/>
        <v/>
      </c>
      <c r="Z2462" t="str">
        <f t="shared" si="812"/>
        <v/>
      </c>
      <c r="AC2462" t="str">
        <f t="shared" si="808"/>
        <v/>
      </c>
      <c r="AD2462" t="str">
        <f t="shared" si="809"/>
        <v/>
      </c>
      <c r="AE2462" t="str">
        <f t="shared" si="810"/>
        <v/>
      </c>
      <c r="AF2462" t="str">
        <f t="shared" si="813"/>
        <v/>
      </c>
      <c r="AG2462">
        <f t="shared" si="819"/>
        <v>18981</v>
      </c>
      <c r="AH2462" t="str">
        <f t="shared" si="820"/>
        <v>Nelson</v>
      </c>
      <c r="AI2462" t="str">
        <f t="shared" si="821"/>
        <v>Velodrome</v>
      </c>
      <c r="AJ2462" s="18">
        <f t="shared" si="814"/>
        <v>0</v>
      </c>
      <c r="AP2462" s="18">
        <f t="shared" si="815"/>
        <v>0</v>
      </c>
      <c r="AQ2462">
        <f t="shared" si="816"/>
        <v>2160</v>
      </c>
      <c r="AR2462" s="23">
        <f t="shared" si="817"/>
        <v>3240</v>
      </c>
      <c r="AS2462">
        <f t="shared" si="822"/>
        <v>3235</v>
      </c>
      <c r="AT2462" s="21">
        <f t="shared" si="823"/>
        <v>3240</v>
      </c>
      <c r="AU2462" s="21"/>
      <c r="AV2462" s="21"/>
      <c r="AW2462" s="21"/>
    </row>
    <row r="2463" spans="5:49" x14ac:dyDescent="0.2">
      <c r="E2463">
        <f t="shared" si="818"/>
        <v>3</v>
      </c>
      <c r="J2463">
        <f t="shared" si="825"/>
        <v>0</v>
      </c>
      <c r="K2463">
        <f t="shared" si="826"/>
        <v>0</v>
      </c>
      <c r="L2463" t="str">
        <f t="shared" si="827"/>
        <v/>
      </c>
      <c r="M2463" s="6" t="str">
        <f t="shared" si="828"/>
        <v/>
      </c>
      <c r="N2463" t="str">
        <f t="shared" si="824"/>
        <v/>
      </c>
      <c r="Y2463" t="str">
        <f t="shared" si="811"/>
        <v/>
      </c>
      <c r="Z2463" t="str">
        <f t="shared" si="812"/>
        <v/>
      </c>
      <c r="AC2463" t="str">
        <f t="shared" si="808"/>
        <v/>
      </c>
      <c r="AD2463" t="str">
        <f t="shared" si="809"/>
        <v/>
      </c>
      <c r="AE2463" t="str">
        <f t="shared" si="810"/>
        <v/>
      </c>
      <c r="AF2463" t="str">
        <f t="shared" si="813"/>
        <v/>
      </c>
      <c r="AG2463">
        <f t="shared" si="819"/>
        <v>18981</v>
      </c>
      <c r="AH2463" t="str">
        <f t="shared" si="820"/>
        <v>Nelson</v>
      </c>
      <c r="AI2463" t="str">
        <f t="shared" si="821"/>
        <v>Velodrome</v>
      </c>
      <c r="AJ2463" s="18">
        <f t="shared" si="814"/>
        <v>0</v>
      </c>
      <c r="AP2463" s="18">
        <f t="shared" si="815"/>
        <v>0</v>
      </c>
      <c r="AQ2463">
        <f t="shared" si="816"/>
        <v>2160</v>
      </c>
      <c r="AR2463" s="23">
        <f t="shared" si="817"/>
        <v>3240</v>
      </c>
      <c r="AS2463">
        <f t="shared" si="822"/>
        <v>3235</v>
      </c>
      <c r="AT2463" s="21">
        <f t="shared" si="823"/>
        <v>3240</v>
      </c>
      <c r="AU2463" s="21"/>
      <c r="AV2463" s="21"/>
      <c r="AW2463" s="21"/>
    </row>
    <row r="2464" spans="5:49" x14ac:dyDescent="0.2">
      <c r="E2464">
        <f t="shared" si="818"/>
        <v>3</v>
      </c>
      <c r="J2464">
        <f t="shared" si="825"/>
        <v>0</v>
      </c>
      <c r="K2464">
        <f t="shared" si="826"/>
        <v>0</v>
      </c>
      <c r="L2464" t="str">
        <f t="shared" si="827"/>
        <v/>
      </c>
      <c r="M2464" s="6" t="str">
        <f t="shared" si="828"/>
        <v/>
      </c>
      <c r="N2464" t="str">
        <f t="shared" si="824"/>
        <v/>
      </c>
      <c r="Y2464" t="str">
        <f t="shared" si="811"/>
        <v/>
      </c>
      <c r="Z2464" t="str">
        <f t="shared" si="812"/>
        <v/>
      </c>
      <c r="AC2464" t="str">
        <f t="shared" si="808"/>
        <v/>
      </c>
      <c r="AD2464" t="str">
        <f t="shared" si="809"/>
        <v/>
      </c>
      <c r="AE2464" t="str">
        <f t="shared" si="810"/>
        <v/>
      </c>
      <c r="AF2464" t="str">
        <f t="shared" si="813"/>
        <v/>
      </c>
      <c r="AG2464">
        <f t="shared" si="819"/>
        <v>18981</v>
      </c>
      <c r="AH2464" t="str">
        <f t="shared" si="820"/>
        <v>Nelson</v>
      </c>
      <c r="AI2464" t="str">
        <f t="shared" si="821"/>
        <v>Velodrome</v>
      </c>
      <c r="AJ2464" s="18">
        <f t="shared" si="814"/>
        <v>0</v>
      </c>
      <c r="AP2464" s="18">
        <f t="shared" si="815"/>
        <v>0</v>
      </c>
      <c r="AQ2464">
        <f t="shared" si="816"/>
        <v>2160</v>
      </c>
      <c r="AR2464" s="23">
        <f t="shared" si="817"/>
        <v>3240</v>
      </c>
      <c r="AS2464">
        <f t="shared" si="822"/>
        <v>3235</v>
      </c>
      <c r="AT2464" s="21">
        <f t="shared" si="823"/>
        <v>3240</v>
      </c>
      <c r="AU2464" s="21"/>
      <c r="AV2464" s="21"/>
      <c r="AW2464" s="21"/>
    </row>
    <row r="2465" spans="5:49" x14ac:dyDescent="0.2">
      <c r="E2465">
        <f t="shared" si="818"/>
        <v>3</v>
      </c>
      <c r="J2465">
        <f t="shared" si="825"/>
        <v>0</v>
      </c>
      <c r="K2465">
        <f t="shared" si="826"/>
        <v>0</v>
      </c>
      <c r="L2465" t="str">
        <f t="shared" si="827"/>
        <v/>
      </c>
      <c r="M2465" s="6" t="str">
        <f t="shared" si="828"/>
        <v/>
      </c>
      <c r="N2465" t="str">
        <f t="shared" si="824"/>
        <v/>
      </c>
      <c r="Y2465" t="str">
        <f t="shared" si="811"/>
        <v/>
      </c>
      <c r="Z2465" t="str">
        <f t="shared" si="812"/>
        <v/>
      </c>
      <c r="AC2465" t="str">
        <f t="shared" si="808"/>
        <v/>
      </c>
      <c r="AD2465" t="str">
        <f t="shared" si="809"/>
        <v/>
      </c>
      <c r="AE2465" t="str">
        <f t="shared" si="810"/>
        <v/>
      </c>
      <c r="AF2465" t="str">
        <f t="shared" si="813"/>
        <v/>
      </c>
      <c r="AG2465">
        <f t="shared" si="819"/>
        <v>18981</v>
      </c>
      <c r="AH2465" t="str">
        <f t="shared" si="820"/>
        <v>Nelson</v>
      </c>
      <c r="AI2465" t="str">
        <f t="shared" si="821"/>
        <v>Velodrome</v>
      </c>
      <c r="AJ2465" s="18">
        <f t="shared" si="814"/>
        <v>0</v>
      </c>
      <c r="AP2465" s="18">
        <f t="shared" si="815"/>
        <v>0</v>
      </c>
      <c r="AQ2465">
        <f t="shared" si="816"/>
        <v>2160</v>
      </c>
      <c r="AR2465" s="23">
        <f t="shared" si="817"/>
        <v>3240</v>
      </c>
      <c r="AS2465">
        <f t="shared" si="822"/>
        <v>3235</v>
      </c>
      <c r="AT2465" s="21">
        <f t="shared" si="823"/>
        <v>3240</v>
      </c>
      <c r="AU2465" s="21"/>
      <c r="AV2465" s="21"/>
      <c r="AW2465" s="21"/>
    </row>
    <row r="2466" spans="5:49" x14ac:dyDescent="0.2">
      <c r="E2466">
        <f t="shared" si="818"/>
        <v>3</v>
      </c>
      <c r="J2466">
        <f t="shared" si="825"/>
        <v>0</v>
      </c>
      <c r="K2466">
        <f t="shared" si="826"/>
        <v>0</v>
      </c>
      <c r="L2466" t="str">
        <f t="shared" si="827"/>
        <v/>
      </c>
      <c r="M2466" s="6" t="str">
        <f t="shared" si="828"/>
        <v/>
      </c>
      <c r="N2466" t="str">
        <f t="shared" si="824"/>
        <v/>
      </c>
      <c r="Y2466" t="str">
        <f t="shared" si="811"/>
        <v/>
      </c>
      <c r="Z2466" t="str">
        <f t="shared" si="812"/>
        <v/>
      </c>
      <c r="AC2466" t="str">
        <f t="shared" si="808"/>
        <v/>
      </c>
      <c r="AD2466" t="str">
        <f t="shared" si="809"/>
        <v/>
      </c>
      <c r="AE2466" t="str">
        <f t="shared" si="810"/>
        <v/>
      </c>
      <c r="AF2466" t="str">
        <f t="shared" si="813"/>
        <v/>
      </c>
      <c r="AG2466">
        <f t="shared" si="819"/>
        <v>18981</v>
      </c>
      <c r="AH2466" t="str">
        <f t="shared" si="820"/>
        <v>Nelson</v>
      </c>
      <c r="AI2466" t="str">
        <f t="shared" si="821"/>
        <v>Velodrome</v>
      </c>
      <c r="AJ2466" s="18">
        <f t="shared" si="814"/>
        <v>0</v>
      </c>
      <c r="AP2466" s="18">
        <f t="shared" si="815"/>
        <v>0</v>
      </c>
      <c r="AQ2466">
        <f t="shared" si="816"/>
        <v>2160</v>
      </c>
      <c r="AR2466" s="23">
        <f t="shared" si="817"/>
        <v>3240</v>
      </c>
      <c r="AS2466">
        <f t="shared" si="822"/>
        <v>3235</v>
      </c>
      <c r="AT2466" s="21">
        <f t="shared" si="823"/>
        <v>3240</v>
      </c>
      <c r="AU2466" s="21"/>
      <c r="AV2466" s="21"/>
      <c r="AW2466" s="21"/>
    </row>
    <row r="2467" spans="5:49" x14ac:dyDescent="0.2">
      <c r="E2467">
        <f t="shared" si="818"/>
        <v>3</v>
      </c>
      <c r="J2467">
        <f t="shared" si="825"/>
        <v>0</v>
      </c>
      <c r="K2467">
        <f t="shared" si="826"/>
        <v>0</v>
      </c>
      <c r="L2467" t="str">
        <f t="shared" si="827"/>
        <v/>
      </c>
      <c r="M2467" s="6" t="str">
        <f t="shared" si="828"/>
        <v/>
      </c>
      <c r="N2467" t="str">
        <f t="shared" si="824"/>
        <v/>
      </c>
      <c r="Y2467" t="str">
        <f t="shared" si="811"/>
        <v/>
      </c>
      <c r="Z2467" t="str">
        <f t="shared" si="812"/>
        <v/>
      </c>
      <c r="AC2467" t="str">
        <f t="shared" si="808"/>
        <v/>
      </c>
      <c r="AD2467" t="str">
        <f t="shared" si="809"/>
        <v/>
      </c>
      <c r="AE2467" t="str">
        <f t="shared" si="810"/>
        <v/>
      </c>
      <c r="AF2467" t="str">
        <f t="shared" si="813"/>
        <v/>
      </c>
      <c r="AG2467">
        <f t="shared" si="819"/>
        <v>18981</v>
      </c>
      <c r="AH2467" t="str">
        <f t="shared" si="820"/>
        <v>Nelson</v>
      </c>
      <c r="AI2467" t="str">
        <f t="shared" si="821"/>
        <v>Velodrome</v>
      </c>
      <c r="AJ2467" s="18">
        <f t="shared" si="814"/>
        <v>0</v>
      </c>
      <c r="AP2467" s="18">
        <f t="shared" si="815"/>
        <v>0</v>
      </c>
      <c r="AQ2467">
        <f t="shared" si="816"/>
        <v>2160</v>
      </c>
      <c r="AR2467" s="23">
        <f t="shared" si="817"/>
        <v>3240</v>
      </c>
      <c r="AS2467">
        <f t="shared" si="822"/>
        <v>3235</v>
      </c>
      <c r="AT2467" s="21">
        <f t="shared" si="823"/>
        <v>3240</v>
      </c>
      <c r="AU2467" s="21"/>
      <c r="AV2467" s="21"/>
      <c r="AW2467" s="21"/>
    </row>
    <row r="2468" spans="5:49" x14ac:dyDescent="0.2">
      <c r="E2468">
        <f t="shared" si="818"/>
        <v>3</v>
      </c>
      <c r="J2468">
        <f t="shared" si="825"/>
        <v>0</v>
      </c>
      <c r="K2468">
        <f t="shared" si="826"/>
        <v>0</v>
      </c>
      <c r="L2468" t="str">
        <f t="shared" si="827"/>
        <v/>
      </c>
      <c r="M2468" s="6" t="str">
        <f t="shared" si="828"/>
        <v/>
      </c>
      <c r="N2468" t="str">
        <f t="shared" si="824"/>
        <v/>
      </c>
      <c r="Y2468" t="str">
        <f t="shared" si="811"/>
        <v/>
      </c>
      <c r="Z2468" t="str">
        <f t="shared" si="812"/>
        <v/>
      </c>
      <c r="AC2468" t="str">
        <f t="shared" si="808"/>
        <v/>
      </c>
      <c r="AD2468" t="str">
        <f t="shared" si="809"/>
        <v/>
      </c>
      <c r="AE2468" t="str">
        <f t="shared" si="810"/>
        <v/>
      </c>
      <c r="AF2468" t="str">
        <f t="shared" si="813"/>
        <v/>
      </c>
      <c r="AG2468">
        <f t="shared" si="819"/>
        <v>18981</v>
      </c>
      <c r="AH2468" t="str">
        <f t="shared" si="820"/>
        <v>Nelson</v>
      </c>
      <c r="AI2468" t="str">
        <f t="shared" si="821"/>
        <v>Velodrome</v>
      </c>
      <c r="AJ2468" s="18">
        <f t="shared" si="814"/>
        <v>0</v>
      </c>
      <c r="AP2468" s="18">
        <f t="shared" si="815"/>
        <v>0</v>
      </c>
      <c r="AQ2468">
        <f t="shared" si="816"/>
        <v>2160</v>
      </c>
      <c r="AR2468" s="23">
        <f t="shared" si="817"/>
        <v>3240</v>
      </c>
      <c r="AS2468">
        <f t="shared" si="822"/>
        <v>3235</v>
      </c>
      <c r="AT2468" s="21">
        <f t="shared" si="823"/>
        <v>3240</v>
      </c>
      <c r="AU2468" s="21"/>
      <c r="AV2468" s="21"/>
      <c r="AW2468" s="21"/>
    </row>
    <row r="2469" spans="5:49" x14ac:dyDescent="0.2">
      <c r="E2469">
        <f t="shared" si="818"/>
        <v>3</v>
      </c>
      <c r="J2469">
        <f t="shared" si="825"/>
        <v>0</v>
      </c>
      <c r="K2469">
        <f t="shared" si="826"/>
        <v>0</v>
      </c>
      <c r="L2469" t="str">
        <f t="shared" si="827"/>
        <v/>
      </c>
      <c r="M2469" s="6" t="str">
        <f t="shared" si="828"/>
        <v/>
      </c>
      <c r="N2469" t="str">
        <f t="shared" si="824"/>
        <v/>
      </c>
      <c r="Y2469" t="str">
        <f t="shared" si="811"/>
        <v/>
      </c>
      <c r="Z2469" t="str">
        <f t="shared" si="812"/>
        <v/>
      </c>
      <c r="AC2469" t="str">
        <f t="shared" si="808"/>
        <v/>
      </c>
      <c r="AD2469" t="str">
        <f t="shared" si="809"/>
        <v/>
      </c>
      <c r="AE2469" t="str">
        <f t="shared" si="810"/>
        <v/>
      </c>
      <c r="AF2469" t="str">
        <f t="shared" si="813"/>
        <v/>
      </c>
      <c r="AG2469">
        <f t="shared" si="819"/>
        <v>18981</v>
      </c>
      <c r="AH2469" t="str">
        <f t="shared" si="820"/>
        <v>Nelson</v>
      </c>
      <c r="AI2469" t="str">
        <f t="shared" si="821"/>
        <v>Velodrome</v>
      </c>
      <c r="AJ2469" s="18">
        <f t="shared" si="814"/>
        <v>0</v>
      </c>
      <c r="AP2469" s="18">
        <f t="shared" si="815"/>
        <v>0</v>
      </c>
      <c r="AQ2469">
        <f t="shared" si="816"/>
        <v>2160</v>
      </c>
      <c r="AR2469" s="23">
        <f t="shared" si="817"/>
        <v>3240</v>
      </c>
      <c r="AS2469">
        <f t="shared" si="822"/>
        <v>3235</v>
      </c>
      <c r="AT2469" s="21">
        <f t="shared" si="823"/>
        <v>3240</v>
      </c>
      <c r="AU2469" s="21"/>
      <c r="AV2469" s="21"/>
      <c r="AW2469" s="21"/>
    </row>
    <row r="2470" spans="5:49" x14ac:dyDescent="0.2">
      <c r="E2470">
        <f t="shared" si="818"/>
        <v>3</v>
      </c>
      <c r="J2470">
        <f t="shared" si="825"/>
        <v>0</v>
      </c>
      <c r="K2470">
        <f t="shared" si="826"/>
        <v>0</v>
      </c>
      <c r="L2470" t="str">
        <f t="shared" si="827"/>
        <v/>
      </c>
      <c r="M2470" s="6" t="str">
        <f t="shared" si="828"/>
        <v/>
      </c>
      <c r="N2470" t="str">
        <f t="shared" si="824"/>
        <v/>
      </c>
      <c r="Y2470" t="str">
        <f t="shared" si="811"/>
        <v/>
      </c>
      <c r="Z2470" t="str">
        <f t="shared" si="812"/>
        <v/>
      </c>
      <c r="AC2470" t="str">
        <f t="shared" si="808"/>
        <v/>
      </c>
      <c r="AD2470" t="str">
        <f t="shared" si="809"/>
        <v/>
      </c>
      <c r="AE2470" t="str">
        <f t="shared" si="810"/>
        <v/>
      </c>
      <c r="AF2470" t="str">
        <f t="shared" si="813"/>
        <v/>
      </c>
      <c r="AG2470">
        <f t="shared" si="819"/>
        <v>18981</v>
      </c>
      <c r="AH2470" t="str">
        <f t="shared" si="820"/>
        <v>Nelson</v>
      </c>
      <c r="AI2470" t="str">
        <f t="shared" si="821"/>
        <v>Velodrome</v>
      </c>
      <c r="AJ2470" s="18">
        <f t="shared" si="814"/>
        <v>0</v>
      </c>
      <c r="AP2470" s="18">
        <f t="shared" si="815"/>
        <v>0</v>
      </c>
      <c r="AQ2470">
        <f t="shared" si="816"/>
        <v>2160</v>
      </c>
      <c r="AR2470" s="23">
        <f t="shared" si="817"/>
        <v>3240</v>
      </c>
      <c r="AS2470">
        <f t="shared" si="822"/>
        <v>3235</v>
      </c>
      <c r="AT2470" s="21">
        <f t="shared" si="823"/>
        <v>3240</v>
      </c>
      <c r="AU2470" s="21"/>
      <c r="AV2470" s="21"/>
      <c r="AW2470" s="21"/>
    </row>
    <row r="2471" spans="5:49" x14ac:dyDescent="0.2">
      <c r="E2471">
        <f t="shared" si="818"/>
        <v>3</v>
      </c>
      <c r="J2471">
        <f t="shared" si="825"/>
        <v>0</v>
      </c>
      <c r="K2471">
        <f t="shared" si="826"/>
        <v>0</v>
      </c>
      <c r="L2471" t="str">
        <f t="shared" si="827"/>
        <v/>
      </c>
      <c r="M2471" s="6" t="str">
        <f t="shared" si="828"/>
        <v/>
      </c>
      <c r="N2471" t="str">
        <f t="shared" si="824"/>
        <v/>
      </c>
      <c r="Y2471" t="str">
        <f t="shared" si="811"/>
        <v/>
      </c>
      <c r="Z2471" t="str">
        <f t="shared" si="812"/>
        <v/>
      </c>
      <c r="AC2471" t="str">
        <f t="shared" si="808"/>
        <v/>
      </c>
      <c r="AD2471" t="str">
        <f t="shared" si="809"/>
        <v/>
      </c>
      <c r="AE2471" t="str">
        <f t="shared" si="810"/>
        <v/>
      </c>
      <c r="AF2471" t="str">
        <f t="shared" si="813"/>
        <v/>
      </c>
      <c r="AG2471">
        <f t="shared" si="819"/>
        <v>18981</v>
      </c>
      <c r="AH2471" t="str">
        <f t="shared" si="820"/>
        <v>Nelson</v>
      </c>
      <c r="AI2471" t="str">
        <f t="shared" si="821"/>
        <v>Velodrome</v>
      </c>
      <c r="AJ2471" s="18">
        <f t="shared" si="814"/>
        <v>0</v>
      </c>
      <c r="AP2471" s="18">
        <f t="shared" si="815"/>
        <v>0</v>
      </c>
      <c r="AQ2471">
        <f t="shared" si="816"/>
        <v>2160</v>
      </c>
      <c r="AR2471" s="23">
        <f t="shared" si="817"/>
        <v>3240</v>
      </c>
      <c r="AS2471">
        <f t="shared" si="822"/>
        <v>3235</v>
      </c>
      <c r="AT2471" s="21">
        <f t="shared" si="823"/>
        <v>3240</v>
      </c>
      <c r="AU2471" s="21"/>
      <c r="AV2471" s="21"/>
      <c r="AW2471" s="21"/>
    </row>
    <row r="2472" spans="5:49" x14ac:dyDescent="0.2">
      <c r="E2472">
        <f t="shared" si="818"/>
        <v>3</v>
      </c>
      <c r="J2472">
        <f t="shared" si="825"/>
        <v>0</v>
      </c>
      <c r="K2472">
        <f t="shared" si="826"/>
        <v>0</v>
      </c>
      <c r="L2472" t="str">
        <f t="shared" si="827"/>
        <v/>
      </c>
      <c r="M2472" s="6" t="str">
        <f t="shared" si="828"/>
        <v/>
      </c>
      <c r="N2472" t="str">
        <f t="shared" si="824"/>
        <v/>
      </c>
      <c r="Y2472" t="str">
        <f t="shared" si="811"/>
        <v/>
      </c>
      <c r="Z2472" t="str">
        <f t="shared" si="812"/>
        <v/>
      </c>
      <c r="AC2472" t="str">
        <f t="shared" si="808"/>
        <v/>
      </c>
      <c r="AD2472" t="str">
        <f t="shared" si="809"/>
        <v/>
      </c>
      <c r="AE2472" t="str">
        <f t="shared" si="810"/>
        <v/>
      </c>
      <c r="AF2472" t="str">
        <f t="shared" si="813"/>
        <v/>
      </c>
      <c r="AG2472">
        <f t="shared" si="819"/>
        <v>18981</v>
      </c>
      <c r="AH2472" t="str">
        <f t="shared" si="820"/>
        <v>Nelson</v>
      </c>
      <c r="AI2472" t="str">
        <f t="shared" si="821"/>
        <v>Velodrome</v>
      </c>
      <c r="AJ2472" s="18">
        <f t="shared" si="814"/>
        <v>0</v>
      </c>
      <c r="AP2472" s="18">
        <f t="shared" si="815"/>
        <v>0</v>
      </c>
      <c r="AQ2472">
        <f t="shared" si="816"/>
        <v>2160</v>
      </c>
      <c r="AR2472" s="23">
        <f t="shared" si="817"/>
        <v>3240</v>
      </c>
      <c r="AS2472">
        <f t="shared" si="822"/>
        <v>3235</v>
      </c>
      <c r="AT2472" s="21">
        <f t="shared" si="823"/>
        <v>3240</v>
      </c>
      <c r="AU2472" s="21"/>
      <c r="AV2472" s="21"/>
      <c r="AW2472" s="21"/>
    </row>
    <row r="2473" spans="5:49" x14ac:dyDescent="0.2">
      <c r="E2473">
        <f t="shared" si="818"/>
        <v>3</v>
      </c>
      <c r="J2473">
        <f t="shared" si="825"/>
        <v>0</v>
      </c>
      <c r="K2473">
        <f t="shared" si="826"/>
        <v>0</v>
      </c>
      <c r="L2473" t="str">
        <f t="shared" si="827"/>
        <v/>
      </c>
      <c r="M2473" s="6" t="str">
        <f t="shared" si="828"/>
        <v/>
      </c>
      <c r="N2473" t="str">
        <f t="shared" si="824"/>
        <v/>
      </c>
      <c r="Y2473" t="str">
        <f t="shared" si="811"/>
        <v/>
      </c>
      <c r="Z2473" t="str">
        <f t="shared" si="812"/>
        <v/>
      </c>
      <c r="AC2473" t="str">
        <f t="shared" si="808"/>
        <v/>
      </c>
      <c r="AD2473" t="str">
        <f t="shared" si="809"/>
        <v/>
      </c>
      <c r="AE2473" t="str">
        <f t="shared" si="810"/>
        <v/>
      </c>
      <c r="AF2473" t="str">
        <f t="shared" si="813"/>
        <v/>
      </c>
      <c r="AG2473">
        <f t="shared" si="819"/>
        <v>18981</v>
      </c>
      <c r="AH2473" t="str">
        <f t="shared" si="820"/>
        <v>Nelson</v>
      </c>
      <c r="AI2473" t="str">
        <f t="shared" si="821"/>
        <v>Velodrome</v>
      </c>
      <c r="AJ2473" s="18">
        <f t="shared" si="814"/>
        <v>0</v>
      </c>
      <c r="AP2473" s="18">
        <f t="shared" si="815"/>
        <v>0</v>
      </c>
      <c r="AQ2473">
        <f t="shared" si="816"/>
        <v>2160</v>
      </c>
      <c r="AR2473" s="23">
        <f t="shared" si="817"/>
        <v>3240</v>
      </c>
      <c r="AS2473">
        <f t="shared" si="822"/>
        <v>3235</v>
      </c>
      <c r="AT2473" s="21">
        <f t="shared" si="823"/>
        <v>3240</v>
      </c>
      <c r="AU2473" s="21"/>
      <c r="AV2473" s="21"/>
      <c r="AW2473" s="21"/>
    </row>
    <row r="2474" spans="5:49" x14ac:dyDescent="0.2">
      <c r="E2474">
        <f t="shared" si="818"/>
        <v>3</v>
      </c>
      <c r="J2474">
        <f t="shared" si="825"/>
        <v>0</v>
      </c>
      <c r="K2474">
        <f t="shared" si="826"/>
        <v>0</v>
      </c>
      <c r="L2474" t="str">
        <f t="shared" si="827"/>
        <v/>
      </c>
      <c r="M2474" s="6" t="str">
        <f t="shared" si="828"/>
        <v/>
      </c>
      <c r="N2474" t="str">
        <f t="shared" si="824"/>
        <v/>
      </c>
      <c r="Y2474" t="str">
        <f t="shared" si="811"/>
        <v/>
      </c>
      <c r="Z2474" t="str">
        <f t="shared" si="812"/>
        <v/>
      </c>
      <c r="AC2474" t="str">
        <f t="shared" si="808"/>
        <v/>
      </c>
      <c r="AD2474" t="str">
        <f t="shared" si="809"/>
        <v/>
      </c>
      <c r="AE2474" t="str">
        <f t="shared" si="810"/>
        <v/>
      </c>
      <c r="AF2474" t="str">
        <f t="shared" si="813"/>
        <v/>
      </c>
      <c r="AG2474">
        <f t="shared" si="819"/>
        <v>18981</v>
      </c>
      <c r="AH2474" t="str">
        <f t="shared" si="820"/>
        <v>Nelson</v>
      </c>
      <c r="AI2474" t="str">
        <f t="shared" si="821"/>
        <v>Velodrome</v>
      </c>
      <c r="AJ2474" s="18">
        <f t="shared" si="814"/>
        <v>0</v>
      </c>
      <c r="AP2474" s="18">
        <f t="shared" si="815"/>
        <v>0</v>
      </c>
      <c r="AQ2474">
        <f t="shared" si="816"/>
        <v>2160</v>
      </c>
      <c r="AR2474" s="23">
        <f t="shared" si="817"/>
        <v>3240</v>
      </c>
      <c r="AS2474">
        <f t="shared" si="822"/>
        <v>3235</v>
      </c>
      <c r="AT2474" s="21">
        <f t="shared" si="823"/>
        <v>3240</v>
      </c>
      <c r="AU2474" s="21"/>
      <c r="AV2474" s="21"/>
      <c r="AW2474" s="21"/>
    </row>
    <row r="2475" spans="5:49" x14ac:dyDescent="0.2">
      <c r="E2475">
        <f t="shared" si="818"/>
        <v>3</v>
      </c>
      <c r="J2475">
        <f t="shared" si="825"/>
        <v>0</v>
      </c>
      <c r="K2475">
        <f t="shared" si="826"/>
        <v>0</v>
      </c>
      <c r="L2475" t="str">
        <f t="shared" si="827"/>
        <v/>
      </c>
      <c r="M2475" s="6" t="str">
        <f t="shared" si="828"/>
        <v/>
      </c>
      <c r="N2475" t="str">
        <f t="shared" si="824"/>
        <v/>
      </c>
      <c r="Y2475" t="str">
        <f t="shared" si="811"/>
        <v/>
      </c>
      <c r="Z2475" t="str">
        <f t="shared" si="812"/>
        <v/>
      </c>
      <c r="AC2475" t="str">
        <f t="shared" si="808"/>
        <v/>
      </c>
      <c r="AD2475" t="str">
        <f t="shared" si="809"/>
        <v/>
      </c>
      <c r="AE2475" t="str">
        <f t="shared" si="810"/>
        <v/>
      </c>
      <c r="AF2475" t="str">
        <f t="shared" si="813"/>
        <v/>
      </c>
      <c r="AG2475">
        <f t="shared" si="819"/>
        <v>18981</v>
      </c>
      <c r="AH2475" t="str">
        <f t="shared" si="820"/>
        <v>Nelson</v>
      </c>
      <c r="AI2475" t="str">
        <f t="shared" si="821"/>
        <v>Velodrome</v>
      </c>
      <c r="AJ2475" s="18">
        <f t="shared" si="814"/>
        <v>0</v>
      </c>
      <c r="AP2475" s="18">
        <f t="shared" si="815"/>
        <v>0</v>
      </c>
      <c r="AQ2475">
        <f t="shared" si="816"/>
        <v>2160</v>
      </c>
      <c r="AR2475" s="23">
        <f t="shared" si="817"/>
        <v>3240</v>
      </c>
      <c r="AS2475">
        <f t="shared" si="822"/>
        <v>3235</v>
      </c>
      <c r="AT2475" s="21">
        <f t="shared" si="823"/>
        <v>3240</v>
      </c>
      <c r="AU2475" s="21"/>
      <c r="AV2475" s="21"/>
      <c r="AW2475" s="21"/>
    </row>
    <row r="2476" spans="5:49" x14ac:dyDescent="0.2">
      <c r="E2476">
        <f t="shared" si="818"/>
        <v>3</v>
      </c>
      <c r="J2476">
        <f t="shared" si="825"/>
        <v>0</v>
      </c>
      <c r="K2476">
        <f t="shared" si="826"/>
        <v>0</v>
      </c>
      <c r="L2476" t="str">
        <f t="shared" si="827"/>
        <v/>
      </c>
      <c r="M2476" s="6" t="str">
        <f t="shared" si="828"/>
        <v/>
      </c>
      <c r="N2476" t="str">
        <f t="shared" si="824"/>
        <v/>
      </c>
      <c r="Y2476" t="str">
        <f t="shared" si="811"/>
        <v/>
      </c>
      <c r="Z2476" t="str">
        <f t="shared" si="812"/>
        <v/>
      </c>
      <c r="AC2476" t="str">
        <f t="shared" si="808"/>
        <v/>
      </c>
      <c r="AD2476" t="str">
        <f t="shared" si="809"/>
        <v/>
      </c>
      <c r="AE2476" t="str">
        <f t="shared" si="810"/>
        <v/>
      </c>
      <c r="AF2476" t="str">
        <f t="shared" si="813"/>
        <v/>
      </c>
      <c r="AG2476">
        <f t="shared" si="819"/>
        <v>18981</v>
      </c>
      <c r="AH2476" t="str">
        <f t="shared" si="820"/>
        <v>Nelson</v>
      </c>
      <c r="AI2476" t="str">
        <f t="shared" si="821"/>
        <v>Velodrome</v>
      </c>
      <c r="AJ2476" s="18">
        <f t="shared" si="814"/>
        <v>0</v>
      </c>
      <c r="AP2476" s="18">
        <f t="shared" si="815"/>
        <v>0</v>
      </c>
      <c r="AQ2476">
        <f t="shared" si="816"/>
        <v>2160</v>
      </c>
      <c r="AR2476" s="23">
        <f t="shared" si="817"/>
        <v>3240</v>
      </c>
      <c r="AS2476">
        <f t="shared" si="822"/>
        <v>3235</v>
      </c>
      <c r="AT2476" s="21">
        <f t="shared" si="823"/>
        <v>3240</v>
      </c>
      <c r="AU2476" s="21"/>
      <c r="AV2476" s="21"/>
      <c r="AW2476" s="21"/>
    </row>
    <row r="2477" spans="5:49" x14ac:dyDescent="0.2">
      <c r="E2477">
        <f t="shared" si="818"/>
        <v>3</v>
      </c>
      <c r="J2477">
        <f t="shared" si="825"/>
        <v>0</v>
      </c>
      <c r="K2477">
        <f t="shared" si="826"/>
        <v>0</v>
      </c>
      <c r="L2477" t="str">
        <f t="shared" si="827"/>
        <v/>
      </c>
      <c r="M2477" s="6" t="str">
        <f t="shared" si="828"/>
        <v/>
      </c>
      <c r="N2477" t="str">
        <f t="shared" si="824"/>
        <v/>
      </c>
      <c r="Y2477" t="str">
        <f t="shared" si="811"/>
        <v/>
      </c>
      <c r="Z2477" t="str">
        <f t="shared" si="812"/>
        <v/>
      </c>
      <c r="AC2477" t="str">
        <f t="shared" si="808"/>
        <v/>
      </c>
      <c r="AD2477" t="str">
        <f t="shared" si="809"/>
        <v/>
      </c>
      <c r="AE2477" t="str">
        <f t="shared" si="810"/>
        <v/>
      </c>
      <c r="AF2477" t="str">
        <f t="shared" si="813"/>
        <v/>
      </c>
      <c r="AG2477">
        <f t="shared" si="819"/>
        <v>18981</v>
      </c>
      <c r="AH2477" t="str">
        <f t="shared" si="820"/>
        <v>Nelson</v>
      </c>
      <c r="AI2477" t="str">
        <f t="shared" si="821"/>
        <v>Velodrome</v>
      </c>
      <c r="AJ2477" s="18">
        <f t="shared" si="814"/>
        <v>0</v>
      </c>
      <c r="AP2477" s="18">
        <f t="shared" si="815"/>
        <v>0</v>
      </c>
      <c r="AQ2477">
        <f t="shared" si="816"/>
        <v>2160</v>
      </c>
      <c r="AR2477" s="23">
        <f t="shared" si="817"/>
        <v>3240</v>
      </c>
      <c r="AS2477">
        <f t="shared" si="822"/>
        <v>3235</v>
      </c>
      <c r="AT2477" s="21">
        <f t="shared" si="823"/>
        <v>3240</v>
      </c>
      <c r="AU2477" s="21"/>
      <c r="AV2477" s="21"/>
      <c r="AW2477" s="21"/>
    </row>
    <row r="2478" spans="5:49" x14ac:dyDescent="0.2">
      <c r="E2478">
        <f t="shared" si="818"/>
        <v>3</v>
      </c>
      <c r="J2478">
        <f t="shared" si="825"/>
        <v>0</v>
      </c>
      <c r="K2478">
        <f t="shared" si="826"/>
        <v>0</v>
      </c>
      <c r="L2478" t="str">
        <f t="shared" si="827"/>
        <v/>
      </c>
      <c r="M2478" s="6" t="str">
        <f t="shared" si="828"/>
        <v/>
      </c>
      <c r="N2478" t="str">
        <f t="shared" si="824"/>
        <v/>
      </c>
      <c r="Y2478" t="str">
        <f t="shared" si="811"/>
        <v/>
      </c>
      <c r="Z2478" t="str">
        <f t="shared" si="812"/>
        <v/>
      </c>
      <c r="AC2478" t="str">
        <f t="shared" si="808"/>
        <v/>
      </c>
      <c r="AD2478" t="str">
        <f t="shared" si="809"/>
        <v/>
      </c>
      <c r="AE2478" t="str">
        <f t="shared" si="810"/>
        <v/>
      </c>
      <c r="AF2478" t="str">
        <f t="shared" si="813"/>
        <v/>
      </c>
      <c r="AG2478">
        <f t="shared" si="819"/>
        <v>18981</v>
      </c>
      <c r="AH2478" t="str">
        <f t="shared" si="820"/>
        <v>Nelson</v>
      </c>
      <c r="AI2478" t="str">
        <f t="shared" si="821"/>
        <v>Velodrome</v>
      </c>
      <c r="AJ2478" s="18">
        <f t="shared" si="814"/>
        <v>0</v>
      </c>
      <c r="AP2478" s="18">
        <f t="shared" si="815"/>
        <v>0</v>
      </c>
      <c r="AQ2478">
        <f t="shared" si="816"/>
        <v>2160</v>
      </c>
      <c r="AR2478" s="23">
        <f t="shared" si="817"/>
        <v>3240</v>
      </c>
      <c r="AS2478">
        <f t="shared" si="822"/>
        <v>3235</v>
      </c>
      <c r="AT2478" s="21">
        <f t="shared" si="823"/>
        <v>3240</v>
      </c>
      <c r="AU2478" s="21"/>
      <c r="AV2478" s="21"/>
      <c r="AW2478" s="21"/>
    </row>
    <row r="2479" spans="5:49" x14ac:dyDescent="0.2">
      <c r="E2479">
        <f t="shared" si="818"/>
        <v>3</v>
      </c>
      <c r="J2479">
        <f t="shared" si="825"/>
        <v>0</v>
      </c>
      <c r="K2479">
        <f t="shared" si="826"/>
        <v>0</v>
      </c>
      <c r="L2479" t="str">
        <f t="shared" si="827"/>
        <v/>
      </c>
      <c r="M2479" s="6" t="str">
        <f t="shared" si="828"/>
        <v/>
      </c>
      <c r="N2479" t="str">
        <f t="shared" si="824"/>
        <v/>
      </c>
      <c r="Y2479" t="str">
        <f t="shared" si="811"/>
        <v/>
      </c>
      <c r="Z2479" t="str">
        <f t="shared" si="812"/>
        <v/>
      </c>
      <c r="AC2479" t="str">
        <f t="shared" ref="AC2479:AC2542" si="829">IF(Q2479&lt;&gt;"",Q2479,IF($A2479=$A2478,AC2478,""))</f>
        <v/>
      </c>
      <c r="AD2479" t="str">
        <f t="shared" ref="AD2479:AD2542" si="830">IF(R2479&lt;&gt;"",R2479,IF($A2479=$A2478,AD2478,""))</f>
        <v/>
      </c>
      <c r="AE2479" t="str">
        <f t="shared" ref="AE2479:AE2542" si="831">IF(S2479&lt;&gt;"",S2479,IF($A2479=$A2478,AE2478,""))</f>
        <v/>
      </c>
      <c r="AF2479" t="str">
        <f t="shared" si="813"/>
        <v/>
      </c>
      <c r="AG2479">
        <f t="shared" si="819"/>
        <v>18981</v>
      </c>
      <c r="AH2479" t="str">
        <f t="shared" si="820"/>
        <v>Nelson</v>
      </c>
      <c r="AI2479" t="str">
        <f t="shared" si="821"/>
        <v>Velodrome</v>
      </c>
      <c r="AJ2479" s="18">
        <f t="shared" si="814"/>
        <v>0</v>
      </c>
      <c r="AP2479" s="18">
        <f t="shared" si="815"/>
        <v>0</v>
      </c>
      <c r="AQ2479">
        <f t="shared" si="816"/>
        <v>2160</v>
      </c>
      <c r="AR2479" s="23">
        <f t="shared" si="817"/>
        <v>3240</v>
      </c>
      <c r="AS2479">
        <f t="shared" si="822"/>
        <v>3235</v>
      </c>
      <c r="AT2479" s="21">
        <f t="shared" si="823"/>
        <v>3240</v>
      </c>
      <c r="AU2479" s="21"/>
      <c r="AV2479" s="21"/>
      <c r="AW2479" s="21"/>
    </row>
    <row r="2480" spans="5:49" x14ac:dyDescent="0.2">
      <c r="E2480">
        <f t="shared" si="818"/>
        <v>3</v>
      </c>
      <c r="J2480">
        <f t="shared" si="825"/>
        <v>0</v>
      </c>
      <c r="K2480">
        <f t="shared" si="826"/>
        <v>0</v>
      </c>
      <c r="L2480" t="str">
        <f t="shared" si="827"/>
        <v/>
      </c>
      <c r="M2480" s="6" t="str">
        <f t="shared" si="828"/>
        <v/>
      </c>
      <c r="N2480" t="str">
        <f t="shared" si="824"/>
        <v/>
      </c>
      <c r="Y2480" t="str">
        <f t="shared" si="811"/>
        <v/>
      </c>
      <c r="Z2480" t="str">
        <f t="shared" si="812"/>
        <v/>
      </c>
      <c r="AC2480" t="str">
        <f t="shared" si="829"/>
        <v/>
      </c>
      <c r="AD2480" t="str">
        <f t="shared" si="830"/>
        <v/>
      </c>
      <c r="AE2480" t="str">
        <f t="shared" si="831"/>
        <v/>
      </c>
      <c r="AF2480" t="str">
        <f t="shared" si="813"/>
        <v/>
      </c>
      <c r="AG2480">
        <f t="shared" si="819"/>
        <v>18981</v>
      </c>
      <c r="AH2480" t="str">
        <f t="shared" si="820"/>
        <v>Nelson</v>
      </c>
      <c r="AI2480" t="str">
        <f t="shared" si="821"/>
        <v>Velodrome</v>
      </c>
      <c r="AJ2480" s="18">
        <f t="shared" si="814"/>
        <v>0</v>
      </c>
      <c r="AP2480" s="18">
        <f t="shared" si="815"/>
        <v>0</v>
      </c>
      <c r="AQ2480">
        <f t="shared" si="816"/>
        <v>2160</v>
      </c>
      <c r="AR2480" s="23">
        <f t="shared" si="817"/>
        <v>3240</v>
      </c>
      <c r="AS2480">
        <f t="shared" si="822"/>
        <v>3235</v>
      </c>
      <c r="AT2480" s="21">
        <f t="shared" si="823"/>
        <v>3240</v>
      </c>
      <c r="AU2480" s="21"/>
      <c r="AV2480" s="21"/>
      <c r="AW2480" s="21"/>
    </row>
    <row r="2481" spans="5:49" x14ac:dyDescent="0.2">
      <c r="E2481">
        <f t="shared" si="818"/>
        <v>3</v>
      </c>
      <c r="J2481">
        <f t="shared" si="825"/>
        <v>0</v>
      </c>
      <c r="K2481">
        <f t="shared" si="826"/>
        <v>0</v>
      </c>
      <c r="L2481" t="str">
        <f t="shared" si="827"/>
        <v/>
      </c>
      <c r="M2481" s="6" t="str">
        <f t="shared" si="828"/>
        <v/>
      </c>
      <c r="N2481" t="str">
        <f t="shared" si="824"/>
        <v/>
      </c>
      <c r="Y2481" t="str">
        <f t="shared" si="811"/>
        <v/>
      </c>
      <c r="Z2481" t="str">
        <f t="shared" si="812"/>
        <v/>
      </c>
      <c r="AC2481" t="str">
        <f t="shared" si="829"/>
        <v/>
      </c>
      <c r="AD2481" t="str">
        <f t="shared" si="830"/>
        <v/>
      </c>
      <c r="AE2481" t="str">
        <f t="shared" si="831"/>
        <v/>
      </c>
      <c r="AF2481" t="str">
        <f t="shared" si="813"/>
        <v/>
      </c>
      <c r="AG2481">
        <f t="shared" si="819"/>
        <v>18981</v>
      </c>
      <c r="AH2481" t="str">
        <f t="shared" si="820"/>
        <v>Nelson</v>
      </c>
      <c r="AI2481" t="str">
        <f t="shared" si="821"/>
        <v>Velodrome</v>
      </c>
      <c r="AJ2481" s="18">
        <f t="shared" si="814"/>
        <v>0</v>
      </c>
      <c r="AP2481" s="18">
        <f t="shared" si="815"/>
        <v>0</v>
      </c>
      <c r="AQ2481">
        <f t="shared" si="816"/>
        <v>2160</v>
      </c>
      <c r="AR2481" s="23">
        <f t="shared" si="817"/>
        <v>3240</v>
      </c>
      <c r="AS2481">
        <f t="shared" si="822"/>
        <v>3235</v>
      </c>
      <c r="AT2481" s="21">
        <f t="shared" si="823"/>
        <v>3240</v>
      </c>
      <c r="AU2481" s="21"/>
      <c r="AV2481" s="21"/>
      <c r="AW2481" s="21"/>
    </row>
    <row r="2482" spans="5:49" x14ac:dyDescent="0.2">
      <c r="E2482">
        <f t="shared" si="818"/>
        <v>3</v>
      </c>
      <c r="J2482">
        <f t="shared" si="825"/>
        <v>0</v>
      </c>
      <c r="K2482">
        <f t="shared" si="826"/>
        <v>0</v>
      </c>
      <c r="L2482" t="str">
        <f t="shared" si="827"/>
        <v/>
      </c>
      <c r="M2482" s="6" t="str">
        <f t="shared" si="828"/>
        <v/>
      </c>
      <c r="N2482" t="str">
        <f t="shared" si="824"/>
        <v/>
      </c>
      <c r="Y2482" t="str">
        <f t="shared" si="811"/>
        <v/>
      </c>
      <c r="Z2482" t="str">
        <f t="shared" si="812"/>
        <v/>
      </c>
      <c r="AC2482" t="str">
        <f t="shared" si="829"/>
        <v/>
      </c>
      <c r="AD2482" t="str">
        <f t="shared" si="830"/>
        <v/>
      </c>
      <c r="AE2482" t="str">
        <f t="shared" si="831"/>
        <v/>
      </c>
      <c r="AF2482" t="str">
        <f t="shared" si="813"/>
        <v/>
      </c>
      <c r="AG2482">
        <f t="shared" si="819"/>
        <v>18981</v>
      </c>
      <c r="AH2482" t="str">
        <f t="shared" si="820"/>
        <v>Nelson</v>
      </c>
      <c r="AI2482" t="str">
        <f t="shared" si="821"/>
        <v>Velodrome</v>
      </c>
      <c r="AJ2482" s="18">
        <f t="shared" si="814"/>
        <v>0</v>
      </c>
      <c r="AP2482" s="18">
        <f t="shared" si="815"/>
        <v>0</v>
      </c>
      <c r="AQ2482">
        <f t="shared" si="816"/>
        <v>2160</v>
      </c>
      <c r="AR2482" s="23">
        <f t="shared" si="817"/>
        <v>3240</v>
      </c>
      <c r="AS2482">
        <f t="shared" si="822"/>
        <v>3235</v>
      </c>
      <c r="AT2482" s="21">
        <f t="shared" si="823"/>
        <v>3240</v>
      </c>
      <c r="AU2482" s="21"/>
      <c r="AV2482" s="21"/>
      <c r="AW2482" s="21"/>
    </row>
    <row r="2483" spans="5:49" x14ac:dyDescent="0.2">
      <c r="E2483">
        <f t="shared" si="818"/>
        <v>3</v>
      </c>
      <c r="J2483">
        <f t="shared" si="825"/>
        <v>0</v>
      </c>
      <c r="K2483">
        <f t="shared" si="826"/>
        <v>0</v>
      </c>
      <c r="L2483" t="str">
        <f t="shared" si="827"/>
        <v/>
      </c>
      <c r="M2483" s="6" t="str">
        <f t="shared" si="828"/>
        <v/>
      </c>
      <c r="N2483" t="str">
        <f t="shared" si="824"/>
        <v/>
      </c>
      <c r="Y2483" t="str">
        <f t="shared" si="811"/>
        <v/>
      </c>
      <c r="Z2483" t="str">
        <f t="shared" si="812"/>
        <v/>
      </c>
      <c r="AC2483" t="str">
        <f t="shared" si="829"/>
        <v/>
      </c>
      <c r="AD2483" t="str">
        <f t="shared" si="830"/>
        <v/>
      </c>
      <c r="AE2483" t="str">
        <f t="shared" si="831"/>
        <v/>
      </c>
      <c r="AF2483" t="str">
        <f t="shared" si="813"/>
        <v/>
      </c>
      <c r="AG2483">
        <f t="shared" si="819"/>
        <v>18981</v>
      </c>
      <c r="AH2483" t="str">
        <f t="shared" si="820"/>
        <v>Nelson</v>
      </c>
      <c r="AI2483" t="str">
        <f t="shared" si="821"/>
        <v>Velodrome</v>
      </c>
      <c r="AJ2483" s="18">
        <f t="shared" si="814"/>
        <v>0</v>
      </c>
      <c r="AP2483" s="18">
        <f t="shared" si="815"/>
        <v>0</v>
      </c>
      <c r="AQ2483">
        <f t="shared" si="816"/>
        <v>2160</v>
      </c>
      <c r="AR2483" s="23">
        <f t="shared" si="817"/>
        <v>3240</v>
      </c>
      <c r="AS2483">
        <f t="shared" si="822"/>
        <v>3235</v>
      </c>
      <c r="AT2483" s="21">
        <f t="shared" si="823"/>
        <v>3240</v>
      </c>
      <c r="AU2483" s="21"/>
      <c r="AV2483" s="21"/>
      <c r="AW2483" s="21"/>
    </row>
    <row r="2484" spans="5:49" x14ac:dyDescent="0.2">
      <c r="E2484">
        <f t="shared" si="818"/>
        <v>3</v>
      </c>
      <c r="J2484">
        <f t="shared" si="825"/>
        <v>0</v>
      </c>
      <c r="K2484">
        <f t="shared" si="826"/>
        <v>0</v>
      </c>
      <c r="L2484" t="str">
        <f t="shared" si="827"/>
        <v/>
      </c>
      <c r="M2484" s="6" t="str">
        <f t="shared" si="828"/>
        <v/>
      </c>
      <c r="N2484" t="str">
        <f t="shared" si="824"/>
        <v/>
      </c>
      <c r="Y2484" t="str">
        <f t="shared" si="811"/>
        <v/>
      </c>
      <c r="Z2484" t="str">
        <f t="shared" si="812"/>
        <v/>
      </c>
      <c r="AC2484" t="str">
        <f t="shared" si="829"/>
        <v/>
      </c>
      <c r="AD2484" t="str">
        <f t="shared" si="830"/>
        <v/>
      </c>
      <c r="AE2484" t="str">
        <f t="shared" si="831"/>
        <v/>
      </c>
      <c r="AF2484" t="str">
        <f t="shared" si="813"/>
        <v/>
      </c>
      <c r="AG2484">
        <f t="shared" si="819"/>
        <v>18981</v>
      </c>
      <c r="AH2484" t="str">
        <f t="shared" si="820"/>
        <v>Nelson</v>
      </c>
      <c r="AI2484" t="str">
        <f t="shared" si="821"/>
        <v>Velodrome</v>
      </c>
      <c r="AJ2484" s="18">
        <f t="shared" si="814"/>
        <v>0</v>
      </c>
      <c r="AP2484" s="18">
        <f t="shared" si="815"/>
        <v>0</v>
      </c>
      <c r="AQ2484">
        <f t="shared" si="816"/>
        <v>2160</v>
      </c>
      <c r="AR2484" s="23">
        <f t="shared" si="817"/>
        <v>3240</v>
      </c>
      <c r="AS2484">
        <f t="shared" si="822"/>
        <v>3235</v>
      </c>
      <c r="AT2484" s="21">
        <f t="shared" si="823"/>
        <v>3240</v>
      </c>
      <c r="AU2484" s="21"/>
      <c r="AV2484" s="21"/>
      <c r="AW2484" s="21"/>
    </row>
    <row r="2485" spans="5:49" x14ac:dyDescent="0.2">
      <c r="E2485">
        <f t="shared" si="818"/>
        <v>3</v>
      </c>
      <c r="J2485">
        <f t="shared" si="825"/>
        <v>0</v>
      </c>
      <c r="K2485">
        <f t="shared" si="826"/>
        <v>0</v>
      </c>
      <c r="L2485" t="str">
        <f t="shared" si="827"/>
        <v/>
      </c>
      <c r="M2485" s="6" t="str">
        <f t="shared" si="828"/>
        <v/>
      </c>
      <c r="N2485" t="str">
        <f t="shared" si="824"/>
        <v/>
      </c>
      <c r="Y2485" t="str">
        <f t="shared" si="811"/>
        <v/>
      </c>
      <c r="Z2485" t="str">
        <f t="shared" si="812"/>
        <v/>
      </c>
      <c r="AC2485" t="str">
        <f t="shared" si="829"/>
        <v/>
      </c>
      <c r="AD2485" t="str">
        <f t="shared" si="830"/>
        <v/>
      </c>
      <c r="AE2485" t="str">
        <f t="shared" si="831"/>
        <v/>
      </c>
      <c r="AF2485" t="str">
        <f t="shared" si="813"/>
        <v/>
      </c>
      <c r="AG2485">
        <f t="shared" si="819"/>
        <v>18981</v>
      </c>
      <c r="AH2485" t="str">
        <f t="shared" si="820"/>
        <v>Nelson</v>
      </c>
      <c r="AI2485" t="str">
        <f t="shared" si="821"/>
        <v>Velodrome</v>
      </c>
      <c r="AJ2485" s="18">
        <f t="shared" si="814"/>
        <v>0</v>
      </c>
      <c r="AP2485" s="18">
        <f t="shared" si="815"/>
        <v>0</v>
      </c>
      <c r="AQ2485">
        <f t="shared" si="816"/>
        <v>2160</v>
      </c>
      <c r="AR2485" s="23">
        <f t="shared" si="817"/>
        <v>3240</v>
      </c>
      <c r="AS2485">
        <f t="shared" si="822"/>
        <v>3235</v>
      </c>
      <c r="AT2485" s="21">
        <f t="shared" si="823"/>
        <v>3240</v>
      </c>
      <c r="AU2485" s="21"/>
      <c r="AV2485" s="21"/>
      <c r="AW2485" s="21"/>
    </row>
    <row r="2486" spans="5:49" x14ac:dyDescent="0.2">
      <c r="E2486">
        <f t="shared" si="818"/>
        <v>3</v>
      </c>
      <c r="J2486">
        <f t="shared" si="825"/>
        <v>0</v>
      </c>
      <c r="K2486">
        <f t="shared" si="826"/>
        <v>0</v>
      </c>
      <c r="L2486" t="str">
        <f t="shared" si="827"/>
        <v/>
      </c>
      <c r="M2486" s="6" t="str">
        <f t="shared" si="828"/>
        <v/>
      </c>
      <c r="N2486" t="str">
        <f t="shared" si="824"/>
        <v/>
      </c>
      <c r="Y2486" t="str">
        <f t="shared" si="811"/>
        <v/>
      </c>
      <c r="Z2486" t="str">
        <f t="shared" si="812"/>
        <v/>
      </c>
      <c r="AC2486" t="str">
        <f t="shared" si="829"/>
        <v/>
      </c>
      <c r="AD2486" t="str">
        <f t="shared" si="830"/>
        <v/>
      </c>
      <c r="AE2486" t="str">
        <f t="shared" si="831"/>
        <v/>
      </c>
      <c r="AF2486" t="str">
        <f t="shared" si="813"/>
        <v/>
      </c>
      <c r="AG2486">
        <f t="shared" si="819"/>
        <v>18981</v>
      </c>
      <c r="AH2486" t="str">
        <f t="shared" si="820"/>
        <v>Nelson</v>
      </c>
      <c r="AI2486" t="str">
        <f t="shared" si="821"/>
        <v>Velodrome</v>
      </c>
      <c r="AJ2486" s="18">
        <f t="shared" si="814"/>
        <v>0</v>
      </c>
      <c r="AP2486" s="18">
        <f t="shared" si="815"/>
        <v>0</v>
      </c>
      <c r="AQ2486">
        <f t="shared" si="816"/>
        <v>2160</v>
      </c>
      <c r="AR2486" s="23">
        <f t="shared" si="817"/>
        <v>3240</v>
      </c>
      <c r="AS2486">
        <f t="shared" si="822"/>
        <v>3235</v>
      </c>
      <c r="AT2486" s="21">
        <f t="shared" si="823"/>
        <v>3240</v>
      </c>
      <c r="AU2486" s="21"/>
      <c r="AV2486" s="21"/>
      <c r="AW2486" s="21"/>
    </row>
    <row r="2487" spans="5:49" x14ac:dyDescent="0.2">
      <c r="E2487">
        <f t="shared" si="818"/>
        <v>3</v>
      </c>
      <c r="J2487">
        <f t="shared" si="825"/>
        <v>0</v>
      </c>
      <c r="K2487">
        <f t="shared" si="826"/>
        <v>0</v>
      </c>
      <c r="L2487" t="str">
        <f t="shared" si="827"/>
        <v/>
      </c>
      <c r="M2487" s="6" t="str">
        <f t="shared" si="828"/>
        <v/>
      </c>
      <c r="N2487" t="str">
        <f t="shared" si="824"/>
        <v/>
      </c>
      <c r="Y2487" t="str">
        <f t="shared" si="811"/>
        <v/>
      </c>
      <c r="Z2487" t="str">
        <f t="shared" si="812"/>
        <v/>
      </c>
      <c r="AC2487" t="str">
        <f t="shared" si="829"/>
        <v/>
      </c>
      <c r="AD2487" t="str">
        <f t="shared" si="830"/>
        <v/>
      </c>
      <c r="AE2487" t="str">
        <f t="shared" si="831"/>
        <v/>
      </c>
      <c r="AF2487" t="str">
        <f t="shared" si="813"/>
        <v/>
      </c>
      <c r="AG2487">
        <f t="shared" si="819"/>
        <v>18981</v>
      </c>
      <c r="AH2487" t="str">
        <f t="shared" si="820"/>
        <v>Nelson</v>
      </c>
      <c r="AI2487" t="str">
        <f t="shared" si="821"/>
        <v>Velodrome</v>
      </c>
      <c r="AJ2487" s="18">
        <f t="shared" si="814"/>
        <v>0</v>
      </c>
      <c r="AP2487" s="18">
        <f t="shared" si="815"/>
        <v>0</v>
      </c>
      <c r="AQ2487">
        <f t="shared" si="816"/>
        <v>2160</v>
      </c>
      <c r="AR2487" s="23">
        <f t="shared" si="817"/>
        <v>3240</v>
      </c>
      <c r="AS2487">
        <f t="shared" si="822"/>
        <v>3235</v>
      </c>
      <c r="AT2487" s="21">
        <f t="shared" si="823"/>
        <v>3240</v>
      </c>
      <c r="AU2487" s="21"/>
      <c r="AV2487" s="21"/>
      <c r="AW2487" s="21"/>
    </row>
    <row r="2488" spans="5:49" x14ac:dyDescent="0.2">
      <c r="E2488">
        <f t="shared" si="818"/>
        <v>3</v>
      </c>
      <c r="J2488">
        <f t="shared" si="825"/>
        <v>0</v>
      </c>
      <c r="K2488">
        <f t="shared" si="826"/>
        <v>0</v>
      </c>
      <c r="L2488" t="str">
        <f t="shared" si="827"/>
        <v/>
      </c>
      <c r="M2488" s="6" t="str">
        <f t="shared" si="828"/>
        <v/>
      </c>
      <c r="N2488" t="str">
        <f t="shared" si="824"/>
        <v/>
      </c>
      <c r="Y2488" t="str">
        <f t="shared" si="811"/>
        <v/>
      </c>
      <c r="Z2488" t="str">
        <f t="shared" si="812"/>
        <v/>
      </c>
      <c r="AC2488" t="str">
        <f t="shared" si="829"/>
        <v/>
      </c>
      <c r="AD2488" t="str">
        <f t="shared" si="830"/>
        <v/>
      </c>
      <c r="AE2488" t="str">
        <f t="shared" si="831"/>
        <v/>
      </c>
      <c r="AF2488" t="str">
        <f t="shared" si="813"/>
        <v/>
      </c>
      <c r="AG2488">
        <f t="shared" si="819"/>
        <v>18981</v>
      </c>
      <c r="AH2488" t="str">
        <f t="shared" si="820"/>
        <v>Nelson</v>
      </c>
      <c r="AI2488" t="str">
        <f t="shared" si="821"/>
        <v>Velodrome</v>
      </c>
      <c r="AJ2488" s="18">
        <f t="shared" si="814"/>
        <v>0</v>
      </c>
      <c r="AP2488" s="18">
        <f t="shared" si="815"/>
        <v>0</v>
      </c>
      <c r="AQ2488">
        <f t="shared" si="816"/>
        <v>2160</v>
      </c>
      <c r="AR2488" s="23">
        <f t="shared" si="817"/>
        <v>3240</v>
      </c>
      <c r="AS2488">
        <f t="shared" si="822"/>
        <v>3235</v>
      </c>
      <c r="AT2488" s="21">
        <f t="shared" si="823"/>
        <v>3240</v>
      </c>
      <c r="AU2488" s="21"/>
      <c r="AV2488" s="21"/>
      <c r="AW2488" s="21"/>
    </row>
    <row r="2489" spans="5:49" x14ac:dyDescent="0.2">
      <c r="E2489">
        <f t="shared" si="818"/>
        <v>3</v>
      </c>
      <c r="J2489">
        <f t="shared" si="825"/>
        <v>0</v>
      </c>
      <c r="K2489">
        <f t="shared" si="826"/>
        <v>0</v>
      </c>
      <c r="L2489" t="str">
        <f t="shared" si="827"/>
        <v/>
      </c>
      <c r="M2489" s="6" t="str">
        <f t="shared" si="828"/>
        <v/>
      </c>
      <c r="N2489" t="str">
        <f t="shared" si="824"/>
        <v/>
      </c>
      <c r="Y2489" t="str">
        <f t="shared" si="811"/>
        <v/>
      </c>
      <c r="Z2489" t="str">
        <f t="shared" si="812"/>
        <v/>
      </c>
      <c r="AC2489" t="str">
        <f t="shared" si="829"/>
        <v/>
      </c>
      <c r="AD2489" t="str">
        <f t="shared" si="830"/>
        <v/>
      </c>
      <c r="AE2489" t="str">
        <f t="shared" si="831"/>
        <v/>
      </c>
      <c r="AF2489" t="str">
        <f t="shared" si="813"/>
        <v/>
      </c>
      <c r="AG2489">
        <f t="shared" si="819"/>
        <v>18981</v>
      </c>
      <c r="AH2489" t="str">
        <f t="shared" si="820"/>
        <v>Nelson</v>
      </c>
      <c r="AI2489" t="str">
        <f t="shared" si="821"/>
        <v>Velodrome</v>
      </c>
      <c r="AJ2489" s="18">
        <f t="shared" si="814"/>
        <v>0</v>
      </c>
      <c r="AP2489" s="18">
        <f t="shared" si="815"/>
        <v>0</v>
      </c>
      <c r="AQ2489">
        <f t="shared" si="816"/>
        <v>2160</v>
      </c>
      <c r="AR2489" s="23">
        <f t="shared" si="817"/>
        <v>3240</v>
      </c>
      <c r="AS2489">
        <f t="shared" si="822"/>
        <v>3235</v>
      </c>
      <c r="AT2489" s="21">
        <f t="shared" si="823"/>
        <v>3240</v>
      </c>
      <c r="AU2489" s="21"/>
      <c r="AV2489" s="21"/>
      <c r="AW2489" s="21"/>
    </row>
    <row r="2490" spans="5:49" x14ac:dyDescent="0.2">
      <c r="E2490">
        <f t="shared" si="818"/>
        <v>3</v>
      </c>
      <c r="J2490">
        <f t="shared" si="825"/>
        <v>0</v>
      </c>
      <c r="K2490">
        <f t="shared" si="826"/>
        <v>0</v>
      </c>
      <c r="L2490" t="str">
        <f t="shared" si="827"/>
        <v/>
      </c>
      <c r="M2490" s="6" t="str">
        <f t="shared" si="828"/>
        <v/>
      </c>
      <c r="N2490" t="str">
        <f t="shared" si="824"/>
        <v/>
      </c>
      <c r="Y2490" t="str">
        <f t="shared" si="811"/>
        <v/>
      </c>
      <c r="Z2490" t="str">
        <f t="shared" si="812"/>
        <v/>
      </c>
      <c r="AC2490" t="str">
        <f t="shared" si="829"/>
        <v/>
      </c>
      <c r="AD2490" t="str">
        <f t="shared" si="830"/>
        <v/>
      </c>
      <c r="AE2490" t="str">
        <f t="shared" si="831"/>
        <v/>
      </c>
      <c r="AF2490" t="str">
        <f t="shared" si="813"/>
        <v/>
      </c>
      <c r="AG2490">
        <f t="shared" si="819"/>
        <v>18981</v>
      </c>
      <c r="AH2490" t="str">
        <f t="shared" si="820"/>
        <v>Nelson</v>
      </c>
      <c r="AI2490" t="str">
        <f t="shared" si="821"/>
        <v>Velodrome</v>
      </c>
      <c r="AJ2490" s="18">
        <f t="shared" si="814"/>
        <v>0</v>
      </c>
      <c r="AP2490" s="18">
        <f t="shared" si="815"/>
        <v>0</v>
      </c>
      <c r="AQ2490">
        <f t="shared" si="816"/>
        <v>2160</v>
      </c>
      <c r="AR2490" s="23">
        <f t="shared" si="817"/>
        <v>3240</v>
      </c>
      <c r="AS2490">
        <f t="shared" si="822"/>
        <v>3235</v>
      </c>
      <c r="AT2490" s="21">
        <f t="shared" si="823"/>
        <v>3240</v>
      </c>
      <c r="AU2490" s="21"/>
      <c r="AV2490" s="21"/>
      <c r="AW2490" s="21"/>
    </row>
    <row r="2491" spans="5:49" x14ac:dyDescent="0.2">
      <c r="E2491">
        <f t="shared" si="818"/>
        <v>3</v>
      </c>
      <c r="J2491">
        <f t="shared" si="825"/>
        <v>0</v>
      </c>
      <c r="K2491">
        <f t="shared" si="826"/>
        <v>0</v>
      </c>
      <c r="L2491" t="str">
        <f t="shared" si="827"/>
        <v/>
      </c>
      <c r="M2491" s="6" t="str">
        <f t="shared" si="828"/>
        <v/>
      </c>
      <c r="N2491" t="str">
        <f t="shared" si="824"/>
        <v/>
      </c>
      <c r="Y2491" t="str">
        <f t="shared" si="811"/>
        <v/>
      </c>
      <c r="Z2491" t="str">
        <f t="shared" si="812"/>
        <v/>
      </c>
      <c r="AC2491" t="str">
        <f t="shared" si="829"/>
        <v/>
      </c>
      <c r="AD2491" t="str">
        <f t="shared" si="830"/>
        <v/>
      </c>
      <c r="AE2491" t="str">
        <f t="shared" si="831"/>
        <v/>
      </c>
      <c r="AF2491" t="str">
        <f t="shared" si="813"/>
        <v/>
      </c>
      <c r="AG2491">
        <f t="shared" si="819"/>
        <v>18981</v>
      </c>
      <c r="AH2491" t="str">
        <f t="shared" si="820"/>
        <v>Nelson</v>
      </c>
      <c r="AI2491" t="str">
        <f t="shared" si="821"/>
        <v>Velodrome</v>
      </c>
      <c r="AJ2491" s="18">
        <f t="shared" si="814"/>
        <v>0</v>
      </c>
      <c r="AP2491" s="18">
        <f t="shared" si="815"/>
        <v>0</v>
      </c>
      <c r="AQ2491">
        <f t="shared" si="816"/>
        <v>2160</v>
      </c>
      <c r="AR2491" s="23">
        <f t="shared" si="817"/>
        <v>3240</v>
      </c>
      <c r="AS2491">
        <f t="shared" si="822"/>
        <v>3235</v>
      </c>
      <c r="AT2491" s="21">
        <f t="shared" si="823"/>
        <v>3240</v>
      </c>
      <c r="AU2491" s="21"/>
      <c r="AV2491" s="21"/>
      <c r="AW2491" s="21"/>
    </row>
    <row r="2492" spans="5:49" x14ac:dyDescent="0.2">
      <c r="E2492">
        <f t="shared" si="818"/>
        <v>3</v>
      </c>
      <c r="J2492">
        <f t="shared" si="825"/>
        <v>0</v>
      </c>
      <c r="K2492">
        <f t="shared" si="826"/>
        <v>0</v>
      </c>
      <c r="L2492" t="str">
        <f t="shared" si="827"/>
        <v/>
      </c>
      <c r="M2492" s="6" t="str">
        <f t="shared" si="828"/>
        <v/>
      </c>
      <c r="N2492" t="str">
        <f t="shared" si="824"/>
        <v/>
      </c>
      <c r="Y2492" t="str">
        <f t="shared" si="811"/>
        <v/>
      </c>
      <c r="Z2492" t="str">
        <f t="shared" si="812"/>
        <v/>
      </c>
      <c r="AC2492" t="str">
        <f t="shared" si="829"/>
        <v/>
      </c>
      <c r="AD2492" t="str">
        <f t="shared" si="830"/>
        <v/>
      </c>
      <c r="AE2492" t="str">
        <f t="shared" si="831"/>
        <v/>
      </c>
      <c r="AF2492" t="str">
        <f t="shared" si="813"/>
        <v/>
      </c>
      <c r="AG2492">
        <f t="shared" si="819"/>
        <v>18981</v>
      </c>
      <c r="AH2492" t="str">
        <f t="shared" si="820"/>
        <v>Nelson</v>
      </c>
      <c r="AI2492" t="str">
        <f t="shared" si="821"/>
        <v>Velodrome</v>
      </c>
      <c r="AJ2492" s="18">
        <f t="shared" si="814"/>
        <v>0</v>
      </c>
      <c r="AP2492" s="18">
        <f t="shared" si="815"/>
        <v>0</v>
      </c>
      <c r="AQ2492">
        <f t="shared" si="816"/>
        <v>2160</v>
      </c>
      <c r="AR2492" s="23">
        <f t="shared" si="817"/>
        <v>3240</v>
      </c>
      <c r="AS2492">
        <f t="shared" si="822"/>
        <v>3235</v>
      </c>
      <c r="AT2492" s="21">
        <f t="shared" si="823"/>
        <v>3240</v>
      </c>
      <c r="AU2492" s="21"/>
      <c r="AV2492" s="21"/>
      <c r="AW2492" s="21"/>
    </row>
    <row r="2493" spans="5:49" x14ac:dyDescent="0.2">
      <c r="E2493">
        <f t="shared" si="818"/>
        <v>3</v>
      </c>
      <c r="J2493">
        <f t="shared" si="825"/>
        <v>0</v>
      </c>
      <c r="K2493">
        <f t="shared" si="826"/>
        <v>0</v>
      </c>
      <c r="L2493" t="str">
        <f t="shared" si="827"/>
        <v/>
      </c>
      <c r="M2493" s="6" t="str">
        <f t="shared" si="828"/>
        <v/>
      </c>
      <c r="N2493" t="str">
        <f t="shared" si="824"/>
        <v/>
      </c>
      <c r="Y2493" t="str">
        <f t="shared" si="811"/>
        <v/>
      </c>
      <c r="Z2493" t="str">
        <f t="shared" si="812"/>
        <v/>
      </c>
      <c r="AC2493" t="str">
        <f t="shared" si="829"/>
        <v/>
      </c>
      <c r="AD2493" t="str">
        <f t="shared" si="830"/>
        <v/>
      </c>
      <c r="AE2493" t="str">
        <f t="shared" si="831"/>
        <v/>
      </c>
      <c r="AF2493" t="str">
        <f t="shared" si="813"/>
        <v/>
      </c>
      <c r="AG2493">
        <f t="shared" si="819"/>
        <v>18981</v>
      </c>
      <c r="AH2493" t="str">
        <f t="shared" si="820"/>
        <v>Nelson</v>
      </c>
      <c r="AI2493" t="str">
        <f t="shared" si="821"/>
        <v>Velodrome</v>
      </c>
      <c r="AJ2493" s="18">
        <f t="shared" si="814"/>
        <v>0</v>
      </c>
      <c r="AP2493" s="18">
        <f t="shared" si="815"/>
        <v>0</v>
      </c>
      <c r="AQ2493">
        <f t="shared" si="816"/>
        <v>2160</v>
      </c>
      <c r="AR2493" s="23">
        <f t="shared" si="817"/>
        <v>3240</v>
      </c>
      <c r="AS2493">
        <f t="shared" si="822"/>
        <v>3235</v>
      </c>
      <c r="AT2493" s="21">
        <f t="shared" si="823"/>
        <v>3240</v>
      </c>
      <c r="AU2493" s="21"/>
      <c r="AV2493" s="21"/>
      <c r="AW2493" s="21"/>
    </row>
    <row r="2494" spans="5:49" x14ac:dyDescent="0.2">
      <c r="E2494">
        <f t="shared" si="818"/>
        <v>3</v>
      </c>
      <c r="J2494">
        <f t="shared" si="825"/>
        <v>0</v>
      </c>
      <c r="K2494">
        <f t="shared" si="826"/>
        <v>0</v>
      </c>
      <c r="L2494" t="str">
        <f t="shared" si="827"/>
        <v/>
      </c>
      <c r="M2494" s="6" t="str">
        <f t="shared" si="828"/>
        <v/>
      </c>
      <c r="N2494" t="str">
        <f t="shared" si="824"/>
        <v/>
      </c>
      <c r="Y2494" t="str">
        <f t="shared" si="811"/>
        <v/>
      </c>
      <c r="Z2494" t="str">
        <f t="shared" si="812"/>
        <v/>
      </c>
      <c r="AC2494" t="str">
        <f t="shared" si="829"/>
        <v/>
      </c>
      <c r="AD2494" t="str">
        <f t="shared" si="830"/>
        <v/>
      </c>
      <c r="AE2494" t="str">
        <f t="shared" si="831"/>
        <v/>
      </c>
      <c r="AF2494" t="str">
        <f t="shared" si="813"/>
        <v/>
      </c>
      <c r="AG2494">
        <f t="shared" si="819"/>
        <v>18981</v>
      </c>
      <c r="AH2494" t="str">
        <f t="shared" si="820"/>
        <v>Nelson</v>
      </c>
      <c r="AI2494" t="str">
        <f t="shared" si="821"/>
        <v>Velodrome</v>
      </c>
      <c r="AJ2494" s="18">
        <f t="shared" si="814"/>
        <v>0</v>
      </c>
      <c r="AP2494" s="18">
        <f t="shared" si="815"/>
        <v>0</v>
      </c>
      <c r="AQ2494">
        <f t="shared" si="816"/>
        <v>2160</v>
      </c>
      <c r="AR2494" s="23">
        <f t="shared" si="817"/>
        <v>3240</v>
      </c>
      <c r="AS2494">
        <f t="shared" si="822"/>
        <v>3235</v>
      </c>
      <c r="AT2494" s="21">
        <f t="shared" si="823"/>
        <v>3240</v>
      </c>
      <c r="AU2494" s="21"/>
      <c r="AV2494" s="21"/>
      <c r="AW2494" s="21"/>
    </row>
    <row r="2495" spans="5:49" x14ac:dyDescent="0.2">
      <c r="E2495">
        <f t="shared" si="818"/>
        <v>3</v>
      </c>
      <c r="J2495">
        <f t="shared" si="825"/>
        <v>0</v>
      </c>
      <c r="K2495">
        <f t="shared" si="826"/>
        <v>0</v>
      </c>
      <c r="L2495" t="str">
        <f t="shared" si="827"/>
        <v/>
      </c>
      <c r="M2495" s="6" t="str">
        <f t="shared" si="828"/>
        <v/>
      </c>
      <c r="N2495" t="str">
        <f t="shared" si="824"/>
        <v/>
      </c>
      <c r="Y2495" t="str">
        <f t="shared" si="811"/>
        <v/>
      </c>
      <c r="Z2495" t="str">
        <f t="shared" si="812"/>
        <v/>
      </c>
      <c r="AC2495" t="str">
        <f t="shared" si="829"/>
        <v/>
      </c>
      <c r="AD2495" t="str">
        <f t="shared" si="830"/>
        <v/>
      </c>
      <c r="AE2495" t="str">
        <f t="shared" si="831"/>
        <v/>
      </c>
      <c r="AF2495" t="str">
        <f t="shared" si="813"/>
        <v/>
      </c>
      <c r="AG2495">
        <f t="shared" si="819"/>
        <v>18981</v>
      </c>
      <c r="AH2495" t="str">
        <f t="shared" si="820"/>
        <v>Nelson</v>
      </c>
      <c r="AI2495" t="str">
        <f t="shared" si="821"/>
        <v>Velodrome</v>
      </c>
      <c r="AJ2495" s="18">
        <f t="shared" si="814"/>
        <v>0</v>
      </c>
      <c r="AP2495" s="18">
        <f t="shared" si="815"/>
        <v>0</v>
      </c>
      <c r="AQ2495">
        <f t="shared" si="816"/>
        <v>2160</v>
      </c>
      <c r="AR2495" s="23">
        <f t="shared" si="817"/>
        <v>3240</v>
      </c>
      <c r="AS2495">
        <f t="shared" si="822"/>
        <v>3235</v>
      </c>
      <c r="AT2495" s="21">
        <f t="shared" si="823"/>
        <v>3240</v>
      </c>
      <c r="AU2495" s="21"/>
      <c r="AV2495" s="21"/>
      <c r="AW2495" s="21"/>
    </row>
    <row r="2496" spans="5:49" x14ac:dyDescent="0.2">
      <c r="E2496">
        <f t="shared" si="818"/>
        <v>3</v>
      </c>
      <c r="J2496">
        <f t="shared" si="825"/>
        <v>0</v>
      </c>
      <c r="K2496">
        <f t="shared" si="826"/>
        <v>0</v>
      </c>
      <c r="L2496" t="str">
        <f t="shared" si="827"/>
        <v/>
      </c>
      <c r="M2496" s="6" t="str">
        <f t="shared" si="828"/>
        <v/>
      </c>
      <c r="N2496" t="str">
        <f t="shared" si="824"/>
        <v/>
      </c>
      <c r="Y2496" t="str">
        <f t="shared" si="811"/>
        <v/>
      </c>
      <c r="Z2496" t="str">
        <f t="shared" si="812"/>
        <v/>
      </c>
      <c r="AC2496" t="str">
        <f t="shared" si="829"/>
        <v/>
      </c>
      <c r="AD2496" t="str">
        <f t="shared" si="830"/>
        <v/>
      </c>
      <c r="AE2496" t="str">
        <f t="shared" si="831"/>
        <v/>
      </c>
      <c r="AF2496" t="str">
        <f t="shared" si="813"/>
        <v/>
      </c>
      <c r="AG2496">
        <f t="shared" si="819"/>
        <v>18981</v>
      </c>
      <c r="AH2496" t="str">
        <f t="shared" si="820"/>
        <v>Nelson</v>
      </c>
      <c r="AI2496" t="str">
        <f t="shared" si="821"/>
        <v>Velodrome</v>
      </c>
      <c r="AJ2496" s="18">
        <f t="shared" si="814"/>
        <v>0</v>
      </c>
      <c r="AP2496" s="18">
        <f t="shared" si="815"/>
        <v>0</v>
      </c>
      <c r="AQ2496">
        <f t="shared" si="816"/>
        <v>2160</v>
      </c>
      <c r="AR2496" s="23">
        <f t="shared" si="817"/>
        <v>3240</v>
      </c>
      <c r="AS2496">
        <f t="shared" si="822"/>
        <v>3235</v>
      </c>
      <c r="AT2496" s="21">
        <f t="shared" si="823"/>
        <v>3240</v>
      </c>
      <c r="AU2496" s="21"/>
      <c r="AV2496" s="21"/>
      <c r="AW2496" s="21"/>
    </row>
    <row r="2497" spans="5:49" x14ac:dyDescent="0.2">
      <c r="E2497">
        <f t="shared" si="818"/>
        <v>3</v>
      </c>
      <c r="J2497">
        <f t="shared" si="825"/>
        <v>0</v>
      </c>
      <c r="K2497">
        <f t="shared" si="826"/>
        <v>0</v>
      </c>
      <c r="L2497" t="str">
        <f t="shared" si="827"/>
        <v/>
      </c>
      <c r="M2497" s="6" t="str">
        <f t="shared" si="828"/>
        <v/>
      </c>
      <c r="N2497" t="str">
        <f t="shared" si="824"/>
        <v/>
      </c>
      <c r="Y2497" t="str">
        <f t="shared" si="811"/>
        <v/>
      </c>
      <c r="Z2497" t="str">
        <f t="shared" si="812"/>
        <v/>
      </c>
      <c r="AC2497" t="str">
        <f t="shared" si="829"/>
        <v/>
      </c>
      <c r="AD2497" t="str">
        <f t="shared" si="830"/>
        <v/>
      </c>
      <c r="AE2497" t="str">
        <f t="shared" si="831"/>
        <v/>
      </c>
      <c r="AF2497" t="str">
        <f t="shared" si="813"/>
        <v/>
      </c>
      <c r="AG2497">
        <f t="shared" si="819"/>
        <v>18981</v>
      </c>
      <c r="AH2497" t="str">
        <f t="shared" si="820"/>
        <v>Nelson</v>
      </c>
      <c r="AI2497" t="str">
        <f t="shared" si="821"/>
        <v>Velodrome</v>
      </c>
      <c r="AJ2497" s="18">
        <f t="shared" si="814"/>
        <v>0</v>
      </c>
      <c r="AP2497" s="18">
        <f t="shared" si="815"/>
        <v>0</v>
      </c>
      <c r="AQ2497">
        <f t="shared" si="816"/>
        <v>2160</v>
      </c>
      <c r="AR2497" s="23">
        <f t="shared" si="817"/>
        <v>3240</v>
      </c>
      <c r="AS2497">
        <f t="shared" si="822"/>
        <v>3235</v>
      </c>
      <c r="AT2497" s="21">
        <f t="shared" si="823"/>
        <v>3240</v>
      </c>
      <c r="AU2497" s="21"/>
      <c r="AV2497" s="21"/>
      <c r="AW2497" s="21"/>
    </row>
    <row r="2498" spans="5:49" x14ac:dyDescent="0.2">
      <c r="E2498">
        <f t="shared" si="818"/>
        <v>3</v>
      </c>
      <c r="J2498">
        <f t="shared" si="825"/>
        <v>0</v>
      </c>
      <c r="K2498">
        <f t="shared" si="826"/>
        <v>0</v>
      </c>
      <c r="L2498" t="str">
        <f t="shared" si="827"/>
        <v/>
      </c>
      <c r="M2498" s="6" t="str">
        <f t="shared" si="828"/>
        <v/>
      </c>
      <c r="N2498" t="str">
        <f t="shared" si="824"/>
        <v/>
      </c>
      <c r="Y2498" t="str">
        <f t="shared" si="811"/>
        <v/>
      </c>
      <c r="Z2498" t="str">
        <f t="shared" si="812"/>
        <v/>
      </c>
      <c r="AC2498" t="str">
        <f t="shared" si="829"/>
        <v/>
      </c>
      <c r="AD2498" t="str">
        <f t="shared" si="830"/>
        <v/>
      </c>
      <c r="AE2498" t="str">
        <f t="shared" si="831"/>
        <v/>
      </c>
      <c r="AF2498" t="str">
        <f t="shared" si="813"/>
        <v/>
      </c>
      <c r="AG2498">
        <f t="shared" si="819"/>
        <v>18981</v>
      </c>
      <c r="AH2498" t="str">
        <f t="shared" si="820"/>
        <v>Nelson</v>
      </c>
      <c r="AI2498" t="str">
        <f t="shared" si="821"/>
        <v>Velodrome</v>
      </c>
      <c r="AJ2498" s="18">
        <f t="shared" si="814"/>
        <v>0</v>
      </c>
      <c r="AP2498" s="18">
        <f t="shared" si="815"/>
        <v>0</v>
      </c>
      <c r="AQ2498">
        <f t="shared" si="816"/>
        <v>2160</v>
      </c>
      <c r="AR2498" s="23">
        <f t="shared" si="817"/>
        <v>3240</v>
      </c>
      <c r="AS2498">
        <f t="shared" si="822"/>
        <v>3235</v>
      </c>
      <c r="AT2498" s="21">
        <f t="shared" si="823"/>
        <v>3240</v>
      </c>
      <c r="AU2498" s="21"/>
      <c r="AV2498" s="21"/>
      <c r="AW2498" s="21"/>
    </row>
    <row r="2499" spans="5:49" x14ac:dyDescent="0.2">
      <c r="E2499">
        <f t="shared" si="818"/>
        <v>3</v>
      </c>
      <c r="J2499">
        <f t="shared" si="825"/>
        <v>0</v>
      </c>
      <c r="K2499">
        <f t="shared" si="826"/>
        <v>0</v>
      </c>
      <c r="L2499" t="str">
        <f t="shared" si="827"/>
        <v/>
      </c>
      <c r="M2499" s="6" t="str">
        <f t="shared" si="828"/>
        <v/>
      </c>
      <c r="N2499" t="str">
        <f t="shared" si="824"/>
        <v/>
      </c>
      <c r="Y2499" t="str">
        <f t="shared" ref="Y2499:Y2562" si="832">IF($N2499="","",IF(X2499="","",IF($N2499="Home",$X2499,IF($X2499="n","n",IF($X2499="d","o",IF($X2499="o","d",""))))))</f>
        <v/>
      </c>
      <c r="Z2499" t="str">
        <f t="shared" ref="Z2499:Z2562" si="833">IF($N2499="","",IF(X2499="","",IF($N2499="Away",$X2499,IF($X2499="n","n",IF($X2499="d","o",IF($X2499="o","d",""))))))</f>
        <v/>
      </c>
      <c r="AC2499" t="str">
        <f t="shared" si="829"/>
        <v/>
      </c>
      <c r="AD2499" t="str">
        <f t="shared" si="830"/>
        <v/>
      </c>
      <c r="AE2499" t="str">
        <f t="shared" si="831"/>
        <v/>
      </c>
      <c r="AF2499" t="str">
        <f t="shared" ref="AF2499:AF2562" si="834">IF(AND(P2499="e",OR(AC2499="Save",AD2499="Turnover_Takeaway",AD2499="Play_Defensive")),"Defensive",IF(AND(P2499="o",OR(AC2499="Save",AD2499="Turnover_Takeaway",AD2499="Play_Defensive")),"Offensive",IF(OR(AC2499="Deadice",AC2499="Stoppage",AC2499="Intermission"),"",IF(P2499="e","Offensive",IF(P2499="o","Defensive","")))))</f>
        <v/>
      </c>
      <c r="AG2499">
        <f t="shared" si="819"/>
        <v>18981</v>
      </c>
      <c r="AH2499" t="str">
        <f t="shared" si="820"/>
        <v>Nelson</v>
      </c>
      <c r="AI2499" t="str">
        <f t="shared" si="821"/>
        <v>Velodrome</v>
      </c>
      <c r="AJ2499" s="18">
        <f t="shared" ref="AJ2499:AJ2562" si="835">IF(AND(L2499="",M2499=""),0,((J2499*60)+K2499)-((L2499*60)+M2499))</f>
        <v>0</v>
      </c>
      <c r="AP2499" s="18">
        <f t="shared" ref="AP2499:AP2528" si="836">SUMIFS(AJ2499:AJ2499,Q2499:Q2499,"=Intermission")</f>
        <v>0</v>
      </c>
      <c r="AQ2499">
        <f t="shared" ref="AQ2499:AQ2562" si="837">IF(E2499=1,0,IF(E2499=2,1080+AP2499,IF(E2499=3,(1080*2)+AP2499,0)))</f>
        <v>2160</v>
      </c>
      <c r="AR2499" s="23">
        <f t="shared" ref="AR2499:AR2562" si="838">IF(Q2499="Intermission",AR2498,((1080)-((J2499*60)+K2499))+AQ2499)</f>
        <v>3240</v>
      </c>
      <c r="AS2499">
        <f t="shared" si="822"/>
        <v>3235</v>
      </c>
      <c r="AT2499" s="21">
        <f t="shared" si="823"/>
        <v>3240</v>
      </c>
      <c r="AU2499" s="21"/>
      <c r="AV2499" s="21"/>
      <c r="AW2499" s="21"/>
    </row>
    <row r="2500" spans="5:49" x14ac:dyDescent="0.2">
      <c r="E2500">
        <f t="shared" ref="E2500:E2563" si="839">IF(Q2500="Intermission",E2499+1,E2499)</f>
        <v>3</v>
      </c>
      <c r="J2500">
        <f t="shared" si="825"/>
        <v>0</v>
      </c>
      <c r="K2500">
        <f t="shared" si="826"/>
        <v>0</v>
      </c>
      <c r="L2500" t="str">
        <f t="shared" si="827"/>
        <v/>
      </c>
      <c r="M2500" s="6" t="str">
        <f t="shared" si="828"/>
        <v/>
      </c>
      <c r="N2500" t="str">
        <f t="shared" si="824"/>
        <v/>
      </c>
      <c r="Y2500" t="str">
        <f t="shared" si="832"/>
        <v/>
      </c>
      <c r="Z2500" t="str">
        <f t="shared" si="833"/>
        <v/>
      </c>
      <c r="AC2500" t="str">
        <f t="shared" si="829"/>
        <v/>
      </c>
      <c r="AD2500" t="str">
        <f t="shared" si="830"/>
        <v/>
      </c>
      <c r="AE2500" t="str">
        <f t="shared" si="831"/>
        <v/>
      </c>
      <c r="AF2500" t="str">
        <f t="shared" si="834"/>
        <v/>
      </c>
      <c r="AG2500">
        <f t="shared" ref="AG2500:AG2563" si="840">AG2499</f>
        <v>18981</v>
      </c>
      <c r="AH2500" t="str">
        <f t="shared" ref="AH2500:AH2563" si="841">AH2499</f>
        <v>Nelson</v>
      </c>
      <c r="AI2500" t="str">
        <f t="shared" ref="AI2500:AI2563" si="842">AI2499</f>
        <v>Velodrome</v>
      </c>
      <c r="AJ2500" s="18">
        <f t="shared" si="835"/>
        <v>0</v>
      </c>
      <c r="AP2500" s="18">
        <f t="shared" si="836"/>
        <v>0</v>
      </c>
      <c r="AQ2500">
        <f t="shared" si="837"/>
        <v>2160</v>
      </c>
      <c r="AR2500" s="23">
        <f t="shared" si="838"/>
        <v>3240</v>
      </c>
      <c r="AS2500">
        <f t="shared" ref="AS2500:AS2528" si="843">IF(AR2500&lt;5,0,AR2500-5)</f>
        <v>3235</v>
      </c>
      <c r="AT2500" s="21">
        <f t="shared" ref="AT2500:AT2528" si="844">AS2500+AJ2500+5</f>
        <v>3240</v>
      </c>
      <c r="AU2500" s="21"/>
      <c r="AV2500" s="21"/>
      <c r="AW2500" s="21"/>
    </row>
    <row r="2501" spans="5:49" x14ac:dyDescent="0.2">
      <c r="E2501">
        <f t="shared" si="839"/>
        <v>3</v>
      </c>
      <c r="J2501">
        <f t="shared" si="825"/>
        <v>0</v>
      </c>
      <c r="K2501">
        <f t="shared" si="826"/>
        <v>0</v>
      </c>
      <c r="L2501" t="str">
        <f t="shared" si="827"/>
        <v/>
      </c>
      <c r="M2501" s="6" t="str">
        <f t="shared" si="828"/>
        <v/>
      </c>
      <c r="N2501" t="str">
        <f t="shared" si="824"/>
        <v/>
      </c>
      <c r="Y2501" t="str">
        <f t="shared" si="832"/>
        <v/>
      </c>
      <c r="Z2501" t="str">
        <f t="shared" si="833"/>
        <v/>
      </c>
      <c r="AC2501" t="str">
        <f t="shared" si="829"/>
        <v/>
      </c>
      <c r="AD2501" t="str">
        <f t="shared" si="830"/>
        <v/>
      </c>
      <c r="AE2501" t="str">
        <f t="shared" si="831"/>
        <v/>
      </c>
      <c r="AF2501" t="str">
        <f t="shared" si="834"/>
        <v/>
      </c>
      <c r="AG2501">
        <f t="shared" si="840"/>
        <v>18981</v>
      </c>
      <c r="AH2501" t="str">
        <f t="shared" si="841"/>
        <v>Nelson</v>
      </c>
      <c r="AI2501" t="str">
        <f t="shared" si="842"/>
        <v>Velodrome</v>
      </c>
      <c r="AJ2501" s="18">
        <f t="shared" si="835"/>
        <v>0</v>
      </c>
      <c r="AP2501" s="18">
        <f t="shared" si="836"/>
        <v>0</v>
      </c>
      <c r="AQ2501">
        <f t="shared" si="837"/>
        <v>2160</v>
      </c>
      <c r="AR2501" s="23">
        <f t="shared" si="838"/>
        <v>3240</v>
      </c>
      <c r="AS2501">
        <f t="shared" si="843"/>
        <v>3235</v>
      </c>
      <c r="AT2501" s="21">
        <f t="shared" si="844"/>
        <v>3240</v>
      </c>
      <c r="AU2501" s="21"/>
      <c r="AV2501" s="21"/>
      <c r="AW2501" s="21"/>
    </row>
    <row r="2502" spans="5:49" x14ac:dyDescent="0.2">
      <c r="E2502">
        <f t="shared" si="839"/>
        <v>3</v>
      </c>
      <c r="J2502">
        <f t="shared" si="825"/>
        <v>0</v>
      </c>
      <c r="K2502">
        <f t="shared" si="826"/>
        <v>0</v>
      </c>
      <c r="L2502" t="str">
        <f t="shared" si="827"/>
        <v/>
      </c>
      <c r="M2502" s="6" t="str">
        <f t="shared" si="828"/>
        <v/>
      </c>
      <c r="N2502" t="str">
        <f t="shared" ref="N2502:N2565" si="845">IF(A2502=A2501,N2501,"")</f>
        <v/>
      </c>
      <c r="Y2502" t="str">
        <f t="shared" si="832"/>
        <v/>
      </c>
      <c r="Z2502" t="str">
        <f t="shared" si="833"/>
        <v/>
      </c>
      <c r="AC2502" t="str">
        <f t="shared" si="829"/>
        <v/>
      </c>
      <c r="AD2502" t="str">
        <f t="shared" si="830"/>
        <v/>
      </c>
      <c r="AE2502" t="str">
        <f t="shared" si="831"/>
        <v/>
      </c>
      <c r="AF2502" t="str">
        <f t="shared" si="834"/>
        <v/>
      </c>
      <c r="AG2502">
        <f t="shared" si="840"/>
        <v>18981</v>
      </c>
      <c r="AH2502" t="str">
        <f t="shared" si="841"/>
        <v>Nelson</v>
      </c>
      <c r="AI2502" t="str">
        <f t="shared" si="842"/>
        <v>Velodrome</v>
      </c>
      <c r="AJ2502" s="18">
        <f t="shared" si="835"/>
        <v>0</v>
      </c>
      <c r="AP2502" s="18">
        <f t="shared" si="836"/>
        <v>0</v>
      </c>
      <c r="AQ2502">
        <f t="shared" si="837"/>
        <v>2160</v>
      </c>
      <c r="AR2502" s="23">
        <f t="shared" si="838"/>
        <v>3240</v>
      </c>
      <c r="AS2502">
        <f t="shared" si="843"/>
        <v>3235</v>
      </c>
      <c r="AT2502" s="21">
        <f t="shared" si="844"/>
        <v>3240</v>
      </c>
      <c r="AU2502" s="21"/>
      <c r="AV2502" s="21"/>
      <c r="AW2502" s="21"/>
    </row>
    <row r="2503" spans="5:49" x14ac:dyDescent="0.2">
      <c r="E2503">
        <f t="shared" si="839"/>
        <v>3</v>
      </c>
      <c r="J2503">
        <f t="shared" si="825"/>
        <v>0</v>
      </c>
      <c r="K2503">
        <f t="shared" si="826"/>
        <v>0</v>
      </c>
      <c r="L2503" t="str">
        <f t="shared" si="827"/>
        <v/>
      </c>
      <c r="M2503" s="6" t="str">
        <f t="shared" si="828"/>
        <v/>
      </c>
      <c r="N2503" t="str">
        <f t="shared" si="845"/>
        <v/>
      </c>
      <c r="Y2503" t="str">
        <f t="shared" si="832"/>
        <v/>
      </c>
      <c r="Z2503" t="str">
        <f t="shared" si="833"/>
        <v/>
      </c>
      <c r="AC2503" t="str">
        <f t="shared" si="829"/>
        <v/>
      </c>
      <c r="AD2503" t="str">
        <f t="shared" si="830"/>
        <v/>
      </c>
      <c r="AE2503" t="str">
        <f t="shared" si="831"/>
        <v/>
      </c>
      <c r="AF2503" t="str">
        <f t="shared" si="834"/>
        <v/>
      </c>
      <c r="AG2503">
        <f t="shared" si="840"/>
        <v>18981</v>
      </c>
      <c r="AH2503" t="str">
        <f t="shared" si="841"/>
        <v>Nelson</v>
      </c>
      <c r="AI2503" t="str">
        <f t="shared" si="842"/>
        <v>Velodrome</v>
      </c>
      <c r="AJ2503" s="18">
        <f t="shared" si="835"/>
        <v>0</v>
      </c>
      <c r="AP2503" s="18">
        <f t="shared" si="836"/>
        <v>0</v>
      </c>
      <c r="AQ2503">
        <f t="shared" si="837"/>
        <v>2160</v>
      </c>
      <c r="AR2503" s="23">
        <f t="shared" si="838"/>
        <v>3240</v>
      </c>
      <c r="AS2503">
        <f t="shared" si="843"/>
        <v>3235</v>
      </c>
      <c r="AT2503" s="21">
        <f t="shared" si="844"/>
        <v>3240</v>
      </c>
      <c r="AU2503" s="21"/>
      <c r="AV2503" s="21"/>
      <c r="AW2503" s="21"/>
    </row>
    <row r="2504" spans="5:49" x14ac:dyDescent="0.2">
      <c r="E2504">
        <f t="shared" si="839"/>
        <v>3</v>
      </c>
      <c r="J2504">
        <f t="shared" si="825"/>
        <v>0</v>
      </c>
      <c r="K2504">
        <f t="shared" si="826"/>
        <v>0</v>
      </c>
      <c r="L2504" t="str">
        <f t="shared" si="827"/>
        <v/>
      </c>
      <c r="M2504" s="6" t="str">
        <f t="shared" si="828"/>
        <v/>
      </c>
      <c r="N2504" t="str">
        <f t="shared" si="845"/>
        <v/>
      </c>
      <c r="Y2504" t="str">
        <f t="shared" si="832"/>
        <v/>
      </c>
      <c r="Z2504" t="str">
        <f t="shared" si="833"/>
        <v/>
      </c>
      <c r="AC2504" t="str">
        <f t="shared" si="829"/>
        <v/>
      </c>
      <c r="AD2504" t="str">
        <f t="shared" si="830"/>
        <v/>
      </c>
      <c r="AE2504" t="str">
        <f t="shared" si="831"/>
        <v/>
      </c>
      <c r="AF2504" t="str">
        <f t="shared" si="834"/>
        <v/>
      </c>
      <c r="AG2504">
        <f t="shared" si="840"/>
        <v>18981</v>
      </c>
      <c r="AH2504" t="str">
        <f t="shared" si="841"/>
        <v>Nelson</v>
      </c>
      <c r="AI2504" t="str">
        <f t="shared" si="842"/>
        <v>Velodrome</v>
      </c>
      <c r="AJ2504" s="18">
        <f t="shared" si="835"/>
        <v>0</v>
      </c>
      <c r="AP2504" s="18">
        <f t="shared" si="836"/>
        <v>0</v>
      </c>
      <c r="AQ2504">
        <f t="shared" si="837"/>
        <v>2160</v>
      </c>
      <c r="AR2504" s="23">
        <f t="shared" si="838"/>
        <v>3240</v>
      </c>
      <c r="AS2504">
        <f t="shared" si="843"/>
        <v>3235</v>
      </c>
      <c r="AT2504" s="21">
        <f t="shared" si="844"/>
        <v>3240</v>
      </c>
      <c r="AU2504" s="21"/>
      <c r="AV2504" s="21"/>
      <c r="AW2504" s="21"/>
    </row>
    <row r="2505" spans="5:49" x14ac:dyDescent="0.2">
      <c r="E2505">
        <f t="shared" si="839"/>
        <v>3</v>
      </c>
      <c r="J2505">
        <f t="shared" ref="J2505:J2568" si="846">IF(F2505&lt;&gt;"",F2505,IF($A2505=$A2504,J2504,J2505))</f>
        <v>0</v>
      </c>
      <c r="K2505">
        <f t="shared" ref="K2505:K2568" si="847">IF($A2505=$A2504,K2504,G2505)</f>
        <v>0</v>
      </c>
      <c r="L2505" t="str">
        <f t="shared" ref="L2505:L2568" si="848">IF(H2505&lt;&gt;"",H2505,IF($A2505=$A2504,L2504,""))</f>
        <v/>
      </c>
      <c r="M2505" s="6" t="str">
        <f t="shared" ref="M2505:M2568" si="849">IF(I2505&lt;&gt;"",I2505,IF($A2505=$A2504,M2504,""))</f>
        <v/>
      </c>
      <c r="N2505" t="str">
        <f t="shared" si="845"/>
        <v/>
      </c>
      <c r="Y2505" t="str">
        <f t="shared" si="832"/>
        <v/>
      </c>
      <c r="Z2505" t="str">
        <f t="shared" si="833"/>
        <v/>
      </c>
      <c r="AC2505" t="str">
        <f t="shared" si="829"/>
        <v/>
      </c>
      <c r="AD2505" t="str">
        <f t="shared" si="830"/>
        <v/>
      </c>
      <c r="AE2505" t="str">
        <f t="shared" si="831"/>
        <v/>
      </c>
      <c r="AF2505" t="str">
        <f t="shared" si="834"/>
        <v/>
      </c>
      <c r="AG2505">
        <f t="shared" si="840"/>
        <v>18981</v>
      </c>
      <c r="AH2505" t="str">
        <f t="shared" si="841"/>
        <v>Nelson</v>
      </c>
      <c r="AI2505" t="str">
        <f t="shared" si="842"/>
        <v>Velodrome</v>
      </c>
      <c r="AJ2505" s="18">
        <f t="shared" si="835"/>
        <v>0</v>
      </c>
      <c r="AP2505" s="18">
        <f t="shared" si="836"/>
        <v>0</v>
      </c>
      <c r="AQ2505">
        <f t="shared" si="837"/>
        <v>2160</v>
      </c>
      <c r="AR2505" s="23">
        <f t="shared" si="838"/>
        <v>3240</v>
      </c>
      <c r="AS2505">
        <f t="shared" si="843"/>
        <v>3235</v>
      </c>
      <c r="AT2505" s="21">
        <f t="shared" si="844"/>
        <v>3240</v>
      </c>
      <c r="AU2505" s="21"/>
      <c r="AV2505" s="21"/>
      <c r="AW2505" s="21"/>
    </row>
    <row r="2506" spans="5:49" x14ac:dyDescent="0.2">
      <c r="E2506">
        <f t="shared" si="839"/>
        <v>3</v>
      </c>
      <c r="J2506">
        <f t="shared" si="846"/>
        <v>0</v>
      </c>
      <c r="K2506">
        <f t="shared" si="847"/>
        <v>0</v>
      </c>
      <c r="L2506" t="str">
        <f t="shared" si="848"/>
        <v/>
      </c>
      <c r="M2506" s="6" t="str">
        <f t="shared" si="849"/>
        <v/>
      </c>
      <c r="N2506" t="str">
        <f t="shared" si="845"/>
        <v/>
      </c>
      <c r="Y2506" t="str">
        <f t="shared" si="832"/>
        <v/>
      </c>
      <c r="Z2506" t="str">
        <f t="shared" si="833"/>
        <v/>
      </c>
      <c r="AC2506" t="str">
        <f t="shared" si="829"/>
        <v/>
      </c>
      <c r="AD2506" t="str">
        <f t="shared" si="830"/>
        <v/>
      </c>
      <c r="AE2506" t="str">
        <f t="shared" si="831"/>
        <v/>
      </c>
      <c r="AF2506" t="str">
        <f t="shared" si="834"/>
        <v/>
      </c>
      <c r="AG2506">
        <f t="shared" si="840"/>
        <v>18981</v>
      </c>
      <c r="AH2506" t="str">
        <f t="shared" si="841"/>
        <v>Nelson</v>
      </c>
      <c r="AI2506" t="str">
        <f t="shared" si="842"/>
        <v>Velodrome</v>
      </c>
      <c r="AJ2506" s="18">
        <f t="shared" si="835"/>
        <v>0</v>
      </c>
      <c r="AP2506" s="18">
        <f t="shared" si="836"/>
        <v>0</v>
      </c>
      <c r="AQ2506">
        <f t="shared" si="837"/>
        <v>2160</v>
      </c>
      <c r="AR2506" s="23">
        <f t="shared" si="838"/>
        <v>3240</v>
      </c>
      <c r="AS2506">
        <f t="shared" si="843"/>
        <v>3235</v>
      </c>
      <c r="AT2506" s="21">
        <f t="shared" si="844"/>
        <v>3240</v>
      </c>
      <c r="AU2506" s="21"/>
      <c r="AV2506" s="21"/>
      <c r="AW2506" s="21"/>
    </row>
    <row r="2507" spans="5:49" x14ac:dyDescent="0.2">
      <c r="E2507">
        <f t="shared" si="839"/>
        <v>3</v>
      </c>
      <c r="J2507">
        <f t="shared" si="846"/>
        <v>0</v>
      </c>
      <c r="K2507">
        <f t="shared" si="847"/>
        <v>0</v>
      </c>
      <c r="L2507" t="str">
        <f t="shared" si="848"/>
        <v/>
      </c>
      <c r="M2507" s="6" t="str">
        <f t="shared" si="849"/>
        <v/>
      </c>
      <c r="N2507" t="str">
        <f t="shared" si="845"/>
        <v/>
      </c>
      <c r="Y2507" t="str">
        <f t="shared" si="832"/>
        <v/>
      </c>
      <c r="Z2507" t="str">
        <f t="shared" si="833"/>
        <v/>
      </c>
      <c r="AC2507" t="str">
        <f t="shared" si="829"/>
        <v/>
      </c>
      <c r="AD2507" t="str">
        <f t="shared" si="830"/>
        <v/>
      </c>
      <c r="AE2507" t="str">
        <f t="shared" si="831"/>
        <v/>
      </c>
      <c r="AF2507" t="str">
        <f t="shared" si="834"/>
        <v/>
      </c>
      <c r="AG2507">
        <f t="shared" si="840"/>
        <v>18981</v>
      </c>
      <c r="AH2507" t="str">
        <f t="shared" si="841"/>
        <v>Nelson</v>
      </c>
      <c r="AI2507" t="str">
        <f t="shared" si="842"/>
        <v>Velodrome</v>
      </c>
      <c r="AJ2507" s="18">
        <f t="shared" si="835"/>
        <v>0</v>
      </c>
      <c r="AP2507" s="18">
        <f t="shared" si="836"/>
        <v>0</v>
      </c>
      <c r="AQ2507">
        <f t="shared" si="837"/>
        <v>2160</v>
      </c>
      <c r="AR2507" s="23">
        <f t="shared" si="838"/>
        <v>3240</v>
      </c>
      <c r="AS2507">
        <f t="shared" si="843"/>
        <v>3235</v>
      </c>
      <c r="AT2507" s="21">
        <f t="shared" si="844"/>
        <v>3240</v>
      </c>
      <c r="AU2507" s="21"/>
      <c r="AV2507" s="21"/>
      <c r="AW2507" s="21"/>
    </row>
    <row r="2508" spans="5:49" x14ac:dyDescent="0.2">
      <c r="E2508">
        <f t="shared" si="839"/>
        <v>3</v>
      </c>
      <c r="J2508">
        <f t="shared" si="846"/>
        <v>0</v>
      </c>
      <c r="K2508">
        <f t="shared" si="847"/>
        <v>0</v>
      </c>
      <c r="L2508" t="str">
        <f t="shared" si="848"/>
        <v/>
      </c>
      <c r="M2508" s="6" t="str">
        <f t="shared" si="849"/>
        <v/>
      </c>
      <c r="N2508" t="str">
        <f t="shared" si="845"/>
        <v/>
      </c>
      <c r="Y2508" t="str">
        <f t="shared" si="832"/>
        <v/>
      </c>
      <c r="Z2508" t="str">
        <f t="shared" si="833"/>
        <v/>
      </c>
      <c r="AC2508" t="str">
        <f t="shared" si="829"/>
        <v/>
      </c>
      <c r="AD2508" t="str">
        <f t="shared" si="830"/>
        <v/>
      </c>
      <c r="AE2508" t="str">
        <f t="shared" si="831"/>
        <v/>
      </c>
      <c r="AF2508" t="str">
        <f t="shared" si="834"/>
        <v/>
      </c>
      <c r="AG2508">
        <f t="shared" si="840"/>
        <v>18981</v>
      </c>
      <c r="AH2508" t="str">
        <f t="shared" si="841"/>
        <v>Nelson</v>
      </c>
      <c r="AI2508" t="str">
        <f t="shared" si="842"/>
        <v>Velodrome</v>
      </c>
      <c r="AJ2508" s="18">
        <f t="shared" si="835"/>
        <v>0</v>
      </c>
      <c r="AP2508" s="18">
        <f t="shared" si="836"/>
        <v>0</v>
      </c>
      <c r="AQ2508">
        <f t="shared" si="837"/>
        <v>2160</v>
      </c>
      <c r="AR2508" s="23">
        <f t="shared" si="838"/>
        <v>3240</v>
      </c>
      <c r="AS2508">
        <f t="shared" si="843"/>
        <v>3235</v>
      </c>
      <c r="AT2508" s="21">
        <f t="shared" si="844"/>
        <v>3240</v>
      </c>
      <c r="AU2508" s="21"/>
      <c r="AV2508" s="21"/>
      <c r="AW2508" s="21"/>
    </row>
    <row r="2509" spans="5:49" x14ac:dyDescent="0.2">
      <c r="E2509">
        <f t="shared" si="839"/>
        <v>3</v>
      </c>
      <c r="J2509">
        <f t="shared" si="846"/>
        <v>0</v>
      </c>
      <c r="K2509">
        <f t="shared" si="847"/>
        <v>0</v>
      </c>
      <c r="L2509" t="str">
        <f t="shared" si="848"/>
        <v/>
      </c>
      <c r="M2509" s="6" t="str">
        <f t="shared" si="849"/>
        <v/>
      </c>
      <c r="N2509" t="str">
        <f t="shared" si="845"/>
        <v/>
      </c>
      <c r="Y2509" t="str">
        <f t="shared" si="832"/>
        <v/>
      </c>
      <c r="Z2509" t="str">
        <f t="shared" si="833"/>
        <v/>
      </c>
      <c r="AC2509" t="str">
        <f t="shared" si="829"/>
        <v/>
      </c>
      <c r="AD2509" t="str">
        <f t="shared" si="830"/>
        <v/>
      </c>
      <c r="AE2509" t="str">
        <f t="shared" si="831"/>
        <v/>
      </c>
      <c r="AF2509" t="str">
        <f t="shared" si="834"/>
        <v/>
      </c>
      <c r="AG2509">
        <f t="shared" si="840"/>
        <v>18981</v>
      </c>
      <c r="AH2509" t="str">
        <f t="shared" si="841"/>
        <v>Nelson</v>
      </c>
      <c r="AI2509" t="str">
        <f t="shared" si="842"/>
        <v>Velodrome</v>
      </c>
      <c r="AJ2509" s="18">
        <f t="shared" si="835"/>
        <v>0</v>
      </c>
      <c r="AP2509" s="18">
        <f t="shared" si="836"/>
        <v>0</v>
      </c>
      <c r="AQ2509">
        <f t="shared" si="837"/>
        <v>2160</v>
      </c>
      <c r="AR2509" s="23">
        <f t="shared" si="838"/>
        <v>3240</v>
      </c>
      <c r="AS2509">
        <f t="shared" si="843"/>
        <v>3235</v>
      </c>
      <c r="AT2509" s="21">
        <f t="shared" si="844"/>
        <v>3240</v>
      </c>
      <c r="AU2509" s="21"/>
      <c r="AV2509" s="21"/>
      <c r="AW2509" s="21"/>
    </row>
    <row r="2510" spans="5:49" x14ac:dyDescent="0.2">
      <c r="E2510">
        <f t="shared" si="839"/>
        <v>3</v>
      </c>
      <c r="J2510">
        <f t="shared" si="846"/>
        <v>0</v>
      </c>
      <c r="K2510">
        <f t="shared" si="847"/>
        <v>0</v>
      </c>
      <c r="L2510" t="str">
        <f t="shared" si="848"/>
        <v/>
      </c>
      <c r="M2510" s="6" t="str">
        <f t="shared" si="849"/>
        <v/>
      </c>
      <c r="N2510" t="str">
        <f t="shared" si="845"/>
        <v/>
      </c>
      <c r="Y2510" t="str">
        <f t="shared" si="832"/>
        <v/>
      </c>
      <c r="Z2510" t="str">
        <f t="shared" si="833"/>
        <v/>
      </c>
      <c r="AC2510" t="str">
        <f t="shared" si="829"/>
        <v/>
      </c>
      <c r="AD2510" t="str">
        <f t="shared" si="830"/>
        <v/>
      </c>
      <c r="AE2510" t="str">
        <f t="shared" si="831"/>
        <v/>
      </c>
      <c r="AF2510" t="str">
        <f t="shared" si="834"/>
        <v/>
      </c>
      <c r="AG2510">
        <f t="shared" si="840"/>
        <v>18981</v>
      </c>
      <c r="AH2510" t="str">
        <f t="shared" si="841"/>
        <v>Nelson</v>
      </c>
      <c r="AI2510" t="str">
        <f t="shared" si="842"/>
        <v>Velodrome</v>
      </c>
      <c r="AJ2510" s="18">
        <f t="shared" si="835"/>
        <v>0</v>
      </c>
      <c r="AP2510" s="18">
        <f t="shared" si="836"/>
        <v>0</v>
      </c>
      <c r="AQ2510">
        <f t="shared" si="837"/>
        <v>2160</v>
      </c>
      <c r="AR2510" s="23">
        <f t="shared" si="838"/>
        <v>3240</v>
      </c>
      <c r="AS2510">
        <f t="shared" si="843"/>
        <v>3235</v>
      </c>
      <c r="AT2510" s="21">
        <f t="shared" si="844"/>
        <v>3240</v>
      </c>
      <c r="AU2510" s="21"/>
      <c r="AV2510" s="21"/>
      <c r="AW2510" s="21"/>
    </row>
    <row r="2511" spans="5:49" x14ac:dyDescent="0.2">
      <c r="E2511">
        <f t="shared" si="839"/>
        <v>3</v>
      </c>
      <c r="J2511">
        <f t="shared" si="846"/>
        <v>0</v>
      </c>
      <c r="K2511">
        <f t="shared" si="847"/>
        <v>0</v>
      </c>
      <c r="L2511" t="str">
        <f t="shared" si="848"/>
        <v/>
      </c>
      <c r="M2511" s="6" t="str">
        <f t="shared" si="849"/>
        <v/>
      </c>
      <c r="N2511" t="str">
        <f t="shared" si="845"/>
        <v/>
      </c>
      <c r="Y2511" t="str">
        <f t="shared" si="832"/>
        <v/>
      </c>
      <c r="Z2511" t="str">
        <f t="shared" si="833"/>
        <v/>
      </c>
      <c r="AC2511" t="str">
        <f t="shared" si="829"/>
        <v/>
      </c>
      <c r="AD2511" t="str">
        <f t="shared" si="830"/>
        <v/>
      </c>
      <c r="AE2511" t="str">
        <f t="shared" si="831"/>
        <v/>
      </c>
      <c r="AF2511" t="str">
        <f t="shared" si="834"/>
        <v/>
      </c>
      <c r="AG2511">
        <f t="shared" si="840"/>
        <v>18981</v>
      </c>
      <c r="AH2511" t="str">
        <f t="shared" si="841"/>
        <v>Nelson</v>
      </c>
      <c r="AI2511" t="str">
        <f t="shared" si="842"/>
        <v>Velodrome</v>
      </c>
      <c r="AJ2511" s="18">
        <f t="shared" si="835"/>
        <v>0</v>
      </c>
      <c r="AP2511" s="18">
        <f t="shared" si="836"/>
        <v>0</v>
      </c>
      <c r="AQ2511">
        <f t="shared" si="837"/>
        <v>2160</v>
      </c>
      <c r="AR2511" s="23">
        <f t="shared" si="838"/>
        <v>3240</v>
      </c>
      <c r="AS2511">
        <f t="shared" si="843"/>
        <v>3235</v>
      </c>
      <c r="AT2511" s="21">
        <f t="shared" si="844"/>
        <v>3240</v>
      </c>
      <c r="AU2511" s="21"/>
      <c r="AV2511" s="21"/>
      <c r="AW2511" s="21"/>
    </row>
    <row r="2512" spans="5:49" x14ac:dyDescent="0.2">
      <c r="E2512">
        <f t="shared" si="839"/>
        <v>3</v>
      </c>
      <c r="J2512">
        <f t="shared" si="846"/>
        <v>0</v>
      </c>
      <c r="K2512">
        <f t="shared" si="847"/>
        <v>0</v>
      </c>
      <c r="L2512" t="str">
        <f t="shared" si="848"/>
        <v/>
      </c>
      <c r="M2512" s="6" t="str">
        <f t="shared" si="849"/>
        <v/>
      </c>
      <c r="N2512" t="str">
        <f t="shared" si="845"/>
        <v/>
      </c>
      <c r="Y2512" t="str">
        <f t="shared" si="832"/>
        <v/>
      </c>
      <c r="Z2512" t="str">
        <f t="shared" si="833"/>
        <v/>
      </c>
      <c r="AC2512" t="str">
        <f t="shared" si="829"/>
        <v/>
      </c>
      <c r="AD2512" t="str">
        <f t="shared" si="830"/>
        <v/>
      </c>
      <c r="AE2512" t="str">
        <f t="shared" si="831"/>
        <v/>
      </c>
      <c r="AF2512" t="str">
        <f t="shared" si="834"/>
        <v/>
      </c>
      <c r="AG2512">
        <f t="shared" si="840"/>
        <v>18981</v>
      </c>
      <c r="AH2512" t="str">
        <f t="shared" si="841"/>
        <v>Nelson</v>
      </c>
      <c r="AI2512" t="str">
        <f t="shared" si="842"/>
        <v>Velodrome</v>
      </c>
      <c r="AJ2512" s="18">
        <f t="shared" si="835"/>
        <v>0</v>
      </c>
      <c r="AP2512" s="18">
        <f t="shared" si="836"/>
        <v>0</v>
      </c>
      <c r="AQ2512">
        <f t="shared" si="837"/>
        <v>2160</v>
      </c>
      <c r="AR2512" s="23">
        <f t="shared" si="838"/>
        <v>3240</v>
      </c>
      <c r="AS2512">
        <f t="shared" si="843"/>
        <v>3235</v>
      </c>
      <c r="AT2512" s="21">
        <f t="shared" si="844"/>
        <v>3240</v>
      </c>
      <c r="AU2512" s="21"/>
      <c r="AV2512" s="21"/>
      <c r="AW2512" s="21"/>
    </row>
    <row r="2513" spans="5:49" x14ac:dyDescent="0.2">
      <c r="E2513">
        <f t="shared" si="839"/>
        <v>3</v>
      </c>
      <c r="J2513">
        <f t="shared" si="846"/>
        <v>0</v>
      </c>
      <c r="K2513">
        <f t="shared" si="847"/>
        <v>0</v>
      </c>
      <c r="L2513" t="str">
        <f t="shared" si="848"/>
        <v/>
      </c>
      <c r="M2513" s="6" t="str">
        <f t="shared" si="849"/>
        <v/>
      </c>
      <c r="N2513" t="str">
        <f t="shared" si="845"/>
        <v/>
      </c>
      <c r="Y2513" t="str">
        <f t="shared" si="832"/>
        <v/>
      </c>
      <c r="Z2513" t="str">
        <f t="shared" si="833"/>
        <v/>
      </c>
      <c r="AC2513" t="str">
        <f t="shared" si="829"/>
        <v/>
      </c>
      <c r="AD2513" t="str">
        <f t="shared" si="830"/>
        <v/>
      </c>
      <c r="AE2513" t="str">
        <f t="shared" si="831"/>
        <v/>
      </c>
      <c r="AF2513" t="str">
        <f t="shared" si="834"/>
        <v/>
      </c>
      <c r="AG2513">
        <f t="shared" si="840"/>
        <v>18981</v>
      </c>
      <c r="AH2513" t="str">
        <f t="shared" si="841"/>
        <v>Nelson</v>
      </c>
      <c r="AI2513" t="str">
        <f t="shared" si="842"/>
        <v>Velodrome</v>
      </c>
      <c r="AJ2513" s="18">
        <f t="shared" si="835"/>
        <v>0</v>
      </c>
      <c r="AP2513" s="18">
        <f t="shared" si="836"/>
        <v>0</v>
      </c>
      <c r="AQ2513">
        <f t="shared" si="837"/>
        <v>2160</v>
      </c>
      <c r="AR2513" s="23">
        <f t="shared" si="838"/>
        <v>3240</v>
      </c>
      <c r="AS2513">
        <f t="shared" si="843"/>
        <v>3235</v>
      </c>
      <c r="AT2513" s="21">
        <f t="shared" si="844"/>
        <v>3240</v>
      </c>
      <c r="AU2513" s="21"/>
      <c r="AV2513" s="21"/>
      <c r="AW2513" s="21"/>
    </row>
    <row r="2514" spans="5:49" x14ac:dyDescent="0.2">
      <c r="E2514">
        <f t="shared" si="839"/>
        <v>3</v>
      </c>
      <c r="J2514">
        <f t="shared" si="846"/>
        <v>0</v>
      </c>
      <c r="K2514">
        <f t="shared" si="847"/>
        <v>0</v>
      </c>
      <c r="L2514" t="str">
        <f t="shared" si="848"/>
        <v/>
      </c>
      <c r="M2514" s="6" t="str">
        <f t="shared" si="849"/>
        <v/>
      </c>
      <c r="N2514" t="str">
        <f t="shared" si="845"/>
        <v/>
      </c>
      <c r="Y2514" t="str">
        <f t="shared" si="832"/>
        <v/>
      </c>
      <c r="Z2514" t="str">
        <f t="shared" si="833"/>
        <v/>
      </c>
      <c r="AC2514" t="str">
        <f t="shared" si="829"/>
        <v/>
      </c>
      <c r="AD2514" t="str">
        <f t="shared" si="830"/>
        <v/>
      </c>
      <c r="AE2514" t="str">
        <f t="shared" si="831"/>
        <v/>
      </c>
      <c r="AF2514" t="str">
        <f t="shared" si="834"/>
        <v/>
      </c>
      <c r="AG2514">
        <f t="shared" si="840"/>
        <v>18981</v>
      </c>
      <c r="AH2514" t="str">
        <f t="shared" si="841"/>
        <v>Nelson</v>
      </c>
      <c r="AI2514" t="str">
        <f t="shared" si="842"/>
        <v>Velodrome</v>
      </c>
      <c r="AJ2514" s="18">
        <f t="shared" si="835"/>
        <v>0</v>
      </c>
      <c r="AP2514" s="18">
        <f t="shared" si="836"/>
        <v>0</v>
      </c>
      <c r="AQ2514">
        <f t="shared" si="837"/>
        <v>2160</v>
      </c>
      <c r="AR2514" s="23">
        <f t="shared" si="838"/>
        <v>3240</v>
      </c>
      <c r="AS2514">
        <f t="shared" si="843"/>
        <v>3235</v>
      </c>
      <c r="AT2514" s="21">
        <f t="shared" si="844"/>
        <v>3240</v>
      </c>
      <c r="AU2514" s="21"/>
      <c r="AV2514" s="21"/>
      <c r="AW2514" s="21"/>
    </row>
    <row r="2515" spans="5:49" x14ac:dyDescent="0.2">
      <c r="E2515">
        <f t="shared" si="839"/>
        <v>3</v>
      </c>
      <c r="J2515">
        <f t="shared" si="846"/>
        <v>0</v>
      </c>
      <c r="K2515">
        <f t="shared" si="847"/>
        <v>0</v>
      </c>
      <c r="L2515" t="str">
        <f t="shared" si="848"/>
        <v/>
      </c>
      <c r="M2515" s="6" t="str">
        <f t="shared" si="849"/>
        <v/>
      </c>
      <c r="N2515" t="str">
        <f t="shared" si="845"/>
        <v/>
      </c>
      <c r="Y2515" t="str">
        <f t="shared" si="832"/>
        <v/>
      </c>
      <c r="Z2515" t="str">
        <f t="shared" si="833"/>
        <v/>
      </c>
      <c r="AC2515" t="str">
        <f t="shared" si="829"/>
        <v/>
      </c>
      <c r="AD2515" t="str">
        <f t="shared" si="830"/>
        <v/>
      </c>
      <c r="AE2515" t="str">
        <f t="shared" si="831"/>
        <v/>
      </c>
      <c r="AF2515" t="str">
        <f t="shared" si="834"/>
        <v/>
      </c>
      <c r="AG2515">
        <f t="shared" si="840"/>
        <v>18981</v>
      </c>
      <c r="AH2515" t="str">
        <f t="shared" si="841"/>
        <v>Nelson</v>
      </c>
      <c r="AI2515" t="str">
        <f t="shared" si="842"/>
        <v>Velodrome</v>
      </c>
      <c r="AJ2515" s="18">
        <f t="shared" si="835"/>
        <v>0</v>
      </c>
      <c r="AP2515" s="18">
        <f t="shared" si="836"/>
        <v>0</v>
      </c>
      <c r="AQ2515">
        <f t="shared" si="837"/>
        <v>2160</v>
      </c>
      <c r="AR2515" s="23">
        <f t="shared" si="838"/>
        <v>3240</v>
      </c>
      <c r="AS2515">
        <f t="shared" si="843"/>
        <v>3235</v>
      </c>
      <c r="AT2515" s="21">
        <f t="shared" si="844"/>
        <v>3240</v>
      </c>
      <c r="AU2515" s="21"/>
      <c r="AV2515" s="21"/>
      <c r="AW2515" s="21"/>
    </row>
    <row r="2516" spans="5:49" x14ac:dyDescent="0.2">
      <c r="E2516">
        <f t="shared" si="839"/>
        <v>3</v>
      </c>
      <c r="J2516">
        <f t="shared" si="846"/>
        <v>0</v>
      </c>
      <c r="K2516">
        <f t="shared" si="847"/>
        <v>0</v>
      </c>
      <c r="L2516" t="str">
        <f t="shared" si="848"/>
        <v/>
      </c>
      <c r="M2516" s="6" t="str">
        <f t="shared" si="849"/>
        <v/>
      </c>
      <c r="N2516" t="str">
        <f t="shared" si="845"/>
        <v/>
      </c>
      <c r="Y2516" t="str">
        <f t="shared" si="832"/>
        <v/>
      </c>
      <c r="Z2516" t="str">
        <f t="shared" si="833"/>
        <v/>
      </c>
      <c r="AC2516" t="str">
        <f t="shared" si="829"/>
        <v/>
      </c>
      <c r="AD2516" t="str">
        <f t="shared" si="830"/>
        <v/>
      </c>
      <c r="AE2516" t="str">
        <f t="shared" si="831"/>
        <v/>
      </c>
      <c r="AF2516" t="str">
        <f t="shared" si="834"/>
        <v/>
      </c>
      <c r="AG2516">
        <f t="shared" si="840"/>
        <v>18981</v>
      </c>
      <c r="AH2516" t="str">
        <f t="shared" si="841"/>
        <v>Nelson</v>
      </c>
      <c r="AI2516" t="str">
        <f t="shared" si="842"/>
        <v>Velodrome</v>
      </c>
      <c r="AJ2516" s="18">
        <f t="shared" si="835"/>
        <v>0</v>
      </c>
      <c r="AP2516" s="18">
        <f t="shared" si="836"/>
        <v>0</v>
      </c>
      <c r="AQ2516">
        <f t="shared" si="837"/>
        <v>2160</v>
      </c>
      <c r="AR2516" s="23">
        <f t="shared" si="838"/>
        <v>3240</v>
      </c>
      <c r="AS2516">
        <f t="shared" si="843"/>
        <v>3235</v>
      </c>
      <c r="AT2516" s="21">
        <f t="shared" si="844"/>
        <v>3240</v>
      </c>
      <c r="AU2516" s="21"/>
      <c r="AV2516" s="21"/>
      <c r="AW2516" s="21"/>
    </row>
    <row r="2517" spans="5:49" x14ac:dyDescent="0.2">
      <c r="E2517">
        <f t="shared" si="839"/>
        <v>3</v>
      </c>
      <c r="J2517">
        <f t="shared" si="846"/>
        <v>0</v>
      </c>
      <c r="K2517">
        <f t="shared" si="847"/>
        <v>0</v>
      </c>
      <c r="L2517" t="str">
        <f t="shared" si="848"/>
        <v/>
      </c>
      <c r="M2517" s="6" t="str">
        <f t="shared" si="849"/>
        <v/>
      </c>
      <c r="N2517" t="str">
        <f t="shared" si="845"/>
        <v/>
      </c>
      <c r="Y2517" t="str">
        <f t="shared" si="832"/>
        <v/>
      </c>
      <c r="Z2517" t="str">
        <f t="shared" si="833"/>
        <v/>
      </c>
      <c r="AC2517" t="str">
        <f t="shared" si="829"/>
        <v/>
      </c>
      <c r="AD2517" t="str">
        <f t="shared" si="830"/>
        <v/>
      </c>
      <c r="AE2517" t="str">
        <f t="shared" si="831"/>
        <v/>
      </c>
      <c r="AF2517" t="str">
        <f t="shared" si="834"/>
        <v/>
      </c>
      <c r="AG2517">
        <f t="shared" si="840"/>
        <v>18981</v>
      </c>
      <c r="AH2517" t="str">
        <f t="shared" si="841"/>
        <v>Nelson</v>
      </c>
      <c r="AI2517" t="str">
        <f t="shared" si="842"/>
        <v>Velodrome</v>
      </c>
      <c r="AJ2517" s="18">
        <f t="shared" si="835"/>
        <v>0</v>
      </c>
      <c r="AP2517" s="18">
        <f t="shared" si="836"/>
        <v>0</v>
      </c>
      <c r="AQ2517">
        <f t="shared" si="837"/>
        <v>2160</v>
      </c>
      <c r="AR2517" s="23">
        <f t="shared" si="838"/>
        <v>3240</v>
      </c>
      <c r="AS2517">
        <f t="shared" si="843"/>
        <v>3235</v>
      </c>
      <c r="AT2517" s="21">
        <f t="shared" si="844"/>
        <v>3240</v>
      </c>
      <c r="AU2517" s="21"/>
      <c r="AV2517" s="21"/>
      <c r="AW2517" s="21"/>
    </row>
    <row r="2518" spans="5:49" x14ac:dyDescent="0.2">
      <c r="E2518">
        <f t="shared" si="839"/>
        <v>3</v>
      </c>
      <c r="J2518">
        <f t="shared" si="846"/>
        <v>0</v>
      </c>
      <c r="K2518">
        <f t="shared" si="847"/>
        <v>0</v>
      </c>
      <c r="L2518" t="str">
        <f t="shared" si="848"/>
        <v/>
      </c>
      <c r="M2518" s="6" t="str">
        <f t="shared" si="849"/>
        <v/>
      </c>
      <c r="N2518" t="str">
        <f t="shared" si="845"/>
        <v/>
      </c>
      <c r="Y2518" t="str">
        <f t="shared" si="832"/>
        <v/>
      </c>
      <c r="Z2518" t="str">
        <f t="shared" si="833"/>
        <v/>
      </c>
      <c r="AC2518" t="str">
        <f t="shared" si="829"/>
        <v/>
      </c>
      <c r="AD2518" t="str">
        <f t="shared" si="830"/>
        <v/>
      </c>
      <c r="AE2518" t="str">
        <f t="shared" si="831"/>
        <v/>
      </c>
      <c r="AF2518" t="str">
        <f t="shared" si="834"/>
        <v/>
      </c>
      <c r="AG2518">
        <f t="shared" si="840"/>
        <v>18981</v>
      </c>
      <c r="AH2518" t="str">
        <f t="shared" si="841"/>
        <v>Nelson</v>
      </c>
      <c r="AI2518" t="str">
        <f t="shared" si="842"/>
        <v>Velodrome</v>
      </c>
      <c r="AJ2518" s="18">
        <f t="shared" si="835"/>
        <v>0</v>
      </c>
      <c r="AP2518" s="18">
        <f t="shared" si="836"/>
        <v>0</v>
      </c>
      <c r="AQ2518">
        <f t="shared" si="837"/>
        <v>2160</v>
      </c>
      <c r="AR2518" s="23">
        <f t="shared" si="838"/>
        <v>3240</v>
      </c>
      <c r="AS2518">
        <f t="shared" si="843"/>
        <v>3235</v>
      </c>
      <c r="AT2518" s="21">
        <f t="shared" si="844"/>
        <v>3240</v>
      </c>
      <c r="AU2518" s="21"/>
      <c r="AV2518" s="21"/>
      <c r="AW2518" s="21"/>
    </row>
    <row r="2519" spans="5:49" x14ac:dyDescent="0.2">
      <c r="E2519">
        <f t="shared" si="839"/>
        <v>3</v>
      </c>
      <c r="J2519">
        <f t="shared" si="846"/>
        <v>0</v>
      </c>
      <c r="K2519">
        <f t="shared" si="847"/>
        <v>0</v>
      </c>
      <c r="L2519" t="str">
        <f t="shared" si="848"/>
        <v/>
      </c>
      <c r="M2519" s="6" t="str">
        <f t="shared" si="849"/>
        <v/>
      </c>
      <c r="N2519" t="str">
        <f t="shared" si="845"/>
        <v/>
      </c>
      <c r="Y2519" t="str">
        <f t="shared" si="832"/>
        <v/>
      </c>
      <c r="Z2519" t="str">
        <f t="shared" si="833"/>
        <v/>
      </c>
      <c r="AC2519" t="str">
        <f t="shared" si="829"/>
        <v/>
      </c>
      <c r="AD2519" t="str">
        <f t="shared" si="830"/>
        <v/>
      </c>
      <c r="AE2519" t="str">
        <f t="shared" si="831"/>
        <v/>
      </c>
      <c r="AF2519" t="str">
        <f t="shared" si="834"/>
        <v/>
      </c>
      <c r="AG2519">
        <f t="shared" si="840"/>
        <v>18981</v>
      </c>
      <c r="AH2519" t="str">
        <f t="shared" si="841"/>
        <v>Nelson</v>
      </c>
      <c r="AI2519" t="str">
        <f t="shared" si="842"/>
        <v>Velodrome</v>
      </c>
      <c r="AJ2519" s="18">
        <f t="shared" si="835"/>
        <v>0</v>
      </c>
      <c r="AP2519" s="18">
        <f t="shared" si="836"/>
        <v>0</v>
      </c>
      <c r="AQ2519">
        <f t="shared" si="837"/>
        <v>2160</v>
      </c>
      <c r="AR2519" s="23">
        <f t="shared" si="838"/>
        <v>3240</v>
      </c>
      <c r="AS2519">
        <f t="shared" si="843"/>
        <v>3235</v>
      </c>
      <c r="AT2519" s="21">
        <f t="shared" si="844"/>
        <v>3240</v>
      </c>
      <c r="AU2519" s="21"/>
      <c r="AV2519" s="21"/>
      <c r="AW2519" s="21"/>
    </row>
    <row r="2520" spans="5:49" x14ac:dyDescent="0.2">
      <c r="E2520">
        <f t="shared" si="839"/>
        <v>3</v>
      </c>
      <c r="J2520">
        <f t="shared" si="846"/>
        <v>0</v>
      </c>
      <c r="K2520">
        <f t="shared" si="847"/>
        <v>0</v>
      </c>
      <c r="L2520" t="str">
        <f t="shared" si="848"/>
        <v/>
      </c>
      <c r="M2520" s="6" t="str">
        <f t="shared" si="849"/>
        <v/>
      </c>
      <c r="N2520" t="str">
        <f t="shared" si="845"/>
        <v/>
      </c>
      <c r="Y2520" t="str">
        <f t="shared" si="832"/>
        <v/>
      </c>
      <c r="Z2520" t="str">
        <f t="shared" si="833"/>
        <v/>
      </c>
      <c r="AC2520" t="str">
        <f t="shared" si="829"/>
        <v/>
      </c>
      <c r="AD2520" t="str">
        <f t="shared" si="830"/>
        <v/>
      </c>
      <c r="AE2520" t="str">
        <f t="shared" si="831"/>
        <v/>
      </c>
      <c r="AF2520" t="str">
        <f t="shared" si="834"/>
        <v/>
      </c>
      <c r="AG2520">
        <f t="shared" si="840"/>
        <v>18981</v>
      </c>
      <c r="AH2520" t="str">
        <f t="shared" si="841"/>
        <v>Nelson</v>
      </c>
      <c r="AI2520" t="str">
        <f t="shared" si="842"/>
        <v>Velodrome</v>
      </c>
      <c r="AJ2520" s="18">
        <f t="shared" si="835"/>
        <v>0</v>
      </c>
      <c r="AP2520" s="18">
        <f t="shared" si="836"/>
        <v>0</v>
      </c>
      <c r="AQ2520">
        <f t="shared" si="837"/>
        <v>2160</v>
      </c>
      <c r="AR2520" s="23">
        <f t="shared" si="838"/>
        <v>3240</v>
      </c>
      <c r="AS2520">
        <f t="shared" si="843"/>
        <v>3235</v>
      </c>
      <c r="AT2520" s="21">
        <f t="shared" si="844"/>
        <v>3240</v>
      </c>
      <c r="AU2520" s="21"/>
      <c r="AV2520" s="21"/>
      <c r="AW2520" s="21"/>
    </row>
    <row r="2521" spans="5:49" x14ac:dyDescent="0.2">
      <c r="E2521">
        <f t="shared" si="839"/>
        <v>3</v>
      </c>
      <c r="J2521">
        <f t="shared" si="846"/>
        <v>0</v>
      </c>
      <c r="K2521">
        <f t="shared" si="847"/>
        <v>0</v>
      </c>
      <c r="L2521" t="str">
        <f t="shared" si="848"/>
        <v/>
      </c>
      <c r="M2521" s="6" t="str">
        <f t="shared" si="849"/>
        <v/>
      </c>
      <c r="N2521" t="str">
        <f t="shared" si="845"/>
        <v/>
      </c>
      <c r="Y2521" t="str">
        <f t="shared" si="832"/>
        <v/>
      </c>
      <c r="Z2521" t="str">
        <f t="shared" si="833"/>
        <v/>
      </c>
      <c r="AC2521" t="str">
        <f t="shared" si="829"/>
        <v/>
      </c>
      <c r="AD2521" t="str">
        <f t="shared" si="830"/>
        <v/>
      </c>
      <c r="AE2521" t="str">
        <f t="shared" si="831"/>
        <v/>
      </c>
      <c r="AF2521" t="str">
        <f t="shared" si="834"/>
        <v/>
      </c>
      <c r="AG2521">
        <f t="shared" si="840"/>
        <v>18981</v>
      </c>
      <c r="AH2521" t="str">
        <f t="shared" si="841"/>
        <v>Nelson</v>
      </c>
      <c r="AI2521" t="str">
        <f t="shared" si="842"/>
        <v>Velodrome</v>
      </c>
      <c r="AJ2521" s="18">
        <f t="shared" si="835"/>
        <v>0</v>
      </c>
      <c r="AP2521" s="18">
        <f t="shared" si="836"/>
        <v>0</v>
      </c>
      <c r="AQ2521">
        <f t="shared" si="837"/>
        <v>2160</v>
      </c>
      <c r="AR2521" s="23">
        <f t="shared" si="838"/>
        <v>3240</v>
      </c>
      <c r="AS2521">
        <f t="shared" si="843"/>
        <v>3235</v>
      </c>
      <c r="AT2521" s="21">
        <f t="shared" si="844"/>
        <v>3240</v>
      </c>
      <c r="AU2521" s="21"/>
      <c r="AV2521" s="21"/>
      <c r="AW2521" s="21"/>
    </row>
    <row r="2522" spans="5:49" x14ac:dyDescent="0.2">
      <c r="E2522">
        <f t="shared" si="839"/>
        <v>3</v>
      </c>
      <c r="J2522">
        <f t="shared" si="846"/>
        <v>0</v>
      </c>
      <c r="K2522">
        <f t="shared" si="847"/>
        <v>0</v>
      </c>
      <c r="L2522" t="str">
        <f t="shared" si="848"/>
        <v/>
      </c>
      <c r="M2522" s="6" t="str">
        <f t="shared" si="849"/>
        <v/>
      </c>
      <c r="N2522" t="str">
        <f t="shared" si="845"/>
        <v/>
      </c>
      <c r="Y2522" t="str">
        <f t="shared" si="832"/>
        <v/>
      </c>
      <c r="Z2522" t="str">
        <f t="shared" si="833"/>
        <v/>
      </c>
      <c r="AC2522" t="str">
        <f t="shared" si="829"/>
        <v/>
      </c>
      <c r="AD2522" t="str">
        <f t="shared" si="830"/>
        <v/>
      </c>
      <c r="AE2522" t="str">
        <f t="shared" si="831"/>
        <v/>
      </c>
      <c r="AF2522" t="str">
        <f t="shared" si="834"/>
        <v/>
      </c>
      <c r="AG2522">
        <f t="shared" si="840"/>
        <v>18981</v>
      </c>
      <c r="AH2522" t="str">
        <f t="shared" si="841"/>
        <v>Nelson</v>
      </c>
      <c r="AI2522" t="str">
        <f t="shared" si="842"/>
        <v>Velodrome</v>
      </c>
      <c r="AJ2522" s="18">
        <f t="shared" si="835"/>
        <v>0</v>
      </c>
      <c r="AP2522" s="18">
        <f t="shared" si="836"/>
        <v>0</v>
      </c>
      <c r="AQ2522">
        <f t="shared" si="837"/>
        <v>2160</v>
      </c>
      <c r="AR2522" s="23">
        <f t="shared" si="838"/>
        <v>3240</v>
      </c>
      <c r="AS2522">
        <f t="shared" si="843"/>
        <v>3235</v>
      </c>
      <c r="AT2522" s="21">
        <f t="shared" si="844"/>
        <v>3240</v>
      </c>
      <c r="AU2522" s="21"/>
      <c r="AV2522" s="21"/>
      <c r="AW2522" s="21"/>
    </row>
    <row r="2523" spans="5:49" x14ac:dyDescent="0.2">
      <c r="E2523">
        <f t="shared" si="839"/>
        <v>3</v>
      </c>
      <c r="J2523">
        <f t="shared" si="846"/>
        <v>0</v>
      </c>
      <c r="K2523">
        <f t="shared" si="847"/>
        <v>0</v>
      </c>
      <c r="L2523" t="str">
        <f t="shared" si="848"/>
        <v/>
      </c>
      <c r="M2523" s="6" t="str">
        <f t="shared" si="849"/>
        <v/>
      </c>
      <c r="N2523" t="str">
        <f t="shared" si="845"/>
        <v/>
      </c>
      <c r="Y2523" t="str">
        <f t="shared" si="832"/>
        <v/>
      </c>
      <c r="Z2523" t="str">
        <f t="shared" si="833"/>
        <v/>
      </c>
      <c r="AC2523" t="str">
        <f t="shared" si="829"/>
        <v/>
      </c>
      <c r="AD2523" t="str">
        <f t="shared" si="830"/>
        <v/>
      </c>
      <c r="AE2523" t="str">
        <f t="shared" si="831"/>
        <v/>
      </c>
      <c r="AF2523" t="str">
        <f t="shared" si="834"/>
        <v/>
      </c>
      <c r="AG2523">
        <f t="shared" si="840"/>
        <v>18981</v>
      </c>
      <c r="AH2523" t="str">
        <f t="shared" si="841"/>
        <v>Nelson</v>
      </c>
      <c r="AI2523" t="str">
        <f t="shared" si="842"/>
        <v>Velodrome</v>
      </c>
      <c r="AJ2523" s="18">
        <f t="shared" si="835"/>
        <v>0</v>
      </c>
      <c r="AP2523" s="18">
        <f t="shared" si="836"/>
        <v>0</v>
      </c>
      <c r="AQ2523">
        <f t="shared" si="837"/>
        <v>2160</v>
      </c>
      <c r="AR2523" s="23">
        <f t="shared" si="838"/>
        <v>3240</v>
      </c>
      <c r="AS2523">
        <f t="shared" si="843"/>
        <v>3235</v>
      </c>
      <c r="AT2523" s="21">
        <f t="shared" si="844"/>
        <v>3240</v>
      </c>
      <c r="AU2523" s="21"/>
      <c r="AV2523" s="21"/>
      <c r="AW2523" s="21"/>
    </row>
    <row r="2524" spans="5:49" x14ac:dyDescent="0.2">
      <c r="E2524">
        <f t="shared" si="839"/>
        <v>3</v>
      </c>
      <c r="J2524">
        <f t="shared" si="846"/>
        <v>0</v>
      </c>
      <c r="K2524">
        <f t="shared" si="847"/>
        <v>0</v>
      </c>
      <c r="L2524" t="str">
        <f t="shared" si="848"/>
        <v/>
      </c>
      <c r="M2524" s="6" t="str">
        <f t="shared" si="849"/>
        <v/>
      </c>
      <c r="N2524" t="str">
        <f t="shared" si="845"/>
        <v/>
      </c>
      <c r="Y2524" t="str">
        <f t="shared" si="832"/>
        <v/>
      </c>
      <c r="Z2524" t="str">
        <f t="shared" si="833"/>
        <v/>
      </c>
      <c r="AC2524" t="str">
        <f t="shared" si="829"/>
        <v/>
      </c>
      <c r="AD2524" t="str">
        <f t="shared" si="830"/>
        <v/>
      </c>
      <c r="AE2524" t="str">
        <f t="shared" si="831"/>
        <v/>
      </c>
      <c r="AF2524" t="str">
        <f t="shared" si="834"/>
        <v/>
      </c>
      <c r="AG2524">
        <f t="shared" si="840"/>
        <v>18981</v>
      </c>
      <c r="AH2524" t="str">
        <f t="shared" si="841"/>
        <v>Nelson</v>
      </c>
      <c r="AI2524" t="str">
        <f t="shared" si="842"/>
        <v>Velodrome</v>
      </c>
      <c r="AJ2524" s="18">
        <f t="shared" si="835"/>
        <v>0</v>
      </c>
      <c r="AP2524" s="18">
        <f t="shared" si="836"/>
        <v>0</v>
      </c>
      <c r="AQ2524">
        <f t="shared" si="837"/>
        <v>2160</v>
      </c>
      <c r="AR2524" s="23">
        <f t="shared" si="838"/>
        <v>3240</v>
      </c>
      <c r="AS2524">
        <f t="shared" si="843"/>
        <v>3235</v>
      </c>
      <c r="AT2524" s="21">
        <f t="shared" si="844"/>
        <v>3240</v>
      </c>
      <c r="AU2524" s="21"/>
      <c r="AV2524" s="21"/>
      <c r="AW2524" s="21"/>
    </row>
    <row r="2525" spans="5:49" x14ac:dyDescent="0.2">
      <c r="E2525">
        <f t="shared" si="839"/>
        <v>3</v>
      </c>
      <c r="J2525">
        <f t="shared" si="846"/>
        <v>0</v>
      </c>
      <c r="K2525">
        <f t="shared" si="847"/>
        <v>0</v>
      </c>
      <c r="L2525" t="str">
        <f t="shared" si="848"/>
        <v/>
      </c>
      <c r="M2525" s="6" t="str">
        <f t="shared" si="849"/>
        <v/>
      </c>
      <c r="N2525" t="str">
        <f t="shared" si="845"/>
        <v/>
      </c>
      <c r="Y2525" t="str">
        <f t="shared" si="832"/>
        <v/>
      </c>
      <c r="Z2525" t="str">
        <f t="shared" si="833"/>
        <v/>
      </c>
      <c r="AC2525" t="str">
        <f t="shared" si="829"/>
        <v/>
      </c>
      <c r="AD2525" t="str">
        <f t="shared" si="830"/>
        <v/>
      </c>
      <c r="AE2525" t="str">
        <f t="shared" si="831"/>
        <v/>
      </c>
      <c r="AF2525" t="str">
        <f t="shared" si="834"/>
        <v/>
      </c>
      <c r="AG2525">
        <f t="shared" si="840"/>
        <v>18981</v>
      </c>
      <c r="AH2525" t="str">
        <f t="shared" si="841"/>
        <v>Nelson</v>
      </c>
      <c r="AI2525" t="str">
        <f t="shared" si="842"/>
        <v>Velodrome</v>
      </c>
      <c r="AJ2525" s="18">
        <f t="shared" si="835"/>
        <v>0</v>
      </c>
      <c r="AP2525" s="18">
        <f t="shared" si="836"/>
        <v>0</v>
      </c>
      <c r="AQ2525">
        <f t="shared" si="837"/>
        <v>2160</v>
      </c>
      <c r="AR2525" s="23">
        <f t="shared" si="838"/>
        <v>3240</v>
      </c>
      <c r="AS2525">
        <f t="shared" si="843"/>
        <v>3235</v>
      </c>
      <c r="AT2525" s="21">
        <f t="shared" si="844"/>
        <v>3240</v>
      </c>
      <c r="AU2525" s="21"/>
      <c r="AV2525" s="21"/>
      <c r="AW2525" s="21"/>
    </row>
    <row r="2526" spans="5:49" x14ac:dyDescent="0.2">
      <c r="E2526">
        <f t="shared" si="839"/>
        <v>3</v>
      </c>
      <c r="J2526">
        <f t="shared" si="846"/>
        <v>0</v>
      </c>
      <c r="K2526">
        <f t="shared" si="847"/>
        <v>0</v>
      </c>
      <c r="L2526" t="str">
        <f t="shared" si="848"/>
        <v/>
      </c>
      <c r="M2526" s="6" t="str">
        <f t="shared" si="849"/>
        <v/>
      </c>
      <c r="N2526" t="str">
        <f t="shared" si="845"/>
        <v/>
      </c>
      <c r="Y2526" t="str">
        <f t="shared" si="832"/>
        <v/>
      </c>
      <c r="Z2526" t="str">
        <f t="shared" si="833"/>
        <v/>
      </c>
      <c r="AC2526" t="str">
        <f t="shared" si="829"/>
        <v/>
      </c>
      <c r="AD2526" t="str">
        <f t="shared" si="830"/>
        <v/>
      </c>
      <c r="AE2526" t="str">
        <f t="shared" si="831"/>
        <v/>
      </c>
      <c r="AF2526" t="str">
        <f t="shared" si="834"/>
        <v/>
      </c>
      <c r="AG2526">
        <f t="shared" si="840"/>
        <v>18981</v>
      </c>
      <c r="AH2526" t="str">
        <f t="shared" si="841"/>
        <v>Nelson</v>
      </c>
      <c r="AI2526" t="str">
        <f t="shared" si="842"/>
        <v>Velodrome</v>
      </c>
      <c r="AJ2526" s="18">
        <f t="shared" si="835"/>
        <v>0</v>
      </c>
      <c r="AP2526" s="18">
        <f t="shared" si="836"/>
        <v>0</v>
      </c>
      <c r="AQ2526">
        <f t="shared" si="837"/>
        <v>2160</v>
      </c>
      <c r="AR2526" s="23">
        <f t="shared" si="838"/>
        <v>3240</v>
      </c>
      <c r="AS2526">
        <f t="shared" si="843"/>
        <v>3235</v>
      </c>
      <c r="AT2526" s="21">
        <f t="shared" si="844"/>
        <v>3240</v>
      </c>
      <c r="AU2526" s="21"/>
      <c r="AV2526" s="21"/>
      <c r="AW2526" s="21"/>
    </row>
    <row r="2527" spans="5:49" x14ac:dyDescent="0.2">
      <c r="E2527">
        <f t="shared" si="839"/>
        <v>3</v>
      </c>
      <c r="J2527">
        <f t="shared" si="846"/>
        <v>0</v>
      </c>
      <c r="K2527">
        <f t="shared" si="847"/>
        <v>0</v>
      </c>
      <c r="L2527" t="str">
        <f t="shared" si="848"/>
        <v/>
      </c>
      <c r="M2527" s="6" t="str">
        <f t="shared" si="849"/>
        <v/>
      </c>
      <c r="N2527" t="str">
        <f t="shared" si="845"/>
        <v/>
      </c>
      <c r="Y2527" t="str">
        <f t="shared" si="832"/>
        <v/>
      </c>
      <c r="Z2527" t="str">
        <f t="shared" si="833"/>
        <v/>
      </c>
      <c r="AC2527" t="str">
        <f t="shared" si="829"/>
        <v/>
      </c>
      <c r="AD2527" t="str">
        <f t="shared" si="830"/>
        <v/>
      </c>
      <c r="AE2527" t="str">
        <f t="shared" si="831"/>
        <v/>
      </c>
      <c r="AF2527" t="str">
        <f t="shared" si="834"/>
        <v/>
      </c>
      <c r="AG2527">
        <f t="shared" si="840"/>
        <v>18981</v>
      </c>
      <c r="AH2527" t="str">
        <f t="shared" si="841"/>
        <v>Nelson</v>
      </c>
      <c r="AI2527" t="str">
        <f t="shared" si="842"/>
        <v>Velodrome</v>
      </c>
      <c r="AJ2527" s="18">
        <f t="shared" si="835"/>
        <v>0</v>
      </c>
      <c r="AP2527" s="18">
        <f t="shared" si="836"/>
        <v>0</v>
      </c>
      <c r="AQ2527">
        <f t="shared" si="837"/>
        <v>2160</v>
      </c>
      <c r="AR2527" s="23">
        <f t="shared" si="838"/>
        <v>3240</v>
      </c>
      <c r="AS2527">
        <f t="shared" si="843"/>
        <v>3235</v>
      </c>
      <c r="AT2527" s="21">
        <f t="shared" si="844"/>
        <v>3240</v>
      </c>
      <c r="AU2527" s="21"/>
      <c r="AV2527" s="21"/>
      <c r="AW2527" s="21"/>
    </row>
    <row r="2528" spans="5:49" x14ac:dyDescent="0.2">
      <c r="E2528">
        <f t="shared" si="839"/>
        <v>3</v>
      </c>
      <c r="J2528">
        <f t="shared" si="846"/>
        <v>0</v>
      </c>
      <c r="K2528">
        <f t="shared" si="847"/>
        <v>0</v>
      </c>
      <c r="L2528" t="str">
        <f t="shared" si="848"/>
        <v/>
      </c>
      <c r="M2528" s="6" t="str">
        <f t="shared" si="849"/>
        <v/>
      </c>
      <c r="N2528" t="str">
        <f t="shared" si="845"/>
        <v/>
      </c>
      <c r="Y2528" t="str">
        <f t="shared" si="832"/>
        <v/>
      </c>
      <c r="Z2528" t="str">
        <f t="shared" si="833"/>
        <v/>
      </c>
      <c r="AC2528" t="str">
        <f t="shared" si="829"/>
        <v/>
      </c>
      <c r="AD2528" t="str">
        <f t="shared" si="830"/>
        <v/>
      </c>
      <c r="AE2528" t="str">
        <f t="shared" si="831"/>
        <v/>
      </c>
      <c r="AF2528" t="str">
        <f t="shared" si="834"/>
        <v/>
      </c>
      <c r="AG2528">
        <f t="shared" si="840"/>
        <v>18981</v>
      </c>
      <c r="AH2528" t="str">
        <f t="shared" si="841"/>
        <v>Nelson</v>
      </c>
      <c r="AI2528" t="str">
        <f t="shared" si="842"/>
        <v>Velodrome</v>
      </c>
      <c r="AJ2528" s="18">
        <f t="shared" si="835"/>
        <v>0</v>
      </c>
      <c r="AP2528" s="18">
        <f t="shared" si="836"/>
        <v>0</v>
      </c>
      <c r="AQ2528">
        <f t="shared" si="837"/>
        <v>2160</v>
      </c>
      <c r="AR2528" s="23">
        <f t="shared" si="838"/>
        <v>3240</v>
      </c>
      <c r="AS2528">
        <f t="shared" si="843"/>
        <v>3235</v>
      </c>
      <c r="AT2528" s="21">
        <f t="shared" si="844"/>
        <v>3240</v>
      </c>
      <c r="AU2528" s="21"/>
      <c r="AV2528" s="21"/>
      <c r="AW2528" s="21"/>
    </row>
    <row r="2529" spans="5:49" x14ac:dyDescent="0.2">
      <c r="E2529">
        <f t="shared" si="839"/>
        <v>3</v>
      </c>
      <c r="J2529">
        <f t="shared" si="846"/>
        <v>0</v>
      </c>
      <c r="K2529">
        <f t="shared" si="847"/>
        <v>0</v>
      </c>
      <c r="L2529" t="str">
        <f t="shared" si="848"/>
        <v/>
      </c>
      <c r="M2529" s="6" t="str">
        <f t="shared" si="849"/>
        <v/>
      </c>
      <c r="N2529" t="str">
        <f t="shared" si="845"/>
        <v/>
      </c>
      <c r="Y2529" t="str">
        <f t="shared" si="832"/>
        <v/>
      </c>
      <c r="Z2529" t="str">
        <f t="shared" si="833"/>
        <v/>
      </c>
      <c r="AC2529" t="str">
        <f t="shared" si="829"/>
        <v/>
      </c>
      <c r="AD2529" t="str">
        <f t="shared" si="830"/>
        <v/>
      </c>
      <c r="AE2529" t="str">
        <f t="shared" si="831"/>
        <v/>
      </c>
      <c r="AF2529" t="str">
        <f t="shared" si="834"/>
        <v/>
      </c>
      <c r="AG2529">
        <f t="shared" si="840"/>
        <v>18981</v>
      </c>
      <c r="AH2529" t="str">
        <f t="shared" si="841"/>
        <v>Nelson</v>
      </c>
      <c r="AI2529" t="str">
        <f t="shared" si="842"/>
        <v>Velodrome</v>
      </c>
      <c r="AJ2529" s="18">
        <f t="shared" si="835"/>
        <v>0</v>
      </c>
      <c r="AP2529" s="18">
        <f>SUMIFS(AJ$3:AJ2529,Q$3:Q2529,"=Intermission")+SUMIFS(AJ$3:AJ2529,Q$3:Q2529,"=Timeout")+SUMIFS(AJ$3:AJ2529,Q$3:Q2529,"=Clockstop")</f>
        <v>204</v>
      </c>
      <c r="AQ2529">
        <f t="shared" si="837"/>
        <v>2364</v>
      </c>
      <c r="AR2529" s="23">
        <f t="shared" si="838"/>
        <v>3444</v>
      </c>
      <c r="AS2529">
        <f t="shared" ref="AS2529:AS2562" si="850">IF(AR2529&lt;5,0,AR2529-5)</f>
        <v>3439</v>
      </c>
      <c r="AT2529" s="21">
        <f t="shared" ref="AT2529:AT2562" si="851">AS2529+AJ2529+5</f>
        <v>3444</v>
      </c>
      <c r="AU2529" s="21"/>
      <c r="AV2529" s="21"/>
      <c r="AW2529" s="21"/>
    </row>
    <row r="2530" spans="5:49" x14ac:dyDescent="0.2">
      <c r="E2530">
        <f t="shared" si="839"/>
        <v>3</v>
      </c>
      <c r="J2530">
        <f t="shared" si="846"/>
        <v>0</v>
      </c>
      <c r="K2530">
        <f t="shared" si="847"/>
        <v>0</v>
      </c>
      <c r="L2530" t="str">
        <f t="shared" si="848"/>
        <v/>
      </c>
      <c r="M2530" s="6" t="str">
        <f t="shared" si="849"/>
        <v/>
      </c>
      <c r="N2530" t="str">
        <f t="shared" si="845"/>
        <v/>
      </c>
      <c r="Y2530" t="str">
        <f t="shared" si="832"/>
        <v/>
      </c>
      <c r="Z2530" t="str">
        <f t="shared" si="833"/>
        <v/>
      </c>
      <c r="AC2530" t="str">
        <f t="shared" si="829"/>
        <v/>
      </c>
      <c r="AD2530" t="str">
        <f t="shared" si="830"/>
        <v/>
      </c>
      <c r="AE2530" t="str">
        <f t="shared" si="831"/>
        <v/>
      </c>
      <c r="AF2530" t="str">
        <f t="shared" si="834"/>
        <v/>
      </c>
      <c r="AG2530">
        <f t="shared" si="840"/>
        <v>18981</v>
      </c>
      <c r="AH2530" t="str">
        <f t="shared" si="841"/>
        <v>Nelson</v>
      </c>
      <c r="AI2530" t="str">
        <f t="shared" si="842"/>
        <v>Velodrome</v>
      </c>
      <c r="AJ2530" s="18">
        <f t="shared" si="835"/>
        <v>0</v>
      </c>
      <c r="AP2530" s="18">
        <f>SUMIFS(AJ$3:AJ2530,Q$3:Q2530,"=Intermission")+SUMIFS(AJ$3:AJ2530,Q$3:Q2530,"=Timeout")+SUMIFS(AJ$3:AJ2530,Q$3:Q2530,"=Clockstop")</f>
        <v>204</v>
      </c>
      <c r="AQ2530">
        <f t="shared" si="837"/>
        <v>2364</v>
      </c>
      <c r="AR2530" s="23">
        <f t="shared" si="838"/>
        <v>3444</v>
      </c>
      <c r="AS2530">
        <f t="shared" si="850"/>
        <v>3439</v>
      </c>
      <c r="AT2530" s="21">
        <f t="shared" si="851"/>
        <v>3444</v>
      </c>
      <c r="AU2530" s="21"/>
      <c r="AV2530" s="21"/>
      <c r="AW2530" s="21"/>
    </row>
    <row r="2531" spans="5:49" x14ac:dyDescent="0.2">
      <c r="E2531">
        <f t="shared" si="839"/>
        <v>3</v>
      </c>
      <c r="J2531">
        <f t="shared" si="846"/>
        <v>0</v>
      </c>
      <c r="K2531">
        <f t="shared" si="847"/>
        <v>0</v>
      </c>
      <c r="L2531" t="str">
        <f t="shared" si="848"/>
        <v/>
      </c>
      <c r="M2531" s="6" t="str">
        <f t="shared" si="849"/>
        <v/>
      </c>
      <c r="N2531" t="str">
        <f t="shared" si="845"/>
        <v/>
      </c>
      <c r="Y2531" t="str">
        <f t="shared" si="832"/>
        <v/>
      </c>
      <c r="Z2531" t="str">
        <f t="shared" si="833"/>
        <v/>
      </c>
      <c r="AC2531" t="str">
        <f t="shared" si="829"/>
        <v/>
      </c>
      <c r="AD2531" t="str">
        <f t="shared" si="830"/>
        <v/>
      </c>
      <c r="AE2531" t="str">
        <f t="shared" si="831"/>
        <v/>
      </c>
      <c r="AF2531" t="str">
        <f t="shared" si="834"/>
        <v/>
      </c>
      <c r="AG2531">
        <f t="shared" si="840"/>
        <v>18981</v>
      </c>
      <c r="AH2531" t="str">
        <f t="shared" si="841"/>
        <v>Nelson</v>
      </c>
      <c r="AI2531" t="str">
        <f t="shared" si="842"/>
        <v>Velodrome</v>
      </c>
      <c r="AJ2531" s="18">
        <f t="shared" si="835"/>
        <v>0</v>
      </c>
      <c r="AP2531" s="18">
        <f>SUMIFS(AJ$3:AJ2531,Q$3:Q2531,"=Intermission")+SUMIFS(AJ$3:AJ2531,Q$3:Q2531,"=Timeout")+SUMIFS(AJ$3:AJ2531,Q$3:Q2531,"=Clockstop")</f>
        <v>204</v>
      </c>
      <c r="AQ2531">
        <f t="shared" si="837"/>
        <v>2364</v>
      </c>
      <c r="AR2531" s="23">
        <f t="shared" si="838"/>
        <v>3444</v>
      </c>
      <c r="AS2531">
        <f t="shared" si="850"/>
        <v>3439</v>
      </c>
      <c r="AT2531" s="21">
        <f t="shared" si="851"/>
        <v>3444</v>
      </c>
      <c r="AU2531" s="21"/>
      <c r="AV2531" s="21"/>
      <c r="AW2531" s="21"/>
    </row>
    <row r="2532" spans="5:49" x14ac:dyDescent="0.2">
      <c r="E2532">
        <f t="shared" si="839"/>
        <v>3</v>
      </c>
      <c r="J2532">
        <f t="shared" si="846"/>
        <v>0</v>
      </c>
      <c r="K2532">
        <f t="shared" si="847"/>
        <v>0</v>
      </c>
      <c r="L2532" t="str">
        <f t="shared" si="848"/>
        <v/>
      </c>
      <c r="M2532" s="6" t="str">
        <f t="shared" si="849"/>
        <v/>
      </c>
      <c r="N2532" t="str">
        <f t="shared" si="845"/>
        <v/>
      </c>
      <c r="Y2532" t="str">
        <f t="shared" si="832"/>
        <v/>
      </c>
      <c r="Z2532" t="str">
        <f t="shared" si="833"/>
        <v/>
      </c>
      <c r="AC2532" t="str">
        <f t="shared" si="829"/>
        <v/>
      </c>
      <c r="AD2532" t="str">
        <f t="shared" si="830"/>
        <v/>
      </c>
      <c r="AE2532" t="str">
        <f t="shared" si="831"/>
        <v/>
      </c>
      <c r="AF2532" t="str">
        <f t="shared" si="834"/>
        <v/>
      </c>
      <c r="AG2532">
        <f t="shared" si="840"/>
        <v>18981</v>
      </c>
      <c r="AH2532" t="str">
        <f t="shared" si="841"/>
        <v>Nelson</v>
      </c>
      <c r="AI2532" t="str">
        <f t="shared" si="842"/>
        <v>Velodrome</v>
      </c>
      <c r="AJ2532" s="18">
        <f t="shared" si="835"/>
        <v>0</v>
      </c>
      <c r="AP2532" s="18">
        <f>SUMIFS(AJ$3:AJ2532,Q$3:Q2532,"=Intermission")+SUMIFS(AJ$3:AJ2532,Q$3:Q2532,"=Timeout")+SUMIFS(AJ$3:AJ2532,Q$3:Q2532,"=Clockstop")</f>
        <v>204</v>
      </c>
      <c r="AQ2532">
        <f t="shared" si="837"/>
        <v>2364</v>
      </c>
      <c r="AR2532" s="23">
        <f t="shared" si="838"/>
        <v>3444</v>
      </c>
      <c r="AS2532">
        <f t="shared" si="850"/>
        <v>3439</v>
      </c>
      <c r="AT2532" s="21">
        <f t="shared" si="851"/>
        <v>3444</v>
      </c>
      <c r="AU2532" s="21"/>
      <c r="AV2532" s="21"/>
      <c r="AW2532" s="21"/>
    </row>
    <row r="2533" spans="5:49" x14ac:dyDescent="0.2">
      <c r="E2533">
        <f t="shared" si="839"/>
        <v>3</v>
      </c>
      <c r="J2533">
        <f t="shared" si="846"/>
        <v>0</v>
      </c>
      <c r="K2533">
        <f t="shared" si="847"/>
        <v>0</v>
      </c>
      <c r="L2533" t="str">
        <f t="shared" si="848"/>
        <v/>
      </c>
      <c r="M2533" s="6" t="str">
        <f t="shared" si="849"/>
        <v/>
      </c>
      <c r="N2533" t="str">
        <f t="shared" si="845"/>
        <v/>
      </c>
      <c r="Y2533" t="str">
        <f t="shared" si="832"/>
        <v/>
      </c>
      <c r="Z2533" t="str">
        <f t="shared" si="833"/>
        <v/>
      </c>
      <c r="AC2533" t="str">
        <f t="shared" si="829"/>
        <v/>
      </c>
      <c r="AD2533" t="str">
        <f t="shared" si="830"/>
        <v/>
      </c>
      <c r="AE2533" t="str">
        <f t="shared" si="831"/>
        <v/>
      </c>
      <c r="AF2533" t="str">
        <f t="shared" si="834"/>
        <v/>
      </c>
      <c r="AG2533">
        <f t="shared" si="840"/>
        <v>18981</v>
      </c>
      <c r="AH2533" t="str">
        <f t="shared" si="841"/>
        <v>Nelson</v>
      </c>
      <c r="AI2533" t="str">
        <f t="shared" si="842"/>
        <v>Velodrome</v>
      </c>
      <c r="AJ2533" s="18">
        <f t="shared" si="835"/>
        <v>0</v>
      </c>
      <c r="AP2533" s="18">
        <f>SUMIFS(AJ$3:AJ2533,Q$3:Q2533,"=Intermission")+SUMIFS(AJ$3:AJ2533,Q$3:Q2533,"=Timeout")+SUMIFS(AJ$3:AJ2533,Q$3:Q2533,"=Clockstop")</f>
        <v>204</v>
      </c>
      <c r="AQ2533">
        <f t="shared" si="837"/>
        <v>2364</v>
      </c>
      <c r="AR2533" s="23">
        <f t="shared" si="838"/>
        <v>3444</v>
      </c>
      <c r="AS2533">
        <f t="shared" si="850"/>
        <v>3439</v>
      </c>
      <c r="AT2533" s="21">
        <f t="shared" si="851"/>
        <v>3444</v>
      </c>
      <c r="AU2533" s="21"/>
      <c r="AV2533" s="21"/>
      <c r="AW2533" s="21"/>
    </row>
    <row r="2534" spans="5:49" x14ac:dyDescent="0.2">
      <c r="E2534">
        <f t="shared" si="839"/>
        <v>3</v>
      </c>
      <c r="J2534">
        <f t="shared" si="846"/>
        <v>0</v>
      </c>
      <c r="K2534">
        <f t="shared" si="847"/>
        <v>0</v>
      </c>
      <c r="L2534" t="str">
        <f t="shared" si="848"/>
        <v/>
      </c>
      <c r="M2534" s="6" t="str">
        <f t="shared" si="849"/>
        <v/>
      </c>
      <c r="N2534" t="str">
        <f t="shared" si="845"/>
        <v/>
      </c>
      <c r="Y2534" t="str">
        <f t="shared" si="832"/>
        <v/>
      </c>
      <c r="Z2534" t="str">
        <f t="shared" si="833"/>
        <v/>
      </c>
      <c r="AC2534" t="str">
        <f t="shared" si="829"/>
        <v/>
      </c>
      <c r="AD2534" t="str">
        <f t="shared" si="830"/>
        <v/>
      </c>
      <c r="AE2534" t="str">
        <f t="shared" si="831"/>
        <v/>
      </c>
      <c r="AF2534" t="str">
        <f t="shared" si="834"/>
        <v/>
      </c>
      <c r="AG2534">
        <f t="shared" si="840"/>
        <v>18981</v>
      </c>
      <c r="AH2534" t="str">
        <f t="shared" si="841"/>
        <v>Nelson</v>
      </c>
      <c r="AI2534" t="str">
        <f t="shared" si="842"/>
        <v>Velodrome</v>
      </c>
      <c r="AJ2534" s="18">
        <f t="shared" si="835"/>
        <v>0</v>
      </c>
      <c r="AP2534" s="18">
        <f>SUMIFS(AJ$3:AJ2534,Q$3:Q2534,"=Intermission")+SUMIFS(AJ$3:AJ2534,Q$3:Q2534,"=Timeout")+SUMIFS(AJ$3:AJ2534,Q$3:Q2534,"=Clockstop")</f>
        <v>204</v>
      </c>
      <c r="AQ2534">
        <f t="shared" si="837"/>
        <v>2364</v>
      </c>
      <c r="AR2534" s="23">
        <f t="shared" si="838"/>
        <v>3444</v>
      </c>
      <c r="AS2534">
        <f t="shared" si="850"/>
        <v>3439</v>
      </c>
      <c r="AT2534" s="21">
        <f t="shared" si="851"/>
        <v>3444</v>
      </c>
      <c r="AU2534" s="21"/>
      <c r="AV2534" s="21"/>
      <c r="AW2534" s="21"/>
    </row>
    <row r="2535" spans="5:49" x14ac:dyDescent="0.2">
      <c r="E2535">
        <f t="shared" si="839"/>
        <v>3</v>
      </c>
      <c r="J2535">
        <f t="shared" si="846"/>
        <v>0</v>
      </c>
      <c r="K2535">
        <f t="shared" si="847"/>
        <v>0</v>
      </c>
      <c r="L2535" t="str">
        <f t="shared" si="848"/>
        <v/>
      </c>
      <c r="M2535" s="6" t="str">
        <f t="shared" si="849"/>
        <v/>
      </c>
      <c r="N2535" t="str">
        <f t="shared" si="845"/>
        <v/>
      </c>
      <c r="Y2535" t="str">
        <f t="shared" si="832"/>
        <v/>
      </c>
      <c r="Z2535" t="str">
        <f t="shared" si="833"/>
        <v/>
      </c>
      <c r="AC2535" t="str">
        <f t="shared" si="829"/>
        <v/>
      </c>
      <c r="AD2535" t="str">
        <f t="shared" si="830"/>
        <v/>
      </c>
      <c r="AE2535" t="str">
        <f t="shared" si="831"/>
        <v/>
      </c>
      <c r="AF2535" t="str">
        <f t="shared" si="834"/>
        <v/>
      </c>
      <c r="AG2535">
        <f t="shared" si="840"/>
        <v>18981</v>
      </c>
      <c r="AH2535" t="str">
        <f t="shared" si="841"/>
        <v>Nelson</v>
      </c>
      <c r="AI2535" t="str">
        <f t="shared" si="842"/>
        <v>Velodrome</v>
      </c>
      <c r="AJ2535" s="18">
        <f t="shared" si="835"/>
        <v>0</v>
      </c>
      <c r="AP2535" s="18">
        <f>SUMIFS(AJ$3:AJ2535,Q$3:Q2535,"=Intermission")+SUMIFS(AJ$3:AJ2535,Q$3:Q2535,"=Timeout")+SUMIFS(AJ$3:AJ2535,Q$3:Q2535,"=Clockstop")</f>
        <v>204</v>
      </c>
      <c r="AQ2535">
        <f t="shared" si="837"/>
        <v>2364</v>
      </c>
      <c r="AR2535" s="23">
        <f t="shared" si="838"/>
        <v>3444</v>
      </c>
      <c r="AS2535">
        <f t="shared" si="850"/>
        <v>3439</v>
      </c>
      <c r="AT2535" s="21">
        <f t="shared" si="851"/>
        <v>3444</v>
      </c>
      <c r="AU2535" s="21"/>
      <c r="AV2535" s="21"/>
      <c r="AW2535" s="21"/>
    </row>
    <row r="2536" spans="5:49" x14ac:dyDescent="0.2">
      <c r="E2536">
        <f t="shared" si="839"/>
        <v>3</v>
      </c>
      <c r="J2536">
        <f t="shared" si="846"/>
        <v>0</v>
      </c>
      <c r="K2536">
        <f t="shared" si="847"/>
        <v>0</v>
      </c>
      <c r="L2536" t="str">
        <f t="shared" si="848"/>
        <v/>
      </c>
      <c r="M2536" s="6" t="str">
        <f t="shared" si="849"/>
        <v/>
      </c>
      <c r="N2536" t="str">
        <f t="shared" si="845"/>
        <v/>
      </c>
      <c r="Y2536" t="str">
        <f t="shared" si="832"/>
        <v/>
      </c>
      <c r="Z2536" t="str">
        <f t="shared" si="833"/>
        <v/>
      </c>
      <c r="AC2536" t="str">
        <f t="shared" si="829"/>
        <v/>
      </c>
      <c r="AD2536" t="str">
        <f t="shared" si="830"/>
        <v/>
      </c>
      <c r="AE2536" t="str">
        <f t="shared" si="831"/>
        <v/>
      </c>
      <c r="AF2536" t="str">
        <f t="shared" si="834"/>
        <v/>
      </c>
      <c r="AG2536">
        <f t="shared" si="840"/>
        <v>18981</v>
      </c>
      <c r="AH2536" t="str">
        <f t="shared" si="841"/>
        <v>Nelson</v>
      </c>
      <c r="AI2536" t="str">
        <f t="shared" si="842"/>
        <v>Velodrome</v>
      </c>
      <c r="AJ2536" s="18">
        <f t="shared" si="835"/>
        <v>0</v>
      </c>
      <c r="AP2536" s="18">
        <f>SUMIFS(AJ$3:AJ2536,Q$3:Q2536,"=Intermission")+SUMIFS(AJ$3:AJ2536,Q$3:Q2536,"=Timeout")+SUMIFS(AJ$3:AJ2536,Q$3:Q2536,"=Clockstop")</f>
        <v>204</v>
      </c>
      <c r="AQ2536">
        <f t="shared" si="837"/>
        <v>2364</v>
      </c>
      <c r="AR2536" s="23">
        <f t="shared" si="838"/>
        <v>3444</v>
      </c>
      <c r="AS2536">
        <f t="shared" si="850"/>
        <v>3439</v>
      </c>
      <c r="AT2536" s="21">
        <f t="shared" si="851"/>
        <v>3444</v>
      </c>
      <c r="AU2536" s="21"/>
      <c r="AV2536" s="21"/>
      <c r="AW2536" s="21"/>
    </row>
    <row r="2537" spans="5:49" x14ac:dyDescent="0.2">
      <c r="E2537">
        <f t="shared" si="839"/>
        <v>3</v>
      </c>
      <c r="J2537">
        <f t="shared" si="846"/>
        <v>0</v>
      </c>
      <c r="K2537">
        <f t="shared" si="847"/>
        <v>0</v>
      </c>
      <c r="L2537" t="str">
        <f t="shared" si="848"/>
        <v/>
      </c>
      <c r="M2537" s="6" t="str">
        <f t="shared" si="849"/>
        <v/>
      </c>
      <c r="N2537" t="str">
        <f t="shared" si="845"/>
        <v/>
      </c>
      <c r="Y2537" t="str">
        <f t="shared" si="832"/>
        <v/>
      </c>
      <c r="Z2537" t="str">
        <f t="shared" si="833"/>
        <v/>
      </c>
      <c r="AC2537" t="str">
        <f t="shared" si="829"/>
        <v/>
      </c>
      <c r="AD2537" t="str">
        <f t="shared" si="830"/>
        <v/>
      </c>
      <c r="AE2537" t="str">
        <f t="shared" si="831"/>
        <v/>
      </c>
      <c r="AF2537" t="str">
        <f t="shared" si="834"/>
        <v/>
      </c>
      <c r="AG2537">
        <f t="shared" si="840"/>
        <v>18981</v>
      </c>
      <c r="AH2537" t="str">
        <f t="shared" si="841"/>
        <v>Nelson</v>
      </c>
      <c r="AI2537" t="str">
        <f t="shared" si="842"/>
        <v>Velodrome</v>
      </c>
      <c r="AJ2537" s="18">
        <f t="shared" si="835"/>
        <v>0</v>
      </c>
      <c r="AP2537" s="18">
        <f>SUMIFS(AJ$3:AJ2537,Q$3:Q2537,"=Intermission")+SUMIFS(AJ$3:AJ2537,Q$3:Q2537,"=Timeout")+SUMIFS(AJ$3:AJ2537,Q$3:Q2537,"=Clockstop")</f>
        <v>204</v>
      </c>
      <c r="AQ2537">
        <f t="shared" si="837"/>
        <v>2364</v>
      </c>
      <c r="AR2537" s="23">
        <f t="shared" si="838"/>
        <v>3444</v>
      </c>
      <c r="AS2537">
        <f t="shared" si="850"/>
        <v>3439</v>
      </c>
      <c r="AT2537" s="21">
        <f t="shared" si="851"/>
        <v>3444</v>
      </c>
      <c r="AU2537" s="21"/>
      <c r="AV2537" s="21"/>
      <c r="AW2537" s="21"/>
    </row>
    <row r="2538" spans="5:49" x14ac:dyDescent="0.2">
      <c r="E2538">
        <f t="shared" si="839"/>
        <v>3</v>
      </c>
      <c r="J2538">
        <f t="shared" si="846"/>
        <v>0</v>
      </c>
      <c r="K2538">
        <f t="shared" si="847"/>
        <v>0</v>
      </c>
      <c r="L2538" t="str">
        <f t="shared" si="848"/>
        <v/>
      </c>
      <c r="M2538" s="6" t="str">
        <f t="shared" si="849"/>
        <v/>
      </c>
      <c r="N2538" t="str">
        <f t="shared" si="845"/>
        <v/>
      </c>
      <c r="Y2538" t="str">
        <f t="shared" si="832"/>
        <v/>
      </c>
      <c r="Z2538" t="str">
        <f t="shared" si="833"/>
        <v/>
      </c>
      <c r="AC2538" t="str">
        <f t="shared" si="829"/>
        <v/>
      </c>
      <c r="AD2538" t="str">
        <f t="shared" si="830"/>
        <v/>
      </c>
      <c r="AE2538" t="str">
        <f t="shared" si="831"/>
        <v/>
      </c>
      <c r="AF2538" t="str">
        <f t="shared" si="834"/>
        <v/>
      </c>
      <c r="AG2538">
        <f t="shared" si="840"/>
        <v>18981</v>
      </c>
      <c r="AH2538" t="str">
        <f t="shared" si="841"/>
        <v>Nelson</v>
      </c>
      <c r="AI2538" t="str">
        <f t="shared" si="842"/>
        <v>Velodrome</v>
      </c>
      <c r="AJ2538" s="18">
        <f t="shared" si="835"/>
        <v>0</v>
      </c>
      <c r="AP2538" s="18">
        <f>SUMIFS(AJ$3:AJ2538,Q$3:Q2538,"=Intermission")+SUMIFS(AJ$3:AJ2538,Q$3:Q2538,"=Timeout")+SUMIFS(AJ$3:AJ2538,Q$3:Q2538,"=Clockstop")</f>
        <v>204</v>
      </c>
      <c r="AQ2538">
        <f t="shared" si="837"/>
        <v>2364</v>
      </c>
      <c r="AR2538" s="23">
        <f t="shared" si="838"/>
        <v>3444</v>
      </c>
      <c r="AS2538">
        <f t="shared" si="850"/>
        <v>3439</v>
      </c>
      <c r="AT2538" s="21">
        <f t="shared" si="851"/>
        <v>3444</v>
      </c>
      <c r="AU2538" s="21"/>
      <c r="AV2538" s="21"/>
      <c r="AW2538" s="21"/>
    </row>
    <row r="2539" spans="5:49" x14ac:dyDescent="0.2">
      <c r="E2539">
        <f t="shared" si="839"/>
        <v>3</v>
      </c>
      <c r="J2539">
        <f t="shared" si="846"/>
        <v>0</v>
      </c>
      <c r="K2539">
        <f t="shared" si="847"/>
        <v>0</v>
      </c>
      <c r="L2539" t="str">
        <f t="shared" si="848"/>
        <v/>
      </c>
      <c r="M2539" s="6" t="str">
        <f t="shared" si="849"/>
        <v/>
      </c>
      <c r="N2539" t="str">
        <f t="shared" si="845"/>
        <v/>
      </c>
      <c r="Y2539" t="str">
        <f t="shared" si="832"/>
        <v/>
      </c>
      <c r="Z2539" t="str">
        <f t="shared" si="833"/>
        <v/>
      </c>
      <c r="AC2539" t="str">
        <f t="shared" si="829"/>
        <v/>
      </c>
      <c r="AD2539" t="str">
        <f t="shared" si="830"/>
        <v/>
      </c>
      <c r="AE2539" t="str">
        <f t="shared" si="831"/>
        <v/>
      </c>
      <c r="AF2539" t="str">
        <f t="shared" si="834"/>
        <v/>
      </c>
      <c r="AG2539">
        <f t="shared" si="840"/>
        <v>18981</v>
      </c>
      <c r="AH2539" t="str">
        <f t="shared" si="841"/>
        <v>Nelson</v>
      </c>
      <c r="AI2539" t="str">
        <f t="shared" si="842"/>
        <v>Velodrome</v>
      </c>
      <c r="AJ2539" s="18">
        <f t="shared" si="835"/>
        <v>0</v>
      </c>
      <c r="AP2539" s="18">
        <f>SUMIFS(AJ$3:AJ2539,Q$3:Q2539,"=Intermission")+SUMIFS(AJ$3:AJ2539,Q$3:Q2539,"=Timeout")+SUMIFS(AJ$3:AJ2539,Q$3:Q2539,"=Clockstop")</f>
        <v>204</v>
      </c>
      <c r="AQ2539">
        <f t="shared" si="837"/>
        <v>2364</v>
      </c>
      <c r="AR2539" s="23">
        <f t="shared" si="838"/>
        <v>3444</v>
      </c>
      <c r="AS2539">
        <f t="shared" si="850"/>
        <v>3439</v>
      </c>
      <c r="AT2539" s="21">
        <f t="shared" si="851"/>
        <v>3444</v>
      </c>
      <c r="AU2539" s="21"/>
      <c r="AV2539" s="21"/>
      <c r="AW2539" s="21"/>
    </row>
    <row r="2540" spans="5:49" x14ac:dyDescent="0.2">
      <c r="E2540">
        <f t="shared" si="839"/>
        <v>3</v>
      </c>
      <c r="J2540">
        <f t="shared" si="846"/>
        <v>0</v>
      </c>
      <c r="K2540">
        <f t="shared" si="847"/>
        <v>0</v>
      </c>
      <c r="L2540" t="str">
        <f t="shared" si="848"/>
        <v/>
      </c>
      <c r="M2540" s="6" t="str">
        <f t="shared" si="849"/>
        <v/>
      </c>
      <c r="N2540" t="str">
        <f t="shared" si="845"/>
        <v/>
      </c>
      <c r="Y2540" t="str">
        <f t="shared" si="832"/>
        <v/>
      </c>
      <c r="Z2540" t="str">
        <f t="shared" si="833"/>
        <v/>
      </c>
      <c r="AC2540" t="str">
        <f t="shared" si="829"/>
        <v/>
      </c>
      <c r="AD2540" t="str">
        <f t="shared" si="830"/>
        <v/>
      </c>
      <c r="AE2540" t="str">
        <f t="shared" si="831"/>
        <v/>
      </c>
      <c r="AF2540" t="str">
        <f t="shared" si="834"/>
        <v/>
      </c>
      <c r="AG2540">
        <f t="shared" si="840"/>
        <v>18981</v>
      </c>
      <c r="AH2540" t="str">
        <f t="shared" si="841"/>
        <v>Nelson</v>
      </c>
      <c r="AI2540" t="str">
        <f t="shared" si="842"/>
        <v>Velodrome</v>
      </c>
      <c r="AJ2540" s="18">
        <f t="shared" si="835"/>
        <v>0</v>
      </c>
      <c r="AP2540" s="18">
        <f>SUMIFS(AJ$3:AJ2540,Q$3:Q2540,"=Intermission")+SUMIFS(AJ$3:AJ2540,Q$3:Q2540,"=Timeout")+SUMIFS(AJ$3:AJ2540,Q$3:Q2540,"=Clockstop")</f>
        <v>204</v>
      </c>
      <c r="AQ2540">
        <f t="shared" si="837"/>
        <v>2364</v>
      </c>
      <c r="AR2540" s="23">
        <f t="shared" si="838"/>
        <v>3444</v>
      </c>
      <c r="AS2540">
        <f t="shared" si="850"/>
        <v>3439</v>
      </c>
      <c r="AT2540" s="21">
        <f t="shared" si="851"/>
        <v>3444</v>
      </c>
      <c r="AU2540" s="21"/>
      <c r="AV2540" s="21"/>
      <c r="AW2540" s="21"/>
    </row>
    <row r="2541" spans="5:49" x14ac:dyDescent="0.2">
      <c r="E2541">
        <f t="shared" si="839"/>
        <v>3</v>
      </c>
      <c r="J2541">
        <f t="shared" si="846"/>
        <v>0</v>
      </c>
      <c r="K2541">
        <f t="shared" si="847"/>
        <v>0</v>
      </c>
      <c r="L2541" t="str">
        <f t="shared" si="848"/>
        <v/>
      </c>
      <c r="M2541" s="6" t="str">
        <f t="shared" si="849"/>
        <v/>
      </c>
      <c r="N2541" t="str">
        <f t="shared" si="845"/>
        <v/>
      </c>
      <c r="Y2541" t="str">
        <f t="shared" si="832"/>
        <v/>
      </c>
      <c r="Z2541" t="str">
        <f t="shared" si="833"/>
        <v/>
      </c>
      <c r="AC2541" t="str">
        <f t="shared" si="829"/>
        <v/>
      </c>
      <c r="AD2541" t="str">
        <f t="shared" si="830"/>
        <v/>
      </c>
      <c r="AE2541" t="str">
        <f t="shared" si="831"/>
        <v/>
      </c>
      <c r="AF2541" t="str">
        <f t="shared" si="834"/>
        <v/>
      </c>
      <c r="AG2541">
        <f t="shared" si="840"/>
        <v>18981</v>
      </c>
      <c r="AH2541" t="str">
        <f t="shared" si="841"/>
        <v>Nelson</v>
      </c>
      <c r="AI2541" t="str">
        <f t="shared" si="842"/>
        <v>Velodrome</v>
      </c>
      <c r="AJ2541" s="18">
        <f t="shared" si="835"/>
        <v>0</v>
      </c>
      <c r="AP2541" s="18">
        <f>SUMIFS(AJ$3:AJ2541,Q$3:Q2541,"=Intermission")+SUMIFS(AJ$3:AJ2541,Q$3:Q2541,"=Timeout")+SUMIFS(AJ$3:AJ2541,Q$3:Q2541,"=Clockstop")</f>
        <v>204</v>
      </c>
      <c r="AQ2541">
        <f t="shared" si="837"/>
        <v>2364</v>
      </c>
      <c r="AR2541" s="23">
        <f t="shared" si="838"/>
        <v>3444</v>
      </c>
      <c r="AS2541">
        <f t="shared" si="850"/>
        <v>3439</v>
      </c>
      <c r="AT2541" s="21">
        <f t="shared" si="851"/>
        <v>3444</v>
      </c>
      <c r="AU2541" s="21"/>
      <c r="AV2541" s="21"/>
      <c r="AW2541" s="21"/>
    </row>
    <row r="2542" spans="5:49" x14ac:dyDescent="0.2">
      <c r="E2542">
        <f t="shared" si="839"/>
        <v>3</v>
      </c>
      <c r="J2542">
        <f t="shared" si="846"/>
        <v>0</v>
      </c>
      <c r="K2542">
        <f t="shared" si="847"/>
        <v>0</v>
      </c>
      <c r="L2542" t="str">
        <f t="shared" si="848"/>
        <v/>
      </c>
      <c r="M2542" s="6" t="str">
        <f t="shared" si="849"/>
        <v/>
      </c>
      <c r="N2542" t="str">
        <f t="shared" si="845"/>
        <v/>
      </c>
      <c r="Y2542" t="str">
        <f t="shared" si="832"/>
        <v/>
      </c>
      <c r="Z2542" t="str">
        <f t="shared" si="833"/>
        <v/>
      </c>
      <c r="AC2542" t="str">
        <f t="shared" si="829"/>
        <v/>
      </c>
      <c r="AD2542" t="str">
        <f t="shared" si="830"/>
        <v/>
      </c>
      <c r="AE2542" t="str">
        <f t="shared" si="831"/>
        <v/>
      </c>
      <c r="AF2542" t="str">
        <f t="shared" si="834"/>
        <v/>
      </c>
      <c r="AG2542">
        <f t="shared" si="840"/>
        <v>18981</v>
      </c>
      <c r="AH2542" t="str">
        <f t="shared" si="841"/>
        <v>Nelson</v>
      </c>
      <c r="AI2542" t="str">
        <f t="shared" si="842"/>
        <v>Velodrome</v>
      </c>
      <c r="AJ2542" s="18">
        <f t="shared" si="835"/>
        <v>0</v>
      </c>
      <c r="AP2542" s="18">
        <f>SUMIFS(AJ$3:AJ2542,Q$3:Q2542,"=Intermission")+SUMIFS(AJ$3:AJ2542,Q$3:Q2542,"=Timeout")+SUMIFS(AJ$3:AJ2542,Q$3:Q2542,"=Clockstop")</f>
        <v>204</v>
      </c>
      <c r="AQ2542">
        <f t="shared" si="837"/>
        <v>2364</v>
      </c>
      <c r="AR2542" s="23">
        <f t="shared" si="838"/>
        <v>3444</v>
      </c>
      <c r="AS2542">
        <f t="shared" si="850"/>
        <v>3439</v>
      </c>
      <c r="AT2542" s="21">
        <f t="shared" si="851"/>
        <v>3444</v>
      </c>
      <c r="AU2542" s="21"/>
      <c r="AV2542" s="21"/>
      <c r="AW2542" s="21"/>
    </row>
    <row r="2543" spans="5:49" x14ac:dyDescent="0.2">
      <c r="E2543">
        <f t="shared" si="839"/>
        <v>3</v>
      </c>
      <c r="J2543">
        <f t="shared" si="846"/>
        <v>0</v>
      </c>
      <c r="K2543">
        <f t="shared" si="847"/>
        <v>0</v>
      </c>
      <c r="L2543" t="str">
        <f t="shared" si="848"/>
        <v/>
      </c>
      <c r="M2543" s="6" t="str">
        <f t="shared" si="849"/>
        <v/>
      </c>
      <c r="N2543" t="str">
        <f t="shared" si="845"/>
        <v/>
      </c>
      <c r="Y2543" t="str">
        <f t="shared" si="832"/>
        <v/>
      </c>
      <c r="Z2543" t="str">
        <f t="shared" si="833"/>
        <v/>
      </c>
      <c r="AC2543" t="str">
        <f t="shared" ref="AC2543:AC2600" si="852">IF(Q2543&lt;&gt;"",Q2543,IF($A2543=$A2542,AC2542,""))</f>
        <v/>
      </c>
      <c r="AD2543" t="str">
        <f t="shared" ref="AD2543:AD2600" si="853">IF(R2543&lt;&gt;"",R2543,IF($A2543=$A2542,AD2542,""))</f>
        <v/>
      </c>
      <c r="AE2543" t="str">
        <f t="shared" ref="AE2543:AE2600" si="854">IF(S2543&lt;&gt;"",S2543,IF($A2543=$A2542,AE2542,""))</f>
        <v/>
      </c>
      <c r="AF2543" t="str">
        <f t="shared" si="834"/>
        <v/>
      </c>
      <c r="AG2543">
        <f t="shared" si="840"/>
        <v>18981</v>
      </c>
      <c r="AH2543" t="str">
        <f t="shared" si="841"/>
        <v>Nelson</v>
      </c>
      <c r="AI2543" t="str">
        <f t="shared" si="842"/>
        <v>Velodrome</v>
      </c>
      <c r="AJ2543" s="18">
        <f t="shared" si="835"/>
        <v>0</v>
      </c>
      <c r="AP2543" s="18">
        <f>SUMIFS(AJ$3:AJ2543,Q$3:Q2543,"=Intermission")+SUMIFS(AJ$3:AJ2543,Q$3:Q2543,"=Timeout")+SUMIFS(AJ$3:AJ2543,Q$3:Q2543,"=Clockstop")</f>
        <v>204</v>
      </c>
      <c r="AQ2543">
        <f t="shared" si="837"/>
        <v>2364</v>
      </c>
      <c r="AR2543" s="23">
        <f t="shared" si="838"/>
        <v>3444</v>
      </c>
      <c r="AS2543">
        <f t="shared" si="850"/>
        <v>3439</v>
      </c>
      <c r="AT2543" s="21">
        <f t="shared" si="851"/>
        <v>3444</v>
      </c>
      <c r="AU2543" s="21"/>
      <c r="AV2543" s="21"/>
      <c r="AW2543" s="21"/>
    </row>
    <row r="2544" spans="5:49" x14ac:dyDescent="0.2">
      <c r="E2544">
        <f t="shared" si="839"/>
        <v>3</v>
      </c>
      <c r="J2544">
        <f t="shared" si="846"/>
        <v>0</v>
      </c>
      <c r="K2544">
        <f t="shared" si="847"/>
        <v>0</v>
      </c>
      <c r="L2544" t="str">
        <f t="shared" si="848"/>
        <v/>
      </c>
      <c r="M2544" s="6" t="str">
        <f t="shared" si="849"/>
        <v/>
      </c>
      <c r="N2544" t="str">
        <f t="shared" si="845"/>
        <v/>
      </c>
      <c r="Y2544" t="str">
        <f t="shared" si="832"/>
        <v/>
      </c>
      <c r="Z2544" t="str">
        <f t="shared" si="833"/>
        <v/>
      </c>
      <c r="AC2544" t="str">
        <f t="shared" si="852"/>
        <v/>
      </c>
      <c r="AD2544" t="str">
        <f t="shared" si="853"/>
        <v/>
      </c>
      <c r="AE2544" t="str">
        <f t="shared" si="854"/>
        <v/>
      </c>
      <c r="AF2544" t="str">
        <f t="shared" si="834"/>
        <v/>
      </c>
      <c r="AG2544">
        <f t="shared" si="840"/>
        <v>18981</v>
      </c>
      <c r="AH2544" t="str">
        <f t="shared" si="841"/>
        <v>Nelson</v>
      </c>
      <c r="AI2544" t="str">
        <f t="shared" si="842"/>
        <v>Velodrome</v>
      </c>
      <c r="AJ2544" s="18">
        <f t="shared" si="835"/>
        <v>0</v>
      </c>
      <c r="AP2544" s="18">
        <f>SUMIFS(AJ$3:AJ2544,Q$3:Q2544,"=Intermission")+SUMIFS(AJ$3:AJ2544,Q$3:Q2544,"=Timeout")+SUMIFS(AJ$3:AJ2544,Q$3:Q2544,"=Clockstop")</f>
        <v>204</v>
      </c>
      <c r="AQ2544">
        <f t="shared" si="837"/>
        <v>2364</v>
      </c>
      <c r="AR2544" s="23">
        <f t="shared" si="838"/>
        <v>3444</v>
      </c>
      <c r="AS2544">
        <f t="shared" si="850"/>
        <v>3439</v>
      </c>
      <c r="AT2544" s="21">
        <f t="shared" si="851"/>
        <v>3444</v>
      </c>
      <c r="AU2544" s="21"/>
      <c r="AV2544" s="21"/>
      <c r="AW2544" s="21"/>
    </row>
    <row r="2545" spans="5:49" x14ac:dyDescent="0.2">
      <c r="E2545">
        <f t="shared" si="839"/>
        <v>3</v>
      </c>
      <c r="J2545">
        <f t="shared" si="846"/>
        <v>0</v>
      </c>
      <c r="K2545">
        <f t="shared" si="847"/>
        <v>0</v>
      </c>
      <c r="L2545" t="str">
        <f t="shared" si="848"/>
        <v/>
      </c>
      <c r="M2545" s="6" t="str">
        <f t="shared" si="849"/>
        <v/>
      </c>
      <c r="N2545" t="str">
        <f t="shared" si="845"/>
        <v/>
      </c>
      <c r="Y2545" t="str">
        <f t="shared" si="832"/>
        <v/>
      </c>
      <c r="Z2545" t="str">
        <f t="shared" si="833"/>
        <v/>
      </c>
      <c r="AC2545" t="str">
        <f t="shared" si="852"/>
        <v/>
      </c>
      <c r="AD2545" t="str">
        <f t="shared" si="853"/>
        <v/>
      </c>
      <c r="AE2545" t="str">
        <f t="shared" si="854"/>
        <v/>
      </c>
      <c r="AF2545" t="str">
        <f t="shared" si="834"/>
        <v/>
      </c>
      <c r="AG2545">
        <f t="shared" si="840"/>
        <v>18981</v>
      </c>
      <c r="AH2545" t="str">
        <f t="shared" si="841"/>
        <v>Nelson</v>
      </c>
      <c r="AI2545" t="str">
        <f t="shared" si="842"/>
        <v>Velodrome</v>
      </c>
      <c r="AJ2545" s="18">
        <f t="shared" si="835"/>
        <v>0</v>
      </c>
      <c r="AP2545" s="18">
        <f>SUMIFS(AJ$3:AJ2545,Q$3:Q2545,"=Intermission")+SUMIFS(AJ$3:AJ2545,Q$3:Q2545,"=Timeout")+SUMIFS(AJ$3:AJ2545,Q$3:Q2545,"=Clockstop")</f>
        <v>204</v>
      </c>
      <c r="AQ2545">
        <f t="shared" si="837"/>
        <v>2364</v>
      </c>
      <c r="AR2545" s="23">
        <f t="shared" si="838"/>
        <v>3444</v>
      </c>
      <c r="AS2545">
        <f t="shared" si="850"/>
        <v>3439</v>
      </c>
      <c r="AT2545" s="21">
        <f t="shared" si="851"/>
        <v>3444</v>
      </c>
      <c r="AU2545" s="21"/>
      <c r="AV2545" s="21"/>
      <c r="AW2545" s="21"/>
    </row>
    <row r="2546" spans="5:49" x14ac:dyDescent="0.2">
      <c r="E2546">
        <f t="shared" si="839"/>
        <v>3</v>
      </c>
      <c r="J2546">
        <f t="shared" si="846"/>
        <v>0</v>
      </c>
      <c r="K2546">
        <f t="shared" si="847"/>
        <v>0</v>
      </c>
      <c r="L2546" t="str">
        <f t="shared" si="848"/>
        <v/>
      </c>
      <c r="M2546" s="6" t="str">
        <f t="shared" si="849"/>
        <v/>
      </c>
      <c r="N2546" t="str">
        <f t="shared" si="845"/>
        <v/>
      </c>
      <c r="Y2546" t="str">
        <f t="shared" si="832"/>
        <v/>
      </c>
      <c r="Z2546" t="str">
        <f t="shared" si="833"/>
        <v/>
      </c>
      <c r="AC2546" t="str">
        <f t="shared" si="852"/>
        <v/>
      </c>
      <c r="AD2546" t="str">
        <f t="shared" si="853"/>
        <v/>
      </c>
      <c r="AE2546" t="str">
        <f t="shared" si="854"/>
        <v/>
      </c>
      <c r="AF2546" t="str">
        <f t="shared" si="834"/>
        <v/>
      </c>
      <c r="AG2546">
        <f t="shared" si="840"/>
        <v>18981</v>
      </c>
      <c r="AH2546" t="str">
        <f t="shared" si="841"/>
        <v>Nelson</v>
      </c>
      <c r="AI2546" t="str">
        <f t="shared" si="842"/>
        <v>Velodrome</v>
      </c>
      <c r="AJ2546" s="18">
        <f t="shared" si="835"/>
        <v>0</v>
      </c>
      <c r="AP2546" s="18">
        <f>SUMIFS(AJ$3:AJ2546,Q$3:Q2546,"=Intermission")+SUMIFS(AJ$3:AJ2546,Q$3:Q2546,"=Timeout")+SUMIFS(AJ$3:AJ2546,Q$3:Q2546,"=Clockstop")</f>
        <v>204</v>
      </c>
      <c r="AQ2546">
        <f t="shared" si="837"/>
        <v>2364</v>
      </c>
      <c r="AR2546" s="23">
        <f t="shared" si="838"/>
        <v>3444</v>
      </c>
      <c r="AS2546">
        <f t="shared" si="850"/>
        <v>3439</v>
      </c>
      <c r="AT2546" s="21">
        <f t="shared" si="851"/>
        <v>3444</v>
      </c>
      <c r="AU2546" s="21"/>
      <c r="AV2546" s="21"/>
      <c r="AW2546" s="21"/>
    </row>
    <row r="2547" spans="5:49" x14ac:dyDescent="0.2">
      <c r="E2547">
        <f t="shared" si="839"/>
        <v>3</v>
      </c>
      <c r="J2547">
        <f t="shared" si="846"/>
        <v>0</v>
      </c>
      <c r="K2547">
        <f t="shared" si="847"/>
        <v>0</v>
      </c>
      <c r="L2547" t="str">
        <f t="shared" si="848"/>
        <v/>
      </c>
      <c r="M2547" s="6" t="str">
        <f t="shared" si="849"/>
        <v/>
      </c>
      <c r="N2547" t="str">
        <f t="shared" si="845"/>
        <v/>
      </c>
      <c r="Y2547" t="str">
        <f t="shared" si="832"/>
        <v/>
      </c>
      <c r="Z2547" t="str">
        <f t="shared" si="833"/>
        <v/>
      </c>
      <c r="AC2547" t="str">
        <f t="shared" si="852"/>
        <v/>
      </c>
      <c r="AD2547" t="str">
        <f t="shared" si="853"/>
        <v/>
      </c>
      <c r="AE2547" t="str">
        <f t="shared" si="854"/>
        <v/>
      </c>
      <c r="AF2547" t="str">
        <f t="shared" si="834"/>
        <v/>
      </c>
      <c r="AG2547">
        <f t="shared" si="840"/>
        <v>18981</v>
      </c>
      <c r="AH2547" t="str">
        <f t="shared" si="841"/>
        <v>Nelson</v>
      </c>
      <c r="AI2547" t="str">
        <f t="shared" si="842"/>
        <v>Velodrome</v>
      </c>
      <c r="AJ2547" s="18">
        <f t="shared" si="835"/>
        <v>0</v>
      </c>
      <c r="AP2547" s="18">
        <f>SUMIFS(AJ$3:AJ2547,Q$3:Q2547,"=Intermission")+SUMIFS(AJ$3:AJ2547,Q$3:Q2547,"=Timeout")+SUMIFS(AJ$3:AJ2547,Q$3:Q2547,"=Clockstop")</f>
        <v>204</v>
      </c>
      <c r="AQ2547">
        <f t="shared" si="837"/>
        <v>2364</v>
      </c>
      <c r="AR2547" s="23">
        <f t="shared" si="838"/>
        <v>3444</v>
      </c>
      <c r="AS2547">
        <f t="shared" si="850"/>
        <v>3439</v>
      </c>
      <c r="AT2547" s="21">
        <f t="shared" si="851"/>
        <v>3444</v>
      </c>
      <c r="AU2547" s="21"/>
      <c r="AV2547" s="21"/>
      <c r="AW2547" s="21"/>
    </row>
    <row r="2548" spans="5:49" x14ac:dyDescent="0.2">
      <c r="E2548">
        <f t="shared" si="839"/>
        <v>3</v>
      </c>
      <c r="J2548">
        <f t="shared" si="846"/>
        <v>0</v>
      </c>
      <c r="K2548">
        <f t="shared" si="847"/>
        <v>0</v>
      </c>
      <c r="L2548" t="str">
        <f t="shared" si="848"/>
        <v/>
      </c>
      <c r="M2548" s="6" t="str">
        <f t="shared" si="849"/>
        <v/>
      </c>
      <c r="N2548" t="str">
        <f t="shared" si="845"/>
        <v/>
      </c>
      <c r="Y2548" t="str">
        <f t="shared" si="832"/>
        <v/>
      </c>
      <c r="Z2548" t="str">
        <f t="shared" si="833"/>
        <v/>
      </c>
      <c r="AC2548" t="str">
        <f t="shared" si="852"/>
        <v/>
      </c>
      <c r="AD2548" t="str">
        <f t="shared" si="853"/>
        <v/>
      </c>
      <c r="AE2548" t="str">
        <f t="shared" si="854"/>
        <v/>
      </c>
      <c r="AF2548" t="str">
        <f t="shared" si="834"/>
        <v/>
      </c>
      <c r="AG2548">
        <f t="shared" si="840"/>
        <v>18981</v>
      </c>
      <c r="AH2548" t="str">
        <f t="shared" si="841"/>
        <v>Nelson</v>
      </c>
      <c r="AI2548" t="str">
        <f t="shared" si="842"/>
        <v>Velodrome</v>
      </c>
      <c r="AJ2548" s="18">
        <f t="shared" si="835"/>
        <v>0</v>
      </c>
      <c r="AP2548" s="18">
        <f>SUMIFS(AJ$3:AJ2548,Q$3:Q2548,"=Intermission")+SUMIFS(AJ$3:AJ2548,Q$3:Q2548,"=Timeout")+SUMIFS(AJ$3:AJ2548,Q$3:Q2548,"=Clockstop")</f>
        <v>204</v>
      </c>
      <c r="AQ2548">
        <f t="shared" si="837"/>
        <v>2364</v>
      </c>
      <c r="AR2548" s="23">
        <f t="shared" si="838"/>
        <v>3444</v>
      </c>
      <c r="AS2548">
        <f t="shared" si="850"/>
        <v>3439</v>
      </c>
      <c r="AT2548" s="21">
        <f t="shared" si="851"/>
        <v>3444</v>
      </c>
      <c r="AU2548" s="21"/>
      <c r="AV2548" s="21"/>
      <c r="AW2548" s="21"/>
    </row>
    <row r="2549" spans="5:49" x14ac:dyDescent="0.2">
      <c r="E2549">
        <f t="shared" si="839"/>
        <v>3</v>
      </c>
      <c r="J2549">
        <f t="shared" si="846"/>
        <v>0</v>
      </c>
      <c r="K2549">
        <f t="shared" si="847"/>
        <v>0</v>
      </c>
      <c r="L2549" t="str">
        <f t="shared" si="848"/>
        <v/>
      </c>
      <c r="M2549" s="6" t="str">
        <f t="shared" si="849"/>
        <v/>
      </c>
      <c r="N2549" t="str">
        <f t="shared" si="845"/>
        <v/>
      </c>
      <c r="Y2549" t="str">
        <f t="shared" si="832"/>
        <v/>
      </c>
      <c r="Z2549" t="str">
        <f t="shared" si="833"/>
        <v/>
      </c>
      <c r="AC2549" t="str">
        <f t="shared" si="852"/>
        <v/>
      </c>
      <c r="AD2549" t="str">
        <f t="shared" si="853"/>
        <v/>
      </c>
      <c r="AE2549" t="str">
        <f t="shared" si="854"/>
        <v/>
      </c>
      <c r="AF2549" t="str">
        <f t="shared" si="834"/>
        <v/>
      </c>
      <c r="AG2549">
        <f t="shared" si="840"/>
        <v>18981</v>
      </c>
      <c r="AH2549" t="str">
        <f t="shared" si="841"/>
        <v>Nelson</v>
      </c>
      <c r="AI2549" t="str">
        <f t="shared" si="842"/>
        <v>Velodrome</v>
      </c>
      <c r="AJ2549" s="18">
        <f t="shared" si="835"/>
        <v>0</v>
      </c>
      <c r="AP2549" s="18">
        <f>SUMIFS(AJ$3:AJ2549,Q$3:Q2549,"=Intermission")+SUMIFS(AJ$3:AJ2549,Q$3:Q2549,"=Timeout")+SUMIFS(AJ$3:AJ2549,Q$3:Q2549,"=Clockstop")</f>
        <v>204</v>
      </c>
      <c r="AQ2549">
        <f t="shared" si="837"/>
        <v>2364</v>
      </c>
      <c r="AR2549" s="23">
        <f t="shared" si="838"/>
        <v>3444</v>
      </c>
      <c r="AS2549">
        <f t="shared" si="850"/>
        <v>3439</v>
      </c>
      <c r="AT2549" s="21">
        <f t="shared" si="851"/>
        <v>3444</v>
      </c>
      <c r="AU2549" s="21"/>
      <c r="AV2549" s="21"/>
      <c r="AW2549" s="21"/>
    </row>
    <row r="2550" spans="5:49" x14ac:dyDescent="0.2">
      <c r="E2550">
        <f t="shared" si="839"/>
        <v>3</v>
      </c>
      <c r="J2550">
        <f t="shared" si="846"/>
        <v>0</v>
      </c>
      <c r="K2550">
        <f t="shared" si="847"/>
        <v>0</v>
      </c>
      <c r="L2550" t="str">
        <f t="shared" si="848"/>
        <v/>
      </c>
      <c r="M2550" s="6" t="str">
        <f t="shared" si="849"/>
        <v/>
      </c>
      <c r="N2550" t="str">
        <f t="shared" si="845"/>
        <v/>
      </c>
      <c r="Y2550" t="str">
        <f t="shared" si="832"/>
        <v/>
      </c>
      <c r="Z2550" t="str">
        <f t="shared" si="833"/>
        <v/>
      </c>
      <c r="AC2550" t="str">
        <f t="shared" si="852"/>
        <v/>
      </c>
      <c r="AD2550" t="str">
        <f t="shared" si="853"/>
        <v/>
      </c>
      <c r="AE2550" t="str">
        <f t="shared" si="854"/>
        <v/>
      </c>
      <c r="AF2550" t="str">
        <f t="shared" si="834"/>
        <v/>
      </c>
      <c r="AG2550">
        <f t="shared" si="840"/>
        <v>18981</v>
      </c>
      <c r="AH2550" t="str">
        <f t="shared" si="841"/>
        <v>Nelson</v>
      </c>
      <c r="AI2550" t="str">
        <f t="shared" si="842"/>
        <v>Velodrome</v>
      </c>
      <c r="AJ2550" s="18">
        <f t="shared" si="835"/>
        <v>0</v>
      </c>
      <c r="AP2550" s="18">
        <f>SUMIFS(AJ$3:AJ2550,Q$3:Q2550,"=Intermission")+SUMIFS(AJ$3:AJ2550,Q$3:Q2550,"=Timeout")+SUMIFS(AJ$3:AJ2550,Q$3:Q2550,"=Clockstop")</f>
        <v>204</v>
      </c>
      <c r="AQ2550">
        <f t="shared" si="837"/>
        <v>2364</v>
      </c>
      <c r="AR2550" s="23">
        <f t="shared" si="838"/>
        <v>3444</v>
      </c>
      <c r="AS2550">
        <f t="shared" si="850"/>
        <v>3439</v>
      </c>
      <c r="AT2550" s="21">
        <f t="shared" si="851"/>
        <v>3444</v>
      </c>
      <c r="AU2550" s="21"/>
      <c r="AV2550" s="21"/>
      <c r="AW2550" s="21"/>
    </row>
    <row r="2551" spans="5:49" x14ac:dyDescent="0.2">
      <c r="E2551">
        <f t="shared" si="839"/>
        <v>3</v>
      </c>
      <c r="J2551">
        <f t="shared" si="846"/>
        <v>0</v>
      </c>
      <c r="K2551">
        <f t="shared" si="847"/>
        <v>0</v>
      </c>
      <c r="L2551" t="str">
        <f t="shared" si="848"/>
        <v/>
      </c>
      <c r="M2551" s="6" t="str">
        <f t="shared" si="849"/>
        <v/>
      </c>
      <c r="N2551" t="str">
        <f t="shared" si="845"/>
        <v/>
      </c>
      <c r="Y2551" t="str">
        <f t="shared" si="832"/>
        <v/>
      </c>
      <c r="Z2551" t="str">
        <f t="shared" si="833"/>
        <v/>
      </c>
      <c r="AC2551" t="str">
        <f t="shared" si="852"/>
        <v/>
      </c>
      <c r="AD2551" t="str">
        <f t="shared" si="853"/>
        <v/>
      </c>
      <c r="AE2551" t="str">
        <f t="shared" si="854"/>
        <v/>
      </c>
      <c r="AF2551" t="str">
        <f t="shared" si="834"/>
        <v/>
      </c>
      <c r="AG2551">
        <f t="shared" si="840"/>
        <v>18981</v>
      </c>
      <c r="AH2551" t="str">
        <f t="shared" si="841"/>
        <v>Nelson</v>
      </c>
      <c r="AI2551" t="str">
        <f t="shared" si="842"/>
        <v>Velodrome</v>
      </c>
      <c r="AJ2551" s="18">
        <f t="shared" si="835"/>
        <v>0</v>
      </c>
      <c r="AP2551" s="18">
        <f>SUMIFS(AJ$3:AJ2551,Q$3:Q2551,"=Intermission")+SUMIFS(AJ$3:AJ2551,Q$3:Q2551,"=Timeout")+SUMIFS(AJ$3:AJ2551,Q$3:Q2551,"=Clockstop")</f>
        <v>204</v>
      </c>
      <c r="AQ2551">
        <f t="shared" si="837"/>
        <v>2364</v>
      </c>
      <c r="AR2551" s="23">
        <f t="shared" si="838"/>
        <v>3444</v>
      </c>
      <c r="AS2551">
        <f t="shared" si="850"/>
        <v>3439</v>
      </c>
      <c r="AT2551" s="21">
        <f t="shared" si="851"/>
        <v>3444</v>
      </c>
      <c r="AU2551" s="21"/>
      <c r="AV2551" s="21"/>
      <c r="AW2551" s="21"/>
    </row>
    <row r="2552" spans="5:49" x14ac:dyDescent="0.2">
      <c r="E2552">
        <f t="shared" si="839"/>
        <v>3</v>
      </c>
      <c r="J2552">
        <f t="shared" si="846"/>
        <v>0</v>
      </c>
      <c r="K2552">
        <f t="shared" si="847"/>
        <v>0</v>
      </c>
      <c r="L2552" t="str">
        <f t="shared" si="848"/>
        <v/>
      </c>
      <c r="M2552" s="6" t="str">
        <f t="shared" si="849"/>
        <v/>
      </c>
      <c r="N2552" t="str">
        <f t="shared" si="845"/>
        <v/>
      </c>
      <c r="Y2552" t="str">
        <f t="shared" si="832"/>
        <v/>
      </c>
      <c r="Z2552" t="str">
        <f t="shared" si="833"/>
        <v/>
      </c>
      <c r="AC2552" t="str">
        <f t="shared" si="852"/>
        <v/>
      </c>
      <c r="AD2552" t="str">
        <f t="shared" si="853"/>
        <v/>
      </c>
      <c r="AE2552" t="str">
        <f t="shared" si="854"/>
        <v/>
      </c>
      <c r="AF2552" t="str">
        <f t="shared" si="834"/>
        <v/>
      </c>
      <c r="AG2552">
        <f t="shared" si="840"/>
        <v>18981</v>
      </c>
      <c r="AH2552" t="str">
        <f t="shared" si="841"/>
        <v>Nelson</v>
      </c>
      <c r="AI2552" t="str">
        <f t="shared" si="842"/>
        <v>Velodrome</v>
      </c>
      <c r="AJ2552" s="18">
        <f t="shared" si="835"/>
        <v>0</v>
      </c>
      <c r="AP2552" s="18">
        <f>SUMIFS(AJ$3:AJ2552,Q$3:Q2552,"=Intermission")+SUMIFS(AJ$3:AJ2552,Q$3:Q2552,"=Timeout")+SUMIFS(AJ$3:AJ2552,Q$3:Q2552,"=Clockstop")</f>
        <v>204</v>
      </c>
      <c r="AQ2552">
        <f t="shared" si="837"/>
        <v>2364</v>
      </c>
      <c r="AR2552" s="23">
        <f t="shared" si="838"/>
        <v>3444</v>
      </c>
      <c r="AS2552">
        <f t="shared" si="850"/>
        <v>3439</v>
      </c>
      <c r="AT2552" s="21">
        <f t="shared" si="851"/>
        <v>3444</v>
      </c>
      <c r="AU2552" s="21"/>
      <c r="AV2552" s="21"/>
      <c r="AW2552" s="21"/>
    </row>
    <row r="2553" spans="5:49" x14ac:dyDescent="0.2">
      <c r="E2553">
        <f t="shared" si="839"/>
        <v>3</v>
      </c>
      <c r="J2553">
        <f t="shared" si="846"/>
        <v>0</v>
      </c>
      <c r="K2553">
        <f t="shared" si="847"/>
        <v>0</v>
      </c>
      <c r="L2553" t="str">
        <f t="shared" si="848"/>
        <v/>
      </c>
      <c r="M2553" s="6" t="str">
        <f t="shared" si="849"/>
        <v/>
      </c>
      <c r="N2553" t="str">
        <f t="shared" si="845"/>
        <v/>
      </c>
      <c r="Y2553" t="str">
        <f t="shared" si="832"/>
        <v/>
      </c>
      <c r="Z2553" t="str">
        <f t="shared" si="833"/>
        <v/>
      </c>
      <c r="AC2553" t="str">
        <f t="shared" si="852"/>
        <v/>
      </c>
      <c r="AD2553" t="str">
        <f t="shared" si="853"/>
        <v/>
      </c>
      <c r="AE2553" t="str">
        <f t="shared" si="854"/>
        <v/>
      </c>
      <c r="AF2553" t="str">
        <f t="shared" si="834"/>
        <v/>
      </c>
      <c r="AG2553">
        <f t="shared" si="840"/>
        <v>18981</v>
      </c>
      <c r="AH2553" t="str">
        <f t="shared" si="841"/>
        <v>Nelson</v>
      </c>
      <c r="AI2553" t="str">
        <f t="shared" si="842"/>
        <v>Velodrome</v>
      </c>
      <c r="AJ2553" s="18">
        <f t="shared" si="835"/>
        <v>0</v>
      </c>
      <c r="AP2553" s="18">
        <f>SUMIFS(AJ$3:AJ2553,Q$3:Q2553,"=Intermission")+SUMIFS(AJ$3:AJ2553,Q$3:Q2553,"=Timeout")+SUMIFS(AJ$3:AJ2553,Q$3:Q2553,"=Clockstop")</f>
        <v>204</v>
      </c>
      <c r="AQ2553">
        <f t="shared" si="837"/>
        <v>2364</v>
      </c>
      <c r="AR2553" s="23">
        <f t="shared" si="838"/>
        <v>3444</v>
      </c>
      <c r="AS2553">
        <f t="shared" si="850"/>
        <v>3439</v>
      </c>
      <c r="AT2553" s="21">
        <f t="shared" si="851"/>
        <v>3444</v>
      </c>
      <c r="AU2553" s="21"/>
      <c r="AV2553" s="21"/>
      <c r="AW2553" s="21"/>
    </row>
    <row r="2554" spans="5:49" x14ac:dyDescent="0.2">
      <c r="E2554">
        <f t="shared" si="839"/>
        <v>3</v>
      </c>
      <c r="J2554">
        <f t="shared" si="846"/>
        <v>0</v>
      </c>
      <c r="K2554">
        <f t="shared" si="847"/>
        <v>0</v>
      </c>
      <c r="L2554" t="str">
        <f t="shared" si="848"/>
        <v/>
      </c>
      <c r="M2554" s="6" t="str">
        <f t="shared" si="849"/>
        <v/>
      </c>
      <c r="N2554" t="str">
        <f t="shared" si="845"/>
        <v/>
      </c>
      <c r="Y2554" t="str">
        <f t="shared" si="832"/>
        <v/>
      </c>
      <c r="Z2554" t="str">
        <f t="shared" si="833"/>
        <v/>
      </c>
      <c r="AC2554" t="str">
        <f t="shared" si="852"/>
        <v/>
      </c>
      <c r="AD2554" t="str">
        <f t="shared" si="853"/>
        <v/>
      </c>
      <c r="AE2554" t="str">
        <f t="shared" si="854"/>
        <v/>
      </c>
      <c r="AF2554" t="str">
        <f t="shared" si="834"/>
        <v/>
      </c>
      <c r="AG2554">
        <f t="shared" si="840"/>
        <v>18981</v>
      </c>
      <c r="AH2554" t="str">
        <f t="shared" si="841"/>
        <v>Nelson</v>
      </c>
      <c r="AI2554" t="str">
        <f t="shared" si="842"/>
        <v>Velodrome</v>
      </c>
      <c r="AJ2554" s="18">
        <f t="shared" si="835"/>
        <v>0</v>
      </c>
      <c r="AP2554" s="18">
        <f>SUMIFS(AJ$3:AJ2554,Q$3:Q2554,"=Intermission")+SUMIFS(AJ$3:AJ2554,Q$3:Q2554,"=Timeout")+SUMIFS(AJ$3:AJ2554,Q$3:Q2554,"=Clockstop")</f>
        <v>204</v>
      </c>
      <c r="AQ2554">
        <f t="shared" si="837"/>
        <v>2364</v>
      </c>
      <c r="AR2554" s="23">
        <f t="shared" si="838"/>
        <v>3444</v>
      </c>
      <c r="AS2554">
        <f t="shared" si="850"/>
        <v>3439</v>
      </c>
      <c r="AT2554" s="21">
        <f t="shared" si="851"/>
        <v>3444</v>
      </c>
      <c r="AU2554" s="21"/>
      <c r="AV2554" s="21"/>
      <c r="AW2554" s="21"/>
    </row>
    <row r="2555" spans="5:49" x14ac:dyDescent="0.2">
      <c r="E2555">
        <f t="shared" si="839"/>
        <v>3</v>
      </c>
      <c r="J2555">
        <f t="shared" si="846"/>
        <v>0</v>
      </c>
      <c r="K2555">
        <f t="shared" si="847"/>
        <v>0</v>
      </c>
      <c r="L2555" t="str">
        <f t="shared" si="848"/>
        <v/>
      </c>
      <c r="M2555" s="6" t="str">
        <f t="shared" si="849"/>
        <v/>
      </c>
      <c r="N2555" t="str">
        <f t="shared" si="845"/>
        <v/>
      </c>
      <c r="Y2555" t="str">
        <f t="shared" si="832"/>
        <v/>
      </c>
      <c r="Z2555" t="str">
        <f t="shared" si="833"/>
        <v/>
      </c>
      <c r="AC2555" t="str">
        <f t="shared" si="852"/>
        <v/>
      </c>
      <c r="AD2555" t="str">
        <f t="shared" si="853"/>
        <v/>
      </c>
      <c r="AE2555" t="str">
        <f t="shared" si="854"/>
        <v/>
      </c>
      <c r="AF2555" t="str">
        <f t="shared" si="834"/>
        <v/>
      </c>
      <c r="AG2555">
        <f t="shared" si="840"/>
        <v>18981</v>
      </c>
      <c r="AH2555" t="str">
        <f t="shared" si="841"/>
        <v>Nelson</v>
      </c>
      <c r="AI2555" t="str">
        <f t="shared" si="842"/>
        <v>Velodrome</v>
      </c>
      <c r="AJ2555" s="18">
        <f t="shared" si="835"/>
        <v>0</v>
      </c>
      <c r="AP2555" s="18">
        <f>SUMIFS(AJ$3:AJ2555,Q$3:Q2555,"=Intermission")+SUMIFS(AJ$3:AJ2555,Q$3:Q2555,"=Timeout")+SUMIFS(AJ$3:AJ2555,Q$3:Q2555,"=Clockstop")</f>
        <v>204</v>
      </c>
      <c r="AQ2555">
        <f t="shared" si="837"/>
        <v>2364</v>
      </c>
      <c r="AR2555" s="23">
        <f t="shared" si="838"/>
        <v>3444</v>
      </c>
      <c r="AS2555">
        <f t="shared" si="850"/>
        <v>3439</v>
      </c>
      <c r="AT2555" s="21">
        <f t="shared" si="851"/>
        <v>3444</v>
      </c>
      <c r="AU2555" s="21"/>
      <c r="AV2555" s="21"/>
      <c r="AW2555" s="21"/>
    </row>
    <row r="2556" spans="5:49" x14ac:dyDescent="0.2">
      <c r="E2556">
        <f t="shared" si="839"/>
        <v>3</v>
      </c>
      <c r="J2556">
        <f t="shared" si="846"/>
        <v>0</v>
      </c>
      <c r="K2556">
        <f t="shared" si="847"/>
        <v>0</v>
      </c>
      <c r="L2556" t="str">
        <f t="shared" si="848"/>
        <v/>
      </c>
      <c r="M2556" s="6" t="str">
        <f t="shared" si="849"/>
        <v/>
      </c>
      <c r="N2556" t="str">
        <f t="shared" si="845"/>
        <v/>
      </c>
      <c r="Y2556" t="str">
        <f t="shared" si="832"/>
        <v/>
      </c>
      <c r="Z2556" t="str">
        <f t="shared" si="833"/>
        <v/>
      </c>
      <c r="AC2556" t="str">
        <f t="shared" si="852"/>
        <v/>
      </c>
      <c r="AD2556" t="str">
        <f t="shared" si="853"/>
        <v/>
      </c>
      <c r="AE2556" t="str">
        <f t="shared" si="854"/>
        <v/>
      </c>
      <c r="AF2556" t="str">
        <f t="shared" si="834"/>
        <v/>
      </c>
      <c r="AG2556">
        <f t="shared" si="840"/>
        <v>18981</v>
      </c>
      <c r="AH2556" t="str">
        <f t="shared" si="841"/>
        <v>Nelson</v>
      </c>
      <c r="AI2556" t="str">
        <f t="shared" si="842"/>
        <v>Velodrome</v>
      </c>
      <c r="AJ2556" s="18">
        <f t="shared" si="835"/>
        <v>0</v>
      </c>
      <c r="AP2556" s="18">
        <f>SUMIFS(AJ$3:AJ2556,Q$3:Q2556,"=Intermission")+SUMIFS(AJ$3:AJ2556,Q$3:Q2556,"=Timeout")+SUMIFS(AJ$3:AJ2556,Q$3:Q2556,"=Clockstop")</f>
        <v>204</v>
      </c>
      <c r="AQ2556">
        <f t="shared" si="837"/>
        <v>2364</v>
      </c>
      <c r="AR2556" s="23">
        <f t="shared" si="838"/>
        <v>3444</v>
      </c>
      <c r="AS2556">
        <f t="shared" si="850"/>
        <v>3439</v>
      </c>
      <c r="AT2556" s="21">
        <f t="shared" si="851"/>
        <v>3444</v>
      </c>
      <c r="AU2556" s="21"/>
      <c r="AV2556" s="21"/>
      <c r="AW2556" s="21"/>
    </row>
    <row r="2557" spans="5:49" x14ac:dyDescent="0.2">
      <c r="E2557">
        <f t="shared" si="839"/>
        <v>3</v>
      </c>
      <c r="J2557">
        <f t="shared" si="846"/>
        <v>0</v>
      </c>
      <c r="K2557">
        <f t="shared" si="847"/>
        <v>0</v>
      </c>
      <c r="L2557" t="str">
        <f t="shared" si="848"/>
        <v/>
      </c>
      <c r="M2557" s="6" t="str">
        <f t="shared" si="849"/>
        <v/>
      </c>
      <c r="N2557" t="str">
        <f t="shared" si="845"/>
        <v/>
      </c>
      <c r="Y2557" t="str">
        <f t="shared" si="832"/>
        <v/>
      </c>
      <c r="Z2557" t="str">
        <f t="shared" si="833"/>
        <v/>
      </c>
      <c r="AC2557" t="str">
        <f t="shared" si="852"/>
        <v/>
      </c>
      <c r="AD2557" t="str">
        <f t="shared" si="853"/>
        <v/>
      </c>
      <c r="AE2557" t="str">
        <f t="shared" si="854"/>
        <v/>
      </c>
      <c r="AF2557" t="str">
        <f t="shared" si="834"/>
        <v/>
      </c>
      <c r="AG2557">
        <f t="shared" si="840"/>
        <v>18981</v>
      </c>
      <c r="AH2557" t="str">
        <f t="shared" si="841"/>
        <v>Nelson</v>
      </c>
      <c r="AI2557" t="str">
        <f t="shared" si="842"/>
        <v>Velodrome</v>
      </c>
      <c r="AJ2557" s="18">
        <f t="shared" si="835"/>
        <v>0</v>
      </c>
      <c r="AP2557" s="18">
        <f>SUMIFS(AJ$3:AJ2557,Q$3:Q2557,"=Intermission")+SUMIFS(AJ$3:AJ2557,Q$3:Q2557,"=Timeout")+SUMIFS(AJ$3:AJ2557,Q$3:Q2557,"=Clockstop")</f>
        <v>204</v>
      </c>
      <c r="AQ2557">
        <f t="shared" si="837"/>
        <v>2364</v>
      </c>
      <c r="AR2557" s="23">
        <f t="shared" si="838"/>
        <v>3444</v>
      </c>
      <c r="AS2557">
        <f t="shared" si="850"/>
        <v>3439</v>
      </c>
      <c r="AT2557" s="21">
        <f t="shared" si="851"/>
        <v>3444</v>
      </c>
      <c r="AU2557" s="21"/>
      <c r="AV2557" s="21"/>
      <c r="AW2557" s="21"/>
    </row>
    <row r="2558" spans="5:49" x14ac:dyDescent="0.2">
      <c r="E2558">
        <f t="shared" si="839"/>
        <v>3</v>
      </c>
      <c r="J2558">
        <f t="shared" si="846"/>
        <v>0</v>
      </c>
      <c r="K2558">
        <f t="shared" si="847"/>
        <v>0</v>
      </c>
      <c r="L2558" t="str">
        <f t="shared" si="848"/>
        <v/>
      </c>
      <c r="M2558" s="6" t="str">
        <f t="shared" si="849"/>
        <v/>
      </c>
      <c r="N2558" t="str">
        <f t="shared" si="845"/>
        <v/>
      </c>
      <c r="Y2558" t="str">
        <f t="shared" si="832"/>
        <v/>
      </c>
      <c r="Z2558" t="str">
        <f t="shared" si="833"/>
        <v/>
      </c>
      <c r="AC2558" t="str">
        <f t="shared" si="852"/>
        <v/>
      </c>
      <c r="AD2558" t="str">
        <f t="shared" si="853"/>
        <v/>
      </c>
      <c r="AE2558" t="str">
        <f t="shared" si="854"/>
        <v/>
      </c>
      <c r="AF2558" t="str">
        <f t="shared" si="834"/>
        <v/>
      </c>
      <c r="AG2558">
        <f t="shared" si="840"/>
        <v>18981</v>
      </c>
      <c r="AH2558" t="str">
        <f t="shared" si="841"/>
        <v>Nelson</v>
      </c>
      <c r="AI2558" t="str">
        <f t="shared" si="842"/>
        <v>Velodrome</v>
      </c>
      <c r="AJ2558" s="18">
        <f t="shared" si="835"/>
        <v>0</v>
      </c>
      <c r="AP2558" s="18">
        <f>SUMIFS(AJ$3:AJ2558,Q$3:Q2558,"=Intermission")+SUMIFS(AJ$3:AJ2558,Q$3:Q2558,"=Timeout")+SUMIFS(AJ$3:AJ2558,Q$3:Q2558,"=Clockstop")</f>
        <v>204</v>
      </c>
      <c r="AQ2558">
        <f t="shared" si="837"/>
        <v>2364</v>
      </c>
      <c r="AR2558" s="23">
        <f t="shared" si="838"/>
        <v>3444</v>
      </c>
      <c r="AS2558">
        <f t="shared" si="850"/>
        <v>3439</v>
      </c>
      <c r="AT2558" s="21">
        <f t="shared" si="851"/>
        <v>3444</v>
      </c>
      <c r="AU2558" s="21"/>
      <c r="AV2558" s="21"/>
      <c r="AW2558" s="21"/>
    </row>
    <row r="2559" spans="5:49" x14ac:dyDescent="0.2">
      <c r="E2559">
        <f t="shared" si="839"/>
        <v>3</v>
      </c>
      <c r="J2559">
        <f t="shared" si="846"/>
        <v>0</v>
      </c>
      <c r="K2559">
        <f t="shared" si="847"/>
        <v>0</v>
      </c>
      <c r="L2559" t="str">
        <f t="shared" si="848"/>
        <v/>
      </c>
      <c r="M2559" s="6" t="str">
        <f t="shared" si="849"/>
        <v/>
      </c>
      <c r="N2559" t="str">
        <f t="shared" si="845"/>
        <v/>
      </c>
      <c r="Y2559" t="str">
        <f t="shared" si="832"/>
        <v/>
      </c>
      <c r="Z2559" t="str">
        <f t="shared" si="833"/>
        <v/>
      </c>
      <c r="AC2559" t="str">
        <f t="shared" si="852"/>
        <v/>
      </c>
      <c r="AD2559" t="str">
        <f t="shared" si="853"/>
        <v/>
      </c>
      <c r="AE2559" t="str">
        <f t="shared" si="854"/>
        <v/>
      </c>
      <c r="AF2559" t="str">
        <f t="shared" si="834"/>
        <v/>
      </c>
      <c r="AG2559">
        <f t="shared" si="840"/>
        <v>18981</v>
      </c>
      <c r="AH2559" t="str">
        <f t="shared" si="841"/>
        <v>Nelson</v>
      </c>
      <c r="AI2559" t="str">
        <f t="shared" si="842"/>
        <v>Velodrome</v>
      </c>
      <c r="AJ2559" s="18">
        <f t="shared" si="835"/>
        <v>0</v>
      </c>
      <c r="AP2559" s="18">
        <f>SUMIFS(AJ$3:AJ2559,Q$3:Q2559,"=Intermission")+SUMIFS(AJ$3:AJ2559,Q$3:Q2559,"=Timeout")+SUMIFS(AJ$3:AJ2559,Q$3:Q2559,"=Clockstop")</f>
        <v>204</v>
      </c>
      <c r="AQ2559">
        <f t="shared" si="837"/>
        <v>2364</v>
      </c>
      <c r="AR2559" s="23">
        <f t="shared" si="838"/>
        <v>3444</v>
      </c>
      <c r="AS2559">
        <f t="shared" si="850"/>
        <v>3439</v>
      </c>
      <c r="AT2559" s="21">
        <f t="shared" si="851"/>
        <v>3444</v>
      </c>
      <c r="AU2559" s="21"/>
      <c r="AV2559" s="21"/>
      <c r="AW2559" s="21"/>
    </row>
    <row r="2560" spans="5:49" x14ac:dyDescent="0.2">
      <c r="E2560">
        <f t="shared" si="839"/>
        <v>3</v>
      </c>
      <c r="J2560">
        <f t="shared" si="846"/>
        <v>0</v>
      </c>
      <c r="K2560">
        <f t="shared" si="847"/>
        <v>0</v>
      </c>
      <c r="L2560" t="str">
        <f t="shared" si="848"/>
        <v/>
      </c>
      <c r="M2560" s="6" t="str">
        <f t="shared" si="849"/>
        <v/>
      </c>
      <c r="N2560" t="str">
        <f t="shared" si="845"/>
        <v/>
      </c>
      <c r="Y2560" t="str">
        <f t="shared" si="832"/>
        <v/>
      </c>
      <c r="Z2560" t="str">
        <f t="shared" si="833"/>
        <v/>
      </c>
      <c r="AC2560" t="str">
        <f t="shared" si="852"/>
        <v/>
      </c>
      <c r="AD2560" t="str">
        <f t="shared" si="853"/>
        <v/>
      </c>
      <c r="AE2560" t="str">
        <f t="shared" si="854"/>
        <v/>
      </c>
      <c r="AF2560" t="str">
        <f t="shared" si="834"/>
        <v/>
      </c>
      <c r="AG2560">
        <f t="shared" si="840"/>
        <v>18981</v>
      </c>
      <c r="AH2560" t="str">
        <f t="shared" si="841"/>
        <v>Nelson</v>
      </c>
      <c r="AI2560" t="str">
        <f t="shared" si="842"/>
        <v>Velodrome</v>
      </c>
      <c r="AJ2560" s="18">
        <f t="shared" si="835"/>
        <v>0</v>
      </c>
      <c r="AP2560" s="18">
        <f>SUMIFS(AJ$3:AJ2560,Q$3:Q2560,"=Intermission")+SUMIFS(AJ$3:AJ2560,Q$3:Q2560,"=Timeout")+SUMIFS(AJ$3:AJ2560,Q$3:Q2560,"=Clockstop")</f>
        <v>204</v>
      </c>
      <c r="AQ2560">
        <f t="shared" si="837"/>
        <v>2364</v>
      </c>
      <c r="AR2560" s="23">
        <f t="shared" si="838"/>
        <v>3444</v>
      </c>
      <c r="AS2560">
        <f t="shared" si="850"/>
        <v>3439</v>
      </c>
      <c r="AT2560" s="21">
        <f t="shared" si="851"/>
        <v>3444</v>
      </c>
      <c r="AU2560" s="21"/>
      <c r="AV2560" s="21"/>
      <c r="AW2560" s="21"/>
    </row>
    <row r="2561" spans="5:49" x14ac:dyDescent="0.2">
      <c r="E2561">
        <f t="shared" si="839"/>
        <v>3</v>
      </c>
      <c r="J2561">
        <f t="shared" si="846"/>
        <v>0</v>
      </c>
      <c r="K2561">
        <f t="shared" si="847"/>
        <v>0</v>
      </c>
      <c r="L2561" t="str">
        <f t="shared" si="848"/>
        <v/>
      </c>
      <c r="M2561" s="6" t="str">
        <f t="shared" si="849"/>
        <v/>
      </c>
      <c r="N2561" t="str">
        <f t="shared" si="845"/>
        <v/>
      </c>
      <c r="Y2561" t="str">
        <f t="shared" si="832"/>
        <v/>
      </c>
      <c r="Z2561" t="str">
        <f t="shared" si="833"/>
        <v/>
      </c>
      <c r="AC2561" t="str">
        <f t="shared" si="852"/>
        <v/>
      </c>
      <c r="AD2561" t="str">
        <f t="shared" si="853"/>
        <v/>
      </c>
      <c r="AE2561" t="str">
        <f t="shared" si="854"/>
        <v/>
      </c>
      <c r="AF2561" t="str">
        <f t="shared" si="834"/>
        <v/>
      </c>
      <c r="AG2561">
        <f t="shared" si="840"/>
        <v>18981</v>
      </c>
      <c r="AH2561" t="str">
        <f t="shared" si="841"/>
        <v>Nelson</v>
      </c>
      <c r="AI2561" t="str">
        <f t="shared" si="842"/>
        <v>Velodrome</v>
      </c>
      <c r="AJ2561" s="18">
        <f t="shared" si="835"/>
        <v>0</v>
      </c>
      <c r="AP2561" s="18">
        <f>SUMIFS(AJ$3:AJ2561,Q$3:Q2561,"=Intermission")+SUMIFS(AJ$3:AJ2561,Q$3:Q2561,"=Timeout")+SUMIFS(AJ$3:AJ2561,Q$3:Q2561,"=Clockstop")</f>
        <v>204</v>
      </c>
      <c r="AQ2561">
        <f t="shared" si="837"/>
        <v>2364</v>
      </c>
      <c r="AR2561" s="23">
        <f t="shared" si="838"/>
        <v>3444</v>
      </c>
      <c r="AS2561">
        <f t="shared" si="850"/>
        <v>3439</v>
      </c>
      <c r="AT2561" s="21">
        <f t="shared" si="851"/>
        <v>3444</v>
      </c>
      <c r="AU2561" s="21"/>
      <c r="AV2561" s="21"/>
      <c r="AW2561" s="21"/>
    </row>
    <row r="2562" spans="5:49" x14ac:dyDescent="0.2">
      <c r="E2562">
        <f t="shared" si="839"/>
        <v>3</v>
      </c>
      <c r="J2562">
        <f t="shared" si="846"/>
        <v>0</v>
      </c>
      <c r="K2562">
        <f t="shared" si="847"/>
        <v>0</v>
      </c>
      <c r="L2562" t="str">
        <f t="shared" si="848"/>
        <v/>
      </c>
      <c r="M2562" s="6" t="str">
        <f t="shared" si="849"/>
        <v/>
      </c>
      <c r="N2562" t="str">
        <f t="shared" si="845"/>
        <v/>
      </c>
      <c r="Y2562" t="str">
        <f t="shared" si="832"/>
        <v/>
      </c>
      <c r="Z2562" t="str">
        <f t="shared" si="833"/>
        <v/>
      </c>
      <c r="AC2562" t="str">
        <f t="shared" si="852"/>
        <v/>
      </c>
      <c r="AD2562" t="str">
        <f t="shared" si="853"/>
        <v/>
      </c>
      <c r="AE2562" t="str">
        <f t="shared" si="854"/>
        <v/>
      </c>
      <c r="AF2562" t="str">
        <f t="shared" si="834"/>
        <v/>
      </c>
      <c r="AG2562">
        <f t="shared" si="840"/>
        <v>18981</v>
      </c>
      <c r="AH2562" t="str">
        <f t="shared" si="841"/>
        <v>Nelson</v>
      </c>
      <c r="AI2562" t="str">
        <f t="shared" si="842"/>
        <v>Velodrome</v>
      </c>
      <c r="AJ2562" s="18">
        <f t="shared" si="835"/>
        <v>0</v>
      </c>
      <c r="AP2562" s="18">
        <f>SUMIFS(AJ$3:AJ2562,Q$3:Q2562,"=Intermission")+SUMIFS(AJ$3:AJ2562,Q$3:Q2562,"=Timeout")+SUMIFS(AJ$3:AJ2562,Q$3:Q2562,"=Clockstop")</f>
        <v>204</v>
      </c>
      <c r="AQ2562">
        <f t="shared" si="837"/>
        <v>2364</v>
      </c>
      <c r="AR2562" s="23">
        <f t="shared" si="838"/>
        <v>3444</v>
      </c>
      <c r="AS2562">
        <f t="shared" si="850"/>
        <v>3439</v>
      </c>
      <c r="AT2562" s="21">
        <f t="shared" si="851"/>
        <v>3444</v>
      </c>
      <c r="AU2562" s="21"/>
      <c r="AV2562" s="21"/>
      <c r="AW2562" s="21"/>
    </row>
    <row r="2563" spans="5:49" x14ac:dyDescent="0.2">
      <c r="E2563">
        <f t="shared" si="839"/>
        <v>3</v>
      </c>
      <c r="J2563">
        <f t="shared" si="846"/>
        <v>0</v>
      </c>
      <c r="K2563">
        <f t="shared" si="847"/>
        <v>0</v>
      </c>
      <c r="L2563" t="str">
        <f t="shared" si="848"/>
        <v/>
      </c>
      <c r="M2563" s="6" t="str">
        <f t="shared" si="849"/>
        <v/>
      </c>
      <c r="N2563" t="str">
        <f t="shared" si="845"/>
        <v/>
      </c>
      <c r="Y2563" t="str">
        <f t="shared" ref="Y2563:Y2626" si="855">IF($N2563="","",IF(X2563="","",IF($N2563="Home",$X2563,IF($X2563="n","n",IF($X2563="d","o",IF($X2563="o","d",""))))))</f>
        <v/>
      </c>
      <c r="Z2563" t="str">
        <f t="shared" ref="Z2563:Z2600" si="856">IF($N2563="","",IF(X2563="","",IF($N2563="Away",$X2563,IF($X2563="n","n",IF($X2563="d","o",IF($X2563="o","d",""))))))</f>
        <v/>
      </c>
      <c r="AC2563" t="str">
        <f t="shared" si="852"/>
        <v/>
      </c>
      <c r="AD2563" t="str">
        <f t="shared" si="853"/>
        <v/>
      </c>
      <c r="AE2563" t="str">
        <f t="shared" si="854"/>
        <v/>
      </c>
      <c r="AF2563" t="str">
        <f t="shared" ref="AF2563:AF2626" si="857">IF(AND(P2563="e",OR(AC2563="Save",AD2563="Turnover_Takeaway",AD2563="Play_Defensive")),"Defensive",IF(AND(P2563="o",OR(AC2563="Save",AD2563="Turnover_Takeaway",AD2563="Play_Defensive")),"Offensive",IF(OR(AC2563="Deadice",AC2563="Stoppage",AC2563="Intermission"),"",IF(P2563="e","Offensive",IF(P2563="o","Defensive","")))))</f>
        <v/>
      </c>
      <c r="AG2563">
        <f t="shared" si="840"/>
        <v>18981</v>
      </c>
      <c r="AH2563" t="str">
        <f t="shared" si="841"/>
        <v>Nelson</v>
      </c>
      <c r="AI2563" t="str">
        <f t="shared" si="842"/>
        <v>Velodrome</v>
      </c>
      <c r="AJ2563" s="18">
        <f t="shared" ref="AJ2563:AJ2626" si="858">IF(AND(L2563="",M2563=""),0,((J2563*60)+K2563)-((L2563*60)+M2563))</f>
        <v>0</v>
      </c>
      <c r="AP2563" s="18">
        <f>SUMIFS(AJ$3:AJ2563,Q$3:Q2563,"=Intermission")+SUMIFS(AJ$3:AJ2563,Q$3:Q2563,"=Timeout")+SUMIFS(AJ$3:AJ2563,Q$3:Q2563,"=Clockstop")</f>
        <v>204</v>
      </c>
      <c r="AQ2563">
        <f t="shared" ref="AQ2563:AQ2626" si="859">IF(E2563=1,0,IF(E2563=2,1080+AP2563,IF(E2563=3,(1080*2)+AP2563,0)))</f>
        <v>2364</v>
      </c>
      <c r="AR2563" s="23">
        <f t="shared" ref="AR2563:AR2626" si="860">IF(Q2563="Intermission",AR2562,((1080)-((J2563*60)+K2563))+AQ2563)</f>
        <v>3444</v>
      </c>
      <c r="AS2563">
        <f t="shared" ref="AS2563:AS2626" si="861">IF(AR2563&lt;5,0,AR2563-5)</f>
        <v>3439</v>
      </c>
      <c r="AT2563" s="21">
        <f t="shared" ref="AT2563:AT2626" si="862">AS2563+AJ2563+5</f>
        <v>3444</v>
      </c>
      <c r="AU2563" s="21"/>
      <c r="AV2563" s="21"/>
      <c r="AW2563" s="21"/>
    </row>
    <row r="2564" spans="5:49" x14ac:dyDescent="0.2">
      <c r="E2564">
        <f t="shared" ref="E2564:E2600" si="863">IF(Q2564="Intermission",E2563+1,E2563)</f>
        <v>3</v>
      </c>
      <c r="J2564">
        <f t="shared" si="846"/>
        <v>0</v>
      </c>
      <c r="K2564">
        <f t="shared" si="847"/>
        <v>0</v>
      </c>
      <c r="L2564" t="str">
        <f t="shared" si="848"/>
        <v/>
      </c>
      <c r="M2564" s="6" t="str">
        <f t="shared" si="849"/>
        <v/>
      </c>
      <c r="N2564" t="str">
        <f t="shared" si="845"/>
        <v/>
      </c>
      <c r="Y2564" t="str">
        <f t="shared" si="855"/>
        <v/>
      </c>
      <c r="Z2564" t="str">
        <f t="shared" si="856"/>
        <v/>
      </c>
      <c r="AC2564" t="str">
        <f t="shared" si="852"/>
        <v/>
      </c>
      <c r="AD2564" t="str">
        <f t="shared" si="853"/>
        <v/>
      </c>
      <c r="AE2564" t="str">
        <f t="shared" si="854"/>
        <v/>
      </c>
      <c r="AF2564" t="str">
        <f t="shared" si="857"/>
        <v/>
      </c>
      <c r="AG2564">
        <f t="shared" ref="AG2564:AG2600" si="864">AG2563</f>
        <v>18981</v>
      </c>
      <c r="AH2564" t="str">
        <f t="shared" ref="AH2564:AH2600" si="865">AH2563</f>
        <v>Nelson</v>
      </c>
      <c r="AI2564" t="str">
        <f t="shared" ref="AI2564:AI2600" si="866">AI2563</f>
        <v>Velodrome</v>
      </c>
      <c r="AJ2564" s="18">
        <f t="shared" si="858"/>
        <v>0</v>
      </c>
      <c r="AP2564" s="18">
        <f>SUMIFS(AJ$3:AJ2564,Q$3:Q2564,"=Intermission")+SUMIFS(AJ$3:AJ2564,Q$3:Q2564,"=Timeout")+SUMIFS(AJ$3:AJ2564,Q$3:Q2564,"=Clockstop")</f>
        <v>204</v>
      </c>
      <c r="AQ2564">
        <f t="shared" si="859"/>
        <v>2364</v>
      </c>
      <c r="AR2564" s="23">
        <f t="shared" si="860"/>
        <v>3444</v>
      </c>
      <c r="AS2564">
        <f t="shared" si="861"/>
        <v>3439</v>
      </c>
      <c r="AT2564" s="21">
        <f t="shared" si="862"/>
        <v>3444</v>
      </c>
      <c r="AU2564" s="21"/>
      <c r="AV2564" s="21"/>
      <c r="AW2564" s="21"/>
    </row>
    <row r="2565" spans="5:49" x14ac:dyDescent="0.2">
      <c r="E2565">
        <f t="shared" si="863"/>
        <v>3</v>
      </c>
      <c r="J2565">
        <f t="shared" si="846"/>
        <v>0</v>
      </c>
      <c r="K2565">
        <f t="shared" si="847"/>
        <v>0</v>
      </c>
      <c r="L2565" t="str">
        <f t="shared" si="848"/>
        <v/>
      </c>
      <c r="M2565" s="6" t="str">
        <f t="shared" si="849"/>
        <v/>
      </c>
      <c r="N2565" t="str">
        <f t="shared" si="845"/>
        <v/>
      </c>
      <c r="Y2565" t="str">
        <f t="shared" si="855"/>
        <v/>
      </c>
      <c r="Z2565" t="str">
        <f t="shared" si="856"/>
        <v/>
      </c>
      <c r="AC2565" t="str">
        <f t="shared" si="852"/>
        <v/>
      </c>
      <c r="AD2565" t="str">
        <f t="shared" si="853"/>
        <v/>
      </c>
      <c r="AE2565" t="str">
        <f t="shared" si="854"/>
        <v/>
      </c>
      <c r="AF2565" t="str">
        <f t="shared" si="857"/>
        <v/>
      </c>
      <c r="AG2565">
        <f t="shared" si="864"/>
        <v>18981</v>
      </c>
      <c r="AH2565" t="str">
        <f t="shared" si="865"/>
        <v>Nelson</v>
      </c>
      <c r="AI2565" t="str">
        <f t="shared" si="866"/>
        <v>Velodrome</v>
      </c>
      <c r="AJ2565" s="18">
        <f t="shared" si="858"/>
        <v>0</v>
      </c>
      <c r="AP2565" s="18">
        <f>SUMIFS(AJ$3:AJ2565,Q$3:Q2565,"=Intermission")+SUMIFS(AJ$3:AJ2565,Q$3:Q2565,"=Timeout")+SUMIFS(AJ$3:AJ2565,Q$3:Q2565,"=Clockstop")</f>
        <v>204</v>
      </c>
      <c r="AQ2565">
        <f t="shared" si="859"/>
        <v>2364</v>
      </c>
      <c r="AR2565" s="23">
        <f t="shared" si="860"/>
        <v>3444</v>
      </c>
      <c r="AS2565">
        <f t="shared" si="861"/>
        <v>3439</v>
      </c>
      <c r="AT2565" s="21">
        <f t="shared" si="862"/>
        <v>3444</v>
      </c>
      <c r="AU2565" s="21"/>
      <c r="AV2565" s="21"/>
      <c r="AW2565" s="21"/>
    </row>
    <row r="2566" spans="5:49" x14ac:dyDescent="0.2">
      <c r="E2566">
        <f t="shared" si="863"/>
        <v>3</v>
      </c>
      <c r="J2566">
        <f t="shared" si="846"/>
        <v>0</v>
      </c>
      <c r="K2566">
        <f t="shared" si="847"/>
        <v>0</v>
      </c>
      <c r="L2566" t="str">
        <f t="shared" si="848"/>
        <v/>
      </c>
      <c r="M2566" s="6" t="str">
        <f t="shared" si="849"/>
        <v/>
      </c>
      <c r="N2566" t="str">
        <f t="shared" ref="N2566:N2600" si="867">IF(A2566=A2565,N2565,"")</f>
        <v/>
      </c>
      <c r="Y2566" t="str">
        <f t="shared" si="855"/>
        <v/>
      </c>
      <c r="Z2566" t="str">
        <f t="shared" si="856"/>
        <v/>
      </c>
      <c r="AC2566" t="str">
        <f t="shared" si="852"/>
        <v/>
      </c>
      <c r="AD2566" t="str">
        <f t="shared" si="853"/>
        <v/>
      </c>
      <c r="AE2566" t="str">
        <f t="shared" si="854"/>
        <v/>
      </c>
      <c r="AF2566" t="str">
        <f t="shared" si="857"/>
        <v/>
      </c>
      <c r="AG2566">
        <f t="shared" si="864"/>
        <v>18981</v>
      </c>
      <c r="AH2566" t="str">
        <f t="shared" si="865"/>
        <v>Nelson</v>
      </c>
      <c r="AI2566" t="str">
        <f t="shared" si="866"/>
        <v>Velodrome</v>
      </c>
      <c r="AJ2566" s="18">
        <f t="shared" si="858"/>
        <v>0</v>
      </c>
      <c r="AP2566" s="18">
        <f>SUMIFS(AJ$3:AJ2566,Q$3:Q2566,"=Intermission")+SUMIFS(AJ$3:AJ2566,Q$3:Q2566,"=Timeout")+SUMIFS(AJ$3:AJ2566,Q$3:Q2566,"=Clockstop")</f>
        <v>204</v>
      </c>
      <c r="AQ2566">
        <f t="shared" si="859"/>
        <v>2364</v>
      </c>
      <c r="AR2566" s="23">
        <f t="shared" si="860"/>
        <v>3444</v>
      </c>
      <c r="AS2566">
        <f t="shared" si="861"/>
        <v>3439</v>
      </c>
      <c r="AT2566" s="21">
        <f t="shared" si="862"/>
        <v>3444</v>
      </c>
      <c r="AU2566" s="21"/>
      <c r="AV2566" s="21"/>
      <c r="AW2566" s="21"/>
    </row>
    <row r="2567" spans="5:49" x14ac:dyDescent="0.2">
      <c r="E2567">
        <f t="shared" si="863"/>
        <v>3</v>
      </c>
      <c r="J2567">
        <f t="shared" si="846"/>
        <v>0</v>
      </c>
      <c r="K2567">
        <f t="shared" si="847"/>
        <v>0</v>
      </c>
      <c r="L2567" t="str">
        <f t="shared" si="848"/>
        <v/>
      </c>
      <c r="M2567" s="6" t="str">
        <f t="shared" si="849"/>
        <v/>
      </c>
      <c r="N2567" t="str">
        <f t="shared" si="867"/>
        <v/>
      </c>
      <c r="Y2567" t="str">
        <f t="shared" si="855"/>
        <v/>
      </c>
      <c r="Z2567" t="str">
        <f t="shared" si="856"/>
        <v/>
      </c>
      <c r="AC2567" t="str">
        <f t="shared" si="852"/>
        <v/>
      </c>
      <c r="AD2567" t="str">
        <f t="shared" si="853"/>
        <v/>
      </c>
      <c r="AE2567" t="str">
        <f t="shared" si="854"/>
        <v/>
      </c>
      <c r="AF2567" t="str">
        <f t="shared" si="857"/>
        <v/>
      </c>
      <c r="AG2567">
        <f t="shared" si="864"/>
        <v>18981</v>
      </c>
      <c r="AH2567" t="str">
        <f t="shared" si="865"/>
        <v>Nelson</v>
      </c>
      <c r="AI2567" t="str">
        <f t="shared" si="866"/>
        <v>Velodrome</v>
      </c>
      <c r="AJ2567" s="18">
        <f t="shared" si="858"/>
        <v>0</v>
      </c>
      <c r="AP2567" s="18">
        <f>SUMIFS(AJ$3:AJ2567,Q$3:Q2567,"=Intermission")+SUMIFS(AJ$3:AJ2567,Q$3:Q2567,"=Timeout")+SUMIFS(AJ$3:AJ2567,Q$3:Q2567,"=Clockstop")</f>
        <v>204</v>
      </c>
      <c r="AQ2567">
        <f t="shared" si="859"/>
        <v>2364</v>
      </c>
      <c r="AR2567" s="23">
        <f t="shared" si="860"/>
        <v>3444</v>
      </c>
      <c r="AS2567">
        <f t="shared" si="861"/>
        <v>3439</v>
      </c>
      <c r="AT2567" s="21">
        <f t="shared" si="862"/>
        <v>3444</v>
      </c>
      <c r="AU2567" s="21"/>
      <c r="AV2567" s="21"/>
      <c r="AW2567" s="21"/>
    </row>
    <row r="2568" spans="5:49" x14ac:dyDescent="0.2">
      <c r="E2568">
        <f t="shared" si="863"/>
        <v>3</v>
      </c>
      <c r="J2568">
        <f t="shared" si="846"/>
        <v>0</v>
      </c>
      <c r="K2568">
        <f t="shared" si="847"/>
        <v>0</v>
      </c>
      <c r="L2568" t="str">
        <f t="shared" si="848"/>
        <v/>
      </c>
      <c r="M2568" s="6" t="str">
        <f t="shared" si="849"/>
        <v/>
      </c>
      <c r="N2568" t="str">
        <f t="shared" si="867"/>
        <v/>
      </c>
      <c r="Y2568" t="str">
        <f t="shared" si="855"/>
        <v/>
      </c>
      <c r="Z2568" t="str">
        <f t="shared" si="856"/>
        <v/>
      </c>
      <c r="AC2568" t="str">
        <f t="shared" si="852"/>
        <v/>
      </c>
      <c r="AD2568" t="str">
        <f t="shared" si="853"/>
        <v/>
      </c>
      <c r="AE2568" t="str">
        <f t="shared" si="854"/>
        <v/>
      </c>
      <c r="AF2568" t="str">
        <f t="shared" si="857"/>
        <v/>
      </c>
      <c r="AG2568">
        <f t="shared" si="864"/>
        <v>18981</v>
      </c>
      <c r="AH2568" t="str">
        <f t="shared" si="865"/>
        <v>Nelson</v>
      </c>
      <c r="AI2568" t="str">
        <f t="shared" si="866"/>
        <v>Velodrome</v>
      </c>
      <c r="AJ2568" s="18">
        <f t="shared" si="858"/>
        <v>0</v>
      </c>
      <c r="AP2568" s="18">
        <f>SUMIFS(AJ$3:AJ2568,Q$3:Q2568,"=Intermission")+SUMIFS(AJ$3:AJ2568,Q$3:Q2568,"=Timeout")+SUMIFS(AJ$3:AJ2568,Q$3:Q2568,"=Clockstop")</f>
        <v>204</v>
      </c>
      <c r="AQ2568">
        <f t="shared" si="859"/>
        <v>2364</v>
      </c>
      <c r="AR2568" s="23">
        <f t="shared" si="860"/>
        <v>3444</v>
      </c>
      <c r="AS2568">
        <f t="shared" si="861"/>
        <v>3439</v>
      </c>
      <c r="AT2568" s="21">
        <f t="shared" si="862"/>
        <v>3444</v>
      </c>
      <c r="AU2568" s="21"/>
      <c r="AV2568" s="21"/>
      <c r="AW2568" s="21"/>
    </row>
    <row r="2569" spans="5:49" x14ac:dyDescent="0.2">
      <c r="E2569">
        <f t="shared" si="863"/>
        <v>3</v>
      </c>
      <c r="J2569">
        <f t="shared" ref="J2569:J2600" si="868">IF(F2569&lt;&gt;"",F2569,IF($A2569=$A2568,J2568,J2569))</f>
        <v>0</v>
      </c>
      <c r="K2569">
        <f t="shared" ref="K2569:K2600" si="869">IF($A2569=$A2568,K2568,G2569)</f>
        <v>0</v>
      </c>
      <c r="L2569" t="str">
        <f t="shared" ref="L2569:L2600" si="870">IF(H2569&lt;&gt;"",H2569,IF($A2569=$A2568,L2568,""))</f>
        <v/>
      </c>
      <c r="M2569" s="6" t="str">
        <f t="shared" ref="M2569:M2600" si="871">IF(I2569&lt;&gt;"",I2569,IF($A2569=$A2568,M2568,""))</f>
        <v/>
      </c>
      <c r="N2569" t="str">
        <f t="shared" si="867"/>
        <v/>
      </c>
      <c r="Y2569" t="str">
        <f t="shared" si="855"/>
        <v/>
      </c>
      <c r="Z2569" t="str">
        <f t="shared" si="856"/>
        <v/>
      </c>
      <c r="AC2569" t="str">
        <f t="shared" si="852"/>
        <v/>
      </c>
      <c r="AD2569" t="str">
        <f t="shared" si="853"/>
        <v/>
      </c>
      <c r="AE2569" t="str">
        <f t="shared" si="854"/>
        <v/>
      </c>
      <c r="AF2569" t="str">
        <f t="shared" si="857"/>
        <v/>
      </c>
      <c r="AG2569">
        <f t="shared" si="864"/>
        <v>18981</v>
      </c>
      <c r="AH2569" t="str">
        <f t="shared" si="865"/>
        <v>Nelson</v>
      </c>
      <c r="AI2569" t="str">
        <f t="shared" si="866"/>
        <v>Velodrome</v>
      </c>
      <c r="AJ2569" s="18">
        <f t="shared" si="858"/>
        <v>0</v>
      </c>
      <c r="AP2569" s="18">
        <f>SUMIFS(AJ$3:AJ2569,Q$3:Q2569,"=Intermission")+SUMIFS(AJ$3:AJ2569,Q$3:Q2569,"=Timeout")+SUMIFS(AJ$3:AJ2569,Q$3:Q2569,"=Clockstop")</f>
        <v>204</v>
      </c>
      <c r="AQ2569">
        <f t="shared" si="859"/>
        <v>2364</v>
      </c>
      <c r="AR2569" s="23">
        <f t="shared" si="860"/>
        <v>3444</v>
      </c>
      <c r="AS2569">
        <f t="shared" si="861"/>
        <v>3439</v>
      </c>
      <c r="AT2569" s="21">
        <f t="shared" si="862"/>
        <v>3444</v>
      </c>
      <c r="AU2569" s="21"/>
      <c r="AV2569" s="21"/>
      <c r="AW2569" s="21"/>
    </row>
    <row r="2570" spans="5:49" x14ac:dyDescent="0.2">
      <c r="E2570">
        <f t="shared" si="863"/>
        <v>3</v>
      </c>
      <c r="J2570">
        <f t="shared" si="868"/>
        <v>0</v>
      </c>
      <c r="K2570">
        <f t="shared" si="869"/>
        <v>0</v>
      </c>
      <c r="L2570" t="str">
        <f t="shared" si="870"/>
        <v/>
      </c>
      <c r="M2570" s="6" t="str">
        <f t="shared" si="871"/>
        <v/>
      </c>
      <c r="N2570" t="str">
        <f t="shared" si="867"/>
        <v/>
      </c>
      <c r="Y2570" t="str">
        <f t="shared" si="855"/>
        <v/>
      </c>
      <c r="Z2570" t="str">
        <f t="shared" si="856"/>
        <v/>
      </c>
      <c r="AC2570" t="str">
        <f t="shared" si="852"/>
        <v/>
      </c>
      <c r="AD2570" t="str">
        <f t="shared" si="853"/>
        <v/>
      </c>
      <c r="AE2570" t="str">
        <f t="shared" si="854"/>
        <v/>
      </c>
      <c r="AF2570" t="str">
        <f t="shared" si="857"/>
        <v/>
      </c>
      <c r="AG2570">
        <f t="shared" si="864"/>
        <v>18981</v>
      </c>
      <c r="AH2570" t="str">
        <f t="shared" si="865"/>
        <v>Nelson</v>
      </c>
      <c r="AI2570" t="str">
        <f t="shared" si="866"/>
        <v>Velodrome</v>
      </c>
      <c r="AJ2570" s="18">
        <f t="shared" si="858"/>
        <v>0</v>
      </c>
      <c r="AP2570" s="18">
        <f>SUMIFS(AJ$3:AJ2570,Q$3:Q2570,"=Intermission")+SUMIFS(AJ$3:AJ2570,Q$3:Q2570,"=Timeout")+SUMIFS(AJ$3:AJ2570,Q$3:Q2570,"=Clockstop")</f>
        <v>204</v>
      </c>
      <c r="AQ2570">
        <f t="shared" si="859"/>
        <v>2364</v>
      </c>
      <c r="AR2570" s="23">
        <f t="shared" si="860"/>
        <v>3444</v>
      </c>
      <c r="AS2570">
        <f t="shared" si="861"/>
        <v>3439</v>
      </c>
      <c r="AT2570" s="21">
        <f t="shared" si="862"/>
        <v>3444</v>
      </c>
      <c r="AU2570" s="21"/>
      <c r="AV2570" s="21"/>
      <c r="AW2570" s="21"/>
    </row>
    <row r="2571" spans="5:49" x14ac:dyDescent="0.2">
      <c r="E2571">
        <f t="shared" si="863"/>
        <v>3</v>
      </c>
      <c r="J2571">
        <f t="shared" si="868"/>
        <v>0</v>
      </c>
      <c r="K2571">
        <f t="shared" si="869"/>
        <v>0</v>
      </c>
      <c r="L2571" t="str">
        <f t="shared" si="870"/>
        <v/>
      </c>
      <c r="M2571" s="6" t="str">
        <f t="shared" si="871"/>
        <v/>
      </c>
      <c r="N2571" t="str">
        <f t="shared" si="867"/>
        <v/>
      </c>
      <c r="Y2571" t="str">
        <f t="shared" si="855"/>
        <v/>
      </c>
      <c r="Z2571" t="str">
        <f t="shared" si="856"/>
        <v/>
      </c>
      <c r="AC2571" t="str">
        <f t="shared" si="852"/>
        <v/>
      </c>
      <c r="AD2571" t="str">
        <f t="shared" si="853"/>
        <v/>
      </c>
      <c r="AE2571" t="str">
        <f t="shared" si="854"/>
        <v/>
      </c>
      <c r="AF2571" t="str">
        <f t="shared" si="857"/>
        <v/>
      </c>
      <c r="AG2571">
        <f t="shared" si="864"/>
        <v>18981</v>
      </c>
      <c r="AH2571" t="str">
        <f t="shared" si="865"/>
        <v>Nelson</v>
      </c>
      <c r="AI2571" t="str">
        <f t="shared" si="866"/>
        <v>Velodrome</v>
      </c>
      <c r="AJ2571" s="18">
        <f t="shared" si="858"/>
        <v>0</v>
      </c>
      <c r="AP2571" s="18">
        <f>SUMIFS(AJ$3:AJ2571,Q$3:Q2571,"=Intermission")+SUMIFS(AJ$3:AJ2571,Q$3:Q2571,"=Timeout")+SUMIFS(AJ$3:AJ2571,Q$3:Q2571,"=Clockstop")</f>
        <v>204</v>
      </c>
      <c r="AQ2571">
        <f t="shared" si="859"/>
        <v>2364</v>
      </c>
      <c r="AR2571" s="23">
        <f t="shared" si="860"/>
        <v>3444</v>
      </c>
      <c r="AS2571">
        <f t="shared" si="861"/>
        <v>3439</v>
      </c>
      <c r="AT2571" s="21">
        <f t="shared" si="862"/>
        <v>3444</v>
      </c>
      <c r="AU2571" s="21"/>
      <c r="AV2571" s="21"/>
      <c r="AW2571" s="21"/>
    </row>
    <row r="2572" spans="5:49" x14ac:dyDescent="0.2">
      <c r="E2572">
        <f t="shared" si="863"/>
        <v>3</v>
      </c>
      <c r="J2572">
        <f t="shared" si="868"/>
        <v>0</v>
      </c>
      <c r="K2572">
        <f t="shared" si="869"/>
        <v>0</v>
      </c>
      <c r="L2572" t="str">
        <f t="shared" si="870"/>
        <v/>
      </c>
      <c r="M2572" s="6" t="str">
        <f t="shared" si="871"/>
        <v/>
      </c>
      <c r="N2572" t="str">
        <f t="shared" si="867"/>
        <v/>
      </c>
      <c r="Y2572" t="str">
        <f t="shared" si="855"/>
        <v/>
      </c>
      <c r="Z2572" t="str">
        <f t="shared" si="856"/>
        <v/>
      </c>
      <c r="AC2572" t="str">
        <f t="shared" si="852"/>
        <v/>
      </c>
      <c r="AD2572" t="str">
        <f t="shared" si="853"/>
        <v/>
      </c>
      <c r="AE2572" t="str">
        <f t="shared" si="854"/>
        <v/>
      </c>
      <c r="AF2572" t="str">
        <f t="shared" si="857"/>
        <v/>
      </c>
      <c r="AG2572">
        <f t="shared" si="864"/>
        <v>18981</v>
      </c>
      <c r="AH2572" t="str">
        <f t="shared" si="865"/>
        <v>Nelson</v>
      </c>
      <c r="AI2572" t="str">
        <f t="shared" si="866"/>
        <v>Velodrome</v>
      </c>
      <c r="AJ2572" s="18">
        <f t="shared" si="858"/>
        <v>0</v>
      </c>
      <c r="AP2572" s="18">
        <f>SUMIFS(AJ$3:AJ2572,Q$3:Q2572,"=Intermission")+SUMIFS(AJ$3:AJ2572,Q$3:Q2572,"=Timeout")+SUMIFS(AJ$3:AJ2572,Q$3:Q2572,"=Clockstop")</f>
        <v>204</v>
      </c>
      <c r="AQ2572">
        <f t="shared" si="859"/>
        <v>2364</v>
      </c>
      <c r="AR2572" s="23">
        <f t="shared" si="860"/>
        <v>3444</v>
      </c>
      <c r="AS2572">
        <f t="shared" si="861"/>
        <v>3439</v>
      </c>
      <c r="AT2572" s="21">
        <f t="shared" si="862"/>
        <v>3444</v>
      </c>
      <c r="AU2572" s="21"/>
      <c r="AV2572" s="21"/>
      <c r="AW2572" s="21"/>
    </row>
    <row r="2573" spans="5:49" x14ac:dyDescent="0.2">
      <c r="E2573">
        <f t="shared" si="863"/>
        <v>3</v>
      </c>
      <c r="J2573">
        <f t="shared" si="868"/>
        <v>0</v>
      </c>
      <c r="K2573">
        <f t="shared" si="869"/>
        <v>0</v>
      </c>
      <c r="L2573" t="str">
        <f t="shared" si="870"/>
        <v/>
      </c>
      <c r="M2573" s="6" t="str">
        <f t="shared" si="871"/>
        <v/>
      </c>
      <c r="N2573" t="str">
        <f t="shared" si="867"/>
        <v/>
      </c>
      <c r="Y2573" t="str">
        <f t="shared" si="855"/>
        <v/>
      </c>
      <c r="Z2573" t="str">
        <f t="shared" si="856"/>
        <v/>
      </c>
      <c r="AC2573" t="str">
        <f t="shared" si="852"/>
        <v/>
      </c>
      <c r="AD2573" t="str">
        <f t="shared" si="853"/>
        <v/>
      </c>
      <c r="AE2573" t="str">
        <f t="shared" si="854"/>
        <v/>
      </c>
      <c r="AF2573" t="str">
        <f t="shared" si="857"/>
        <v/>
      </c>
      <c r="AG2573">
        <f t="shared" si="864"/>
        <v>18981</v>
      </c>
      <c r="AH2573" t="str">
        <f t="shared" si="865"/>
        <v>Nelson</v>
      </c>
      <c r="AI2573" t="str">
        <f t="shared" si="866"/>
        <v>Velodrome</v>
      </c>
      <c r="AJ2573" s="18">
        <f t="shared" si="858"/>
        <v>0</v>
      </c>
      <c r="AP2573" s="18">
        <f>SUMIFS(AJ$3:AJ2573,Q$3:Q2573,"=Intermission")+SUMIFS(AJ$3:AJ2573,Q$3:Q2573,"=Timeout")+SUMIFS(AJ$3:AJ2573,Q$3:Q2573,"=Clockstop")</f>
        <v>204</v>
      </c>
      <c r="AQ2573">
        <f t="shared" si="859"/>
        <v>2364</v>
      </c>
      <c r="AR2573" s="23">
        <f t="shared" si="860"/>
        <v>3444</v>
      </c>
      <c r="AS2573">
        <f t="shared" si="861"/>
        <v>3439</v>
      </c>
      <c r="AT2573" s="21">
        <f t="shared" si="862"/>
        <v>3444</v>
      </c>
      <c r="AU2573" s="21"/>
      <c r="AV2573" s="21"/>
      <c r="AW2573" s="21"/>
    </row>
    <row r="2574" spans="5:49" x14ac:dyDescent="0.2">
      <c r="E2574">
        <f t="shared" si="863"/>
        <v>3</v>
      </c>
      <c r="J2574">
        <f t="shared" si="868"/>
        <v>0</v>
      </c>
      <c r="K2574">
        <f t="shared" si="869"/>
        <v>0</v>
      </c>
      <c r="L2574" t="str">
        <f t="shared" si="870"/>
        <v/>
      </c>
      <c r="M2574" s="6" t="str">
        <f t="shared" si="871"/>
        <v/>
      </c>
      <c r="N2574" t="str">
        <f t="shared" si="867"/>
        <v/>
      </c>
      <c r="Y2574" t="str">
        <f t="shared" si="855"/>
        <v/>
      </c>
      <c r="Z2574" t="str">
        <f t="shared" si="856"/>
        <v/>
      </c>
      <c r="AC2574" t="str">
        <f t="shared" si="852"/>
        <v/>
      </c>
      <c r="AD2574" t="str">
        <f t="shared" si="853"/>
        <v/>
      </c>
      <c r="AE2574" t="str">
        <f t="shared" si="854"/>
        <v/>
      </c>
      <c r="AF2574" t="str">
        <f t="shared" si="857"/>
        <v/>
      </c>
      <c r="AG2574">
        <f t="shared" si="864"/>
        <v>18981</v>
      </c>
      <c r="AH2574" t="str">
        <f t="shared" si="865"/>
        <v>Nelson</v>
      </c>
      <c r="AI2574" t="str">
        <f t="shared" si="866"/>
        <v>Velodrome</v>
      </c>
      <c r="AJ2574" s="18">
        <f t="shared" si="858"/>
        <v>0</v>
      </c>
      <c r="AP2574" s="18">
        <f>SUMIFS(AJ$3:AJ2574,Q$3:Q2574,"=Intermission")+SUMIFS(AJ$3:AJ2574,Q$3:Q2574,"=Timeout")+SUMIFS(AJ$3:AJ2574,Q$3:Q2574,"=Clockstop")</f>
        <v>204</v>
      </c>
      <c r="AQ2574">
        <f t="shared" si="859"/>
        <v>2364</v>
      </c>
      <c r="AR2574" s="23">
        <f t="shared" si="860"/>
        <v>3444</v>
      </c>
      <c r="AS2574">
        <f t="shared" si="861"/>
        <v>3439</v>
      </c>
      <c r="AT2574" s="21">
        <f t="shared" si="862"/>
        <v>3444</v>
      </c>
      <c r="AU2574" s="21"/>
      <c r="AV2574" s="21"/>
      <c r="AW2574" s="21"/>
    </row>
    <row r="2575" spans="5:49" x14ac:dyDescent="0.2">
      <c r="E2575">
        <f t="shared" si="863"/>
        <v>3</v>
      </c>
      <c r="J2575">
        <f t="shared" si="868"/>
        <v>0</v>
      </c>
      <c r="K2575">
        <f t="shared" si="869"/>
        <v>0</v>
      </c>
      <c r="L2575" t="str">
        <f t="shared" si="870"/>
        <v/>
      </c>
      <c r="M2575" s="6" t="str">
        <f t="shared" si="871"/>
        <v/>
      </c>
      <c r="N2575" t="str">
        <f t="shared" si="867"/>
        <v/>
      </c>
      <c r="Y2575" t="str">
        <f t="shared" si="855"/>
        <v/>
      </c>
      <c r="Z2575" t="str">
        <f t="shared" si="856"/>
        <v/>
      </c>
      <c r="AC2575" t="str">
        <f t="shared" si="852"/>
        <v/>
      </c>
      <c r="AD2575" t="str">
        <f t="shared" si="853"/>
        <v/>
      </c>
      <c r="AE2575" t="str">
        <f t="shared" si="854"/>
        <v/>
      </c>
      <c r="AF2575" t="str">
        <f t="shared" si="857"/>
        <v/>
      </c>
      <c r="AG2575">
        <f t="shared" si="864"/>
        <v>18981</v>
      </c>
      <c r="AH2575" t="str">
        <f t="shared" si="865"/>
        <v>Nelson</v>
      </c>
      <c r="AI2575" t="str">
        <f t="shared" si="866"/>
        <v>Velodrome</v>
      </c>
      <c r="AJ2575" s="18">
        <f t="shared" si="858"/>
        <v>0</v>
      </c>
      <c r="AP2575" s="18">
        <f>SUMIFS(AJ$3:AJ2575,Q$3:Q2575,"=Intermission")+SUMIFS(AJ$3:AJ2575,Q$3:Q2575,"=Timeout")+SUMIFS(AJ$3:AJ2575,Q$3:Q2575,"=Clockstop")</f>
        <v>204</v>
      </c>
      <c r="AQ2575">
        <f t="shared" si="859"/>
        <v>2364</v>
      </c>
      <c r="AR2575" s="23">
        <f t="shared" si="860"/>
        <v>3444</v>
      </c>
      <c r="AS2575">
        <f t="shared" si="861"/>
        <v>3439</v>
      </c>
      <c r="AT2575" s="21">
        <f t="shared" si="862"/>
        <v>3444</v>
      </c>
      <c r="AU2575" s="21"/>
      <c r="AV2575" s="21"/>
      <c r="AW2575" s="21"/>
    </row>
    <row r="2576" spans="5:49" x14ac:dyDescent="0.2">
      <c r="E2576">
        <f t="shared" si="863"/>
        <v>3</v>
      </c>
      <c r="J2576">
        <f t="shared" si="868"/>
        <v>0</v>
      </c>
      <c r="K2576">
        <f t="shared" si="869"/>
        <v>0</v>
      </c>
      <c r="L2576" t="str">
        <f t="shared" si="870"/>
        <v/>
      </c>
      <c r="M2576" s="6" t="str">
        <f t="shared" si="871"/>
        <v/>
      </c>
      <c r="N2576" t="str">
        <f t="shared" si="867"/>
        <v/>
      </c>
      <c r="Y2576" t="str">
        <f t="shared" si="855"/>
        <v/>
      </c>
      <c r="Z2576" t="str">
        <f t="shared" si="856"/>
        <v/>
      </c>
      <c r="AC2576" t="str">
        <f t="shared" si="852"/>
        <v/>
      </c>
      <c r="AD2576" t="str">
        <f t="shared" si="853"/>
        <v/>
      </c>
      <c r="AE2576" t="str">
        <f t="shared" si="854"/>
        <v/>
      </c>
      <c r="AF2576" t="str">
        <f t="shared" si="857"/>
        <v/>
      </c>
      <c r="AG2576">
        <f t="shared" si="864"/>
        <v>18981</v>
      </c>
      <c r="AH2576" t="str">
        <f t="shared" si="865"/>
        <v>Nelson</v>
      </c>
      <c r="AI2576" t="str">
        <f t="shared" si="866"/>
        <v>Velodrome</v>
      </c>
      <c r="AJ2576" s="18">
        <f t="shared" si="858"/>
        <v>0</v>
      </c>
      <c r="AP2576" s="18">
        <f>SUMIFS(AJ$3:AJ2576,Q$3:Q2576,"=Intermission")+SUMIFS(AJ$3:AJ2576,Q$3:Q2576,"=Timeout")+SUMIFS(AJ$3:AJ2576,Q$3:Q2576,"=Clockstop")</f>
        <v>204</v>
      </c>
      <c r="AQ2576">
        <f t="shared" si="859"/>
        <v>2364</v>
      </c>
      <c r="AR2576" s="23">
        <f t="shared" si="860"/>
        <v>3444</v>
      </c>
      <c r="AS2576">
        <f t="shared" si="861"/>
        <v>3439</v>
      </c>
      <c r="AT2576" s="21">
        <f t="shared" si="862"/>
        <v>3444</v>
      </c>
      <c r="AU2576" s="21"/>
      <c r="AV2576" s="21"/>
      <c r="AW2576" s="21"/>
    </row>
    <row r="2577" spans="5:49" x14ac:dyDescent="0.2">
      <c r="E2577">
        <f t="shared" si="863"/>
        <v>3</v>
      </c>
      <c r="J2577">
        <f t="shared" si="868"/>
        <v>0</v>
      </c>
      <c r="K2577">
        <f t="shared" si="869"/>
        <v>0</v>
      </c>
      <c r="L2577" t="str">
        <f t="shared" si="870"/>
        <v/>
      </c>
      <c r="M2577" s="6" t="str">
        <f t="shared" si="871"/>
        <v/>
      </c>
      <c r="N2577" t="str">
        <f t="shared" si="867"/>
        <v/>
      </c>
      <c r="Y2577" t="str">
        <f t="shared" si="855"/>
        <v/>
      </c>
      <c r="Z2577" t="str">
        <f t="shared" si="856"/>
        <v/>
      </c>
      <c r="AC2577" t="str">
        <f t="shared" si="852"/>
        <v/>
      </c>
      <c r="AD2577" t="str">
        <f t="shared" si="853"/>
        <v/>
      </c>
      <c r="AE2577" t="str">
        <f t="shared" si="854"/>
        <v/>
      </c>
      <c r="AF2577" t="str">
        <f t="shared" si="857"/>
        <v/>
      </c>
      <c r="AG2577">
        <f t="shared" si="864"/>
        <v>18981</v>
      </c>
      <c r="AH2577" t="str">
        <f t="shared" si="865"/>
        <v>Nelson</v>
      </c>
      <c r="AI2577" t="str">
        <f t="shared" si="866"/>
        <v>Velodrome</v>
      </c>
      <c r="AJ2577" s="18">
        <f t="shared" si="858"/>
        <v>0</v>
      </c>
      <c r="AP2577" s="18">
        <f>SUMIFS(AJ$3:AJ2577,Q$3:Q2577,"=Intermission")+SUMIFS(AJ$3:AJ2577,Q$3:Q2577,"=Timeout")+SUMIFS(AJ$3:AJ2577,Q$3:Q2577,"=Clockstop")</f>
        <v>204</v>
      </c>
      <c r="AQ2577">
        <f t="shared" si="859"/>
        <v>2364</v>
      </c>
      <c r="AR2577" s="23">
        <f t="shared" si="860"/>
        <v>3444</v>
      </c>
      <c r="AS2577">
        <f t="shared" si="861"/>
        <v>3439</v>
      </c>
      <c r="AT2577" s="21">
        <f t="shared" si="862"/>
        <v>3444</v>
      </c>
      <c r="AU2577" s="21"/>
      <c r="AV2577" s="21"/>
      <c r="AW2577" s="21"/>
    </row>
    <row r="2578" spans="5:49" x14ac:dyDescent="0.2">
      <c r="E2578">
        <f t="shared" si="863"/>
        <v>3</v>
      </c>
      <c r="J2578">
        <f t="shared" si="868"/>
        <v>0</v>
      </c>
      <c r="K2578">
        <f t="shared" si="869"/>
        <v>0</v>
      </c>
      <c r="L2578" t="str">
        <f t="shared" si="870"/>
        <v/>
      </c>
      <c r="M2578" s="6" t="str">
        <f t="shared" si="871"/>
        <v/>
      </c>
      <c r="N2578" t="str">
        <f t="shared" si="867"/>
        <v/>
      </c>
      <c r="Y2578" t="str">
        <f t="shared" si="855"/>
        <v/>
      </c>
      <c r="Z2578" t="str">
        <f t="shared" si="856"/>
        <v/>
      </c>
      <c r="AC2578" t="str">
        <f t="shared" si="852"/>
        <v/>
      </c>
      <c r="AD2578" t="str">
        <f t="shared" si="853"/>
        <v/>
      </c>
      <c r="AE2578" t="str">
        <f t="shared" si="854"/>
        <v/>
      </c>
      <c r="AF2578" t="str">
        <f t="shared" si="857"/>
        <v/>
      </c>
      <c r="AG2578">
        <f t="shared" si="864"/>
        <v>18981</v>
      </c>
      <c r="AH2578" t="str">
        <f t="shared" si="865"/>
        <v>Nelson</v>
      </c>
      <c r="AI2578" t="str">
        <f t="shared" si="866"/>
        <v>Velodrome</v>
      </c>
      <c r="AJ2578" s="18">
        <f t="shared" si="858"/>
        <v>0</v>
      </c>
      <c r="AP2578" s="18">
        <f>SUMIFS(AJ$3:AJ2578,Q$3:Q2578,"=Intermission")+SUMIFS(AJ$3:AJ2578,Q$3:Q2578,"=Timeout")+SUMIFS(AJ$3:AJ2578,Q$3:Q2578,"=Clockstop")</f>
        <v>204</v>
      </c>
      <c r="AQ2578">
        <f t="shared" si="859"/>
        <v>2364</v>
      </c>
      <c r="AR2578" s="23">
        <f t="shared" si="860"/>
        <v>3444</v>
      </c>
      <c r="AS2578">
        <f t="shared" si="861"/>
        <v>3439</v>
      </c>
      <c r="AT2578" s="21">
        <f t="shared" si="862"/>
        <v>3444</v>
      </c>
      <c r="AU2578" s="21"/>
      <c r="AV2578" s="21"/>
      <c r="AW2578" s="21"/>
    </row>
    <row r="2579" spans="5:49" x14ac:dyDescent="0.2">
      <c r="E2579">
        <f t="shared" si="863"/>
        <v>3</v>
      </c>
      <c r="J2579">
        <f t="shared" si="868"/>
        <v>0</v>
      </c>
      <c r="K2579">
        <f t="shared" si="869"/>
        <v>0</v>
      </c>
      <c r="L2579" t="str">
        <f t="shared" si="870"/>
        <v/>
      </c>
      <c r="M2579" s="6" t="str">
        <f t="shared" si="871"/>
        <v/>
      </c>
      <c r="N2579" t="str">
        <f t="shared" si="867"/>
        <v/>
      </c>
      <c r="Y2579" t="str">
        <f t="shared" si="855"/>
        <v/>
      </c>
      <c r="Z2579" t="str">
        <f t="shared" si="856"/>
        <v/>
      </c>
      <c r="AC2579" t="str">
        <f t="shared" si="852"/>
        <v/>
      </c>
      <c r="AD2579" t="str">
        <f t="shared" si="853"/>
        <v/>
      </c>
      <c r="AE2579" t="str">
        <f t="shared" si="854"/>
        <v/>
      </c>
      <c r="AF2579" t="str">
        <f t="shared" si="857"/>
        <v/>
      </c>
      <c r="AG2579">
        <f t="shared" si="864"/>
        <v>18981</v>
      </c>
      <c r="AH2579" t="str">
        <f t="shared" si="865"/>
        <v>Nelson</v>
      </c>
      <c r="AI2579" t="str">
        <f t="shared" si="866"/>
        <v>Velodrome</v>
      </c>
      <c r="AJ2579" s="18">
        <f t="shared" si="858"/>
        <v>0</v>
      </c>
      <c r="AP2579" s="18">
        <f>SUMIFS(AJ$3:AJ2579,Q$3:Q2579,"=Intermission")+SUMIFS(AJ$3:AJ2579,Q$3:Q2579,"=Timeout")+SUMIFS(AJ$3:AJ2579,Q$3:Q2579,"=Clockstop")</f>
        <v>204</v>
      </c>
      <c r="AQ2579">
        <f t="shared" si="859"/>
        <v>2364</v>
      </c>
      <c r="AR2579" s="23">
        <f t="shared" si="860"/>
        <v>3444</v>
      </c>
      <c r="AS2579">
        <f t="shared" si="861"/>
        <v>3439</v>
      </c>
      <c r="AT2579" s="21">
        <f t="shared" si="862"/>
        <v>3444</v>
      </c>
      <c r="AU2579" s="21"/>
      <c r="AV2579" s="21"/>
      <c r="AW2579" s="21"/>
    </row>
    <row r="2580" spans="5:49" x14ac:dyDescent="0.2">
      <c r="E2580">
        <f t="shared" si="863"/>
        <v>3</v>
      </c>
      <c r="J2580">
        <f t="shared" si="868"/>
        <v>0</v>
      </c>
      <c r="K2580">
        <f t="shared" si="869"/>
        <v>0</v>
      </c>
      <c r="L2580" t="str">
        <f t="shared" si="870"/>
        <v/>
      </c>
      <c r="M2580" s="6" t="str">
        <f t="shared" si="871"/>
        <v/>
      </c>
      <c r="N2580" t="str">
        <f t="shared" si="867"/>
        <v/>
      </c>
      <c r="Y2580" t="str">
        <f t="shared" si="855"/>
        <v/>
      </c>
      <c r="Z2580" t="str">
        <f t="shared" si="856"/>
        <v/>
      </c>
      <c r="AC2580" t="str">
        <f t="shared" si="852"/>
        <v/>
      </c>
      <c r="AD2580" t="str">
        <f t="shared" si="853"/>
        <v/>
      </c>
      <c r="AE2580" t="str">
        <f t="shared" si="854"/>
        <v/>
      </c>
      <c r="AF2580" t="str">
        <f t="shared" si="857"/>
        <v/>
      </c>
      <c r="AG2580">
        <f t="shared" si="864"/>
        <v>18981</v>
      </c>
      <c r="AH2580" t="str">
        <f t="shared" si="865"/>
        <v>Nelson</v>
      </c>
      <c r="AI2580" t="str">
        <f t="shared" si="866"/>
        <v>Velodrome</v>
      </c>
      <c r="AJ2580" s="18">
        <f t="shared" si="858"/>
        <v>0</v>
      </c>
      <c r="AP2580" s="18">
        <f>SUMIFS(AJ$3:AJ2580,Q$3:Q2580,"=Intermission")+SUMIFS(AJ$3:AJ2580,Q$3:Q2580,"=Timeout")+SUMIFS(AJ$3:AJ2580,Q$3:Q2580,"=Clockstop")</f>
        <v>204</v>
      </c>
      <c r="AQ2580">
        <f t="shared" si="859"/>
        <v>2364</v>
      </c>
      <c r="AR2580" s="23">
        <f t="shared" si="860"/>
        <v>3444</v>
      </c>
      <c r="AS2580">
        <f t="shared" si="861"/>
        <v>3439</v>
      </c>
      <c r="AT2580" s="21">
        <f t="shared" si="862"/>
        <v>3444</v>
      </c>
      <c r="AU2580" s="21"/>
      <c r="AV2580" s="21"/>
      <c r="AW2580" s="21"/>
    </row>
    <row r="2581" spans="5:49" x14ac:dyDescent="0.2">
      <c r="E2581">
        <f t="shared" si="863"/>
        <v>3</v>
      </c>
      <c r="J2581">
        <f t="shared" si="868"/>
        <v>0</v>
      </c>
      <c r="K2581">
        <f t="shared" si="869"/>
        <v>0</v>
      </c>
      <c r="L2581" t="str">
        <f t="shared" si="870"/>
        <v/>
      </c>
      <c r="M2581" s="6" t="str">
        <f t="shared" si="871"/>
        <v/>
      </c>
      <c r="N2581" t="str">
        <f t="shared" si="867"/>
        <v/>
      </c>
      <c r="Y2581" t="str">
        <f t="shared" si="855"/>
        <v/>
      </c>
      <c r="Z2581" t="str">
        <f t="shared" si="856"/>
        <v/>
      </c>
      <c r="AC2581" t="str">
        <f t="shared" si="852"/>
        <v/>
      </c>
      <c r="AD2581" t="str">
        <f t="shared" si="853"/>
        <v/>
      </c>
      <c r="AE2581" t="str">
        <f t="shared" si="854"/>
        <v/>
      </c>
      <c r="AF2581" t="str">
        <f t="shared" si="857"/>
        <v/>
      </c>
      <c r="AG2581">
        <f t="shared" si="864"/>
        <v>18981</v>
      </c>
      <c r="AH2581" t="str">
        <f t="shared" si="865"/>
        <v>Nelson</v>
      </c>
      <c r="AI2581" t="str">
        <f t="shared" si="866"/>
        <v>Velodrome</v>
      </c>
      <c r="AJ2581" s="18">
        <f t="shared" si="858"/>
        <v>0</v>
      </c>
      <c r="AP2581" s="18">
        <f>SUMIFS(AJ$3:AJ2581,Q$3:Q2581,"=Intermission")+SUMIFS(AJ$3:AJ2581,Q$3:Q2581,"=Timeout")+SUMIFS(AJ$3:AJ2581,Q$3:Q2581,"=Clockstop")</f>
        <v>204</v>
      </c>
      <c r="AQ2581">
        <f t="shared" si="859"/>
        <v>2364</v>
      </c>
      <c r="AR2581" s="23">
        <f t="shared" si="860"/>
        <v>3444</v>
      </c>
      <c r="AS2581">
        <f t="shared" si="861"/>
        <v>3439</v>
      </c>
      <c r="AT2581" s="21">
        <f t="shared" si="862"/>
        <v>3444</v>
      </c>
      <c r="AU2581" s="21"/>
      <c r="AV2581" s="21"/>
      <c r="AW2581" s="21"/>
    </row>
    <row r="2582" spans="5:49" x14ac:dyDescent="0.2">
      <c r="E2582">
        <f t="shared" si="863"/>
        <v>3</v>
      </c>
      <c r="J2582">
        <f t="shared" si="868"/>
        <v>0</v>
      </c>
      <c r="K2582">
        <f t="shared" si="869"/>
        <v>0</v>
      </c>
      <c r="L2582" t="str">
        <f t="shared" si="870"/>
        <v/>
      </c>
      <c r="M2582" s="6" t="str">
        <f t="shared" si="871"/>
        <v/>
      </c>
      <c r="N2582" t="str">
        <f t="shared" si="867"/>
        <v/>
      </c>
      <c r="Y2582" t="str">
        <f t="shared" si="855"/>
        <v/>
      </c>
      <c r="Z2582" t="str">
        <f t="shared" si="856"/>
        <v/>
      </c>
      <c r="AC2582" t="str">
        <f t="shared" si="852"/>
        <v/>
      </c>
      <c r="AD2582" t="str">
        <f t="shared" si="853"/>
        <v/>
      </c>
      <c r="AE2582" t="str">
        <f t="shared" si="854"/>
        <v/>
      </c>
      <c r="AF2582" t="str">
        <f t="shared" si="857"/>
        <v/>
      </c>
      <c r="AG2582">
        <f t="shared" si="864"/>
        <v>18981</v>
      </c>
      <c r="AH2582" t="str">
        <f t="shared" si="865"/>
        <v>Nelson</v>
      </c>
      <c r="AI2582" t="str">
        <f t="shared" si="866"/>
        <v>Velodrome</v>
      </c>
      <c r="AJ2582" s="18">
        <f t="shared" si="858"/>
        <v>0</v>
      </c>
      <c r="AP2582" s="18">
        <f>SUMIFS(AJ$3:AJ2582,Q$3:Q2582,"=Intermission")+SUMIFS(AJ$3:AJ2582,Q$3:Q2582,"=Timeout")+SUMIFS(AJ$3:AJ2582,Q$3:Q2582,"=Clockstop")</f>
        <v>204</v>
      </c>
      <c r="AQ2582">
        <f t="shared" si="859"/>
        <v>2364</v>
      </c>
      <c r="AR2582" s="23">
        <f t="shared" si="860"/>
        <v>3444</v>
      </c>
      <c r="AS2582">
        <f t="shared" si="861"/>
        <v>3439</v>
      </c>
      <c r="AT2582" s="21">
        <f t="shared" si="862"/>
        <v>3444</v>
      </c>
      <c r="AU2582" s="21"/>
      <c r="AV2582" s="21"/>
      <c r="AW2582" s="21"/>
    </row>
    <row r="2583" spans="5:49" x14ac:dyDescent="0.2">
      <c r="E2583">
        <f t="shared" si="863"/>
        <v>3</v>
      </c>
      <c r="J2583">
        <f t="shared" si="868"/>
        <v>0</v>
      </c>
      <c r="K2583">
        <f t="shared" si="869"/>
        <v>0</v>
      </c>
      <c r="L2583" t="str">
        <f t="shared" si="870"/>
        <v/>
      </c>
      <c r="M2583" s="6" t="str">
        <f t="shared" si="871"/>
        <v/>
      </c>
      <c r="N2583" t="str">
        <f t="shared" si="867"/>
        <v/>
      </c>
      <c r="Y2583" t="str">
        <f t="shared" si="855"/>
        <v/>
      </c>
      <c r="Z2583" t="str">
        <f t="shared" si="856"/>
        <v/>
      </c>
      <c r="AC2583" t="str">
        <f t="shared" si="852"/>
        <v/>
      </c>
      <c r="AD2583" t="str">
        <f t="shared" si="853"/>
        <v/>
      </c>
      <c r="AE2583" t="str">
        <f t="shared" si="854"/>
        <v/>
      </c>
      <c r="AF2583" t="str">
        <f t="shared" si="857"/>
        <v/>
      </c>
      <c r="AG2583">
        <f t="shared" si="864"/>
        <v>18981</v>
      </c>
      <c r="AH2583" t="str">
        <f t="shared" si="865"/>
        <v>Nelson</v>
      </c>
      <c r="AI2583" t="str">
        <f t="shared" si="866"/>
        <v>Velodrome</v>
      </c>
      <c r="AJ2583" s="18">
        <f t="shared" si="858"/>
        <v>0</v>
      </c>
      <c r="AP2583" s="18">
        <f>SUMIFS(AJ$3:AJ2583,Q$3:Q2583,"=Intermission")+SUMIFS(AJ$3:AJ2583,Q$3:Q2583,"=Timeout")+SUMIFS(AJ$3:AJ2583,Q$3:Q2583,"=Clockstop")</f>
        <v>204</v>
      </c>
      <c r="AQ2583">
        <f t="shared" si="859"/>
        <v>2364</v>
      </c>
      <c r="AR2583" s="23">
        <f t="shared" si="860"/>
        <v>3444</v>
      </c>
      <c r="AS2583">
        <f t="shared" si="861"/>
        <v>3439</v>
      </c>
      <c r="AT2583" s="21">
        <f t="shared" si="862"/>
        <v>3444</v>
      </c>
      <c r="AU2583" s="21"/>
      <c r="AV2583" s="21"/>
      <c r="AW2583" s="21"/>
    </row>
    <row r="2584" spans="5:49" x14ac:dyDescent="0.2">
      <c r="E2584">
        <f t="shared" si="863"/>
        <v>3</v>
      </c>
      <c r="J2584">
        <f t="shared" si="868"/>
        <v>0</v>
      </c>
      <c r="K2584">
        <f t="shared" si="869"/>
        <v>0</v>
      </c>
      <c r="L2584" t="str">
        <f t="shared" si="870"/>
        <v/>
      </c>
      <c r="M2584" s="6" t="str">
        <f t="shared" si="871"/>
        <v/>
      </c>
      <c r="N2584" t="str">
        <f t="shared" si="867"/>
        <v/>
      </c>
      <c r="Y2584" t="str">
        <f t="shared" si="855"/>
        <v/>
      </c>
      <c r="Z2584" t="str">
        <f t="shared" si="856"/>
        <v/>
      </c>
      <c r="AC2584" t="str">
        <f t="shared" si="852"/>
        <v/>
      </c>
      <c r="AD2584" t="str">
        <f t="shared" si="853"/>
        <v/>
      </c>
      <c r="AE2584" t="str">
        <f t="shared" si="854"/>
        <v/>
      </c>
      <c r="AF2584" t="str">
        <f t="shared" si="857"/>
        <v/>
      </c>
      <c r="AG2584">
        <f t="shared" si="864"/>
        <v>18981</v>
      </c>
      <c r="AH2584" t="str">
        <f t="shared" si="865"/>
        <v>Nelson</v>
      </c>
      <c r="AI2584" t="str">
        <f t="shared" si="866"/>
        <v>Velodrome</v>
      </c>
      <c r="AJ2584" s="18">
        <f t="shared" si="858"/>
        <v>0</v>
      </c>
      <c r="AP2584" s="18">
        <f>SUMIFS(AJ$3:AJ2584,Q$3:Q2584,"=Intermission")+SUMIFS(AJ$3:AJ2584,Q$3:Q2584,"=Timeout")+SUMIFS(AJ$3:AJ2584,Q$3:Q2584,"=Clockstop")</f>
        <v>204</v>
      </c>
      <c r="AQ2584">
        <f t="shared" si="859"/>
        <v>2364</v>
      </c>
      <c r="AR2584" s="23">
        <f t="shared" si="860"/>
        <v>3444</v>
      </c>
      <c r="AS2584">
        <f t="shared" si="861"/>
        <v>3439</v>
      </c>
      <c r="AT2584" s="21">
        <f t="shared" si="862"/>
        <v>3444</v>
      </c>
      <c r="AU2584" s="21"/>
      <c r="AV2584" s="21"/>
      <c r="AW2584" s="21"/>
    </row>
    <row r="2585" spans="5:49" x14ac:dyDescent="0.2">
      <c r="E2585">
        <f t="shared" si="863"/>
        <v>3</v>
      </c>
      <c r="J2585">
        <f t="shared" si="868"/>
        <v>0</v>
      </c>
      <c r="K2585">
        <f t="shared" si="869"/>
        <v>0</v>
      </c>
      <c r="L2585" t="str">
        <f t="shared" si="870"/>
        <v/>
      </c>
      <c r="M2585" s="6" t="str">
        <f t="shared" si="871"/>
        <v/>
      </c>
      <c r="N2585" t="str">
        <f t="shared" si="867"/>
        <v/>
      </c>
      <c r="Y2585" t="str">
        <f t="shared" si="855"/>
        <v/>
      </c>
      <c r="Z2585" t="str">
        <f t="shared" si="856"/>
        <v/>
      </c>
      <c r="AC2585" t="str">
        <f t="shared" si="852"/>
        <v/>
      </c>
      <c r="AD2585" t="str">
        <f t="shared" si="853"/>
        <v/>
      </c>
      <c r="AE2585" t="str">
        <f t="shared" si="854"/>
        <v/>
      </c>
      <c r="AF2585" t="str">
        <f t="shared" si="857"/>
        <v/>
      </c>
      <c r="AG2585">
        <f t="shared" si="864"/>
        <v>18981</v>
      </c>
      <c r="AH2585" t="str">
        <f t="shared" si="865"/>
        <v>Nelson</v>
      </c>
      <c r="AI2585" t="str">
        <f t="shared" si="866"/>
        <v>Velodrome</v>
      </c>
      <c r="AJ2585" s="18">
        <f t="shared" si="858"/>
        <v>0</v>
      </c>
      <c r="AP2585" s="18">
        <f>SUMIFS(AJ$3:AJ2585,Q$3:Q2585,"=Intermission")+SUMIFS(AJ$3:AJ2585,Q$3:Q2585,"=Timeout")+SUMIFS(AJ$3:AJ2585,Q$3:Q2585,"=Clockstop")</f>
        <v>204</v>
      </c>
      <c r="AQ2585">
        <f t="shared" si="859"/>
        <v>2364</v>
      </c>
      <c r="AR2585" s="23">
        <f t="shared" si="860"/>
        <v>3444</v>
      </c>
      <c r="AS2585">
        <f t="shared" si="861"/>
        <v>3439</v>
      </c>
      <c r="AT2585" s="21">
        <f t="shared" si="862"/>
        <v>3444</v>
      </c>
      <c r="AU2585" s="21"/>
      <c r="AV2585" s="21"/>
      <c r="AW2585" s="21"/>
    </row>
    <row r="2586" spans="5:49" x14ac:dyDescent="0.2">
      <c r="E2586">
        <f t="shared" si="863"/>
        <v>3</v>
      </c>
      <c r="J2586">
        <f t="shared" si="868"/>
        <v>0</v>
      </c>
      <c r="K2586">
        <f t="shared" si="869"/>
        <v>0</v>
      </c>
      <c r="L2586" t="str">
        <f t="shared" si="870"/>
        <v/>
      </c>
      <c r="M2586" s="6" t="str">
        <f t="shared" si="871"/>
        <v/>
      </c>
      <c r="N2586" t="str">
        <f t="shared" si="867"/>
        <v/>
      </c>
      <c r="Y2586" t="str">
        <f t="shared" si="855"/>
        <v/>
      </c>
      <c r="Z2586" t="str">
        <f t="shared" si="856"/>
        <v/>
      </c>
      <c r="AC2586" t="str">
        <f t="shared" si="852"/>
        <v/>
      </c>
      <c r="AD2586" t="str">
        <f t="shared" si="853"/>
        <v/>
      </c>
      <c r="AE2586" t="str">
        <f t="shared" si="854"/>
        <v/>
      </c>
      <c r="AF2586" t="str">
        <f t="shared" si="857"/>
        <v/>
      </c>
      <c r="AG2586">
        <f t="shared" si="864"/>
        <v>18981</v>
      </c>
      <c r="AH2586" t="str">
        <f t="shared" si="865"/>
        <v>Nelson</v>
      </c>
      <c r="AI2586" t="str">
        <f t="shared" si="866"/>
        <v>Velodrome</v>
      </c>
      <c r="AJ2586" s="18">
        <f t="shared" si="858"/>
        <v>0</v>
      </c>
      <c r="AP2586" s="18">
        <f>SUMIFS(AJ$3:AJ2586,Q$3:Q2586,"=Intermission")+SUMIFS(AJ$3:AJ2586,Q$3:Q2586,"=Timeout")+SUMIFS(AJ$3:AJ2586,Q$3:Q2586,"=Clockstop")</f>
        <v>204</v>
      </c>
      <c r="AQ2586">
        <f t="shared" si="859"/>
        <v>2364</v>
      </c>
      <c r="AR2586" s="23">
        <f t="shared" si="860"/>
        <v>3444</v>
      </c>
      <c r="AS2586">
        <f t="shared" si="861"/>
        <v>3439</v>
      </c>
      <c r="AT2586" s="21">
        <f t="shared" si="862"/>
        <v>3444</v>
      </c>
      <c r="AU2586" s="21"/>
      <c r="AV2586" s="21"/>
      <c r="AW2586" s="21"/>
    </row>
    <row r="2587" spans="5:49" x14ac:dyDescent="0.2">
      <c r="E2587">
        <f t="shared" si="863"/>
        <v>3</v>
      </c>
      <c r="J2587">
        <f t="shared" si="868"/>
        <v>0</v>
      </c>
      <c r="K2587">
        <f t="shared" si="869"/>
        <v>0</v>
      </c>
      <c r="L2587" t="str">
        <f t="shared" si="870"/>
        <v/>
      </c>
      <c r="M2587" s="6" t="str">
        <f t="shared" si="871"/>
        <v/>
      </c>
      <c r="N2587" t="str">
        <f t="shared" si="867"/>
        <v/>
      </c>
      <c r="Y2587" t="str">
        <f t="shared" si="855"/>
        <v/>
      </c>
      <c r="Z2587" t="str">
        <f t="shared" si="856"/>
        <v/>
      </c>
      <c r="AC2587" t="str">
        <f t="shared" si="852"/>
        <v/>
      </c>
      <c r="AD2587" t="str">
        <f t="shared" si="853"/>
        <v/>
      </c>
      <c r="AE2587" t="str">
        <f t="shared" si="854"/>
        <v/>
      </c>
      <c r="AF2587" t="str">
        <f t="shared" si="857"/>
        <v/>
      </c>
      <c r="AG2587">
        <f t="shared" si="864"/>
        <v>18981</v>
      </c>
      <c r="AH2587" t="str">
        <f t="shared" si="865"/>
        <v>Nelson</v>
      </c>
      <c r="AI2587" t="str">
        <f t="shared" si="866"/>
        <v>Velodrome</v>
      </c>
      <c r="AJ2587" s="18">
        <f t="shared" si="858"/>
        <v>0</v>
      </c>
      <c r="AP2587" s="18">
        <f>SUMIFS(AJ$3:AJ2587,Q$3:Q2587,"=Intermission")+SUMIFS(AJ$3:AJ2587,Q$3:Q2587,"=Timeout")+SUMIFS(AJ$3:AJ2587,Q$3:Q2587,"=Clockstop")</f>
        <v>204</v>
      </c>
      <c r="AQ2587">
        <f t="shared" si="859"/>
        <v>2364</v>
      </c>
      <c r="AR2587" s="23">
        <f t="shared" si="860"/>
        <v>3444</v>
      </c>
      <c r="AS2587">
        <f t="shared" si="861"/>
        <v>3439</v>
      </c>
      <c r="AT2587" s="21">
        <f t="shared" si="862"/>
        <v>3444</v>
      </c>
      <c r="AU2587" s="21"/>
      <c r="AV2587" s="21"/>
      <c r="AW2587" s="21"/>
    </row>
    <row r="2588" spans="5:49" x14ac:dyDescent="0.2">
      <c r="E2588">
        <f t="shared" si="863"/>
        <v>3</v>
      </c>
      <c r="J2588">
        <f t="shared" si="868"/>
        <v>0</v>
      </c>
      <c r="K2588">
        <f t="shared" si="869"/>
        <v>0</v>
      </c>
      <c r="L2588" t="str">
        <f t="shared" si="870"/>
        <v/>
      </c>
      <c r="M2588" s="6" t="str">
        <f t="shared" si="871"/>
        <v/>
      </c>
      <c r="N2588" t="str">
        <f t="shared" si="867"/>
        <v/>
      </c>
      <c r="Y2588" t="str">
        <f t="shared" si="855"/>
        <v/>
      </c>
      <c r="Z2588" t="str">
        <f t="shared" si="856"/>
        <v/>
      </c>
      <c r="AC2588" t="str">
        <f t="shared" si="852"/>
        <v/>
      </c>
      <c r="AD2588" t="str">
        <f t="shared" si="853"/>
        <v/>
      </c>
      <c r="AE2588" t="str">
        <f t="shared" si="854"/>
        <v/>
      </c>
      <c r="AF2588" t="str">
        <f t="shared" si="857"/>
        <v/>
      </c>
      <c r="AG2588">
        <f t="shared" si="864"/>
        <v>18981</v>
      </c>
      <c r="AH2588" t="str">
        <f t="shared" si="865"/>
        <v>Nelson</v>
      </c>
      <c r="AI2588" t="str">
        <f t="shared" si="866"/>
        <v>Velodrome</v>
      </c>
      <c r="AJ2588" s="18">
        <f t="shared" si="858"/>
        <v>0</v>
      </c>
      <c r="AP2588" s="18">
        <f>SUMIFS(AJ$3:AJ2588,Q$3:Q2588,"=Intermission")+SUMIFS(AJ$3:AJ2588,Q$3:Q2588,"=Timeout")+SUMIFS(AJ$3:AJ2588,Q$3:Q2588,"=Clockstop")</f>
        <v>204</v>
      </c>
      <c r="AQ2588">
        <f t="shared" si="859"/>
        <v>2364</v>
      </c>
      <c r="AR2588" s="23">
        <f t="shared" si="860"/>
        <v>3444</v>
      </c>
      <c r="AS2588">
        <f t="shared" si="861"/>
        <v>3439</v>
      </c>
      <c r="AT2588" s="21">
        <f t="shared" si="862"/>
        <v>3444</v>
      </c>
      <c r="AU2588" s="21"/>
      <c r="AV2588" s="21"/>
      <c r="AW2588" s="21"/>
    </row>
    <row r="2589" spans="5:49" x14ac:dyDescent="0.2">
      <c r="E2589">
        <f t="shared" si="863"/>
        <v>3</v>
      </c>
      <c r="J2589">
        <f t="shared" si="868"/>
        <v>0</v>
      </c>
      <c r="K2589">
        <f t="shared" si="869"/>
        <v>0</v>
      </c>
      <c r="L2589" t="str">
        <f t="shared" si="870"/>
        <v/>
      </c>
      <c r="M2589" s="6" t="str">
        <f t="shared" si="871"/>
        <v/>
      </c>
      <c r="N2589" t="str">
        <f t="shared" si="867"/>
        <v/>
      </c>
      <c r="Y2589" t="str">
        <f t="shared" si="855"/>
        <v/>
      </c>
      <c r="Z2589" t="str">
        <f t="shared" si="856"/>
        <v/>
      </c>
      <c r="AC2589" t="str">
        <f t="shared" si="852"/>
        <v/>
      </c>
      <c r="AD2589" t="str">
        <f t="shared" si="853"/>
        <v/>
      </c>
      <c r="AE2589" t="str">
        <f t="shared" si="854"/>
        <v/>
      </c>
      <c r="AF2589" t="str">
        <f t="shared" si="857"/>
        <v/>
      </c>
      <c r="AG2589">
        <f t="shared" si="864"/>
        <v>18981</v>
      </c>
      <c r="AH2589" t="str">
        <f t="shared" si="865"/>
        <v>Nelson</v>
      </c>
      <c r="AI2589" t="str">
        <f t="shared" si="866"/>
        <v>Velodrome</v>
      </c>
      <c r="AJ2589" s="18">
        <f t="shared" si="858"/>
        <v>0</v>
      </c>
      <c r="AP2589" s="18">
        <f>SUMIFS(AJ$3:AJ2589,Q$3:Q2589,"=Intermission")+SUMIFS(AJ$3:AJ2589,Q$3:Q2589,"=Timeout")+SUMIFS(AJ$3:AJ2589,Q$3:Q2589,"=Clockstop")</f>
        <v>204</v>
      </c>
      <c r="AQ2589">
        <f t="shared" si="859"/>
        <v>2364</v>
      </c>
      <c r="AR2589" s="23">
        <f t="shared" si="860"/>
        <v>3444</v>
      </c>
      <c r="AS2589">
        <f t="shared" si="861"/>
        <v>3439</v>
      </c>
      <c r="AT2589" s="21">
        <f t="shared" si="862"/>
        <v>3444</v>
      </c>
      <c r="AU2589" s="21"/>
      <c r="AV2589" s="21"/>
      <c r="AW2589" s="21"/>
    </row>
    <row r="2590" spans="5:49" x14ac:dyDescent="0.2">
      <c r="E2590">
        <f t="shared" si="863"/>
        <v>3</v>
      </c>
      <c r="J2590">
        <f t="shared" si="868"/>
        <v>0</v>
      </c>
      <c r="K2590">
        <f t="shared" si="869"/>
        <v>0</v>
      </c>
      <c r="L2590" t="str">
        <f t="shared" si="870"/>
        <v/>
      </c>
      <c r="M2590" s="6" t="str">
        <f t="shared" si="871"/>
        <v/>
      </c>
      <c r="N2590" t="str">
        <f t="shared" si="867"/>
        <v/>
      </c>
      <c r="Y2590" t="str">
        <f t="shared" si="855"/>
        <v/>
      </c>
      <c r="Z2590" t="str">
        <f t="shared" si="856"/>
        <v/>
      </c>
      <c r="AC2590" t="str">
        <f t="shared" si="852"/>
        <v/>
      </c>
      <c r="AD2590" t="str">
        <f t="shared" si="853"/>
        <v/>
      </c>
      <c r="AE2590" t="str">
        <f t="shared" si="854"/>
        <v/>
      </c>
      <c r="AF2590" t="str">
        <f t="shared" si="857"/>
        <v/>
      </c>
      <c r="AG2590">
        <f t="shared" si="864"/>
        <v>18981</v>
      </c>
      <c r="AH2590" t="str">
        <f t="shared" si="865"/>
        <v>Nelson</v>
      </c>
      <c r="AI2590" t="str">
        <f t="shared" si="866"/>
        <v>Velodrome</v>
      </c>
      <c r="AJ2590" s="18">
        <f t="shared" si="858"/>
        <v>0</v>
      </c>
      <c r="AP2590" s="18">
        <f>SUMIFS(AJ$3:AJ2590,Q$3:Q2590,"=Intermission")+SUMIFS(AJ$3:AJ2590,Q$3:Q2590,"=Timeout")+SUMIFS(AJ$3:AJ2590,Q$3:Q2590,"=Clockstop")</f>
        <v>204</v>
      </c>
      <c r="AQ2590">
        <f t="shared" si="859"/>
        <v>2364</v>
      </c>
      <c r="AR2590" s="23">
        <f t="shared" si="860"/>
        <v>3444</v>
      </c>
      <c r="AS2590">
        <f t="shared" si="861"/>
        <v>3439</v>
      </c>
      <c r="AT2590" s="21">
        <f t="shared" si="862"/>
        <v>3444</v>
      </c>
      <c r="AU2590" s="21"/>
      <c r="AV2590" s="21"/>
      <c r="AW2590" s="21"/>
    </row>
    <row r="2591" spans="5:49" x14ac:dyDescent="0.2">
      <c r="E2591">
        <f t="shared" si="863"/>
        <v>3</v>
      </c>
      <c r="J2591">
        <f t="shared" si="868"/>
        <v>0</v>
      </c>
      <c r="K2591">
        <f t="shared" si="869"/>
        <v>0</v>
      </c>
      <c r="L2591" t="str">
        <f t="shared" si="870"/>
        <v/>
      </c>
      <c r="M2591" s="6" t="str">
        <f t="shared" si="871"/>
        <v/>
      </c>
      <c r="N2591" t="str">
        <f t="shared" si="867"/>
        <v/>
      </c>
      <c r="Y2591" t="str">
        <f t="shared" si="855"/>
        <v/>
      </c>
      <c r="Z2591" t="str">
        <f t="shared" si="856"/>
        <v/>
      </c>
      <c r="AC2591" t="str">
        <f t="shared" si="852"/>
        <v/>
      </c>
      <c r="AD2591" t="str">
        <f t="shared" si="853"/>
        <v/>
      </c>
      <c r="AE2591" t="str">
        <f t="shared" si="854"/>
        <v/>
      </c>
      <c r="AF2591" t="str">
        <f t="shared" si="857"/>
        <v/>
      </c>
      <c r="AG2591">
        <f t="shared" si="864"/>
        <v>18981</v>
      </c>
      <c r="AH2591" t="str">
        <f t="shared" si="865"/>
        <v>Nelson</v>
      </c>
      <c r="AI2591" t="str">
        <f t="shared" si="866"/>
        <v>Velodrome</v>
      </c>
      <c r="AJ2591" s="18">
        <f t="shared" si="858"/>
        <v>0</v>
      </c>
      <c r="AP2591" s="18">
        <f>SUMIFS(AJ$3:AJ2591,Q$3:Q2591,"=Intermission")+SUMIFS(AJ$3:AJ2591,Q$3:Q2591,"=Timeout")+SUMIFS(AJ$3:AJ2591,Q$3:Q2591,"=Clockstop")</f>
        <v>204</v>
      </c>
      <c r="AQ2591">
        <f t="shared" si="859"/>
        <v>2364</v>
      </c>
      <c r="AR2591" s="23">
        <f t="shared" si="860"/>
        <v>3444</v>
      </c>
      <c r="AS2591">
        <f t="shared" si="861"/>
        <v>3439</v>
      </c>
      <c r="AT2591" s="21">
        <f t="shared" si="862"/>
        <v>3444</v>
      </c>
      <c r="AU2591" s="21"/>
      <c r="AV2591" s="21"/>
      <c r="AW2591" s="21"/>
    </row>
    <row r="2592" spans="5:49" x14ac:dyDescent="0.2">
      <c r="E2592">
        <f t="shared" si="863"/>
        <v>3</v>
      </c>
      <c r="J2592">
        <f t="shared" si="868"/>
        <v>0</v>
      </c>
      <c r="K2592">
        <f t="shared" si="869"/>
        <v>0</v>
      </c>
      <c r="L2592" t="str">
        <f t="shared" si="870"/>
        <v/>
      </c>
      <c r="M2592" s="6" t="str">
        <f t="shared" si="871"/>
        <v/>
      </c>
      <c r="N2592" t="str">
        <f t="shared" si="867"/>
        <v/>
      </c>
      <c r="Y2592" t="str">
        <f t="shared" si="855"/>
        <v/>
      </c>
      <c r="Z2592" t="str">
        <f t="shared" si="856"/>
        <v/>
      </c>
      <c r="AC2592" t="str">
        <f t="shared" si="852"/>
        <v/>
      </c>
      <c r="AD2592" t="str">
        <f t="shared" si="853"/>
        <v/>
      </c>
      <c r="AE2592" t="str">
        <f t="shared" si="854"/>
        <v/>
      </c>
      <c r="AF2592" t="str">
        <f t="shared" si="857"/>
        <v/>
      </c>
      <c r="AG2592">
        <f t="shared" si="864"/>
        <v>18981</v>
      </c>
      <c r="AH2592" t="str">
        <f t="shared" si="865"/>
        <v>Nelson</v>
      </c>
      <c r="AI2592" t="str">
        <f t="shared" si="866"/>
        <v>Velodrome</v>
      </c>
      <c r="AJ2592" s="18">
        <f t="shared" si="858"/>
        <v>0</v>
      </c>
      <c r="AP2592" s="18">
        <f>SUMIFS(AJ$3:AJ2592,Q$3:Q2592,"=Intermission")+SUMIFS(AJ$3:AJ2592,Q$3:Q2592,"=Timeout")+SUMIFS(AJ$3:AJ2592,Q$3:Q2592,"=Clockstop")</f>
        <v>204</v>
      </c>
      <c r="AQ2592">
        <f t="shared" si="859"/>
        <v>2364</v>
      </c>
      <c r="AR2592" s="23">
        <f t="shared" si="860"/>
        <v>3444</v>
      </c>
      <c r="AS2592">
        <f t="shared" si="861"/>
        <v>3439</v>
      </c>
      <c r="AT2592" s="21">
        <f t="shared" si="862"/>
        <v>3444</v>
      </c>
      <c r="AU2592" s="21"/>
      <c r="AV2592" s="21"/>
      <c r="AW2592" s="21"/>
    </row>
    <row r="2593" spans="5:49" x14ac:dyDescent="0.2">
      <c r="E2593">
        <f t="shared" si="863"/>
        <v>3</v>
      </c>
      <c r="J2593">
        <f t="shared" si="868"/>
        <v>0</v>
      </c>
      <c r="K2593">
        <f t="shared" si="869"/>
        <v>0</v>
      </c>
      <c r="L2593" t="str">
        <f t="shared" si="870"/>
        <v/>
      </c>
      <c r="M2593" s="6" t="str">
        <f t="shared" si="871"/>
        <v/>
      </c>
      <c r="N2593" t="str">
        <f t="shared" si="867"/>
        <v/>
      </c>
      <c r="Y2593" t="str">
        <f t="shared" si="855"/>
        <v/>
      </c>
      <c r="Z2593" t="str">
        <f t="shared" si="856"/>
        <v/>
      </c>
      <c r="AC2593" t="str">
        <f t="shared" si="852"/>
        <v/>
      </c>
      <c r="AD2593" t="str">
        <f t="shared" si="853"/>
        <v/>
      </c>
      <c r="AE2593" t="str">
        <f t="shared" si="854"/>
        <v/>
      </c>
      <c r="AF2593" t="str">
        <f t="shared" si="857"/>
        <v/>
      </c>
      <c r="AG2593">
        <f t="shared" si="864"/>
        <v>18981</v>
      </c>
      <c r="AH2593" t="str">
        <f t="shared" si="865"/>
        <v>Nelson</v>
      </c>
      <c r="AI2593" t="str">
        <f t="shared" si="866"/>
        <v>Velodrome</v>
      </c>
      <c r="AJ2593" s="18">
        <f t="shared" si="858"/>
        <v>0</v>
      </c>
      <c r="AP2593" s="18">
        <f>SUMIFS(AJ$3:AJ2593,Q$3:Q2593,"=Intermission")+SUMIFS(AJ$3:AJ2593,Q$3:Q2593,"=Timeout")+SUMIFS(AJ$3:AJ2593,Q$3:Q2593,"=Clockstop")</f>
        <v>204</v>
      </c>
      <c r="AQ2593">
        <f t="shared" si="859"/>
        <v>2364</v>
      </c>
      <c r="AR2593" s="23">
        <f t="shared" si="860"/>
        <v>3444</v>
      </c>
      <c r="AS2593">
        <f t="shared" si="861"/>
        <v>3439</v>
      </c>
      <c r="AT2593" s="21">
        <f t="shared" si="862"/>
        <v>3444</v>
      </c>
      <c r="AU2593" s="21"/>
      <c r="AV2593" s="21"/>
      <c r="AW2593" s="21"/>
    </row>
    <row r="2594" spans="5:49" x14ac:dyDescent="0.2">
      <c r="E2594">
        <f t="shared" si="863"/>
        <v>3</v>
      </c>
      <c r="J2594">
        <f t="shared" si="868"/>
        <v>0</v>
      </c>
      <c r="K2594">
        <f t="shared" si="869"/>
        <v>0</v>
      </c>
      <c r="L2594" t="str">
        <f t="shared" si="870"/>
        <v/>
      </c>
      <c r="M2594" s="6" t="str">
        <f t="shared" si="871"/>
        <v/>
      </c>
      <c r="N2594" t="str">
        <f t="shared" si="867"/>
        <v/>
      </c>
      <c r="Y2594" t="str">
        <f t="shared" si="855"/>
        <v/>
      </c>
      <c r="Z2594" t="str">
        <f t="shared" si="856"/>
        <v/>
      </c>
      <c r="AC2594" t="str">
        <f t="shared" si="852"/>
        <v/>
      </c>
      <c r="AD2594" t="str">
        <f t="shared" si="853"/>
        <v/>
      </c>
      <c r="AE2594" t="str">
        <f t="shared" si="854"/>
        <v/>
      </c>
      <c r="AF2594" t="str">
        <f t="shared" si="857"/>
        <v/>
      </c>
      <c r="AG2594">
        <f t="shared" si="864"/>
        <v>18981</v>
      </c>
      <c r="AH2594" t="str">
        <f t="shared" si="865"/>
        <v>Nelson</v>
      </c>
      <c r="AI2594" t="str">
        <f t="shared" si="866"/>
        <v>Velodrome</v>
      </c>
      <c r="AJ2594" s="18">
        <f t="shared" si="858"/>
        <v>0</v>
      </c>
      <c r="AP2594" s="18">
        <f>SUMIFS(AJ$3:AJ2594,Q$3:Q2594,"=Intermission")+SUMIFS(AJ$3:AJ2594,Q$3:Q2594,"=Timeout")+SUMIFS(AJ$3:AJ2594,Q$3:Q2594,"=Clockstop")</f>
        <v>204</v>
      </c>
      <c r="AQ2594">
        <f t="shared" si="859"/>
        <v>2364</v>
      </c>
      <c r="AR2594" s="23">
        <f t="shared" si="860"/>
        <v>3444</v>
      </c>
      <c r="AS2594">
        <f t="shared" si="861"/>
        <v>3439</v>
      </c>
      <c r="AT2594" s="21">
        <f t="shared" si="862"/>
        <v>3444</v>
      </c>
      <c r="AU2594" s="21"/>
      <c r="AV2594" s="21"/>
      <c r="AW2594" s="21"/>
    </row>
    <row r="2595" spans="5:49" x14ac:dyDescent="0.2">
      <c r="E2595">
        <f t="shared" si="863"/>
        <v>3</v>
      </c>
      <c r="J2595">
        <f t="shared" si="868"/>
        <v>0</v>
      </c>
      <c r="K2595">
        <f t="shared" si="869"/>
        <v>0</v>
      </c>
      <c r="L2595" t="str">
        <f t="shared" si="870"/>
        <v/>
      </c>
      <c r="M2595" s="6" t="str">
        <f t="shared" si="871"/>
        <v/>
      </c>
      <c r="N2595" t="str">
        <f t="shared" si="867"/>
        <v/>
      </c>
      <c r="Y2595" t="str">
        <f t="shared" si="855"/>
        <v/>
      </c>
      <c r="Z2595" t="str">
        <f t="shared" si="856"/>
        <v/>
      </c>
      <c r="AC2595" t="str">
        <f t="shared" si="852"/>
        <v/>
      </c>
      <c r="AD2595" t="str">
        <f t="shared" si="853"/>
        <v/>
      </c>
      <c r="AE2595" t="str">
        <f t="shared" si="854"/>
        <v/>
      </c>
      <c r="AF2595" t="str">
        <f t="shared" si="857"/>
        <v/>
      </c>
      <c r="AG2595">
        <f t="shared" si="864"/>
        <v>18981</v>
      </c>
      <c r="AH2595" t="str">
        <f t="shared" si="865"/>
        <v>Nelson</v>
      </c>
      <c r="AI2595" t="str">
        <f t="shared" si="866"/>
        <v>Velodrome</v>
      </c>
      <c r="AJ2595" s="18">
        <f t="shared" si="858"/>
        <v>0</v>
      </c>
      <c r="AP2595" s="18">
        <f>SUMIFS(AJ$3:AJ2595,Q$3:Q2595,"=Intermission")+SUMIFS(AJ$3:AJ2595,Q$3:Q2595,"=Timeout")+SUMIFS(AJ$3:AJ2595,Q$3:Q2595,"=Clockstop")</f>
        <v>204</v>
      </c>
      <c r="AQ2595">
        <f t="shared" si="859"/>
        <v>2364</v>
      </c>
      <c r="AR2595" s="23">
        <f t="shared" si="860"/>
        <v>3444</v>
      </c>
      <c r="AS2595">
        <f t="shared" si="861"/>
        <v>3439</v>
      </c>
      <c r="AT2595" s="21">
        <f t="shared" si="862"/>
        <v>3444</v>
      </c>
      <c r="AU2595" s="21"/>
      <c r="AV2595" s="21"/>
      <c r="AW2595" s="21"/>
    </row>
    <row r="2596" spans="5:49" x14ac:dyDescent="0.2">
      <c r="E2596">
        <f t="shared" si="863"/>
        <v>3</v>
      </c>
      <c r="J2596">
        <f t="shared" si="868"/>
        <v>0</v>
      </c>
      <c r="K2596">
        <f t="shared" si="869"/>
        <v>0</v>
      </c>
      <c r="L2596" t="str">
        <f t="shared" si="870"/>
        <v/>
      </c>
      <c r="M2596" s="6" t="str">
        <f t="shared" si="871"/>
        <v/>
      </c>
      <c r="N2596" t="str">
        <f t="shared" si="867"/>
        <v/>
      </c>
      <c r="Y2596" t="str">
        <f t="shared" si="855"/>
        <v/>
      </c>
      <c r="Z2596" t="str">
        <f t="shared" si="856"/>
        <v/>
      </c>
      <c r="AC2596" t="str">
        <f t="shared" si="852"/>
        <v/>
      </c>
      <c r="AD2596" t="str">
        <f t="shared" si="853"/>
        <v/>
      </c>
      <c r="AE2596" t="str">
        <f t="shared" si="854"/>
        <v/>
      </c>
      <c r="AF2596" t="str">
        <f t="shared" si="857"/>
        <v/>
      </c>
      <c r="AG2596">
        <f t="shared" si="864"/>
        <v>18981</v>
      </c>
      <c r="AH2596" t="str">
        <f t="shared" si="865"/>
        <v>Nelson</v>
      </c>
      <c r="AI2596" t="str">
        <f t="shared" si="866"/>
        <v>Velodrome</v>
      </c>
      <c r="AJ2596" s="18">
        <f t="shared" si="858"/>
        <v>0</v>
      </c>
      <c r="AP2596" s="18">
        <f>SUMIFS(AJ$3:AJ2596,Q$3:Q2596,"=Intermission")+SUMIFS(AJ$3:AJ2596,Q$3:Q2596,"=Timeout")+SUMIFS(AJ$3:AJ2596,Q$3:Q2596,"=Clockstop")</f>
        <v>204</v>
      </c>
      <c r="AQ2596">
        <f t="shared" si="859"/>
        <v>2364</v>
      </c>
      <c r="AR2596" s="23">
        <f t="shared" si="860"/>
        <v>3444</v>
      </c>
      <c r="AS2596">
        <f t="shared" si="861"/>
        <v>3439</v>
      </c>
      <c r="AT2596" s="21">
        <f t="shared" si="862"/>
        <v>3444</v>
      </c>
      <c r="AU2596" s="21"/>
      <c r="AV2596" s="21"/>
      <c r="AW2596" s="21"/>
    </row>
    <row r="2597" spans="5:49" x14ac:dyDescent="0.2">
      <c r="E2597">
        <f t="shared" si="863"/>
        <v>3</v>
      </c>
      <c r="J2597">
        <f t="shared" si="868"/>
        <v>0</v>
      </c>
      <c r="K2597">
        <f t="shared" si="869"/>
        <v>0</v>
      </c>
      <c r="L2597" t="str">
        <f t="shared" si="870"/>
        <v/>
      </c>
      <c r="M2597" s="6" t="str">
        <f t="shared" si="871"/>
        <v/>
      </c>
      <c r="N2597" t="str">
        <f t="shared" si="867"/>
        <v/>
      </c>
      <c r="Y2597" t="str">
        <f t="shared" si="855"/>
        <v/>
      </c>
      <c r="Z2597" t="str">
        <f t="shared" si="856"/>
        <v/>
      </c>
      <c r="AC2597" t="str">
        <f t="shared" si="852"/>
        <v/>
      </c>
      <c r="AD2597" t="str">
        <f t="shared" si="853"/>
        <v/>
      </c>
      <c r="AE2597" t="str">
        <f t="shared" si="854"/>
        <v/>
      </c>
      <c r="AF2597" t="str">
        <f t="shared" si="857"/>
        <v/>
      </c>
      <c r="AG2597">
        <f t="shared" si="864"/>
        <v>18981</v>
      </c>
      <c r="AH2597" t="str">
        <f t="shared" si="865"/>
        <v>Nelson</v>
      </c>
      <c r="AI2597" t="str">
        <f t="shared" si="866"/>
        <v>Velodrome</v>
      </c>
      <c r="AJ2597" s="18">
        <f t="shared" si="858"/>
        <v>0</v>
      </c>
      <c r="AP2597" s="18">
        <f>SUMIFS(AJ$3:AJ2597,Q$3:Q2597,"=Intermission")+SUMIFS(AJ$3:AJ2597,Q$3:Q2597,"=Timeout")+SUMIFS(AJ$3:AJ2597,Q$3:Q2597,"=Clockstop")</f>
        <v>204</v>
      </c>
      <c r="AQ2597">
        <f t="shared" si="859"/>
        <v>2364</v>
      </c>
      <c r="AR2597" s="23">
        <f t="shared" si="860"/>
        <v>3444</v>
      </c>
      <c r="AS2597">
        <f t="shared" si="861"/>
        <v>3439</v>
      </c>
      <c r="AT2597" s="21">
        <f t="shared" si="862"/>
        <v>3444</v>
      </c>
      <c r="AU2597" s="21"/>
      <c r="AV2597" s="21"/>
      <c r="AW2597" s="21"/>
    </row>
    <row r="2598" spans="5:49" x14ac:dyDescent="0.2">
      <c r="E2598">
        <f t="shared" si="863"/>
        <v>3</v>
      </c>
      <c r="J2598">
        <f t="shared" si="868"/>
        <v>0</v>
      </c>
      <c r="K2598">
        <f t="shared" si="869"/>
        <v>0</v>
      </c>
      <c r="L2598" t="str">
        <f t="shared" si="870"/>
        <v/>
      </c>
      <c r="M2598" s="6" t="str">
        <f t="shared" si="871"/>
        <v/>
      </c>
      <c r="N2598" t="str">
        <f t="shared" si="867"/>
        <v/>
      </c>
      <c r="Y2598" t="str">
        <f t="shared" si="855"/>
        <v/>
      </c>
      <c r="Z2598" t="str">
        <f t="shared" si="856"/>
        <v/>
      </c>
      <c r="AC2598" t="str">
        <f t="shared" si="852"/>
        <v/>
      </c>
      <c r="AD2598" t="str">
        <f t="shared" si="853"/>
        <v/>
      </c>
      <c r="AE2598" t="str">
        <f t="shared" si="854"/>
        <v/>
      </c>
      <c r="AF2598" t="str">
        <f t="shared" si="857"/>
        <v/>
      </c>
      <c r="AG2598">
        <f t="shared" si="864"/>
        <v>18981</v>
      </c>
      <c r="AH2598" t="str">
        <f t="shared" si="865"/>
        <v>Nelson</v>
      </c>
      <c r="AI2598" t="str">
        <f t="shared" si="866"/>
        <v>Velodrome</v>
      </c>
      <c r="AJ2598" s="18">
        <f t="shared" si="858"/>
        <v>0</v>
      </c>
      <c r="AP2598" s="18">
        <f>SUMIFS(AJ$3:AJ2598,Q$3:Q2598,"=Intermission")+SUMIFS(AJ$3:AJ2598,Q$3:Q2598,"=Timeout")+SUMIFS(AJ$3:AJ2598,Q$3:Q2598,"=Clockstop")</f>
        <v>204</v>
      </c>
      <c r="AQ2598">
        <f t="shared" si="859"/>
        <v>2364</v>
      </c>
      <c r="AR2598" s="23">
        <f t="shared" si="860"/>
        <v>3444</v>
      </c>
      <c r="AS2598">
        <f t="shared" si="861"/>
        <v>3439</v>
      </c>
      <c r="AT2598" s="21">
        <f t="shared" si="862"/>
        <v>3444</v>
      </c>
      <c r="AU2598" s="21"/>
      <c r="AV2598" s="21"/>
      <c r="AW2598" s="21"/>
    </row>
    <row r="2599" spans="5:49" x14ac:dyDescent="0.2">
      <c r="E2599">
        <f t="shared" si="863"/>
        <v>3</v>
      </c>
      <c r="J2599">
        <f t="shared" si="868"/>
        <v>0</v>
      </c>
      <c r="K2599">
        <f t="shared" si="869"/>
        <v>0</v>
      </c>
      <c r="L2599" t="str">
        <f t="shared" si="870"/>
        <v/>
      </c>
      <c r="M2599" s="6" t="str">
        <f t="shared" si="871"/>
        <v/>
      </c>
      <c r="N2599" t="str">
        <f t="shared" si="867"/>
        <v/>
      </c>
      <c r="Y2599" t="str">
        <f t="shared" si="855"/>
        <v/>
      </c>
      <c r="Z2599" t="str">
        <f t="shared" si="856"/>
        <v/>
      </c>
      <c r="AC2599" t="str">
        <f t="shared" si="852"/>
        <v/>
      </c>
      <c r="AD2599" t="str">
        <f t="shared" si="853"/>
        <v/>
      </c>
      <c r="AE2599" t="str">
        <f t="shared" si="854"/>
        <v/>
      </c>
      <c r="AF2599" t="str">
        <f t="shared" si="857"/>
        <v/>
      </c>
      <c r="AG2599">
        <f t="shared" si="864"/>
        <v>18981</v>
      </c>
      <c r="AH2599" t="str">
        <f t="shared" si="865"/>
        <v>Nelson</v>
      </c>
      <c r="AI2599" t="str">
        <f t="shared" si="866"/>
        <v>Velodrome</v>
      </c>
      <c r="AJ2599" s="18">
        <f t="shared" si="858"/>
        <v>0</v>
      </c>
      <c r="AP2599" s="18">
        <f>SUMIFS(AJ$3:AJ2599,Q$3:Q2599,"=Intermission")+SUMIFS(AJ$3:AJ2599,Q$3:Q2599,"=Timeout")+SUMIFS(AJ$3:AJ2599,Q$3:Q2599,"=Clockstop")</f>
        <v>204</v>
      </c>
      <c r="AQ2599">
        <f t="shared" si="859"/>
        <v>2364</v>
      </c>
      <c r="AR2599" s="23">
        <f t="shared" si="860"/>
        <v>3444</v>
      </c>
      <c r="AS2599">
        <f t="shared" si="861"/>
        <v>3439</v>
      </c>
      <c r="AT2599" s="21">
        <f t="shared" si="862"/>
        <v>3444</v>
      </c>
      <c r="AU2599" s="21"/>
      <c r="AV2599" s="21"/>
      <c r="AW2599" s="21"/>
    </row>
    <row r="2600" spans="5:49" x14ac:dyDescent="0.2">
      <c r="E2600">
        <f t="shared" si="863"/>
        <v>3</v>
      </c>
      <c r="J2600">
        <f t="shared" si="868"/>
        <v>0</v>
      </c>
      <c r="K2600">
        <f t="shared" si="869"/>
        <v>0</v>
      </c>
      <c r="L2600" t="str">
        <f t="shared" si="870"/>
        <v/>
      </c>
      <c r="M2600" s="6" t="str">
        <f t="shared" si="871"/>
        <v/>
      </c>
      <c r="N2600" t="str">
        <f t="shared" si="867"/>
        <v/>
      </c>
      <c r="Y2600" t="str">
        <f t="shared" si="855"/>
        <v/>
      </c>
      <c r="Z2600" t="str">
        <f t="shared" si="856"/>
        <v/>
      </c>
      <c r="AC2600" t="str">
        <f t="shared" si="852"/>
        <v/>
      </c>
      <c r="AD2600" t="str">
        <f t="shared" si="853"/>
        <v/>
      </c>
      <c r="AE2600" t="str">
        <f t="shared" si="854"/>
        <v/>
      </c>
      <c r="AF2600" t="str">
        <f t="shared" si="857"/>
        <v/>
      </c>
      <c r="AG2600">
        <f t="shared" si="864"/>
        <v>18981</v>
      </c>
      <c r="AH2600" t="str">
        <f t="shared" si="865"/>
        <v>Nelson</v>
      </c>
      <c r="AI2600" t="str">
        <f t="shared" si="866"/>
        <v>Velodrome</v>
      </c>
      <c r="AJ2600" s="18">
        <f t="shared" si="858"/>
        <v>0</v>
      </c>
      <c r="AP2600" s="18">
        <f>SUMIFS(AJ$3:AJ2600,Q$3:Q2600,"=Intermission")+SUMIFS(AJ$3:AJ2600,Q$3:Q2600,"=Timeout")+SUMIFS(AJ$3:AJ2600,Q$3:Q2600,"=Clockstop")</f>
        <v>204</v>
      </c>
      <c r="AQ2600">
        <f t="shared" si="859"/>
        <v>2364</v>
      </c>
      <c r="AR2600" s="23">
        <f t="shared" si="860"/>
        <v>3444</v>
      </c>
      <c r="AS2600">
        <f t="shared" si="861"/>
        <v>3439</v>
      </c>
      <c r="AT2600" s="21">
        <f t="shared" si="862"/>
        <v>3444</v>
      </c>
      <c r="AU2600" s="21"/>
      <c r="AV2600" s="21"/>
      <c r="AW2600" s="21"/>
    </row>
    <row r="2601" spans="5:49" x14ac:dyDescent="0.2">
      <c r="AF2601" t="str">
        <f t="shared" si="857"/>
        <v/>
      </c>
      <c r="AJ2601" s="18">
        <f t="shared" si="858"/>
        <v>0</v>
      </c>
      <c r="AP2601" s="18">
        <f>SUMIFS(AJ$3:AJ2601,Q$3:Q2601,"=Intermission")+SUMIFS(AJ$3:AJ2601,Q$3:Q2601,"=Timeout")+SUMIFS(AJ$3:AJ2601,Q$3:Q2601,"=Clockstop")</f>
        <v>204</v>
      </c>
      <c r="AQ2601">
        <f t="shared" si="859"/>
        <v>0</v>
      </c>
      <c r="AR2601" s="23">
        <f t="shared" si="860"/>
        <v>1080</v>
      </c>
      <c r="AS2601">
        <f t="shared" si="861"/>
        <v>1075</v>
      </c>
      <c r="AT2601" s="21">
        <f t="shared" si="862"/>
        <v>1080</v>
      </c>
      <c r="AU2601" s="21"/>
      <c r="AV2601" s="21"/>
      <c r="AW2601" s="21"/>
    </row>
    <row r="2602" spans="5:49" x14ac:dyDescent="0.2">
      <c r="AF2602" t="str">
        <f t="shared" si="857"/>
        <v/>
      </c>
      <c r="AJ2602" s="18">
        <f t="shared" si="858"/>
        <v>0</v>
      </c>
      <c r="AP2602" s="18">
        <f>SUMIFS(AJ$3:AJ2602,Q$3:Q2602,"=Intermission")+SUMIFS(AJ$3:AJ2602,Q$3:Q2602,"=Timeout")+SUMIFS(AJ$3:AJ2602,Q$3:Q2602,"=Clockstop")</f>
        <v>204</v>
      </c>
      <c r="AQ2602">
        <f t="shared" si="859"/>
        <v>0</v>
      </c>
      <c r="AR2602" s="23">
        <f t="shared" si="860"/>
        <v>1080</v>
      </c>
      <c r="AS2602">
        <f t="shared" si="861"/>
        <v>1075</v>
      </c>
      <c r="AT2602" s="21">
        <f t="shared" si="862"/>
        <v>1080</v>
      </c>
      <c r="AU2602" s="21"/>
      <c r="AV2602" s="21"/>
      <c r="AW2602" s="21"/>
    </row>
    <row r="2603" spans="5:49" x14ac:dyDescent="0.2">
      <c r="AF2603" t="str">
        <f t="shared" si="857"/>
        <v/>
      </c>
      <c r="AJ2603" s="18">
        <f t="shared" si="858"/>
        <v>0</v>
      </c>
      <c r="AP2603" s="18">
        <f>SUMIFS(AJ$3:AJ2603,Q$3:Q2603,"=Intermission")+SUMIFS(AJ$3:AJ2603,Q$3:Q2603,"=Timeout")+SUMIFS(AJ$3:AJ2603,Q$3:Q2603,"=Clockstop")</f>
        <v>204</v>
      </c>
      <c r="AQ2603">
        <f t="shared" si="859"/>
        <v>0</v>
      </c>
      <c r="AR2603" s="23">
        <f t="shared" si="860"/>
        <v>1080</v>
      </c>
      <c r="AS2603">
        <f t="shared" si="861"/>
        <v>1075</v>
      </c>
      <c r="AT2603" s="21">
        <f t="shared" si="862"/>
        <v>1080</v>
      </c>
      <c r="AU2603" s="21"/>
      <c r="AV2603" s="21"/>
      <c r="AW2603" s="21"/>
    </row>
    <row r="2604" spans="5:49" x14ac:dyDescent="0.2">
      <c r="AF2604" t="str">
        <f t="shared" si="857"/>
        <v/>
      </c>
      <c r="AJ2604" s="18">
        <f t="shared" si="858"/>
        <v>0</v>
      </c>
      <c r="AP2604" s="18">
        <f>SUMIFS(AJ$3:AJ2604,Q$3:Q2604,"=Intermission")+SUMIFS(AJ$3:AJ2604,Q$3:Q2604,"=Timeout")+SUMIFS(AJ$3:AJ2604,Q$3:Q2604,"=Clockstop")</f>
        <v>204</v>
      </c>
      <c r="AQ2604">
        <f t="shared" si="859"/>
        <v>0</v>
      </c>
      <c r="AR2604" s="23">
        <f t="shared" si="860"/>
        <v>1080</v>
      </c>
      <c r="AS2604">
        <f t="shared" si="861"/>
        <v>1075</v>
      </c>
      <c r="AT2604" s="21">
        <f t="shared" si="862"/>
        <v>1080</v>
      </c>
      <c r="AU2604" s="21"/>
      <c r="AV2604" s="21"/>
      <c r="AW2604" s="21"/>
    </row>
    <row r="2605" spans="5:49" x14ac:dyDescent="0.2">
      <c r="AF2605" t="str">
        <f t="shared" si="857"/>
        <v/>
      </c>
      <c r="AJ2605" s="18">
        <f t="shared" si="858"/>
        <v>0</v>
      </c>
      <c r="AP2605" s="18">
        <f>SUMIFS(AJ$3:AJ2605,Q$3:Q2605,"=Intermission")+SUMIFS(AJ$3:AJ2605,Q$3:Q2605,"=Timeout")+SUMIFS(AJ$3:AJ2605,Q$3:Q2605,"=Clockstop")</f>
        <v>204</v>
      </c>
      <c r="AQ2605">
        <f t="shared" si="859"/>
        <v>0</v>
      </c>
      <c r="AR2605" s="23">
        <f t="shared" si="860"/>
        <v>1080</v>
      </c>
      <c r="AS2605">
        <f t="shared" si="861"/>
        <v>1075</v>
      </c>
      <c r="AT2605" s="21">
        <f t="shared" si="862"/>
        <v>1080</v>
      </c>
      <c r="AU2605" s="21"/>
      <c r="AV2605" s="21"/>
      <c r="AW2605" s="21"/>
    </row>
    <row r="2606" spans="5:49" x14ac:dyDescent="0.2">
      <c r="AF2606" t="str">
        <f t="shared" si="857"/>
        <v/>
      </c>
      <c r="AJ2606" s="18">
        <f t="shared" si="858"/>
        <v>0</v>
      </c>
      <c r="AP2606" s="18">
        <f>SUMIFS(AJ$3:AJ2606,Q$3:Q2606,"=Intermission")+SUMIFS(AJ$3:AJ2606,Q$3:Q2606,"=Timeout")+SUMIFS(AJ$3:AJ2606,Q$3:Q2606,"=Clockstop")</f>
        <v>204</v>
      </c>
      <c r="AQ2606">
        <f t="shared" si="859"/>
        <v>0</v>
      </c>
      <c r="AR2606" s="23">
        <f t="shared" si="860"/>
        <v>1080</v>
      </c>
      <c r="AS2606">
        <f t="shared" si="861"/>
        <v>1075</v>
      </c>
      <c r="AT2606" s="21">
        <f t="shared" si="862"/>
        <v>1080</v>
      </c>
      <c r="AU2606" s="21"/>
      <c r="AV2606" s="21"/>
      <c r="AW2606" s="21"/>
    </row>
    <row r="2607" spans="5:49" x14ac:dyDescent="0.2">
      <c r="AF2607" t="str">
        <f t="shared" si="857"/>
        <v/>
      </c>
      <c r="AJ2607" s="18">
        <f t="shared" si="858"/>
        <v>0</v>
      </c>
      <c r="AP2607" s="18">
        <f>SUMIFS(AJ$3:AJ2607,Q$3:Q2607,"=Intermission")+SUMIFS(AJ$3:AJ2607,Q$3:Q2607,"=Timeout")+SUMIFS(AJ$3:AJ2607,Q$3:Q2607,"=Clockstop")</f>
        <v>204</v>
      </c>
      <c r="AQ2607">
        <f t="shared" si="859"/>
        <v>0</v>
      </c>
      <c r="AR2607" s="23">
        <f t="shared" si="860"/>
        <v>1080</v>
      </c>
      <c r="AS2607">
        <f t="shared" si="861"/>
        <v>1075</v>
      </c>
      <c r="AT2607" s="21">
        <f t="shared" si="862"/>
        <v>1080</v>
      </c>
      <c r="AU2607" s="21"/>
      <c r="AV2607" s="21"/>
      <c r="AW2607" s="21"/>
    </row>
    <row r="2608" spans="5:49" x14ac:dyDescent="0.2">
      <c r="AF2608" t="str">
        <f t="shared" si="857"/>
        <v/>
      </c>
      <c r="AJ2608" s="18">
        <f t="shared" si="858"/>
        <v>0</v>
      </c>
      <c r="AP2608" s="18">
        <f>SUMIFS(AJ$3:AJ2608,Q$3:Q2608,"=Intermission")+SUMIFS(AJ$3:AJ2608,Q$3:Q2608,"=Timeout")+SUMIFS(AJ$3:AJ2608,Q$3:Q2608,"=Clockstop")</f>
        <v>204</v>
      </c>
      <c r="AQ2608">
        <f t="shared" si="859"/>
        <v>0</v>
      </c>
      <c r="AR2608" s="23">
        <f t="shared" si="860"/>
        <v>1080</v>
      </c>
      <c r="AS2608">
        <f t="shared" si="861"/>
        <v>1075</v>
      </c>
      <c r="AT2608" s="21">
        <f t="shared" si="862"/>
        <v>1080</v>
      </c>
      <c r="AU2608" s="21"/>
      <c r="AV2608" s="21"/>
      <c r="AW2608" s="21"/>
    </row>
    <row r="2609" spans="32:49" x14ac:dyDescent="0.2">
      <c r="AF2609" t="str">
        <f t="shared" si="857"/>
        <v/>
      </c>
      <c r="AJ2609" s="18">
        <f t="shared" si="858"/>
        <v>0</v>
      </c>
      <c r="AP2609" s="18">
        <f>SUMIFS(AJ$3:AJ2609,Q$3:Q2609,"=Intermission")+SUMIFS(AJ$3:AJ2609,Q$3:Q2609,"=Timeout")+SUMIFS(AJ$3:AJ2609,Q$3:Q2609,"=Clockstop")</f>
        <v>204</v>
      </c>
      <c r="AQ2609">
        <f t="shared" si="859"/>
        <v>0</v>
      </c>
      <c r="AR2609" s="23">
        <f t="shared" si="860"/>
        <v>1080</v>
      </c>
      <c r="AS2609">
        <f t="shared" si="861"/>
        <v>1075</v>
      </c>
      <c r="AT2609" s="21">
        <f t="shared" si="862"/>
        <v>1080</v>
      </c>
      <c r="AU2609" s="21"/>
      <c r="AV2609" s="21"/>
      <c r="AW2609" s="21"/>
    </row>
    <row r="2610" spans="32:49" x14ac:dyDescent="0.2">
      <c r="AF2610" t="str">
        <f t="shared" si="857"/>
        <v/>
      </c>
      <c r="AJ2610" s="18">
        <f t="shared" si="858"/>
        <v>0</v>
      </c>
      <c r="AP2610" s="18">
        <f>SUMIFS(AJ$3:AJ2610,Q$3:Q2610,"=Intermission")+SUMIFS(AJ$3:AJ2610,Q$3:Q2610,"=Timeout")+SUMIFS(AJ$3:AJ2610,Q$3:Q2610,"=Clockstop")</f>
        <v>204</v>
      </c>
      <c r="AQ2610">
        <f t="shared" si="859"/>
        <v>0</v>
      </c>
      <c r="AR2610" s="23">
        <f t="shared" si="860"/>
        <v>1080</v>
      </c>
      <c r="AS2610">
        <f t="shared" si="861"/>
        <v>1075</v>
      </c>
      <c r="AT2610" s="21">
        <f t="shared" si="862"/>
        <v>1080</v>
      </c>
      <c r="AU2610" s="21"/>
      <c r="AV2610" s="21"/>
      <c r="AW2610" s="21"/>
    </row>
    <row r="2611" spans="32:49" x14ac:dyDescent="0.2">
      <c r="AF2611" t="str">
        <f t="shared" si="857"/>
        <v/>
      </c>
      <c r="AJ2611" s="18">
        <f t="shared" si="858"/>
        <v>0</v>
      </c>
      <c r="AP2611" s="18">
        <f>SUMIFS(AJ$3:AJ2611,Q$3:Q2611,"=Intermission")+SUMIFS(AJ$3:AJ2611,Q$3:Q2611,"=Timeout")+SUMIFS(AJ$3:AJ2611,Q$3:Q2611,"=Clockstop")</f>
        <v>204</v>
      </c>
      <c r="AQ2611">
        <f t="shared" si="859"/>
        <v>0</v>
      </c>
      <c r="AR2611" s="23">
        <f t="shared" si="860"/>
        <v>1080</v>
      </c>
      <c r="AS2611">
        <f t="shared" si="861"/>
        <v>1075</v>
      </c>
      <c r="AT2611" s="21">
        <f t="shared" si="862"/>
        <v>1080</v>
      </c>
      <c r="AU2611" s="21"/>
      <c r="AV2611" s="21"/>
      <c r="AW2611" s="21"/>
    </row>
    <row r="2612" spans="32:49" x14ac:dyDescent="0.2">
      <c r="AF2612" t="str">
        <f t="shared" si="857"/>
        <v/>
      </c>
      <c r="AJ2612" s="18">
        <f t="shared" si="858"/>
        <v>0</v>
      </c>
      <c r="AP2612" s="18">
        <f>SUMIFS(AJ$3:AJ2612,Q$3:Q2612,"=Intermission")+SUMIFS(AJ$3:AJ2612,Q$3:Q2612,"=Timeout")+SUMIFS(AJ$3:AJ2612,Q$3:Q2612,"=Clockstop")</f>
        <v>204</v>
      </c>
      <c r="AQ2612">
        <f t="shared" si="859"/>
        <v>0</v>
      </c>
      <c r="AR2612" s="23">
        <f t="shared" si="860"/>
        <v>1080</v>
      </c>
      <c r="AS2612">
        <f t="shared" si="861"/>
        <v>1075</v>
      </c>
      <c r="AT2612" s="21">
        <f t="shared" si="862"/>
        <v>1080</v>
      </c>
      <c r="AU2612" s="21"/>
      <c r="AV2612" s="21"/>
      <c r="AW2612" s="21"/>
    </row>
    <row r="2613" spans="32:49" x14ac:dyDescent="0.2">
      <c r="AF2613" t="str">
        <f t="shared" si="857"/>
        <v/>
      </c>
      <c r="AJ2613" s="18">
        <f t="shared" si="858"/>
        <v>0</v>
      </c>
      <c r="AP2613" s="18">
        <f>SUMIFS(AJ$3:AJ2613,Q$3:Q2613,"=Intermission")+SUMIFS(AJ$3:AJ2613,Q$3:Q2613,"=Timeout")+SUMIFS(AJ$3:AJ2613,Q$3:Q2613,"=Clockstop")</f>
        <v>204</v>
      </c>
      <c r="AQ2613">
        <f t="shared" si="859"/>
        <v>0</v>
      </c>
      <c r="AR2613" s="23">
        <f t="shared" si="860"/>
        <v>1080</v>
      </c>
      <c r="AS2613">
        <f t="shared" si="861"/>
        <v>1075</v>
      </c>
      <c r="AT2613" s="21">
        <f t="shared" si="862"/>
        <v>1080</v>
      </c>
      <c r="AU2613" s="21"/>
      <c r="AV2613" s="21"/>
      <c r="AW2613" s="21"/>
    </row>
    <row r="2614" spans="32:49" x14ac:dyDescent="0.2">
      <c r="AF2614" t="str">
        <f t="shared" si="857"/>
        <v/>
      </c>
      <c r="AJ2614" s="18">
        <f t="shared" si="858"/>
        <v>0</v>
      </c>
      <c r="AP2614" s="18">
        <f>SUMIFS(AJ$3:AJ2614,Q$3:Q2614,"=Intermission")+SUMIFS(AJ$3:AJ2614,Q$3:Q2614,"=Timeout")+SUMIFS(AJ$3:AJ2614,Q$3:Q2614,"=Clockstop")</f>
        <v>204</v>
      </c>
      <c r="AQ2614">
        <f t="shared" si="859"/>
        <v>0</v>
      </c>
      <c r="AR2614" s="23">
        <f t="shared" si="860"/>
        <v>1080</v>
      </c>
      <c r="AS2614">
        <f t="shared" si="861"/>
        <v>1075</v>
      </c>
      <c r="AT2614" s="21">
        <f t="shared" si="862"/>
        <v>1080</v>
      </c>
      <c r="AU2614" s="21"/>
      <c r="AV2614" s="21"/>
      <c r="AW2614" s="21"/>
    </row>
    <row r="2615" spans="32:49" x14ac:dyDescent="0.2">
      <c r="AF2615" t="str">
        <f t="shared" si="857"/>
        <v/>
      </c>
      <c r="AJ2615" s="18">
        <f t="shared" si="858"/>
        <v>0</v>
      </c>
      <c r="AP2615" s="18">
        <f>SUMIFS(AJ$3:AJ2615,Q$3:Q2615,"=Intermission")+SUMIFS(AJ$3:AJ2615,Q$3:Q2615,"=Timeout")+SUMIFS(AJ$3:AJ2615,Q$3:Q2615,"=Clockstop")</f>
        <v>204</v>
      </c>
      <c r="AQ2615">
        <f t="shared" si="859"/>
        <v>0</v>
      </c>
      <c r="AR2615" s="23">
        <f t="shared" si="860"/>
        <v>1080</v>
      </c>
      <c r="AS2615">
        <f t="shared" si="861"/>
        <v>1075</v>
      </c>
      <c r="AT2615" s="21">
        <f t="shared" si="862"/>
        <v>1080</v>
      </c>
      <c r="AU2615" s="21"/>
      <c r="AV2615" s="21"/>
      <c r="AW2615" s="21"/>
    </row>
    <row r="2616" spans="32:49" x14ac:dyDescent="0.2">
      <c r="AF2616" t="str">
        <f t="shared" si="857"/>
        <v/>
      </c>
      <c r="AJ2616" s="18">
        <f t="shared" si="858"/>
        <v>0</v>
      </c>
      <c r="AP2616" s="18">
        <f>SUMIFS(AJ$3:AJ2616,Q$3:Q2616,"=Intermission")+SUMIFS(AJ$3:AJ2616,Q$3:Q2616,"=Timeout")+SUMIFS(AJ$3:AJ2616,Q$3:Q2616,"=Clockstop")</f>
        <v>204</v>
      </c>
      <c r="AQ2616">
        <f t="shared" si="859"/>
        <v>0</v>
      </c>
      <c r="AR2616" s="23">
        <f t="shared" si="860"/>
        <v>1080</v>
      </c>
      <c r="AS2616">
        <f t="shared" si="861"/>
        <v>1075</v>
      </c>
      <c r="AT2616" s="21">
        <f t="shared" si="862"/>
        <v>1080</v>
      </c>
      <c r="AU2616" s="21"/>
      <c r="AV2616" s="21"/>
      <c r="AW2616" s="21"/>
    </row>
    <row r="2617" spans="32:49" x14ac:dyDescent="0.2">
      <c r="AF2617" t="str">
        <f t="shared" si="857"/>
        <v/>
      </c>
      <c r="AJ2617" s="18">
        <f t="shared" si="858"/>
        <v>0</v>
      </c>
      <c r="AP2617" s="18">
        <f>SUMIFS(AJ$3:AJ2617,Q$3:Q2617,"=Intermission")+SUMIFS(AJ$3:AJ2617,Q$3:Q2617,"=Timeout")+SUMIFS(AJ$3:AJ2617,Q$3:Q2617,"=Clockstop")</f>
        <v>204</v>
      </c>
      <c r="AQ2617">
        <f t="shared" si="859"/>
        <v>0</v>
      </c>
      <c r="AR2617" s="23">
        <f t="shared" si="860"/>
        <v>1080</v>
      </c>
      <c r="AS2617">
        <f t="shared" si="861"/>
        <v>1075</v>
      </c>
      <c r="AT2617" s="21">
        <f t="shared" si="862"/>
        <v>1080</v>
      </c>
      <c r="AU2617" s="21"/>
      <c r="AV2617" s="21"/>
      <c r="AW2617" s="21"/>
    </row>
    <row r="2618" spans="32:49" x14ac:dyDescent="0.2">
      <c r="AF2618" t="str">
        <f t="shared" si="857"/>
        <v/>
      </c>
      <c r="AJ2618" s="18">
        <f t="shared" si="858"/>
        <v>0</v>
      </c>
      <c r="AP2618" s="18">
        <f>SUMIFS(AJ$3:AJ2618,Q$3:Q2618,"=Intermission")+SUMIFS(AJ$3:AJ2618,Q$3:Q2618,"=Timeout")+SUMIFS(AJ$3:AJ2618,Q$3:Q2618,"=Clockstop")</f>
        <v>204</v>
      </c>
      <c r="AQ2618">
        <f t="shared" si="859"/>
        <v>0</v>
      </c>
      <c r="AR2618" s="23">
        <f t="shared" si="860"/>
        <v>1080</v>
      </c>
      <c r="AS2618">
        <f t="shared" si="861"/>
        <v>1075</v>
      </c>
      <c r="AT2618" s="21">
        <f t="shared" si="862"/>
        <v>1080</v>
      </c>
      <c r="AU2618" s="21"/>
      <c r="AV2618" s="21"/>
      <c r="AW2618" s="21"/>
    </row>
    <row r="2619" spans="32:49" x14ac:dyDescent="0.2">
      <c r="AF2619" t="str">
        <f t="shared" si="857"/>
        <v/>
      </c>
      <c r="AJ2619" s="18">
        <f t="shared" si="858"/>
        <v>0</v>
      </c>
      <c r="AP2619" s="18">
        <f>SUMIFS(AJ$3:AJ2619,Q$3:Q2619,"=Intermission")+SUMIFS(AJ$3:AJ2619,Q$3:Q2619,"=Timeout")+SUMIFS(AJ$3:AJ2619,Q$3:Q2619,"=Clockstop")</f>
        <v>204</v>
      </c>
      <c r="AQ2619">
        <f t="shared" si="859"/>
        <v>0</v>
      </c>
      <c r="AR2619" s="23">
        <f t="shared" si="860"/>
        <v>1080</v>
      </c>
      <c r="AS2619">
        <f t="shared" si="861"/>
        <v>1075</v>
      </c>
      <c r="AT2619" s="21">
        <f t="shared" si="862"/>
        <v>1080</v>
      </c>
      <c r="AU2619" s="21"/>
      <c r="AV2619" s="21"/>
      <c r="AW2619" s="21"/>
    </row>
    <row r="2620" spans="32:49" x14ac:dyDescent="0.2">
      <c r="AF2620" t="str">
        <f t="shared" si="857"/>
        <v/>
      </c>
      <c r="AJ2620" s="18">
        <f t="shared" si="858"/>
        <v>0</v>
      </c>
      <c r="AP2620" s="18">
        <f>SUMIFS(AJ$3:AJ2620,Q$3:Q2620,"=Intermission")+SUMIFS(AJ$3:AJ2620,Q$3:Q2620,"=Timeout")+SUMIFS(AJ$3:AJ2620,Q$3:Q2620,"=Clockstop")</f>
        <v>204</v>
      </c>
      <c r="AQ2620">
        <f t="shared" si="859"/>
        <v>0</v>
      </c>
      <c r="AR2620" s="23">
        <f t="shared" si="860"/>
        <v>1080</v>
      </c>
      <c r="AS2620">
        <f t="shared" si="861"/>
        <v>1075</v>
      </c>
      <c r="AT2620" s="21">
        <f t="shared" si="862"/>
        <v>1080</v>
      </c>
      <c r="AU2620" s="21"/>
      <c r="AV2620" s="21"/>
      <c r="AW2620" s="21"/>
    </row>
    <row r="2621" spans="32:49" x14ac:dyDescent="0.2">
      <c r="AF2621" t="str">
        <f t="shared" si="857"/>
        <v/>
      </c>
      <c r="AJ2621" s="18">
        <f t="shared" si="858"/>
        <v>0</v>
      </c>
      <c r="AP2621" s="18">
        <f>SUMIFS(AJ$3:AJ2621,Q$3:Q2621,"=Intermission")+SUMIFS(AJ$3:AJ2621,Q$3:Q2621,"=Timeout")+SUMIFS(AJ$3:AJ2621,Q$3:Q2621,"=Clockstop")</f>
        <v>204</v>
      </c>
      <c r="AQ2621">
        <f t="shared" si="859"/>
        <v>0</v>
      </c>
      <c r="AR2621" s="23">
        <f t="shared" si="860"/>
        <v>1080</v>
      </c>
      <c r="AS2621">
        <f t="shared" si="861"/>
        <v>1075</v>
      </c>
      <c r="AT2621" s="21">
        <f t="shared" si="862"/>
        <v>1080</v>
      </c>
      <c r="AU2621" s="21"/>
      <c r="AV2621" s="21"/>
      <c r="AW2621" s="21"/>
    </row>
    <row r="2622" spans="32:49" x14ac:dyDescent="0.2">
      <c r="AF2622" t="str">
        <f t="shared" si="857"/>
        <v/>
      </c>
      <c r="AJ2622" s="18">
        <f t="shared" si="858"/>
        <v>0</v>
      </c>
      <c r="AP2622" s="18">
        <f>SUMIFS(AJ$3:AJ2622,Q$3:Q2622,"=Intermission")+SUMIFS(AJ$3:AJ2622,Q$3:Q2622,"=Timeout")+SUMIFS(AJ$3:AJ2622,Q$3:Q2622,"=Clockstop")</f>
        <v>204</v>
      </c>
      <c r="AQ2622">
        <f t="shared" si="859"/>
        <v>0</v>
      </c>
      <c r="AR2622" s="23">
        <f t="shared" si="860"/>
        <v>1080</v>
      </c>
      <c r="AS2622">
        <f t="shared" si="861"/>
        <v>1075</v>
      </c>
      <c r="AT2622" s="21">
        <f t="shared" si="862"/>
        <v>1080</v>
      </c>
      <c r="AU2622" s="21"/>
      <c r="AV2622" s="21"/>
      <c r="AW2622" s="21"/>
    </row>
    <row r="2623" spans="32:49" x14ac:dyDescent="0.2">
      <c r="AF2623" t="str">
        <f t="shared" si="857"/>
        <v/>
      </c>
      <c r="AJ2623" s="18">
        <f t="shared" si="858"/>
        <v>0</v>
      </c>
      <c r="AP2623" s="18">
        <f>SUMIFS(AJ$3:AJ2623,Q$3:Q2623,"=Intermission")+SUMIFS(AJ$3:AJ2623,Q$3:Q2623,"=Timeout")+SUMIFS(AJ$3:AJ2623,Q$3:Q2623,"=Clockstop")</f>
        <v>204</v>
      </c>
      <c r="AQ2623">
        <f t="shared" si="859"/>
        <v>0</v>
      </c>
      <c r="AR2623" s="23">
        <f t="shared" si="860"/>
        <v>1080</v>
      </c>
      <c r="AS2623">
        <f t="shared" si="861"/>
        <v>1075</v>
      </c>
      <c r="AT2623" s="21">
        <f t="shared" si="862"/>
        <v>1080</v>
      </c>
      <c r="AU2623" s="21"/>
      <c r="AV2623" s="21"/>
      <c r="AW2623" s="21"/>
    </row>
    <row r="2624" spans="32:49" x14ac:dyDescent="0.2">
      <c r="AF2624" t="str">
        <f t="shared" si="857"/>
        <v/>
      </c>
      <c r="AJ2624" s="18">
        <f t="shared" si="858"/>
        <v>0</v>
      </c>
      <c r="AP2624" s="18">
        <f>SUMIFS(AJ$3:AJ2624,Q$3:Q2624,"=Intermission")+SUMIFS(AJ$3:AJ2624,Q$3:Q2624,"=Timeout")+SUMIFS(AJ$3:AJ2624,Q$3:Q2624,"=Clockstop")</f>
        <v>204</v>
      </c>
      <c r="AQ2624">
        <f t="shared" si="859"/>
        <v>0</v>
      </c>
      <c r="AR2624" s="23">
        <f t="shared" si="860"/>
        <v>1080</v>
      </c>
      <c r="AS2624">
        <f t="shared" si="861"/>
        <v>1075</v>
      </c>
      <c r="AT2624" s="21">
        <f t="shared" si="862"/>
        <v>1080</v>
      </c>
      <c r="AU2624" s="21"/>
      <c r="AV2624" s="21"/>
      <c r="AW2624" s="21"/>
    </row>
    <row r="2625" spans="32:49" x14ac:dyDescent="0.2">
      <c r="AF2625" t="str">
        <f t="shared" si="857"/>
        <v/>
      </c>
      <c r="AJ2625" s="18">
        <f t="shared" si="858"/>
        <v>0</v>
      </c>
      <c r="AP2625" s="18">
        <f>SUMIFS(AJ$3:AJ2625,Q$3:Q2625,"=Intermission")+SUMIFS(AJ$3:AJ2625,Q$3:Q2625,"=Timeout")+SUMIFS(AJ$3:AJ2625,Q$3:Q2625,"=Clockstop")</f>
        <v>204</v>
      </c>
      <c r="AQ2625">
        <f t="shared" si="859"/>
        <v>0</v>
      </c>
      <c r="AR2625" s="23">
        <f t="shared" si="860"/>
        <v>1080</v>
      </c>
      <c r="AS2625">
        <f t="shared" si="861"/>
        <v>1075</v>
      </c>
      <c r="AT2625" s="21">
        <f t="shared" si="862"/>
        <v>1080</v>
      </c>
      <c r="AU2625" s="21"/>
      <c r="AV2625" s="21"/>
      <c r="AW2625" s="21"/>
    </row>
    <row r="2626" spans="32:49" x14ac:dyDescent="0.2">
      <c r="AF2626" t="str">
        <f t="shared" si="857"/>
        <v/>
      </c>
      <c r="AJ2626" s="18">
        <f t="shared" si="858"/>
        <v>0</v>
      </c>
      <c r="AP2626" s="18">
        <f>SUMIFS(AJ$3:AJ2626,Q$3:Q2626,"=Intermission")+SUMIFS(AJ$3:AJ2626,Q$3:Q2626,"=Timeout")+SUMIFS(AJ$3:AJ2626,Q$3:Q2626,"=Clockstop")</f>
        <v>204</v>
      </c>
      <c r="AQ2626">
        <f t="shared" si="859"/>
        <v>0</v>
      </c>
      <c r="AR2626" s="23">
        <f t="shared" si="860"/>
        <v>1080</v>
      </c>
      <c r="AS2626">
        <f t="shared" si="861"/>
        <v>1075</v>
      </c>
      <c r="AT2626" s="21">
        <f t="shared" si="862"/>
        <v>1080</v>
      </c>
      <c r="AU2626" s="21"/>
      <c r="AV2626" s="21"/>
      <c r="AW2626" s="21"/>
    </row>
    <row r="2627" spans="32:49" x14ac:dyDescent="0.2">
      <c r="AF2627" t="str">
        <f t="shared" ref="AF2627:AF2638" si="872">IF(AND(P2627="e",OR(AC2627="Save",AD2627="Turnover_Takeaway",AD2627="Play_Defensive")),"Defensive",IF(AND(P2627="o",OR(AC2627="Save",AD2627="Turnover_Takeaway",AD2627="Play_Defensive")),"Offensive",IF(OR(AC2627="Deadice",AC2627="Stoppage",AC2627="Intermission"),"",IF(P2627="e","Offensive",IF(P2627="o","Defensive","")))))</f>
        <v/>
      </c>
      <c r="AJ2627" s="18">
        <f t="shared" ref="AJ2627:AJ2638" si="873">IF(AND(L2627="",M2627=""),0,((J2627*60)+K2627)-((L2627*60)+M2627))</f>
        <v>0</v>
      </c>
      <c r="AP2627" s="18">
        <f>SUMIFS(AJ$3:AJ2627,Q$3:Q2627,"=Intermission")+SUMIFS(AJ$3:AJ2627,Q$3:Q2627,"=Timeout")+SUMIFS(AJ$3:AJ2627,Q$3:Q2627,"=Clockstop")</f>
        <v>204</v>
      </c>
      <c r="AQ2627">
        <f t="shared" ref="AQ2627:AQ2690" si="874">IF(E2627=1,0,IF(E2627=2,1080+AP2627,IF(E2627=3,(1080*2)+AP2627,0)))</f>
        <v>0</v>
      </c>
      <c r="AR2627" s="23">
        <f t="shared" ref="AR2627:AR2690" si="875">IF(Q2627="Intermission",AR2626,((1080)-((J2627*60)+K2627))+AQ2627)</f>
        <v>1080</v>
      </c>
      <c r="AS2627">
        <f t="shared" ref="AS2627:AS2638" si="876">IF(AR2627&lt;5,0,AR2627-5)</f>
        <v>1075</v>
      </c>
      <c r="AT2627" s="21">
        <f t="shared" ref="AT2627:AT2638" si="877">AS2627+AJ2627+5</f>
        <v>1080</v>
      </c>
      <c r="AU2627" s="21"/>
      <c r="AV2627" s="21"/>
      <c r="AW2627" s="21"/>
    </row>
    <row r="2628" spans="32:49" x14ac:dyDescent="0.2">
      <c r="AF2628" t="str">
        <f t="shared" si="872"/>
        <v/>
      </c>
      <c r="AJ2628" s="18">
        <f t="shared" si="873"/>
        <v>0</v>
      </c>
      <c r="AP2628" s="18">
        <f>SUMIFS(AJ$3:AJ2628,Q$3:Q2628,"=Intermission")+SUMIFS(AJ$3:AJ2628,Q$3:Q2628,"=Timeout")+SUMIFS(AJ$3:AJ2628,Q$3:Q2628,"=Clockstop")</f>
        <v>204</v>
      </c>
      <c r="AQ2628">
        <f t="shared" si="874"/>
        <v>0</v>
      </c>
      <c r="AR2628" s="23">
        <f t="shared" si="875"/>
        <v>1080</v>
      </c>
      <c r="AS2628">
        <f t="shared" si="876"/>
        <v>1075</v>
      </c>
      <c r="AT2628" s="21">
        <f t="shared" si="877"/>
        <v>1080</v>
      </c>
      <c r="AU2628" s="21"/>
      <c r="AV2628" s="21"/>
      <c r="AW2628" s="21"/>
    </row>
    <row r="2629" spans="32:49" x14ac:dyDescent="0.2">
      <c r="AF2629" t="str">
        <f t="shared" si="872"/>
        <v/>
      </c>
      <c r="AJ2629" s="18">
        <f t="shared" si="873"/>
        <v>0</v>
      </c>
      <c r="AP2629" s="18">
        <f>SUMIFS(AJ$3:AJ2629,Q$3:Q2629,"=Intermission")+SUMIFS(AJ$3:AJ2629,Q$3:Q2629,"=Timeout")+SUMIFS(AJ$3:AJ2629,Q$3:Q2629,"=Clockstop")</f>
        <v>204</v>
      </c>
      <c r="AQ2629">
        <f t="shared" si="874"/>
        <v>0</v>
      </c>
      <c r="AR2629" s="23">
        <f t="shared" si="875"/>
        <v>1080</v>
      </c>
      <c r="AS2629">
        <f t="shared" si="876"/>
        <v>1075</v>
      </c>
      <c r="AT2629" s="21">
        <f t="shared" si="877"/>
        <v>1080</v>
      </c>
      <c r="AU2629" s="21"/>
      <c r="AV2629" s="21"/>
      <c r="AW2629" s="21"/>
    </row>
    <row r="2630" spans="32:49" x14ac:dyDescent="0.2">
      <c r="AF2630" t="str">
        <f t="shared" si="872"/>
        <v/>
      </c>
      <c r="AJ2630" s="18">
        <f t="shared" si="873"/>
        <v>0</v>
      </c>
      <c r="AP2630" s="18">
        <f>SUMIFS(AJ$3:AJ2630,Q$3:Q2630,"=Intermission")+SUMIFS(AJ$3:AJ2630,Q$3:Q2630,"=Timeout")+SUMIFS(AJ$3:AJ2630,Q$3:Q2630,"=Clockstop")</f>
        <v>204</v>
      </c>
      <c r="AQ2630">
        <f t="shared" si="874"/>
        <v>0</v>
      </c>
      <c r="AR2630" s="23">
        <f t="shared" si="875"/>
        <v>1080</v>
      </c>
      <c r="AS2630">
        <f t="shared" si="876"/>
        <v>1075</v>
      </c>
      <c r="AT2630" s="21">
        <f t="shared" si="877"/>
        <v>1080</v>
      </c>
      <c r="AU2630" s="21"/>
      <c r="AV2630" s="21"/>
      <c r="AW2630" s="21"/>
    </row>
    <row r="2631" spans="32:49" x14ac:dyDescent="0.2">
      <c r="AF2631" t="str">
        <f t="shared" si="872"/>
        <v/>
      </c>
      <c r="AJ2631" s="18">
        <f t="shared" si="873"/>
        <v>0</v>
      </c>
      <c r="AP2631" s="18">
        <f>SUMIFS(AJ$3:AJ2631,Q$3:Q2631,"=Intermission")+SUMIFS(AJ$3:AJ2631,Q$3:Q2631,"=Timeout")+SUMIFS(AJ$3:AJ2631,Q$3:Q2631,"=Clockstop")</f>
        <v>204</v>
      </c>
      <c r="AQ2631">
        <f t="shared" si="874"/>
        <v>0</v>
      </c>
      <c r="AR2631" s="23">
        <f t="shared" si="875"/>
        <v>1080</v>
      </c>
      <c r="AS2631">
        <f t="shared" si="876"/>
        <v>1075</v>
      </c>
      <c r="AT2631" s="21">
        <f t="shared" si="877"/>
        <v>1080</v>
      </c>
      <c r="AU2631" s="21"/>
      <c r="AV2631" s="21"/>
      <c r="AW2631" s="21"/>
    </row>
    <row r="2632" spans="32:49" x14ac:dyDescent="0.2">
      <c r="AF2632" t="str">
        <f t="shared" si="872"/>
        <v/>
      </c>
      <c r="AJ2632" s="18">
        <f t="shared" si="873"/>
        <v>0</v>
      </c>
      <c r="AP2632" s="18">
        <f>SUMIFS(AJ$3:AJ2632,Q$3:Q2632,"=Intermission")+SUMIFS(AJ$3:AJ2632,Q$3:Q2632,"=Timeout")+SUMIFS(AJ$3:AJ2632,Q$3:Q2632,"=Clockstop")</f>
        <v>204</v>
      </c>
      <c r="AQ2632">
        <f t="shared" si="874"/>
        <v>0</v>
      </c>
      <c r="AR2632" s="23">
        <f t="shared" si="875"/>
        <v>1080</v>
      </c>
      <c r="AS2632">
        <f t="shared" si="876"/>
        <v>1075</v>
      </c>
      <c r="AT2632" s="21">
        <f t="shared" si="877"/>
        <v>1080</v>
      </c>
      <c r="AU2632" s="21"/>
      <c r="AV2632" s="21"/>
      <c r="AW2632" s="21"/>
    </row>
    <row r="2633" spans="32:49" x14ac:dyDescent="0.2">
      <c r="AF2633" t="str">
        <f t="shared" si="872"/>
        <v/>
      </c>
      <c r="AJ2633" s="18">
        <f t="shared" si="873"/>
        <v>0</v>
      </c>
      <c r="AP2633" s="18">
        <f>SUMIFS(AJ$3:AJ2633,Q$3:Q2633,"=Intermission")+SUMIFS(AJ$3:AJ2633,Q$3:Q2633,"=Timeout")+SUMIFS(AJ$3:AJ2633,Q$3:Q2633,"=Clockstop")</f>
        <v>204</v>
      </c>
      <c r="AQ2633">
        <f t="shared" si="874"/>
        <v>0</v>
      </c>
      <c r="AR2633" s="23">
        <f t="shared" si="875"/>
        <v>1080</v>
      </c>
      <c r="AS2633">
        <f t="shared" si="876"/>
        <v>1075</v>
      </c>
      <c r="AT2633" s="21">
        <f t="shared" si="877"/>
        <v>1080</v>
      </c>
      <c r="AU2633" s="21"/>
      <c r="AV2633" s="21"/>
      <c r="AW2633" s="21"/>
    </row>
    <row r="2634" spans="32:49" x14ac:dyDescent="0.2">
      <c r="AF2634" t="str">
        <f t="shared" si="872"/>
        <v/>
      </c>
      <c r="AJ2634" s="18">
        <f t="shared" si="873"/>
        <v>0</v>
      </c>
      <c r="AP2634" s="18">
        <f>SUMIFS(AJ$3:AJ2634,Q$3:Q2634,"=Intermission")+SUMIFS(AJ$3:AJ2634,Q$3:Q2634,"=Timeout")+SUMIFS(AJ$3:AJ2634,Q$3:Q2634,"=Clockstop")</f>
        <v>204</v>
      </c>
      <c r="AQ2634">
        <f t="shared" si="874"/>
        <v>0</v>
      </c>
      <c r="AR2634" s="23">
        <f t="shared" si="875"/>
        <v>1080</v>
      </c>
      <c r="AS2634">
        <f t="shared" si="876"/>
        <v>1075</v>
      </c>
      <c r="AT2634" s="21">
        <f t="shared" si="877"/>
        <v>1080</v>
      </c>
      <c r="AU2634" s="21"/>
      <c r="AV2634" s="21"/>
      <c r="AW2634" s="21"/>
    </row>
    <row r="2635" spans="32:49" x14ac:dyDescent="0.2">
      <c r="AF2635" t="str">
        <f t="shared" si="872"/>
        <v/>
      </c>
      <c r="AJ2635" s="18">
        <f t="shared" si="873"/>
        <v>0</v>
      </c>
      <c r="AP2635" s="18">
        <f>SUMIFS(AJ$3:AJ2635,Q$3:Q2635,"=Intermission")+SUMIFS(AJ$3:AJ2635,Q$3:Q2635,"=Timeout")+SUMIFS(AJ$3:AJ2635,Q$3:Q2635,"=Clockstop")</f>
        <v>204</v>
      </c>
      <c r="AQ2635">
        <f t="shared" si="874"/>
        <v>0</v>
      </c>
      <c r="AR2635" s="23">
        <f t="shared" si="875"/>
        <v>1080</v>
      </c>
      <c r="AS2635">
        <f t="shared" si="876"/>
        <v>1075</v>
      </c>
      <c r="AT2635" s="21">
        <f t="shared" si="877"/>
        <v>1080</v>
      </c>
      <c r="AU2635" s="21"/>
      <c r="AV2635" s="21"/>
      <c r="AW2635" s="21"/>
    </row>
    <row r="2636" spans="32:49" x14ac:dyDescent="0.2">
      <c r="AF2636" t="str">
        <f t="shared" si="872"/>
        <v/>
      </c>
      <c r="AJ2636" s="18">
        <f t="shared" si="873"/>
        <v>0</v>
      </c>
      <c r="AP2636" s="18">
        <f>SUMIFS(AJ$3:AJ2636,Q$3:Q2636,"=Intermission")+SUMIFS(AJ$3:AJ2636,Q$3:Q2636,"=Timeout")+SUMIFS(AJ$3:AJ2636,Q$3:Q2636,"=Clockstop")</f>
        <v>204</v>
      </c>
      <c r="AQ2636">
        <f t="shared" si="874"/>
        <v>0</v>
      </c>
      <c r="AR2636" s="23">
        <f t="shared" si="875"/>
        <v>1080</v>
      </c>
      <c r="AS2636">
        <f t="shared" si="876"/>
        <v>1075</v>
      </c>
      <c r="AT2636" s="21">
        <f t="shared" si="877"/>
        <v>1080</v>
      </c>
      <c r="AU2636" s="21"/>
      <c r="AV2636" s="21"/>
      <c r="AW2636" s="21"/>
    </row>
    <row r="2637" spans="32:49" x14ac:dyDescent="0.2">
      <c r="AF2637" t="str">
        <f t="shared" si="872"/>
        <v/>
      </c>
      <c r="AJ2637" s="18">
        <f t="shared" si="873"/>
        <v>0</v>
      </c>
      <c r="AP2637" s="18">
        <f>SUMIFS(AJ$3:AJ2637,Q$3:Q2637,"=Intermission")+SUMIFS(AJ$3:AJ2637,Q$3:Q2637,"=Timeout")+SUMIFS(AJ$3:AJ2637,Q$3:Q2637,"=Clockstop")</f>
        <v>204</v>
      </c>
      <c r="AQ2637">
        <f t="shared" si="874"/>
        <v>0</v>
      </c>
      <c r="AR2637" s="23">
        <f t="shared" si="875"/>
        <v>1080</v>
      </c>
      <c r="AS2637">
        <f t="shared" si="876"/>
        <v>1075</v>
      </c>
      <c r="AT2637" s="21">
        <f t="shared" si="877"/>
        <v>1080</v>
      </c>
      <c r="AU2637" s="21"/>
      <c r="AV2637" s="21"/>
      <c r="AW2637" s="21"/>
    </row>
    <row r="2638" spans="32:49" x14ac:dyDescent="0.2">
      <c r="AF2638" t="str">
        <f t="shared" si="872"/>
        <v/>
      </c>
      <c r="AJ2638" s="18">
        <f t="shared" si="873"/>
        <v>0</v>
      </c>
      <c r="AP2638" s="18">
        <f>SUMIFS(AJ$3:AJ2638,Q$3:Q2638,"=Intermission")+SUMIFS(AJ$3:AJ2638,Q$3:Q2638,"=Timeout")+SUMIFS(AJ$3:AJ2638,Q$3:Q2638,"=Clockstop")</f>
        <v>204</v>
      </c>
      <c r="AQ2638">
        <f t="shared" si="874"/>
        <v>0</v>
      </c>
      <c r="AR2638" s="23">
        <f t="shared" si="875"/>
        <v>1080</v>
      </c>
      <c r="AS2638">
        <f t="shared" si="876"/>
        <v>1075</v>
      </c>
      <c r="AT2638" s="21">
        <f t="shared" si="877"/>
        <v>1080</v>
      </c>
      <c r="AU2638" s="21"/>
      <c r="AV2638" s="21"/>
      <c r="AW2638" s="21"/>
    </row>
  </sheetData>
  <phoneticPr fontId="2" type="noConversion"/>
  <conditionalFormatting sqref="A1:AB1048576 AC1070:AE1070">
    <cfRule type="expression" dxfId="0" priority="1" stopIfTrue="1">
      <formula>$A1&lt;$A2</formula>
    </cfRule>
  </conditionalFormatting>
  <dataValidations count="3">
    <dataValidation type="list" allowBlank="1" showInputMessage="1" showErrorMessage="1" sqref="AD1070 R2:R3754" xr:uid="{A94ED84B-2A5F-514F-9433-C0C751E044CE}">
      <formula1>INDIRECT($Q2)</formula1>
    </dataValidation>
    <dataValidation type="list" allowBlank="1" showInputMessage="1" showErrorMessage="1" sqref="AF2639:AF3754 S2:S3754 AE1070 V2601:AE3754" xr:uid="{62F10E13-5E99-3E4C-AE82-CFE303D0D7BE}">
      <formula1>INDIRECT($R2)</formula1>
    </dataValidation>
    <dataValidation type="list" allowBlank="1" showInputMessage="1" showErrorMessage="1" sqref="U2:U2600 V3:V2600" xr:uid="{CBF553B5-C634-8746-872D-D2CBF8231AE4}">
      <formula1>INDIRECT($AF2)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52315C-6773-C94A-82B7-448DD44E302A}">
          <x14:formula1>
            <xm:f>Lists!$A:$A</xm:f>
          </x14:formula1>
          <xm:sqref>AC1070 Q2:Q3754</xm:sqref>
        </x14:dataValidation>
        <x14:dataValidation type="list" allowBlank="1" showInputMessage="1" showErrorMessage="1" xr:uid="{3606044F-269E-0D4A-A86D-FD197410E27E}">
          <x14:formula1>
            <xm:f>Lists!$BY:$BY</xm:f>
          </x14:formula1>
          <xm:sqref>P395:P396</xm:sqref>
        </x14:dataValidation>
        <x14:dataValidation type="list" allowBlank="1" showInputMessage="1" showErrorMessage="1" xr:uid="{300CE585-324F-2E4D-843D-AF73B5C6DAAB}">
          <x14:formula1>
            <xm:f>Lists!$CG:$CG</xm:f>
          </x14:formula1>
          <xm:sqref>V2 U2601:U1048576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dimension ref="A1:AY202"/>
  <sheetViews>
    <sheetView tabSelected="1" zoomScale="85" workbookViewId="0">
      <pane xSplit="8" ySplit="1" topLeftCell="I94" activePane="bottomRight" state="frozen"/>
      <selection pane="topRight" activeCell="I1" sqref="I1"/>
      <selection pane="bottomLeft" activeCell="A2" sqref="A2"/>
      <selection pane="bottomRight" activeCell="T96" sqref="T96"/>
    </sheetView>
  </sheetViews>
  <sheetFormatPr baseColWidth="10" defaultRowHeight="16" x14ac:dyDescent="0.2"/>
  <cols>
    <col min="2" max="2" width="10.83203125" style="8"/>
    <col min="4" max="4" width="10.83203125" style="5" customWidth="1"/>
    <col min="6" max="6" width="10.83203125" style="5"/>
    <col min="7" max="7" width="10.83203125" style="8"/>
    <col min="8" max="8" width="10.83203125" style="6"/>
    <col min="14" max="14" width="10.83203125" customWidth="1"/>
    <col min="15" max="15" width="10.83203125" style="6"/>
    <col min="16" max="16" width="10.83203125" style="8"/>
    <col min="21" max="21" width="10.83203125" customWidth="1"/>
    <col min="23" max="23" width="10.83203125" style="8"/>
    <col min="24" max="24" width="10.83203125" style="8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1" s="3" customFormat="1" ht="68" x14ac:dyDescent="0.2">
      <c r="A1" s="3" t="s">
        <v>310</v>
      </c>
      <c r="B1" s="11" t="s">
        <v>1</v>
      </c>
      <c r="C1" s="3" t="s">
        <v>313</v>
      </c>
      <c r="D1" s="10" t="s">
        <v>314</v>
      </c>
      <c r="E1" s="3" t="s">
        <v>315</v>
      </c>
      <c r="F1" s="10" t="s">
        <v>316</v>
      </c>
      <c r="G1" s="11" t="s">
        <v>311</v>
      </c>
      <c r="H1" s="14" t="s">
        <v>312</v>
      </c>
      <c r="I1" s="3" t="s">
        <v>317</v>
      </c>
      <c r="J1" s="3" t="s">
        <v>318</v>
      </c>
      <c r="K1" s="3" t="s">
        <v>319</v>
      </c>
      <c r="L1" s="3" t="s">
        <v>320</v>
      </c>
      <c r="M1" s="3" t="s">
        <v>321</v>
      </c>
      <c r="N1" s="3" t="s">
        <v>323</v>
      </c>
      <c r="O1" s="14" t="s">
        <v>322</v>
      </c>
      <c r="P1" s="11" t="s">
        <v>324</v>
      </c>
      <c r="Q1" s="3" t="s">
        <v>325</v>
      </c>
      <c r="R1" s="3" t="s">
        <v>326</v>
      </c>
      <c r="S1" s="3" t="s">
        <v>327</v>
      </c>
      <c r="T1" s="3" t="s">
        <v>328</v>
      </c>
      <c r="U1" s="3" t="s">
        <v>330</v>
      </c>
      <c r="V1" s="3" t="s">
        <v>329</v>
      </c>
      <c r="W1" s="12" t="s">
        <v>331</v>
      </c>
      <c r="X1" s="15" t="s">
        <v>332</v>
      </c>
      <c r="Y1" s="13" t="s">
        <v>333</v>
      </c>
      <c r="Z1" s="19" t="s">
        <v>334</v>
      </c>
      <c r="AA1" s="13" t="s">
        <v>335</v>
      </c>
      <c r="AB1" s="19" t="s">
        <v>336</v>
      </c>
      <c r="AC1" s="13" t="s">
        <v>337</v>
      </c>
      <c r="AD1" s="3" t="s">
        <v>289</v>
      </c>
      <c r="AE1" s="3" t="s">
        <v>290</v>
      </c>
      <c r="AF1" s="3" t="s">
        <v>291</v>
      </c>
      <c r="AG1" s="3" t="s">
        <v>417</v>
      </c>
      <c r="AH1" s="3" t="s">
        <v>416</v>
      </c>
      <c r="AI1" s="3" t="s">
        <v>418</v>
      </c>
      <c r="AJ1" s="3" t="s">
        <v>399</v>
      </c>
      <c r="AK1" s="3" t="s">
        <v>400</v>
      </c>
      <c r="AL1" s="3" t="s">
        <v>401</v>
      </c>
      <c r="AM1" s="3" t="s">
        <v>402</v>
      </c>
      <c r="AN1" s="3" t="s">
        <v>404</v>
      </c>
      <c r="AO1" s="3" t="s">
        <v>403</v>
      </c>
      <c r="AP1" s="3" t="s">
        <v>405</v>
      </c>
      <c r="AQ1" s="3" t="s">
        <v>406</v>
      </c>
      <c r="AR1" s="3" t="s">
        <v>407</v>
      </c>
      <c r="AS1" s="3" t="s">
        <v>419</v>
      </c>
      <c r="AT1" s="3" t="s">
        <v>420</v>
      </c>
      <c r="AU1" s="3" t="s">
        <v>421</v>
      </c>
      <c r="AV1" s="22" t="s">
        <v>453</v>
      </c>
      <c r="AW1" s="22" t="s">
        <v>460</v>
      </c>
      <c r="AX1" s="3" t="s">
        <v>461</v>
      </c>
      <c r="AY1" s="3" t="s">
        <v>462</v>
      </c>
    </row>
    <row r="2" spans="1:51" x14ac:dyDescent="0.2">
      <c r="A2">
        <v>1</v>
      </c>
      <c r="B2" s="8">
        <v>1</v>
      </c>
      <c r="C2">
        <v>18</v>
      </c>
      <c r="D2" s="5" t="s">
        <v>475</v>
      </c>
      <c r="E2">
        <v>17</v>
      </c>
      <c r="F2" s="5" t="s">
        <v>489</v>
      </c>
      <c r="G2" s="8" t="s">
        <v>341</v>
      </c>
      <c r="I2">
        <v>10</v>
      </c>
      <c r="J2">
        <v>15</v>
      </c>
      <c r="K2">
        <v>16</v>
      </c>
      <c r="L2">
        <v>23</v>
      </c>
      <c r="M2">
        <v>37</v>
      </c>
      <c r="O2" s="6">
        <v>31</v>
      </c>
      <c r="P2">
        <v>70</v>
      </c>
      <c r="Q2">
        <v>87</v>
      </c>
      <c r="R2">
        <v>75</v>
      </c>
      <c r="S2">
        <v>22</v>
      </c>
      <c r="T2">
        <v>84</v>
      </c>
      <c r="V2">
        <v>39</v>
      </c>
      <c r="W2" s="8">
        <f>SUMIFS(events!AJ:AJ,events!Q:Q,"=DeadIce",events!AK:AK,"&lt;="&amp;shifts!AG2,events!AL:AL,"&gt;"&amp;shifts!AH2,events!E:E,"="&amp;shifts!B3)+SUMIFS(events!AJ:AJ,events!Q:Q,"=Timeout",events!AK:AK,"&lt;="&amp;shifts!AG2,events!AL:AL,"&gt;"&amp;shifts!AH2,events!E:E,"="&amp;shifts!B3)</f>
        <v>0</v>
      </c>
      <c r="AB2">
        <v>1</v>
      </c>
      <c r="AD2">
        <f>events!AG2</f>
        <v>18981</v>
      </c>
      <c r="AE2" t="str">
        <f>events!AH2</f>
        <v>Nelson</v>
      </c>
      <c r="AF2" t="str">
        <f>events!AI2</f>
        <v>Velodrome</v>
      </c>
      <c r="AG2" s="5">
        <f t="shared" ref="AG2:AG33" si="0">((C2*60)+D2)</f>
        <v>1080</v>
      </c>
      <c r="AH2" s="5">
        <f t="shared" ref="AH2:AH33" si="1">((E2*60)+F2)</f>
        <v>1034</v>
      </c>
      <c r="AI2" s="16">
        <f>ROUND(AG2-AH2,0)</f>
        <v>46</v>
      </c>
      <c r="AJ2">
        <f t="shared" ref="AJ2:AJ33" si="2">COUNTIF(I2:N2,"&gt;0")</f>
        <v>5</v>
      </c>
      <c r="AK2">
        <f t="shared" ref="AK2:AK33" si="3">COUNTIF(P2:U2,"&gt;0")</f>
        <v>5</v>
      </c>
      <c r="AL2">
        <f t="shared" ref="AL2:AL33" si="4">IF(O2="",1,0)</f>
        <v>0</v>
      </c>
      <c r="AM2">
        <f t="shared" ref="AM2:AM33" si="5"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IFERROR(VLOOKUP(B2,events!E:AQ,24,FALSE),0)</f>
        <v>0</v>
      </c>
      <c r="AW2">
        <f>ROUND(IF(G2="Intermission",AW1,((1080)-((C2*60)+D2))+AV2),0)</f>
        <v>0</v>
      </c>
      <c r="AX2">
        <f>IF(AW2&lt;5,0,AW2-5)</f>
        <v>0</v>
      </c>
      <c r="AY2" s="5">
        <f t="shared" ref="AY2:AY3" si="6">AX2+AI2+3</f>
        <v>49</v>
      </c>
    </row>
    <row r="3" spans="1:51" x14ac:dyDescent="0.2">
      <c r="A3">
        <v>2</v>
      </c>
      <c r="B3" s="8">
        <f t="shared" ref="B3" si="7">IF(G3="PeriodStart",B2+1,B2)</f>
        <v>1</v>
      </c>
      <c r="C3">
        <f t="shared" ref="C3" si="8">IF(G3&lt;&gt;"PeriodStart",E2,18)</f>
        <v>17</v>
      </c>
      <c r="D3" s="5" t="str">
        <f t="shared" ref="D3" si="9">F2</f>
        <v>14</v>
      </c>
      <c r="E3">
        <v>17</v>
      </c>
      <c r="F3" s="5" t="s">
        <v>482</v>
      </c>
      <c r="I3">
        <v>79</v>
      </c>
      <c r="J3">
        <v>3</v>
      </c>
      <c r="K3">
        <v>44</v>
      </c>
      <c r="L3">
        <v>80</v>
      </c>
      <c r="M3">
        <v>37</v>
      </c>
      <c r="O3" s="6">
        <f>O2</f>
        <v>31</v>
      </c>
      <c r="P3">
        <v>70</v>
      </c>
      <c r="Q3">
        <v>87</v>
      </c>
      <c r="R3">
        <v>75</v>
      </c>
      <c r="S3">
        <v>22</v>
      </c>
      <c r="T3">
        <v>84</v>
      </c>
      <c r="V3">
        <f>V2</f>
        <v>39</v>
      </c>
      <c r="W3" s="8">
        <f>SUMIFS(events!AJ:AJ,events!Q:Q,"=DeadIce",events!AK:AK,"&lt;="&amp;shifts!AG3,events!AL:AL,"&gt;"&amp;shifts!AH3,events!E:E,"="&amp;shifts!B4)+SUMIFS(events!AJ:AJ,events!Q:Q,"=Timeout",events!AK:AK,"&lt;="&amp;shifts!AG3,events!AL:AL,"&gt;"&amp;shifts!AH3,events!E:E,"="&amp;shifts!B4)</f>
        <v>0</v>
      </c>
      <c r="X3" s="8" t="str">
        <f>IF(OR($H2="Home Goal",$H2="Away Goal",$H2="Period End"),"",IF(Y2=1,1,""))</f>
        <v/>
      </c>
      <c r="Z3" t="str">
        <f>IF(OR($H2="Home Goal",$H2="Away Goal",$H2="Period End"),"",IF(AA2=1,1,""))</f>
        <v/>
      </c>
      <c r="AA3">
        <v>1</v>
      </c>
      <c r="AB3" t="str">
        <f>IF(OR($H2="Home Goal",$H2="Away Goal",$H2="Period End"),1,IF(AC2=1,1,""))</f>
        <v/>
      </c>
      <c r="AD3">
        <f>events!AG3</f>
        <v>18981</v>
      </c>
      <c r="AE3" t="str">
        <f>events!AH3</f>
        <v>Nelson</v>
      </c>
      <c r="AF3" t="str">
        <f>events!AI3</f>
        <v>Velodrome</v>
      </c>
      <c r="AG3" s="5">
        <f t="shared" si="0"/>
        <v>1034</v>
      </c>
      <c r="AH3" s="5">
        <f t="shared" si="1"/>
        <v>1027</v>
      </c>
      <c r="AI3" s="16">
        <f t="shared" ref="AI3:AI66" si="10">ROUND(AG3-AH3,0)</f>
        <v>7</v>
      </c>
      <c r="AJ3">
        <f t="shared" si="2"/>
        <v>5</v>
      </c>
      <c r="AK3">
        <f t="shared" si="3"/>
        <v>5</v>
      </c>
      <c r="AL3">
        <f t="shared" si="4"/>
        <v>0</v>
      </c>
      <c r="AM3">
        <f t="shared" si="5"/>
        <v>0</v>
      </c>
      <c r="AN3">
        <f t="shared" ref="AN3:AN64" si="11">IF(AND($AL3&lt;&gt;1,$AJ3&lt;$AK3,AM3&lt;&gt;1),1,)</f>
        <v>0</v>
      </c>
      <c r="AO3">
        <f t="shared" ref="AO3:AO66" si="12">IF(AND($AL3&lt;&gt;1,$AJ3&gt;$AK3),1,)</f>
        <v>0</v>
      </c>
      <c r="AP3">
        <f t="shared" ref="AP3:AP66" si="13">IF(AN3=1,1,0)</f>
        <v>0</v>
      </c>
      <c r="AQ3">
        <f t="shared" ref="AQ3:AQ66" si="14">IF(AO3=1,1,0)</f>
        <v>0</v>
      </c>
      <c r="AT3">
        <f>IF($H2="Home Goal",AT2+1,AT2)</f>
        <v>0</v>
      </c>
      <c r="AU3">
        <f>IF($H2="Away Goal",AU2+1,AU2)</f>
        <v>0</v>
      </c>
      <c r="AV3">
        <f>IFERROR(VLOOKUP(B3,events!E:AQ,24,FALSE),AV2)</f>
        <v>0</v>
      </c>
      <c r="AW3">
        <f>ROUND(IF(G3="Intermission",AW2,((1080)-((C3*60)+D3))+AV3),0)</f>
        <v>46</v>
      </c>
      <c r="AX3">
        <f t="shared" ref="AX3" si="15">IF(AW3&lt;5,0,AW3-5)</f>
        <v>41</v>
      </c>
      <c r="AY3" s="5">
        <f t="shared" si="6"/>
        <v>51</v>
      </c>
    </row>
    <row r="4" spans="1:51" x14ac:dyDescent="0.2">
      <c r="A4">
        <v>3</v>
      </c>
      <c r="B4" s="8">
        <f t="shared" ref="B4:B67" si="16">IF(G4="PeriodStart",B3+1,B3)</f>
        <v>1</v>
      </c>
      <c r="C4">
        <f t="shared" ref="C4:C67" si="17">IF(G4&lt;&gt;"PeriodStart",E3,18)</f>
        <v>17</v>
      </c>
      <c r="D4" s="5" t="str">
        <f t="shared" ref="D4:D67" si="18">F3</f>
        <v>07</v>
      </c>
      <c r="E4">
        <v>17</v>
      </c>
      <c r="F4" s="5" t="s">
        <v>474</v>
      </c>
      <c r="H4" s="6" t="s">
        <v>355</v>
      </c>
      <c r="I4">
        <v>79</v>
      </c>
      <c r="J4">
        <v>3</v>
      </c>
      <c r="K4">
        <v>44</v>
      </c>
      <c r="L4">
        <v>80</v>
      </c>
      <c r="M4">
        <v>37</v>
      </c>
      <c r="O4" s="6">
        <f t="shared" ref="O4:O67" si="19">O3</f>
        <v>31</v>
      </c>
      <c r="P4">
        <v>70</v>
      </c>
      <c r="Q4">
        <v>91</v>
      </c>
      <c r="R4">
        <v>75</v>
      </c>
      <c r="S4">
        <v>22</v>
      </c>
      <c r="T4">
        <v>52</v>
      </c>
      <c r="V4">
        <f t="shared" ref="V4:V67" si="20">V3</f>
        <v>39</v>
      </c>
      <c r="W4" s="8">
        <f>SUMIFS(events!AJ:AJ,events!Q:Q,"=DeadIce",events!AK:AK,"&lt;="&amp;shifts!AG4,events!AL:AL,"&gt;"&amp;shifts!AH4,events!E:E,"="&amp;shifts!B5)+SUMIFS(events!AJ:AJ,events!Q:Q,"=Timeout",events!AK:AK,"&lt;="&amp;shifts!AG4,events!AL:AL,"&gt;"&amp;shifts!AH4,events!E:E,"="&amp;shifts!B5)</f>
        <v>0</v>
      </c>
      <c r="X4" s="8" t="str">
        <f t="shared" ref="X4:X67" si="21">IF(OR($H3="Home Goal",$H3="Away Goal",$H3="Period End"),"",IF(Y3=1,1,""))</f>
        <v/>
      </c>
      <c r="Z4">
        <f t="shared" ref="Z4:Z67" si="22">IF(OR($H3="Home Goal",$H3="Away Goal",$H3="Period End"),"",IF(AA3=1,1,""))</f>
        <v>1</v>
      </c>
      <c r="AA4">
        <v>1</v>
      </c>
      <c r="AB4" t="str">
        <f t="shared" ref="AB4:AB67" si="23">IF(OR($H3="Home Goal",$H3="Away Goal",$H3="Period End"),1,IF(AC3=1,1,""))</f>
        <v/>
      </c>
      <c r="AD4">
        <f>events!AG4</f>
        <v>18981</v>
      </c>
      <c r="AE4" t="str">
        <f>events!AH4</f>
        <v>Nelson</v>
      </c>
      <c r="AF4" t="str">
        <f>events!AI4</f>
        <v>Velodrome</v>
      </c>
      <c r="AG4" s="5">
        <f t="shared" si="0"/>
        <v>1027</v>
      </c>
      <c r="AH4" s="5">
        <f t="shared" si="1"/>
        <v>1022</v>
      </c>
      <c r="AI4" s="16">
        <f t="shared" si="10"/>
        <v>5</v>
      </c>
      <c r="AJ4">
        <f t="shared" si="2"/>
        <v>5</v>
      </c>
      <c r="AK4">
        <f t="shared" si="3"/>
        <v>5</v>
      </c>
      <c r="AL4">
        <f t="shared" si="4"/>
        <v>0</v>
      </c>
      <c r="AM4">
        <f t="shared" si="5"/>
        <v>0</v>
      </c>
      <c r="AN4">
        <f t="shared" si="11"/>
        <v>0</v>
      </c>
      <c r="AO4">
        <f t="shared" si="12"/>
        <v>0</v>
      </c>
      <c r="AP4">
        <f t="shared" si="13"/>
        <v>0</v>
      </c>
      <c r="AQ4">
        <f t="shared" si="14"/>
        <v>0</v>
      </c>
      <c r="AY4" s="5"/>
    </row>
    <row r="5" spans="1:51" x14ac:dyDescent="0.2">
      <c r="A5">
        <f t="shared" ref="A5:A68" si="24">A4+1</f>
        <v>4</v>
      </c>
      <c r="B5" s="8">
        <f t="shared" si="16"/>
        <v>1</v>
      </c>
      <c r="C5">
        <f t="shared" si="17"/>
        <v>17</v>
      </c>
      <c r="D5" s="5" t="str">
        <f t="shared" si="18"/>
        <v>02</v>
      </c>
      <c r="E5">
        <v>15</v>
      </c>
      <c r="F5" s="5" t="s">
        <v>513</v>
      </c>
      <c r="G5" s="8" t="s">
        <v>343</v>
      </c>
      <c r="I5">
        <v>79</v>
      </c>
      <c r="J5">
        <v>3</v>
      </c>
      <c r="K5">
        <v>44</v>
      </c>
      <c r="L5">
        <v>80</v>
      </c>
      <c r="M5">
        <v>8</v>
      </c>
      <c r="O5" s="6">
        <f t="shared" si="19"/>
        <v>31</v>
      </c>
      <c r="P5" s="8">
        <v>42</v>
      </c>
      <c r="Q5">
        <v>91</v>
      </c>
      <c r="R5">
        <v>24</v>
      </c>
      <c r="S5">
        <v>93</v>
      </c>
      <c r="T5">
        <v>52</v>
      </c>
      <c r="V5">
        <f t="shared" si="20"/>
        <v>39</v>
      </c>
      <c r="W5" s="8">
        <f>SUMIFS(events!AJ:AJ,events!Q:Q,"=DeadIce",events!AK:AK,"&lt;="&amp;shifts!AG5,events!AL:AL,"&gt;"&amp;shifts!AH5,events!E:E,"="&amp;shifts!B6)+SUMIFS(events!AJ:AJ,events!Q:Q,"=Timeout",events!AK:AK,"&lt;="&amp;shifts!AG5,events!AL:AL,"&gt;"&amp;shifts!AH5,events!E:E,"="&amp;shifts!B6)</f>
        <v>0</v>
      </c>
      <c r="X5" s="8" t="str">
        <f t="shared" si="21"/>
        <v/>
      </c>
      <c r="Z5">
        <f t="shared" si="22"/>
        <v>1</v>
      </c>
      <c r="AA5">
        <v>1</v>
      </c>
      <c r="AB5" t="str">
        <f t="shared" si="23"/>
        <v/>
      </c>
      <c r="AD5">
        <f>events!AG5</f>
        <v>18981</v>
      </c>
      <c r="AE5" t="str">
        <f>events!AH5</f>
        <v>Nelson</v>
      </c>
      <c r="AF5" t="str">
        <f>events!AI5</f>
        <v>Velodrome</v>
      </c>
      <c r="AG5" s="5">
        <f t="shared" si="0"/>
        <v>1022</v>
      </c>
      <c r="AH5" s="5">
        <f t="shared" si="1"/>
        <v>941</v>
      </c>
      <c r="AI5" s="16">
        <f t="shared" si="10"/>
        <v>81</v>
      </c>
      <c r="AJ5">
        <f t="shared" si="2"/>
        <v>5</v>
      </c>
      <c r="AK5">
        <f t="shared" si="3"/>
        <v>5</v>
      </c>
      <c r="AL5">
        <f t="shared" si="4"/>
        <v>0</v>
      </c>
      <c r="AM5">
        <f t="shared" si="5"/>
        <v>0</v>
      </c>
      <c r="AN5">
        <f t="shared" si="11"/>
        <v>0</v>
      </c>
      <c r="AO5">
        <f t="shared" si="12"/>
        <v>0</v>
      </c>
      <c r="AP5">
        <f t="shared" si="13"/>
        <v>0</v>
      </c>
      <c r="AQ5">
        <f t="shared" si="14"/>
        <v>0</v>
      </c>
      <c r="AY5" s="5"/>
    </row>
    <row r="6" spans="1:51" x14ac:dyDescent="0.2">
      <c r="A6">
        <f t="shared" si="24"/>
        <v>5</v>
      </c>
      <c r="B6" s="8">
        <f t="shared" si="16"/>
        <v>1</v>
      </c>
      <c r="C6">
        <f t="shared" si="17"/>
        <v>15</v>
      </c>
      <c r="D6" s="5" t="str">
        <f t="shared" si="18"/>
        <v>41</v>
      </c>
      <c r="E6">
        <v>15</v>
      </c>
      <c r="F6" s="5" t="s">
        <v>507</v>
      </c>
      <c r="H6" s="6" t="s">
        <v>395</v>
      </c>
      <c r="I6">
        <v>10</v>
      </c>
      <c r="J6">
        <v>3</v>
      </c>
      <c r="K6">
        <v>44</v>
      </c>
      <c r="L6">
        <v>80</v>
      </c>
      <c r="M6">
        <v>8</v>
      </c>
      <c r="O6" s="6">
        <f t="shared" si="19"/>
        <v>31</v>
      </c>
      <c r="P6" s="8">
        <v>42</v>
      </c>
      <c r="Q6">
        <v>91</v>
      </c>
      <c r="R6">
        <v>24</v>
      </c>
      <c r="S6">
        <v>93</v>
      </c>
      <c r="T6">
        <v>52</v>
      </c>
      <c r="V6">
        <f t="shared" si="20"/>
        <v>39</v>
      </c>
      <c r="W6" s="8">
        <f>SUMIFS(events!AJ:AJ,events!Q:Q,"=DeadIce",events!AK:AK,"&lt;="&amp;shifts!AG6,events!AL:AL,"&gt;"&amp;shifts!AH6,events!E:E,"="&amp;shifts!B7)+SUMIFS(events!AJ:AJ,events!Q:Q,"=Timeout",events!AK:AK,"&lt;="&amp;shifts!AG6,events!AL:AL,"&gt;"&amp;shifts!AH6,events!E:E,"="&amp;shifts!B7)</f>
        <v>0</v>
      </c>
      <c r="X6" s="8" t="str">
        <f t="shared" si="21"/>
        <v/>
      </c>
      <c r="Z6">
        <f t="shared" si="22"/>
        <v>1</v>
      </c>
      <c r="AA6">
        <v>1</v>
      </c>
      <c r="AB6" t="str">
        <f t="shared" si="23"/>
        <v/>
      </c>
      <c r="AD6">
        <f>events!AG6</f>
        <v>18981</v>
      </c>
      <c r="AE6" t="str">
        <f>events!AH6</f>
        <v>Nelson</v>
      </c>
      <c r="AF6" t="str">
        <f>events!AI6</f>
        <v>Velodrome</v>
      </c>
      <c r="AG6" s="5">
        <f t="shared" si="0"/>
        <v>941</v>
      </c>
      <c r="AH6" s="5">
        <f t="shared" si="1"/>
        <v>935</v>
      </c>
      <c r="AI6" s="16">
        <f t="shared" si="10"/>
        <v>6</v>
      </c>
      <c r="AJ6">
        <f t="shared" si="2"/>
        <v>5</v>
      </c>
      <c r="AK6">
        <f t="shared" si="3"/>
        <v>5</v>
      </c>
      <c r="AL6">
        <f t="shared" si="4"/>
        <v>0</v>
      </c>
      <c r="AM6">
        <f t="shared" si="5"/>
        <v>0</v>
      </c>
      <c r="AN6">
        <f t="shared" si="11"/>
        <v>0</v>
      </c>
      <c r="AO6">
        <f t="shared" si="12"/>
        <v>0</v>
      </c>
      <c r="AP6">
        <f t="shared" si="13"/>
        <v>0</v>
      </c>
      <c r="AQ6">
        <f t="shared" si="14"/>
        <v>0</v>
      </c>
      <c r="AY6" s="5"/>
    </row>
    <row r="7" spans="1:51" x14ac:dyDescent="0.2">
      <c r="A7">
        <f t="shared" si="24"/>
        <v>6</v>
      </c>
      <c r="B7" s="8">
        <f t="shared" si="16"/>
        <v>1</v>
      </c>
      <c r="C7">
        <f t="shared" si="17"/>
        <v>15</v>
      </c>
      <c r="D7" s="5" t="str">
        <f t="shared" si="18"/>
        <v>35</v>
      </c>
      <c r="E7">
        <v>13</v>
      </c>
      <c r="F7" s="5" t="s">
        <v>529</v>
      </c>
      <c r="G7" s="8" t="s">
        <v>343</v>
      </c>
      <c r="I7">
        <v>10</v>
      </c>
      <c r="J7">
        <v>7</v>
      </c>
      <c r="K7">
        <v>16</v>
      </c>
      <c r="L7">
        <v>23</v>
      </c>
      <c r="M7">
        <v>37</v>
      </c>
      <c r="O7" s="6">
        <f t="shared" si="19"/>
        <v>31</v>
      </c>
      <c r="P7" s="8">
        <v>49</v>
      </c>
      <c r="Q7">
        <v>14</v>
      </c>
      <c r="R7">
        <v>61</v>
      </c>
      <c r="S7">
        <v>9</v>
      </c>
      <c r="T7">
        <v>84</v>
      </c>
      <c r="V7">
        <f t="shared" si="20"/>
        <v>39</v>
      </c>
      <c r="W7" s="8">
        <f>SUMIFS(events!AJ:AJ,events!Q:Q,"=DeadIce",events!AK:AK,"&lt;="&amp;shifts!AG7,events!AL:AL,"&gt;"&amp;shifts!AH7,events!E:E,"="&amp;shifts!B8)+SUMIFS(events!AJ:AJ,events!Q:Q,"=Timeout",events!AK:AK,"&lt;="&amp;shifts!AG7,events!AL:AL,"&gt;"&amp;shifts!AH7,events!E:E,"="&amp;shifts!B8)</f>
        <v>0</v>
      </c>
      <c r="X7" s="8" t="str">
        <f t="shared" si="21"/>
        <v/>
      </c>
      <c r="Z7">
        <f t="shared" si="22"/>
        <v>1</v>
      </c>
      <c r="AA7">
        <v>1</v>
      </c>
      <c r="AB7" t="str">
        <f t="shared" si="23"/>
        <v/>
      </c>
      <c r="AD7">
        <f>events!AG7</f>
        <v>18981</v>
      </c>
      <c r="AE7" t="str">
        <f>events!AH7</f>
        <v>Nelson</v>
      </c>
      <c r="AF7" t="str">
        <f>events!AI7</f>
        <v>Velodrome</v>
      </c>
      <c r="AG7" s="5">
        <f t="shared" si="0"/>
        <v>935</v>
      </c>
      <c r="AH7" s="5">
        <f t="shared" si="1"/>
        <v>837</v>
      </c>
      <c r="AI7" s="16">
        <f t="shared" si="10"/>
        <v>98</v>
      </c>
      <c r="AJ7">
        <f t="shared" si="2"/>
        <v>5</v>
      </c>
      <c r="AK7">
        <f t="shared" si="3"/>
        <v>5</v>
      </c>
      <c r="AL7">
        <f t="shared" si="4"/>
        <v>0</v>
      </c>
      <c r="AM7">
        <f t="shared" si="5"/>
        <v>0</v>
      </c>
      <c r="AN7">
        <f t="shared" si="11"/>
        <v>0</v>
      </c>
      <c r="AO7">
        <f t="shared" si="12"/>
        <v>0</v>
      </c>
      <c r="AP7">
        <f t="shared" si="13"/>
        <v>0</v>
      </c>
      <c r="AQ7">
        <f t="shared" si="14"/>
        <v>0</v>
      </c>
      <c r="AY7" s="5"/>
    </row>
    <row r="8" spans="1:51" x14ac:dyDescent="0.2">
      <c r="A8">
        <f t="shared" si="24"/>
        <v>7</v>
      </c>
      <c r="B8" s="8">
        <f t="shared" si="16"/>
        <v>1</v>
      </c>
      <c r="C8">
        <f t="shared" si="17"/>
        <v>13</v>
      </c>
      <c r="D8" s="5" t="str">
        <f t="shared" si="18"/>
        <v>57</v>
      </c>
      <c r="E8">
        <v>13</v>
      </c>
      <c r="F8" s="5" t="s">
        <v>522</v>
      </c>
      <c r="I8">
        <v>10</v>
      </c>
      <c r="J8">
        <v>15</v>
      </c>
      <c r="K8">
        <v>16</v>
      </c>
      <c r="L8">
        <v>80</v>
      </c>
      <c r="M8">
        <v>37</v>
      </c>
      <c r="O8" s="6">
        <f t="shared" si="19"/>
        <v>31</v>
      </c>
      <c r="P8" s="8">
        <v>49</v>
      </c>
      <c r="Q8">
        <v>14</v>
      </c>
      <c r="R8">
        <v>61</v>
      </c>
      <c r="S8">
        <v>9</v>
      </c>
      <c r="T8">
        <v>84</v>
      </c>
      <c r="V8">
        <f t="shared" si="20"/>
        <v>39</v>
      </c>
      <c r="W8" s="8">
        <f>SUMIFS(events!AJ:AJ,events!Q:Q,"=DeadIce",events!AK:AK,"&lt;="&amp;shifts!AG8,events!AL:AL,"&gt;"&amp;shifts!AH8,events!E:E,"="&amp;shifts!B9)+SUMIFS(events!AJ:AJ,events!Q:Q,"=Timeout",events!AK:AK,"&lt;="&amp;shifts!AG8,events!AL:AL,"&gt;"&amp;shifts!AH8,events!E:E,"="&amp;shifts!B9)</f>
        <v>0</v>
      </c>
      <c r="X8" s="8" t="str">
        <f t="shared" si="21"/>
        <v/>
      </c>
      <c r="Z8">
        <f t="shared" si="22"/>
        <v>1</v>
      </c>
      <c r="AA8">
        <v>1</v>
      </c>
      <c r="AB8" t="str">
        <f t="shared" si="23"/>
        <v/>
      </c>
      <c r="AD8">
        <f>events!AG8</f>
        <v>18981</v>
      </c>
      <c r="AE8" t="str">
        <f>events!AH8</f>
        <v>Nelson</v>
      </c>
      <c r="AF8" t="str">
        <f>events!AI8</f>
        <v>Velodrome</v>
      </c>
      <c r="AG8" s="5">
        <f t="shared" si="0"/>
        <v>837</v>
      </c>
      <c r="AH8" s="5">
        <f t="shared" si="1"/>
        <v>830</v>
      </c>
      <c r="AI8" s="16">
        <f t="shared" si="10"/>
        <v>7</v>
      </c>
      <c r="AJ8">
        <f t="shared" si="2"/>
        <v>5</v>
      </c>
      <c r="AK8">
        <f t="shared" si="3"/>
        <v>5</v>
      </c>
      <c r="AL8">
        <f t="shared" si="4"/>
        <v>0</v>
      </c>
      <c r="AM8">
        <f t="shared" si="5"/>
        <v>0</v>
      </c>
      <c r="AN8">
        <f t="shared" si="11"/>
        <v>0</v>
      </c>
      <c r="AO8">
        <f t="shared" si="12"/>
        <v>0</v>
      </c>
      <c r="AP8">
        <f t="shared" si="13"/>
        <v>0</v>
      </c>
      <c r="AQ8">
        <f t="shared" si="14"/>
        <v>0</v>
      </c>
      <c r="AY8" s="5"/>
    </row>
    <row r="9" spans="1:51" x14ac:dyDescent="0.2">
      <c r="A9">
        <f t="shared" si="24"/>
        <v>8</v>
      </c>
      <c r="B9" s="8">
        <f t="shared" si="16"/>
        <v>1</v>
      </c>
      <c r="C9">
        <f t="shared" si="17"/>
        <v>13</v>
      </c>
      <c r="D9" s="5" t="str">
        <f t="shared" si="18"/>
        <v>50</v>
      </c>
      <c r="E9">
        <v>13</v>
      </c>
      <c r="F9" s="5" t="s">
        <v>517</v>
      </c>
      <c r="I9">
        <v>10</v>
      </c>
      <c r="J9">
        <v>15</v>
      </c>
      <c r="K9">
        <v>44</v>
      </c>
      <c r="L9">
        <v>80</v>
      </c>
      <c r="M9">
        <v>37</v>
      </c>
      <c r="O9" s="6">
        <f t="shared" si="19"/>
        <v>31</v>
      </c>
      <c r="P9" s="8">
        <v>49</v>
      </c>
      <c r="Q9">
        <v>14</v>
      </c>
      <c r="R9">
        <v>61</v>
      </c>
      <c r="S9">
        <v>9</v>
      </c>
      <c r="T9">
        <v>84</v>
      </c>
      <c r="V9">
        <f t="shared" si="20"/>
        <v>39</v>
      </c>
      <c r="W9" s="8">
        <f>SUMIFS(events!AJ:AJ,events!Q:Q,"=DeadIce",events!AK:AK,"&lt;="&amp;shifts!AG9,events!AL:AL,"&gt;"&amp;shifts!AH9,events!E:E,"="&amp;shifts!B10)+SUMIFS(events!AJ:AJ,events!Q:Q,"=Timeout",events!AK:AK,"&lt;="&amp;shifts!AG9,events!AL:AL,"&gt;"&amp;shifts!AH9,events!E:E,"="&amp;shifts!B10)</f>
        <v>0</v>
      </c>
      <c r="X9" s="8" t="str">
        <f t="shared" si="21"/>
        <v/>
      </c>
      <c r="Z9">
        <f t="shared" si="22"/>
        <v>1</v>
      </c>
      <c r="AA9">
        <v>1</v>
      </c>
      <c r="AB9" t="str">
        <f t="shared" si="23"/>
        <v/>
      </c>
      <c r="AD9">
        <f>events!AG9</f>
        <v>18981</v>
      </c>
      <c r="AE9" t="str">
        <f>events!AH9</f>
        <v>Nelson</v>
      </c>
      <c r="AF9" t="str">
        <f>events!AI9</f>
        <v>Velodrome</v>
      </c>
      <c r="AG9" s="5">
        <f t="shared" si="0"/>
        <v>830</v>
      </c>
      <c r="AH9" s="5">
        <f t="shared" si="1"/>
        <v>825</v>
      </c>
      <c r="AI9" s="16">
        <f t="shared" si="10"/>
        <v>5</v>
      </c>
      <c r="AJ9">
        <f t="shared" si="2"/>
        <v>5</v>
      </c>
      <c r="AK9">
        <f t="shared" si="3"/>
        <v>5</v>
      </c>
      <c r="AL9">
        <f t="shared" si="4"/>
        <v>0</v>
      </c>
      <c r="AM9">
        <f t="shared" si="5"/>
        <v>0</v>
      </c>
      <c r="AN9">
        <f t="shared" si="11"/>
        <v>0</v>
      </c>
      <c r="AO9">
        <f t="shared" si="12"/>
        <v>0</v>
      </c>
      <c r="AP9">
        <f t="shared" si="13"/>
        <v>0</v>
      </c>
      <c r="AQ9">
        <f t="shared" si="14"/>
        <v>0</v>
      </c>
      <c r="AY9" s="5"/>
    </row>
    <row r="10" spans="1:51" x14ac:dyDescent="0.2">
      <c r="A10">
        <f t="shared" si="24"/>
        <v>9</v>
      </c>
      <c r="B10" s="8">
        <f t="shared" si="16"/>
        <v>1</v>
      </c>
      <c r="C10">
        <f t="shared" si="17"/>
        <v>13</v>
      </c>
      <c r="D10" s="5" t="str">
        <f t="shared" si="18"/>
        <v>45</v>
      </c>
      <c r="E10">
        <v>13</v>
      </c>
      <c r="F10" s="5" t="s">
        <v>508</v>
      </c>
      <c r="I10">
        <v>79</v>
      </c>
      <c r="J10">
        <v>15</v>
      </c>
      <c r="K10">
        <v>44</v>
      </c>
      <c r="L10">
        <v>80</v>
      </c>
      <c r="M10">
        <v>37</v>
      </c>
      <c r="O10" s="6">
        <f t="shared" si="19"/>
        <v>31</v>
      </c>
      <c r="P10" s="8">
        <v>49</v>
      </c>
      <c r="Q10">
        <v>14</v>
      </c>
      <c r="R10">
        <v>61</v>
      </c>
      <c r="S10">
        <v>9</v>
      </c>
      <c r="T10">
        <v>84</v>
      </c>
      <c r="V10">
        <f t="shared" si="20"/>
        <v>39</v>
      </c>
      <c r="W10" s="8">
        <f>SUMIFS(events!AJ:AJ,events!Q:Q,"=DeadIce",events!AK:AK,"&lt;="&amp;shifts!AG10,events!AL:AL,"&gt;"&amp;shifts!AH10,events!E:E,"="&amp;shifts!B11)+SUMIFS(events!AJ:AJ,events!Q:Q,"=Timeout",events!AK:AK,"&lt;="&amp;shifts!AG10,events!AL:AL,"&gt;"&amp;shifts!AH10,events!E:E,"="&amp;shifts!B11)</f>
        <v>0</v>
      </c>
      <c r="X10" s="8" t="str">
        <f t="shared" si="21"/>
        <v/>
      </c>
      <c r="Z10">
        <f t="shared" si="22"/>
        <v>1</v>
      </c>
      <c r="AA10">
        <v>1</v>
      </c>
      <c r="AB10" t="str">
        <f t="shared" si="23"/>
        <v/>
      </c>
      <c r="AD10">
        <f>events!AG10</f>
        <v>18981</v>
      </c>
      <c r="AE10" t="str">
        <f>events!AH10</f>
        <v>Nelson</v>
      </c>
      <c r="AF10" t="str">
        <f>events!AI10</f>
        <v>Velodrome</v>
      </c>
      <c r="AG10" s="5">
        <f t="shared" si="0"/>
        <v>825</v>
      </c>
      <c r="AH10" s="5">
        <f t="shared" si="1"/>
        <v>816</v>
      </c>
      <c r="AI10" s="16">
        <f t="shared" si="10"/>
        <v>9</v>
      </c>
      <c r="AJ10">
        <f t="shared" si="2"/>
        <v>5</v>
      </c>
      <c r="AK10">
        <f t="shared" si="3"/>
        <v>5</v>
      </c>
      <c r="AL10">
        <f t="shared" si="4"/>
        <v>0</v>
      </c>
      <c r="AM10">
        <f t="shared" si="5"/>
        <v>0</v>
      </c>
      <c r="AN10">
        <f t="shared" si="11"/>
        <v>0</v>
      </c>
      <c r="AO10">
        <f t="shared" si="12"/>
        <v>0</v>
      </c>
      <c r="AP10">
        <f t="shared" si="13"/>
        <v>0</v>
      </c>
      <c r="AQ10">
        <f t="shared" si="14"/>
        <v>0</v>
      </c>
      <c r="AY10" s="5"/>
    </row>
    <row r="11" spans="1:51" x14ac:dyDescent="0.2">
      <c r="A11">
        <f t="shared" si="24"/>
        <v>10</v>
      </c>
      <c r="B11" s="8">
        <f t="shared" si="16"/>
        <v>1</v>
      </c>
      <c r="C11">
        <f t="shared" si="17"/>
        <v>13</v>
      </c>
      <c r="D11" s="5" t="str">
        <f t="shared" si="18"/>
        <v>36</v>
      </c>
      <c r="E11">
        <v>13</v>
      </c>
      <c r="F11" s="5" t="s">
        <v>503</v>
      </c>
      <c r="I11">
        <v>79</v>
      </c>
      <c r="J11">
        <v>15</v>
      </c>
      <c r="K11">
        <v>44</v>
      </c>
      <c r="L11">
        <v>80</v>
      </c>
      <c r="M11">
        <v>8</v>
      </c>
      <c r="O11" s="6">
        <f t="shared" si="19"/>
        <v>31</v>
      </c>
      <c r="P11" s="8">
        <v>49</v>
      </c>
      <c r="Q11">
        <v>87</v>
      </c>
      <c r="R11">
        <v>61</v>
      </c>
      <c r="S11">
        <v>9</v>
      </c>
      <c r="T11">
        <v>84</v>
      </c>
      <c r="V11">
        <f t="shared" si="20"/>
        <v>39</v>
      </c>
      <c r="W11" s="8">
        <f>SUMIFS(events!AJ:AJ,events!Q:Q,"=DeadIce",events!AK:AK,"&lt;="&amp;shifts!AG11,events!AL:AL,"&gt;"&amp;shifts!AH11,events!E:E,"="&amp;shifts!B12)+SUMIFS(events!AJ:AJ,events!Q:Q,"=Timeout",events!AK:AK,"&lt;="&amp;shifts!AG11,events!AL:AL,"&gt;"&amp;shifts!AH11,events!E:E,"="&amp;shifts!B12)</f>
        <v>0</v>
      </c>
      <c r="X11" s="8" t="str">
        <f t="shared" si="21"/>
        <v/>
      </c>
      <c r="Z11">
        <f t="shared" si="22"/>
        <v>1</v>
      </c>
      <c r="AB11" t="str">
        <f t="shared" si="23"/>
        <v/>
      </c>
      <c r="AC11">
        <v>1</v>
      </c>
      <c r="AD11">
        <f>events!AG11</f>
        <v>18981</v>
      </c>
      <c r="AE11" t="str">
        <f>events!AH11</f>
        <v>Nelson</v>
      </c>
      <c r="AF11" t="str">
        <f>events!AI11</f>
        <v>Velodrome</v>
      </c>
      <c r="AG11" s="5">
        <f t="shared" si="0"/>
        <v>816</v>
      </c>
      <c r="AH11" s="5">
        <f t="shared" si="1"/>
        <v>811</v>
      </c>
      <c r="AI11" s="16">
        <f t="shared" si="10"/>
        <v>5</v>
      </c>
      <c r="AJ11">
        <f t="shared" si="2"/>
        <v>5</v>
      </c>
      <c r="AK11">
        <f t="shared" si="3"/>
        <v>5</v>
      </c>
      <c r="AL11">
        <f t="shared" si="4"/>
        <v>0</v>
      </c>
      <c r="AM11">
        <f t="shared" si="5"/>
        <v>0</v>
      </c>
      <c r="AN11">
        <f t="shared" si="11"/>
        <v>0</v>
      </c>
      <c r="AO11">
        <f t="shared" si="12"/>
        <v>0</v>
      </c>
      <c r="AP11">
        <f t="shared" si="13"/>
        <v>0</v>
      </c>
      <c r="AQ11">
        <f t="shared" si="14"/>
        <v>0</v>
      </c>
      <c r="AY11" s="5"/>
    </row>
    <row r="12" spans="1:51" x14ac:dyDescent="0.2">
      <c r="A12">
        <f t="shared" si="24"/>
        <v>11</v>
      </c>
      <c r="B12" s="8">
        <f t="shared" si="16"/>
        <v>1</v>
      </c>
      <c r="C12">
        <f t="shared" si="17"/>
        <v>13</v>
      </c>
      <c r="D12" s="5" t="str">
        <f t="shared" si="18"/>
        <v>31</v>
      </c>
      <c r="E12">
        <v>13</v>
      </c>
      <c r="F12" s="5" t="s">
        <v>484</v>
      </c>
      <c r="I12">
        <v>79</v>
      </c>
      <c r="J12">
        <v>15</v>
      </c>
      <c r="K12">
        <v>44</v>
      </c>
      <c r="L12">
        <v>80</v>
      </c>
      <c r="M12">
        <v>8</v>
      </c>
      <c r="O12" s="6">
        <f t="shared" si="19"/>
        <v>31</v>
      </c>
      <c r="P12" s="8">
        <v>49</v>
      </c>
      <c r="Q12">
        <v>87</v>
      </c>
      <c r="R12">
        <v>75</v>
      </c>
      <c r="S12">
        <v>22</v>
      </c>
      <c r="T12">
        <v>52</v>
      </c>
      <c r="V12">
        <f t="shared" si="20"/>
        <v>39</v>
      </c>
      <c r="W12" s="8">
        <f>SUMIFS(events!AJ:AJ,events!Q:Q,"=DeadIce",events!AK:AK,"&lt;="&amp;shifts!AG12,events!AL:AL,"&gt;"&amp;shifts!AH12,events!E:E,"="&amp;shifts!B13)+SUMIFS(events!AJ:AJ,events!Q:Q,"=Timeout",events!AK:AK,"&lt;="&amp;shifts!AG12,events!AL:AL,"&gt;"&amp;shifts!AH12,events!E:E,"="&amp;shifts!B13)</f>
        <v>0</v>
      </c>
      <c r="X12" s="8" t="str">
        <f t="shared" si="21"/>
        <v/>
      </c>
      <c r="Z12" t="str">
        <f t="shared" si="22"/>
        <v/>
      </c>
      <c r="AB12">
        <f t="shared" si="23"/>
        <v>1</v>
      </c>
      <c r="AC12">
        <v>1</v>
      </c>
      <c r="AD12">
        <f>events!AG12</f>
        <v>18981</v>
      </c>
      <c r="AE12" t="str">
        <f>events!AH12</f>
        <v>Nelson</v>
      </c>
      <c r="AF12" t="str">
        <f>events!AI12</f>
        <v>Velodrome</v>
      </c>
      <c r="AG12" s="5">
        <f t="shared" si="0"/>
        <v>811</v>
      </c>
      <c r="AH12" s="5">
        <f t="shared" si="1"/>
        <v>789</v>
      </c>
      <c r="AI12" s="16">
        <f t="shared" si="10"/>
        <v>22</v>
      </c>
      <c r="AJ12">
        <f t="shared" si="2"/>
        <v>5</v>
      </c>
      <c r="AK12">
        <f t="shared" si="3"/>
        <v>5</v>
      </c>
      <c r="AL12">
        <f t="shared" si="4"/>
        <v>0</v>
      </c>
      <c r="AM12">
        <f t="shared" si="5"/>
        <v>0</v>
      </c>
      <c r="AN12">
        <f t="shared" si="11"/>
        <v>0</v>
      </c>
      <c r="AO12">
        <f t="shared" si="12"/>
        <v>0</v>
      </c>
      <c r="AP12">
        <f t="shared" si="13"/>
        <v>0</v>
      </c>
      <c r="AQ12">
        <f t="shared" si="14"/>
        <v>0</v>
      </c>
      <c r="AY12" s="5"/>
    </row>
    <row r="13" spans="1:51" x14ac:dyDescent="0.2">
      <c r="A13">
        <f t="shared" si="24"/>
        <v>12</v>
      </c>
      <c r="B13" s="8">
        <f t="shared" si="16"/>
        <v>1</v>
      </c>
      <c r="C13">
        <f t="shared" si="17"/>
        <v>13</v>
      </c>
      <c r="D13" s="5" t="str">
        <f t="shared" si="18"/>
        <v>09</v>
      </c>
      <c r="E13">
        <v>12</v>
      </c>
      <c r="F13" s="5" t="s">
        <v>523</v>
      </c>
      <c r="H13" s="6" t="s">
        <v>355</v>
      </c>
      <c r="I13">
        <v>79</v>
      </c>
      <c r="J13">
        <v>15</v>
      </c>
      <c r="K13">
        <v>44</v>
      </c>
      <c r="L13">
        <v>80</v>
      </c>
      <c r="M13">
        <v>8</v>
      </c>
      <c r="O13" s="6">
        <f t="shared" si="19"/>
        <v>31</v>
      </c>
      <c r="P13" s="8">
        <v>70</v>
      </c>
      <c r="Q13">
        <v>87</v>
      </c>
      <c r="R13">
        <v>75</v>
      </c>
      <c r="S13">
        <v>22</v>
      </c>
      <c r="T13">
        <v>52</v>
      </c>
      <c r="V13">
        <f t="shared" si="20"/>
        <v>39</v>
      </c>
      <c r="W13" s="8">
        <f>SUMIFS(events!AJ:AJ,events!Q:Q,"=DeadIce",events!AK:AK,"&lt;="&amp;shifts!AG13,events!AL:AL,"&gt;"&amp;shifts!AH13,events!E:E,"="&amp;shifts!B14)+SUMIFS(events!AJ:AJ,events!Q:Q,"=Timeout",events!AK:AK,"&lt;="&amp;shifts!AG13,events!AL:AL,"&gt;"&amp;shifts!AH13,events!E:E,"="&amp;shifts!B14)</f>
        <v>0</v>
      </c>
      <c r="X13" s="8" t="str">
        <f t="shared" si="21"/>
        <v/>
      </c>
      <c r="Z13" t="str">
        <f t="shared" si="22"/>
        <v/>
      </c>
      <c r="AA13">
        <v>1</v>
      </c>
      <c r="AB13">
        <f t="shared" si="23"/>
        <v>1</v>
      </c>
      <c r="AD13">
        <f>events!AG13</f>
        <v>18981</v>
      </c>
      <c r="AE13" t="str">
        <f>events!AH13</f>
        <v>Nelson</v>
      </c>
      <c r="AF13" t="str">
        <f>events!AI13</f>
        <v>Velodrome</v>
      </c>
      <c r="AG13" s="5">
        <f t="shared" si="0"/>
        <v>789</v>
      </c>
      <c r="AH13" s="5">
        <f t="shared" si="1"/>
        <v>771</v>
      </c>
      <c r="AI13" s="16">
        <f t="shared" si="10"/>
        <v>18</v>
      </c>
      <c r="AJ13">
        <f t="shared" si="2"/>
        <v>5</v>
      </c>
      <c r="AK13">
        <f t="shared" si="3"/>
        <v>5</v>
      </c>
      <c r="AL13">
        <f t="shared" si="4"/>
        <v>0</v>
      </c>
      <c r="AM13">
        <f t="shared" si="5"/>
        <v>0</v>
      </c>
      <c r="AN13">
        <f t="shared" si="11"/>
        <v>0</v>
      </c>
      <c r="AO13">
        <f t="shared" si="12"/>
        <v>0</v>
      </c>
      <c r="AP13">
        <f t="shared" si="13"/>
        <v>0</v>
      </c>
      <c r="AQ13">
        <f t="shared" si="14"/>
        <v>0</v>
      </c>
      <c r="AY13" s="5"/>
    </row>
    <row r="14" spans="1:51" x14ac:dyDescent="0.2">
      <c r="A14">
        <f t="shared" si="24"/>
        <v>13</v>
      </c>
      <c r="B14" s="8">
        <f t="shared" si="16"/>
        <v>1</v>
      </c>
      <c r="C14">
        <f t="shared" si="17"/>
        <v>12</v>
      </c>
      <c r="D14" s="5" t="str">
        <f t="shared" si="18"/>
        <v>51</v>
      </c>
      <c r="E14">
        <v>11</v>
      </c>
      <c r="F14" s="5" t="s">
        <v>496</v>
      </c>
      <c r="G14" s="8" t="s">
        <v>343</v>
      </c>
      <c r="I14">
        <v>79</v>
      </c>
      <c r="J14">
        <v>3</v>
      </c>
      <c r="K14">
        <v>44</v>
      </c>
      <c r="L14">
        <v>80</v>
      </c>
      <c r="M14">
        <v>8</v>
      </c>
      <c r="O14" s="6">
        <f t="shared" si="19"/>
        <v>31</v>
      </c>
      <c r="P14" s="8">
        <v>70</v>
      </c>
      <c r="Q14">
        <v>87</v>
      </c>
      <c r="R14">
        <v>75</v>
      </c>
      <c r="S14">
        <v>22</v>
      </c>
      <c r="T14">
        <v>52</v>
      </c>
      <c r="V14">
        <f t="shared" si="20"/>
        <v>39</v>
      </c>
      <c r="W14" s="8">
        <f>SUMIFS(events!AJ:AJ,events!Q:Q,"=DeadIce",events!AK:AK,"&lt;="&amp;shifts!AG14,events!AL:AL,"&gt;"&amp;shifts!AH14,events!E:E,"="&amp;shifts!B15)+SUMIFS(events!AJ:AJ,events!Q:Q,"=Timeout",events!AK:AK,"&lt;="&amp;shifts!AG14,events!AL:AL,"&gt;"&amp;shifts!AH14,events!E:E,"="&amp;shifts!B15)</f>
        <v>0</v>
      </c>
      <c r="X14" s="8" t="str">
        <f t="shared" si="21"/>
        <v/>
      </c>
      <c r="Z14">
        <f t="shared" si="22"/>
        <v>1</v>
      </c>
      <c r="AA14">
        <v>1</v>
      </c>
      <c r="AB14" t="str">
        <f t="shared" si="23"/>
        <v/>
      </c>
      <c r="AD14">
        <f>events!AG14</f>
        <v>18981</v>
      </c>
      <c r="AE14" t="str">
        <f>events!AH14</f>
        <v>Nelson</v>
      </c>
      <c r="AF14" t="str">
        <f>events!AI14</f>
        <v>Velodrome</v>
      </c>
      <c r="AG14" s="5">
        <f t="shared" si="0"/>
        <v>771</v>
      </c>
      <c r="AH14" s="5">
        <f t="shared" si="1"/>
        <v>684</v>
      </c>
      <c r="AI14" s="16">
        <f t="shared" si="10"/>
        <v>87</v>
      </c>
      <c r="AJ14">
        <f t="shared" si="2"/>
        <v>5</v>
      </c>
      <c r="AK14">
        <f t="shared" si="3"/>
        <v>5</v>
      </c>
      <c r="AL14">
        <f t="shared" si="4"/>
        <v>0</v>
      </c>
      <c r="AM14">
        <f t="shared" si="5"/>
        <v>0</v>
      </c>
      <c r="AN14">
        <f t="shared" si="11"/>
        <v>0</v>
      </c>
      <c r="AO14">
        <f t="shared" si="12"/>
        <v>0</v>
      </c>
      <c r="AP14">
        <f t="shared" si="13"/>
        <v>0</v>
      </c>
      <c r="AQ14">
        <f t="shared" si="14"/>
        <v>0</v>
      </c>
      <c r="AY14" s="5"/>
    </row>
    <row r="15" spans="1:51" x14ac:dyDescent="0.2">
      <c r="A15">
        <f t="shared" si="24"/>
        <v>14</v>
      </c>
      <c r="B15" s="8">
        <f t="shared" si="16"/>
        <v>1</v>
      </c>
      <c r="C15">
        <f t="shared" si="17"/>
        <v>11</v>
      </c>
      <c r="D15" s="5" t="str">
        <f t="shared" si="18"/>
        <v>24</v>
      </c>
      <c r="E15">
        <v>11</v>
      </c>
      <c r="F15" s="5" t="s">
        <v>488</v>
      </c>
      <c r="I15">
        <v>79</v>
      </c>
      <c r="J15">
        <v>3</v>
      </c>
      <c r="K15">
        <v>16</v>
      </c>
      <c r="L15">
        <v>80</v>
      </c>
      <c r="M15">
        <v>8</v>
      </c>
      <c r="O15" s="6">
        <f t="shared" si="19"/>
        <v>31</v>
      </c>
      <c r="P15" s="8">
        <v>70</v>
      </c>
      <c r="Q15">
        <v>87</v>
      </c>
      <c r="R15">
        <v>75</v>
      </c>
      <c r="S15">
        <v>22</v>
      </c>
      <c r="T15">
        <v>52</v>
      </c>
      <c r="V15">
        <f t="shared" si="20"/>
        <v>39</v>
      </c>
      <c r="W15" s="8">
        <f>SUMIFS(events!AJ:AJ,events!Q:Q,"=DeadIce",events!AK:AK,"&lt;="&amp;shifts!AG15,events!AL:AL,"&gt;"&amp;shifts!AH15,events!E:E,"="&amp;shifts!B16)+SUMIFS(events!AJ:AJ,events!Q:Q,"=Timeout",events!AK:AK,"&lt;="&amp;shifts!AG15,events!AL:AL,"&gt;"&amp;shifts!AH15,events!E:E,"="&amp;shifts!B16)</f>
        <v>0</v>
      </c>
      <c r="X15" s="8" t="str">
        <f t="shared" si="21"/>
        <v/>
      </c>
      <c r="Z15">
        <f t="shared" si="22"/>
        <v>1</v>
      </c>
      <c r="AA15">
        <v>1</v>
      </c>
      <c r="AB15" t="str">
        <f t="shared" si="23"/>
        <v/>
      </c>
      <c r="AD15">
        <f>events!AG15</f>
        <v>18981</v>
      </c>
      <c r="AE15" t="str">
        <f>events!AH15</f>
        <v>Nelson</v>
      </c>
      <c r="AF15" t="str">
        <f>events!AI15</f>
        <v>Velodrome</v>
      </c>
      <c r="AG15" s="5">
        <f t="shared" si="0"/>
        <v>684</v>
      </c>
      <c r="AH15" s="5">
        <f t="shared" si="1"/>
        <v>673</v>
      </c>
      <c r="AI15" s="16">
        <f t="shared" si="10"/>
        <v>11</v>
      </c>
      <c r="AJ15">
        <f t="shared" si="2"/>
        <v>5</v>
      </c>
      <c r="AK15">
        <f t="shared" si="3"/>
        <v>5</v>
      </c>
      <c r="AL15">
        <f t="shared" si="4"/>
        <v>0</v>
      </c>
      <c r="AM15">
        <f t="shared" si="5"/>
        <v>0</v>
      </c>
      <c r="AN15">
        <f t="shared" si="11"/>
        <v>0</v>
      </c>
      <c r="AO15">
        <f t="shared" si="12"/>
        <v>0</v>
      </c>
      <c r="AP15">
        <f t="shared" si="13"/>
        <v>0</v>
      </c>
      <c r="AQ15">
        <f t="shared" si="14"/>
        <v>0</v>
      </c>
      <c r="AY15" s="5"/>
    </row>
    <row r="16" spans="1:51" x14ac:dyDescent="0.2">
      <c r="A16">
        <f t="shared" si="24"/>
        <v>15</v>
      </c>
      <c r="B16" s="8">
        <f t="shared" si="16"/>
        <v>1</v>
      </c>
      <c r="C16">
        <f t="shared" si="17"/>
        <v>11</v>
      </c>
      <c r="D16" s="5" t="str">
        <f t="shared" si="18"/>
        <v>13</v>
      </c>
      <c r="E16">
        <v>11</v>
      </c>
      <c r="F16" s="5" t="s">
        <v>473</v>
      </c>
      <c r="I16">
        <v>10</v>
      </c>
      <c r="J16">
        <v>3</v>
      </c>
      <c r="K16">
        <v>16</v>
      </c>
      <c r="L16">
        <v>80</v>
      </c>
      <c r="M16">
        <v>8</v>
      </c>
      <c r="O16" s="6">
        <f t="shared" si="19"/>
        <v>31</v>
      </c>
      <c r="P16" s="8">
        <v>70</v>
      </c>
      <c r="Q16">
        <v>87</v>
      </c>
      <c r="R16">
        <v>75</v>
      </c>
      <c r="S16">
        <v>22</v>
      </c>
      <c r="T16">
        <v>52</v>
      </c>
      <c r="V16">
        <f t="shared" si="20"/>
        <v>39</v>
      </c>
      <c r="W16" s="8">
        <f>SUMIFS(events!AJ:AJ,events!Q:Q,"=DeadIce",events!AK:AK,"&lt;="&amp;shifts!AG16,events!AL:AL,"&gt;"&amp;shifts!AH16,events!E:E,"="&amp;shifts!B17)+SUMIFS(events!AJ:AJ,events!Q:Q,"=Timeout",events!AK:AK,"&lt;="&amp;shifts!AG16,events!AL:AL,"&gt;"&amp;shifts!AH16,events!E:E,"="&amp;shifts!B17)</f>
        <v>0</v>
      </c>
      <c r="X16" s="8" t="str">
        <f t="shared" si="21"/>
        <v/>
      </c>
      <c r="Z16">
        <f t="shared" si="22"/>
        <v>1</v>
      </c>
      <c r="AA16">
        <v>1</v>
      </c>
      <c r="AB16" t="str">
        <f t="shared" si="23"/>
        <v/>
      </c>
      <c r="AD16">
        <f>events!AG16</f>
        <v>18981</v>
      </c>
      <c r="AE16" t="str">
        <f>events!AH16</f>
        <v>Nelson</v>
      </c>
      <c r="AF16" t="str">
        <f>events!AI16</f>
        <v>Velodrome</v>
      </c>
      <c r="AG16" s="5">
        <f t="shared" si="0"/>
        <v>673</v>
      </c>
      <c r="AH16" s="5">
        <f t="shared" si="1"/>
        <v>663</v>
      </c>
      <c r="AI16" s="16">
        <f t="shared" si="10"/>
        <v>10</v>
      </c>
      <c r="AJ16">
        <f t="shared" si="2"/>
        <v>5</v>
      </c>
      <c r="AK16">
        <f t="shared" si="3"/>
        <v>5</v>
      </c>
      <c r="AL16">
        <f t="shared" si="4"/>
        <v>0</v>
      </c>
      <c r="AM16">
        <f t="shared" si="5"/>
        <v>0</v>
      </c>
      <c r="AN16">
        <f t="shared" si="11"/>
        <v>0</v>
      </c>
      <c r="AO16">
        <f t="shared" si="12"/>
        <v>0</v>
      </c>
      <c r="AP16">
        <f t="shared" si="13"/>
        <v>0</v>
      </c>
      <c r="AQ16">
        <f t="shared" si="14"/>
        <v>0</v>
      </c>
      <c r="AY16" s="5"/>
    </row>
    <row r="17" spans="1:51" x14ac:dyDescent="0.2">
      <c r="A17">
        <f t="shared" si="24"/>
        <v>16</v>
      </c>
      <c r="B17" s="8">
        <f t="shared" si="16"/>
        <v>1</v>
      </c>
      <c r="C17">
        <f t="shared" si="17"/>
        <v>11</v>
      </c>
      <c r="D17" s="5" t="str">
        <f t="shared" si="18"/>
        <v>03</v>
      </c>
      <c r="E17">
        <v>10</v>
      </c>
      <c r="F17" s="5" t="s">
        <v>522</v>
      </c>
      <c r="I17">
        <v>10</v>
      </c>
      <c r="J17">
        <v>3</v>
      </c>
      <c r="K17">
        <v>16</v>
      </c>
      <c r="L17">
        <v>80</v>
      </c>
      <c r="M17">
        <v>8</v>
      </c>
      <c r="N17">
        <v>68.5</v>
      </c>
      <c r="O17" s="6">
        <f t="shared" si="19"/>
        <v>31</v>
      </c>
      <c r="P17" s="8">
        <v>70</v>
      </c>
      <c r="Q17">
        <v>91</v>
      </c>
      <c r="R17">
        <v>75</v>
      </c>
      <c r="S17">
        <v>22</v>
      </c>
      <c r="T17">
        <v>52</v>
      </c>
      <c r="V17">
        <f t="shared" si="20"/>
        <v>39</v>
      </c>
      <c r="W17" s="8">
        <f>SUMIFS(events!AJ:AJ,events!Q:Q,"=DeadIce",events!AK:AK,"&lt;="&amp;shifts!AG17,events!AL:AL,"&gt;"&amp;shifts!AH17,events!E:E,"="&amp;shifts!B18)+SUMIFS(events!AJ:AJ,events!Q:Q,"=Timeout",events!AK:AK,"&lt;="&amp;shifts!AG17,events!AL:AL,"&gt;"&amp;shifts!AH17,events!E:E,"="&amp;shifts!B18)</f>
        <v>0</v>
      </c>
      <c r="X17" s="8" t="str">
        <f t="shared" si="21"/>
        <v/>
      </c>
      <c r="Z17">
        <f t="shared" si="22"/>
        <v>1</v>
      </c>
      <c r="AB17" t="str">
        <f t="shared" si="23"/>
        <v/>
      </c>
      <c r="AC17">
        <v>1</v>
      </c>
      <c r="AD17">
        <f>events!AG17</f>
        <v>18981</v>
      </c>
      <c r="AE17" t="str">
        <f>events!AH17</f>
        <v>Nelson</v>
      </c>
      <c r="AF17" t="str">
        <f>events!AI17</f>
        <v>Velodrome</v>
      </c>
      <c r="AG17" s="5">
        <f t="shared" si="0"/>
        <v>663</v>
      </c>
      <c r="AH17" s="5">
        <f t="shared" si="1"/>
        <v>650</v>
      </c>
      <c r="AI17" s="16">
        <f t="shared" si="10"/>
        <v>13</v>
      </c>
      <c r="AJ17">
        <f t="shared" si="2"/>
        <v>6</v>
      </c>
      <c r="AK17">
        <f t="shared" si="3"/>
        <v>5</v>
      </c>
      <c r="AL17">
        <f t="shared" si="4"/>
        <v>0</v>
      </c>
      <c r="AM17">
        <f t="shared" si="5"/>
        <v>0</v>
      </c>
      <c r="AN17">
        <f t="shared" si="11"/>
        <v>0</v>
      </c>
      <c r="AO17">
        <f t="shared" si="12"/>
        <v>1</v>
      </c>
      <c r="AP17">
        <f t="shared" si="13"/>
        <v>0</v>
      </c>
      <c r="AQ17">
        <f t="shared" si="14"/>
        <v>1</v>
      </c>
      <c r="AY17" s="5"/>
    </row>
    <row r="18" spans="1:51" x14ac:dyDescent="0.2">
      <c r="A18">
        <f t="shared" si="24"/>
        <v>17</v>
      </c>
      <c r="B18" s="8">
        <f t="shared" si="16"/>
        <v>1</v>
      </c>
      <c r="C18">
        <f t="shared" si="17"/>
        <v>10</v>
      </c>
      <c r="D18" s="5" t="str">
        <f t="shared" si="18"/>
        <v>50</v>
      </c>
      <c r="E18">
        <v>10</v>
      </c>
      <c r="F18" s="5" t="s">
        <v>516</v>
      </c>
      <c r="I18">
        <v>10</v>
      </c>
      <c r="J18">
        <v>3</v>
      </c>
      <c r="K18">
        <v>16</v>
      </c>
      <c r="L18">
        <v>80</v>
      </c>
      <c r="M18">
        <v>8</v>
      </c>
      <c r="O18" s="6">
        <f t="shared" si="19"/>
        <v>31</v>
      </c>
      <c r="P18" s="8">
        <v>70</v>
      </c>
      <c r="Q18">
        <v>91</v>
      </c>
      <c r="R18">
        <v>75</v>
      </c>
      <c r="S18">
        <v>93</v>
      </c>
      <c r="T18">
        <v>52</v>
      </c>
      <c r="V18">
        <f t="shared" si="20"/>
        <v>39</v>
      </c>
      <c r="W18" s="8">
        <f>SUMIFS(events!AJ:AJ,events!Q:Q,"=DeadIce",events!AK:AK,"&lt;="&amp;shifts!AG18,events!AL:AL,"&gt;"&amp;shifts!AH18,events!E:E,"="&amp;shifts!B19)+SUMIFS(events!AJ:AJ,events!Q:Q,"=Timeout",events!AK:AK,"&lt;="&amp;shifts!AG18,events!AL:AL,"&gt;"&amp;shifts!AH18,events!E:E,"="&amp;shifts!B19)</f>
        <v>0</v>
      </c>
      <c r="X18" s="8" t="str">
        <f t="shared" si="21"/>
        <v/>
      </c>
      <c r="Y18">
        <v>1</v>
      </c>
      <c r="Z18" t="str">
        <f t="shared" si="22"/>
        <v/>
      </c>
      <c r="AB18">
        <f t="shared" si="23"/>
        <v>1</v>
      </c>
      <c r="AD18">
        <f>events!AG18</f>
        <v>18981</v>
      </c>
      <c r="AE18" t="str">
        <f>events!AH18</f>
        <v>Nelson</v>
      </c>
      <c r="AF18" t="str">
        <f>events!AI18</f>
        <v>Velodrome</v>
      </c>
      <c r="AG18" s="5">
        <f t="shared" si="0"/>
        <v>650</v>
      </c>
      <c r="AH18" s="5">
        <f t="shared" si="1"/>
        <v>644</v>
      </c>
      <c r="AI18" s="16">
        <f t="shared" si="10"/>
        <v>6</v>
      </c>
      <c r="AJ18">
        <f t="shared" si="2"/>
        <v>5</v>
      </c>
      <c r="AK18">
        <f t="shared" si="3"/>
        <v>5</v>
      </c>
      <c r="AL18">
        <f t="shared" si="4"/>
        <v>0</v>
      </c>
      <c r="AM18">
        <f t="shared" si="5"/>
        <v>0</v>
      </c>
      <c r="AN18">
        <f t="shared" si="11"/>
        <v>0</v>
      </c>
      <c r="AO18">
        <f t="shared" si="12"/>
        <v>0</v>
      </c>
      <c r="AP18">
        <f t="shared" si="13"/>
        <v>0</v>
      </c>
      <c r="AQ18">
        <f t="shared" si="14"/>
        <v>0</v>
      </c>
      <c r="AY18" s="5"/>
    </row>
    <row r="19" spans="1:51" x14ac:dyDescent="0.2">
      <c r="A19">
        <f t="shared" si="24"/>
        <v>18</v>
      </c>
      <c r="B19" s="8">
        <f t="shared" si="16"/>
        <v>1</v>
      </c>
      <c r="C19">
        <f t="shared" si="17"/>
        <v>10</v>
      </c>
      <c r="D19" s="5" t="str">
        <f t="shared" si="18"/>
        <v>44</v>
      </c>
      <c r="E19">
        <v>10</v>
      </c>
      <c r="F19" s="5" t="s">
        <v>510</v>
      </c>
      <c r="I19">
        <v>10</v>
      </c>
      <c r="J19">
        <v>3</v>
      </c>
      <c r="K19">
        <v>16</v>
      </c>
      <c r="L19">
        <v>80</v>
      </c>
      <c r="M19">
        <v>8</v>
      </c>
      <c r="O19" s="6">
        <f t="shared" si="19"/>
        <v>31</v>
      </c>
      <c r="P19" s="8">
        <v>70</v>
      </c>
      <c r="Q19">
        <v>91</v>
      </c>
      <c r="R19">
        <v>75</v>
      </c>
      <c r="S19">
        <v>93</v>
      </c>
      <c r="T19">
        <v>84</v>
      </c>
      <c r="V19">
        <f t="shared" si="20"/>
        <v>39</v>
      </c>
      <c r="W19" s="8">
        <f>SUMIFS(events!AJ:AJ,events!Q:Q,"=DeadIce",events!AK:AK,"&lt;="&amp;shifts!AG19,events!AL:AL,"&gt;"&amp;shifts!AH19,events!E:E,"="&amp;shifts!B20)+SUMIFS(events!AJ:AJ,events!Q:Q,"=Timeout",events!AK:AK,"&lt;="&amp;shifts!AG19,events!AL:AL,"&gt;"&amp;shifts!AH19,events!E:E,"="&amp;shifts!B20)</f>
        <v>0</v>
      </c>
      <c r="X19" s="8">
        <f t="shared" si="21"/>
        <v>1</v>
      </c>
      <c r="Z19" t="str">
        <f t="shared" si="22"/>
        <v/>
      </c>
      <c r="AA19">
        <v>1</v>
      </c>
      <c r="AB19" t="str">
        <f t="shared" si="23"/>
        <v/>
      </c>
      <c r="AD19">
        <f>events!AG19</f>
        <v>18981</v>
      </c>
      <c r="AE19" t="str">
        <f>events!AH19</f>
        <v>Nelson</v>
      </c>
      <c r="AF19" t="str">
        <f>events!AI19</f>
        <v>Velodrome</v>
      </c>
      <c r="AG19" s="5">
        <f t="shared" si="0"/>
        <v>644</v>
      </c>
      <c r="AH19" s="5">
        <f t="shared" si="1"/>
        <v>638</v>
      </c>
      <c r="AI19" s="16">
        <f t="shared" si="10"/>
        <v>6</v>
      </c>
      <c r="AJ19">
        <f t="shared" si="2"/>
        <v>5</v>
      </c>
      <c r="AK19">
        <f t="shared" si="3"/>
        <v>5</v>
      </c>
      <c r="AL19">
        <f t="shared" si="4"/>
        <v>0</v>
      </c>
      <c r="AM19">
        <f t="shared" si="5"/>
        <v>0</v>
      </c>
      <c r="AN19">
        <f t="shared" si="11"/>
        <v>0</v>
      </c>
      <c r="AO19">
        <f t="shared" si="12"/>
        <v>0</v>
      </c>
      <c r="AP19">
        <f t="shared" si="13"/>
        <v>0</v>
      </c>
      <c r="AQ19">
        <f t="shared" si="14"/>
        <v>0</v>
      </c>
      <c r="AY19" s="5"/>
    </row>
    <row r="20" spans="1:51" x14ac:dyDescent="0.2">
      <c r="A20">
        <f t="shared" si="24"/>
        <v>19</v>
      </c>
      <c r="B20" s="8">
        <f t="shared" si="16"/>
        <v>1</v>
      </c>
      <c r="C20">
        <f t="shared" si="17"/>
        <v>10</v>
      </c>
      <c r="D20" s="5" t="str">
        <f t="shared" si="18"/>
        <v>38</v>
      </c>
      <c r="E20">
        <v>10</v>
      </c>
      <c r="F20" s="5" t="s">
        <v>500</v>
      </c>
      <c r="I20">
        <v>10</v>
      </c>
      <c r="J20">
        <v>3</v>
      </c>
      <c r="K20">
        <v>16</v>
      </c>
      <c r="L20">
        <v>80</v>
      </c>
      <c r="M20">
        <v>23</v>
      </c>
      <c r="O20" s="6">
        <f t="shared" si="19"/>
        <v>31</v>
      </c>
      <c r="P20" s="8">
        <v>70</v>
      </c>
      <c r="Q20">
        <v>91</v>
      </c>
      <c r="R20">
        <v>24</v>
      </c>
      <c r="S20">
        <v>93</v>
      </c>
      <c r="T20">
        <v>84</v>
      </c>
      <c r="V20">
        <f t="shared" si="20"/>
        <v>39</v>
      </c>
      <c r="W20" s="8">
        <f>SUMIFS(events!AJ:AJ,events!Q:Q,"=DeadIce",events!AK:AK,"&lt;="&amp;shifts!AG20,events!AL:AL,"&gt;"&amp;shifts!AH20,events!E:E,"="&amp;shifts!B21)+SUMIFS(events!AJ:AJ,events!Q:Q,"=Timeout",events!AK:AK,"&lt;="&amp;shifts!AG20,events!AL:AL,"&gt;"&amp;shifts!AH20,events!E:E,"="&amp;shifts!B21)</f>
        <v>0</v>
      </c>
      <c r="X20" s="8" t="str">
        <f t="shared" si="21"/>
        <v/>
      </c>
      <c r="Y20">
        <v>1</v>
      </c>
      <c r="Z20">
        <f t="shared" si="22"/>
        <v>1</v>
      </c>
      <c r="AA20">
        <v>1</v>
      </c>
      <c r="AB20" t="str">
        <f t="shared" si="23"/>
        <v/>
      </c>
      <c r="AD20">
        <f>events!AG20</f>
        <v>18981</v>
      </c>
      <c r="AE20" t="str">
        <f>events!AH20</f>
        <v>Nelson</v>
      </c>
      <c r="AF20" t="str">
        <f>events!AI20</f>
        <v>Velodrome</v>
      </c>
      <c r="AG20" s="5">
        <f t="shared" si="0"/>
        <v>638</v>
      </c>
      <c r="AH20" s="5">
        <f t="shared" si="1"/>
        <v>628</v>
      </c>
      <c r="AI20" s="16">
        <f t="shared" si="10"/>
        <v>10</v>
      </c>
      <c r="AJ20">
        <f t="shared" si="2"/>
        <v>5</v>
      </c>
      <c r="AK20">
        <f t="shared" si="3"/>
        <v>5</v>
      </c>
      <c r="AL20">
        <f t="shared" si="4"/>
        <v>0</v>
      </c>
      <c r="AM20">
        <f t="shared" si="5"/>
        <v>0</v>
      </c>
      <c r="AN20">
        <f t="shared" si="11"/>
        <v>0</v>
      </c>
      <c r="AO20">
        <f t="shared" si="12"/>
        <v>0</v>
      </c>
      <c r="AP20">
        <f t="shared" si="13"/>
        <v>0</v>
      </c>
      <c r="AQ20">
        <f t="shared" si="14"/>
        <v>0</v>
      </c>
      <c r="AY20" s="5"/>
    </row>
    <row r="21" spans="1:51" x14ac:dyDescent="0.2">
      <c r="A21">
        <f t="shared" si="24"/>
        <v>20</v>
      </c>
      <c r="B21" s="8">
        <f t="shared" si="16"/>
        <v>1</v>
      </c>
      <c r="C21">
        <f t="shared" si="17"/>
        <v>10</v>
      </c>
      <c r="D21" s="5" t="str">
        <f t="shared" si="18"/>
        <v>28</v>
      </c>
      <c r="E21">
        <v>10</v>
      </c>
      <c r="F21" s="5" t="s">
        <v>485</v>
      </c>
      <c r="I21">
        <v>79</v>
      </c>
      <c r="J21">
        <v>7</v>
      </c>
      <c r="K21">
        <v>16</v>
      </c>
      <c r="L21">
        <v>37</v>
      </c>
      <c r="M21">
        <v>23</v>
      </c>
      <c r="O21" s="6">
        <f t="shared" si="19"/>
        <v>31</v>
      </c>
      <c r="P21" s="8">
        <v>42</v>
      </c>
      <c r="Q21">
        <v>91</v>
      </c>
      <c r="R21">
        <v>24</v>
      </c>
      <c r="S21">
        <v>93</v>
      </c>
      <c r="T21">
        <v>84</v>
      </c>
      <c r="V21">
        <f t="shared" si="20"/>
        <v>39</v>
      </c>
      <c r="W21" s="8">
        <f>SUMIFS(events!AJ:AJ,events!Q:Q,"=DeadIce",events!AK:AK,"&lt;="&amp;shifts!AG21,events!AL:AL,"&gt;"&amp;shifts!AH21,events!E:E,"="&amp;shifts!B22)+SUMIFS(events!AJ:AJ,events!Q:Q,"=Timeout",events!AK:AK,"&lt;="&amp;shifts!AG21,events!AL:AL,"&gt;"&amp;shifts!AH21,events!E:E,"="&amp;shifts!B22)</f>
        <v>0</v>
      </c>
      <c r="X21" s="8">
        <f t="shared" si="21"/>
        <v>1</v>
      </c>
      <c r="Z21">
        <f t="shared" si="22"/>
        <v>1</v>
      </c>
      <c r="AA21">
        <v>1</v>
      </c>
      <c r="AB21" t="str">
        <f t="shared" si="23"/>
        <v/>
      </c>
      <c r="AD21">
        <f>events!AG21</f>
        <v>18981</v>
      </c>
      <c r="AE21" t="str">
        <f>events!AH21</f>
        <v>Nelson</v>
      </c>
      <c r="AF21" t="str">
        <f>events!AI21</f>
        <v>Velodrome</v>
      </c>
      <c r="AG21" s="5">
        <f t="shared" si="0"/>
        <v>628</v>
      </c>
      <c r="AH21" s="5">
        <f t="shared" si="1"/>
        <v>610</v>
      </c>
      <c r="AI21" s="16">
        <f t="shared" si="10"/>
        <v>18</v>
      </c>
      <c r="AJ21">
        <f t="shared" si="2"/>
        <v>5</v>
      </c>
      <c r="AK21">
        <f t="shared" si="3"/>
        <v>5</v>
      </c>
      <c r="AL21">
        <f t="shared" si="4"/>
        <v>0</v>
      </c>
      <c r="AM21">
        <f t="shared" si="5"/>
        <v>0</v>
      </c>
      <c r="AN21">
        <f t="shared" si="11"/>
        <v>0</v>
      </c>
      <c r="AO21">
        <f t="shared" si="12"/>
        <v>0</v>
      </c>
      <c r="AP21">
        <f t="shared" si="13"/>
        <v>0</v>
      </c>
      <c r="AQ21">
        <f t="shared" si="14"/>
        <v>0</v>
      </c>
      <c r="AY21" s="5"/>
    </row>
    <row r="22" spans="1:51" x14ac:dyDescent="0.2">
      <c r="A22">
        <f t="shared" si="24"/>
        <v>21</v>
      </c>
      <c r="B22" s="8">
        <f t="shared" si="16"/>
        <v>1</v>
      </c>
      <c r="C22">
        <f t="shared" si="17"/>
        <v>10</v>
      </c>
      <c r="D22" s="5" t="str">
        <f t="shared" si="18"/>
        <v>10</v>
      </c>
      <c r="E22">
        <v>9</v>
      </c>
      <c r="F22" s="5" t="s">
        <v>479</v>
      </c>
      <c r="I22">
        <v>79</v>
      </c>
      <c r="J22">
        <v>7</v>
      </c>
      <c r="K22">
        <v>44</v>
      </c>
      <c r="L22">
        <v>37</v>
      </c>
      <c r="M22">
        <v>23</v>
      </c>
      <c r="O22" s="6">
        <f t="shared" si="19"/>
        <v>31</v>
      </c>
      <c r="P22" s="8">
        <v>42</v>
      </c>
      <c r="Q22">
        <v>91</v>
      </c>
      <c r="R22">
        <v>24</v>
      </c>
      <c r="S22">
        <v>93</v>
      </c>
      <c r="T22">
        <v>84</v>
      </c>
      <c r="V22">
        <f t="shared" si="20"/>
        <v>39</v>
      </c>
      <c r="W22" s="8">
        <f>SUMIFS(events!AJ:AJ,events!Q:Q,"=DeadIce",events!AK:AK,"&lt;="&amp;shifts!AG22,events!AL:AL,"&gt;"&amp;shifts!AH22,events!E:E,"="&amp;shifts!B23)+SUMIFS(events!AJ:AJ,events!Q:Q,"=Timeout",events!AK:AK,"&lt;="&amp;shifts!AG22,events!AL:AL,"&gt;"&amp;shifts!AH22,events!E:E,"="&amp;shifts!B23)</f>
        <v>0</v>
      </c>
      <c r="X22" s="8" t="str">
        <f t="shared" si="21"/>
        <v/>
      </c>
      <c r="Y22">
        <v>1</v>
      </c>
      <c r="Z22">
        <f t="shared" si="22"/>
        <v>1</v>
      </c>
      <c r="AB22" t="str">
        <f t="shared" si="23"/>
        <v/>
      </c>
      <c r="AD22">
        <f>events!AG22</f>
        <v>18981</v>
      </c>
      <c r="AE22" t="str">
        <f>events!AH22</f>
        <v>Nelson</v>
      </c>
      <c r="AF22" t="str">
        <f>events!AI22</f>
        <v>Velodrome</v>
      </c>
      <c r="AG22" s="5">
        <f t="shared" si="0"/>
        <v>610</v>
      </c>
      <c r="AH22" s="5">
        <f t="shared" si="1"/>
        <v>599</v>
      </c>
      <c r="AI22" s="16">
        <f t="shared" si="10"/>
        <v>11</v>
      </c>
      <c r="AJ22">
        <f t="shared" si="2"/>
        <v>5</v>
      </c>
      <c r="AK22">
        <f t="shared" si="3"/>
        <v>5</v>
      </c>
      <c r="AL22">
        <f t="shared" si="4"/>
        <v>0</v>
      </c>
      <c r="AM22">
        <f t="shared" si="5"/>
        <v>0</v>
      </c>
      <c r="AN22">
        <f t="shared" si="11"/>
        <v>0</v>
      </c>
      <c r="AO22">
        <f t="shared" si="12"/>
        <v>0</v>
      </c>
      <c r="AP22">
        <f t="shared" si="13"/>
        <v>0</v>
      </c>
      <c r="AQ22">
        <f t="shared" si="14"/>
        <v>0</v>
      </c>
      <c r="AY22" s="5"/>
    </row>
    <row r="23" spans="1:51" x14ac:dyDescent="0.2">
      <c r="A23">
        <f t="shared" si="24"/>
        <v>22</v>
      </c>
      <c r="B23" s="8">
        <f t="shared" si="16"/>
        <v>1</v>
      </c>
      <c r="C23">
        <f t="shared" si="17"/>
        <v>9</v>
      </c>
      <c r="D23" s="5" t="str">
        <f t="shared" si="18"/>
        <v>59</v>
      </c>
      <c r="E23">
        <v>9</v>
      </c>
      <c r="F23" s="5" t="s">
        <v>516</v>
      </c>
      <c r="H23" s="6" t="s">
        <v>347</v>
      </c>
      <c r="I23">
        <v>79</v>
      </c>
      <c r="J23">
        <v>7</v>
      </c>
      <c r="K23">
        <v>44</v>
      </c>
      <c r="L23">
        <v>37</v>
      </c>
      <c r="M23">
        <v>23</v>
      </c>
      <c r="O23" s="6">
        <f t="shared" si="19"/>
        <v>31</v>
      </c>
      <c r="P23" s="8">
        <v>42</v>
      </c>
      <c r="Q23">
        <v>91</v>
      </c>
      <c r="R23">
        <v>24</v>
      </c>
      <c r="S23">
        <v>93</v>
      </c>
      <c r="T23">
        <v>84</v>
      </c>
      <c r="V23">
        <f t="shared" si="20"/>
        <v>39</v>
      </c>
      <c r="W23" s="8">
        <f>SUMIFS(events!AJ:AJ,events!Q:Q,"=DeadIce",events!AK:AK,"&lt;="&amp;shifts!AG23,events!AL:AL,"&gt;"&amp;shifts!AH23,events!E:E,"="&amp;shifts!B24)+SUMIFS(events!AJ:AJ,events!Q:Q,"=Timeout",events!AK:AK,"&lt;="&amp;shifts!AG23,events!AL:AL,"&gt;"&amp;shifts!AH23,events!E:E,"="&amp;shifts!B24)</f>
        <v>0</v>
      </c>
      <c r="X23" s="8">
        <f t="shared" si="21"/>
        <v>1</v>
      </c>
      <c r="Z23" t="str">
        <f t="shared" si="22"/>
        <v/>
      </c>
      <c r="AA23">
        <v>1</v>
      </c>
      <c r="AB23" t="str">
        <f t="shared" si="23"/>
        <v/>
      </c>
      <c r="AD23">
        <f>events!AG23</f>
        <v>18981</v>
      </c>
      <c r="AE23" t="str">
        <f>events!AH23</f>
        <v>Nelson</v>
      </c>
      <c r="AF23" t="str">
        <f>events!AI23</f>
        <v>Velodrome</v>
      </c>
      <c r="AG23" s="5">
        <f t="shared" si="0"/>
        <v>599</v>
      </c>
      <c r="AH23" s="5">
        <f t="shared" si="1"/>
        <v>584</v>
      </c>
      <c r="AI23" s="16">
        <f t="shared" si="10"/>
        <v>15</v>
      </c>
      <c r="AJ23">
        <f t="shared" si="2"/>
        <v>5</v>
      </c>
      <c r="AK23">
        <f t="shared" si="3"/>
        <v>5</v>
      </c>
      <c r="AL23">
        <f t="shared" si="4"/>
        <v>0</v>
      </c>
      <c r="AM23">
        <f t="shared" si="5"/>
        <v>0</v>
      </c>
      <c r="AN23">
        <f t="shared" si="11"/>
        <v>0</v>
      </c>
      <c r="AO23">
        <f t="shared" si="12"/>
        <v>0</v>
      </c>
      <c r="AP23">
        <f t="shared" si="13"/>
        <v>0</v>
      </c>
      <c r="AQ23">
        <f t="shared" si="14"/>
        <v>0</v>
      </c>
      <c r="AY23" s="5"/>
    </row>
    <row r="24" spans="1:51" x14ac:dyDescent="0.2">
      <c r="A24">
        <f t="shared" si="24"/>
        <v>23</v>
      </c>
      <c r="B24" s="8">
        <f t="shared" si="16"/>
        <v>1</v>
      </c>
      <c r="C24">
        <f t="shared" si="17"/>
        <v>9</v>
      </c>
      <c r="D24" s="5" t="str">
        <f t="shared" si="18"/>
        <v>44</v>
      </c>
      <c r="E24">
        <v>8</v>
      </c>
      <c r="F24" s="5" t="s">
        <v>515</v>
      </c>
      <c r="G24" s="8" t="s">
        <v>343</v>
      </c>
      <c r="I24">
        <v>79</v>
      </c>
      <c r="J24">
        <v>7</v>
      </c>
      <c r="K24">
        <v>44</v>
      </c>
      <c r="L24">
        <v>37</v>
      </c>
      <c r="M24">
        <v>23</v>
      </c>
      <c r="O24" s="6">
        <f t="shared" si="19"/>
        <v>31</v>
      </c>
      <c r="P24" s="8">
        <v>42</v>
      </c>
      <c r="Q24">
        <v>91</v>
      </c>
      <c r="R24">
        <v>24</v>
      </c>
      <c r="S24">
        <v>93</v>
      </c>
      <c r="T24">
        <v>84</v>
      </c>
      <c r="V24">
        <f t="shared" si="20"/>
        <v>39</v>
      </c>
      <c r="W24" s="8">
        <f>SUMIFS(events!AJ:AJ,events!Q:Q,"=DeadIce",events!AK:AK,"&lt;="&amp;shifts!AG24,events!AL:AL,"&gt;"&amp;shifts!AH24,events!E:E,"="&amp;shifts!B25)+SUMIFS(events!AJ:AJ,events!Q:Q,"=Timeout",events!AK:AK,"&lt;="&amp;shifts!AG24,events!AL:AL,"&gt;"&amp;shifts!AH24,events!E:E,"="&amp;shifts!B25)</f>
        <v>0</v>
      </c>
      <c r="X24" s="8" t="str">
        <f t="shared" si="21"/>
        <v/>
      </c>
      <c r="Z24">
        <f t="shared" si="22"/>
        <v>1</v>
      </c>
      <c r="AA24">
        <v>1</v>
      </c>
      <c r="AB24" t="str">
        <f t="shared" si="23"/>
        <v/>
      </c>
      <c r="AD24">
        <f>events!AG24</f>
        <v>18981</v>
      </c>
      <c r="AE24" t="str">
        <f>events!AH24</f>
        <v>Nelson</v>
      </c>
      <c r="AF24" t="str">
        <f>events!AI24</f>
        <v>Velodrome</v>
      </c>
      <c r="AG24" s="5">
        <f t="shared" si="0"/>
        <v>584</v>
      </c>
      <c r="AH24" s="5">
        <f t="shared" si="1"/>
        <v>523</v>
      </c>
      <c r="AI24" s="16">
        <f t="shared" si="10"/>
        <v>61</v>
      </c>
      <c r="AJ24">
        <f t="shared" si="2"/>
        <v>5</v>
      </c>
      <c r="AK24">
        <f t="shared" si="3"/>
        <v>5</v>
      </c>
      <c r="AL24">
        <f t="shared" si="4"/>
        <v>0</v>
      </c>
      <c r="AM24">
        <f t="shared" si="5"/>
        <v>0</v>
      </c>
      <c r="AN24">
        <f t="shared" si="11"/>
        <v>0</v>
      </c>
      <c r="AO24">
        <f t="shared" si="12"/>
        <v>0</v>
      </c>
      <c r="AP24">
        <f t="shared" si="13"/>
        <v>0</v>
      </c>
      <c r="AQ24">
        <f t="shared" si="14"/>
        <v>0</v>
      </c>
      <c r="AY24" s="5"/>
    </row>
    <row r="25" spans="1:51" x14ac:dyDescent="0.2">
      <c r="A25">
        <f t="shared" si="24"/>
        <v>24</v>
      </c>
      <c r="B25" s="8">
        <f t="shared" si="16"/>
        <v>1</v>
      </c>
      <c r="C25">
        <f t="shared" si="17"/>
        <v>8</v>
      </c>
      <c r="D25" s="5" t="str">
        <f t="shared" si="18"/>
        <v>43</v>
      </c>
      <c r="E25">
        <v>8</v>
      </c>
      <c r="F25" s="5" t="s">
        <v>510</v>
      </c>
      <c r="H25" s="6" t="s">
        <v>347</v>
      </c>
      <c r="I25">
        <v>79</v>
      </c>
      <c r="J25">
        <v>15</v>
      </c>
      <c r="K25">
        <v>44</v>
      </c>
      <c r="L25">
        <v>37</v>
      </c>
      <c r="M25">
        <v>23</v>
      </c>
      <c r="O25" s="6">
        <f t="shared" si="19"/>
        <v>31</v>
      </c>
      <c r="P25" s="8">
        <v>42</v>
      </c>
      <c r="Q25">
        <v>91</v>
      </c>
      <c r="R25">
        <v>24</v>
      </c>
      <c r="S25">
        <v>93</v>
      </c>
      <c r="T25">
        <v>84</v>
      </c>
      <c r="V25">
        <f t="shared" si="20"/>
        <v>39</v>
      </c>
      <c r="W25" s="8">
        <f>SUMIFS(events!AJ:AJ,events!Q:Q,"=DeadIce",events!AK:AK,"&lt;="&amp;shifts!AG25,events!AL:AL,"&gt;"&amp;shifts!AH25,events!E:E,"="&amp;shifts!B26)+SUMIFS(events!AJ:AJ,events!Q:Q,"=Timeout",events!AK:AK,"&lt;="&amp;shifts!AG25,events!AL:AL,"&gt;"&amp;shifts!AH25,events!E:E,"="&amp;shifts!B26)</f>
        <v>0</v>
      </c>
      <c r="X25" s="8" t="str">
        <f t="shared" si="21"/>
        <v/>
      </c>
      <c r="Z25">
        <f t="shared" si="22"/>
        <v>1</v>
      </c>
      <c r="AA25">
        <v>1</v>
      </c>
      <c r="AB25" t="str">
        <f t="shared" si="23"/>
        <v/>
      </c>
      <c r="AD25">
        <f>events!AG25</f>
        <v>18981</v>
      </c>
      <c r="AE25" t="str">
        <f>events!AH25</f>
        <v>Nelson</v>
      </c>
      <c r="AF25" t="str">
        <f>events!AI25</f>
        <v>Velodrome</v>
      </c>
      <c r="AG25" s="5">
        <f t="shared" si="0"/>
        <v>523</v>
      </c>
      <c r="AH25" s="5">
        <f t="shared" si="1"/>
        <v>518</v>
      </c>
      <c r="AI25" s="16">
        <f t="shared" si="10"/>
        <v>5</v>
      </c>
      <c r="AJ25">
        <f t="shared" si="2"/>
        <v>5</v>
      </c>
      <c r="AK25">
        <f t="shared" si="3"/>
        <v>5</v>
      </c>
      <c r="AL25">
        <f t="shared" si="4"/>
        <v>0</v>
      </c>
      <c r="AM25">
        <f t="shared" si="5"/>
        <v>0</v>
      </c>
      <c r="AN25">
        <f t="shared" si="11"/>
        <v>0</v>
      </c>
      <c r="AO25">
        <f t="shared" si="12"/>
        <v>0</v>
      </c>
      <c r="AP25">
        <f t="shared" si="13"/>
        <v>0</v>
      </c>
      <c r="AQ25">
        <f t="shared" si="14"/>
        <v>0</v>
      </c>
      <c r="AY25" s="5"/>
    </row>
    <row r="26" spans="1:51" x14ac:dyDescent="0.2">
      <c r="A26">
        <f t="shared" si="24"/>
        <v>25</v>
      </c>
      <c r="B26" s="8">
        <f t="shared" si="16"/>
        <v>1</v>
      </c>
      <c r="C26">
        <f t="shared" si="17"/>
        <v>8</v>
      </c>
      <c r="D26" s="5" t="str">
        <f t="shared" si="18"/>
        <v>38</v>
      </c>
      <c r="E26">
        <v>7</v>
      </c>
      <c r="F26" s="5" t="s">
        <v>505</v>
      </c>
      <c r="G26" s="8" t="s">
        <v>343</v>
      </c>
      <c r="I26">
        <v>10</v>
      </c>
      <c r="J26">
        <v>15</v>
      </c>
      <c r="K26">
        <v>44</v>
      </c>
      <c r="L26">
        <v>37</v>
      </c>
      <c r="M26">
        <v>23</v>
      </c>
      <c r="O26" s="6">
        <f t="shared" si="19"/>
        <v>31</v>
      </c>
      <c r="P26" s="8">
        <v>49</v>
      </c>
      <c r="Q26">
        <v>14</v>
      </c>
      <c r="R26">
        <v>61</v>
      </c>
      <c r="S26">
        <v>9</v>
      </c>
      <c r="T26">
        <v>52</v>
      </c>
      <c r="V26">
        <f t="shared" si="20"/>
        <v>39</v>
      </c>
      <c r="W26" s="8">
        <f>SUMIFS(events!AJ:AJ,events!Q:Q,"=DeadIce",events!AK:AK,"&lt;="&amp;shifts!AG26,events!AL:AL,"&gt;"&amp;shifts!AH26,events!E:E,"="&amp;shifts!B27)+SUMIFS(events!AJ:AJ,events!Q:Q,"=Timeout",events!AK:AK,"&lt;="&amp;shifts!AG26,events!AL:AL,"&gt;"&amp;shifts!AH26,events!E:E,"="&amp;shifts!B27)</f>
        <v>0</v>
      </c>
      <c r="X26" s="8" t="str">
        <f t="shared" si="21"/>
        <v/>
      </c>
      <c r="Z26">
        <f t="shared" si="22"/>
        <v>1</v>
      </c>
      <c r="AA26">
        <v>1</v>
      </c>
      <c r="AB26" t="str">
        <f t="shared" si="23"/>
        <v/>
      </c>
      <c r="AD26">
        <f>events!AG26</f>
        <v>18981</v>
      </c>
      <c r="AE26" t="str">
        <f>events!AH26</f>
        <v>Nelson</v>
      </c>
      <c r="AF26" t="str">
        <f>events!AI26</f>
        <v>Velodrome</v>
      </c>
      <c r="AG26" s="5">
        <f t="shared" si="0"/>
        <v>518</v>
      </c>
      <c r="AH26" s="5">
        <f t="shared" si="1"/>
        <v>453</v>
      </c>
      <c r="AI26" s="16">
        <f t="shared" si="10"/>
        <v>65</v>
      </c>
      <c r="AJ26">
        <f t="shared" si="2"/>
        <v>5</v>
      </c>
      <c r="AK26">
        <f t="shared" si="3"/>
        <v>5</v>
      </c>
      <c r="AL26">
        <f t="shared" si="4"/>
        <v>0</v>
      </c>
      <c r="AM26">
        <f t="shared" si="5"/>
        <v>0</v>
      </c>
      <c r="AN26">
        <f t="shared" si="11"/>
        <v>0</v>
      </c>
      <c r="AO26">
        <f t="shared" si="12"/>
        <v>0</v>
      </c>
      <c r="AP26">
        <f t="shared" si="13"/>
        <v>0</v>
      </c>
      <c r="AQ26">
        <f t="shared" si="14"/>
        <v>0</v>
      </c>
      <c r="AY26" s="5"/>
    </row>
    <row r="27" spans="1:51" x14ac:dyDescent="0.2">
      <c r="A27">
        <f t="shared" si="24"/>
        <v>26</v>
      </c>
      <c r="B27" s="8">
        <f t="shared" si="16"/>
        <v>1</v>
      </c>
      <c r="C27">
        <f t="shared" si="17"/>
        <v>7</v>
      </c>
      <c r="D27" s="5" t="str">
        <f t="shared" si="18"/>
        <v>33</v>
      </c>
      <c r="E27">
        <v>7</v>
      </c>
      <c r="F27" s="5" t="s">
        <v>493</v>
      </c>
      <c r="I27">
        <v>10</v>
      </c>
      <c r="J27">
        <v>15</v>
      </c>
      <c r="K27">
        <v>44</v>
      </c>
      <c r="L27">
        <v>80</v>
      </c>
      <c r="M27">
        <v>23</v>
      </c>
      <c r="O27" s="6">
        <f t="shared" si="19"/>
        <v>31</v>
      </c>
      <c r="P27" s="8">
        <v>49</v>
      </c>
      <c r="Q27">
        <v>14</v>
      </c>
      <c r="R27">
        <v>61</v>
      </c>
      <c r="S27">
        <v>9</v>
      </c>
      <c r="T27">
        <v>52</v>
      </c>
      <c r="V27">
        <f t="shared" si="20"/>
        <v>39</v>
      </c>
      <c r="W27" s="8">
        <f>SUMIFS(events!AJ:AJ,events!Q:Q,"=DeadIce",events!AK:AK,"&lt;="&amp;shifts!AG27,events!AL:AL,"&gt;"&amp;shifts!AH27,events!E:E,"="&amp;shifts!B28)+SUMIFS(events!AJ:AJ,events!Q:Q,"=Timeout",events!AK:AK,"&lt;="&amp;shifts!AG27,events!AL:AL,"&gt;"&amp;shifts!AH27,events!E:E,"="&amp;shifts!B28)</f>
        <v>0</v>
      </c>
      <c r="X27" s="8" t="str">
        <f t="shared" si="21"/>
        <v/>
      </c>
      <c r="Z27">
        <f t="shared" si="22"/>
        <v>1</v>
      </c>
      <c r="AA27">
        <v>1</v>
      </c>
      <c r="AB27" t="str">
        <f t="shared" si="23"/>
        <v/>
      </c>
      <c r="AD27">
        <f>events!AG27</f>
        <v>18981</v>
      </c>
      <c r="AE27" t="str">
        <f>events!AH27</f>
        <v>Nelson</v>
      </c>
      <c r="AF27" t="str">
        <f>events!AI27</f>
        <v>Velodrome</v>
      </c>
      <c r="AG27" s="5">
        <f t="shared" si="0"/>
        <v>453</v>
      </c>
      <c r="AH27" s="5">
        <f t="shared" si="1"/>
        <v>441</v>
      </c>
      <c r="AI27" s="16">
        <f t="shared" si="10"/>
        <v>12</v>
      </c>
      <c r="AJ27">
        <f t="shared" si="2"/>
        <v>5</v>
      </c>
      <c r="AK27">
        <f t="shared" si="3"/>
        <v>5</v>
      </c>
      <c r="AL27">
        <f t="shared" si="4"/>
        <v>0</v>
      </c>
      <c r="AM27">
        <f t="shared" si="5"/>
        <v>0</v>
      </c>
      <c r="AN27">
        <f t="shared" si="11"/>
        <v>0</v>
      </c>
      <c r="AO27">
        <f t="shared" si="12"/>
        <v>0</v>
      </c>
      <c r="AP27">
        <f t="shared" si="13"/>
        <v>0</v>
      </c>
      <c r="AQ27">
        <f t="shared" si="14"/>
        <v>0</v>
      </c>
      <c r="AY27" s="5"/>
    </row>
    <row r="28" spans="1:51" x14ac:dyDescent="0.2">
      <c r="A28">
        <f t="shared" si="24"/>
        <v>27</v>
      </c>
      <c r="B28" s="8">
        <f t="shared" si="16"/>
        <v>1</v>
      </c>
      <c r="C28">
        <f t="shared" si="17"/>
        <v>7</v>
      </c>
      <c r="D28" s="5" t="str">
        <f t="shared" si="18"/>
        <v>21</v>
      </c>
      <c r="E28">
        <v>6</v>
      </c>
      <c r="F28" s="5" t="s">
        <v>520</v>
      </c>
      <c r="H28" s="6" t="s">
        <v>395</v>
      </c>
      <c r="I28">
        <v>10</v>
      </c>
      <c r="J28">
        <v>3</v>
      </c>
      <c r="K28">
        <v>16</v>
      </c>
      <c r="L28">
        <v>80</v>
      </c>
      <c r="M28">
        <v>8</v>
      </c>
      <c r="O28" s="6">
        <f t="shared" si="19"/>
        <v>31</v>
      </c>
      <c r="P28" s="8">
        <v>49</v>
      </c>
      <c r="Q28">
        <v>14</v>
      </c>
      <c r="R28">
        <v>61</v>
      </c>
      <c r="S28">
        <v>9</v>
      </c>
      <c r="T28">
        <v>52</v>
      </c>
      <c r="V28">
        <f t="shared" si="20"/>
        <v>39</v>
      </c>
      <c r="W28" s="8">
        <f>SUMIFS(events!AJ:AJ,events!Q:Q,"=DeadIce",events!AK:AK,"&lt;="&amp;shifts!AG28,events!AL:AL,"&gt;"&amp;shifts!AH28,events!E:E,"="&amp;shifts!B29)+SUMIFS(events!AJ:AJ,events!Q:Q,"=Timeout",events!AK:AK,"&lt;="&amp;shifts!AG28,events!AL:AL,"&gt;"&amp;shifts!AH28,events!E:E,"="&amp;shifts!B29)</f>
        <v>0</v>
      </c>
      <c r="X28" s="8" t="str">
        <f t="shared" si="21"/>
        <v/>
      </c>
      <c r="Z28">
        <f t="shared" si="22"/>
        <v>1</v>
      </c>
      <c r="AA28">
        <v>1</v>
      </c>
      <c r="AB28" t="str">
        <f t="shared" si="23"/>
        <v/>
      </c>
      <c r="AD28">
        <f>events!AG28</f>
        <v>18981</v>
      </c>
      <c r="AE28" t="str">
        <f>events!AH28</f>
        <v>Nelson</v>
      </c>
      <c r="AF28" t="str">
        <f>events!AI28</f>
        <v>Velodrome</v>
      </c>
      <c r="AG28" s="5">
        <f t="shared" si="0"/>
        <v>441</v>
      </c>
      <c r="AH28" s="5">
        <f t="shared" si="1"/>
        <v>408</v>
      </c>
      <c r="AI28" s="16">
        <f t="shared" si="10"/>
        <v>33</v>
      </c>
      <c r="AJ28">
        <f t="shared" si="2"/>
        <v>5</v>
      </c>
      <c r="AK28">
        <f t="shared" si="3"/>
        <v>5</v>
      </c>
      <c r="AL28">
        <f t="shared" si="4"/>
        <v>0</v>
      </c>
      <c r="AM28">
        <f t="shared" si="5"/>
        <v>0</v>
      </c>
      <c r="AN28">
        <f t="shared" si="11"/>
        <v>0</v>
      </c>
      <c r="AO28">
        <f t="shared" si="12"/>
        <v>0</v>
      </c>
      <c r="AP28">
        <f t="shared" si="13"/>
        <v>0</v>
      </c>
      <c r="AQ28">
        <f t="shared" si="14"/>
        <v>0</v>
      </c>
      <c r="AY28" s="5"/>
    </row>
    <row r="29" spans="1:51" x14ac:dyDescent="0.2">
      <c r="A29">
        <f t="shared" si="24"/>
        <v>28</v>
      </c>
      <c r="B29" s="8">
        <f t="shared" si="16"/>
        <v>1</v>
      </c>
      <c r="C29">
        <f t="shared" si="17"/>
        <v>6</v>
      </c>
      <c r="D29" s="5" t="str">
        <f t="shared" si="18"/>
        <v>48</v>
      </c>
      <c r="E29">
        <v>6</v>
      </c>
      <c r="F29" s="5" t="s">
        <v>475</v>
      </c>
      <c r="G29" s="8" t="s">
        <v>343</v>
      </c>
      <c r="I29">
        <v>10</v>
      </c>
      <c r="J29">
        <v>3</v>
      </c>
      <c r="K29">
        <v>16</v>
      </c>
      <c r="L29">
        <v>80</v>
      </c>
      <c r="M29">
        <v>8</v>
      </c>
      <c r="O29" s="6">
        <f t="shared" si="19"/>
        <v>31</v>
      </c>
      <c r="P29" s="8">
        <v>70</v>
      </c>
      <c r="Q29">
        <v>87</v>
      </c>
      <c r="R29">
        <v>75</v>
      </c>
      <c r="S29">
        <v>22</v>
      </c>
      <c r="T29">
        <v>84</v>
      </c>
      <c r="V29">
        <f t="shared" si="20"/>
        <v>39</v>
      </c>
      <c r="W29" s="8">
        <f>SUMIFS(events!AJ:AJ,events!Q:Q,"=DeadIce",events!AK:AK,"&lt;="&amp;shifts!AG29,events!AL:AL,"&gt;"&amp;shifts!AH29,events!E:E,"="&amp;shifts!B30)+SUMIFS(events!AJ:AJ,events!Q:Q,"=Timeout",events!AK:AK,"&lt;="&amp;shifts!AG29,events!AL:AL,"&gt;"&amp;shifts!AH29,events!E:E,"="&amp;shifts!B30)</f>
        <v>0</v>
      </c>
      <c r="X29" s="8" t="str">
        <f t="shared" si="21"/>
        <v/>
      </c>
      <c r="Z29">
        <f t="shared" si="22"/>
        <v>1</v>
      </c>
      <c r="AA29">
        <v>1</v>
      </c>
      <c r="AB29" t="str">
        <f t="shared" si="23"/>
        <v/>
      </c>
      <c r="AD29">
        <f>events!AG29</f>
        <v>18981</v>
      </c>
      <c r="AE29" t="str">
        <f>events!AH29</f>
        <v>Nelson</v>
      </c>
      <c r="AF29" t="str">
        <f>events!AI29</f>
        <v>Velodrome</v>
      </c>
      <c r="AG29" s="5">
        <f t="shared" si="0"/>
        <v>408</v>
      </c>
      <c r="AH29" s="5">
        <f t="shared" si="1"/>
        <v>360</v>
      </c>
      <c r="AI29" s="16">
        <f t="shared" si="10"/>
        <v>48</v>
      </c>
      <c r="AJ29">
        <f t="shared" si="2"/>
        <v>5</v>
      </c>
      <c r="AK29">
        <f t="shared" si="3"/>
        <v>5</v>
      </c>
      <c r="AL29">
        <f t="shared" si="4"/>
        <v>0</v>
      </c>
      <c r="AM29">
        <f t="shared" si="5"/>
        <v>0</v>
      </c>
      <c r="AN29">
        <f t="shared" si="11"/>
        <v>0</v>
      </c>
      <c r="AO29">
        <f t="shared" si="12"/>
        <v>0</v>
      </c>
      <c r="AP29">
        <f t="shared" si="13"/>
        <v>0</v>
      </c>
      <c r="AQ29">
        <f t="shared" si="14"/>
        <v>0</v>
      </c>
      <c r="AY29" s="5"/>
    </row>
    <row r="30" spans="1:51" x14ac:dyDescent="0.2">
      <c r="A30">
        <f t="shared" si="24"/>
        <v>29</v>
      </c>
      <c r="B30" s="8">
        <f t="shared" si="16"/>
        <v>1</v>
      </c>
      <c r="C30">
        <f t="shared" si="17"/>
        <v>6</v>
      </c>
      <c r="D30" s="5" t="str">
        <f t="shared" si="18"/>
        <v>00</v>
      </c>
      <c r="E30">
        <v>5</v>
      </c>
      <c r="F30" s="5" t="s">
        <v>501</v>
      </c>
      <c r="H30" s="6" t="s">
        <v>393</v>
      </c>
      <c r="I30">
        <v>79</v>
      </c>
      <c r="J30">
        <v>3</v>
      </c>
      <c r="K30">
        <v>16</v>
      </c>
      <c r="L30">
        <v>80</v>
      </c>
      <c r="M30">
        <v>8</v>
      </c>
      <c r="O30" s="6">
        <f t="shared" si="19"/>
        <v>31</v>
      </c>
      <c r="P30" s="8">
        <v>70</v>
      </c>
      <c r="Q30">
        <v>87</v>
      </c>
      <c r="R30">
        <v>75</v>
      </c>
      <c r="S30">
        <v>22</v>
      </c>
      <c r="T30">
        <v>84</v>
      </c>
      <c r="V30">
        <f t="shared" si="20"/>
        <v>39</v>
      </c>
      <c r="W30" s="8">
        <f>SUMIFS(events!AJ:AJ,events!Q:Q,"=DeadIce",events!AK:AK,"&lt;="&amp;shifts!AG30,events!AL:AL,"&gt;"&amp;shifts!AH30,events!E:E,"="&amp;shifts!B31)+SUMIFS(events!AJ:AJ,events!Q:Q,"=Timeout",events!AK:AK,"&lt;="&amp;shifts!AG30,events!AL:AL,"&gt;"&amp;shifts!AH30,events!E:E,"="&amp;shifts!B31)</f>
        <v>0</v>
      </c>
      <c r="X30" s="8" t="str">
        <f t="shared" si="21"/>
        <v/>
      </c>
      <c r="Z30">
        <f t="shared" si="22"/>
        <v>1</v>
      </c>
      <c r="AA30">
        <v>1</v>
      </c>
      <c r="AB30" t="str">
        <f t="shared" si="23"/>
        <v/>
      </c>
      <c r="AD30">
        <f>events!AG30</f>
        <v>18981</v>
      </c>
      <c r="AE30" t="str">
        <f>events!AH30</f>
        <v>Nelson</v>
      </c>
      <c r="AF30" t="str">
        <f>events!AI30</f>
        <v>Velodrome</v>
      </c>
      <c r="AG30" s="5">
        <f t="shared" si="0"/>
        <v>360</v>
      </c>
      <c r="AH30" s="5">
        <f t="shared" si="1"/>
        <v>329</v>
      </c>
      <c r="AI30" s="16">
        <f t="shared" si="10"/>
        <v>31</v>
      </c>
      <c r="AJ30">
        <f t="shared" si="2"/>
        <v>5</v>
      </c>
      <c r="AK30">
        <f t="shared" si="3"/>
        <v>5</v>
      </c>
      <c r="AL30">
        <f t="shared" si="4"/>
        <v>0</v>
      </c>
      <c r="AM30">
        <f t="shared" si="5"/>
        <v>0</v>
      </c>
      <c r="AN30">
        <f t="shared" si="11"/>
        <v>0</v>
      </c>
      <c r="AO30">
        <f t="shared" si="12"/>
        <v>0</v>
      </c>
      <c r="AP30">
        <f t="shared" si="13"/>
        <v>0</v>
      </c>
      <c r="AQ30">
        <f t="shared" si="14"/>
        <v>0</v>
      </c>
      <c r="AY30" s="5"/>
    </row>
    <row r="31" spans="1:51" x14ac:dyDescent="0.2">
      <c r="A31">
        <f t="shared" si="24"/>
        <v>30</v>
      </c>
      <c r="B31" s="8">
        <f t="shared" si="16"/>
        <v>1</v>
      </c>
      <c r="C31">
        <f t="shared" si="17"/>
        <v>5</v>
      </c>
      <c r="D31" s="5" t="str">
        <f t="shared" si="18"/>
        <v>29</v>
      </c>
      <c r="E31">
        <v>5</v>
      </c>
      <c r="F31" s="5" t="s">
        <v>474</v>
      </c>
      <c r="G31" s="8" t="s">
        <v>340</v>
      </c>
      <c r="H31" s="6" t="s">
        <v>394</v>
      </c>
      <c r="I31">
        <v>79</v>
      </c>
      <c r="J31">
        <v>7</v>
      </c>
      <c r="K31">
        <v>44</v>
      </c>
      <c r="L31">
        <v>80</v>
      </c>
      <c r="M31">
        <v>8</v>
      </c>
      <c r="O31" s="6">
        <f t="shared" si="19"/>
        <v>31</v>
      </c>
      <c r="P31" s="8">
        <v>70</v>
      </c>
      <c r="Q31">
        <v>87</v>
      </c>
      <c r="R31">
        <v>75</v>
      </c>
      <c r="S31">
        <v>22</v>
      </c>
      <c r="T31">
        <v>84</v>
      </c>
      <c r="V31">
        <f t="shared" si="20"/>
        <v>39</v>
      </c>
      <c r="W31" s="8">
        <f>SUMIFS(events!AJ:AJ,events!Q:Q,"=DeadIce",events!AK:AK,"&lt;="&amp;shifts!AG31,events!AL:AL,"&gt;"&amp;shifts!AH31,events!E:E,"="&amp;shifts!B32)+SUMIFS(events!AJ:AJ,events!Q:Q,"=Timeout",events!AK:AK,"&lt;="&amp;shifts!AG31,events!AL:AL,"&gt;"&amp;shifts!AH31,events!E:E,"="&amp;shifts!B32)</f>
        <v>0</v>
      </c>
      <c r="X31" s="8" t="str">
        <f t="shared" si="21"/>
        <v/>
      </c>
      <c r="Y31">
        <v>1</v>
      </c>
      <c r="Z31" t="str">
        <f t="shared" si="22"/>
        <v/>
      </c>
      <c r="AB31">
        <f t="shared" si="23"/>
        <v>1</v>
      </c>
      <c r="AD31">
        <f>events!AG31</f>
        <v>18981</v>
      </c>
      <c r="AE31" t="str">
        <f>events!AH31</f>
        <v>Nelson</v>
      </c>
      <c r="AF31" t="str">
        <f>events!AI31</f>
        <v>Velodrome</v>
      </c>
      <c r="AG31" s="5">
        <f t="shared" si="0"/>
        <v>329</v>
      </c>
      <c r="AH31" s="5">
        <f t="shared" si="1"/>
        <v>302</v>
      </c>
      <c r="AI31" s="16">
        <f t="shared" si="10"/>
        <v>27</v>
      </c>
      <c r="AJ31">
        <f t="shared" si="2"/>
        <v>5</v>
      </c>
      <c r="AK31">
        <f t="shared" si="3"/>
        <v>5</v>
      </c>
      <c r="AL31">
        <f t="shared" si="4"/>
        <v>0</v>
      </c>
      <c r="AM31">
        <f t="shared" si="5"/>
        <v>0</v>
      </c>
      <c r="AN31">
        <f t="shared" si="11"/>
        <v>0</v>
      </c>
      <c r="AO31">
        <f t="shared" si="12"/>
        <v>0</v>
      </c>
      <c r="AP31">
        <f t="shared" si="13"/>
        <v>0</v>
      </c>
      <c r="AQ31">
        <f t="shared" si="14"/>
        <v>0</v>
      </c>
      <c r="AY31" s="5"/>
    </row>
    <row r="32" spans="1:51" x14ac:dyDescent="0.2">
      <c r="A32">
        <f t="shared" si="24"/>
        <v>31</v>
      </c>
      <c r="B32" s="8">
        <f t="shared" si="16"/>
        <v>1</v>
      </c>
      <c r="C32">
        <f t="shared" si="17"/>
        <v>5</v>
      </c>
      <c r="D32" s="5" t="str">
        <f t="shared" si="18"/>
        <v>02</v>
      </c>
      <c r="E32">
        <v>3</v>
      </c>
      <c r="F32" s="5" t="s">
        <v>505</v>
      </c>
      <c r="I32">
        <v>79</v>
      </c>
      <c r="J32">
        <v>7</v>
      </c>
      <c r="K32">
        <v>44</v>
      </c>
      <c r="L32">
        <v>80</v>
      </c>
      <c r="M32">
        <v>8</v>
      </c>
      <c r="O32" s="6">
        <f t="shared" si="19"/>
        <v>31</v>
      </c>
      <c r="P32" s="8">
        <v>70</v>
      </c>
      <c r="Q32">
        <v>87</v>
      </c>
      <c r="R32">
        <v>75</v>
      </c>
      <c r="S32">
        <v>93</v>
      </c>
      <c r="T32">
        <v>52</v>
      </c>
      <c r="V32">
        <f t="shared" si="20"/>
        <v>39</v>
      </c>
      <c r="W32" s="8">
        <f>SUMIFS(events!AJ:AJ,events!Q:Q,"=DeadIce",events!AK:AK,"&lt;="&amp;shifts!AG32,events!AL:AL,"&gt;"&amp;shifts!AH32,events!E:E,"="&amp;shifts!B33)+SUMIFS(events!AJ:AJ,events!Q:Q,"=Timeout",events!AK:AK,"&lt;="&amp;shifts!AG32,events!AL:AL,"&gt;"&amp;shifts!AH32,events!E:E,"="&amp;shifts!B33)</f>
        <v>0</v>
      </c>
      <c r="X32" s="8" t="str">
        <f t="shared" si="21"/>
        <v/>
      </c>
      <c r="Y32">
        <v>1</v>
      </c>
      <c r="Z32" t="str">
        <f t="shared" si="22"/>
        <v/>
      </c>
      <c r="AB32">
        <f t="shared" si="23"/>
        <v>1</v>
      </c>
      <c r="AD32">
        <f>events!AG32</f>
        <v>18981</v>
      </c>
      <c r="AE32" t="str">
        <f>events!AH32</f>
        <v>Nelson</v>
      </c>
      <c r="AF32" t="str">
        <f>events!AI32</f>
        <v>Velodrome</v>
      </c>
      <c r="AG32" s="5">
        <f t="shared" si="0"/>
        <v>302</v>
      </c>
      <c r="AH32" s="5">
        <f t="shared" si="1"/>
        <v>213</v>
      </c>
      <c r="AI32" s="16">
        <f t="shared" si="10"/>
        <v>89</v>
      </c>
      <c r="AJ32">
        <f t="shared" si="2"/>
        <v>5</v>
      </c>
      <c r="AK32">
        <f t="shared" si="3"/>
        <v>5</v>
      </c>
      <c r="AL32">
        <f t="shared" si="4"/>
        <v>0</v>
      </c>
      <c r="AM32">
        <f t="shared" si="5"/>
        <v>0</v>
      </c>
      <c r="AN32">
        <f t="shared" si="11"/>
        <v>0</v>
      </c>
      <c r="AO32">
        <f t="shared" si="12"/>
        <v>0</v>
      </c>
      <c r="AP32">
        <f t="shared" si="13"/>
        <v>0</v>
      </c>
      <c r="AQ32">
        <f t="shared" si="14"/>
        <v>0</v>
      </c>
      <c r="AY32" s="5"/>
    </row>
    <row r="33" spans="1:51" x14ac:dyDescent="0.2">
      <c r="A33">
        <f t="shared" si="24"/>
        <v>32</v>
      </c>
      <c r="B33" s="8">
        <f t="shared" si="16"/>
        <v>1</v>
      </c>
      <c r="C33">
        <f t="shared" si="17"/>
        <v>3</v>
      </c>
      <c r="D33" s="5" t="str">
        <f t="shared" si="18"/>
        <v>33</v>
      </c>
      <c r="E33">
        <v>3</v>
      </c>
      <c r="F33" s="5" t="s">
        <v>497</v>
      </c>
      <c r="I33">
        <v>79</v>
      </c>
      <c r="J33">
        <v>7</v>
      </c>
      <c r="K33">
        <v>44</v>
      </c>
      <c r="L33">
        <v>80</v>
      </c>
      <c r="M33">
        <v>8</v>
      </c>
      <c r="O33" s="6">
        <f t="shared" si="19"/>
        <v>31</v>
      </c>
      <c r="P33" s="8">
        <v>70</v>
      </c>
      <c r="Q33">
        <v>91</v>
      </c>
      <c r="R33">
        <v>24</v>
      </c>
      <c r="S33">
        <v>93</v>
      </c>
      <c r="T33">
        <v>52</v>
      </c>
      <c r="V33">
        <f t="shared" si="20"/>
        <v>39</v>
      </c>
      <c r="W33" s="8">
        <f>SUMIFS(events!AJ:AJ,events!Q:Q,"=DeadIce",events!AK:AK,"&lt;="&amp;shifts!AG33,events!AL:AL,"&gt;"&amp;shifts!AH33,events!E:E,"="&amp;shifts!B34)+SUMIFS(events!AJ:AJ,events!Q:Q,"=Timeout",events!AK:AK,"&lt;="&amp;shifts!AG33,events!AL:AL,"&gt;"&amp;shifts!AH33,events!E:E,"="&amp;shifts!B34)</f>
        <v>0</v>
      </c>
      <c r="X33" s="8">
        <f t="shared" si="21"/>
        <v>1</v>
      </c>
      <c r="Z33" t="str">
        <f t="shared" si="22"/>
        <v/>
      </c>
      <c r="AA33">
        <v>1</v>
      </c>
      <c r="AB33" t="str">
        <f t="shared" si="23"/>
        <v/>
      </c>
      <c r="AD33">
        <f>events!AG33</f>
        <v>18981</v>
      </c>
      <c r="AE33" t="str">
        <f>events!AH33</f>
        <v>Nelson</v>
      </c>
      <c r="AF33" t="str">
        <f>events!AI33</f>
        <v>Velodrome</v>
      </c>
      <c r="AG33" s="5">
        <f t="shared" si="0"/>
        <v>213</v>
      </c>
      <c r="AH33" s="5">
        <f t="shared" si="1"/>
        <v>205</v>
      </c>
      <c r="AI33" s="16">
        <f t="shared" si="10"/>
        <v>8</v>
      </c>
      <c r="AJ33">
        <f t="shared" si="2"/>
        <v>5</v>
      </c>
      <c r="AK33">
        <f t="shared" si="3"/>
        <v>5</v>
      </c>
      <c r="AL33">
        <f t="shared" si="4"/>
        <v>0</v>
      </c>
      <c r="AM33">
        <f t="shared" si="5"/>
        <v>0</v>
      </c>
      <c r="AN33">
        <f t="shared" si="11"/>
        <v>0</v>
      </c>
      <c r="AO33">
        <f t="shared" si="12"/>
        <v>0</v>
      </c>
      <c r="AP33">
        <f t="shared" si="13"/>
        <v>0</v>
      </c>
      <c r="AQ33">
        <f t="shared" si="14"/>
        <v>0</v>
      </c>
      <c r="AY33" s="5"/>
    </row>
    <row r="34" spans="1:51" x14ac:dyDescent="0.2">
      <c r="A34">
        <f t="shared" si="24"/>
        <v>33</v>
      </c>
      <c r="B34" s="8">
        <f t="shared" si="16"/>
        <v>1</v>
      </c>
      <c r="C34">
        <f t="shared" si="17"/>
        <v>3</v>
      </c>
      <c r="D34" s="5" t="str">
        <f t="shared" si="18"/>
        <v>25</v>
      </c>
      <c r="E34">
        <v>3</v>
      </c>
      <c r="F34" s="5" t="s">
        <v>487</v>
      </c>
      <c r="I34">
        <v>79</v>
      </c>
      <c r="J34">
        <v>15</v>
      </c>
      <c r="K34">
        <v>44</v>
      </c>
      <c r="L34">
        <v>80</v>
      </c>
      <c r="M34">
        <v>23</v>
      </c>
      <c r="O34" s="6">
        <f t="shared" si="19"/>
        <v>31</v>
      </c>
      <c r="P34" s="8">
        <v>42</v>
      </c>
      <c r="Q34">
        <v>91</v>
      </c>
      <c r="R34">
        <v>24</v>
      </c>
      <c r="S34">
        <v>93</v>
      </c>
      <c r="T34">
        <v>52</v>
      </c>
      <c r="V34">
        <f t="shared" si="20"/>
        <v>39</v>
      </c>
      <c r="W34" s="8">
        <f>SUMIFS(events!AJ:AJ,events!Q:Q,"=DeadIce",events!AK:AK,"&lt;="&amp;shifts!AG34,events!AL:AL,"&gt;"&amp;shifts!AH34,events!E:E,"="&amp;shifts!B35)+SUMIFS(events!AJ:AJ,events!Q:Q,"=Timeout",events!AK:AK,"&lt;="&amp;shifts!AG34,events!AL:AL,"&gt;"&amp;shifts!AH34,events!E:E,"="&amp;shifts!B35)</f>
        <v>0</v>
      </c>
      <c r="X34" s="8" t="str">
        <f t="shared" si="21"/>
        <v/>
      </c>
      <c r="Y34">
        <v>1</v>
      </c>
      <c r="Z34">
        <f t="shared" si="22"/>
        <v>1</v>
      </c>
      <c r="AB34" t="str">
        <f t="shared" si="23"/>
        <v/>
      </c>
      <c r="AD34">
        <f>events!AG34</f>
        <v>18981</v>
      </c>
      <c r="AE34" t="str">
        <f>events!AH34</f>
        <v>Nelson</v>
      </c>
      <c r="AF34" t="str">
        <f>events!AI34</f>
        <v>Velodrome</v>
      </c>
      <c r="AG34" s="5">
        <f t="shared" ref="AG34:AG65" si="25">((C34*60)+D34)</f>
        <v>205</v>
      </c>
      <c r="AH34" s="5">
        <f t="shared" ref="AH34:AH65" si="26">((E34*60)+F34)</f>
        <v>192</v>
      </c>
      <c r="AI34" s="16">
        <f t="shared" si="10"/>
        <v>13</v>
      </c>
      <c r="AJ34">
        <f t="shared" ref="AJ34:AJ65" si="27">COUNTIF(I34:N34,"&gt;0")</f>
        <v>5</v>
      </c>
      <c r="AK34">
        <f t="shared" ref="AK34:AK65" si="28">COUNTIF(P34:U34,"&gt;0")</f>
        <v>5</v>
      </c>
      <c r="AL34">
        <f t="shared" ref="AL34:AL65" si="29">IF(O34="",1,0)</f>
        <v>0</v>
      </c>
      <c r="AM34">
        <f t="shared" ref="AM34:AM65" si="30">IF(V34="",1,0)</f>
        <v>0</v>
      </c>
      <c r="AN34">
        <f t="shared" si="11"/>
        <v>0</v>
      </c>
      <c r="AO34">
        <f t="shared" si="12"/>
        <v>0</v>
      </c>
      <c r="AP34">
        <f t="shared" si="13"/>
        <v>0</v>
      </c>
      <c r="AQ34">
        <f t="shared" si="14"/>
        <v>0</v>
      </c>
      <c r="AY34" s="5"/>
    </row>
    <row r="35" spans="1:51" x14ac:dyDescent="0.2">
      <c r="A35">
        <f t="shared" si="24"/>
        <v>34</v>
      </c>
      <c r="B35" s="8">
        <f t="shared" si="16"/>
        <v>1</v>
      </c>
      <c r="C35">
        <f t="shared" si="17"/>
        <v>3</v>
      </c>
      <c r="D35" s="5" t="str">
        <f t="shared" si="18"/>
        <v>12</v>
      </c>
      <c r="E35">
        <v>2</v>
      </c>
      <c r="F35" s="5" t="s">
        <v>479</v>
      </c>
      <c r="I35">
        <v>10</v>
      </c>
      <c r="J35">
        <v>15</v>
      </c>
      <c r="K35">
        <v>44</v>
      </c>
      <c r="L35">
        <v>80</v>
      </c>
      <c r="M35">
        <v>23</v>
      </c>
      <c r="O35" s="6">
        <f t="shared" si="19"/>
        <v>31</v>
      </c>
      <c r="P35" s="8">
        <v>42</v>
      </c>
      <c r="Q35">
        <v>91</v>
      </c>
      <c r="R35">
        <v>24</v>
      </c>
      <c r="S35">
        <v>93</v>
      </c>
      <c r="T35">
        <v>52</v>
      </c>
      <c r="V35">
        <f t="shared" si="20"/>
        <v>39</v>
      </c>
      <c r="W35" s="8">
        <f>SUMIFS(events!AJ:AJ,events!Q:Q,"=DeadIce",events!AK:AK,"&lt;="&amp;shifts!AG35,events!AL:AL,"&gt;"&amp;shifts!AH35,events!E:E,"="&amp;shifts!B36)+SUMIFS(events!AJ:AJ,events!Q:Q,"=Timeout",events!AK:AK,"&lt;="&amp;shifts!AG35,events!AL:AL,"&gt;"&amp;shifts!AH35,events!E:E,"="&amp;shifts!B36)</f>
        <v>0</v>
      </c>
      <c r="X35" s="8">
        <f t="shared" si="21"/>
        <v>1</v>
      </c>
      <c r="Y35">
        <v>1</v>
      </c>
      <c r="Z35" t="str">
        <f t="shared" si="22"/>
        <v/>
      </c>
      <c r="AB35" t="str">
        <f t="shared" si="23"/>
        <v/>
      </c>
      <c r="AD35">
        <f>events!AG35</f>
        <v>18981</v>
      </c>
      <c r="AE35" t="str">
        <f>events!AH35</f>
        <v>Nelson</v>
      </c>
      <c r="AF35" t="str">
        <f>events!AI35</f>
        <v>Velodrome</v>
      </c>
      <c r="AG35" s="5">
        <f t="shared" si="25"/>
        <v>192</v>
      </c>
      <c r="AH35" s="5">
        <f t="shared" si="26"/>
        <v>179</v>
      </c>
      <c r="AI35" s="16">
        <f t="shared" si="10"/>
        <v>13</v>
      </c>
      <c r="AJ35">
        <f t="shared" si="27"/>
        <v>5</v>
      </c>
      <c r="AK35">
        <f t="shared" si="28"/>
        <v>5</v>
      </c>
      <c r="AL35">
        <f t="shared" si="29"/>
        <v>0</v>
      </c>
      <c r="AM35">
        <f t="shared" si="30"/>
        <v>0</v>
      </c>
      <c r="AN35">
        <f t="shared" si="11"/>
        <v>0</v>
      </c>
      <c r="AO35">
        <f t="shared" si="12"/>
        <v>0</v>
      </c>
      <c r="AP35">
        <f t="shared" si="13"/>
        <v>0</v>
      </c>
      <c r="AQ35">
        <f t="shared" si="14"/>
        <v>0</v>
      </c>
      <c r="AY35" s="5"/>
    </row>
    <row r="36" spans="1:51" x14ac:dyDescent="0.2">
      <c r="A36">
        <f t="shared" si="24"/>
        <v>35</v>
      </c>
      <c r="B36" s="8">
        <f t="shared" si="16"/>
        <v>1</v>
      </c>
      <c r="C36">
        <f t="shared" si="17"/>
        <v>2</v>
      </c>
      <c r="D36" s="5" t="str">
        <f t="shared" si="18"/>
        <v>59</v>
      </c>
      <c r="E36">
        <v>2</v>
      </c>
      <c r="F36" s="5" t="s">
        <v>520</v>
      </c>
      <c r="I36">
        <v>10</v>
      </c>
      <c r="J36">
        <v>15</v>
      </c>
      <c r="K36">
        <v>44</v>
      </c>
      <c r="L36">
        <v>80</v>
      </c>
      <c r="M36">
        <v>23</v>
      </c>
      <c r="O36" s="6">
        <f t="shared" si="19"/>
        <v>31</v>
      </c>
      <c r="P36" s="8">
        <v>42</v>
      </c>
      <c r="Q36">
        <v>91</v>
      </c>
      <c r="R36">
        <v>24</v>
      </c>
      <c r="S36">
        <v>93</v>
      </c>
      <c r="T36">
        <v>9</v>
      </c>
      <c r="V36">
        <f t="shared" si="20"/>
        <v>39</v>
      </c>
      <c r="W36" s="8">
        <f>SUMIFS(events!AJ:AJ,events!Q:Q,"=DeadIce",events!AK:AK,"&lt;="&amp;shifts!AG36,events!AL:AL,"&gt;"&amp;shifts!AH36,events!E:E,"="&amp;shifts!B37)+SUMIFS(events!AJ:AJ,events!Q:Q,"=Timeout",events!AK:AK,"&lt;="&amp;shifts!AG36,events!AL:AL,"&gt;"&amp;shifts!AH36,events!E:E,"="&amp;shifts!B37)</f>
        <v>0</v>
      </c>
      <c r="X36" s="8">
        <f t="shared" si="21"/>
        <v>1</v>
      </c>
      <c r="Z36" t="str">
        <f t="shared" si="22"/>
        <v/>
      </c>
      <c r="AB36" t="str">
        <f t="shared" si="23"/>
        <v/>
      </c>
      <c r="AC36">
        <v>1</v>
      </c>
      <c r="AD36">
        <f>events!AG36</f>
        <v>18981</v>
      </c>
      <c r="AE36" t="str">
        <f>events!AH36</f>
        <v>Nelson</v>
      </c>
      <c r="AF36" t="str">
        <f>events!AI36</f>
        <v>Velodrome</v>
      </c>
      <c r="AG36" s="5">
        <f t="shared" si="25"/>
        <v>179</v>
      </c>
      <c r="AH36" s="5">
        <f t="shared" si="26"/>
        <v>168</v>
      </c>
      <c r="AI36" s="16">
        <f t="shared" si="10"/>
        <v>11</v>
      </c>
      <c r="AJ36">
        <f t="shared" si="27"/>
        <v>5</v>
      </c>
      <c r="AK36">
        <f t="shared" si="28"/>
        <v>5</v>
      </c>
      <c r="AL36">
        <f t="shared" si="29"/>
        <v>0</v>
      </c>
      <c r="AM36">
        <f t="shared" si="30"/>
        <v>0</v>
      </c>
      <c r="AN36">
        <f t="shared" si="11"/>
        <v>0</v>
      </c>
      <c r="AO36">
        <f t="shared" si="12"/>
        <v>0</v>
      </c>
      <c r="AP36">
        <f t="shared" si="13"/>
        <v>0</v>
      </c>
      <c r="AQ36">
        <f t="shared" si="14"/>
        <v>0</v>
      </c>
      <c r="AY36" s="5"/>
    </row>
    <row r="37" spans="1:51" x14ac:dyDescent="0.2">
      <c r="A37">
        <f t="shared" si="24"/>
        <v>36</v>
      </c>
      <c r="B37" s="8">
        <f t="shared" si="16"/>
        <v>1</v>
      </c>
      <c r="C37">
        <f t="shared" si="17"/>
        <v>2</v>
      </c>
      <c r="D37" s="5" t="str">
        <f t="shared" si="18"/>
        <v>48</v>
      </c>
      <c r="E37">
        <v>2</v>
      </c>
      <c r="F37" s="5" t="s">
        <v>496</v>
      </c>
      <c r="H37" s="6" t="s">
        <v>355</v>
      </c>
      <c r="I37">
        <v>10</v>
      </c>
      <c r="J37">
        <v>15</v>
      </c>
      <c r="K37">
        <v>44</v>
      </c>
      <c r="L37">
        <v>37</v>
      </c>
      <c r="M37">
        <v>23</v>
      </c>
      <c r="O37" s="6">
        <f t="shared" si="19"/>
        <v>31</v>
      </c>
      <c r="P37" s="8">
        <v>42</v>
      </c>
      <c r="Q37">
        <v>91</v>
      </c>
      <c r="R37">
        <v>24</v>
      </c>
      <c r="S37">
        <v>93</v>
      </c>
      <c r="T37">
        <v>9</v>
      </c>
      <c r="V37">
        <f t="shared" si="20"/>
        <v>39</v>
      </c>
      <c r="W37" s="8">
        <f>SUMIFS(events!AJ:AJ,events!Q:Q,"=DeadIce",events!AK:AK,"&lt;="&amp;shifts!AG37,events!AL:AL,"&gt;"&amp;shifts!AH37,events!E:E,"="&amp;shifts!B38)+SUMIFS(events!AJ:AJ,events!Q:Q,"=Timeout",events!AK:AK,"&lt;="&amp;shifts!AG37,events!AL:AL,"&gt;"&amp;shifts!AH37,events!E:E,"="&amp;shifts!B38)</f>
        <v>0</v>
      </c>
      <c r="X37" s="8" t="str">
        <f t="shared" si="21"/>
        <v/>
      </c>
      <c r="Z37" t="str">
        <f t="shared" si="22"/>
        <v/>
      </c>
      <c r="AA37">
        <v>1</v>
      </c>
      <c r="AB37">
        <f t="shared" si="23"/>
        <v>1</v>
      </c>
      <c r="AD37">
        <f>events!AG37</f>
        <v>18981</v>
      </c>
      <c r="AE37" t="str">
        <f>events!AH37</f>
        <v>Nelson</v>
      </c>
      <c r="AF37" t="str">
        <f>events!AI37</f>
        <v>Velodrome</v>
      </c>
      <c r="AG37" s="5">
        <f t="shared" si="25"/>
        <v>168</v>
      </c>
      <c r="AH37" s="5">
        <f t="shared" si="26"/>
        <v>144</v>
      </c>
      <c r="AI37" s="16">
        <f t="shared" si="10"/>
        <v>24</v>
      </c>
      <c r="AJ37">
        <f t="shared" si="27"/>
        <v>5</v>
      </c>
      <c r="AK37">
        <f t="shared" si="28"/>
        <v>5</v>
      </c>
      <c r="AL37">
        <f t="shared" si="29"/>
        <v>0</v>
      </c>
      <c r="AM37">
        <f t="shared" si="30"/>
        <v>0</v>
      </c>
      <c r="AN37">
        <f t="shared" si="11"/>
        <v>0</v>
      </c>
      <c r="AO37">
        <f t="shared" si="12"/>
        <v>0</v>
      </c>
      <c r="AP37">
        <f t="shared" si="13"/>
        <v>0</v>
      </c>
      <c r="AQ37">
        <f t="shared" si="14"/>
        <v>0</v>
      </c>
      <c r="AY37" s="5"/>
    </row>
    <row r="38" spans="1:51" x14ac:dyDescent="0.2">
      <c r="A38">
        <f t="shared" si="24"/>
        <v>37</v>
      </c>
      <c r="B38" s="8">
        <f t="shared" si="16"/>
        <v>1</v>
      </c>
      <c r="C38">
        <f t="shared" si="17"/>
        <v>2</v>
      </c>
      <c r="D38" s="5" t="str">
        <f t="shared" si="18"/>
        <v>24</v>
      </c>
      <c r="E38">
        <v>1</v>
      </c>
      <c r="F38" s="5" t="s">
        <v>519</v>
      </c>
      <c r="G38" s="8" t="s">
        <v>343</v>
      </c>
      <c r="H38" s="6" t="s">
        <v>396</v>
      </c>
      <c r="I38">
        <v>10</v>
      </c>
      <c r="J38">
        <v>3</v>
      </c>
      <c r="K38">
        <v>16</v>
      </c>
      <c r="L38">
        <v>37</v>
      </c>
      <c r="M38">
        <v>23</v>
      </c>
      <c r="O38" s="6">
        <f t="shared" si="19"/>
        <v>31</v>
      </c>
      <c r="P38" s="8">
        <v>42</v>
      </c>
      <c r="Q38">
        <v>91</v>
      </c>
      <c r="R38">
        <v>24</v>
      </c>
      <c r="S38">
        <v>93</v>
      </c>
      <c r="T38">
        <v>9</v>
      </c>
      <c r="V38">
        <f t="shared" si="20"/>
        <v>39</v>
      </c>
      <c r="W38" s="8">
        <f>SUMIFS(events!AJ:AJ,events!Q:Q,"=DeadIce",events!AK:AK,"&lt;="&amp;shifts!AG38,events!AL:AL,"&gt;"&amp;shifts!AH38,events!E:E,"="&amp;shifts!B39)+SUMIFS(events!AJ:AJ,events!Q:Q,"=Timeout",events!AK:AK,"&lt;="&amp;shifts!AG38,events!AL:AL,"&gt;"&amp;shifts!AH38,events!E:E,"="&amp;shifts!B39)</f>
        <v>0</v>
      </c>
      <c r="X38" s="8" t="str">
        <f t="shared" si="21"/>
        <v/>
      </c>
      <c r="Y38">
        <v>1</v>
      </c>
      <c r="Z38">
        <f t="shared" si="22"/>
        <v>1</v>
      </c>
      <c r="AB38" t="str">
        <f t="shared" si="23"/>
        <v/>
      </c>
      <c r="AD38">
        <f>events!AG38</f>
        <v>18981</v>
      </c>
      <c r="AE38" t="str">
        <f>events!AH38</f>
        <v>Nelson</v>
      </c>
      <c r="AF38" t="str">
        <f>events!AI38</f>
        <v>Velodrome</v>
      </c>
      <c r="AG38" s="5">
        <f t="shared" si="25"/>
        <v>144</v>
      </c>
      <c r="AH38" s="5">
        <f t="shared" si="26"/>
        <v>107</v>
      </c>
      <c r="AI38" s="16">
        <f t="shared" si="10"/>
        <v>37</v>
      </c>
      <c r="AJ38">
        <f t="shared" si="27"/>
        <v>5</v>
      </c>
      <c r="AK38">
        <f t="shared" si="28"/>
        <v>5</v>
      </c>
      <c r="AL38">
        <f t="shared" si="29"/>
        <v>0</v>
      </c>
      <c r="AM38">
        <f t="shared" si="30"/>
        <v>0</v>
      </c>
      <c r="AN38">
        <f t="shared" si="11"/>
        <v>0</v>
      </c>
      <c r="AO38">
        <f t="shared" si="12"/>
        <v>0</v>
      </c>
      <c r="AP38">
        <f t="shared" si="13"/>
        <v>0</v>
      </c>
      <c r="AQ38">
        <f t="shared" si="14"/>
        <v>0</v>
      </c>
      <c r="AY38" s="5"/>
    </row>
    <row r="39" spans="1:51" x14ac:dyDescent="0.2">
      <c r="A39">
        <f t="shared" si="24"/>
        <v>38</v>
      </c>
      <c r="B39" s="8">
        <f t="shared" si="16"/>
        <v>1</v>
      </c>
      <c r="C39">
        <f t="shared" si="17"/>
        <v>1</v>
      </c>
      <c r="D39" s="5" t="str">
        <f t="shared" si="18"/>
        <v>47</v>
      </c>
      <c r="E39">
        <v>0</v>
      </c>
      <c r="F39" s="5" t="s">
        <v>530</v>
      </c>
      <c r="G39" s="8" t="s">
        <v>343</v>
      </c>
      <c r="H39" s="6" t="s">
        <v>350</v>
      </c>
      <c r="I39">
        <v>10</v>
      </c>
      <c r="J39">
        <v>3</v>
      </c>
      <c r="K39">
        <v>16</v>
      </c>
      <c r="L39">
        <v>37</v>
      </c>
      <c r="M39">
        <v>23</v>
      </c>
      <c r="O39" s="6">
        <f t="shared" si="19"/>
        <v>31</v>
      </c>
      <c r="P39" s="8">
        <v>42</v>
      </c>
      <c r="Q39">
        <v>91</v>
      </c>
      <c r="R39">
        <v>24</v>
      </c>
      <c r="S39">
        <v>84</v>
      </c>
      <c r="T39">
        <v>9</v>
      </c>
      <c r="V39">
        <f t="shared" si="20"/>
        <v>39</v>
      </c>
      <c r="W39" s="8">
        <f>SUMIFS(events!AJ:AJ,events!Q:Q,"=DeadIce",events!AK:AK,"&lt;="&amp;shifts!AG39,events!AL:AL,"&gt;"&amp;shifts!AH39,events!E:E,"="&amp;shifts!B40)+SUMIFS(events!AJ:AJ,events!Q:Q,"=Timeout",events!AK:AK,"&lt;="&amp;shifts!AG39,events!AL:AL,"&gt;"&amp;shifts!AH39,events!E:E,"="&amp;shifts!B40)</f>
        <v>0</v>
      </c>
      <c r="X39" s="8">
        <f t="shared" si="21"/>
        <v>1</v>
      </c>
      <c r="Z39" t="str">
        <f t="shared" si="22"/>
        <v/>
      </c>
      <c r="AA39">
        <v>1</v>
      </c>
      <c r="AB39" t="str">
        <f t="shared" si="23"/>
        <v/>
      </c>
      <c r="AD39">
        <f>events!AG39</f>
        <v>18981</v>
      </c>
      <c r="AE39" t="str">
        <f>events!AH39</f>
        <v>Nelson</v>
      </c>
      <c r="AF39" t="str">
        <f>events!AI39</f>
        <v>Velodrome</v>
      </c>
      <c r="AG39" s="5">
        <f t="shared" si="25"/>
        <v>107</v>
      </c>
      <c r="AH39" s="5">
        <f t="shared" si="26"/>
        <v>58</v>
      </c>
      <c r="AI39" s="16">
        <f t="shared" si="10"/>
        <v>49</v>
      </c>
      <c r="AJ39">
        <f t="shared" si="27"/>
        <v>5</v>
      </c>
      <c r="AK39">
        <f t="shared" si="28"/>
        <v>5</v>
      </c>
      <c r="AL39">
        <f t="shared" si="29"/>
        <v>0</v>
      </c>
      <c r="AM39">
        <f t="shared" si="30"/>
        <v>0</v>
      </c>
      <c r="AN39">
        <f t="shared" si="11"/>
        <v>0</v>
      </c>
      <c r="AO39">
        <f t="shared" si="12"/>
        <v>0</v>
      </c>
      <c r="AP39">
        <f t="shared" si="13"/>
        <v>0</v>
      </c>
      <c r="AQ39">
        <f t="shared" si="14"/>
        <v>0</v>
      </c>
      <c r="AY39" s="5"/>
    </row>
    <row r="40" spans="1:51" x14ac:dyDescent="0.2">
      <c r="A40">
        <f t="shared" si="24"/>
        <v>39</v>
      </c>
      <c r="B40" s="8">
        <f t="shared" si="16"/>
        <v>1</v>
      </c>
      <c r="C40">
        <f t="shared" si="17"/>
        <v>0</v>
      </c>
      <c r="D40" s="5" t="str">
        <f t="shared" si="18"/>
        <v>58</v>
      </c>
      <c r="E40">
        <v>0</v>
      </c>
      <c r="F40" s="5" t="s">
        <v>576</v>
      </c>
      <c r="G40" s="8" t="s">
        <v>342</v>
      </c>
      <c r="H40" s="6" t="s">
        <v>346</v>
      </c>
      <c r="I40">
        <v>10</v>
      </c>
      <c r="J40">
        <v>3</v>
      </c>
      <c r="K40">
        <v>16</v>
      </c>
      <c r="L40">
        <v>80</v>
      </c>
      <c r="M40">
        <v>8</v>
      </c>
      <c r="O40" s="6">
        <f t="shared" si="19"/>
        <v>31</v>
      </c>
      <c r="P40" s="8">
        <v>14</v>
      </c>
      <c r="Q40">
        <v>61</v>
      </c>
      <c r="S40">
        <v>84</v>
      </c>
      <c r="T40">
        <v>52</v>
      </c>
      <c r="V40">
        <f t="shared" si="20"/>
        <v>39</v>
      </c>
      <c r="W40" s="8">
        <f>SUMIFS(events!AJ:AJ,events!Q:Q,"=DeadIce",events!AK:AK,"&lt;="&amp;shifts!AG40,events!AL:AL,"&gt;"&amp;shifts!AH40,events!E:E,"="&amp;shifts!B41)+SUMIFS(events!AJ:AJ,events!Q:Q,"=Timeout",events!AK:AK,"&lt;="&amp;shifts!AG40,events!AL:AL,"&gt;"&amp;shifts!AH40,events!E:E,"="&amp;shifts!B41)</f>
        <v>0</v>
      </c>
      <c r="X40" s="8" t="str">
        <f t="shared" si="21"/>
        <v/>
      </c>
      <c r="Z40">
        <f t="shared" si="22"/>
        <v>1</v>
      </c>
      <c r="AB40" t="str">
        <f t="shared" si="23"/>
        <v/>
      </c>
      <c r="AD40">
        <f>events!AG40</f>
        <v>18981</v>
      </c>
      <c r="AE40" t="str">
        <f>events!AH40</f>
        <v>Nelson</v>
      </c>
      <c r="AF40" t="str">
        <f>events!AI40</f>
        <v>Velodrome</v>
      </c>
      <c r="AG40" s="5">
        <f t="shared" si="25"/>
        <v>58</v>
      </c>
      <c r="AH40" s="5">
        <f t="shared" si="26"/>
        <v>0.01</v>
      </c>
      <c r="AI40" s="16">
        <f t="shared" si="10"/>
        <v>58</v>
      </c>
      <c r="AJ40">
        <f t="shared" si="27"/>
        <v>5</v>
      </c>
      <c r="AK40">
        <f t="shared" si="28"/>
        <v>4</v>
      </c>
      <c r="AL40">
        <f t="shared" si="29"/>
        <v>0</v>
      </c>
      <c r="AM40">
        <f t="shared" si="30"/>
        <v>0</v>
      </c>
      <c r="AN40">
        <f t="shared" si="11"/>
        <v>0</v>
      </c>
      <c r="AO40">
        <f t="shared" si="12"/>
        <v>1</v>
      </c>
      <c r="AP40">
        <f t="shared" si="13"/>
        <v>0</v>
      </c>
      <c r="AQ40">
        <f t="shared" si="14"/>
        <v>1</v>
      </c>
      <c r="AY40" s="5"/>
    </row>
    <row r="41" spans="1:51" x14ac:dyDescent="0.2">
      <c r="A41">
        <f t="shared" si="24"/>
        <v>40</v>
      </c>
      <c r="B41" s="8">
        <f t="shared" si="16"/>
        <v>1</v>
      </c>
      <c r="C41">
        <f t="shared" si="17"/>
        <v>0</v>
      </c>
      <c r="D41" s="5" t="str">
        <f t="shared" si="18"/>
        <v>0.01</v>
      </c>
      <c r="G41" s="8" t="s">
        <v>450</v>
      </c>
      <c r="W41" s="8">
        <f>SUMIFS(events!AJ:AJ,events!Q:Q,"=DeadIce",events!AK:AK,"&lt;="&amp;shifts!AG41,events!AL:AL,"&gt;"&amp;shifts!AH41,events!E:E,"="&amp;shifts!B42)+SUMIFS(events!AJ:AJ,events!Q:Q,"=Timeout",events!AK:AK,"&lt;="&amp;shifts!AG41,events!AL:AL,"&gt;"&amp;shifts!AH41,events!E:E,"="&amp;shifts!B42)</f>
        <v>0</v>
      </c>
      <c r="X41" s="8" t="str">
        <f t="shared" si="21"/>
        <v/>
      </c>
      <c r="Z41" t="str">
        <f t="shared" si="22"/>
        <v/>
      </c>
      <c r="AB41">
        <f t="shared" si="23"/>
        <v>1</v>
      </c>
      <c r="AD41">
        <f>events!AG41</f>
        <v>18981</v>
      </c>
      <c r="AE41" t="str">
        <f>events!AH41</f>
        <v>Nelson</v>
      </c>
      <c r="AF41" t="str">
        <f>events!AI41</f>
        <v>Velodrome</v>
      </c>
      <c r="AG41" s="5">
        <f t="shared" si="25"/>
        <v>0.01</v>
      </c>
      <c r="AH41" s="5">
        <f t="shared" si="26"/>
        <v>0</v>
      </c>
      <c r="AI41" s="16">
        <f t="shared" si="10"/>
        <v>0</v>
      </c>
      <c r="AJ41">
        <f t="shared" si="27"/>
        <v>0</v>
      </c>
      <c r="AK41">
        <f t="shared" si="28"/>
        <v>0</v>
      </c>
      <c r="AL41">
        <f t="shared" si="29"/>
        <v>1</v>
      </c>
      <c r="AM41">
        <f t="shared" si="30"/>
        <v>1</v>
      </c>
      <c r="AN41">
        <f t="shared" si="11"/>
        <v>0</v>
      </c>
      <c r="AO41">
        <f t="shared" si="12"/>
        <v>0</v>
      </c>
      <c r="AP41">
        <f t="shared" si="13"/>
        <v>0</v>
      </c>
      <c r="AQ41">
        <f t="shared" si="14"/>
        <v>0</v>
      </c>
      <c r="AY41" s="5"/>
    </row>
    <row r="42" spans="1:51" x14ac:dyDescent="0.2">
      <c r="A42">
        <f t="shared" si="24"/>
        <v>41</v>
      </c>
      <c r="B42" s="8">
        <f t="shared" si="16"/>
        <v>2</v>
      </c>
      <c r="C42">
        <f t="shared" si="17"/>
        <v>18</v>
      </c>
      <c r="D42" s="5">
        <f t="shared" si="18"/>
        <v>0</v>
      </c>
      <c r="E42">
        <v>17</v>
      </c>
      <c r="F42" s="5" t="s">
        <v>497</v>
      </c>
      <c r="G42" s="8" t="s">
        <v>338</v>
      </c>
      <c r="H42" s="6" t="s">
        <v>393</v>
      </c>
      <c r="I42">
        <v>10</v>
      </c>
      <c r="J42">
        <v>3</v>
      </c>
      <c r="K42">
        <v>16</v>
      </c>
      <c r="L42">
        <v>80</v>
      </c>
      <c r="M42">
        <v>8</v>
      </c>
      <c r="O42" s="6">
        <v>31</v>
      </c>
      <c r="P42" s="8">
        <v>14</v>
      </c>
      <c r="Q42">
        <v>61</v>
      </c>
      <c r="S42">
        <v>84</v>
      </c>
      <c r="T42">
        <v>52</v>
      </c>
      <c r="V42">
        <v>39</v>
      </c>
      <c r="W42" s="8">
        <f>SUMIFS(events!AJ:AJ,events!Q:Q,"=DeadIce",events!AK:AK,"&lt;="&amp;shifts!AG42,events!AL:AL,"&gt;"&amp;shifts!AH42,events!E:E,"="&amp;shifts!B43)+SUMIFS(events!AJ:AJ,events!Q:Q,"=Timeout",events!AK:AK,"&lt;="&amp;shifts!AG42,events!AL:AL,"&gt;"&amp;shifts!AH42,events!E:E,"="&amp;shifts!B43)</f>
        <v>0</v>
      </c>
      <c r="X42" s="8" t="str">
        <f t="shared" si="21"/>
        <v/>
      </c>
      <c r="Z42" t="str">
        <f t="shared" si="22"/>
        <v/>
      </c>
      <c r="AA42">
        <v>1</v>
      </c>
      <c r="AB42" t="str">
        <f t="shared" si="23"/>
        <v/>
      </c>
      <c r="AD42">
        <f>events!AG42</f>
        <v>18981</v>
      </c>
      <c r="AE42" t="str">
        <f>events!AH42</f>
        <v>Nelson</v>
      </c>
      <c r="AF42" t="str">
        <f>events!AI42</f>
        <v>Velodrome</v>
      </c>
      <c r="AG42" s="5">
        <f t="shared" si="25"/>
        <v>1080</v>
      </c>
      <c r="AH42" s="5">
        <f t="shared" si="26"/>
        <v>1045</v>
      </c>
      <c r="AI42" s="16">
        <f t="shared" si="10"/>
        <v>35</v>
      </c>
      <c r="AJ42">
        <f t="shared" si="27"/>
        <v>5</v>
      </c>
      <c r="AK42">
        <f t="shared" si="28"/>
        <v>4</v>
      </c>
      <c r="AL42">
        <f t="shared" si="29"/>
        <v>0</v>
      </c>
      <c r="AM42">
        <f t="shared" si="30"/>
        <v>0</v>
      </c>
      <c r="AN42">
        <f t="shared" si="11"/>
        <v>0</v>
      </c>
      <c r="AO42">
        <f t="shared" si="12"/>
        <v>1</v>
      </c>
      <c r="AP42">
        <f t="shared" si="13"/>
        <v>0</v>
      </c>
      <c r="AQ42">
        <f t="shared" si="14"/>
        <v>1</v>
      </c>
      <c r="AY42" s="5"/>
    </row>
    <row r="43" spans="1:51" x14ac:dyDescent="0.2">
      <c r="A43">
        <f t="shared" si="24"/>
        <v>42</v>
      </c>
      <c r="B43" s="8">
        <f t="shared" si="16"/>
        <v>2</v>
      </c>
      <c r="C43">
        <f t="shared" si="17"/>
        <v>17</v>
      </c>
      <c r="D43" s="5" t="str">
        <f t="shared" si="18"/>
        <v>25</v>
      </c>
      <c r="E43">
        <v>16</v>
      </c>
      <c r="F43" s="5" t="s">
        <v>494</v>
      </c>
      <c r="G43" s="8" t="s">
        <v>340</v>
      </c>
      <c r="H43" s="6" t="s">
        <v>353</v>
      </c>
      <c r="I43">
        <v>79</v>
      </c>
      <c r="J43">
        <v>15</v>
      </c>
      <c r="K43">
        <v>44</v>
      </c>
      <c r="L43">
        <v>37</v>
      </c>
      <c r="M43">
        <v>23</v>
      </c>
      <c r="O43" s="6">
        <f t="shared" si="19"/>
        <v>31</v>
      </c>
      <c r="P43" s="8">
        <v>70</v>
      </c>
      <c r="Q43">
        <v>87</v>
      </c>
      <c r="R43">
        <v>75</v>
      </c>
      <c r="S43">
        <v>22</v>
      </c>
      <c r="T43">
        <v>93</v>
      </c>
      <c r="V43">
        <f t="shared" si="20"/>
        <v>39</v>
      </c>
      <c r="W43" s="8">
        <f>SUMIFS(events!AJ:AJ,events!Q:Q,"=DeadIce",events!AK:AK,"&lt;="&amp;shifts!AG43,events!AL:AL,"&gt;"&amp;shifts!AH43,events!E:E,"="&amp;shifts!B44)+SUMIFS(events!AJ:AJ,events!Q:Q,"=Timeout",events!AK:AK,"&lt;="&amp;shifts!AG43,events!AL:AL,"&gt;"&amp;shifts!AH43,events!E:E,"="&amp;shifts!B44)</f>
        <v>0</v>
      </c>
      <c r="X43" s="8" t="str">
        <f t="shared" si="21"/>
        <v/>
      </c>
      <c r="Y43">
        <v>1</v>
      </c>
      <c r="Z43" t="str">
        <f t="shared" si="22"/>
        <v/>
      </c>
      <c r="AB43">
        <f t="shared" si="23"/>
        <v>1</v>
      </c>
      <c r="AD43">
        <f>events!AG43</f>
        <v>18981</v>
      </c>
      <c r="AE43" t="str">
        <f>events!AH43</f>
        <v>Nelson</v>
      </c>
      <c r="AF43" t="str">
        <f>events!AI43</f>
        <v>Velodrome</v>
      </c>
      <c r="AG43" s="5">
        <f t="shared" si="25"/>
        <v>1045</v>
      </c>
      <c r="AH43" s="5">
        <f t="shared" si="26"/>
        <v>982</v>
      </c>
      <c r="AI43" s="16">
        <f t="shared" si="10"/>
        <v>63</v>
      </c>
      <c r="AJ43">
        <f t="shared" si="27"/>
        <v>5</v>
      </c>
      <c r="AK43">
        <f t="shared" si="28"/>
        <v>5</v>
      </c>
      <c r="AL43">
        <f t="shared" si="29"/>
        <v>0</v>
      </c>
      <c r="AM43">
        <f t="shared" si="30"/>
        <v>0</v>
      </c>
      <c r="AN43">
        <f t="shared" si="11"/>
        <v>0</v>
      </c>
      <c r="AO43">
        <f t="shared" si="12"/>
        <v>0</v>
      </c>
      <c r="AP43">
        <f t="shared" si="13"/>
        <v>0</v>
      </c>
      <c r="AQ43">
        <f t="shared" si="14"/>
        <v>0</v>
      </c>
      <c r="AY43" s="5"/>
    </row>
    <row r="44" spans="1:51" x14ac:dyDescent="0.2">
      <c r="A44">
        <f t="shared" si="24"/>
        <v>43</v>
      </c>
      <c r="B44" s="8">
        <f t="shared" si="16"/>
        <v>2</v>
      </c>
      <c r="C44">
        <f t="shared" si="17"/>
        <v>16</v>
      </c>
      <c r="D44" s="5" t="str">
        <f t="shared" si="18"/>
        <v>22</v>
      </c>
      <c r="E44">
        <v>15</v>
      </c>
      <c r="F44" s="5" t="s">
        <v>506</v>
      </c>
      <c r="G44" s="8" t="s">
        <v>343</v>
      </c>
      <c r="H44" s="6" t="s">
        <v>350</v>
      </c>
      <c r="I44">
        <v>79</v>
      </c>
      <c r="J44">
        <v>15</v>
      </c>
      <c r="K44">
        <v>44</v>
      </c>
      <c r="L44">
        <v>37</v>
      </c>
      <c r="M44">
        <v>23</v>
      </c>
      <c r="O44" s="6">
        <f t="shared" si="19"/>
        <v>31</v>
      </c>
      <c r="P44" s="8">
        <v>70</v>
      </c>
      <c r="Q44">
        <v>87</v>
      </c>
      <c r="R44">
        <v>75</v>
      </c>
      <c r="S44">
        <v>22</v>
      </c>
      <c r="T44">
        <v>93</v>
      </c>
      <c r="V44">
        <f t="shared" si="20"/>
        <v>39</v>
      </c>
      <c r="W44" s="8">
        <f>SUMIFS(events!AJ:AJ,events!Q:Q,"=DeadIce",events!AK:AK,"&lt;="&amp;shifts!AG44,events!AL:AL,"&gt;"&amp;shifts!AH44,events!E:E,"="&amp;shifts!B45)+SUMIFS(events!AJ:AJ,events!Q:Q,"=Timeout",events!AK:AK,"&lt;="&amp;shifts!AG44,events!AL:AL,"&gt;"&amp;shifts!AH44,events!E:E,"="&amp;shifts!B45)</f>
        <v>0</v>
      </c>
      <c r="X44" s="8">
        <f t="shared" si="21"/>
        <v>1</v>
      </c>
      <c r="Z44" t="str">
        <f t="shared" si="22"/>
        <v/>
      </c>
      <c r="AA44">
        <v>1</v>
      </c>
      <c r="AB44" t="str">
        <f t="shared" si="23"/>
        <v/>
      </c>
      <c r="AD44">
        <f>events!AG44</f>
        <v>18981</v>
      </c>
      <c r="AE44" t="str">
        <f>events!AH44</f>
        <v>Nelson</v>
      </c>
      <c r="AF44" t="str">
        <f>events!AI44</f>
        <v>Velodrome</v>
      </c>
      <c r="AG44" s="5">
        <f t="shared" si="25"/>
        <v>982</v>
      </c>
      <c r="AH44" s="5">
        <f t="shared" si="26"/>
        <v>934</v>
      </c>
      <c r="AI44" s="16">
        <f t="shared" si="10"/>
        <v>48</v>
      </c>
      <c r="AJ44">
        <f t="shared" si="27"/>
        <v>5</v>
      </c>
      <c r="AK44">
        <f t="shared" si="28"/>
        <v>5</v>
      </c>
      <c r="AL44">
        <f t="shared" si="29"/>
        <v>0</v>
      </c>
      <c r="AM44">
        <f t="shared" si="30"/>
        <v>0</v>
      </c>
      <c r="AN44">
        <f t="shared" si="11"/>
        <v>0</v>
      </c>
      <c r="AO44">
        <f t="shared" si="12"/>
        <v>0</v>
      </c>
      <c r="AP44">
        <f t="shared" si="13"/>
        <v>0</v>
      </c>
      <c r="AQ44">
        <f t="shared" si="14"/>
        <v>0</v>
      </c>
      <c r="AY44" s="5"/>
    </row>
    <row r="45" spans="1:51" x14ac:dyDescent="0.2">
      <c r="A45">
        <f t="shared" si="24"/>
        <v>44</v>
      </c>
      <c r="B45" s="8">
        <f t="shared" si="16"/>
        <v>2</v>
      </c>
      <c r="C45">
        <f t="shared" si="17"/>
        <v>15</v>
      </c>
      <c r="D45" s="5" t="str">
        <f t="shared" si="18"/>
        <v>34</v>
      </c>
      <c r="E45">
        <v>14</v>
      </c>
      <c r="F45" s="5" t="s">
        <v>497</v>
      </c>
      <c r="G45" s="8" t="s">
        <v>342</v>
      </c>
      <c r="I45">
        <v>79</v>
      </c>
      <c r="J45">
        <v>15</v>
      </c>
      <c r="K45">
        <v>44</v>
      </c>
      <c r="L45">
        <v>37</v>
      </c>
      <c r="M45">
        <v>23</v>
      </c>
      <c r="O45" s="6">
        <f t="shared" si="19"/>
        <v>31</v>
      </c>
      <c r="P45" s="8">
        <v>70</v>
      </c>
      <c r="Q45">
        <v>49</v>
      </c>
      <c r="S45">
        <v>22</v>
      </c>
      <c r="T45">
        <v>93</v>
      </c>
      <c r="V45">
        <f t="shared" si="20"/>
        <v>39</v>
      </c>
      <c r="W45" s="8">
        <f>SUMIFS(events!AJ:AJ,events!Q:Q,"=DeadIce",events!AK:AK,"&lt;="&amp;shifts!AG45,events!AL:AL,"&gt;"&amp;shifts!AH45,events!E:E,"="&amp;shifts!B46)+SUMIFS(events!AJ:AJ,events!Q:Q,"=Timeout",events!AK:AK,"&lt;="&amp;shifts!AG45,events!AL:AL,"&gt;"&amp;shifts!AH45,events!E:E,"="&amp;shifts!B46)</f>
        <v>0</v>
      </c>
      <c r="X45" s="8" t="str">
        <f t="shared" si="21"/>
        <v/>
      </c>
      <c r="Y45">
        <v>1</v>
      </c>
      <c r="Z45">
        <f t="shared" si="22"/>
        <v>1</v>
      </c>
      <c r="AB45" t="str">
        <f t="shared" si="23"/>
        <v/>
      </c>
      <c r="AD45">
        <f>events!AG45</f>
        <v>18981</v>
      </c>
      <c r="AE45" t="str">
        <f>events!AH45</f>
        <v>Nelson</v>
      </c>
      <c r="AF45" t="str">
        <f>events!AI45</f>
        <v>Velodrome</v>
      </c>
      <c r="AG45" s="5">
        <f t="shared" si="25"/>
        <v>934</v>
      </c>
      <c r="AH45" s="5">
        <f t="shared" si="26"/>
        <v>865</v>
      </c>
      <c r="AI45" s="16">
        <f t="shared" si="10"/>
        <v>69</v>
      </c>
      <c r="AJ45">
        <f t="shared" si="27"/>
        <v>5</v>
      </c>
      <c r="AK45">
        <f t="shared" si="28"/>
        <v>4</v>
      </c>
      <c r="AL45">
        <f t="shared" si="29"/>
        <v>0</v>
      </c>
      <c r="AM45">
        <f t="shared" si="30"/>
        <v>0</v>
      </c>
      <c r="AN45">
        <f t="shared" si="11"/>
        <v>0</v>
      </c>
      <c r="AO45">
        <f t="shared" si="12"/>
        <v>1</v>
      </c>
      <c r="AP45">
        <f t="shared" si="13"/>
        <v>0</v>
      </c>
      <c r="AQ45">
        <f t="shared" si="14"/>
        <v>1</v>
      </c>
      <c r="AY45" s="5"/>
    </row>
    <row r="46" spans="1:51" x14ac:dyDescent="0.2">
      <c r="A46">
        <f t="shared" si="24"/>
        <v>45</v>
      </c>
      <c r="B46" s="8">
        <f t="shared" si="16"/>
        <v>2</v>
      </c>
      <c r="C46">
        <f t="shared" si="17"/>
        <v>14</v>
      </c>
      <c r="D46" s="5" t="str">
        <f t="shared" si="18"/>
        <v>25</v>
      </c>
      <c r="E46">
        <v>14</v>
      </c>
      <c r="F46" s="5" t="s">
        <v>489</v>
      </c>
      <c r="I46">
        <v>79</v>
      </c>
      <c r="J46">
        <v>15</v>
      </c>
      <c r="K46">
        <v>44</v>
      </c>
      <c r="L46">
        <v>37</v>
      </c>
      <c r="M46">
        <v>23</v>
      </c>
      <c r="O46" s="6">
        <f t="shared" si="19"/>
        <v>31</v>
      </c>
      <c r="P46" s="8">
        <v>42</v>
      </c>
      <c r="Q46">
        <v>49</v>
      </c>
      <c r="S46">
        <v>9</v>
      </c>
      <c r="T46">
        <v>93</v>
      </c>
      <c r="V46">
        <f t="shared" si="20"/>
        <v>39</v>
      </c>
      <c r="W46" s="8">
        <f>SUMIFS(events!AJ:AJ,events!Q:Q,"=DeadIce",events!AK:AK,"&lt;="&amp;shifts!AG46,events!AL:AL,"&gt;"&amp;shifts!AH46,events!E:E,"="&amp;shifts!B47)+SUMIFS(events!AJ:AJ,events!Q:Q,"=Timeout",events!AK:AK,"&lt;="&amp;shifts!AG46,events!AL:AL,"&gt;"&amp;shifts!AH46,events!E:E,"="&amp;shifts!B47)</f>
        <v>0</v>
      </c>
      <c r="X46" s="8">
        <f t="shared" si="21"/>
        <v>1</v>
      </c>
      <c r="Z46" t="str">
        <f t="shared" si="22"/>
        <v/>
      </c>
      <c r="AA46">
        <v>1</v>
      </c>
      <c r="AB46" t="str">
        <f t="shared" si="23"/>
        <v/>
      </c>
      <c r="AD46">
        <f>events!AG46</f>
        <v>18981</v>
      </c>
      <c r="AE46" t="str">
        <f>events!AH46</f>
        <v>Nelson</v>
      </c>
      <c r="AF46" t="str">
        <f>events!AI46</f>
        <v>Velodrome</v>
      </c>
      <c r="AG46" s="5">
        <f t="shared" si="25"/>
        <v>865</v>
      </c>
      <c r="AH46" s="5">
        <f t="shared" si="26"/>
        <v>854</v>
      </c>
      <c r="AI46" s="16">
        <f t="shared" si="10"/>
        <v>11</v>
      </c>
      <c r="AJ46">
        <f t="shared" si="27"/>
        <v>5</v>
      </c>
      <c r="AK46">
        <f t="shared" si="28"/>
        <v>4</v>
      </c>
      <c r="AL46">
        <f t="shared" si="29"/>
        <v>0</v>
      </c>
      <c r="AM46">
        <f t="shared" si="30"/>
        <v>0</v>
      </c>
      <c r="AN46">
        <f t="shared" si="11"/>
        <v>0</v>
      </c>
      <c r="AO46">
        <f t="shared" si="12"/>
        <v>1</v>
      </c>
      <c r="AP46">
        <f t="shared" si="13"/>
        <v>0</v>
      </c>
      <c r="AQ46">
        <f t="shared" si="14"/>
        <v>1</v>
      </c>
      <c r="AY46" s="5"/>
    </row>
    <row r="47" spans="1:51" x14ac:dyDescent="0.2">
      <c r="A47">
        <f t="shared" si="24"/>
        <v>46</v>
      </c>
      <c r="B47" s="8">
        <f t="shared" si="16"/>
        <v>2</v>
      </c>
      <c r="C47">
        <f t="shared" si="17"/>
        <v>14</v>
      </c>
      <c r="D47" s="5" t="str">
        <f t="shared" si="18"/>
        <v>14</v>
      </c>
      <c r="E47">
        <v>14</v>
      </c>
      <c r="F47" s="5" t="s">
        <v>475</v>
      </c>
      <c r="I47">
        <v>79</v>
      </c>
      <c r="J47">
        <v>3</v>
      </c>
      <c r="K47">
        <v>44</v>
      </c>
      <c r="L47">
        <v>37</v>
      </c>
      <c r="M47">
        <v>23</v>
      </c>
      <c r="O47" s="6">
        <f t="shared" si="19"/>
        <v>31</v>
      </c>
      <c r="P47" s="8">
        <v>42</v>
      </c>
      <c r="Q47">
        <v>49</v>
      </c>
      <c r="S47">
        <v>9</v>
      </c>
      <c r="T47">
        <v>93</v>
      </c>
      <c r="V47">
        <f t="shared" si="20"/>
        <v>39</v>
      </c>
      <c r="W47" s="8">
        <f>SUMIFS(events!AJ:AJ,events!Q:Q,"=DeadIce",events!AK:AK,"&lt;="&amp;shifts!AG47,events!AL:AL,"&gt;"&amp;shifts!AH47,events!E:E,"="&amp;shifts!B48)+SUMIFS(events!AJ:AJ,events!Q:Q,"=Timeout",events!AK:AK,"&lt;="&amp;shifts!AG47,events!AL:AL,"&gt;"&amp;shifts!AH47,events!E:E,"="&amp;shifts!B48)</f>
        <v>0</v>
      </c>
      <c r="X47" s="8" t="str">
        <f t="shared" si="21"/>
        <v/>
      </c>
      <c r="Y47">
        <v>1</v>
      </c>
      <c r="Z47">
        <f t="shared" si="22"/>
        <v>1</v>
      </c>
      <c r="AB47" t="str">
        <f t="shared" si="23"/>
        <v/>
      </c>
      <c r="AD47">
        <f>events!AG47</f>
        <v>18981</v>
      </c>
      <c r="AE47" t="str">
        <f>events!AH47</f>
        <v>Nelson</v>
      </c>
      <c r="AF47" t="str">
        <f>events!AI47</f>
        <v>Velodrome</v>
      </c>
      <c r="AG47" s="5">
        <f t="shared" si="25"/>
        <v>854</v>
      </c>
      <c r="AH47" s="5">
        <f t="shared" si="26"/>
        <v>840</v>
      </c>
      <c r="AI47" s="16">
        <f t="shared" si="10"/>
        <v>14</v>
      </c>
      <c r="AJ47">
        <f t="shared" si="27"/>
        <v>5</v>
      </c>
      <c r="AK47">
        <f t="shared" si="28"/>
        <v>4</v>
      </c>
      <c r="AL47">
        <f t="shared" si="29"/>
        <v>0</v>
      </c>
      <c r="AM47">
        <f t="shared" si="30"/>
        <v>0</v>
      </c>
      <c r="AN47">
        <f t="shared" si="11"/>
        <v>0</v>
      </c>
      <c r="AO47">
        <f t="shared" si="12"/>
        <v>1</v>
      </c>
      <c r="AP47">
        <f t="shared" si="13"/>
        <v>0</v>
      </c>
      <c r="AQ47">
        <f t="shared" si="14"/>
        <v>1</v>
      </c>
      <c r="AY47" s="5"/>
    </row>
    <row r="48" spans="1:51" x14ac:dyDescent="0.2">
      <c r="A48">
        <f t="shared" si="24"/>
        <v>47</v>
      </c>
      <c r="B48" s="8">
        <f t="shared" si="16"/>
        <v>2</v>
      </c>
      <c r="C48">
        <f t="shared" si="17"/>
        <v>14</v>
      </c>
      <c r="D48" s="5" t="str">
        <f t="shared" si="18"/>
        <v>00</v>
      </c>
      <c r="E48">
        <v>13</v>
      </c>
      <c r="F48" s="5" t="s">
        <v>506</v>
      </c>
      <c r="I48">
        <v>10</v>
      </c>
      <c r="J48">
        <v>3</v>
      </c>
      <c r="K48">
        <v>44</v>
      </c>
      <c r="L48">
        <v>37</v>
      </c>
      <c r="M48">
        <v>23</v>
      </c>
      <c r="O48" s="6">
        <f t="shared" si="19"/>
        <v>31</v>
      </c>
      <c r="P48" s="8">
        <v>42</v>
      </c>
      <c r="Q48">
        <v>49</v>
      </c>
      <c r="S48">
        <v>9</v>
      </c>
      <c r="T48">
        <v>93</v>
      </c>
      <c r="V48">
        <f t="shared" si="20"/>
        <v>39</v>
      </c>
      <c r="W48" s="8">
        <f>SUMIFS(events!AJ:AJ,events!Q:Q,"=DeadIce",events!AK:AK,"&lt;="&amp;shifts!AG48,events!AL:AL,"&gt;"&amp;shifts!AH48,events!E:E,"="&amp;shifts!B49)+SUMIFS(events!AJ:AJ,events!Q:Q,"=Timeout",events!AK:AK,"&lt;="&amp;shifts!AG48,events!AL:AL,"&gt;"&amp;shifts!AH48,events!E:E,"="&amp;shifts!B49)</f>
        <v>0</v>
      </c>
      <c r="X48" s="8">
        <f t="shared" si="21"/>
        <v>1</v>
      </c>
      <c r="Z48" t="str">
        <f t="shared" si="22"/>
        <v/>
      </c>
      <c r="AA48">
        <v>1</v>
      </c>
      <c r="AB48" t="str">
        <f t="shared" si="23"/>
        <v/>
      </c>
      <c r="AD48">
        <f>events!AG48</f>
        <v>18981</v>
      </c>
      <c r="AE48" t="str">
        <f>events!AH48</f>
        <v>Nelson</v>
      </c>
      <c r="AF48" t="str">
        <f>events!AI48</f>
        <v>Velodrome</v>
      </c>
      <c r="AG48" s="5">
        <f t="shared" si="25"/>
        <v>840</v>
      </c>
      <c r="AH48" s="5">
        <f t="shared" si="26"/>
        <v>814</v>
      </c>
      <c r="AI48" s="16">
        <f t="shared" si="10"/>
        <v>26</v>
      </c>
      <c r="AJ48">
        <f t="shared" si="27"/>
        <v>5</v>
      </c>
      <c r="AK48">
        <f t="shared" si="28"/>
        <v>4</v>
      </c>
      <c r="AL48">
        <f t="shared" si="29"/>
        <v>0</v>
      </c>
      <c r="AM48">
        <f t="shared" si="30"/>
        <v>0</v>
      </c>
      <c r="AN48">
        <f t="shared" si="11"/>
        <v>0</v>
      </c>
      <c r="AO48">
        <f t="shared" si="12"/>
        <v>1</v>
      </c>
      <c r="AP48">
        <f t="shared" si="13"/>
        <v>0</v>
      </c>
      <c r="AQ48">
        <f t="shared" si="14"/>
        <v>1</v>
      </c>
      <c r="AY48" s="5"/>
    </row>
    <row r="49" spans="1:51" x14ac:dyDescent="0.2">
      <c r="A49">
        <f t="shared" si="24"/>
        <v>48</v>
      </c>
      <c r="B49" s="8">
        <f t="shared" si="16"/>
        <v>2</v>
      </c>
      <c r="C49">
        <f t="shared" si="17"/>
        <v>13</v>
      </c>
      <c r="D49" s="5" t="str">
        <f t="shared" si="18"/>
        <v>34</v>
      </c>
      <c r="E49">
        <v>12</v>
      </c>
      <c r="F49" s="5" t="s">
        <v>508</v>
      </c>
      <c r="I49">
        <v>10</v>
      </c>
      <c r="J49">
        <v>3</v>
      </c>
      <c r="K49">
        <v>44</v>
      </c>
      <c r="L49">
        <v>37</v>
      </c>
      <c r="M49">
        <v>80</v>
      </c>
      <c r="O49" s="6">
        <f t="shared" si="19"/>
        <v>31</v>
      </c>
      <c r="P49" s="8">
        <v>42</v>
      </c>
      <c r="Q49">
        <v>49</v>
      </c>
      <c r="S49">
        <v>9</v>
      </c>
      <c r="T49">
        <v>93</v>
      </c>
      <c r="V49">
        <f t="shared" si="20"/>
        <v>39</v>
      </c>
      <c r="W49" s="8">
        <f>SUMIFS(events!AJ:AJ,events!Q:Q,"=DeadIce",events!AK:AK,"&lt;="&amp;shifts!AG49,events!AL:AL,"&gt;"&amp;shifts!AH49,events!E:E,"="&amp;shifts!B50)+SUMIFS(events!AJ:AJ,events!Q:Q,"=Timeout",events!AK:AK,"&lt;="&amp;shifts!AG49,events!AL:AL,"&gt;"&amp;shifts!AH49,events!E:E,"="&amp;shifts!B50)</f>
        <v>0</v>
      </c>
      <c r="X49" s="8" t="str">
        <f t="shared" si="21"/>
        <v/>
      </c>
      <c r="Y49">
        <v>1</v>
      </c>
      <c r="Z49">
        <f t="shared" si="22"/>
        <v>1</v>
      </c>
      <c r="AB49" t="str">
        <f t="shared" si="23"/>
        <v/>
      </c>
      <c r="AD49">
        <f>events!AG49</f>
        <v>18981</v>
      </c>
      <c r="AE49" t="str">
        <f>events!AH49</f>
        <v>Nelson</v>
      </c>
      <c r="AF49" t="str">
        <f>events!AI49</f>
        <v>Velodrome</v>
      </c>
      <c r="AG49" s="5">
        <f t="shared" si="25"/>
        <v>814</v>
      </c>
      <c r="AH49" s="5">
        <f t="shared" si="26"/>
        <v>756</v>
      </c>
      <c r="AI49" s="16">
        <f t="shared" si="10"/>
        <v>58</v>
      </c>
      <c r="AJ49">
        <f t="shared" si="27"/>
        <v>5</v>
      </c>
      <c r="AK49">
        <f t="shared" si="28"/>
        <v>4</v>
      </c>
      <c r="AL49">
        <f t="shared" si="29"/>
        <v>0</v>
      </c>
      <c r="AM49">
        <f t="shared" si="30"/>
        <v>0</v>
      </c>
      <c r="AN49">
        <f t="shared" si="11"/>
        <v>0</v>
      </c>
      <c r="AO49">
        <f t="shared" si="12"/>
        <v>1</v>
      </c>
      <c r="AP49">
        <f t="shared" si="13"/>
        <v>0</v>
      </c>
      <c r="AQ49">
        <f t="shared" si="14"/>
        <v>1</v>
      </c>
      <c r="AY49" s="5"/>
    </row>
    <row r="50" spans="1:51" x14ac:dyDescent="0.2">
      <c r="A50">
        <f t="shared" si="24"/>
        <v>49</v>
      </c>
      <c r="B50" s="8">
        <f t="shared" si="16"/>
        <v>2</v>
      </c>
      <c r="C50">
        <f t="shared" si="17"/>
        <v>12</v>
      </c>
      <c r="D50" s="5" t="str">
        <f t="shared" si="18"/>
        <v>36</v>
      </c>
      <c r="E50">
        <v>12</v>
      </c>
      <c r="F50" s="5" t="s">
        <v>496</v>
      </c>
      <c r="I50">
        <v>10</v>
      </c>
      <c r="J50">
        <v>3</v>
      </c>
      <c r="K50">
        <v>44</v>
      </c>
      <c r="L50">
        <v>80</v>
      </c>
      <c r="M50">
        <v>8</v>
      </c>
      <c r="O50" s="6">
        <f t="shared" si="19"/>
        <v>31</v>
      </c>
      <c r="P50" s="8">
        <v>42</v>
      </c>
      <c r="Q50">
        <v>24</v>
      </c>
      <c r="S50">
        <v>9</v>
      </c>
      <c r="T50">
        <v>93</v>
      </c>
      <c r="V50">
        <f t="shared" si="20"/>
        <v>39</v>
      </c>
      <c r="W50" s="8">
        <f>SUMIFS(events!AJ:AJ,events!Q:Q,"=DeadIce",events!AK:AK,"&lt;="&amp;shifts!AG50,events!AL:AL,"&gt;"&amp;shifts!AH50,events!E:E,"="&amp;shifts!B51)+SUMIFS(events!AJ:AJ,events!Q:Q,"=Timeout",events!AK:AK,"&lt;="&amp;shifts!AG50,events!AL:AL,"&gt;"&amp;shifts!AH50,events!E:E,"="&amp;shifts!B51)</f>
        <v>0</v>
      </c>
      <c r="X50" s="8">
        <f t="shared" si="21"/>
        <v>1</v>
      </c>
      <c r="Z50" t="str">
        <f t="shared" si="22"/>
        <v/>
      </c>
      <c r="AA50">
        <v>1</v>
      </c>
      <c r="AB50" t="str">
        <f t="shared" si="23"/>
        <v/>
      </c>
      <c r="AD50">
        <f>events!AG50</f>
        <v>18981</v>
      </c>
      <c r="AE50" t="str">
        <f>events!AH50</f>
        <v>Nelson</v>
      </c>
      <c r="AF50" t="str">
        <f>events!AI50</f>
        <v>Velodrome</v>
      </c>
      <c r="AG50" s="5">
        <f t="shared" si="25"/>
        <v>756</v>
      </c>
      <c r="AH50" s="5">
        <f t="shared" si="26"/>
        <v>744</v>
      </c>
      <c r="AI50" s="16">
        <f t="shared" si="10"/>
        <v>12</v>
      </c>
      <c r="AJ50">
        <f t="shared" si="27"/>
        <v>5</v>
      </c>
      <c r="AK50">
        <f t="shared" si="28"/>
        <v>4</v>
      </c>
      <c r="AL50">
        <f t="shared" si="29"/>
        <v>0</v>
      </c>
      <c r="AM50">
        <f t="shared" si="30"/>
        <v>0</v>
      </c>
      <c r="AN50">
        <f t="shared" si="11"/>
        <v>0</v>
      </c>
      <c r="AO50">
        <f t="shared" si="12"/>
        <v>1</v>
      </c>
      <c r="AP50">
        <f t="shared" si="13"/>
        <v>0</v>
      </c>
      <c r="AQ50">
        <f t="shared" si="14"/>
        <v>1</v>
      </c>
      <c r="AY50" s="5"/>
    </row>
    <row r="51" spans="1:51" x14ac:dyDescent="0.2">
      <c r="A51">
        <f t="shared" si="24"/>
        <v>50</v>
      </c>
      <c r="B51" s="8">
        <f t="shared" si="16"/>
        <v>2</v>
      </c>
      <c r="C51">
        <f t="shared" si="17"/>
        <v>12</v>
      </c>
      <c r="D51" s="5" t="str">
        <f t="shared" si="18"/>
        <v>24</v>
      </c>
      <c r="E51">
        <v>12</v>
      </c>
      <c r="F51" s="5" t="s">
        <v>481</v>
      </c>
      <c r="I51">
        <v>10</v>
      </c>
      <c r="J51">
        <v>7</v>
      </c>
      <c r="K51">
        <v>44</v>
      </c>
      <c r="L51">
        <v>80</v>
      </c>
      <c r="M51">
        <v>8</v>
      </c>
      <c r="O51" s="6">
        <f t="shared" si="19"/>
        <v>31</v>
      </c>
      <c r="P51" s="8">
        <v>42</v>
      </c>
      <c r="Q51">
        <v>24</v>
      </c>
      <c r="S51">
        <v>9</v>
      </c>
      <c r="T51">
        <v>93</v>
      </c>
      <c r="U51" s="8"/>
      <c r="V51">
        <f t="shared" si="20"/>
        <v>39</v>
      </c>
      <c r="W51" s="8">
        <f>SUMIFS(events!AJ:AJ,events!Q:Q,"=DeadIce",events!AK:AK,"&lt;="&amp;shifts!AG51,events!AL:AL,"&gt;"&amp;shifts!AH51,events!E:E,"="&amp;shifts!B52)+SUMIFS(events!AJ:AJ,events!Q:Q,"=Timeout",events!AK:AK,"&lt;="&amp;shifts!AG51,events!AL:AL,"&gt;"&amp;shifts!AH51,events!E:E,"="&amp;shifts!B52)</f>
        <v>0</v>
      </c>
      <c r="X51" s="8" t="str">
        <f t="shared" si="21"/>
        <v/>
      </c>
      <c r="Y51">
        <v>1</v>
      </c>
      <c r="Z51">
        <f t="shared" si="22"/>
        <v>1</v>
      </c>
      <c r="AB51" t="str">
        <f t="shared" si="23"/>
        <v/>
      </c>
      <c r="AD51">
        <f>events!AG51</f>
        <v>18981</v>
      </c>
      <c r="AE51" t="str">
        <f>events!AH51</f>
        <v>Nelson</v>
      </c>
      <c r="AF51" t="str">
        <f>events!AI51</f>
        <v>Velodrome</v>
      </c>
      <c r="AG51" s="5">
        <f t="shared" si="25"/>
        <v>744</v>
      </c>
      <c r="AH51" s="5">
        <f t="shared" si="26"/>
        <v>725</v>
      </c>
      <c r="AI51" s="16">
        <f t="shared" si="10"/>
        <v>19</v>
      </c>
      <c r="AJ51">
        <f t="shared" si="27"/>
        <v>5</v>
      </c>
      <c r="AK51">
        <f t="shared" si="28"/>
        <v>4</v>
      </c>
      <c r="AL51">
        <f t="shared" si="29"/>
        <v>0</v>
      </c>
      <c r="AM51">
        <f t="shared" si="30"/>
        <v>0</v>
      </c>
      <c r="AN51">
        <f t="shared" si="11"/>
        <v>0</v>
      </c>
      <c r="AO51">
        <f t="shared" si="12"/>
        <v>1</v>
      </c>
      <c r="AP51">
        <f t="shared" si="13"/>
        <v>0</v>
      </c>
      <c r="AQ51">
        <f t="shared" si="14"/>
        <v>1</v>
      </c>
      <c r="AY51" s="5"/>
    </row>
    <row r="52" spans="1:51" x14ac:dyDescent="0.2">
      <c r="A52">
        <f t="shared" si="24"/>
        <v>51</v>
      </c>
      <c r="B52" s="8">
        <f t="shared" si="16"/>
        <v>2</v>
      </c>
      <c r="C52">
        <f t="shared" si="17"/>
        <v>12</v>
      </c>
      <c r="D52" s="5" t="str">
        <f t="shared" si="18"/>
        <v>05</v>
      </c>
      <c r="E52">
        <v>11</v>
      </c>
      <c r="F52" s="5" t="s">
        <v>482</v>
      </c>
      <c r="I52">
        <v>10</v>
      </c>
      <c r="J52">
        <v>7</v>
      </c>
      <c r="K52">
        <v>16</v>
      </c>
      <c r="L52">
        <v>80</v>
      </c>
      <c r="M52">
        <v>8</v>
      </c>
      <c r="O52" s="6">
        <f t="shared" si="19"/>
        <v>31</v>
      </c>
      <c r="P52" s="8">
        <v>70</v>
      </c>
      <c r="Q52">
        <v>91</v>
      </c>
      <c r="R52">
        <v>24</v>
      </c>
      <c r="S52">
        <v>52</v>
      </c>
      <c r="T52">
        <v>84</v>
      </c>
      <c r="V52">
        <f t="shared" si="20"/>
        <v>39</v>
      </c>
      <c r="W52" s="8">
        <f>SUMIFS(events!AJ:AJ,events!Q:Q,"=DeadIce",events!AK:AK,"&lt;="&amp;shifts!AG52,events!AL:AL,"&gt;"&amp;shifts!AH52,events!E:E,"="&amp;shifts!B53)+SUMIFS(events!AJ:AJ,events!Q:Q,"=Timeout",events!AK:AK,"&lt;="&amp;shifts!AG52,events!AL:AL,"&gt;"&amp;shifts!AH52,events!E:E,"="&amp;shifts!B53)</f>
        <v>0</v>
      </c>
      <c r="X52" s="8">
        <f t="shared" si="21"/>
        <v>1</v>
      </c>
      <c r="Y52">
        <v>1</v>
      </c>
      <c r="Z52" t="str">
        <f t="shared" si="22"/>
        <v/>
      </c>
      <c r="AB52" t="str">
        <f t="shared" si="23"/>
        <v/>
      </c>
      <c r="AD52">
        <f>events!AG52</f>
        <v>18981</v>
      </c>
      <c r="AE52" t="str">
        <f>events!AH52</f>
        <v>Nelson</v>
      </c>
      <c r="AF52" t="str">
        <f>events!AI52</f>
        <v>Velodrome</v>
      </c>
      <c r="AG52" s="5">
        <f t="shared" si="25"/>
        <v>725</v>
      </c>
      <c r="AH52" s="5">
        <f t="shared" si="26"/>
        <v>667</v>
      </c>
      <c r="AI52" s="16">
        <f t="shared" si="10"/>
        <v>58</v>
      </c>
      <c r="AJ52">
        <f t="shared" si="27"/>
        <v>5</v>
      </c>
      <c r="AK52">
        <f t="shared" si="28"/>
        <v>5</v>
      </c>
      <c r="AL52">
        <f t="shared" si="29"/>
        <v>0</v>
      </c>
      <c r="AM52">
        <f t="shared" si="30"/>
        <v>0</v>
      </c>
      <c r="AN52">
        <f t="shared" si="11"/>
        <v>0</v>
      </c>
      <c r="AO52">
        <f t="shared" si="12"/>
        <v>0</v>
      </c>
      <c r="AP52">
        <f t="shared" si="13"/>
        <v>0</v>
      </c>
      <c r="AQ52">
        <f t="shared" si="14"/>
        <v>0</v>
      </c>
      <c r="AY52" s="5"/>
    </row>
    <row r="53" spans="1:51" x14ac:dyDescent="0.2">
      <c r="A53">
        <f t="shared" si="24"/>
        <v>52</v>
      </c>
      <c r="B53" s="8">
        <f t="shared" si="16"/>
        <v>2</v>
      </c>
      <c r="C53">
        <f t="shared" si="17"/>
        <v>11</v>
      </c>
      <c r="D53" s="5" t="str">
        <f t="shared" si="18"/>
        <v>07</v>
      </c>
      <c r="E53">
        <v>10</v>
      </c>
      <c r="F53" s="5" t="s">
        <v>527</v>
      </c>
      <c r="I53">
        <v>10</v>
      </c>
      <c r="J53">
        <v>7</v>
      </c>
      <c r="K53">
        <v>16</v>
      </c>
      <c r="L53">
        <v>80</v>
      </c>
      <c r="M53">
        <v>8</v>
      </c>
      <c r="O53" s="6">
        <f t="shared" si="19"/>
        <v>31</v>
      </c>
      <c r="P53" s="8">
        <v>49</v>
      </c>
      <c r="Q53">
        <v>91</v>
      </c>
      <c r="R53">
        <v>24</v>
      </c>
      <c r="S53">
        <v>52</v>
      </c>
      <c r="T53">
        <v>84</v>
      </c>
      <c r="V53">
        <f t="shared" si="20"/>
        <v>39</v>
      </c>
      <c r="W53" s="8">
        <f>SUMIFS(events!AJ:AJ,events!Q:Q,"=DeadIce",events!AK:AK,"&lt;="&amp;shifts!AG53,events!AL:AL,"&gt;"&amp;shifts!AH53,events!E:E,"="&amp;shifts!B54)+SUMIFS(events!AJ:AJ,events!Q:Q,"=Timeout",events!AK:AK,"&lt;="&amp;shifts!AG53,events!AL:AL,"&gt;"&amp;shifts!AH53,events!E:E,"="&amp;shifts!B54)</f>
        <v>0</v>
      </c>
      <c r="X53" s="8">
        <f t="shared" si="21"/>
        <v>1</v>
      </c>
      <c r="Y53">
        <v>1</v>
      </c>
      <c r="Z53" t="str">
        <f t="shared" si="22"/>
        <v/>
      </c>
      <c r="AB53" t="str">
        <f t="shared" si="23"/>
        <v/>
      </c>
      <c r="AD53">
        <f>events!AG53</f>
        <v>18981</v>
      </c>
      <c r="AE53" t="str">
        <f>events!AH53</f>
        <v>Nelson</v>
      </c>
      <c r="AF53" t="str">
        <f>events!AI53</f>
        <v>Velodrome</v>
      </c>
      <c r="AG53" s="5">
        <f t="shared" si="25"/>
        <v>667</v>
      </c>
      <c r="AH53" s="5">
        <f t="shared" si="26"/>
        <v>655</v>
      </c>
      <c r="AI53" s="16">
        <f t="shared" si="10"/>
        <v>12</v>
      </c>
      <c r="AJ53">
        <f t="shared" si="27"/>
        <v>5</v>
      </c>
      <c r="AK53">
        <f t="shared" si="28"/>
        <v>5</v>
      </c>
      <c r="AL53">
        <f t="shared" si="29"/>
        <v>0</v>
      </c>
      <c r="AM53">
        <f t="shared" si="30"/>
        <v>0</v>
      </c>
      <c r="AN53">
        <f t="shared" si="11"/>
        <v>0</v>
      </c>
      <c r="AO53">
        <f t="shared" si="12"/>
        <v>0</v>
      </c>
      <c r="AP53">
        <f t="shared" si="13"/>
        <v>0</v>
      </c>
      <c r="AQ53">
        <f t="shared" si="14"/>
        <v>0</v>
      </c>
      <c r="AY53" s="5"/>
    </row>
    <row r="54" spans="1:51" x14ac:dyDescent="0.2">
      <c r="A54">
        <f t="shared" si="24"/>
        <v>53</v>
      </c>
      <c r="B54" s="8">
        <f t="shared" si="16"/>
        <v>2</v>
      </c>
      <c r="C54">
        <f t="shared" si="17"/>
        <v>10</v>
      </c>
      <c r="D54" s="5" t="str">
        <f t="shared" si="18"/>
        <v>55</v>
      </c>
      <c r="E54">
        <v>10</v>
      </c>
      <c r="F54" s="5" t="s">
        <v>511</v>
      </c>
      <c r="I54">
        <v>10</v>
      </c>
      <c r="J54">
        <v>15</v>
      </c>
      <c r="K54">
        <v>16</v>
      </c>
      <c r="L54">
        <v>80</v>
      </c>
      <c r="M54">
        <v>8</v>
      </c>
      <c r="O54" s="6">
        <f t="shared" si="19"/>
        <v>31</v>
      </c>
      <c r="P54" s="8">
        <v>49</v>
      </c>
      <c r="Q54">
        <v>91</v>
      </c>
      <c r="R54">
        <v>24</v>
      </c>
      <c r="S54">
        <v>52</v>
      </c>
      <c r="T54">
        <v>84</v>
      </c>
      <c r="V54">
        <f t="shared" si="20"/>
        <v>39</v>
      </c>
      <c r="W54" s="8">
        <f>SUMIFS(events!AJ:AJ,events!Q:Q,"=DeadIce",events!AK:AK,"&lt;="&amp;shifts!AG54,events!AL:AL,"&gt;"&amp;shifts!AH54,events!E:E,"="&amp;shifts!B55)+SUMIFS(events!AJ:AJ,events!Q:Q,"=Timeout",events!AK:AK,"&lt;="&amp;shifts!AG54,events!AL:AL,"&gt;"&amp;shifts!AH54,events!E:E,"="&amp;shifts!B55)</f>
        <v>0</v>
      </c>
      <c r="X54" s="8">
        <f t="shared" si="21"/>
        <v>1</v>
      </c>
      <c r="Z54" t="str">
        <f t="shared" si="22"/>
        <v/>
      </c>
      <c r="AA54">
        <v>1</v>
      </c>
      <c r="AB54" t="str">
        <f t="shared" si="23"/>
        <v/>
      </c>
      <c r="AD54">
        <f>events!AG54</f>
        <v>18981</v>
      </c>
      <c r="AE54" t="str">
        <f>events!AH54</f>
        <v>Nelson</v>
      </c>
      <c r="AF54" t="str">
        <f>events!AI54</f>
        <v>Velodrome</v>
      </c>
      <c r="AG54" s="5">
        <f t="shared" si="25"/>
        <v>655</v>
      </c>
      <c r="AH54" s="5">
        <f t="shared" si="26"/>
        <v>639</v>
      </c>
      <c r="AI54" s="16">
        <f t="shared" si="10"/>
        <v>16</v>
      </c>
      <c r="AJ54">
        <f t="shared" si="27"/>
        <v>5</v>
      </c>
      <c r="AK54">
        <f t="shared" si="28"/>
        <v>5</v>
      </c>
      <c r="AL54">
        <f t="shared" si="29"/>
        <v>0</v>
      </c>
      <c r="AM54">
        <f t="shared" si="30"/>
        <v>0</v>
      </c>
      <c r="AN54">
        <f t="shared" si="11"/>
        <v>0</v>
      </c>
      <c r="AO54">
        <f t="shared" si="12"/>
        <v>0</v>
      </c>
      <c r="AP54">
        <f t="shared" si="13"/>
        <v>0</v>
      </c>
      <c r="AQ54">
        <f t="shared" si="14"/>
        <v>0</v>
      </c>
      <c r="AY54" s="5"/>
    </row>
    <row r="55" spans="1:51" x14ac:dyDescent="0.2">
      <c r="A55">
        <f t="shared" si="24"/>
        <v>54</v>
      </c>
      <c r="B55" s="8">
        <f t="shared" si="16"/>
        <v>2</v>
      </c>
      <c r="C55">
        <f t="shared" si="17"/>
        <v>10</v>
      </c>
      <c r="D55" s="5" t="str">
        <f t="shared" si="18"/>
        <v>39</v>
      </c>
      <c r="E55">
        <v>10</v>
      </c>
      <c r="F55" s="5" t="s">
        <v>507</v>
      </c>
      <c r="G55" s="8" t="s">
        <v>709</v>
      </c>
      <c r="H55" s="6" t="s">
        <v>350</v>
      </c>
      <c r="I55">
        <v>10</v>
      </c>
      <c r="J55">
        <v>15</v>
      </c>
      <c r="K55">
        <v>16</v>
      </c>
      <c r="L55">
        <v>80</v>
      </c>
      <c r="M55">
        <v>8</v>
      </c>
      <c r="N55">
        <v>79</v>
      </c>
      <c r="P55" s="8">
        <v>49</v>
      </c>
      <c r="Q55">
        <v>91</v>
      </c>
      <c r="R55">
        <v>24</v>
      </c>
      <c r="S55">
        <v>52</v>
      </c>
      <c r="T55">
        <v>84</v>
      </c>
      <c r="V55">
        <f t="shared" si="20"/>
        <v>39</v>
      </c>
      <c r="W55" s="8">
        <f>SUMIFS(events!AJ:AJ,events!Q:Q,"=DeadIce",events!AK:AK,"&lt;="&amp;shifts!AG55,events!AL:AL,"&gt;"&amp;shifts!AH55,events!E:E,"="&amp;shifts!B56)+SUMIFS(events!AJ:AJ,events!Q:Q,"=Timeout",events!AK:AK,"&lt;="&amp;shifts!AG55,events!AL:AL,"&gt;"&amp;shifts!AH55,events!E:E,"="&amp;shifts!B56)</f>
        <v>0</v>
      </c>
      <c r="X55" s="8" t="str">
        <f t="shared" si="21"/>
        <v/>
      </c>
      <c r="Z55">
        <f t="shared" si="22"/>
        <v>1</v>
      </c>
      <c r="AA55">
        <v>1</v>
      </c>
      <c r="AB55" t="str">
        <f t="shared" si="23"/>
        <v/>
      </c>
      <c r="AD55">
        <f>events!AG55</f>
        <v>18981</v>
      </c>
      <c r="AE55" t="str">
        <f>events!AH55</f>
        <v>Nelson</v>
      </c>
      <c r="AF55" t="str">
        <f>events!AI55</f>
        <v>Velodrome</v>
      </c>
      <c r="AG55" s="5">
        <f t="shared" si="25"/>
        <v>639</v>
      </c>
      <c r="AH55" s="5">
        <f t="shared" si="26"/>
        <v>635</v>
      </c>
      <c r="AI55" s="16">
        <f t="shared" si="10"/>
        <v>4</v>
      </c>
      <c r="AJ55">
        <f t="shared" si="27"/>
        <v>6</v>
      </c>
      <c r="AK55">
        <f t="shared" si="28"/>
        <v>5</v>
      </c>
      <c r="AL55">
        <f t="shared" si="29"/>
        <v>1</v>
      </c>
      <c r="AM55">
        <f t="shared" si="30"/>
        <v>0</v>
      </c>
      <c r="AN55">
        <f t="shared" si="11"/>
        <v>0</v>
      </c>
      <c r="AO55">
        <f t="shared" si="12"/>
        <v>0</v>
      </c>
      <c r="AP55">
        <f t="shared" si="13"/>
        <v>0</v>
      </c>
      <c r="AQ55">
        <f t="shared" si="14"/>
        <v>0</v>
      </c>
      <c r="AY55" s="5"/>
    </row>
    <row r="56" spans="1:51" x14ac:dyDescent="0.2">
      <c r="A56">
        <f t="shared" si="24"/>
        <v>55</v>
      </c>
      <c r="B56" s="8">
        <f t="shared" si="16"/>
        <v>2</v>
      </c>
      <c r="C56">
        <f t="shared" si="17"/>
        <v>10</v>
      </c>
      <c r="D56" s="5" t="str">
        <f t="shared" si="18"/>
        <v>35</v>
      </c>
      <c r="E56">
        <v>9</v>
      </c>
      <c r="F56" s="5" t="s">
        <v>492</v>
      </c>
      <c r="G56" s="8" t="s">
        <v>342</v>
      </c>
      <c r="I56">
        <v>79</v>
      </c>
      <c r="J56">
        <v>15</v>
      </c>
      <c r="K56">
        <v>16</v>
      </c>
      <c r="L56">
        <v>37</v>
      </c>
      <c r="M56">
        <v>23</v>
      </c>
      <c r="N56">
        <v>7</v>
      </c>
      <c r="O56" s="6">
        <v>31</v>
      </c>
      <c r="P56" s="8">
        <v>14</v>
      </c>
      <c r="Q56">
        <v>61</v>
      </c>
      <c r="S56">
        <v>52</v>
      </c>
      <c r="T56">
        <v>84</v>
      </c>
      <c r="V56">
        <f t="shared" si="20"/>
        <v>39</v>
      </c>
      <c r="W56" s="8">
        <f>SUMIFS(events!AJ:AJ,events!Q:Q,"=DeadIce",events!AK:AK,"&lt;="&amp;shifts!AG56,events!AL:AL,"&gt;"&amp;shifts!AH56,events!E:E,"="&amp;shifts!B57)+SUMIFS(events!AJ:AJ,events!Q:Q,"=Timeout",events!AK:AK,"&lt;="&amp;shifts!AG56,events!AL:AL,"&gt;"&amp;shifts!AH56,events!E:E,"="&amp;shifts!B57)</f>
        <v>0</v>
      </c>
      <c r="X56" s="8" t="str">
        <f t="shared" si="21"/>
        <v/>
      </c>
      <c r="Y56">
        <v>1</v>
      </c>
      <c r="Z56">
        <f t="shared" si="22"/>
        <v>1</v>
      </c>
      <c r="AB56" t="str">
        <f t="shared" si="23"/>
        <v/>
      </c>
      <c r="AD56">
        <f>events!AG56</f>
        <v>18981</v>
      </c>
      <c r="AE56" t="str">
        <f>events!AH56</f>
        <v>Nelson</v>
      </c>
      <c r="AF56" t="str">
        <f>events!AI56</f>
        <v>Velodrome</v>
      </c>
      <c r="AG56" s="5">
        <f t="shared" si="25"/>
        <v>635</v>
      </c>
      <c r="AH56" s="5">
        <f t="shared" si="26"/>
        <v>560</v>
      </c>
      <c r="AI56" s="16">
        <f t="shared" si="10"/>
        <v>75</v>
      </c>
      <c r="AJ56">
        <f t="shared" si="27"/>
        <v>6</v>
      </c>
      <c r="AK56">
        <f t="shared" si="28"/>
        <v>4</v>
      </c>
      <c r="AL56">
        <f t="shared" si="29"/>
        <v>0</v>
      </c>
      <c r="AM56">
        <f t="shared" si="30"/>
        <v>0</v>
      </c>
      <c r="AN56">
        <f t="shared" si="11"/>
        <v>0</v>
      </c>
      <c r="AO56">
        <f t="shared" si="12"/>
        <v>1</v>
      </c>
      <c r="AP56">
        <f t="shared" si="13"/>
        <v>0</v>
      </c>
      <c r="AQ56">
        <f t="shared" si="14"/>
        <v>1</v>
      </c>
      <c r="AY56" s="5"/>
    </row>
    <row r="57" spans="1:51" x14ac:dyDescent="0.2">
      <c r="A57">
        <f t="shared" si="24"/>
        <v>56</v>
      </c>
      <c r="B57" s="8">
        <f t="shared" si="16"/>
        <v>2</v>
      </c>
      <c r="C57">
        <f t="shared" si="17"/>
        <v>9</v>
      </c>
      <c r="D57" s="5" t="str">
        <f t="shared" si="18"/>
        <v>20</v>
      </c>
      <c r="E57">
        <v>8</v>
      </c>
      <c r="F57" s="5" t="s">
        <v>502</v>
      </c>
      <c r="H57" s="6" t="s">
        <v>395</v>
      </c>
      <c r="I57">
        <v>79</v>
      </c>
      <c r="J57">
        <v>15</v>
      </c>
      <c r="K57">
        <v>44</v>
      </c>
      <c r="L57">
        <v>37</v>
      </c>
      <c r="M57">
        <v>23</v>
      </c>
      <c r="O57" s="6">
        <f t="shared" si="19"/>
        <v>31</v>
      </c>
      <c r="P57" s="8">
        <v>14</v>
      </c>
      <c r="Q57">
        <v>61</v>
      </c>
      <c r="S57">
        <v>52</v>
      </c>
      <c r="T57">
        <v>22</v>
      </c>
      <c r="V57">
        <f t="shared" si="20"/>
        <v>39</v>
      </c>
      <c r="W57" s="8">
        <f>SUMIFS(events!AJ:AJ,events!Q:Q,"=DeadIce",events!AK:AK,"&lt;="&amp;shifts!AG57,events!AL:AL,"&gt;"&amp;shifts!AH57,events!E:E,"="&amp;shifts!B58)+SUMIFS(events!AJ:AJ,events!Q:Q,"=Timeout",events!AK:AK,"&lt;="&amp;shifts!AG57,events!AL:AL,"&gt;"&amp;shifts!AH57,events!E:E,"="&amp;shifts!B58)</f>
        <v>0</v>
      </c>
      <c r="X57" s="8">
        <f t="shared" si="21"/>
        <v>1</v>
      </c>
      <c r="Z57" t="str">
        <f t="shared" si="22"/>
        <v/>
      </c>
      <c r="AA57">
        <v>1</v>
      </c>
      <c r="AB57" t="str">
        <f t="shared" si="23"/>
        <v/>
      </c>
      <c r="AD57">
        <f>events!AG57</f>
        <v>18981</v>
      </c>
      <c r="AE57" t="str">
        <f>events!AH57</f>
        <v>Nelson</v>
      </c>
      <c r="AF57" t="str">
        <f>events!AI57</f>
        <v>Velodrome</v>
      </c>
      <c r="AG57" s="5">
        <f t="shared" si="25"/>
        <v>560</v>
      </c>
      <c r="AH57" s="5">
        <f t="shared" si="26"/>
        <v>510</v>
      </c>
      <c r="AI57" s="16">
        <f t="shared" si="10"/>
        <v>50</v>
      </c>
      <c r="AJ57">
        <f t="shared" si="27"/>
        <v>5</v>
      </c>
      <c r="AK57">
        <f t="shared" si="28"/>
        <v>4</v>
      </c>
      <c r="AL57">
        <f t="shared" si="29"/>
        <v>0</v>
      </c>
      <c r="AM57">
        <f t="shared" si="30"/>
        <v>0</v>
      </c>
      <c r="AN57">
        <f t="shared" si="11"/>
        <v>0</v>
      </c>
      <c r="AO57">
        <f t="shared" si="12"/>
        <v>1</v>
      </c>
      <c r="AP57">
        <f t="shared" si="13"/>
        <v>0</v>
      </c>
      <c r="AQ57">
        <f t="shared" si="14"/>
        <v>1</v>
      </c>
      <c r="AY57" s="5"/>
    </row>
    <row r="58" spans="1:51" x14ac:dyDescent="0.2">
      <c r="A58">
        <f t="shared" si="24"/>
        <v>57</v>
      </c>
      <c r="B58" s="8">
        <f t="shared" si="16"/>
        <v>2</v>
      </c>
      <c r="C58">
        <f t="shared" si="17"/>
        <v>8</v>
      </c>
      <c r="D58" s="5" t="str">
        <f t="shared" si="18"/>
        <v>30</v>
      </c>
      <c r="E58">
        <v>7</v>
      </c>
      <c r="F58" s="5" t="s">
        <v>501</v>
      </c>
      <c r="G58" s="8" t="s">
        <v>343</v>
      </c>
      <c r="I58">
        <v>79</v>
      </c>
      <c r="J58">
        <v>3</v>
      </c>
      <c r="K58">
        <v>44</v>
      </c>
      <c r="L58">
        <v>37</v>
      </c>
      <c r="M58">
        <v>23</v>
      </c>
      <c r="O58" s="6">
        <f t="shared" si="19"/>
        <v>31</v>
      </c>
      <c r="P58" s="8">
        <v>87</v>
      </c>
      <c r="Q58">
        <v>75</v>
      </c>
      <c r="S58">
        <v>93</v>
      </c>
      <c r="T58">
        <v>22</v>
      </c>
      <c r="V58">
        <f t="shared" si="20"/>
        <v>39</v>
      </c>
      <c r="W58" s="8">
        <f>SUMIFS(events!AJ:AJ,events!Q:Q,"=DeadIce",events!AK:AK,"&lt;="&amp;shifts!AG58,events!AL:AL,"&gt;"&amp;shifts!AH58,events!E:E,"="&amp;shifts!B59)+SUMIFS(events!AJ:AJ,events!Q:Q,"=Timeout",events!AK:AK,"&lt;="&amp;shifts!AG58,events!AL:AL,"&gt;"&amp;shifts!AH58,events!E:E,"="&amp;shifts!B59)</f>
        <v>0</v>
      </c>
      <c r="X58" s="8" t="str">
        <f t="shared" si="21"/>
        <v/>
      </c>
      <c r="Z58">
        <f t="shared" si="22"/>
        <v>1</v>
      </c>
      <c r="AA58">
        <v>1</v>
      </c>
      <c r="AB58" t="str">
        <f t="shared" si="23"/>
        <v/>
      </c>
      <c r="AD58">
        <f>events!AG58</f>
        <v>18981</v>
      </c>
      <c r="AE58" t="str">
        <f>events!AH58</f>
        <v>Nelson</v>
      </c>
      <c r="AF58" t="str">
        <f>events!AI58</f>
        <v>Velodrome</v>
      </c>
      <c r="AG58" s="5">
        <f t="shared" si="25"/>
        <v>510</v>
      </c>
      <c r="AH58" s="5">
        <f t="shared" si="26"/>
        <v>449</v>
      </c>
      <c r="AI58" s="16">
        <f t="shared" si="10"/>
        <v>61</v>
      </c>
      <c r="AJ58">
        <f t="shared" si="27"/>
        <v>5</v>
      </c>
      <c r="AK58">
        <f t="shared" si="28"/>
        <v>4</v>
      </c>
      <c r="AL58">
        <f t="shared" si="29"/>
        <v>0</v>
      </c>
      <c r="AM58">
        <f t="shared" si="30"/>
        <v>0</v>
      </c>
      <c r="AN58">
        <f t="shared" si="11"/>
        <v>0</v>
      </c>
      <c r="AO58">
        <f t="shared" si="12"/>
        <v>1</v>
      </c>
      <c r="AP58">
        <f t="shared" si="13"/>
        <v>0</v>
      </c>
      <c r="AQ58">
        <f t="shared" si="14"/>
        <v>1</v>
      </c>
      <c r="AY58" s="5"/>
    </row>
    <row r="59" spans="1:51" x14ac:dyDescent="0.2">
      <c r="A59">
        <f t="shared" si="24"/>
        <v>58</v>
      </c>
      <c r="B59" s="8">
        <f t="shared" si="16"/>
        <v>2</v>
      </c>
      <c r="C59">
        <f t="shared" si="17"/>
        <v>7</v>
      </c>
      <c r="D59" s="5" t="str">
        <f t="shared" si="18"/>
        <v>29</v>
      </c>
      <c r="E59">
        <v>7</v>
      </c>
      <c r="F59" s="5" t="s">
        <v>493</v>
      </c>
      <c r="H59" s="6" t="s">
        <v>395</v>
      </c>
      <c r="I59">
        <v>10</v>
      </c>
      <c r="J59">
        <v>3</v>
      </c>
      <c r="K59">
        <v>44</v>
      </c>
      <c r="L59">
        <v>37</v>
      </c>
      <c r="M59">
        <v>23</v>
      </c>
      <c r="O59" s="6">
        <f t="shared" si="19"/>
        <v>31</v>
      </c>
      <c r="P59" s="8">
        <v>87</v>
      </c>
      <c r="Q59">
        <v>75</v>
      </c>
      <c r="S59">
        <v>93</v>
      </c>
      <c r="T59">
        <v>22</v>
      </c>
      <c r="V59">
        <f t="shared" si="20"/>
        <v>39</v>
      </c>
      <c r="W59" s="8">
        <f>SUMIFS(events!AJ:AJ,events!Q:Q,"=DeadIce",events!AK:AK,"&lt;="&amp;shifts!AG59,events!AL:AL,"&gt;"&amp;shifts!AH59,events!E:E,"="&amp;shifts!B60)+SUMIFS(events!AJ:AJ,events!Q:Q,"=Timeout",events!AK:AK,"&lt;="&amp;shifts!AG59,events!AL:AL,"&gt;"&amp;shifts!AH59,events!E:E,"="&amp;shifts!B60)</f>
        <v>0</v>
      </c>
      <c r="X59" s="8" t="str">
        <f t="shared" si="21"/>
        <v/>
      </c>
      <c r="Z59">
        <f t="shared" si="22"/>
        <v>1</v>
      </c>
      <c r="AA59">
        <v>1</v>
      </c>
      <c r="AB59" t="str">
        <f t="shared" si="23"/>
        <v/>
      </c>
      <c r="AD59">
        <f>events!AG59</f>
        <v>18981</v>
      </c>
      <c r="AE59" t="str">
        <f>events!AH59</f>
        <v>Nelson</v>
      </c>
      <c r="AF59" t="str">
        <f>events!AI59</f>
        <v>Velodrome</v>
      </c>
      <c r="AG59" s="5">
        <f t="shared" si="25"/>
        <v>449</v>
      </c>
      <c r="AH59" s="5">
        <f t="shared" si="26"/>
        <v>441</v>
      </c>
      <c r="AI59" s="16">
        <f t="shared" si="10"/>
        <v>8</v>
      </c>
      <c r="AJ59">
        <f t="shared" si="27"/>
        <v>5</v>
      </c>
      <c r="AK59">
        <f t="shared" si="28"/>
        <v>4</v>
      </c>
      <c r="AL59">
        <f t="shared" si="29"/>
        <v>0</v>
      </c>
      <c r="AM59">
        <f t="shared" si="30"/>
        <v>0</v>
      </c>
      <c r="AN59">
        <f t="shared" si="11"/>
        <v>0</v>
      </c>
      <c r="AO59">
        <f t="shared" si="12"/>
        <v>1</v>
      </c>
      <c r="AP59">
        <f t="shared" si="13"/>
        <v>0</v>
      </c>
      <c r="AQ59">
        <f t="shared" si="14"/>
        <v>1</v>
      </c>
      <c r="AY59" s="5"/>
    </row>
    <row r="60" spans="1:51" x14ac:dyDescent="0.2">
      <c r="A60">
        <f t="shared" si="24"/>
        <v>59</v>
      </c>
      <c r="B60" s="8">
        <f t="shared" si="16"/>
        <v>2</v>
      </c>
      <c r="C60">
        <f t="shared" si="17"/>
        <v>7</v>
      </c>
      <c r="D60" s="5" t="str">
        <f t="shared" si="18"/>
        <v>21</v>
      </c>
      <c r="E60">
        <v>6</v>
      </c>
      <c r="F60" s="5" t="s">
        <v>511</v>
      </c>
      <c r="G60" s="8" t="s">
        <v>343</v>
      </c>
      <c r="I60">
        <v>10</v>
      </c>
      <c r="J60">
        <v>3</v>
      </c>
      <c r="K60">
        <v>44</v>
      </c>
      <c r="L60">
        <v>80</v>
      </c>
      <c r="M60">
        <v>8</v>
      </c>
      <c r="O60" s="6">
        <f t="shared" si="19"/>
        <v>31</v>
      </c>
      <c r="P60" s="8">
        <v>87</v>
      </c>
      <c r="Q60">
        <v>75</v>
      </c>
      <c r="S60">
        <v>93</v>
      </c>
      <c r="T60">
        <v>9</v>
      </c>
      <c r="V60">
        <f t="shared" si="20"/>
        <v>39</v>
      </c>
      <c r="W60" s="8">
        <f>SUMIFS(events!AJ:AJ,events!Q:Q,"=DeadIce",events!AK:AK,"&lt;="&amp;shifts!AG60,events!AL:AL,"&gt;"&amp;shifts!AH60,events!E:E,"="&amp;shifts!B61)+SUMIFS(events!AJ:AJ,events!Q:Q,"=Timeout",events!AK:AK,"&lt;="&amp;shifts!AG60,events!AL:AL,"&gt;"&amp;shifts!AH60,events!E:E,"="&amp;shifts!B61)</f>
        <v>0</v>
      </c>
      <c r="X60" s="8" t="str">
        <f t="shared" si="21"/>
        <v/>
      </c>
      <c r="Y60">
        <v>1</v>
      </c>
      <c r="Z60">
        <f t="shared" si="22"/>
        <v>1</v>
      </c>
      <c r="AB60" t="str">
        <f t="shared" si="23"/>
        <v/>
      </c>
      <c r="AD60">
        <f>events!AG60</f>
        <v>18981</v>
      </c>
      <c r="AE60" t="str">
        <f>events!AH60</f>
        <v>Nelson</v>
      </c>
      <c r="AF60" t="str">
        <f>events!AI60</f>
        <v>Velodrome</v>
      </c>
      <c r="AG60" s="5">
        <f t="shared" si="25"/>
        <v>441</v>
      </c>
      <c r="AH60" s="5">
        <f t="shared" si="26"/>
        <v>399</v>
      </c>
      <c r="AI60" s="16">
        <f t="shared" si="10"/>
        <v>42</v>
      </c>
      <c r="AJ60">
        <f t="shared" si="27"/>
        <v>5</v>
      </c>
      <c r="AK60">
        <f t="shared" si="28"/>
        <v>4</v>
      </c>
      <c r="AL60">
        <f t="shared" si="29"/>
        <v>0</v>
      </c>
      <c r="AM60">
        <f t="shared" si="30"/>
        <v>0</v>
      </c>
      <c r="AN60">
        <f t="shared" si="11"/>
        <v>0</v>
      </c>
      <c r="AO60">
        <f t="shared" si="12"/>
        <v>1</v>
      </c>
      <c r="AP60">
        <f t="shared" si="13"/>
        <v>0</v>
      </c>
      <c r="AQ60">
        <f t="shared" si="14"/>
        <v>1</v>
      </c>
      <c r="AY60" s="5"/>
    </row>
    <row r="61" spans="1:51" x14ac:dyDescent="0.2">
      <c r="A61">
        <f t="shared" si="24"/>
        <v>60</v>
      </c>
      <c r="B61" s="8">
        <f t="shared" si="16"/>
        <v>2</v>
      </c>
      <c r="C61">
        <f t="shared" si="17"/>
        <v>6</v>
      </c>
      <c r="D61" s="5" t="str">
        <f t="shared" si="18"/>
        <v>39</v>
      </c>
      <c r="E61">
        <v>6</v>
      </c>
      <c r="F61" s="5" t="s">
        <v>486</v>
      </c>
      <c r="I61">
        <v>10</v>
      </c>
      <c r="J61">
        <v>3</v>
      </c>
      <c r="K61">
        <v>44</v>
      </c>
      <c r="L61">
        <v>80</v>
      </c>
      <c r="M61">
        <v>8</v>
      </c>
      <c r="O61" s="6">
        <f t="shared" si="19"/>
        <v>31</v>
      </c>
      <c r="P61" s="8">
        <v>70</v>
      </c>
      <c r="Q61">
        <v>87</v>
      </c>
      <c r="R61">
        <v>75</v>
      </c>
      <c r="S61">
        <v>93</v>
      </c>
      <c r="T61">
        <v>9</v>
      </c>
      <c r="V61">
        <f t="shared" si="20"/>
        <v>39</v>
      </c>
      <c r="W61" s="8">
        <f>SUMIFS(events!AJ:AJ,events!Q:Q,"=DeadIce",events!AK:AK,"&lt;="&amp;shifts!AG61,events!AL:AL,"&gt;"&amp;shifts!AH61,events!E:E,"="&amp;shifts!B62)+SUMIFS(events!AJ:AJ,events!Q:Q,"=Timeout",events!AK:AK,"&lt;="&amp;shifts!AG61,events!AL:AL,"&gt;"&amp;shifts!AH61,events!E:E,"="&amp;shifts!B62)</f>
        <v>0</v>
      </c>
      <c r="X61" s="8">
        <f t="shared" si="21"/>
        <v>1</v>
      </c>
      <c r="Y61">
        <v>1</v>
      </c>
      <c r="Z61" t="str">
        <f t="shared" si="22"/>
        <v/>
      </c>
      <c r="AB61" t="str">
        <f t="shared" si="23"/>
        <v/>
      </c>
      <c r="AD61">
        <f>events!AG61</f>
        <v>18981</v>
      </c>
      <c r="AE61" t="str">
        <f>events!AH61</f>
        <v>Nelson</v>
      </c>
      <c r="AF61" t="str">
        <f>events!AI61</f>
        <v>Velodrome</v>
      </c>
      <c r="AG61" s="5">
        <f t="shared" si="25"/>
        <v>399</v>
      </c>
      <c r="AH61" s="5">
        <f t="shared" si="26"/>
        <v>371</v>
      </c>
      <c r="AI61" s="16">
        <f t="shared" si="10"/>
        <v>28</v>
      </c>
      <c r="AJ61">
        <f t="shared" si="27"/>
        <v>5</v>
      </c>
      <c r="AK61">
        <f t="shared" si="28"/>
        <v>5</v>
      </c>
      <c r="AL61">
        <f t="shared" si="29"/>
        <v>0</v>
      </c>
      <c r="AM61">
        <f t="shared" si="30"/>
        <v>0</v>
      </c>
      <c r="AN61">
        <f t="shared" si="11"/>
        <v>0</v>
      </c>
      <c r="AO61">
        <f t="shared" si="12"/>
        <v>0</v>
      </c>
      <c r="AP61">
        <f t="shared" si="13"/>
        <v>0</v>
      </c>
      <c r="AQ61">
        <f t="shared" si="14"/>
        <v>0</v>
      </c>
      <c r="AY61" s="5"/>
    </row>
    <row r="62" spans="1:51" x14ac:dyDescent="0.2">
      <c r="A62">
        <f t="shared" si="24"/>
        <v>61</v>
      </c>
      <c r="B62" s="8">
        <f t="shared" si="16"/>
        <v>2</v>
      </c>
      <c r="C62">
        <f t="shared" si="17"/>
        <v>6</v>
      </c>
      <c r="D62" s="5" t="str">
        <f t="shared" si="18"/>
        <v>11</v>
      </c>
      <c r="E62">
        <v>5</v>
      </c>
      <c r="F62" s="5" t="s">
        <v>493</v>
      </c>
      <c r="H62" s="6" t="s">
        <v>352</v>
      </c>
      <c r="I62">
        <v>10</v>
      </c>
      <c r="J62">
        <v>7</v>
      </c>
      <c r="K62">
        <v>44</v>
      </c>
      <c r="L62">
        <v>80</v>
      </c>
      <c r="M62">
        <v>8</v>
      </c>
      <c r="O62" s="6">
        <f t="shared" si="19"/>
        <v>31</v>
      </c>
      <c r="P62" s="8">
        <v>70</v>
      </c>
      <c r="Q62">
        <v>87</v>
      </c>
      <c r="R62">
        <v>75</v>
      </c>
      <c r="S62">
        <v>93</v>
      </c>
      <c r="T62">
        <v>9</v>
      </c>
      <c r="V62">
        <f t="shared" si="20"/>
        <v>39</v>
      </c>
      <c r="W62" s="8">
        <f>SUMIFS(events!AJ:AJ,events!Q:Q,"=DeadIce",events!AK:AK,"&lt;="&amp;shifts!AG62,events!AL:AL,"&gt;"&amp;shifts!AH62,events!E:E,"="&amp;shifts!B63)+SUMIFS(events!AJ:AJ,events!Q:Q,"=Timeout",events!AK:AK,"&lt;="&amp;shifts!AG62,events!AL:AL,"&gt;"&amp;shifts!AH62,events!E:E,"="&amp;shifts!B63)</f>
        <v>0</v>
      </c>
      <c r="X62" s="8">
        <f t="shared" si="21"/>
        <v>1</v>
      </c>
      <c r="Z62" t="str">
        <f t="shared" si="22"/>
        <v/>
      </c>
      <c r="AB62" t="str">
        <f t="shared" si="23"/>
        <v/>
      </c>
      <c r="AC62">
        <v>1</v>
      </c>
      <c r="AD62">
        <f>events!AG62</f>
        <v>18981</v>
      </c>
      <c r="AE62" t="str">
        <f>events!AH62</f>
        <v>Nelson</v>
      </c>
      <c r="AF62" t="str">
        <f>events!AI62</f>
        <v>Velodrome</v>
      </c>
      <c r="AG62" s="5">
        <f t="shared" si="25"/>
        <v>371</v>
      </c>
      <c r="AH62" s="5">
        <f t="shared" si="26"/>
        <v>321</v>
      </c>
      <c r="AI62" s="16">
        <f t="shared" si="10"/>
        <v>50</v>
      </c>
      <c r="AJ62">
        <f t="shared" si="27"/>
        <v>5</v>
      </c>
      <c r="AK62">
        <f t="shared" si="28"/>
        <v>5</v>
      </c>
      <c r="AL62">
        <f t="shared" si="29"/>
        <v>0</v>
      </c>
      <c r="AM62">
        <f t="shared" si="30"/>
        <v>0</v>
      </c>
      <c r="AN62">
        <f t="shared" si="11"/>
        <v>0</v>
      </c>
      <c r="AO62">
        <f t="shared" si="12"/>
        <v>0</v>
      </c>
      <c r="AP62">
        <f t="shared" si="13"/>
        <v>0</v>
      </c>
      <c r="AQ62">
        <f t="shared" si="14"/>
        <v>0</v>
      </c>
      <c r="AY62" s="5"/>
    </row>
    <row r="63" spans="1:51" x14ac:dyDescent="0.2">
      <c r="A63">
        <f t="shared" si="24"/>
        <v>62</v>
      </c>
      <c r="B63" s="8">
        <f t="shared" si="16"/>
        <v>2</v>
      </c>
      <c r="C63">
        <f t="shared" si="17"/>
        <v>5</v>
      </c>
      <c r="D63" s="5" t="str">
        <f t="shared" si="18"/>
        <v>21</v>
      </c>
      <c r="E63">
        <v>4</v>
      </c>
      <c r="F63" s="5" t="s">
        <v>499</v>
      </c>
      <c r="G63" s="8" t="s">
        <v>343</v>
      </c>
      <c r="H63" s="6" t="s">
        <v>395</v>
      </c>
      <c r="I63">
        <v>79</v>
      </c>
      <c r="J63">
        <v>15</v>
      </c>
      <c r="K63">
        <v>16</v>
      </c>
      <c r="L63">
        <v>80</v>
      </c>
      <c r="M63">
        <v>8</v>
      </c>
      <c r="O63" s="6">
        <f t="shared" si="19"/>
        <v>31</v>
      </c>
      <c r="P63" s="8">
        <v>42</v>
      </c>
      <c r="Q63">
        <v>91</v>
      </c>
      <c r="R63">
        <v>24</v>
      </c>
      <c r="S63">
        <v>84</v>
      </c>
      <c r="T63">
        <v>9</v>
      </c>
      <c r="V63">
        <f t="shared" si="20"/>
        <v>39</v>
      </c>
      <c r="W63" s="8">
        <f>SUMIFS(events!AJ:AJ,events!Q:Q,"=DeadIce",events!AK:AK,"&lt;="&amp;shifts!AG63,events!AL:AL,"&gt;"&amp;shifts!AH63,events!E:E,"="&amp;shifts!B64)+SUMIFS(events!AJ:AJ,events!Q:Q,"=Timeout",events!AK:AK,"&lt;="&amp;shifts!AG63,events!AL:AL,"&gt;"&amp;shifts!AH63,events!E:E,"="&amp;shifts!B64)</f>
        <v>0</v>
      </c>
      <c r="X63" s="8" t="str">
        <f t="shared" si="21"/>
        <v/>
      </c>
      <c r="Z63" t="str">
        <f t="shared" si="22"/>
        <v/>
      </c>
      <c r="AA63">
        <v>1</v>
      </c>
      <c r="AB63">
        <f t="shared" si="23"/>
        <v>1</v>
      </c>
      <c r="AD63">
        <f>events!AG63</f>
        <v>18981</v>
      </c>
      <c r="AE63" t="str">
        <f>events!AH63</f>
        <v>Nelson</v>
      </c>
      <c r="AF63" t="str">
        <f>events!AI63</f>
        <v>Velodrome</v>
      </c>
      <c r="AG63" s="5">
        <f t="shared" si="25"/>
        <v>321</v>
      </c>
      <c r="AH63" s="5">
        <f t="shared" si="26"/>
        <v>267</v>
      </c>
      <c r="AI63" s="16">
        <f t="shared" si="10"/>
        <v>54</v>
      </c>
      <c r="AJ63">
        <f t="shared" si="27"/>
        <v>5</v>
      </c>
      <c r="AK63">
        <f t="shared" si="28"/>
        <v>5</v>
      </c>
      <c r="AL63">
        <f t="shared" si="29"/>
        <v>0</v>
      </c>
      <c r="AM63">
        <f t="shared" si="30"/>
        <v>0</v>
      </c>
      <c r="AN63">
        <f t="shared" si="11"/>
        <v>0</v>
      </c>
      <c r="AO63">
        <f t="shared" si="12"/>
        <v>0</v>
      </c>
      <c r="AP63">
        <f t="shared" si="13"/>
        <v>0</v>
      </c>
      <c r="AQ63">
        <f t="shared" si="14"/>
        <v>0</v>
      </c>
      <c r="AY63" s="5"/>
    </row>
    <row r="64" spans="1:51" x14ac:dyDescent="0.2">
      <c r="A64">
        <f t="shared" si="24"/>
        <v>63</v>
      </c>
      <c r="B64" s="8">
        <f t="shared" si="16"/>
        <v>2</v>
      </c>
      <c r="C64">
        <f t="shared" si="17"/>
        <v>4</v>
      </c>
      <c r="D64" s="5" t="str">
        <f t="shared" si="18"/>
        <v>27</v>
      </c>
      <c r="E64">
        <v>3</v>
      </c>
      <c r="F64" s="5" t="s">
        <v>507</v>
      </c>
      <c r="G64" s="8" t="s">
        <v>343</v>
      </c>
      <c r="I64">
        <v>79</v>
      </c>
      <c r="J64">
        <v>15</v>
      </c>
      <c r="K64">
        <v>16</v>
      </c>
      <c r="L64">
        <v>37</v>
      </c>
      <c r="M64">
        <v>23</v>
      </c>
      <c r="O64" s="6">
        <f t="shared" si="19"/>
        <v>31</v>
      </c>
      <c r="P64" s="8">
        <v>42</v>
      </c>
      <c r="Q64">
        <v>91</v>
      </c>
      <c r="R64">
        <v>24</v>
      </c>
      <c r="S64">
        <v>84</v>
      </c>
      <c r="T64">
        <v>52</v>
      </c>
      <c r="V64">
        <f t="shared" si="20"/>
        <v>39</v>
      </c>
      <c r="W64" s="8">
        <f>SUMIFS(events!AJ:AJ,events!Q:Q,"=DeadIce",events!AK:AK,"&lt;="&amp;shifts!AG64,events!AL:AL,"&gt;"&amp;shifts!AH64,events!E:E,"="&amp;shifts!B65)+SUMIFS(events!AJ:AJ,events!Q:Q,"=Timeout",events!AK:AK,"&lt;="&amp;shifts!AG64,events!AL:AL,"&gt;"&amp;shifts!AH64,events!E:E,"="&amp;shifts!B65)</f>
        <v>0</v>
      </c>
      <c r="X64" s="8" t="str">
        <f t="shared" si="21"/>
        <v/>
      </c>
      <c r="Z64">
        <f t="shared" si="22"/>
        <v>1</v>
      </c>
      <c r="AA64">
        <v>1</v>
      </c>
      <c r="AB64" t="str">
        <f t="shared" si="23"/>
        <v/>
      </c>
      <c r="AD64">
        <f>events!AG64</f>
        <v>18981</v>
      </c>
      <c r="AE64" t="str">
        <f>events!AH64</f>
        <v>Nelson</v>
      </c>
      <c r="AF64" t="str">
        <f>events!AI64</f>
        <v>Velodrome</v>
      </c>
      <c r="AG64" s="5">
        <f t="shared" si="25"/>
        <v>267</v>
      </c>
      <c r="AH64" s="5">
        <f t="shared" si="26"/>
        <v>215</v>
      </c>
      <c r="AI64" s="16">
        <f t="shared" si="10"/>
        <v>52</v>
      </c>
      <c r="AJ64">
        <f t="shared" si="27"/>
        <v>5</v>
      </c>
      <c r="AK64">
        <f t="shared" si="28"/>
        <v>5</v>
      </c>
      <c r="AL64">
        <f t="shared" si="29"/>
        <v>0</v>
      </c>
      <c r="AM64">
        <f t="shared" si="30"/>
        <v>0</v>
      </c>
      <c r="AN64">
        <f t="shared" si="11"/>
        <v>0</v>
      </c>
      <c r="AO64">
        <f t="shared" si="12"/>
        <v>0</v>
      </c>
      <c r="AP64">
        <f t="shared" si="13"/>
        <v>0</v>
      </c>
      <c r="AQ64">
        <f t="shared" si="14"/>
        <v>0</v>
      </c>
      <c r="AY64" s="5"/>
    </row>
    <row r="65" spans="1:51" x14ac:dyDescent="0.2">
      <c r="A65">
        <f t="shared" si="24"/>
        <v>64</v>
      </c>
      <c r="B65" s="8">
        <f t="shared" si="16"/>
        <v>2</v>
      </c>
      <c r="C65">
        <f t="shared" si="17"/>
        <v>3</v>
      </c>
      <c r="D65" s="5" t="str">
        <f t="shared" si="18"/>
        <v>35</v>
      </c>
      <c r="E65">
        <v>3</v>
      </c>
      <c r="F65" s="5" t="s">
        <v>504</v>
      </c>
      <c r="H65" s="6" t="s">
        <v>347</v>
      </c>
      <c r="I65">
        <v>10</v>
      </c>
      <c r="J65">
        <v>15</v>
      </c>
      <c r="K65">
        <v>16</v>
      </c>
      <c r="L65">
        <v>37</v>
      </c>
      <c r="M65">
        <v>23</v>
      </c>
      <c r="O65" s="6">
        <f t="shared" si="19"/>
        <v>31</v>
      </c>
      <c r="P65" s="8">
        <v>42</v>
      </c>
      <c r="Q65">
        <v>91</v>
      </c>
      <c r="R65">
        <v>24</v>
      </c>
      <c r="S65">
        <v>84</v>
      </c>
      <c r="T65">
        <v>52</v>
      </c>
      <c r="V65">
        <f t="shared" si="20"/>
        <v>39</v>
      </c>
      <c r="W65" s="8">
        <f>SUMIFS(events!AJ:AJ,events!Q:Q,"=DeadIce",events!AK:AK,"&lt;="&amp;shifts!AG65,events!AL:AL,"&gt;"&amp;shifts!AH65,events!E:E,"="&amp;shifts!B66)+SUMIFS(events!AJ:AJ,events!Q:Q,"=Timeout",events!AK:AK,"&lt;="&amp;shifts!AG65,events!AL:AL,"&gt;"&amp;shifts!AH65,events!E:E,"="&amp;shifts!B66)</f>
        <v>0</v>
      </c>
      <c r="X65" s="8" t="str">
        <f t="shared" si="21"/>
        <v/>
      </c>
      <c r="Z65">
        <f t="shared" si="22"/>
        <v>1</v>
      </c>
      <c r="AA65">
        <v>1</v>
      </c>
      <c r="AB65" t="str">
        <f t="shared" si="23"/>
        <v/>
      </c>
      <c r="AD65">
        <f>events!AG65</f>
        <v>18981</v>
      </c>
      <c r="AE65" t="str">
        <f>events!AH65</f>
        <v>Nelson</v>
      </c>
      <c r="AF65" t="str">
        <f>events!AI65</f>
        <v>Velodrome</v>
      </c>
      <c r="AG65" s="5">
        <f t="shared" si="25"/>
        <v>215</v>
      </c>
      <c r="AH65" s="5">
        <f t="shared" si="26"/>
        <v>212</v>
      </c>
      <c r="AI65" s="16">
        <f t="shared" si="10"/>
        <v>3</v>
      </c>
      <c r="AJ65">
        <f t="shared" si="27"/>
        <v>5</v>
      </c>
      <c r="AK65">
        <f t="shared" si="28"/>
        <v>5</v>
      </c>
      <c r="AL65">
        <f t="shared" si="29"/>
        <v>0</v>
      </c>
      <c r="AM65">
        <f t="shared" si="30"/>
        <v>0</v>
      </c>
      <c r="AN65">
        <f t="shared" ref="AN65:AN128" si="31">IF(AND($AL65&lt;&gt;1,$AJ65&lt;$AK65,AM65&lt;&gt;1),1,)</f>
        <v>0</v>
      </c>
      <c r="AO65">
        <f t="shared" si="12"/>
        <v>0</v>
      </c>
      <c r="AP65">
        <f t="shared" si="13"/>
        <v>0</v>
      </c>
      <c r="AQ65">
        <f t="shared" si="14"/>
        <v>0</v>
      </c>
      <c r="AY65" s="5"/>
    </row>
    <row r="66" spans="1:51" x14ac:dyDescent="0.2">
      <c r="A66">
        <f t="shared" si="24"/>
        <v>65</v>
      </c>
      <c r="B66" s="8">
        <f t="shared" si="16"/>
        <v>2</v>
      </c>
      <c r="C66">
        <f t="shared" si="17"/>
        <v>3</v>
      </c>
      <c r="D66" s="5" t="str">
        <f t="shared" si="18"/>
        <v>32</v>
      </c>
      <c r="E66">
        <v>2</v>
      </c>
      <c r="F66" s="5" t="s">
        <v>489</v>
      </c>
      <c r="G66" s="8" t="s">
        <v>343</v>
      </c>
      <c r="I66">
        <v>10</v>
      </c>
      <c r="J66">
        <v>3</v>
      </c>
      <c r="K66">
        <v>44</v>
      </c>
      <c r="L66">
        <v>37</v>
      </c>
      <c r="M66">
        <v>23</v>
      </c>
      <c r="O66" s="6">
        <f t="shared" si="19"/>
        <v>31</v>
      </c>
      <c r="P66" s="8">
        <v>42</v>
      </c>
      <c r="Q66">
        <v>91</v>
      </c>
      <c r="R66">
        <v>24</v>
      </c>
      <c r="S66">
        <v>22</v>
      </c>
      <c r="T66">
        <v>52</v>
      </c>
      <c r="V66">
        <f t="shared" si="20"/>
        <v>39</v>
      </c>
      <c r="W66" s="8">
        <f>SUMIFS(events!AJ:AJ,events!Q:Q,"=DeadIce",events!AK:AK,"&lt;="&amp;shifts!AG66,events!AL:AL,"&gt;"&amp;shifts!AH66,events!E:E,"="&amp;shifts!B67)+SUMIFS(events!AJ:AJ,events!Q:Q,"=Timeout",events!AK:AK,"&lt;="&amp;shifts!AG66,events!AL:AL,"&gt;"&amp;shifts!AH66,events!E:E,"="&amp;shifts!B67)</f>
        <v>0</v>
      </c>
      <c r="X66" s="8" t="str">
        <f t="shared" si="21"/>
        <v/>
      </c>
      <c r="Y66">
        <v>1</v>
      </c>
      <c r="Z66">
        <f t="shared" si="22"/>
        <v>1</v>
      </c>
      <c r="AB66" t="str">
        <f t="shared" si="23"/>
        <v/>
      </c>
      <c r="AD66">
        <f>events!AG66</f>
        <v>18981</v>
      </c>
      <c r="AE66" t="str">
        <f>events!AH66</f>
        <v>Nelson</v>
      </c>
      <c r="AF66" t="str">
        <f>events!AI66</f>
        <v>Velodrome</v>
      </c>
      <c r="AG66" s="5">
        <f t="shared" ref="AG66:AG97" si="32">((C66*60)+D66)</f>
        <v>212</v>
      </c>
      <c r="AH66" s="5">
        <f t="shared" ref="AH66:AH97" si="33">((E66*60)+F66)</f>
        <v>134</v>
      </c>
      <c r="AI66" s="16">
        <f t="shared" si="10"/>
        <v>78</v>
      </c>
      <c r="AJ66">
        <f t="shared" ref="AJ66:AJ97" si="34">COUNTIF(I66:N66,"&gt;0")</f>
        <v>5</v>
      </c>
      <c r="AK66">
        <f t="shared" ref="AK66:AK97" si="35">COUNTIF(P66:U66,"&gt;0")</f>
        <v>5</v>
      </c>
      <c r="AL66">
        <f t="shared" ref="AL66:AL97" si="36">IF(O66="",1,0)</f>
        <v>0</v>
      </c>
      <c r="AM66">
        <f t="shared" ref="AM66:AM97" si="37">IF(V66="",1,0)</f>
        <v>0</v>
      </c>
      <c r="AN66">
        <f t="shared" si="31"/>
        <v>0</v>
      </c>
      <c r="AO66">
        <f t="shared" si="12"/>
        <v>0</v>
      </c>
      <c r="AP66">
        <f t="shared" si="13"/>
        <v>0</v>
      </c>
      <c r="AQ66">
        <f t="shared" si="14"/>
        <v>0</v>
      </c>
      <c r="AY66" s="5"/>
    </row>
    <row r="67" spans="1:51" x14ac:dyDescent="0.2">
      <c r="A67">
        <f t="shared" si="24"/>
        <v>66</v>
      </c>
      <c r="B67" s="8">
        <f t="shared" si="16"/>
        <v>2</v>
      </c>
      <c r="C67">
        <f t="shared" si="17"/>
        <v>2</v>
      </c>
      <c r="D67" s="5" t="str">
        <f t="shared" si="18"/>
        <v>14</v>
      </c>
      <c r="E67">
        <v>2</v>
      </c>
      <c r="F67" s="5" t="s">
        <v>482</v>
      </c>
      <c r="I67">
        <v>10</v>
      </c>
      <c r="J67">
        <v>3</v>
      </c>
      <c r="K67">
        <v>44</v>
      </c>
      <c r="L67">
        <v>37</v>
      </c>
      <c r="M67">
        <v>23</v>
      </c>
      <c r="N67">
        <v>41.4</v>
      </c>
      <c r="O67" s="6">
        <f t="shared" si="19"/>
        <v>31</v>
      </c>
      <c r="P67" s="8">
        <v>49</v>
      </c>
      <c r="Q67">
        <v>91</v>
      </c>
      <c r="R67">
        <v>24</v>
      </c>
      <c r="S67">
        <v>22</v>
      </c>
      <c r="T67">
        <v>52</v>
      </c>
      <c r="V67">
        <f t="shared" si="20"/>
        <v>39</v>
      </c>
      <c r="W67" s="8">
        <f>SUMIFS(events!AJ:AJ,events!Q:Q,"=DeadIce",events!AK:AK,"&lt;="&amp;shifts!AG67,events!AL:AL,"&gt;"&amp;shifts!AH67,events!E:E,"="&amp;shifts!B68)+SUMIFS(events!AJ:AJ,events!Q:Q,"=Timeout",events!AK:AK,"&lt;="&amp;shifts!AG67,events!AL:AL,"&gt;"&amp;shifts!AH67,events!E:E,"="&amp;shifts!B68)</f>
        <v>0</v>
      </c>
      <c r="X67" s="8">
        <f t="shared" si="21"/>
        <v>1</v>
      </c>
      <c r="Y67">
        <v>1</v>
      </c>
      <c r="Z67" t="str">
        <f t="shared" si="22"/>
        <v/>
      </c>
      <c r="AB67" t="str">
        <f t="shared" si="23"/>
        <v/>
      </c>
      <c r="AD67">
        <f>events!AG67</f>
        <v>18981</v>
      </c>
      <c r="AE67" t="str">
        <f>events!AH67</f>
        <v>Nelson</v>
      </c>
      <c r="AF67" t="str">
        <f>events!AI67</f>
        <v>Velodrome</v>
      </c>
      <c r="AG67" s="5">
        <f t="shared" si="32"/>
        <v>134</v>
      </c>
      <c r="AH67" s="5">
        <f t="shared" si="33"/>
        <v>127</v>
      </c>
      <c r="AI67" s="16">
        <f t="shared" ref="AI67:AI130" si="38">ROUND(AG67-AH67,0)</f>
        <v>7</v>
      </c>
      <c r="AJ67">
        <f t="shared" si="34"/>
        <v>6</v>
      </c>
      <c r="AK67">
        <f t="shared" si="35"/>
        <v>5</v>
      </c>
      <c r="AL67">
        <f t="shared" si="36"/>
        <v>0</v>
      </c>
      <c r="AM67">
        <f t="shared" si="37"/>
        <v>0</v>
      </c>
      <c r="AN67">
        <f t="shared" si="31"/>
        <v>0</v>
      </c>
      <c r="AO67">
        <f t="shared" ref="AO67:AO130" si="39">IF(AND($AL67&lt;&gt;1,$AJ67&gt;$AK67),1,)</f>
        <v>1</v>
      </c>
      <c r="AP67">
        <f t="shared" ref="AP67:AP130" si="40">IF(AN67=1,1,0)</f>
        <v>0</v>
      </c>
      <c r="AQ67">
        <f t="shared" ref="AQ67:AQ130" si="41">IF(AO67=1,1,0)</f>
        <v>1</v>
      </c>
      <c r="AY67" s="5"/>
    </row>
    <row r="68" spans="1:51" x14ac:dyDescent="0.2">
      <c r="A68">
        <f t="shared" si="24"/>
        <v>67</v>
      </c>
      <c r="B68" s="8">
        <f t="shared" ref="B68:B131" si="42">IF(G68="PeriodStart",B67+1,B67)</f>
        <v>2</v>
      </c>
      <c r="C68">
        <f t="shared" ref="C68:C131" si="43">IF(G68&lt;&gt;"PeriodStart",E67,18)</f>
        <v>2</v>
      </c>
      <c r="D68" s="5" t="str">
        <f t="shared" ref="D68:D131" si="44">F67</f>
        <v>07</v>
      </c>
      <c r="E68">
        <v>2</v>
      </c>
      <c r="F68" s="5" t="s">
        <v>474</v>
      </c>
      <c r="I68">
        <v>10</v>
      </c>
      <c r="J68">
        <v>3</v>
      </c>
      <c r="K68">
        <v>44</v>
      </c>
      <c r="L68">
        <v>37</v>
      </c>
      <c r="M68">
        <v>23</v>
      </c>
      <c r="O68" s="6">
        <f t="shared" ref="O68:O131" si="45">O67</f>
        <v>31</v>
      </c>
      <c r="P68" s="8">
        <v>49</v>
      </c>
      <c r="Q68">
        <v>14</v>
      </c>
      <c r="R68">
        <v>24</v>
      </c>
      <c r="S68">
        <v>22</v>
      </c>
      <c r="T68">
        <v>52</v>
      </c>
      <c r="V68">
        <f t="shared" ref="V68:V131" si="46">V67</f>
        <v>39</v>
      </c>
      <c r="W68" s="8">
        <f>SUMIFS(events!AJ:AJ,events!Q:Q,"=DeadIce",events!AK:AK,"&lt;="&amp;shifts!AG68,events!AL:AL,"&gt;"&amp;shifts!AH68,events!E:E,"="&amp;shifts!B69)+SUMIFS(events!AJ:AJ,events!Q:Q,"=Timeout",events!AK:AK,"&lt;="&amp;shifts!AG68,events!AL:AL,"&gt;"&amp;shifts!AH68,events!E:E,"="&amp;shifts!B69)</f>
        <v>0</v>
      </c>
      <c r="X68" s="8">
        <f t="shared" ref="X68:X131" si="47">IF(OR($H67="Home Goal",$H67="Away Goal",$H67="Period End"),"",IF(Y67=1,1,""))</f>
        <v>1</v>
      </c>
      <c r="Y68">
        <v>1</v>
      </c>
      <c r="Z68" t="str">
        <f t="shared" ref="Z68:Z131" si="48">IF(OR($H67="Home Goal",$H67="Away Goal",$H67="Period End"),"",IF(AA67=1,1,""))</f>
        <v/>
      </c>
      <c r="AB68" t="str">
        <f t="shared" ref="AB68:AB131" si="49">IF(OR($H67="Home Goal",$H67="Away Goal",$H67="Period End"),1,IF(AC67=1,1,""))</f>
        <v/>
      </c>
      <c r="AD68">
        <f>events!AG68</f>
        <v>18981</v>
      </c>
      <c r="AE68" t="str">
        <f>events!AH68</f>
        <v>Nelson</v>
      </c>
      <c r="AF68" t="str">
        <f>events!AI68</f>
        <v>Velodrome</v>
      </c>
      <c r="AG68" s="5">
        <f t="shared" si="32"/>
        <v>127</v>
      </c>
      <c r="AH68" s="5">
        <f t="shared" si="33"/>
        <v>122</v>
      </c>
      <c r="AI68" s="16">
        <f t="shared" si="38"/>
        <v>5</v>
      </c>
      <c r="AJ68">
        <f t="shared" si="34"/>
        <v>5</v>
      </c>
      <c r="AK68">
        <f t="shared" si="35"/>
        <v>5</v>
      </c>
      <c r="AL68">
        <f t="shared" si="36"/>
        <v>0</v>
      </c>
      <c r="AM68">
        <f t="shared" si="37"/>
        <v>0</v>
      </c>
      <c r="AN68">
        <f t="shared" si="31"/>
        <v>0</v>
      </c>
      <c r="AO68">
        <f t="shared" si="39"/>
        <v>0</v>
      </c>
      <c r="AP68">
        <f t="shared" si="40"/>
        <v>0</v>
      </c>
      <c r="AQ68">
        <f t="shared" si="41"/>
        <v>0</v>
      </c>
      <c r="AY68" s="5"/>
    </row>
    <row r="69" spans="1:51" x14ac:dyDescent="0.2">
      <c r="A69">
        <f t="shared" ref="A69:A132" si="50">A68+1</f>
        <v>68</v>
      </c>
      <c r="B69" s="8">
        <f t="shared" si="42"/>
        <v>2</v>
      </c>
      <c r="C69">
        <f t="shared" si="43"/>
        <v>2</v>
      </c>
      <c r="D69" s="5" t="str">
        <f t="shared" si="44"/>
        <v>02</v>
      </c>
      <c r="E69">
        <v>1</v>
      </c>
      <c r="F69" s="5" t="s">
        <v>527</v>
      </c>
      <c r="I69">
        <v>10</v>
      </c>
      <c r="J69">
        <v>3</v>
      </c>
      <c r="K69">
        <v>44</v>
      </c>
      <c r="L69">
        <v>37</v>
      </c>
      <c r="M69">
        <v>23</v>
      </c>
      <c r="O69" s="6">
        <f t="shared" si="45"/>
        <v>31</v>
      </c>
      <c r="P69" s="8">
        <v>49</v>
      </c>
      <c r="Q69">
        <v>14</v>
      </c>
      <c r="R69">
        <v>24</v>
      </c>
      <c r="S69">
        <v>93</v>
      </c>
      <c r="T69">
        <v>52</v>
      </c>
      <c r="V69">
        <f t="shared" si="46"/>
        <v>39</v>
      </c>
      <c r="W69" s="8">
        <f>SUMIFS(events!AJ:AJ,events!Q:Q,"=DeadIce",events!AK:AK,"&lt;="&amp;shifts!AG69,events!AL:AL,"&gt;"&amp;shifts!AH69,events!E:E,"="&amp;shifts!B70)+SUMIFS(events!AJ:AJ,events!Q:Q,"=Timeout",events!AK:AK,"&lt;="&amp;shifts!AG69,events!AL:AL,"&gt;"&amp;shifts!AH69,events!E:E,"="&amp;shifts!B70)</f>
        <v>0</v>
      </c>
      <c r="X69" s="8">
        <f t="shared" si="47"/>
        <v>1</v>
      </c>
      <c r="Z69" t="str">
        <f t="shared" si="48"/>
        <v/>
      </c>
      <c r="AB69" t="str">
        <f t="shared" si="49"/>
        <v/>
      </c>
      <c r="AC69">
        <v>1</v>
      </c>
      <c r="AD69">
        <f>events!AG69</f>
        <v>18981</v>
      </c>
      <c r="AE69" t="str">
        <f>events!AH69</f>
        <v>Nelson</v>
      </c>
      <c r="AF69" t="str">
        <f>events!AI69</f>
        <v>Velodrome</v>
      </c>
      <c r="AG69" s="5">
        <f t="shared" si="32"/>
        <v>122</v>
      </c>
      <c r="AH69" s="5">
        <f t="shared" si="33"/>
        <v>115</v>
      </c>
      <c r="AI69" s="16">
        <f t="shared" si="38"/>
        <v>7</v>
      </c>
      <c r="AJ69">
        <f t="shared" si="34"/>
        <v>5</v>
      </c>
      <c r="AK69">
        <f t="shared" si="35"/>
        <v>5</v>
      </c>
      <c r="AL69">
        <f t="shared" si="36"/>
        <v>0</v>
      </c>
      <c r="AM69">
        <f t="shared" si="37"/>
        <v>0</v>
      </c>
      <c r="AN69">
        <f t="shared" si="31"/>
        <v>0</v>
      </c>
      <c r="AO69">
        <f t="shared" si="39"/>
        <v>0</v>
      </c>
      <c r="AP69">
        <f t="shared" si="40"/>
        <v>0</v>
      </c>
      <c r="AQ69">
        <f t="shared" si="41"/>
        <v>0</v>
      </c>
      <c r="AY69" s="5"/>
    </row>
    <row r="70" spans="1:51" x14ac:dyDescent="0.2">
      <c r="A70">
        <f t="shared" si="50"/>
        <v>69</v>
      </c>
      <c r="B70" s="8">
        <f t="shared" si="42"/>
        <v>2</v>
      </c>
      <c r="C70">
        <f t="shared" si="43"/>
        <v>1</v>
      </c>
      <c r="D70" s="5" t="str">
        <f t="shared" si="44"/>
        <v>55</v>
      </c>
      <c r="E70">
        <v>1</v>
      </c>
      <c r="F70" s="5" t="s">
        <v>510</v>
      </c>
      <c r="I70">
        <v>10</v>
      </c>
      <c r="J70">
        <v>3</v>
      </c>
      <c r="K70">
        <v>44</v>
      </c>
      <c r="L70">
        <v>37</v>
      </c>
      <c r="M70">
        <v>23</v>
      </c>
      <c r="O70" s="6">
        <f t="shared" si="45"/>
        <v>31</v>
      </c>
      <c r="P70" s="8">
        <v>49</v>
      </c>
      <c r="Q70">
        <v>14</v>
      </c>
      <c r="R70">
        <v>61</v>
      </c>
      <c r="S70">
        <v>93</v>
      </c>
      <c r="T70">
        <v>52</v>
      </c>
      <c r="V70">
        <f t="shared" si="46"/>
        <v>39</v>
      </c>
      <c r="W70" s="8">
        <f>SUMIFS(events!AJ:AJ,events!Q:Q,"=DeadIce",events!AK:AK,"&lt;="&amp;shifts!AG70,events!AL:AL,"&gt;"&amp;shifts!AH70,events!E:E,"="&amp;shifts!B71)+SUMIFS(events!AJ:AJ,events!Q:Q,"=Timeout",events!AK:AK,"&lt;="&amp;shifts!AG70,events!AL:AL,"&gt;"&amp;shifts!AH70,events!E:E,"="&amp;shifts!B71)</f>
        <v>0</v>
      </c>
      <c r="X70" s="8" t="str">
        <f t="shared" si="47"/>
        <v/>
      </c>
      <c r="Y70">
        <v>1</v>
      </c>
      <c r="Z70" t="str">
        <f t="shared" si="48"/>
        <v/>
      </c>
      <c r="AB70">
        <f t="shared" si="49"/>
        <v>1</v>
      </c>
      <c r="AD70">
        <f>events!AG70</f>
        <v>18981</v>
      </c>
      <c r="AE70" t="str">
        <f>events!AH70</f>
        <v>Nelson</v>
      </c>
      <c r="AF70" t="str">
        <f>events!AI70</f>
        <v>Velodrome</v>
      </c>
      <c r="AG70" s="5">
        <f t="shared" si="32"/>
        <v>115</v>
      </c>
      <c r="AH70" s="5">
        <f t="shared" si="33"/>
        <v>98</v>
      </c>
      <c r="AI70" s="16">
        <f t="shared" si="38"/>
        <v>17</v>
      </c>
      <c r="AJ70">
        <f t="shared" si="34"/>
        <v>5</v>
      </c>
      <c r="AK70">
        <f t="shared" si="35"/>
        <v>5</v>
      </c>
      <c r="AL70">
        <f t="shared" si="36"/>
        <v>0</v>
      </c>
      <c r="AM70">
        <f t="shared" si="37"/>
        <v>0</v>
      </c>
      <c r="AN70">
        <f t="shared" si="31"/>
        <v>0</v>
      </c>
      <c r="AO70">
        <f t="shared" si="39"/>
        <v>0</v>
      </c>
      <c r="AP70">
        <f t="shared" si="40"/>
        <v>0</v>
      </c>
      <c r="AQ70">
        <f t="shared" si="41"/>
        <v>0</v>
      </c>
      <c r="AY70" s="5"/>
    </row>
    <row r="71" spans="1:51" x14ac:dyDescent="0.2">
      <c r="A71">
        <f t="shared" si="50"/>
        <v>70</v>
      </c>
      <c r="B71" s="8">
        <f t="shared" si="42"/>
        <v>2</v>
      </c>
      <c r="C71">
        <f t="shared" si="43"/>
        <v>1</v>
      </c>
      <c r="D71" s="5" t="str">
        <f t="shared" si="44"/>
        <v>38</v>
      </c>
      <c r="E71">
        <v>0</v>
      </c>
      <c r="F71" s="5" t="s">
        <v>479</v>
      </c>
      <c r="I71">
        <v>10</v>
      </c>
      <c r="J71">
        <v>7</v>
      </c>
      <c r="K71">
        <v>44</v>
      </c>
      <c r="L71">
        <v>37</v>
      </c>
      <c r="M71">
        <v>23</v>
      </c>
      <c r="O71" s="6">
        <f t="shared" si="45"/>
        <v>31</v>
      </c>
      <c r="P71" s="8">
        <v>49</v>
      </c>
      <c r="Q71">
        <v>14</v>
      </c>
      <c r="R71">
        <v>61</v>
      </c>
      <c r="S71">
        <v>93</v>
      </c>
      <c r="T71">
        <v>52</v>
      </c>
      <c r="V71">
        <f t="shared" si="46"/>
        <v>39</v>
      </c>
      <c r="W71" s="8">
        <f>SUMIFS(events!AJ:AJ,events!Q:Q,"=DeadIce",events!AK:AK,"&lt;="&amp;shifts!AG71,events!AL:AL,"&gt;"&amp;shifts!AH71,events!E:E,"="&amp;shifts!B72)+SUMIFS(events!AJ:AJ,events!Q:Q,"=Timeout",events!AK:AK,"&lt;="&amp;shifts!AG71,events!AL:AL,"&gt;"&amp;shifts!AH71,events!E:E,"="&amp;shifts!B72)</f>
        <v>0</v>
      </c>
      <c r="X71" s="8">
        <f t="shared" si="47"/>
        <v>1</v>
      </c>
      <c r="Z71" t="str">
        <f t="shared" si="48"/>
        <v/>
      </c>
      <c r="AA71">
        <v>1</v>
      </c>
      <c r="AB71" t="str">
        <f t="shared" si="49"/>
        <v/>
      </c>
      <c r="AD71">
        <f>events!AG71</f>
        <v>18981</v>
      </c>
      <c r="AE71" t="str">
        <f>events!AH71</f>
        <v>Nelson</v>
      </c>
      <c r="AF71" t="str">
        <f>events!AI71</f>
        <v>Velodrome</v>
      </c>
      <c r="AG71" s="5">
        <f t="shared" si="32"/>
        <v>98</v>
      </c>
      <c r="AH71" s="5">
        <f t="shared" si="33"/>
        <v>59</v>
      </c>
      <c r="AI71" s="16">
        <f t="shared" si="38"/>
        <v>39</v>
      </c>
      <c r="AJ71">
        <f t="shared" si="34"/>
        <v>5</v>
      </c>
      <c r="AK71">
        <f t="shared" si="35"/>
        <v>5</v>
      </c>
      <c r="AL71">
        <f t="shared" si="36"/>
        <v>0</v>
      </c>
      <c r="AM71">
        <f t="shared" si="37"/>
        <v>0</v>
      </c>
      <c r="AN71">
        <f t="shared" si="31"/>
        <v>0</v>
      </c>
      <c r="AO71">
        <f t="shared" si="39"/>
        <v>0</v>
      </c>
      <c r="AP71">
        <f t="shared" si="40"/>
        <v>0</v>
      </c>
      <c r="AQ71">
        <f t="shared" si="41"/>
        <v>0</v>
      </c>
      <c r="AY71" s="5"/>
    </row>
    <row r="72" spans="1:51" x14ac:dyDescent="0.2">
      <c r="A72">
        <f t="shared" si="50"/>
        <v>71</v>
      </c>
      <c r="B72" s="8">
        <f t="shared" si="42"/>
        <v>2</v>
      </c>
      <c r="C72">
        <f t="shared" si="43"/>
        <v>0</v>
      </c>
      <c r="D72" s="5" t="str">
        <f t="shared" si="44"/>
        <v>59</v>
      </c>
      <c r="E72">
        <v>0</v>
      </c>
      <c r="F72" s="5" t="s">
        <v>516</v>
      </c>
      <c r="I72">
        <v>10</v>
      </c>
      <c r="J72">
        <v>7</v>
      </c>
      <c r="K72">
        <v>16</v>
      </c>
      <c r="L72">
        <v>37</v>
      </c>
      <c r="M72">
        <v>23</v>
      </c>
      <c r="O72" s="6">
        <f t="shared" si="45"/>
        <v>31</v>
      </c>
      <c r="P72" s="8">
        <v>49</v>
      </c>
      <c r="Q72">
        <v>14</v>
      </c>
      <c r="R72">
        <v>61</v>
      </c>
      <c r="S72">
        <v>93</v>
      </c>
      <c r="T72">
        <v>52</v>
      </c>
      <c r="V72">
        <f t="shared" si="46"/>
        <v>39</v>
      </c>
      <c r="W72" s="8">
        <f>SUMIFS(events!AJ:AJ,events!Q:Q,"=DeadIce",events!AK:AK,"&lt;="&amp;shifts!AG72,events!AL:AL,"&gt;"&amp;shifts!AH72,events!E:E,"="&amp;shifts!B73)+SUMIFS(events!AJ:AJ,events!Q:Q,"=Timeout",events!AK:AK,"&lt;="&amp;shifts!AG72,events!AL:AL,"&gt;"&amp;shifts!AH72,events!E:E,"="&amp;shifts!B73)</f>
        <v>0</v>
      </c>
      <c r="X72" s="8" t="str">
        <f t="shared" si="47"/>
        <v/>
      </c>
      <c r="Y72">
        <v>1</v>
      </c>
      <c r="Z72">
        <f t="shared" si="48"/>
        <v>1</v>
      </c>
      <c r="AB72" t="str">
        <f t="shared" si="49"/>
        <v/>
      </c>
      <c r="AD72">
        <f>events!AG72</f>
        <v>18981</v>
      </c>
      <c r="AE72" t="str">
        <f>events!AH72</f>
        <v>Nelson</v>
      </c>
      <c r="AF72" t="str">
        <f>events!AI72</f>
        <v>Velodrome</v>
      </c>
      <c r="AG72" s="5">
        <f t="shared" si="32"/>
        <v>59</v>
      </c>
      <c r="AH72" s="5">
        <f t="shared" si="33"/>
        <v>44</v>
      </c>
      <c r="AI72" s="16">
        <f t="shared" si="38"/>
        <v>15</v>
      </c>
      <c r="AJ72">
        <f t="shared" si="34"/>
        <v>5</v>
      </c>
      <c r="AK72">
        <f t="shared" si="35"/>
        <v>5</v>
      </c>
      <c r="AL72">
        <f t="shared" si="36"/>
        <v>0</v>
      </c>
      <c r="AM72">
        <f t="shared" si="37"/>
        <v>0</v>
      </c>
      <c r="AN72">
        <f t="shared" si="31"/>
        <v>0</v>
      </c>
      <c r="AO72">
        <f t="shared" si="39"/>
        <v>0</v>
      </c>
      <c r="AP72">
        <f t="shared" si="40"/>
        <v>0</v>
      </c>
      <c r="AQ72">
        <f t="shared" si="41"/>
        <v>0</v>
      </c>
      <c r="AY72" s="5"/>
    </row>
    <row r="73" spans="1:51" x14ac:dyDescent="0.2">
      <c r="A73">
        <f t="shared" si="50"/>
        <v>72</v>
      </c>
      <c r="B73" s="8">
        <f t="shared" si="42"/>
        <v>2</v>
      </c>
      <c r="C73">
        <f t="shared" si="43"/>
        <v>0</v>
      </c>
      <c r="D73" s="5" t="str">
        <f t="shared" si="44"/>
        <v>44</v>
      </c>
      <c r="E73">
        <v>0</v>
      </c>
      <c r="F73" s="5" t="s">
        <v>494</v>
      </c>
      <c r="I73">
        <v>79</v>
      </c>
      <c r="J73">
        <v>7</v>
      </c>
      <c r="K73">
        <v>16</v>
      </c>
      <c r="L73">
        <v>80</v>
      </c>
      <c r="M73">
        <v>8</v>
      </c>
      <c r="O73" s="6">
        <f t="shared" si="45"/>
        <v>31</v>
      </c>
      <c r="P73" s="8">
        <v>49</v>
      </c>
      <c r="Q73">
        <v>14</v>
      </c>
      <c r="R73">
        <v>61</v>
      </c>
      <c r="S73">
        <v>93</v>
      </c>
      <c r="T73">
        <v>52</v>
      </c>
      <c r="V73">
        <f t="shared" si="46"/>
        <v>39</v>
      </c>
      <c r="W73" s="8">
        <f>SUMIFS(events!AJ:AJ,events!Q:Q,"=DeadIce",events!AK:AK,"&lt;="&amp;shifts!AG73,events!AL:AL,"&gt;"&amp;shifts!AH73,events!E:E,"="&amp;shifts!B74)+SUMIFS(events!AJ:AJ,events!Q:Q,"=Timeout",events!AK:AK,"&lt;="&amp;shifts!AG73,events!AL:AL,"&gt;"&amp;shifts!AH73,events!E:E,"="&amp;shifts!B74)</f>
        <v>0</v>
      </c>
      <c r="X73" s="8">
        <f t="shared" si="47"/>
        <v>1</v>
      </c>
      <c r="Y73">
        <v>1</v>
      </c>
      <c r="Z73" t="str">
        <f t="shared" si="48"/>
        <v/>
      </c>
      <c r="AB73" t="str">
        <f t="shared" si="49"/>
        <v/>
      </c>
      <c r="AD73">
        <f>events!AG73</f>
        <v>18981</v>
      </c>
      <c r="AE73" t="str">
        <f>events!AH73</f>
        <v>Nelson</v>
      </c>
      <c r="AF73" t="str">
        <f>events!AI73</f>
        <v>Velodrome</v>
      </c>
      <c r="AG73" s="5">
        <f t="shared" si="32"/>
        <v>44</v>
      </c>
      <c r="AH73" s="5">
        <f t="shared" si="33"/>
        <v>22</v>
      </c>
      <c r="AI73" s="16">
        <f t="shared" si="38"/>
        <v>22</v>
      </c>
      <c r="AJ73">
        <f t="shared" si="34"/>
        <v>5</v>
      </c>
      <c r="AK73">
        <f t="shared" si="35"/>
        <v>5</v>
      </c>
      <c r="AL73">
        <f t="shared" si="36"/>
        <v>0</v>
      </c>
      <c r="AM73">
        <f t="shared" si="37"/>
        <v>0</v>
      </c>
      <c r="AN73">
        <f t="shared" si="31"/>
        <v>0</v>
      </c>
      <c r="AO73">
        <f t="shared" si="39"/>
        <v>0</v>
      </c>
      <c r="AP73">
        <f t="shared" si="40"/>
        <v>0</v>
      </c>
      <c r="AQ73">
        <f t="shared" si="41"/>
        <v>0</v>
      </c>
      <c r="AY73" s="5"/>
    </row>
    <row r="74" spans="1:51" x14ac:dyDescent="0.2">
      <c r="A74">
        <f t="shared" si="50"/>
        <v>73</v>
      </c>
      <c r="B74" s="8">
        <f t="shared" si="42"/>
        <v>2</v>
      </c>
      <c r="C74">
        <f t="shared" si="43"/>
        <v>0</v>
      </c>
      <c r="D74" s="5" t="str">
        <f t="shared" si="44"/>
        <v>22</v>
      </c>
      <c r="E74">
        <v>0</v>
      </c>
      <c r="F74" s="5" t="s">
        <v>576</v>
      </c>
      <c r="H74" s="6" t="s">
        <v>346</v>
      </c>
      <c r="I74">
        <v>79</v>
      </c>
      <c r="J74">
        <v>7</v>
      </c>
      <c r="K74">
        <v>16</v>
      </c>
      <c r="L74">
        <v>80</v>
      </c>
      <c r="M74">
        <v>8</v>
      </c>
      <c r="O74" s="6">
        <f t="shared" si="45"/>
        <v>31</v>
      </c>
      <c r="P74" s="8">
        <v>49</v>
      </c>
      <c r="Q74">
        <v>14</v>
      </c>
      <c r="R74">
        <v>61</v>
      </c>
      <c r="S74">
        <v>93</v>
      </c>
      <c r="T74">
        <v>9</v>
      </c>
      <c r="V74">
        <f t="shared" si="46"/>
        <v>39</v>
      </c>
      <c r="W74" s="8">
        <f>SUMIFS(events!AJ:AJ,events!Q:Q,"=DeadIce",events!AK:AK,"&lt;="&amp;shifts!AG74,events!AL:AL,"&gt;"&amp;shifts!AH74,events!E:E,"="&amp;shifts!B75)+SUMIFS(events!AJ:AJ,events!Q:Q,"=Timeout",events!AK:AK,"&lt;="&amp;shifts!AG74,events!AL:AL,"&gt;"&amp;shifts!AH74,events!E:E,"="&amp;shifts!B75)</f>
        <v>0</v>
      </c>
      <c r="X74" s="8">
        <f t="shared" si="47"/>
        <v>1</v>
      </c>
      <c r="Z74" t="str">
        <f t="shared" si="48"/>
        <v/>
      </c>
      <c r="AA74">
        <v>1</v>
      </c>
      <c r="AB74" t="str">
        <f t="shared" si="49"/>
        <v/>
      </c>
      <c r="AD74">
        <f>events!AG74</f>
        <v>18981</v>
      </c>
      <c r="AE74" t="str">
        <f>events!AH74</f>
        <v>Nelson</v>
      </c>
      <c r="AF74" t="str">
        <f>events!AI74</f>
        <v>Velodrome</v>
      </c>
      <c r="AG74" s="5">
        <f t="shared" si="32"/>
        <v>22</v>
      </c>
      <c r="AH74" s="5">
        <f t="shared" si="33"/>
        <v>0.01</v>
      </c>
      <c r="AI74" s="16">
        <f t="shared" si="38"/>
        <v>22</v>
      </c>
      <c r="AJ74">
        <f t="shared" si="34"/>
        <v>5</v>
      </c>
      <c r="AK74">
        <f t="shared" si="35"/>
        <v>5</v>
      </c>
      <c r="AL74">
        <f t="shared" si="36"/>
        <v>0</v>
      </c>
      <c r="AM74">
        <f t="shared" si="37"/>
        <v>0</v>
      </c>
      <c r="AN74">
        <f t="shared" si="31"/>
        <v>0</v>
      </c>
      <c r="AO74">
        <f t="shared" si="39"/>
        <v>0</v>
      </c>
      <c r="AP74">
        <f t="shared" si="40"/>
        <v>0</v>
      </c>
      <c r="AQ74">
        <f t="shared" si="41"/>
        <v>0</v>
      </c>
      <c r="AY74" s="5"/>
    </row>
    <row r="75" spans="1:51" x14ac:dyDescent="0.2">
      <c r="A75">
        <f t="shared" si="50"/>
        <v>74</v>
      </c>
      <c r="B75" s="8">
        <f t="shared" si="42"/>
        <v>2</v>
      </c>
      <c r="C75">
        <f t="shared" si="43"/>
        <v>0</v>
      </c>
      <c r="D75" s="5" t="str">
        <f t="shared" si="44"/>
        <v>0.01</v>
      </c>
      <c r="G75" s="8" t="s">
        <v>450</v>
      </c>
      <c r="O75" s="6">
        <f t="shared" si="45"/>
        <v>31</v>
      </c>
      <c r="V75">
        <f t="shared" si="46"/>
        <v>39</v>
      </c>
      <c r="W75" s="8">
        <f>SUMIFS(events!AJ:AJ,events!Q:Q,"=DeadIce",events!AK:AK,"&lt;="&amp;shifts!AG75,events!AL:AL,"&gt;"&amp;shifts!AH75,events!E:E,"="&amp;shifts!B76)+SUMIFS(events!AJ:AJ,events!Q:Q,"=Timeout",events!AK:AK,"&lt;="&amp;shifts!AG75,events!AL:AL,"&gt;"&amp;shifts!AH75,events!E:E,"="&amp;shifts!B76)</f>
        <v>0</v>
      </c>
      <c r="X75" s="8" t="str">
        <f t="shared" si="47"/>
        <v/>
      </c>
      <c r="Z75" t="str">
        <f t="shared" si="48"/>
        <v/>
      </c>
      <c r="AB75">
        <f t="shared" si="49"/>
        <v>1</v>
      </c>
      <c r="AD75">
        <f>events!AG75</f>
        <v>18981</v>
      </c>
      <c r="AE75" t="str">
        <f>events!AH75</f>
        <v>Nelson</v>
      </c>
      <c r="AF75" t="str">
        <f>events!AI75</f>
        <v>Velodrome</v>
      </c>
      <c r="AG75" s="5">
        <f t="shared" si="32"/>
        <v>0.01</v>
      </c>
      <c r="AH75" s="5">
        <f t="shared" si="33"/>
        <v>0</v>
      </c>
      <c r="AI75" s="16">
        <f t="shared" si="38"/>
        <v>0</v>
      </c>
      <c r="AJ75">
        <f t="shared" si="34"/>
        <v>0</v>
      </c>
      <c r="AK75">
        <f t="shared" si="35"/>
        <v>0</v>
      </c>
      <c r="AL75">
        <f t="shared" si="36"/>
        <v>0</v>
      </c>
      <c r="AM75">
        <f t="shared" si="37"/>
        <v>0</v>
      </c>
      <c r="AN75">
        <f t="shared" si="31"/>
        <v>0</v>
      </c>
      <c r="AO75">
        <f t="shared" si="39"/>
        <v>0</v>
      </c>
      <c r="AP75">
        <f t="shared" si="40"/>
        <v>0</v>
      </c>
      <c r="AQ75">
        <f t="shared" si="41"/>
        <v>0</v>
      </c>
      <c r="AY75" s="5"/>
    </row>
    <row r="76" spans="1:51" x14ac:dyDescent="0.2">
      <c r="A76">
        <f t="shared" si="50"/>
        <v>75</v>
      </c>
      <c r="B76" s="8">
        <f t="shared" si="42"/>
        <v>3</v>
      </c>
      <c r="C76">
        <f t="shared" si="43"/>
        <v>18</v>
      </c>
      <c r="D76" s="5">
        <f t="shared" si="44"/>
        <v>0</v>
      </c>
      <c r="E76">
        <v>17</v>
      </c>
      <c r="F76" s="5" t="s">
        <v>474</v>
      </c>
      <c r="G76" s="8" t="s">
        <v>338</v>
      </c>
      <c r="I76">
        <v>79</v>
      </c>
      <c r="J76">
        <v>15</v>
      </c>
      <c r="K76">
        <v>16</v>
      </c>
      <c r="L76">
        <v>80</v>
      </c>
      <c r="M76">
        <v>8</v>
      </c>
      <c r="O76" s="6">
        <f t="shared" si="45"/>
        <v>31</v>
      </c>
      <c r="P76" s="8">
        <v>70</v>
      </c>
      <c r="Q76">
        <v>87</v>
      </c>
      <c r="R76">
        <v>75</v>
      </c>
      <c r="S76">
        <v>84</v>
      </c>
      <c r="T76">
        <v>9</v>
      </c>
      <c r="V76">
        <f t="shared" si="46"/>
        <v>39</v>
      </c>
      <c r="W76" s="8">
        <f>SUMIFS(events!AJ:AJ,events!Q:Q,"=DeadIce",events!AK:AK,"&lt;="&amp;shifts!AG76,events!AL:AL,"&gt;"&amp;shifts!AH76,events!E:E,"="&amp;shifts!B77)+SUMIFS(events!AJ:AJ,events!Q:Q,"=Timeout",events!AK:AK,"&lt;="&amp;shifts!AG76,events!AL:AL,"&gt;"&amp;shifts!AH76,events!E:E,"="&amp;shifts!B77)</f>
        <v>0</v>
      </c>
      <c r="X76" s="8" t="str">
        <f t="shared" si="47"/>
        <v/>
      </c>
      <c r="Y76">
        <v>1</v>
      </c>
      <c r="Z76" t="str">
        <f t="shared" si="48"/>
        <v/>
      </c>
      <c r="AB76" t="str">
        <f t="shared" si="49"/>
        <v/>
      </c>
      <c r="AD76">
        <f>events!AG76</f>
        <v>18981</v>
      </c>
      <c r="AE76" t="str">
        <f>events!AH76</f>
        <v>Nelson</v>
      </c>
      <c r="AF76" t="str">
        <f>events!AI76</f>
        <v>Velodrome</v>
      </c>
      <c r="AG76" s="5">
        <f t="shared" si="32"/>
        <v>1080</v>
      </c>
      <c r="AH76" s="5">
        <f t="shared" si="33"/>
        <v>1022</v>
      </c>
      <c r="AI76" s="16">
        <f t="shared" si="38"/>
        <v>58</v>
      </c>
      <c r="AJ76">
        <f t="shared" si="34"/>
        <v>5</v>
      </c>
      <c r="AK76">
        <f t="shared" si="35"/>
        <v>5</v>
      </c>
      <c r="AL76">
        <f t="shared" si="36"/>
        <v>0</v>
      </c>
      <c r="AM76">
        <f t="shared" si="37"/>
        <v>0</v>
      </c>
      <c r="AN76">
        <f t="shared" si="31"/>
        <v>0</v>
      </c>
      <c r="AO76">
        <f t="shared" si="39"/>
        <v>0</v>
      </c>
      <c r="AP76">
        <f t="shared" si="40"/>
        <v>0</v>
      </c>
      <c r="AQ76">
        <f t="shared" si="41"/>
        <v>0</v>
      </c>
      <c r="AY76" s="5"/>
    </row>
    <row r="77" spans="1:51" x14ac:dyDescent="0.2">
      <c r="A77">
        <f t="shared" si="50"/>
        <v>76</v>
      </c>
      <c r="B77" s="8">
        <f t="shared" si="42"/>
        <v>3</v>
      </c>
      <c r="C77">
        <f t="shared" si="43"/>
        <v>17</v>
      </c>
      <c r="D77" s="5" t="str">
        <f t="shared" si="44"/>
        <v>02</v>
      </c>
      <c r="E77">
        <v>16</v>
      </c>
      <c r="F77" s="5" t="s">
        <v>510</v>
      </c>
      <c r="I77">
        <v>79</v>
      </c>
      <c r="J77">
        <v>15</v>
      </c>
      <c r="K77">
        <v>16</v>
      </c>
      <c r="L77">
        <v>80</v>
      </c>
      <c r="M77">
        <v>8</v>
      </c>
      <c r="O77" s="6">
        <f t="shared" si="45"/>
        <v>31</v>
      </c>
      <c r="P77" s="8">
        <v>70</v>
      </c>
      <c r="Q77">
        <v>87</v>
      </c>
      <c r="R77">
        <v>75</v>
      </c>
      <c r="S77">
        <v>84</v>
      </c>
      <c r="T77">
        <v>22</v>
      </c>
      <c r="V77">
        <f t="shared" si="46"/>
        <v>39</v>
      </c>
      <c r="W77" s="8">
        <f>SUMIFS(events!AJ:AJ,events!Q:Q,"=DeadIce",events!AK:AK,"&lt;="&amp;shifts!AG77,events!AL:AL,"&gt;"&amp;shifts!AH77,events!E:E,"="&amp;shifts!B78)+SUMIFS(events!AJ:AJ,events!Q:Q,"=Timeout",events!AK:AK,"&lt;="&amp;shifts!AG77,events!AL:AL,"&gt;"&amp;shifts!AH77,events!E:E,"="&amp;shifts!B78)</f>
        <v>0</v>
      </c>
      <c r="X77" s="8">
        <f t="shared" si="47"/>
        <v>1</v>
      </c>
      <c r="Z77" t="str">
        <f t="shared" si="48"/>
        <v/>
      </c>
      <c r="AB77" t="str">
        <f t="shared" si="49"/>
        <v/>
      </c>
      <c r="AC77">
        <v>1</v>
      </c>
      <c r="AD77">
        <f>events!AG77</f>
        <v>18981</v>
      </c>
      <c r="AE77" t="str">
        <f>events!AH77</f>
        <v>Nelson</v>
      </c>
      <c r="AF77" t="str">
        <f>events!AI77</f>
        <v>Velodrome</v>
      </c>
      <c r="AG77" s="5">
        <f t="shared" si="32"/>
        <v>1022</v>
      </c>
      <c r="AH77" s="5">
        <f t="shared" si="33"/>
        <v>998</v>
      </c>
      <c r="AI77" s="16">
        <f t="shared" si="38"/>
        <v>24</v>
      </c>
      <c r="AJ77">
        <f t="shared" si="34"/>
        <v>5</v>
      </c>
      <c r="AK77">
        <f t="shared" si="35"/>
        <v>5</v>
      </c>
      <c r="AL77">
        <f t="shared" si="36"/>
        <v>0</v>
      </c>
      <c r="AM77">
        <f t="shared" si="37"/>
        <v>0</v>
      </c>
      <c r="AN77">
        <f t="shared" si="31"/>
        <v>0</v>
      </c>
      <c r="AO77">
        <f t="shared" si="39"/>
        <v>0</v>
      </c>
      <c r="AP77">
        <f t="shared" si="40"/>
        <v>0</v>
      </c>
      <c r="AQ77">
        <f t="shared" si="41"/>
        <v>0</v>
      </c>
      <c r="AY77" s="5"/>
    </row>
    <row r="78" spans="1:51" x14ac:dyDescent="0.2">
      <c r="A78">
        <f t="shared" si="50"/>
        <v>77</v>
      </c>
      <c r="B78" s="8">
        <f t="shared" si="42"/>
        <v>3</v>
      </c>
      <c r="C78">
        <f t="shared" si="43"/>
        <v>16</v>
      </c>
      <c r="D78" s="5" t="str">
        <f t="shared" si="44"/>
        <v>38</v>
      </c>
      <c r="E78">
        <v>16</v>
      </c>
      <c r="F78" s="5" t="s">
        <v>506</v>
      </c>
      <c r="I78">
        <v>79</v>
      </c>
      <c r="J78">
        <v>3</v>
      </c>
      <c r="K78">
        <v>16</v>
      </c>
      <c r="L78">
        <v>80</v>
      </c>
      <c r="M78">
        <v>8</v>
      </c>
      <c r="O78" s="6">
        <f t="shared" si="45"/>
        <v>31</v>
      </c>
      <c r="P78" s="8">
        <v>70</v>
      </c>
      <c r="Q78">
        <v>87</v>
      </c>
      <c r="R78">
        <v>75</v>
      </c>
      <c r="S78">
        <v>84</v>
      </c>
      <c r="T78">
        <v>22</v>
      </c>
      <c r="V78">
        <f t="shared" si="46"/>
        <v>39</v>
      </c>
      <c r="W78" s="8">
        <f>SUMIFS(events!AJ:AJ,events!Q:Q,"=DeadIce",events!AK:AK,"&lt;="&amp;shifts!AG78,events!AL:AL,"&gt;"&amp;shifts!AH78,events!E:E,"="&amp;shifts!B79)+SUMIFS(events!AJ:AJ,events!Q:Q,"=Timeout",events!AK:AK,"&lt;="&amp;shifts!AG78,events!AL:AL,"&gt;"&amp;shifts!AH78,events!E:E,"="&amp;shifts!B79)</f>
        <v>0</v>
      </c>
      <c r="X78" s="8" t="str">
        <f t="shared" si="47"/>
        <v/>
      </c>
      <c r="Y78">
        <v>1</v>
      </c>
      <c r="Z78" t="str">
        <f t="shared" si="48"/>
        <v/>
      </c>
      <c r="AB78">
        <f t="shared" si="49"/>
        <v>1</v>
      </c>
      <c r="AD78">
        <f>events!AG78</f>
        <v>18981</v>
      </c>
      <c r="AE78" t="str">
        <f>events!AH78</f>
        <v>Nelson</v>
      </c>
      <c r="AF78" t="str">
        <f>events!AI78</f>
        <v>Velodrome</v>
      </c>
      <c r="AG78" s="5">
        <f t="shared" si="32"/>
        <v>998</v>
      </c>
      <c r="AH78" s="5">
        <f t="shared" si="33"/>
        <v>994</v>
      </c>
      <c r="AI78" s="16">
        <f t="shared" si="38"/>
        <v>4</v>
      </c>
      <c r="AJ78">
        <f t="shared" si="34"/>
        <v>5</v>
      </c>
      <c r="AK78">
        <f t="shared" si="35"/>
        <v>5</v>
      </c>
      <c r="AL78">
        <f t="shared" si="36"/>
        <v>0</v>
      </c>
      <c r="AM78">
        <f t="shared" si="37"/>
        <v>0</v>
      </c>
      <c r="AN78">
        <f t="shared" si="31"/>
        <v>0</v>
      </c>
      <c r="AO78">
        <f t="shared" si="39"/>
        <v>0</v>
      </c>
      <c r="AP78">
        <f t="shared" si="40"/>
        <v>0</v>
      </c>
      <c r="AQ78">
        <f t="shared" si="41"/>
        <v>0</v>
      </c>
      <c r="AY78" s="5"/>
    </row>
    <row r="79" spans="1:51" x14ac:dyDescent="0.2">
      <c r="A79">
        <f t="shared" si="50"/>
        <v>78</v>
      </c>
      <c r="B79" s="8">
        <f t="shared" si="42"/>
        <v>3</v>
      </c>
      <c r="C79">
        <f t="shared" si="43"/>
        <v>16</v>
      </c>
      <c r="D79" s="5" t="str">
        <f t="shared" si="44"/>
        <v>34</v>
      </c>
      <c r="E79">
        <v>16</v>
      </c>
      <c r="F79" s="5" t="s">
        <v>491</v>
      </c>
      <c r="I79">
        <v>79</v>
      </c>
      <c r="J79">
        <v>3</v>
      </c>
      <c r="K79">
        <v>44</v>
      </c>
      <c r="L79">
        <v>80</v>
      </c>
      <c r="M79">
        <v>8</v>
      </c>
      <c r="O79" s="6">
        <f t="shared" si="45"/>
        <v>31</v>
      </c>
      <c r="P79" s="8">
        <v>70</v>
      </c>
      <c r="Q79">
        <v>87</v>
      </c>
      <c r="R79">
        <v>75</v>
      </c>
      <c r="S79">
        <v>84</v>
      </c>
      <c r="T79">
        <v>22</v>
      </c>
      <c r="V79">
        <f t="shared" si="46"/>
        <v>39</v>
      </c>
      <c r="W79" s="8">
        <f>SUMIFS(events!AJ:AJ,events!Q:Q,"=DeadIce",events!AK:AK,"&lt;="&amp;shifts!AG79,events!AL:AL,"&gt;"&amp;shifts!AH79,events!E:E,"="&amp;shifts!B80)+SUMIFS(events!AJ:AJ,events!Q:Q,"=Timeout",events!AK:AK,"&lt;="&amp;shifts!AG79,events!AL:AL,"&gt;"&amp;shifts!AH79,events!E:E,"="&amp;shifts!B80)</f>
        <v>0</v>
      </c>
      <c r="X79" s="8">
        <f t="shared" si="47"/>
        <v>1</v>
      </c>
      <c r="Y79">
        <v>1</v>
      </c>
      <c r="Z79" t="str">
        <f t="shared" si="48"/>
        <v/>
      </c>
      <c r="AB79" t="str">
        <f t="shared" si="49"/>
        <v/>
      </c>
      <c r="AD79">
        <f>events!AG79</f>
        <v>18981</v>
      </c>
      <c r="AE79" t="str">
        <f>events!AH79</f>
        <v>Nelson</v>
      </c>
      <c r="AF79" t="str">
        <f>events!AI79</f>
        <v>Velodrome</v>
      </c>
      <c r="AG79" s="5">
        <f t="shared" si="32"/>
        <v>994</v>
      </c>
      <c r="AH79" s="5">
        <f t="shared" si="33"/>
        <v>979</v>
      </c>
      <c r="AI79" s="16">
        <f t="shared" si="38"/>
        <v>15</v>
      </c>
      <c r="AJ79">
        <f t="shared" si="34"/>
        <v>5</v>
      </c>
      <c r="AK79">
        <f t="shared" si="35"/>
        <v>5</v>
      </c>
      <c r="AL79">
        <f t="shared" si="36"/>
        <v>0</v>
      </c>
      <c r="AM79">
        <f t="shared" si="37"/>
        <v>0</v>
      </c>
      <c r="AN79">
        <f t="shared" si="31"/>
        <v>0</v>
      </c>
      <c r="AO79">
        <f t="shared" si="39"/>
        <v>0</v>
      </c>
      <c r="AP79">
        <f t="shared" si="40"/>
        <v>0</v>
      </c>
      <c r="AQ79">
        <f t="shared" si="41"/>
        <v>0</v>
      </c>
      <c r="AY79" s="5"/>
    </row>
    <row r="80" spans="1:51" x14ac:dyDescent="0.2">
      <c r="A80">
        <f t="shared" si="50"/>
        <v>79</v>
      </c>
      <c r="B80" s="8">
        <f t="shared" si="42"/>
        <v>3</v>
      </c>
      <c r="C80">
        <f t="shared" si="43"/>
        <v>16</v>
      </c>
      <c r="D80" s="5" t="str">
        <f t="shared" si="44"/>
        <v>19</v>
      </c>
      <c r="E80">
        <v>16</v>
      </c>
      <c r="F80" s="5" t="s">
        <v>471</v>
      </c>
      <c r="I80">
        <v>79</v>
      </c>
      <c r="J80">
        <v>3</v>
      </c>
      <c r="K80">
        <v>44</v>
      </c>
      <c r="L80">
        <v>80</v>
      </c>
      <c r="M80">
        <v>8</v>
      </c>
      <c r="O80" s="6">
        <f t="shared" si="45"/>
        <v>31</v>
      </c>
      <c r="P80" s="8">
        <v>70</v>
      </c>
      <c r="Q80">
        <v>87</v>
      </c>
      <c r="R80">
        <v>75</v>
      </c>
      <c r="S80">
        <v>52</v>
      </c>
      <c r="T80">
        <v>22</v>
      </c>
      <c r="V80">
        <f t="shared" si="46"/>
        <v>39</v>
      </c>
      <c r="W80" s="8">
        <f>SUMIFS(events!AJ:AJ,events!Q:Q,"=DeadIce",events!AK:AK,"&lt;="&amp;shifts!AG80,events!AL:AL,"&gt;"&amp;shifts!AH80,events!E:E,"="&amp;shifts!B81)+SUMIFS(events!AJ:AJ,events!Q:Q,"=Timeout",events!AK:AK,"&lt;="&amp;shifts!AG80,events!AL:AL,"&gt;"&amp;shifts!AH80,events!E:E,"="&amp;shifts!B81)</f>
        <v>0</v>
      </c>
      <c r="X80" s="8">
        <f t="shared" si="47"/>
        <v>1</v>
      </c>
      <c r="Z80" t="str">
        <f t="shared" si="48"/>
        <v/>
      </c>
      <c r="AA80">
        <v>1</v>
      </c>
      <c r="AB80" t="str">
        <f t="shared" si="49"/>
        <v/>
      </c>
      <c r="AD80">
        <f>events!AG80</f>
        <v>18981</v>
      </c>
      <c r="AE80" t="str">
        <f>events!AH80</f>
        <v>Nelson</v>
      </c>
      <c r="AF80" t="str">
        <f>events!AI80</f>
        <v>Velodrome</v>
      </c>
      <c r="AG80" s="5">
        <f t="shared" si="32"/>
        <v>979</v>
      </c>
      <c r="AH80" s="5">
        <f t="shared" si="33"/>
        <v>961</v>
      </c>
      <c r="AI80" s="16">
        <f t="shared" si="38"/>
        <v>18</v>
      </c>
      <c r="AJ80">
        <f t="shared" si="34"/>
        <v>5</v>
      </c>
      <c r="AK80">
        <f t="shared" si="35"/>
        <v>5</v>
      </c>
      <c r="AL80">
        <f t="shared" si="36"/>
        <v>0</v>
      </c>
      <c r="AM80">
        <f t="shared" si="37"/>
        <v>0</v>
      </c>
      <c r="AN80">
        <f t="shared" si="31"/>
        <v>0</v>
      </c>
      <c r="AO80">
        <f t="shared" si="39"/>
        <v>0</v>
      </c>
      <c r="AP80">
        <f t="shared" si="40"/>
        <v>0</v>
      </c>
      <c r="AQ80">
        <f t="shared" si="41"/>
        <v>0</v>
      </c>
      <c r="AY80" s="5"/>
    </row>
    <row r="81" spans="1:51" x14ac:dyDescent="0.2">
      <c r="A81">
        <f t="shared" si="50"/>
        <v>80</v>
      </c>
      <c r="B81" s="8">
        <f t="shared" si="42"/>
        <v>3</v>
      </c>
      <c r="C81">
        <f t="shared" si="43"/>
        <v>16</v>
      </c>
      <c r="D81" s="5" t="str">
        <f t="shared" si="44"/>
        <v>01</v>
      </c>
      <c r="E81">
        <v>15</v>
      </c>
      <c r="F81" s="5" t="s">
        <v>503</v>
      </c>
      <c r="H81" s="6" t="s">
        <v>396</v>
      </c>
      <c r="I81">
        <v>10</v>
      </c>
      <c r="J81">
        <v>3</v>
      </c>
      <c r="K81">
        <v>44</v>
      </c>
      <c r="L81">
        <v>80</v>
      </c>
      <c r="M81">
        <v>8</v>
      </c>
      <c r="O81" s="6">
        <f t="shared" si="45"/>
        <v>31</v>
      </c>
      <c r="P81" s="8">
        <v>70</v>
      </c>
      <c r="Q81">
        <v>87</v>
      </c>
      <c r="R81">
        <v>75</v>
      </c>
      <c r="S81">
        <v>52</v>
      </c>
      <c r="T81">
        <v>22</v>
      </c>
      <c r="V81">
        <f t="shared" si="46"/>
        <v>39</v>
      </c>
      <c r="W81" s="8">
        <f>SUMIFS(events!AJ:AJ,events!Q:Q,"=DeadIce",events!AK:AK,"&lt;="&amp;shifts!AG81,events!AL:AL,"&gt;"&amp;shifts!AH81,events!E:E,"="&amp;shifts!B82)+SUMIFS(events!AJ:AJ,events!Q:Q,"=Timeout",events!AK:AK,"&lt;="&amp;shifts!AG81,events!AL:AL,"&gt;"&amp;shifts!AH81,events!E:E,"="&amp;shifts!B82)</f>
        <v>0</v>
      </c>
      <c r="X81" s="8" t="str">
        <f t="shared" si="47"/>
        <v/>
      </c>
      <c r="Y81">
        <v>1</v>
      </c>
      <c r="Z81">
        <f t="shared" si="48"/>
        <v>1</v>
      </c>
      <c r="AB81" t="str">
        <f t="shared" si="49"/>
        <v/>
      </c>
      <c r="AD81">
        <f>events!AG81</f>
        <v>18981</v>
      </c>
      <c r="AE81" t="str">
        <f>events!AH81</f>
        <v>Nelson</v>
      </c>
      <c r="AF81" t="str">
        <f>events!AI81</f>
        <v>Velodrome</v>
      </c>
      <c r="AG81" s="5">
        <f t="shared" si="32"/>
        <v>961</v>
      </c>
      <c r="AH81" s="5">
        <f t="shared" si="33"/>
        <v>931</v>
      </c>
      <c r="AI81" s="16">
        <f t="shared" si="38"/>
        <v>30</v>
      </c>
      <c r="AJ81">
        <f t="shared" si="34"/>
        <v>5</v>
      </c>
      <c r="AK81">
        <f t="shared" si="35"/>
        <v>5</v>
      </c>
      <c r="AL81">
        <f t="shared" si="36"/>
        <v>0</v>
      </c>
      <c r="AM81">
        <f t="shared" si="37"/>
        <v>0</v>
      </c>
      <c r="AN81">
        <f t="shared" si="31"/>
        <v>0</v>
      </c>
      <c r="AO81">
        <f t="shared" si="39"/>
        <v>0</v>
      </c>
      <c r="AP81">
        <f t="shared" si="40"/>
        <v>0</v>
      </c>
      <c r="AQ81">
        <f t="shared" si="41"/>
        <v>0</v>
      </c>
      <c r="AY81" s="5"/>
    </row>
    <row r="82" spans="1:51" x14ac:dyDescent="0.2">
      <c r="A82">
        <f t="shared" si="50"/>
        <v>81</v>
      </c>
      <c r="B82" s="8">
        <f t="shared" si="42"/>
        <v>3</v>
      </c>
      <c r="C82">
        <f t="shared" si="43"/>
        <v>15</v>
      </c>
      <c r="D82" s="5" t="str">
        <f t="shared" si="44"/>
        <v>31</v>
      </c>
      <c r="E82">
        <v>14</v>
      </c>
      <c r="F82" s="5" t="s">
        <v>500</v>
      </c>
      <c r="G82" s="8" t="s">
        <v>343</v>
      </c>
      <c r="I82">
        <v>10</v>
      </c>
      <c r="J82">
        <v>7</v>
      </c>
      <c r="K82">
        <v>44</v>
      </c>
      <c r="L82">
        <v>37</v>
      </c>
      <c r="M82">
        <v>23</v>
      </c>
      <c r="O82" s="6">
        <f t="shared" si="45"/>
        <v>31</v>
      </c>
      <c r="P82" s="8">
        <v>42</v>
      </c>
      <c r="Q82">
        <v>91</v>
      </c>
      <c r="R82">
        <v>24</v>
      </c>
      <c r="S82">
        <v>52</v>
      </c>
      <c r="T82">
        <v>22</v>
      </c>
      <c r="V82">
        <f t="shared" si="46"/>
        <v>39</v>
      </c>
      <c r="W82" s="8">
        <f>SUMIFS(events!AJ:AJ,events!Q:Q,"=DeadIce",events!AK:AK,"&lt;="&amp;shifts!AG82,events!AL:AL,"&gt;"&amp;shifts!AH82,events!E:E,"="&amp;shifts!B83)+SUMIFS(events!AJ:AJ,events!Q:Q,"=Timeout",events!AK:AK,"&lt;="&amp;shifts!AG82,events!AL:AL,"&gt;"&amp;shifts!AH82,events!E:E,"="&amp;shifts!B83)</f>
        <v>0</v>
      </c>
      <c r="X82" s="8">
        <f t="shared" si="47"/>
        <v>1</v>
      </c>
      <c r="Y82">
        <v>1</v>
      </c>
      <c r="Z82" t="str">
        <f t="shared" si="48"/>
        <v/>
      </c>
      <c r="AB82" t="str">
        <f t="shared" si="49"/>
        <v/>
      </c>
      <c r="AD82">
        <f>events!AG82</f>
        <v>18981</v>
      </c>
      <c r="AE82" t="str">
        <f>events!AH82</f>
        <v>Nelson</v>
      </c>
      <c r="AF82" t="str">
        <f>events!AI82</f>
        <v>Velodrome</v>
      </c>
      <c r="AG82" s="5">
        <f t="shared" si="32"/>
        <v>931</v>
      </c>
      <c r="AH82" s="5">
        <f t="shared" si="33"/>
        <v>868</v>
      </c>
      <c r="AI82" s="16">
        <f t="shared" si="38"/>
        <v>63</v>
      </c>
      <c r="AJ82">
        <f t="shared" si="34"/>
        <v>5</v>
      </c>
      <c r="AK82">
        <f t="shared" si="35"/>
        <v>5</v>
      </c>
      <c r="AL82">
        <f t="shared" si="36"/>
        <v>0</v>
      </c>
      <c r="AM82">
        <f t="shared" si="37"/>
        <v>0</v>
      </c>
      <c r="AN82">
        <f t="shared" si="31"/>
        <v>0</v>
      </c>
      <c r="AO82">
        <f t="shared" si="39"/>
        <v>0</v>
      </c>
      <c r="AP82">
        <f t="shared" si="40"/>
        <v>0</v>
      </c>
      <c r="AQ82">
        <f t="shared" si="41"/>
        <v>0</v>
      </c>
      <c r="AY82" s="5"/>
    </row>
    <row r="83" spans="1:51" x14ac:dyDescent="0.2">
      <c r="A83">
        <f t="shared" si="50"/>
        <v>82</v>
      </c>
      <c r="B83" s="8">
        <f t="shared" si="42"/>
        <v>3</v>
      </c>
      <c r="C83">
        <f t="shared" si="43"/>
        <v>14</v>
      </c>
      <c r="D83" s="5" t="str">
        <f t="shared" si="44"/>
        <v>28</v>
      </c>
      <c r="E83">
        <v>13</v>
      </c>
      <c r="F83" s="5" t="s">
        <v>491</v>
      </c>
      <c r="I83">
        <v>10</v>
      </c>
      <c r="J83">
        <v>7</v>
      </c>
      <c r="K83">
        <v>44</v>
      </c>
      <c r="L83">
        <v>37</v>
      </c>
      <c r="M83">
        <v>23</v>
      </c>
      <c r="O83" s="6">
        <f t="shared" si="45"/>
        <v>31</v>
      </c>
      <c r="P83" s="8">
        <v>42</v>
      </c>
      <c r="Q83">
        <v>91</v>
      </c>
      <c r="R83">
        <v>24</v>
      </c>
      <c r="S83">
        <v>52</v>
      </c>
      <c r="T83">
        <v>9</v>
      </c>
      <c r="V83">
        <f t="shared" si="46"/>
        <v>39</v>
      </c>
      <c r="W83" s="8">
        <f>SUMIFS(events!AJ:AJ,events!Q:Q,"=DeadIce",events!AK:AK,"&lt;="&amp;shifts!AG83,events!AL:AL,"&gt;"&amp;shifts!AH83,events!E:E,"="&amp;shifts!B84)+SUMIFS(events!AJ:AJ,events!Q:Q,"=Timeout",events!AK:AK,"&lt;="&amp;shifts!AG83,events!AL:AL,"&gt;"&amp;shifts!AH83,events!E:E,"="&amp;shifts!B84)</f>
        <v>0</v>
      </c>
      <c r="X83" s="8">
        <f t="shared" si="47"/>
        <v>1</v>
      </c>
      <c r="Y83">
        <v>1</v>
      </c>
      <c r="Z83" t="str">
        <f t="shared" si="48"/>
        <v/>
      </c>
      <c r="AB83" t="str">
        <f t="shared" si="49"/>
        <v/>
      </c>
      <c r="AD83">
        <f>events!AG83</f>
        <v>18981</v>
      </c>
      <c r="AE83" t="str">
        <f>events!AH83</f>
        <v>Nelson</v>
      </c>
      <c r="AF83" t="str">
        <f>events!AI83</f>
        <v>Velodrome</v>
      </c>
      <c r="AG83" s="5">
        <f t="shared" si="32"/>
        <v>868</v>
      </c>
      <c r="AH83" s="5">
        <f t="shared" si="33"/>
        <v>799</v>
      </c>
      <c r="AI83" s="16">
        <f t="shared" si="38"/>
        <v>69</v>
      </c>
      <c r="AJ83">
        <f t="shared" si="34"/>
        <v>5</v>
      </c>
      <c r="AK83">
        <f t="shared" si="35"/>
        <v>5</v>
      </c>
      <c r="AL83">
        <f t="shared" si="36"/>
        <v>0</v>
      </c>
      <c r="AM83">
        <f t="shared" si="37"/>
        <v>0</v>
      </c>
      <c r="AN83">
        <f t="shared" si="31"/>
        <v>0</v>
      </c>
      <c r="AO83">
        <f t="shared" si="39"/>
        <v>0</v>
      </c>
      <c r="AP83">
        <f t="shared" si="40"/>
        <v>0</v>
      </c>
      <c r="AQ83">
        <f t="shared" si="41"/>
        <v>0</v>
      </c>
      <c r="AY83" s="5"/>
    </row>
    <row r="84" spans="1:51" x14ac:dyDescent="0.2">
      <c r="A84">
        <f t="shared" si="50"/>
        <v>83</v>
      </c>
      <c r="B84" s="8">
        <f t="shared" si="42"/>
        <v>3</v>
      </c>
      <c r="C84">
        <f t="shared" si="43"/>
        <v>13</v>
      </c>
      <c r="D84" s="5" t="str">
        <f t="shared" si="44"/>
        <v>19</v>
      </c>
      <c r="E84">
        <v>13</v>
      </c>
      <c r="F84" s="5" t="s">
        <v>478</v>
      </c>
      <c r="H84" s="6" t="s">
        <v>395</v>
      </c>
      <c r="I84">
        <v>10</v>
      </c>
      <c r="J84">
        <v>7</v>
      </c>
      <c r="K84">
        <v>44</v>
      </c>
      <c r="L84">
        <v>37</v>
      </c>
      <c r="M84">
        <v>23</v>
      </c>
      <c r="O84" s="6">
        <f t="shared" si="45"/>
        <v>31</v>
      </c>
      <c r="P84" s="8">
        <v>42</v>
      </c>
      <c r="Q84">
        <v>14</v>
      </c>
      <c r="R84">
        <v>24</v>
      </c>
      <c r="S84">
        <v>93</v>
      </c>
      <c r="T84">
        <v>9</v>
      </c>
      <c r="V84">
        <f t="shared" si="46"/>
        <v>39</v>
      </c>
      <c r="W84" s="8">
        <f>SUMIFS(events!AJ:AJ,events!Q:Q,"=DeadIce",events!AK:AK,"&lt;="&amp;shifts!AG84,events!AL:AL,"&gt;"&amp;shifts!AH84,events!E:E,"="&amp;shifts!B85)+SUMIFS(events!AJ:AJ,events!Q:Q,"=Timeout",events!AK:AK,"&lt;="&amp;shifts!AG84,events!AL:AL,"&gt;"&amp;shifts!AH84,events!E:E,"="&amp;shifts!B85)</f>
        <v>0</v>
      </c>
      <c r="X84" s="8">
        <f t="shared" si="47"/>
        <v>1</v>
      </c>
      <c r="Z84" t="str">
        <f t="shared" si="48"/>
        <v/>
      </c>
      <c r="AA84">
        <v>1</v>
      </c>
      <c r="AB84" t="str">
        <f t="shared" si="49"/>
        <v/>
      </c>
      <c r="AD84">
        <f>events!AG84</f>
        <v>18981</v>
      </c>
      <c r="AE84" t="str">
        <f>events!AH84</f>
        <v>Nelson</v>
      </c>
      <c r="AF84" t="str">
        <f>events!AI84</f>
        <v>Velodrome</v>
      </c>
      <c r="AG84" s="5">
        <f t="shared" si="32"/>
        <v>799</v>
      </c>
      <c r="AH84" s="5">
        <f t="shared" si="33"/>
        <v>795</v>
      </c>
      <c r="AI84" s="16">
        <f t="shared" si="38"/>
        <v>4</v>
      </c>
      <c r="AJ84">
        <f t="shared" si="34"/>
        <v>5</v>
      </c>
      <c r="AK84">
        <f t="shared" si="35"/>
        <v>5</v>
      </c>
      <c r="AL84">
        <f t="shared" si="36"/>
        <v>0</v>
      </c>
      <c r="AM84">
        <f t="shared" si="37"/>
        <v>0</v>
      </c>
      <c r="AN84">
        <f t="shared" si="31"/>
        <v>0</v>
      </c>
      <c r="AO84">
        <f t="shared" si="39"/>
        <v>0</v>
      </c>
      <c r="AP84">
        <f t="shared" si="40"/>
        <v>0</v>
      </c>
      <c r="AQ84">
        <f t="shared" si="41"/>
        <v>0</v>
      </c>
      <c r="AY84" s="5"/>
    </row>
    <row r="85" spans="1:51" x14ac:dyDescent="0.2">
      <c r="A85">
        <f t="shared" si="50"/>
        <v>84</v>
      </c>
      <c r="B85" s="8">
        <f t="shared" si="42"/>
        <v>3</v>
      </c>
      <c r="C85">
        <f t="shared" si="43"/>
        <v>13</v>
      </c>
      <c r="D85" s="5" t="str">
        <f t="shared" si="44"/>
        <v>15</v>
      </c>
      <c r="E85">
        <v>11</v>
      </c>
      <c r="F85" s="5" t="s">
        <v>522</v>
      </c>
      <c r="G85" s="8" t="s">
        <v>343</v>
      </c>
      <c r="H85" s="6" t="s">
        <v>396</v>
      </c>
      <c r="I85">
        <v>79</v>
      </c>
      <c r="J85">
        <v>15</v>
      </c>
      <c r="K85">
        <v>16</v>
      </c>
      <c r="L85">
        <v>80</v>
      </c>
      <c r="M85">
        <v>8</v>
      </c>
      <c r="O85" s="6">
        <f t="shared" si="45"/>
        <v>31</v>
      </c>
      <c r="P85" s="8">
        <v>49</v>
      </c>
      <c r="Q85">
        <v>14</v>
      </c>
      <c r="R85">
        <v>61</v>
      </c>
      <c r="S85">
        <v>93</v>
      </c>
      <c r="T85">
        <v>84</v>
      </c>
      <c r="V85">
        <f t="shared" si="46"/>
        <v>39</v>
      </c>
      <c r="W85" s="8">
        <f>SUMIFS(events!AJ:AJ,events!Q:Q,"=DeadIce",events!AK:AK,"&lt;="&amp;shifts!AG85,events!AL:AL,"&gt;"&amp;shifts!AH85,events!E:E,"="&amp;shifts!B86)+SUMIFS(events!AJ:AJ,events!Q:Q,"=Timeout",events!AK:AK,"&lt;="&amp;shifts!AG85,events!AL:AL,"&gt;"&amp;shifts!AH85,events!E:E,"="&amp;shifts!B86)</f>
        <v>0</v>
      </c>
      <c r="X85" s="8" t="str">
        <f t="shared" si="47"/>
        <v/>
      </c>
      <c r="Y85">
        <v>1</v>
      </c>
      <c r="Z85">
        <f t="shared" si="48"/>
        <v>1</v>
      </c>
      <c r="AB85" t="str">
        <f t="shared" si="49"/>
        <v/>
      </c>
      <c r="AD85">
        <f>events!AG85</f>
        <v>18981</v>
      </c>
      <c r="AE85" t="str">
        <f>events!AH85</f>
        <v>Nelson</v>
      </c>
      <c r="AF85" t="str">
        <f>events!AI85</f>
        <v>Velodrome</v>
      </c>
      <c r="AG85" s="5">
        <f t="shared" si="32"/>
        <v>795</v>
      </c>
      <c r="AH85" s="5">
        <f t="shared" si="33"/>
        <v>710</v>
      </c>
      <c r="AI85" s="16">
        <f t="shared" si="38"/>
        <v>85</v>
      </c>
      <c r="AJ85">
        <f t="shared" si="34"/>
        <v>5</v>
      </c>
      <c r="AK85">
        <f t="shared" si="35"/>
        <v>5</v>
      </c>
      <c r="AL85">
        <f t="shared" si="36"/>
        <v>0</v>
      </c>
      <c r="AM85">
        <f t="shared" si="37"/>
        <v>0</v>
      </c>
      <c r="AN85">
        <f t="shared" si="31"/>
        <v>0</v>
      </c>
      <c r="AO85">
        <f t="shared" si="39"/>
        <v>0</v>
      </c>
      <c r="AP85">
        <f t="shared" si="40"/>
        <v>0</v>
      </c>
      <c r="AQ85">
        <f t="shared" si="41"/>
        <v>0</v>
      </c>
      <c r="AY85" s="5"/>
    </row>
    <row r="86" spans="1:51" x14ac:dyDescent="0.2">
      <c r="A86">
        <f t="shared" si="50"/>
        <v>85</v>
      </c>
      <c r="B86" s="8">
        <f t="shared" si="42"/>
        <v>3</v>
      </c>
      <c r="C86">
        <f t="shared" si="43"/>
        <v>11</v>
      </c>
      <c r="D86" s="5" t="str">
        <f t="shared" si="44"/>
        <v>50</v>
      </c>
      <c r="E86">
        <v>10</v>
      </c>
      <c r="F86" s="5" t="s">
        <v>528</v>
      </c>
      <c r="G86" s="8" t="s">
        <v>343</v>
      </c>
      <c r="I86">
        <v>79</v>
      </c>
      <c r="J86">
        <v>3</v>
      </c>
      <c r="K86">
        <v>16</v>
      </c>
      <c r="L86">
        <v>80</v>
      </c>
      <c r="M86">
        <v>8</v>
      </c>
      <c r="O86" s="6">
        <f t="shared" si="45"/>
        <v>31</v>
      </c>
      <c r="P86" s="8">
        <v>49</v>
      </c>
      <c r="Q86">
        <v>14</v>
      </c>
      <c r="R86">
        <v>61</v>
      </c>
      <c r="S86">
        <v>93</v>
      </c>
      <c r="T86">
        <v>84</v>
      </c>
      <c r="V86">
        <f t="shared" si="46"/>
        <v>39</v>
      </c>
      <c r="W86" s="8">
        <f>SUMIFS(events!AJ:AJ,events!Q:Q,"=DeadIce",events!AK:AK,"&lt;="&amp;shifts!AG86,events!AL:AL,"&gt;"&amp;shifts!AH86,events!E:E,"="&amp;shifts!B87)+SUMIFS(events!AJ:AJ,events!Q:Q,"=Timeout",events!AK:AK,"&lt;="&amp;shifts!AG86,events!AL:AL,"&gt;"&amp;shifts!AH86,events!E:E,"="&amp;shifts!B87)</f>
        <v>0</v>
      </c>
      <c r="X86" s="8">
        <f t="shared" si="47"/>
        <v>1</v>
      </c>
      <c r="Z86" t="str">
        <f t="shared" si="48"/>
        <v/>
      </c>
      <c r="AA86">
        <v>1</v>
      </c>
      <c r="AB86" t="str">
        <f t="shared" si="49"/>
        <v/>
      </c>
      <c r="AD86">
        <f>events!AG86</f>
        <v>18981</v>
      </c>
      <c r="AE86" t="str">
        <f>events!AH86</f>
        <v>Nelson</v>
      </c>
      <c r="AF86" t="str">
        <f>events!AI86</f>
        <v>Velodrome</v>
      </c>
      <c r="AG86" s="5">
        <f t="shared" si="32"/>
        <v>710</v>
      </c>
      <c r="AH86" s="5">
        <f t="shared" si="33"/>
        <v>656</v>
      </c>
      <c r="AI86" s="16">
        <f t="shared" si="38"/>
        <v>54</v>
      </c>
      <c r="AJ86">
        <f t="shared" si="34"/>
        <v>5</v>
      </c>
      <c r="AK86">
        <f t="shared" si="35"/>
        <v>5</v>
      </c>
      <c r="AL86">
        <f t="shared" si="36"/>
        <v>0</v>
      </c>
      <c r="AM86">
        <f t="shared" si="37"/>
        <v>0</v>
      </c>
      <c r="AN86">
        <f t="shared" si="31"/>
        <v>0</v>
      </c>
      <c r="AO86">
        <f t="shared" si="39"/>
        <v>0</v>
      </c>
      <c r="AP86">
        <f t="shared" si="40"/>
        <v>0</v>
      </c>
      <c r="AQ86">
        <f t="shared" si="41"/>
        <v>0</v>
      </c>
      <c r="AY86" s="5"/>
    </row>
    <row r="87" spans="1:51" x14ac:dyDescent="0.2">
      <c r="A87">
        <f t="shared" si="50"/>
        <v>86</v>
      </c>
      <c r="B87" s="8">
        <f t="shared" si="42"/>
        <v>3</v>
      </c>
      <c r="C87">
        <f t="shared" si="43"/>
        <v>10</v>
      </c>
      <c r="D87" s="5" t="str">
        <f t="shared" si="44"/>
        <v>56</v>
      </c>
      <c r="E87">
        <v>10</v>
      </c>
      <c r="F87" s="5" t="s">
        <v>509</v>
      </c>
      <c r="I87">
        <v>10</v>
      </c>
      <c r="J87">
        <v>3</v>
      </c>
      <c r="K87">
        <v>16</v>
      </c>
      <c r="L87">
        <v>80</v>
      </c>
      <c r="M87">
        <v>8</v>
      </c>
      <c r="O87" s="6">
        <f t="shared" si="45"/>
        <v>31</v>
      </c>
      <c r="P87" s="8">
        <v>49</v>
      </c>
      <c r="Q87">
        <v>14</v>
      </c>
      <c r="R87">
        <v>61</v>
      </c>
      <c r="S87">
        <v>93</v>
      </c>
      <c r="T87">
        <v>84</v>
      </c>
      <c r="V87">
        <f t="shared" si="46"/>
        <v>39</v>
      </c>
      <c r="W87" s="8">
        <f>SUMIFS(events!AJ:AJ,events!Q:Q,"=DeadIce",events!AK:AK,"&lt;="&amp;shifts!AG87,events!AL:AL,"&gt;"&amp;shifts!AH87,events!E:E,"="&amp;shifts!B88)+SUMIFS(events!AJ:AJ,events!Q:Q,"=Timeout",events!AK:AK,"&lt;="&amp;shifts!AG87,events!AL:AL,"&gt;"&amp;shifts!AH87,events!E:E,"="&amp;shifts!B88)</f>
        <v>0</v>
      </c>
      <c r="X87" s="8" t="str">
        <f t="shared" si="47"/>
        <v/>
      </c>
      <c r="Z87">
        <f t="shared" si="48"/>
        <v>1</v>
      </c>
      <c r="AB87" t="str">
        <f t="shared" si="49"/>
        <v/>
      </c>
      <c r="AC87">
        <v>1</v>
      </c>
      <c r="AD87">
        <f>events!AG87</f>
        <v>18981</v>
      </c>
      <c r="AE87" t="str">
        <f>events!AH87</f>
        <v>Nelson</v>
      </c>
      <c r="AF87" t="str">
        <f>events!AI87</f>
        <v>Velodrome</v>
      </c>
      <c r="AG87" s="5">
        <f t="shared" si="32"/>
        <v>656</v>
      </c>
      <c r="AH87" s="5">
        <f t="shared" si="33"/>
        <v>637</v>
      </c>
      <c r="AI87" s="16">
        <f t="shared" si="38"/>
        <v>19</v>
      </c>
      <c r="AJ87">
        <f t="shared" si="34"/>
        <v>5</v>
      </c>
      <c r="AK87">
        <f t="shared" si="35"/>
        <v>5</v>
      </c>
      <c r="AL87">
        <f t="shared" si="36"/>
        <v>0</v>
      </c>
      <c r="AM87">
        <f t="shared" si="37"/>
        <v>0</v>
      </c>
      <c r="AN87">
        <f t="shared" si="31"/>
        <v>0</v>
      </c>
      <c r="AO87">
        <f t="shared" si="39"/>
        <v>0</v>
      </c>
      <c r="AP87">
        <f t="shared" si="40"/>
        <v>0</v>
      </c>
      <c r="AQ87">
        <f t="shared" si="41"/>
        <v>0</v>
      </c>
      <c r="AY87" s="5"/>
    </row>
    <row r="88" spans="1:51" x14ac:dyDescent="0.2">
      <c r="A88">
        <f t="shared" si="50"/>
        <v>87</v>
      </c>
      <c r="B88" s="8">
        <f t="shared" si="42"/>
        <v>3</v>
      </c>
      <c r="C88">
        <f t="shared" si="43"/>
        <v>10</v>
      </c>
      <c r="D88" s="5" t="str">
        <f t="shared" si="44"/>
        <v>37</v>
      </c>
      <c r="E88">
        <v>10</v>
      </c>
      <c r="F88" s="5" t="s">
        <v>504</v>
      </c>
      <c r="I88">
        <v>10</v>
      </c>
      <c r="J88">
        <v>3</v>
      </c>
      <c r="K88">
        <v>44</v>
      </c>
      <c r="L88">
        <v>80</v>
      </c>
      <c r="M88">
        <v>8</v>
      </c>
      <c r="O88" s="6">
        <f t="shared" si="45"/>
        <v>31</v>
      </c>
      <c r="P88" s="8">
        <v>49</v>
      </c>
      <c r="Q88">
        <v>14</v>
      </c>
      <c r="R88">
        <v>61</v>
      </c>
      <c r="S88">
        <v>93</v>
      </c>
      <c r="T88">
        <v>84</v>
      </c>
      <c r="V88">
        <f t="shared" si="46"/>
        <v>39</v>
      </c>
      <c r="W88" s="8">
        <f>SUMIFS(events!AJ:AJ,events!Q:Q,"=DeadIce",events!AK:AK,"&lt;="&amp;shifts!AG88,events!AL:AL,"&gt;"&amp;shifts!AH88,events!E:E,"="&amp;shifts!B89)+SUMIFS(events!AJ:AJ,events!Q:Q,"=Timeout",events!AK:AK,"&lt;="&amp;shifts!AG88,events!AL:AL,"&gt;"&amp;shifts!AH88,events!E:E,"="&amp;shifts!B89)</f>
        <v>0</v>
      </c>
      <c r="X88" s="8" t="str">
        <f t="shared" si="47"/>
        <v/>
      </c>
      <c r="Y88">
        <v>1</v>
      </c>
      <c r="Z88" t="str">
        <f t="shared" si="48"/>
        <v/>
      </c>
      <c r="AB88">
        <f t="shared" si="49"/>
        <v>1</v>
      </c>
      <c r="AD88">
        <f>events!AG88</f>
        <v>18981</v>
      </c>
      <c r="AE88" t="str">
        <f>events!AH88</f>
        <v>Nelson</v>
      </c>
      <c r="AF88" t="str">
        <f>events!AI88</f>
        <v>Velodrome</v>
      </c>
      <c r="AG88" s="5">
        <f t="shared" si="32"/>
        <v>637</v>
      </c>
      <c r="AH88" s="5">
        <f t="shared" si="33"/>
        <v>632</v>
      </c>
      <c r="AI88" s="16">
        <f t="shared" si="38"/>
        <v>5</v>
      </c>
      <c r="AJ88">
        <f t="shared" si="34"/>
        <v>5</v>
      </c>
      <c r="AK88">
        <f t="shared" si="35"/>
        <v>5</v>
      </c>
      <c r="AL88">
        <f t="shared" si="36"/>
        <v>0</v>
      </c>
      <c r="AM88">
        <f t="shared" si="37"/>
        <v>0</v>
      </c>
      <c r="AN88">
        <f t="shared" si="31"/>
        <v>0</v>
      </c>
      <c r="AO88">
        <f t="shared" si="39"/>
        <v>0</v>
      </c>
      <c r="AP88">
        <f t="shared" si="40"/>
        <v>0</v>
      </c>
      <c r="AQ88">
        <f t="shared" si="41"/>
        <v>0</v>
      </c>
      <c r="AY88" s="5"/>
    </row>
    <row r="89" spans="1:51" x14ac:dyDescent="0.2">
      <c r="A89">
        <f t="shared" si="50"/>
        <v>88</v>
      </c>
      <c r="B89" s="8">
        <f t="shared" si="42"/>
        <v>3</v>
      </c>
      <c r="C89">
        <f t="shared" si="43"/>
        <v>10</v>
      </c>
      <c r="D89" s="5" t="str">
        <f t="shared" si="44"/>
        <v>32</v>
      </c>
      <c r="E89">
        <v>10</v>
      </c>
      <c r="F89" s="5" t="s">
        <v>497</v>
      </c>
      <c r="H89" s="6" t="s">
        <v>396</v>
      </c>
      <c r="I89">
        <v>10</v>
      </c>
      <c r="J89">
        <v>3</v>
      </c>
      <c r="K89">
        <v>44</v>
      </c>
      <c r="L89">
        <v>80</v>
      </c>
      <c r="M89">
        <v>8</v>
      </c>
      <c r="O89" s="6">
        <f t="shared" si="45"/>
        <v>31</v>
      </c>
      <c r="P89" s="8">
        <v>49</v>
      </c>
      <c r="Q89">
        <v>14</v>
      </c>
      <c r="R89">
        <v>61</v>
      </c>
      <c r="S89">
        <v>93</v>
      </c>
      <c r="T89">
        <v>52</v>
      </c>
      <c r="V89">
        <f t="shared" si="46"/>
        <v>39</v>
      </c>
      <c r="W89" s="8">
        <f>SUMIFS(events!AJ:AJ,events!Q:Q,"=DeadIce",events!AK:AK,"&lt;="&amp;shifts!AG89,events!AL:AL,"&gt;"&amp;shifts!AH89,events!E:E,"="&amp;shifts!B90)+SUMIFS(events!AJ:AJ,events!Q:Q,"=Timeout",events!AK:AK,"&lt;="&amp;shifts!AG89,events!AL:AL,"&gt;"&amp;shifts!AH89,events!E:E,"="&amp;shifts!B90)</f>
        <v>0</v>
      </c>
      <c r="X89" s="8">
        <f t="shared" si="47"/>
        <v>1</v>
      </c>
      <c r="Y89">
        <v>1</v>
      </c>
      <c r="Z89" t="str">
        <f t="shared" si="48"/>
        <v/>
      </c>
      <c r="AB89" t="str">
        <f t="shared" si="49"/>
        <v/>
      </c>
      <c r="AD89">
        <f>events!AG89</f>
        <v>18981</v>
      </c>
      <c r="AE89" t="str">
        <f>events!AH89</f>
        <v>Nelson</v>
      </c>
      <c r="AF89" t="str">
        <f>events!AI89</f>
        <v>Velodrome</v>
      </c>
      <c r="AG89" s="5">
        <f t="shared" si="32"/>
        <v>632</v>
      </c>
      <c r="AH89" s="5">
        <f t="shared" si="33"/>
        <v>625</v>
      </c>
      <c r="AI89" s="16">
        <f t="shared" si="38"/>
        <v>7</v>
      </c>
      <c r="AJ89">
        <f t="shared" si="34"/>
        <v>5</v>
      </c>
      <c r="AK89">
        <f t="shared" si="35"/>
        <v>5</v>
      </c>
      <c r="AL89">
        <f t="shared" si="36"/>
        <v>0</v>
      </c>
      <c r="AM89">
        <f t="shared" si="37"/>
        <v>0</v>
      </c>
      <c r="AN89">
        <f t="shared" si="31"/>
        <v>0</v>
      </c>
      <c r="AO89">
        <f t="shared" si="39"/>
        <v>0</v>
      </c>
      <c r="AP89">
        <f t="shared" si="40"/>
        <v>0</v>
      </c>
      <c r="AQ89">
        <f t="shared" si="41"/>
        <v>0</v>
      </c>
      <c r="AY89" s="5"/>
    </row>
    <row r="90" spans="1:51" x14ac:dyDescent="0.2">
      <c r="A90">
        <f t="shared" si="50"/>
        <v>89</v>
      </c>
      <c r="B90" s="8">
        <f t="shared" si="42"/>
        <v>3</v>
      </c>
      <c r="C90">
        <f t="shared" si="43"/>
        <v>10</v>
      </c>
      <c r="D90" s="5" t="str">
        <f t="shared" si="44"/>
        <v>25</v>
      </c>
      <c r="E90">
        <v>8</v>
      </c>
      <c r="F90" s="5" t="s">
        <v>502</v>
      </c>
      <c r="G90" s="8" t="s">
        <v>343</v>
      </c>
      <c r="I90">
        <v>10</v>
      </c>
      <c r="J90">
        <v>7</v>
      </c>
      <c r="K90">
        <v>44</v>
      </c>
      <c r="L90">
        <v>37</v>
      </c>
      <c r="M90">
        <v>23</v>
      </c>
      <c r="O90" s="6">
        <f t="shared" si="45"/>
        <v>31</v>
      </c>
      <c r="P90" s="8">
        <v>70</v>
      </c>
      <c r="Q90">
        <v>87</v>
      </c>
      <c r="R90">
        <v>75</v>
      </c>
      <c r="S90">
        <v>22</v>
      </c>
      <c r="T90">
        <v>52</v>
      </c>
      <c r="V90">
        <f t="shared" si="46"/>
        <v>39</v>
      </c>
      <c r="W90" s="8">
        <f>SUMIFS(events!AJ:AJ,events!Q:Q,"=DeadIce",events!AK:AK,"&lt;="&amp;shifts!AG90,events!AL:AL,"&gt;"&amp;shifts!AH90,events!E:E,"="&amp;shifts!B91)+SUMIFS(events!AJ:AJ,events!Q:Q,"=Timeout",events!AK:AK,"&lt;="&amp;shifts!AG90,events!AL:AL,"&gt;"&amp;shifts!AH90,events!E:E,"="&amp;shifts!B91)</f>
        <v>0</v>
      </c>
      <c r="X90" s="8">
        <f t="shared" si="47"/>
        <v>1</v>
      </c>
      <c r="Z90" t="str">
        <f t="shared" si="48"/>
        <v/>
      </c>
      <c r="AB90" t="str">
        <f t="shared" si="49"/>
        <v/>
      </c>
      <c r="AC90">
        <v>1</v>
      </c>
      <c r="AD90">
        <f>events!AG90</f>
        <v>18981</v>
      </c>
      <c r="AE90" t="str">
        <f>events!AH90</f>
        <v>Nelson</v>
      </c>
      <c r="AF90" t="str">
        <f>events!AI90</f>
        <v>Velodrome</v>
      </c>
      <c r="AG90" s="5">
        <f t="shared" si="32"/>
        <v>625</v>
      </c>
      <c r="AH90" s="5">
        <f t="shared" si="33"/>
        <v>510</v>
      </c>
      <c r="AI90" s="16">
        <f t="shared" si="38"/>
        <v>115</v>
      </c>
      <c r="AJ90">
        <f t="shared" si="34"/>
        <v>5</v>
      </c>
      <c r="AK90">
        <f t="shared" si="35"/>
        <v>5</v>
      </c>
      <c r="AL90">
        <f t="shared" si="36"/>
        <v>0</v>
      </c>
      <c r="AM90">
        <f t="shared" si="37"/>
        <v>0</v>
      </c>
      <c r="AN90">
        <f t="shared" si="31"/>
        <v>0</v>
      </c>
      <c r="AO90">
        <f t="shared" si="39"/>
        <v>0</v>
      </c>
      <c r="AP90">
        <f t="shared" si="40"/>
        <v>0</v>
      </c>
      <c r="AQ90">
        <f t="shared" si="41"/>
        <v>0</v>
      </c>
      <c r="AY90" s="5"/>
    </row>
    <row r="91" spans="1:51" x14ac:dyDescent="0.2">
      <c r="A91">
        <f t="shared" si="50"/>
        <v>90</v>
      </c>
      <c r="B91" s="8">
        <f t="shared" si="42"/>
        <v>3</v>
      </c>
      <c r="C91">
        <f t="shared" si="43"/>
        <v>8</v>
      </c>
      <c r="D91" s="5" t="str">
        <f t="shared" si="44"/>
        <v>30</v>
      </c>
      <c r="E91">
        <v>8</v>
      </c>
      <c r="F91" s="5" t="s">
        <v>487</v>
      </c>
      <c r="I91">
        <v>10</v>
      </c>
      <c r="J91">
        <v>15</v>
      </c>
      <c r="K91">
        <v>44</v>
      </c>
      <c r="L91">
        <v>37</v>
      </c>
      <c r="M91">
        <v>23</v>
      </c>
      <c r="N91">
        <v>40.200000000000003</v>
      </c>
      <c r="O91" s="6">
        <f t="shared" si="45"/>
        <v>31</v>
      </c>
      <c r="P91" s="8">
        <v>70</v>
      </c>
      <c r="Q91">
        <v>87</v>
      </c>
      <c r="R91">
        <v>75</v>
      </c>
      <c r="S91">
        <v>22</v>
      </c>
      <c r="T91">
        <v>52</v>
      </c>
      <c r="V91">
        <f t="shared" si="46"/>
        <v>39</v>
      </c>
      <c r="W91" s="8">
        <f>SUMIFS(events!AJ:AJ,events!Q:Q,"=DeadIce",events!AK:AK,"&lt;="&amp;shifts!AG91,events!AL:AL,"&gt;"&amp;shifts!AH91,events!E:E,"="&amp;shifts!B92)+SUMIFS(events!AJ:AJ,events!Q:Q,"=Timeout",events!AK:AK,"&lt;="&amp;shifts!AG91,events!AL:AL,"&gt;"&amp;shifts!AH91,events!E:E,"="&amp;shifts!B92)</f>
        <v>0</v>
      </c>
      <c r="X91" s="8" t="str">
        <f t="shared" si="47"/>
        <v/>
      </c>
      <c r="Y91">
        <v>1</v>
      </c>
      <c r="Z91" t="str">
        <f t="shared" si="48"/>
        <v/>
      </c>
      <c r="AB91">
        <f t="shared" si="49"/>
        <v>1</v>
      </c>
      <c r="AD91">
        <f>events!AG91</f>
        <v>18981</v>
      </c>
      <c r="AE91" t="str">
        <f>events!AH91</f>
        <v>Nelson</v>
      </c>
      <c r="AF91" t="str">
        <f>events!AI91</f>
        <v>Velodrome</v>
      </c>
      <c r="AG91" s="5">
        <f t="shared" si="32"/>
        <v>510</v>
      </c>
      <c r="AH91" s="5">
        <f t="shared" si="33"/>
        <v>492</v>
      </c>
      <c r="AI91" s="16">
        <f t="shared" si="38"/>
        <v>18</v>
      </c>
      <c r="AJ91">
        <f>COUNTIF(I91:N91,"&gt;0")</f>
        <v>6</v>
      </c>
      <c r="AK91">
        <f t="shared" si="35"/>
        <v>5</v>
      </c>
      <c r="AL91">
        <f t="shared" si="36"/>
        <v>0</v>
      </c>
      <c r="AM91">
        <f t="shared" si="37"/>
        <v>0</v>
      </c>
      <c r="AN91">
        <f t="shared" si="31"/>
        <v>0</v>
      </c>
      <c r="AO91">
        <f t="shared" si="39"/>
        <v>1</v>
      </c>
      <c r="AP91">
        <f t="shared" si="40"/>
        <v>0</v>
      </c>
      <c r="AQ91">
        <f t="shared" si="41"/>
        <v>1</v>
      </c>
      <c r="AY91" s="5"/>
    </row>
    <row r="92" spans="1:51" x14ac:dyDescent="0.2">
      <c r="A92">
        <f t="shared" si="50"/>
        <v>91</v>
      </c>
      <c r="B92" s="8">
        <f t="shared" si="42"/>
        <v>3</v>
      </c>
      <c r="C92">
        <f t="shared" si="43"/>
        <v>8</v>
      </c>
      <c r="D92" s="5" t="str">
        <f t="shared" si="44"/>
        <v>12</v>
      </c>
      <c r="E92">
        <v>7</v>
      </c>
      <c r="F92" s="5" t="s">
        <v>525</v>
      </c>
      <c r="H92" s="6" t="s">
        <v>396</v>
      </c>
      <c r="I92">
        <v>10</v>
      </c>
      <c r="J92">
        <v>15</v>
      </c>
      <c r="K92">
        <v>44</v>
      </c>
      <c r="L92">
        <v>37</v>
      </c>
      <c r="M92">
        <v>23</v>
      </c>
      <c r="O92" s="6">
        <f t="shared" si="45"/>
        <v>31</v>
      </c>
      <c r="P92" s="8">
        <v>70</v>
      </c>
      <c r="Q92">
        <v>87</v>
      </c>
      <c r="R92">
        <v>75</v>
      </c>
      <c r="S92">
        <v>22</v>
      </c>
      <c r="T92">
        <v>9</v>
      </c>
      <c r="V92">
        <f t="shared" si="46"/>
        <v>39</v>
      </c>
      <c r="W92" s="8">
        <f>SUMIFS(events!AJ:AJ,events!Q:Q,"=DeadIce",events!AK:AK,"&lt;="&amp;shifts!AG92,events!AL:AL,"&gt;"&amp;shifts!AH92,events!E:E,"="&amp;shifts!B93)+SUMIFS(events!AJ:AJ,events!Q:Q,"=Timeout",events!AK:AK,"&lt;="&amp;shifts!AG92,events!AL:AL,"&gt;"&amp;shifts!AH92,events!E:E,"="&amp;shifts!B93)</f>
        <v>0</v>
      </c>
      <c r="X92" s="8">
        <f t="shared" si="47"/>
        <v>1</v>
      </c>
      <c r="Y92">
        <v>1</v>
      </c>
      <c r="Z92" t="str">
        <f t="shared" si="48"/>
        <v/>
      </c>
      <c r="AB92" t="str">
        <f t="shared" si="49"/>
        <v/>
      </c>
      <c r="AD92">
        <f>events!AG92</f>
        <v>18981</v>
      </c>
      <c r="AE92" t="str">
        <f>events!AH92</f>
        <v>Nelson</v>
      </c>
      <c r="AF92" t="str">
        <f>events!AI92</f>
        <v>Velodrome</v>
      </c>
      <c r="AG92" s="5">
        <f t="shared" si="32"/>
        <v>492</v>
      </c>
      <c r="AH92" s="5">
        <f t="shared" si="33"/>
        <v>473</v>
      </c>
      <c r="AI92" s="16">
        <f t="shared" si="38"/>
        <v>19</v>
      </c>
      <c r="AJ92">
        <f>COUNTIF(I92:N92,"&gt;0")</f>
        <v>5</v>
      </c>
      <c r="AK92">
        <f t="shared" si="35"/>
        <v>5</v>
      </c>
      <c r="AL92">
        <f t="shared" si="36"/>
        <v>0</v>
      </c>
      <c r="AM92">
        <f t="shared" si="37"/>
        <v>0</v>
      </c>
      <c r="AN92">
        <f t="shared" si="31"/>
        <v>0</v>
      </c>
      <c r="AO92">
        <f t="shared" si="39"/>
        <v>0</v>
      </c>
      <c r="AP92">
        <f t="shared" si="40"/>
        <v>0</v>
      </c>
      <c r="AQ92">
        <f t="shared" si="41"/>
        <v>0</v>
      </c>
      <c r="AY92" s="5"/>
    </row>
    <row r="93" spans="1:51" x14ac:dyDescent="0.2">
      <c r="A93">
        <f t="shared" si="50"/>
        <v>92</v>
      </c>
      <c r="B93" s="8">
        <f t="shared" si="42"/>
        <v>3</v>
      </c>
      <c r="C93">
        <f t="shared" si="43"/>
        <v>7</v>
      </c>
      <c r="D93" s="5" t="str">
        <f t="shared" si="44"/>
        <v>53</v>
      </c>
      <c r="E93">
        <v>7</v>
      </c>
      <c r="F93" s="5" t="s">
        <v>483</v>
      </c>
      <c r="G93" s="8" t="s">
        <v>343</v>
      </c>
      <c r="I93">
        <v>79</v>
      </c>
      <c r="J93">
        <v>15</v>
      </c>
      <c r="K93">
        <v>16</v>
      </c>
      <c r="L93">
        <v>80</v>
      </c>
      <c r="M93">
        <v>8</v>
      </c>
      <c r="O93" s="6">
        <f t="shared" si="45"/>
        <v>31</v>
      </c>
      <c r="P93" s="8">
        <v>70</v>
      </c>
      <c r="Q93">
        <v>91</v>
      </c>
      <c r="R93">
        <v>24</v>
      </c>
      <c r="S93">
        <v>84</v>
      </c>
      <c r="T93">
        <v>9</v>
      </c>
      <c r="V93">
        <f t="shared" si="46"/>
        <v>39</v>
      </c>
      <c r="W93" s="8">
        <f>SUMIFS(events!AJ:AJ,events!Q:Q,"=DeadIce",events!AK:AK,"&lt;="&amp;shifts!AG93,events!AL:AL,"&gt;"&amp;shifts!AH93,events!E:E,"="&amp;shifts!B94)+SUMIFS(events!AJ:AJ,events!Q:Q,"=Timeout",events!AK:AK,"&lt;="&amp;shifts!AG93,events!AL:AL,"&gt;"&amp;shifts!AH93,events!E:E,"="&amp;shifts!B94)</f>
        <v>0</v>
      </c>
      <c r="X93" s="8">
        <f t="shared" si="47"/>
        <v>1</v>
      </c>
      <c r="Y93">
        <v>1</v>
      </c>
      <c r="Z93" t="str">
        <f t="shared" si="48"/>
        <v/>
      </c>
      <c r="AB93" t="str">
        <f t="shared" si="49"/>
        <v/>
      </c>
      <c r="AD93">
        <f>events!AG93</f>
        <v>18981</v>
      </c>
      <c r="AE93" t="str">
        <f>events!AH93</f>
        <v>Nelson</v>
      </c>
      <c r="AF93" t="str">
        <f>events!AI93</f>
        <v>Velodrome</v>
      </c>
      <c r="AG93" s="5">
        <f t="shared" si="32"/>
        <v>473</v>
      </c>
      <c r="AH93" s="5">
        <f t="shared" si="33"/>
        <v>428</v>
      </c>
      <c r="AI93" s="16">
        <f t="shared" si="38"/>
        <v>45</v>
      </c>
      <c r="AJ93">
        <f t="shared" si="34"/>
        <v>5</v>
      </c>
      <c r="AK93">
        <f t="shared" si="35"/>
        <v>5</v>
      </c>
      <c r="AL93">
        <f t="shared" si="36"/>
        <v>0</v>
      </c>
      <c r="AM93">
        <f t="shared" si="37"/>
        <v>0</v>
      </c>
      <c r="AN93">
        <f t="shared" si="31"/>
        <v>0</v>
      </c>
      <c r="AO93">
        <f t="shared" si="39"/>
        <v>0</v>
      </c>
      <c r="AP93">
        <f t="shared" si="40"/>
        <v>0</v>
      </c>
      <c r="AQ93">
        <f t="shared" si="41"/>
        <v>0</v>
      </c>
      <c r="AY93" s="5"/>
    </row>
    <row r="94" spans="1:51" x14ac:dyDescent="0.2">
      <c r="A94">
        <f t="shared" si="50"/>
        <v>93</v>
      </c>
      <c r="B94" s="8">
        <f t="shared" si="42"/>
        <v>3</v>
      </c>
      <c r="C94">
        <f t="shared" si="43"/>
        <v>7</v>
      </c>
      <c r="D94" s="5" t="str">
        <f t="shared" si="44"/>
        <v>08</v>
      </c>
      <c r="E94">
        <v>6</v>
      </c>
      <c r="F94" s="5" t="s">
        <v>517</v>
      </c>
      <c r="I94">
        <v>79</v>
      </c>
      <c r="J94">
        <v>15</v>
      </c>
      <c r="K94">
        <v>16</v>
      </c>
      <c r="L94">
        <v>80</v>
      </c>
      <c r="M94">
        <v>8</v>
      </c>
      <c r="O94" s="6">
        <f t="shared" si="45"/>
        <v>31</v>
      </c>
      <c r="P94" s="8">
        <v>42</v>
      </c>
      <c r="Q94">
        <v>91</v>
      </c>
      <c r="R94">
        <v>24</v>
      </c>
      <c r="S94">
        <v>84</v>
      </c>
      <c r="T94">
        <v>9</v>
      </c>
      <c r="V94">
        <f t="shared" si="46"/>
        <v>39</v>
      </c>
      <c r="W94" s="8">
        <f>SUMIFS(events!AJ:AJ,events!Q:Q,"=DeadIce",events!AK:AK,"&lt;="&amp;shifts!AG94,events!AL:AL,"&gt;"&amp;shifts!AH94,events!E:E,"="&amp;shifts!B95)+SUMIFS(events!AJ:AJ,events!Q:Q,"=Timeout",events!AK:AK,"&lt;="&amp;shifts!AG94,events!AL:AL,"&gt;"&amp;shifts!AH94,events!E:E,"="&amp;shifts!B95)</f>
        <v>0</v>
      </c>
      <c r="X94" s="8">
        <f t="shared" si="47"/>
        <v>1</v>
      </c>
      <c r="Z94" t="str">
        <f t="shared" si="48"/>
        <v/>
      </c>
      <c r="AA94">
        <v>1</v>
      </c>
      <c r="AB94" t="str">
        <f t="shared" si="49"/>
        <v/>
      </c>
      <c r="AD94">
        <f>events!AG94</f>
        <v>18981</v>
      </c>
      <c r="AE94" t="str">
        <f>events!AH94</f>
        <v>Nelson</v>
      </c>
      <c r="AF94" t="str">
        <f>events!AI94</f>
        <v>Velodrome</v>
      </c>
      <c r="AG94" s="5">
        <f t="shared" si="32"/>
        <v>428</v>
      </c>
      <c r="AH94" s="5">
        <f t="shared" si="33"/>
        <v>405</v>
      </c>
      <c r="AI94" s="16">
        <f t="shared" si="38"/>
        <v>23</v>
      </c>
      <c r="AJ94">
        <f t="shared" si="34"/>
        <v>5</v>
      </c>
      <c r="AK94">
        <f t="shared" si="35"/>
        <v>5</v>
      </c>
      <c r="AL94">
        <f t="shared" si="36"/>
        <v>0</v>
      </c>
      <c r="AM94">
        <f t="shared" si="37"/>
        <v>0</v>
      </c>
      <c r="AN94">
        <f t="shared" si="31"/>
        <v>0</v>
      </c>
      <c r="AO94">
        <f t="shared" si="39"/>
        <v>0</v>
      </c>
      <c r="AP94">
        <f t="shared" si="40"/>
        <v>0</v>
      </c>
      <c r="AQ94">
        <f t="shared" si="41"/>
        <v>0</v>
      </c>
      <c r="AY94" s="5"/>
    </row>
    <row r="95" spans="1:51" x14ac:dyDescent="0.2">
      <c r="A95">
        <f t="shared" si="50"/>
        <v>94</v>
      </c>
      <c r="B95" s="8">
        <f t="shared" si="42"/>
        <v>3</v>
      </c>
      <c r="C95">
        <f t="shared" si="43"/>
        <v>6</v>
      </c>
      <c r="D95" s="5" t="str">
        <f t="shared" si="44"/>
        <v>45</v>
      </c>
      <c r="E95">
        <v>6</v>
      </c>
      <c r="F95" s="5" t="s">
        <v>508</v>
      </c>
      <c r="I95">
        <v>79</v>
      </c>
      <c r="J95">
        <v>3</v>
      </c>
      <c r="K95">
        <v>16</v>
      </c>
      <c r="L95">
        <v>80</v>
      </c>
      <c r="M95">
        <v>8</v>
      </c>
      <c r="O95" s="6">
        <f t="shared" si="45"/>
        <v>31</v>
      </c>
      <c r="P95" s="8">
        <v>42</v>
      </c>
      <c r="Q95">
        <v>91</v>
      </c>
      <c r="R95">
        <v>24</v>
      </c>
      <c r="S95">
        <v>84</v>
      </c>
      <c r="T95">
        <v>9</v>
      </c>
      <c r="V95">
        <f t="shared" si="46"/>
        <v>39</v>
      </c>
      <c r="W95" s="8">
        <f>SUMIFS(events!AJ:AJ,events!Q:Q,"=DeadIce",events!AK:AK,"&lt;="&amp;shifts!AG95,events!AL:AL,"&gt;"&amp;shifts!AH95,events!E:E,"="&amp;shifts!B96)+SUMIFS(events!AJ:AJ,events!Q:Q,"=Timeout",events!AK:AK,"&lt;="&amp;shifts!AG95,events!AL:AL,"&gt;"&amp;shifts!AH95,events!E:E,"="&amp;shifts!B96)</f>
        <v>0</v>
      </c>
      <c r="X95" s="8" t="str">
        <f t="shared" si="47"/>
        <v/>
      </c>
      <c r="Y95">
        <v>1</v>
      </c>
      <c r="Z95">
        <f t="shared" si="48"/>
        <v>1</v>
      </c>
      <c r="AB95" t="str">
        <f t="shared" si="49"/>
        <v/>
      </c>
      <c r="AD95">
        <f>events!AG95</f>
        <v>18981</v>
      </c>
      <c r="AE95" t="str">
        <f>events!AH95</f>
        <v>Nelson</v>
      </c>
      <c r="AF95" t="str">
        <f>events!AI95</f>
        <v>Velodrome</v>
      </c>
      <c r="AG95" s="5">
        <f t="shared" si="32"/>
        <v>405</v>
      </c>
      <c r="AH95" s="5">
        <f t="shared" si="33"/>
        <v>396</v>
      </c>
      <c r="AI95" s="16">
        <f t="shared" si="38"/>
        <v>9</v>
      </c>
      <c r="AJ95">
        <f t="shared" si="34"/>
        <v>5</v>
      </c>
      <c r="AK95">
        <f t="shared" si="35"/>
        <v>5</v>
      </c>
      <c r="AL95">
        <f t="shared" si="36"/>
        <v>0</v>
      </c>
      <c r="AM95">
        <f t="shared" si="37"/>
        <v>0</v>
      </c>
      <c r="AN95">
        <f t="shared" si="31"/>
        <v>0</v>
      </c>
      <c r="AO95">
        <f t="shared" si="39"/>
        <v>0</v>
      </c>
      <c r="AP95">
        <f t="shared" si="40"/>
        <v>0</v>
      </c>
      <c r="AQ95">
        <f t="shared" si="41"/>
        <v>0</v>
      </c>
      <c r="AY95" s="5"/>
    </row>
    <row r="96" spans="1:51" x14ac:dyDescent="0.2">
      <c r="A96">
        <f t="shared" si="50"/>
        <v>95</v>
      </c>
      <c r="B96" s="8">
        <f t="shared" si="42"/>
        <v>3</v>
      </c>
      <c r="C96">
        <f t="shared" si="43"/>
        <v>6</v>
      </c>
      <c r="D96" s="5" t="str">
        <f t="shared" si="44"/>
        <v>36</v>
      </c>
      <c r="E96">
        <v>6</v>
      </c>
      <c r="F96" s="5" t="s">
        <v>490</v>
      </c>
      <c r="I96">
        <v>79</v>
      </c>
      <c r="J96">
        <v>3</v>
      </c>
      <c r="K96">
        <v>16</v>
      </c>
      <c r="L96">
        <v>80</v>
      </c>
      <c r="M96">
        <v>8</v>
      </c>
      <c r="O96" s="6">
        <f t="shared" si="45"/>
        <v>31</v>
      </c>
      <c r="P96" s="8">
        <v>42</v>
      </c>
      <c r="Q96">
        <v>91</v>
      </c>
      <c r="R96">
        <v>24</v>
      </c>
      <c r="S96">
        <v>84</v>
      </c>
      <c r="T96">
        <v>93</v>
      </c>
      <c r="V96">
        <f t="shared" si="46"/>
        <v>39</v>
      </c>
      <c r="W96" s="8">
        <f>SUMIFS(events!AJ:AJ,events!Q:Q,"=DeadIce",events!AK:AK,"&lt;="&amp;shifts!AG96,events!AL:AL,"&gt;"&amp;shifts!AH96,events!E:E,"="&amp;shifts!B97)+SUMIFS(events!AJ:AJ,events!Q:Q,"=Timeout",events!AK:AK,"&lt;="&amp;shifts!AG96,events!AL:AL,"&gt;"&amp;shifts!AH96,events!E:E,"="&amp;shifts!B97)</f>
        <v>0</v>
      </c>
      <c r="X96" s="8">
        <f t="shared" si="47"/>
        <v>1</v>
      </c>
      <c r="Y96">
        <v>1</v>
      </c>
      <c r="Z96" t="str">
        <f t="shared" si="48"/>
        <v/>
      </c>
      <c r="AB96" t="str">
        <f t="shared" si="49"/>
        <v/>
      </c>
      <c r="AD96">
        <f>events!AG96</f>
        <v>18981</v>
      </c>
      <c r="AE96" t="str">
        <f>events!AH96</f>
        <v>Nelson</v>
      </c>
      <c r="AF96" t="str">
        <f>events!AI96</f>
        <v>Velodrome</v>
      </c>
      <c r="AG96" s="5">
        <f t="shared" si="32"/>
        <v>396</v>
      </c>
      <c r="AH96" s="5">
        <f t="shared" si="33"/>
        <v>378</v>
      </c>
      <c r="AI96" s="16">
        <f t="shared" si="38"/>
        <v>18</v>
      </c>
      <c r="AJ96">
        <f t="shared" si="34"/>
        <v>5</v>
      </c>
      <c r="AK96">
        <f t="shared" si="35"/>
        <v>5</v>
      </c>
      <c r="AL96">
        <f t="shared" si="36"/>
        <v>0</v>
      </c>
      <c r="AM96">
        <f t="shared" si="37"/>
        <v>0</v>
      </c>
      <c r="AN96">
        <f t="shared" si="31"/>
        <v>0</v>
      </c>
      <c r="AO96">
        <f t="shared" si="39"/>
        <v>0</v>
      </c>
      <c r="AP96">
        <f t="shared" si="40"/>
        <v>0</v>
      </c>
      <c r="AQ96">
        <f t="shared" si="41"/>
        <v>0</v>
      </c>
      <c r="AY96" s="5"/>
    </row>
    <row r="97" spans="1:51" x14ac:dyDescent="0.2">
      <c r="A97">
        <f t="shared" si="50"/>
        <v>96</v>
      </c>
      <c r="B97" s="8">
        <f t="shared" si="42"/>
        <v>3</v>
      </c>
      <c r="C97">
        <f t="shared" si="43"/>
        <v>6</v>
      </c>
      <c r="D97" s="5" t="str">
        <f t="shared" si="44"/>
        <v>18</v>
      </c>
      <c r="E97">
        <v>6</v>
      </c>
      <c r="F97" s="5" t="s">
        <v>485</v>
      </c>
      <c r="I97">
        <v>79</v>
      </c>
      <c r="J97">
        <v>3</v>
      </c>
      <c r="K97">
        <v>16</v>
      </c>
      <c r="L97">
        <v>80</v>
      </c>
      <c r="M97">
        <v>8</v>
      </c>
      <c r="O97" s="6">
        <f t="shared" si="45"/>
        <v>31</v>
      </c>
      <c r="P97" s="8">
        <v>42</v>
      </c>
      <c r="Q97">
        <v>14</v>
      </c>
      <c r="R97">
        <v>24</v>
      </c>
      <c r="S97">
        <v>52</v>
      </c>
      <c r="T97">
        <v>93</v>
      </c>
      <c r="V97">
        <f t="shared" si="46"/>
        <v>39</v>
      </c>
      <c r="W97" s="8">
        <f>SUMIFS(events!AJ:AJ,events!Q:Q,"=DeadIce",events!AK:AK,"&lt;="&amp;shifts!AG97,events!AL:AL,"&gt;"&amp;shifts!AH97,events!E:E,"="&amp;shifts!B98)+SUMIFS(events!AJ:AJ,events!Q:Q,"=Timeout",events!AK:AK,"&lt;="&amp;shifts!AG97,events!AL:AL,"&gt;"&amp;shifts!AH97,events!E:E,"="&amp;shifts!B98)</f>
        <v>0</v>
      </c>
      <c r="X97" s="8">
        <f t="shared" si="47"/>
        <v>1</v>
      </c>
      <c r="Y97">
        <v>1</v>
      </c>
      <c r="Z97" t="str">
        <f t="shared" si="48"/>
        <v/>
      </c>
      <c r="AB97" t="str">
        <f t="shared" si="49"/>
        <v/>
      </c>
      <c r="AD97">
        <f>events!AG97</f>
        <v>18981</v>
      </c>
      <c r="AE97" t="str">
        <f>events!AH97</f>
        <v>Nelson</v>
      </c>
      <c r="AF97" t="str">
        <f>events!AI97</f>
        <v>Velodrome</v>
      </c>
      <c r="AG97" s="5">
        <f t="shared" si="32"/>
        <v>378</v>
      </c>
      <c r="AH97" s="5">
        <f t="shared" si="33"/>
        <v>370</v>
      </c>
      <c r="AI97" s="16">
        <f t="shared" si="38"/>
        <v>8</v>
      </c>
      <c r="AJ97">
        <f t="shared" si="34"/>
        <v>5</v>
      </c>
      <c r="AK97">
        <f t="shared" si="35"/>
        <v>5</v>
      </c>
      <c r="AL97">
        <f t="shared" si="36"/>
        <v>0</v>
      </c>
      <c r="AM97">
        <f t="shared" si="37"/>
        <v>0</v>
      </c>
      <c r="AN97">
        <f t="shared" si="31"/>
        <v>0</v>
      </c>
      <c r="AO97">
        <f t="shared" si="39"/>
        <v>0</v>
      </c>
      <c r="AP97">
        <f t="shared" si="40"/>
        <v>0</v>
      </c>
      <c r="AQ97">
        <f t="shared" si="41"/>
        <v>0</v>
      </c>
      <c r="AY97" s="5"/>
    </row>
    <row r="98" spans="1:51" x14ac:dyDescent="0.2">
      <c r="A98">
        <f t="shared" si="50"/>
        <v>97</v>
      </c>
      <c r="B98" s="8">
        <f t="shared" si="42"/>
        <v>3</v>
      </c>
      <c r="C98">
        <f t="shared" si="43"/>
        <v>6</v>
      </c>
      <c r="D98" s="5" t="str">
        <f t="shared" si="44"/>
        <v>10</v>
      </c>
      <c r="E98">
        <v>5</v>
      </c>
      <c r="F98" s="5" t="s">
        <v>479</v>
      </c>
      <c r="H98" s="6" t="s">
        <v>353</v>
      </c>
      <c r="I98">
        <v>10</v>
      </c>
      <c r="J98">
        <v>3</v>
      </c>
      <c r="K98">
        <v>16</v>
      </c>
      <c r="L98">
        <v>80</v>
      </c>
      <c r="M98">
        <v>8</v>
      </c>
      <c r="O98" s="6">
        <f t="shared" si="45"/>
        <v>31</v>
      </c>
      <c r="P98" s="8">
        <v>42</v>
      </c>
      <c r="Q98">
        <v>14</v>
      </c>
      <c r="R98">
        <v>24</v>
      </c>
      <c r="S98">
        <v>52</v>
      </c>
      <c r="T98">
        <v>93</v>
      </c>
      <c r="V98">
        <f t="shared" si="46"/>
        <v>39</v>
      </c>
      <c r="W98" s="8">
        <f>SUMIFS(events!AJ:AJ,events!Q:Q,"=DeadIce",events!AK:AK,"&lt;="&amp;shifts!AG98,events!AL:AL,"&gt;"&amp;shifts!AH98,events!E:E,"="&amp;shifts!B99)+SUMIFS(events!AJ:AJ,events!Q:Q,"=Timeout",events!AK:AK,"&lt;="&amp;shifts!AG98,events!AL:AL,"&gt;"&amp;shifts!AH98,events!E:E,"="&amp;shifts!B99)</f>
        <v>0</v>
      </c>
      <c r="X98" s="8">
        <f t="shared" si="47"/>
        <v>1</v>
      </c>
      <c r="Y98">
        <v>1</v>
      </c>
      <c r="Z98" t="str">
        <f t="shared" si="48"/>
        <v/>
      </c>
      <c r="AB98" t="str">
        <f t="shared" si="49"/>
        <v/>
      </c>
      <c r="AD98">
        <f>events!AG98</f>
        <v>18981</v>
      </c>
      <c r="AE98" t="str">
        <f>events!AH98</f>
        <v>Nelson</v>
      </c>
      <c r="AF98" t="str">
        <f>events!AI98</f>
        <v>Velodrome</v>
      </c>
      <c r="AG98" s="5">
        <f t="shared" ref="AG98:AG129" si="51">((C98*60)+D98)</f>
        <v>370</v>
      </c>
      <c r="AH98" s="5">
        <f t="shared" ref="AH98:AH129" si="52">((E98*60)+F98)</f>
        <v>359</v>
      </c>
      <c r="AI98" s="16">
        <f t="shared" si="38"/>
        <v>11</v>
      </c>
      <c r="AJ98">
        <f t="shared" ref="AJ98:AJ129" si="53">COUNTIF(I98:N98,"&gt;0")</f>
        <v>5</v>
      </c>
      <c r="AK98">
        <f t="shared" ref="AK98:AK129" si="54">COUNTIF(P98:U98,"&gt;0")</f>
        <v>5</v>
      </c>
      <c r="AL98">
        <f t="shared" ref="AL98:AL129" si="55">IF(O98="",1,0)</f>
        <v>0</v>
      </c>
      <c r="AM98">
        <f t="shared" ref="AM98:AM129" si="56">IF(V98="",1,0)</f>
        <v>0</v>
      </c>
      <c r="AN98">
        <f t="shared" si="31"/>
        <v>0</v>
      </c>
      <c r="AO98">
        <f t="shared" si="39"/>
        <v>0</v>
      </c>
      <c r="AP98">
        <f t="shared" si="40"/>
        <v>0</v>
      </c>
      <c r="AQ98">
        <f t="shared" si="41"/>
        <v>0</v>
      </c>
      <c r="AY98" s="5"/>
    </row>
    <row r="99" spans="1:51" x14ac:dyDescent="0.2">
      <c r="A99">
        <f t="shared" si="50"/>
        <v>98</v>
      </c>
      <c r="B99" s="8">
        <f t="shared" si="42"/>
        <v>3</v>
      </c>
      <c r="C99">
        <f t="shared" si="43"/>
        <v>5</v>
      </c>
      <c r="D99" s="5" t="str">
        <f t="shared" si="44"/>
        <v>59</v>
      </c>
      <c r="E99">
        <v>5</v>
      </c>
      <c r="F99" s="5" t="s">
        <v>490</v>
      </c>
      <c r="G99" s="8" t="s">
        <v>343</v>
      </c>
      <c r="H99" s="6" t="s">
        <v>395</v>
      </c>
      <c r="I99">
        <v>10</v>
      </c>
      <c r="J99">
        <v>3</v>
      </c>
      <c r="K99">
        <v>44</v>
      </c>
      <c r="L99">
        <v>37</v>
      </c>
      <c r="M99">
        <v>23</v>
      </c>
      <c r="N99">
        <v>41.4</v>
      </c>
      <c r="O99" s="6">
        <f t="shared" si="45"/>
        <v>31</v>
      </c>
      <c r="P99" s="8">
        <v>42</v>
      </c>
      <c r="Q99">
        <v>14</v>
      </c>
      <c r="R99">
        <v>24</v>
      </c>
      <c r="S99">
        <v>52</v>
      </c>
      <c r="T99">
        <v>93</v>
      </c>
      <c r="V99">
        <f t="shared" si="46"/>
        <v>39</v>
      </c>
      <c r="W99" s="8">
        <f>SUMIFS(events!AJ:AJ,events!Q:Q,"=DeadIce",events!AK:AK,"&lt;="&amp;shifts!AG99,events!AL:AL,"&gt;"&amp;shifts!AH99,events!E:E,"="&amp;shifts!B100)+SUMIFS(events!AJ:AJ,events!Q:Q,"=Timeout",events!AK:AK,"&lt;="&amp;shifts!AG99,events!AL:AL,"&gt;"&amp;shifts!AH99,events!E:E,"="&amp;shifts!B100)</f>
        <v>0</v>
      </c>
      <c r="X99" s="8">
        <f t="shared" si="47"/>
        <v>1</v>
      </c>
      <c r="Z99" t="str">
        <f t="shared" si="48"/>
        <v/>
      </c>
      <c r="AA99">
        <v>1</v>
      </c>
      <c r="AB99" t="str">
        <f t="shared" si="49"/>
        <v/>
      </c>
      <c r="AD99">
        <f>events!AG99</f>
        <v>18981</v>
      </c>
      <c r="AE99" t="str">
        <f>events!AH99</f>
        <v>Nelson</v>
      </c>
      <c r="AF99" t="str">
        <f>events!AI99</f>
        <v>Velodrome</v>
      </c>
      <c r="AG99" s="5">
        <f t="shared" si="51"/>
        <v>359</v>
      </c>
      <c r="AH99" s="5">
        <f t="shared" si="52"/>
        <v>318</v>
      </c>
      <c r="AI99" s="16">
        <f t="shared" si="38"/>
        <v>41</v>
      </c>
      <c r="AJ99">
        <f t="shared" si="53"/>
        <v>6</v>
      </c>
      <c r="AK99">
        <f t="shared" si="54"/>
        <v>5</v>
      </c>
      <c r="AL99">
        <f t="shared" si="55"/>
        <v>0</v>
      </c>
      <c r="AM99">
        <f t="shared" si="56"/>
        <v>0</v>
      </c>
      <c r="AN99">
        <f t="shared" si="31"/>
        <v>0</v>
      </c>
      <c r="AO99">
        <f t="shared" si="39"/>
        <v>1</v>
      </c>
      <c r="AP99">
        <f t="shared" si="40"/>
        <v>0</v>
      </c>
      <c r="AQ99">
        <f t="shared" si="41"/>
        <v>1</v>
      </c>
      <c r="AY99" s="5"/>
    </row>
    <row r="100" spans="1:51" x14ac:dyDescent="0.2">
      <c r="A100">
        <f t="shared" si="50"/>
        <v>99</v>
      </c>
      <c r="B100" s="8">
        <f t="shared" si="42"/>
        <v>3</v>
      </c>
      <c r="C100">
        <f t="shared" si="43"/>
        <v>5</v>
      </c>
      <c r="D100" s="5" t="str">
        <f t="shared" si="44"/>
        <v>18</v>
      </c>
      <c r="E100">
        <v>3</v>
      </c>
      <c r="F100" s="5" t="s">
        <v>517</v>
      </c>
      <c r="G100" s="8" t="s">
        <v>343</v>
      </c>
      <c r="I100">
        <v>10</v>
      </c>
      <c r="J100">
        <v>7</v>
      </c>
      <c r="K100">
        <v>44</v>
      </c>
      <c r="L100">
        <v>37</v>
      </c>
      <c r="M100">
        <v>23</v>
      </c>
      <c r="O100" s="6">
        <f t="shared" si="45"/>
        <v>31</v>
      </c>
      <c r="P100" s="8">
        <v>49</v>
      </c>
      <c r="Q100">
        <v>14</v>
      </c>
      <c r="R100">
        <v>61</v>
      </c>
      <c r="S100">
        <v>52</v>
      </c>
      <c r="T100">
        <v>93</v>
      </c>
      <c r="V100">
        <f t="shared" si="46"/>
        <v>39</v>
      </c>
      <c r="W100" s="8">
        <f>SUMIFS(events!AJ:AJ,events!Q:Q,"=DeadIce",events!AK:AK,"&lt;="&amp;shifts!AG100,events!AL:AL,"&gt;"&amp;shifts!AH100,events!E:E,"="&amp;shifts!B101)+SUMIFS(events!AJ:AJ,events!Q:Q,"=Timeout",events!AK:AK,"&lt;="&amp;shifts!AG100,events!AL:AL,"&gt;"&amp;shifts!AH100,events!E:E,"="&amp;shifts!B101)</f>
        <v>0</v>
      </c>
      <c r="X100" s="8" t="str">
        <f t="shared" si="47"/>
        <v/>
      </c>
      <c r="Y100">
        <v>1</v>
      </c>
      <c r="Z100">
        <f t="shared" si="48"/>
        <v>1</v>
      </c>
      <c r="AB100" t="str">
        <f t="shared" si="49"/>
        <v/>
      </c>
      <c r="AD100">
        <f>events!AG100</f>
        <v>18981</v>
      </c>
      <c r="AE100" t="str">
        <f>events!AH100</f>
        <v>Nelson</v>
      </c>
      <c r="AF100" t="str">
        <f>events!AI100</f>
        <v>Velodrome</v>
      </c>
      <c r="AG100" s="5">
        <f t="shared" si="51"/>
        <v>318</v>
      </c>
      <c r="AH100" s="5">
        <f t="shared" si="52"/>
        <v>225</v>
      </c>
      <c r="AI100" s="16">
        <f t="shared" si="38"/>
        <v>93</v>
      </c>
      <c r="AJ100">
        <f t="shared" si="53"/>
        <v>5</v>
      </c>
      <c r="AK100">
        <f t="shared" si="54"/>
        <v>5</v>
      </c>
      <c r="AL100">
        <f t="shared" si="55"/>
        <v>0</v>
      </c>
      <c r="AM100">
        <f t="shared" si="56"/>
        <v>0</v>
      </c>
      <c r="AN100">
        <f t="shared" si="31"/>
        <v>0</v>
      </c>
      <c r="AO100">
        <f t="shared" si="39"/>
        <v>0</v>
      </c>
      <c r="AP100">
        <f t="shared" si="40"/>
        <v>0</v>
      </c>
      <c r="AQ100">
        <f t="shared" si="41"/>
        <v>0</v>
      </c>
      <c r="AY100" s="5"/>
    </row>
    <row r="101" spans="1:51" x14ac:dyDescent="0.2">
      <c r="A101">
        <f t="shared" si="50"/>
        <v>100</v>
      </c>
      <c r="B101" s="8">
        <f t="shared" si="42"/>
        <v>3</v>
      </c>
      <c r="C101">
        <f t="shared" si="43"/>
        <v>3</v>
      </c>
      <c r="D101" s="5" t="str">
        <f t="shared" si="44"/>
        <v>45</v>
      </c>
      <c r="E101">
        <v>3</v>
      </c>
      <c r="F101" s="5" t="s">
        <v>502</v>
      </c>
      <c r="I101">
        <v>10</v>
      </c>
      <c r="J101">
        <v>15</v>
      </c>
      <c r="K101">
        <v>44</v>
      </c>
      <c r="L101">
        <v>37</v>
      </c>
      <c r="M101">
        <v>23</v>
      </c>
      <c r="O101" s="6">
        <f t="shared" si="45"/>
        <v>31</v>
      </c>
      <c r="P101" s="8">
        <v>49</v>
      </c>
      <c r="Q101">
        <v>14</v>
      </c>
      <c r="R101">
        <v>61</v>
      </c>
      <c r="S101">
        <v>52</v>
      </c>
      <c r="T101">
        <v>22</v>
      </c>
      <c r="V101">
        <f t="shared" si="46"/>
        <v>39</v>
      </c>
      <c r="W101" s="8">
        <f>SUMIFS(events!AJ:AJ,events!Q:Q,"=DeadIce",events!AK:AK,"&lt;="&amp;shifts!AG101,events!AL:AL,"&gt;"&amp;shifts!AH101,events!E:E,"="&amp;shifts!B102)+SUMIFS(events!AJ:AJ,events!Q:Q,"=Timeout",events!AK:AK,"&lt;="&amp;shifts!AG101,events!AL:AL,"&gt;"&amp;shifts!AH101,events!E:E,"="&amp;shifts!B102)</f>
        <v>0</v>
      </c>
      <c r="X101" s="8">
        <f t="shared" si="47"/>
        <v>1</v>
      </c>
      <c r="Y101">
        <v>1</v>
      </c>
      <c r="Z101" t="str">
        <f t="shared" si="48"/>
        <v/>
      </c>
      <c r="AB101" t="str">
        <f t="shared" si="49"/>
        <v/>
      </c>
      <c r="AD101">
        <f>events!AG101</f>
        <v>18981</v>
      </c>
      <c r="AE101" t="str">
        <f>events!AH101</f>
        <v>Nelson</v>
      </c>
      <c r="AF101" t="str">
        <f>events!AI101</f>
        <v>Velodrome</v>
      </c>
      <c r="AG101" s="5">
        <f t="shared" si="51"/>
        <v>225</v>
      </c>
      <c r="AH101" s="5">
        <f t="shared" si="52"/>
        <v>210</v>
      </c>
      <c r="AI101" s="16">
        <f t="shared" si="38"/>
        <v>15</v>
      </c>
      <c r="AJ101">
        <f t="shared" si="53"/>
        <v>5</v>
      </c>
      <c r="AK101">
        <f t="shared" si="54"/>
        <v>5</v>
      </c>
      <c r="AL101">
        <f t="shared" si="55"/>
        <v>0</v>
      </c>
      <c r="AM101">
        <f t="shared" si="56"/>
        <v>0</v>
      </c>
      <c r="AN101">
        <f t="shared" si="31"/>
        <v>0</v>
      </c>
      <c r="AO101">
        <f t="shared" si="39"/>
        <v>0</v>
      </c>
      <c r="AP101">
        <f t="shared" si="40"/>
        <v>0</v>
      </c>
      <c r="AQ101">
        <f t="shared" si="41"/>
        <v>0</v>
      </c>
      <c r="AY101" s="5"/>
    </row>
    <row r="102" spans="1:51" x14ac:dyDescent="0.2">
      <c r="A102">
        <f t="shared" si="50"/>
        <v>101</v>
      </c>
      <c r="B102" s="8">
        <f t="shared" si="42"/>
        <v>3</v>
      </c>
      <c r="C102">
        <f t="shared" si="43"/>
        <v>3</v>
      </c>
      <c r="D102" s="5" t="str">
        <f t="shared" si="44"/>
        <v>30</v>
      </c>
      <c r="E102">
        <v>3</v>
      </c>
      <c r="F102" s="5" t="s">
        <v>493</v>
      </c>
      <c r="G102" s="8" t="s">
        <v>709</v>
      </c>
      <c r="H102" s="6" t="s">
        <v>349</v>
      </c>
      <c r="I102">
        <v>10</v>
      </c>
      <c r="J102">
        <v>15</v>
      </c>
      <c r="K102">
        <v>44</v>
      </c>
      <c r="L102">
        <v>37</v>
      </c>
      <c r="M102">
        <v>23</v>
      </c>
      <c r="O102" s="6">
        <f t="shared" si="45"/>
        <v>31</v>
      </c>
      <c r="P102" s="8">
        <v>49</v>
      </c>
      <c r="Q102">
        <v>14</v>
      </c>
      <c r="R102">
        <v>61</v>
      </c>
      <c r="S102">
        <v>9</v>
      </c>
      <c r="T102">
        <v>22</v>
      </c>
      <c r="U102">
        <v>87</v>
      </c>
      <c r="W102" s="8">
        <f>SUMIFS(events!AJ:AJ,events!Q:Q,"=DeadIce",events!AK:AK,"&lt;="&amp;shifts!AG102,events!AL:AL,"&gt;"&amp;shifts!AH102,events!E:E,"="&amp;shifts!B103)+SUMIFS(events!AJ:AJ,events!Q:Q,"=Timeout",events!AK:AK,"&lt;="&amp;shifts!AG102,events!AL:AL,"&gt;"&amp;shifts!AH102,events!E:E,"="&amp;shifts!B103)</f>
        <v>0</v>
      </c>
      <c r="X102" s="8">
        <f t="shared" si="47"/>
        <v>1</v>
      </c>
      <c r="Y102">
        <v>1</v>
      </c>
      <c r="Z102" t="str">
        <f t="shared" si="48"/>
        <v/>
      </c>
      <c r="AB102" t="str">
        <f t="shared" si="49"/>
        <v/>
      </c>
      <c r="AD102">
        <f>events!AG102</f>
        <v>18981</v>
      </c>
      <c r="AE102" t="str">
        <f>events!AH102</f>
        <v>Nelson</v>
      </c>
      <c r="AF102" t="str">
        <f>events!AI102</f>
        <v>Velodrome</v>
      </c>
      <c r="AG102" s="5">
        <f t="shared" si="51"/>
        <v>210</v>
      </c>
      <c r="AH102" s="5">
        <f t="shared" si="52"/>
        <v>201</v>
      </c>
      <c r="AI102" s="16">
        <f t="shared" si="38"/>
        <v>9</v>
      </c>
      <c r="AJ102">
        <f t="shared" si="53"/>
        <v>5</v>
      </c>
      <c r="AK102">
        <f t="shared" si="54"/>
        <v>6</v>
      </c>
      <c r="AL102">
        <f t="shared" si="55"/>
        <v>0</v>
      </c>
      <c r="AM102">
        <f t="shared" si="56"/>
        <v>1</v>
      </c>
      <c r="AN102">
        <f t="shared" si="31"/>
        <v>0</v>
      </c>
      <c r="AO102">
        <f t="shared" si="39"/>
        <v>0</v>
      </c>
      <c r="AP102">
        <f t="shared" si="40"/>
        <v>0</v>
      </c>
      <c r="AQ102">
        <f t="shared" si="41"/>
        <v>0</v>
      </c>
      <c r="AY102" s="5"/>
    </row>
    <row r="103" spans="1:51" x14ac:dyDescent="0.2">
      <c r="A103">
        <f t="shared" si="50"/>
        <v>102</v>
      </c>
      <c r="B103" s="8">
        <f t="shared" si="42"/>
        <v>3</v>
      </c>
      <c r="C103">
        <f t="shared" si="43"/>
        <v>3</v>
      </c>
      <c r="D103" s="5" t="str">
        <f t="shared" si="44"/>
        <v>21</v>
      </c>
      <c r="E103">
        <v>1</v>
      </c>
      <c r="F103" s="5" t="s">
        <v>526</v>
      </c>
      <c r="G103" s="8" t="s">
        <v>342</v>
      </c>
      <c r="H103" s="6" t="s">
        <v>347</v>
      </c>
      <c r="I103">
        <v>79</v>
      </c>
      <c r="J103">
        <v>15</v>
      </c>
      <c r="L103">
        <v>80</v>
      </c>
      <c r="M103">
        <v>8</v>
      </c>
      <c r="O103" s="6">
        <f t="shared" si="45"/>
        <v>31</v>
      </c>
      <c r="P103" s="8">
        <v>70</v>
      </c>
      <c r="Q103">
        <v>87</v>
      </c>
      <c r="R103">
        <v>75</v>
      </c>
      <c r="S103">
        <v>84</v>
      </c>
      <c r="T103">
        <v>22</v>
      </c>
      <c r="V103">
        <v>39</v>
      </c>
      <c r="W103" s="8">
        <f>SUMIFS(events!AJ:AJ,events!Q:Q,"=DeadIce",events!AK:AK,"&lt;="&amp;shifts!AG103,events!AL:AL,"&gt;"&amp;shifts!AH103,events!E:E,"="&amp;shifts!B104)+SUMIFS(events!AJ:AJ,events!Q:Q,"=Timeout",events!AK:AK,"&lt;="&amp;shifts!AG103,events!AL:AL,"&gt;"&amp;shifts!AH103,events!E:E,"="&amp;shifts!B104)</f>
        <v>0</v>
      </c>
      <c r="X103" s="8">
        <f t="shared" si="47"/>
        <v>1</v>
      </c>
      <c r="Z103" t="str">
        <f t="shared" si="48"/>
        <v/>
      </c>
      <c r="AB103" t="str">
        <f t="shared" si="49"/>
        <v/>
      </c>
      <c r="AC103">
        <v>1</v>
      </c>
      <c r="AD103">
        <f>events!AG103</f>
        <v>18981</v>
      </c>
      <c r="AE103" t="str">
        <f>events!AH103</f>
        <v>Nelson</v>
      </c>
      <c r="AF103" t="str">
        <f>events!AI103</f>
        <v>Velodrome</v>
      </c>
      <c r="AG103" s="5">
        <f t="shared" si="51"/>
        <v>201</v>
      </c>
      <c r="AH103" s="5">
        <f>((E103*60)+F103)</f>
        <v>114</v>
      </c>
      <c r="AI103" s="16">
        <f t="shared" si="38"/>
        <v>87</v>
      </c>
      <c r="AJ103">
        <f t="shared" si="53"/>
        <v>4</v>
      </c>
      <c r="AK103">
        <f t="shared" si="54"/>
        <v>5</v>
      </c>
      <c r="AL103">
        <f t="shared" si="55"/>
        <v>0</v>
      </c>
      <c r="AM103">
        <f t="shared" si="56"/>
        <v>0</v>
      </c>
      <c r="AN103">
        <f t="shared" si="31"/>
        <v>1</v>
      </c>
      <c r="AO103">
        <f t="shared" si="39"/>
        <v>0</v>
      </c>
      <c r="AP103">
        <f t="shared" si="40"/>
        <v>1</v>
      </c>
      <c r="AQ103">
        <f t="shared" si="41"/>
        <v>0</v>
      </c>
      <c r="AY103" s="5"/>
    </row>
    <row r="104" spans="1:51" x14ac:dyDescent="0.2">
      <c r="A104">
        <f t="shared" si="50"/>
        <v>103</v>
      </c>
      <c r="B104" s="8">
        <f t="shared" si="42"/>
        <v>3</v>
      </c>
      <c r="C104">
        <f>IF(G104&lt;&gt;"PeriodStart",E103,18)</f>
        <v>1</v>
      </c>
      <c r="D104" s="5" t="str">
        <f t="shared" si="44"/>
        <v>54</v>
      </c>
      <c r="E104">
        <v>1</v>
      </c>
      <c r="F104" s="5" t="s">
        <v>492</v>
      </c>
      <c r="G104" s="8" t="s">
        <v>343</v>
      </c>
      <c r="I104">
        <v>10</v>
      </c>
      <c r="J104">
        <v>15</v>
      </c>
      <c r="L104">
        <v>80</v>
      </c>
      <c r="M104">
        <v>8</v>
      </c>
      <c r="O104" s="6">
        <f t="shared" si="45"/>
        <v>31</v>
      </c>
      <c r="P104" s="8">
        <v>70</v>
      </c>
      <c r="Q104">
        <v>87</v>
      </c>
      <c r="R104">
        <v>75</v>
      </c>
      <c r="S104">
        <v>52</v>
      </c>
      <c r="T104">
        <v>22</v>
      </c>
      <c r="V104">
        <f t="shared" si="46"/>
        <v>39</v>
      </c>
      <c r="W104" s="8">
        <f>SUMIFS(events!AJ:AJ,events!Q:Q,"=DeadIce",events!AK:AK,"&lt;="&amp;shifts!AG104,events!AL:AL,"&gt;"&amp;shifts!AH104,events!E:E,"="&amp;shifts!B105)+SUMIFS(events!AJ:AJ,events!Q:Q,"=Timeout",events!AK:AK,"&lt;="&amp;shifts!AG104,events!AL:AL,"&gt;"&amp;shifts!AH104,events!E:E,"="&amp;shifts!B105)</f>
        <v>0</v>
      </c>
      <c r="X104" s="8" t="str">
        <f t="shared" si="47"/>
        <v/>
      </c>
      <c r="Y104">
        <v>1</v>
      </c>
      <c r="Z104" t="str">
        <f t="shared" si="48"/>
        <v/>
      </c>
      <c r="AB104">
        <f t="shared" si="49"/>
        <v>1</v>
      </c>
      <c r="AD104">
        <f>events!AG104</f>
        <v>18981</v>
      </c>
      <c r="AE104" t="str">
        <f>events!AH104</f>
        <v>Nelson</v>
      </c>
      <c r="AF104" t="str">
        <f>events!AI104</f>
        <v>Velodrome</v>
      </c>
      <c r="AG104" s="5">
        <f t="shared" si="51"/>
        <v>114</v>
      </c>
      <c r="AH104" s="5">
        <f>((E104*60)+F104)</f>
        <v>80</v>
      </c>
      <c r="AI104" s="16">
        <f t="shared" si="38"/>
        <v>34</v>
      </c>
      <c r="AJ104">
        <f t="shared" si="53"/>
        <v>4</v>
      </c>
      <c r="AK104">
        <f t="shared" si="54"/>
        <v>5</v>
      </c>
      <c r="AL104">
        <f t="shared" si="55"/>
        <v>0</v>
      </c>
      <c r="AM104">
        <f t="shared" si="56"/>
        <v>0</v>
      </c>
      <c r="AN104">
        <f t="shared" si="31"/>
        <v>1</v>
      </c>
      <c r="AO104">
        <f t="shared" si="39"/>
        <v>0</v>
      </c>
      <c r="AP104">
        <f t="shared" si="40"/>
        <v>1</v>
      </c>
      <c r="AQ104">
        <f t="shared" si="41"/>
        <v>0</v>
      </c>
      <c r="AY104" s="5"/>
    </row>
    <row r="105" spans="1:51" x14ac:dyDescent="0.2">
      <c r="A105">
        <f t="shared" si="50"/>
        <v>104</v>
      </c>
      <c r="B105" s="8">
        <f t="shared" si="42"/>
        <v>3</v>
      </c>
      <c r="C105">
        <f>IF(G105&lt;&gt;"PeriodStart",E104,18)</f>
        <v>1</v>
      </c>
      <c r="D105" s="5" t="str">
        <f t="shared" si="44"/>
        <v>20</v>
      </c>
      <c r="E105">
        <v>0</v>
      </c>
      <c r="F105" s="5" t="s">
        <v>518</v>
      </c>
      <c r="H105" s="6" t="s">
        <v>710</v>
      </c>
      <c r="I105">
        <v>10</v>
      </c>
      <c r="J105">
        <v>15</v>
      </c>
      <c r="L105">
        <v>80</v>
      </c>
      <c r="M105">
        <v>8</v>
      </c>
      <c r="O105" s="6">
        <f t="shared" si="45"/>
        <v>31</v>
      </c>
      <c r="P105" s="8">
        <v>70</v>
      </c>
      <c r="Q105">
        <v>87</v>
      </c>
      <c r="R105">
        <v>75</v>
      </c>
      <c r="S105">
        <v>52</v>
      </c>
      <c r="T105">
        <v>22</v>
      </c>
      <c r="U105">
        <v>42</v>
      </c>
      <c r="W105" s="8">
        <f>SUMIFS(events!AJ:AJ,events!Q:Q,"=DeadIce",events!AK:AK,"&lt;="&amp;shifts!AG105,events!AL:AL,"&gt;"&amp;shifts!AH105,events!E:E,"="&amp;shifts!B106)+SUMIFS(events!AJ:AJ,events!Q:Q,"=Timeout",events!AK:AK,"&lt;="&amp;shifts!AG105,events!AL:AL,"&gt;"&amp;shifts!AH105,events!E:E,"="&amp;shifts!B106)</f>
        <v>0</v>
      </c>
      <c r="X105" s="8">
        <f t="shared" si="47"/>
        <v>1</v>
      </c>
      <c r="Y105">
        <v>1</v>
      </c>
      <c r="Z105" t="str">
        <f t="shared" si="48"/>
        <v/>
      </c>
      <c r="AB105" t="str">
        <f t="shared" si="49"/>
        <v/>
      </c>
      <c r="AD105">
        <f>events!AG105</f>
        <v>18981</v>
      </c>
      <c r="AE105" t="str">
        <f>events!AH105</f>
        <v>Nelson</v>
      </c>
      <c r="AF105" t="str">
        <f>events!AI105</f>
        <v>Velodrome</v>
      </c>
      <c r="AG105" s="5">
        <f t="shared" si="51"/>
        <v>80</v>
      </c>
      <c r="AH105" s="5">
        <f t="shared" si="52"/>
        <v>46</v>
      </c>
      <c r="AI105" s="16">
        <f t="shared" si="38"/>
        <v>34</v>
      </c>
      <c r="AJ105">
        <f t="shared" si="53"/>
        <v>4</v>
      </c>
      <c r="AK105">
        <f t="shared" si="54"/>
        <v>6</v>
      </c>
      <c r="AL105">
        <f t="shared" si="55"/>
        <v>0</v>
      </c>
      <c r="AM105">
        <f t="shared" si="56"/>
        <v>1</v>
      </c>
      <c r="AN105">
        <f t="shared" si="31"/>
        <v>0</v>
      </c>
      <c r="AO105">
        <f t="shared" si="39"/>
        <v>0</v>
      </c>
      <c r="AP105">
        <f t="shared" si="40"/>
        <v>0</v>
      </c>
      <c r="AQ105">
        <f t="shared" si="41"/>
        <v>0</v>
      </c>
      <c r="AY105" s="5"/>
    </row>
    <row r="106" spans="1:51" x14ac:dyDescent="0.2">
      <c r="A106">
        <f t="shared" si="50"/>
        <v>105</v>
      </c>
      <c r="B106" s="8">
        <f t="shared" si="42"/>
        <v>3</v>
      </c>
      <c r="C106">
        <f t="shared" si="43"/>
        <v>0</v>
      </c>
      <c r="D106" s="5" t="str">
        <f t="shared" si="44"/>
        <v>46</v>
      </c>
      <c r="E106">
        <v>0</v>
      </c>
      <c r="F106" s="5" t="s">
        <v>576</v>
      </c>
      <c r="H106" s="6" t="s">
        <v>457</v>
      </c>
      <c r="I106">
        <v>10</v>
      </c>
      <c r="J106">
        <v>15</v>
      </c>
      <c r="L106">
        <v>37</v>
      </c>
      <c r="M106">
        <v>8</v>
      </c>
      <c r="O106" s="6">
        <f t="shared" si="45"/>
        <v>31</v>
      </c>
      <c r="P106" s="8">
        <v>70</v>
      </c>
      <c r="Q106">
        <v>42</v>
      </c>
      <c r="R106">
        <v>75</v>
      </c>
      <c r="S106">
        <v>52</v>
      </c>
      <c r="T106">
        <v>22</v>
      </c>
      <c r="U106">
        <v>49</v>
      </c>
      <c r="W106" s="8">
        <f>SUMIFS(events!AJ:AJ,events!Q:Q,"=DeadIce",events!AK:AK,"&lt;="&amp;shifts!AG106,events!AL:AL,"&gt;"&amp;shifts!AH106,events!E:E,"="&amp;shifts!B107)+SUMIFS(events!AJ:AJ,events!Q:Q,"=Timeout",events!AK:AK,"&lt;="&amp;shifts!AG106,events!AL:AL,"&gt;"&amp;shifts!AH106,events!E:E,"="&amp;shifts!B107)</f>
        <v>0</v>
      </c>
      <c r="X106" s="8">
        <f t="shared" si="47"/>
        <v>1</v>
      </c>
      <c r="Z106" t="str">
        <f t="shared" si="48"/>
        <v/>
      </c>
      <c r="AB106" t="str">
        <f t="shared" si="49"/>
        <v/>
      </c>
      <c r="AD106">
        <f>events!AG106</f>
        <v>18981</v>
      </c>
      <c r="AE106" t="str">
        <f>events!AH106</f>
        <v>Nelson</v>
      </c>
      <c r="AF106" t="str">
        <f>events!AI106</f>
        <v>Velodrome</v>
      </c>
      <c r="AG106" s="5">
        <f t="shared" si="51"/>
        <v>46</v>
      </c>
      <c r="AH106" s="5">
        <f t="shared" si="52"/>
        <v>0.01</v>
      </c>
      <c r="AI106" s="16">
        <f t="shared" si="38"/>
        <v>46</v>
      </c>
      <c r="AJ106">
        <f t="shared" si="53"/>
        <v>4</v>
      </c>
      <c r="AK106">
        <f t="shared" si="54"/>
        <v>6</v>
      </c>
      <c r="AL106">
        <f t="shared" si="55"/>
        <v>0</v>
      </c>
      <c r="AM106">
        <f t="shared" si="56"/>
        <v>1</v>
      </c>
      <c r="AN106">
        <f t="shared" si="31"/>
        <v>0</v>
      </c>
      <c r="AO106">
        <f t="shared" si="39"/>
        <v>0</v>
      </c>
      <c r="AP106">
        <f t="shared" si="40"/>
        <v>0</v>
      </c>
      <c r="AQ106">
        <f t="shared" si="41"/>
        <v>0</v>
      </c>
      <c r="AY106" s="5"/>
    </row>
    <row r="107" spans="1:51" x14ac:dyDescent="0.2">
      <c r="A107">
        <f t="shared" si="50"/>
        <v>106</v>
      </c>
      <c r="B107" s="8">
        <f t="shared" si="42"/>
        <v>3</v>
      </c>
      <c r="C107">
        <f t="shared" si="43"/>
        <v>0</v>
      </c>
      <c r="D107" s="5" t="str">
        <f t="shared" si="44"/>
        <v>0.01</v>
      </c>
      <c r="O107" s="6">
        <f t="shared" si="45"/>
        <v>31</v>
      </c>
      <c r="V107">
        <f t="shared" si="46"/>
        <v>0</v>
      </c>
      <c r="W107" s="8">
        <f>SUMIFS(events!AJ:AJ,events!Q:Q,"=DeadIce",events!AK:AK,"&lt;="&amp;shifts!AG107,events!AL:AL,"&gt;"&amp;shifts!AH107,events!E:E,"="&amp;shifts!B108)+SUMIFS(events!AJ:AJ,events!Q:Q,"=Timeout",events!AK:AK,"&lt;="&amp;shifts!AG107,events!AL:AL,"&gt;"&amp;shifts!AH107,events!E:E,"="&amp;shifts!B108)</f>
        <v>0</v>
      </c>
      <c r="X107" s="8" t="str">
        <f t="shared" si="47"/>
        <v/>
      </c>
      <c r="Z107" t="str">
        <f t="shared" si="48"/>
        <v/>
      </c>
      <c r="AB107" t="str">
        <f t="shared" si="49"/>
        <v/>
      </c>
      <c r="AD107">
        <f>events!AG107</f>
        <v>18981</v>
      </c>
      <c r="AE107" t="str">
        <f>events!AH107</f>
        <v>Nelson</v>
      </c>
      <c r="AF107" t="str">
        <f>events!AI107</f>
        <v>Velodrome</v>
      </c>
      <c r="AG107" s="5">
        <f t="shared" si="51"/>
        <v>0.01</v>
      </c>
      <c r="AH107" s="5">
        <f t="shared" si="52"/>
        <v>0</v>
      </c>
      <c r="AI107" s="16">
        <f t="shared" si="38"/>
        <v>0</v>
      </c>
      <c r="AJ107">
        <f t="shared" si="53"/>
        <v>0</v>
      </c>
      <c r="AK107">
        <f t="shared" si="54"/>
        <v>0</v>
      </c>
      <c r="AL107">
        <f t="shared" si="55"/>
        <v>0</v>
      </c>
      <c r="AM107">
        <f t="shared" si="56"/>
        <v>0</v>
      </c>
      <c r="AN107">
        <f t="shared" si="31"/>
        <v>0</v>
      </c>
      <c r="AO107">
        <f t="shared" si="39"/>
        <v>0</v>
      </c>
      <c r="AP107">
        <f t="shared" si="40"/>
        <v>0</v>
      </c>
      <c r="AQ107">
        <f t="shared" si="41"/>
        <v>0</v>
      </c>
      <c r="AY107" s="5"/>
    </row>
    <row r="108" spans="1:51" x14ac:dyDescent="0.2">
      <c r="A108">
        <f t="shared" si="50"/>
        <v>107</v>
      </c>
      <c r="B108" s="8">
        <f t="shared" si="42"/>
        <v>3</v>
      </c>
      <c r="C108">
        <f t="shared" si="43"/>
        <v>0</v>
      </c>
      <c r="D108" s="5">
        <f t="shared" si="44"/>
        <v>0</v>
      </c>
      <c r="O108" s="6">
        <f t="shared" si="45"/>
        <v>31</v>
      </c>
      <c r="V108">
        <f t="shared" si="46"/>
        <v>0</v>
      </c>
      <c r="W108" s="8">
        <f>SUMIFS(events!AJ:AJ,events!Q:Q,"=DeadIce",events!AK:AK,"&lt;="&amp;shifts!AG108,events!AL:AL,"&gt;"&amp;shifts!AH108,events!E:E,"="&amp;shifts!B109)+SUMIFS(events!AJ:AJ,events!Q:Q,"=Timeout",events!AK:AK,"&lt;="&amp;shifts!AG108,events!AL:AL,"&gt;"&amp;shifts!AH108,events!E:E,"="&amp;shifts!B109)</f>
        <v>0</v>
      </c>
      <c r="X108" s="8" t="str">
        <f t="shared" si="47"/>
        <v/>
      </c>
      <c r="Z108" t="str">
        <f t="shared" si="48"/>
        <v/>
      </c>
      <c r="AB108" t="str">
        <f t="shared" si="49"/>
        <v/>
      </c>
      <c r="AD108">
        <f>events!AG108</f>
        <v>18981</v>
      </c>
      <c r="AE108" t="str">
        <f>events!AH108</f>
        <v>Nelson</v>
      </c>
      <c r="AF108" t="str">
        <f>events!AI108</f>
        <v>Velodrome</v>
      </c>
      <c r="AG108" s="5">
        <f t="shared" si="51"/>
        <v>0</v>
      </c>
      <c r="AH108" s="5">
        <f t="shared" si="52"/>
        <v>0</v>
      </c>
      <c r="AI108" s="16">
        <f t="shared" si="38"/>
        <v>0</v>
      </c>
      <c r="AJ108">
        <f t="shared" si="53"/>
        <v>0</v>
      </c>
      <c r="AK108">
        <f t="shared" si="54"/>
        <v>0</v>
      </c>
      <c r="AL108">
        <f t="shared" si="55"/>
        <v>0</v>
      </c>
      <c r="AM108">
        <f t="shared" si="56"/>
        <v>0</v>
      </c>
      <c r="AN108">
        <f t="shared" si="31"/>
        <v>0</v>
      </c>
      <c r="AO108">
        <f t="shared" si="39"/>
        <v>0</v>
      </c>
      <c r="AP108">
        <f t="shared" si="40"/>
        <v>0</v>
      </c>
      <c r="AQ108">
        <f t="shared" si="41"/>
        <v>0</v>
      </c>
      <c r="AY108" s="5"/>
    </row>
    <row r="109" spans="1:51" x14ac:dyDescent="0.2">
      <c r="A109">
        <f t="shared" si="50"/>
        <v>108</v>
      </c>
      <c r="B109" s="8">
        <f t="shared" si="42"/>
        <v>3</v>
      </c>
      <c r="C109">
        <f t="shared" si="43"/>
        <v>0</v>
      </c>
      <c r="D109" s="5">
        <f t="shared" si="44"/>
        <v>0</v>
      </c>
      <c r="O109" s="6">
        <f t="shared" si="45"/>
        <v>31</v>
      </c>
      <c r="V109">
        <f t="shared" si="46"/>
        <v>0</v>
      </c>
      <c r="W109" s="8">
        <f>SUMIFS(events!AJ:AJ,events!Q:Q,"=DeadIce",events!AK:AK,"&lt;="&amp;shifts!AG109,events!AL:AL,"&gt;"&amp;shifts!AH109,events!E:E,"="&amp;shifts!B110)+SUMIFS(events!AJ:AJ,events!Q:Q,"=Timeout",events!AK:AK,"&lt;="&amp;shifts!AG109,events!AL:AL,"&gt;"&amp;shifts!AH109,events!E:E,"="&amp;shifts!B110)</f>
        <v>0</v>
      </c>
      <c r="X109" s="8" t="str">
        <f t="shared" si="47"/>
        <v/>
      </c>
      <c r="Z109" t="str">
        <f t="shared" si="48"/>
        <v/>
      </c>
      <c r="AB109" t="str">
        <f t="shared" si="49"/>
        <v/>
      </c>
      <c r="AD109">
        <f>events!AG109</f>
        <v>18981</v>
      </c>
      <c r="AE109" t="str">
        <f>events!AH109</f>
        <v>Nelson</v>
      </c>
      <c r="AF109" t="str">
        <f>events!AI109</f>
        <v>Velodrome</v>
      </c>
      <c r="AG109" s="5">
        <f t="shared" si="51"/>
        <v>0</v>
      </c>
      <c r="AH109" s="5">
        <f t="shared" si="52"/>
        <v>0</v>
      </c>
      <c r="AI109" s="16">
        <f t="shared" si="38"/>
        <v>0</v>
      </c>
      <c r="AJ109">
        <f t="shared" si="53"/>
        <v>0</v>
      </c>
      <c r="AK109">
        <f t="shared" si="54"/>
        <v>0</v>
      </c>
      <c r="AL109">
        <f t="shared" si="55"/>
        <v>0</v>
      </c>
      <c r="AM109">
        <f t="shared" si="56"/>
        <v>0</v>
      </c>
      <c r="AN109">
        <f t="shared" si="31"/>
        <v>0</v>
      </c>
      <c r="AO109">
        <f t="shared" si="39"/>
        <v>0</v>
      </c>
      <c r="AP109">
        <f t="shared" si="40"/>
        <v>0</v>
      </c>
      <c r="AQ109">
        <f t="shared" si="41"/>
        <v>0</v>
      </c>
      <c r="AY109" s="5"/>
    </row>
    <row r="110" spans="1:51" x14ac:dyDescent="0.2">
      <c r="A110">
        <f t="shared" si="50"/>
        <v>109</v>
      </c>
      <c r="B110" s="8">
        <f t="shared" si="42"/>
        <v>3</v>
      </c>
      <c r="C110">
        <f t="shared" si="43"/>
        <v>0</v>
      </c>
      <c r="D110" s="5">
        <f t="shared" si="44"/>
        <v>0</v>
      </c>
      <c r="O110" s="6">
        <f t="shared" si="45"/>
        <v>31</v>
      </c>
      <c r="V110">
        <f t="shared" si="46"/>
        <v>0</v>
      </c>
      <c r="W110" s="8">
        <f>SUMIFS(events!AJ:AJ,events!Q:Q,"=DeadIce",events!AK:AK,"&lt;="&amp;shifts!AG110,events!AL:AL,"&gt;"&amp;shifts!AH110,events!E:E,"="&amp;shifts!B111)+SUMIFS(events!AJ:AJ,events!Q:Q,"=Timeout",events!AK:AK,"&lt;="&amp;shifts!AG110,events!AL:AL,"&gt;"&amp;shifts!AH110,events!E:E,"="&amp;shifts!B111)</f>
        <v>0</v>
      </c>
      <c r="X110" s="8" t="str">
        <f t="shared" si="47"/>
        <v/>
      </c>
      <c r="Z110" t="str">
        <f t="shared" si="48"/>
        <v/>
      </c>
      <c r="AB110" t="str">
        <f t="shared" si="49"/>
        <v/>
      </c>
      <c r="AD110">
        <f>events!AG110</f>
        <v>18981</v>
      </c>
      <c r="AE110" t="str">
        <f>events!AH110</f>
        <v>Nelson</v>
      </c>
      <c r="AF110" t="str">
        <f>events!AI110</f>
        <v>Velodrome</v>
      </c>
      <c r="AG110" s="5">
        <f t="shared" si="51"/>
        <v>0</v>
      </c>
      <c r="AH110" s="5">
        <f t="shared" si="52"/>
        <v>0</v>
      </c>
      <c r="AI110" s="16">
        <f t="shared" si="38"/>
        <v>0</v>
      </c>
      <c r="AJ110">
        <f t="shared" si="53"/>
        <v>0</v>
      </c>
      <c r="AK110">
        <f t="shared" si="54"/>
        <v>0</v>
      </c>
      <c r="AL110">
        <f t="shared" si="55"/>
        <v>0</v>
      </c>
      <c r="AM110">
        <f t="shared" si="56"/>
        <v>0</v>
      </c>
      <c r="AN110">
        <f t="shared" si="31"/>
        <v>0</v>
      </c>
      <c r="AO110">
        <f t="shared" si="39"/>
        <v>0</v>
      </c>
      <c r="AP110">
        <f t="shared" si="40"/>
        <v>0</v>
      </c>
      <c r="AQ110">
        <f t="shared" si="41"/>
        <v>0</v>
      </c>
      <c r="AY110" s="5"/>
    </row>
    <row r="111" spans="1:51" x14ac:dyDescent="0.2">
      <c r="A111">
        <f t="shared" si="50"/>
        <v>110</v>
      </c>
      <c r="B111" s="8">
        <f t="shared" si="42"/>
        <v>3</v>
      </c>
      <c r="C111">
        <f t="shared" si="43"/>
        <v>0</v>
      </c>
      <c r="D111" s="5">
        <f t="shared" si="44"/>
        <v>0</v>
      </c>
      <c r="O111" s="6">
        <f t="shared" si="45"/>
        <v>31</v>
      </c>
      <c r="V111">
        <f t="shared" si="46"/>
        <v>0</v>
      </c>
      <c r="W111" s="8">
        <f>SUMIFS(events!AJ:AJ,events!Q:Q,"=DeadIce",events!AK:AK,"&lt;="&amp;shifts!AG111,events!AL:AL,"&gt;"&amp;shifts!AH111,events!E:E,"="&amp;shifts!B112)+SUMIFS(events!AJ:AJ,events!Q:Q,"=Timeout",events!AK:AK,"&lt;="&amp;shifts!AG111,events!AL:AL,"&gt;"&amp;shifts!AH111,events!E:E,"="&amp;shifts!B112)</f>
        <v>0</v>
      </c>
      <c r="X111" s="8" t="str">
        <f t="shared" si="47"/>
        <v/>
      </c>
      <c r="Z111" t="str">
        <f t="shared" si="48"/>
        <v/>
      </c>
      <c r="AB111" t="str">
        <f t="shared" si="49"/>
        <v/>
      </c>
      <c r="AD111">
        <f>events!AG111</f>
        <v>18981</v>
      </c>
      <c r="AE111" t="str">
        <f>events!AH111</f>
        <v>Nelson</v>
      </c>
      <c r="AF111" t="str">
        <f>events!AI111</f>
        <v>Velodrome</v>
      </c>
      <c r="AG111" s="5">
        <f t="shared" si="51"/>
        <v>0</v>
      </c>
      <c r="AH111" s="5">
        <f t="shared" si="52"/>
        <v>0</v>
      </c>
      <c r="AI111" s="16">
        <f t="shared" si="38"/>
        <v>0</v>
      </c>
      <c r="AJ111">
        <f t="shared" si="53"/>
        <v>0</v>
      </c>
      <c r="AK111">
        <f t="shared" si="54"/>
        <v>0</v>
      </c>
      <c r="AL111">
        <f t="shared" si="55"/>
        <v>0</v>
      </c>
      <c r="AM111">
        <f t="shared" si="56"/>
        <v>0</v>
      </c>
      <c r="AN111">
        <f t="shared" si="31"/>
        <v>0</v>
      </c>
      <c r="AO111">
        <f t="shared" si="39"/>
        <v>0</v>
      </c>
      <c r="AP111">
        <f t="shared" si="40"/>
        <v>0</v>
      </c>
      <c r="AQ111">
        <f t="shared" si="41"/>
        <v>0</v>
      </c>
      <c r="AY111" s="5"/>
    </row>
    <row r="112" spans="1:51" x14ac:dyDescent="0.2">
      <c r="A112">
        <f t="shared" si="50"/>
        <v>111</v>
      </c>
      <c r="B112" s="8">
        <f t="shared" si="42"/>
        <v>3</v>
      </c>
      <c r="C112">
        <f t="shared" si="43"/>
        <v>0</v>
      </c>
      <c r="D112" s="5">
        <f t="shared" si="44"/>
        <v>0</v>
      </c>
      <c r="O112" s="6">
        <f t="shared" si="45"/>
        <v>31</v>
      </c>
      <c r="V112">
        <f t="shared" si="46"/>
        <v>0</v>
      </c>
      <c r="W112" s="8">
        <f>SUMIFS(events!AJ:AJ,events!Q:Q,"=DeadIce",events!AK:AK,"&lt;="&amp;shifts!AG112,events!AL:AL,"&gt;"&amp;shifts!AH112,events!E:E,"="&amp;shifts!B113)+SUMIFS(events!AJ:AJ,events!Q:Q,"=Timeout",events!AK:AK,"&lt;="&amp;shifts!AG112,events!AL:AL,"&gt;"&amp;shifts!AH112,events!E:E,"="&amp;shifts!B113)</f>
        <v>0</v>
      </c>
      <c r="X112" s="8" t="str">
        <f t="shared" si="47"/>
        <v/>
      </c>
      <c r="Z112" t="str">
        <f t="shared" si="48"/>
        <v/>
      </c>
      <c r="AB112" t="str">
        <f t="shared" si="49"/>
        <v/>
      </c>
      <c r="AD112">
        <f>events!AG112</f>
        <v>18981</v>
      </c>
      <c r="AE112" t="str">
        <f>events!AH112</f>
        <v>Nelson</v>
      </c>
      <c r="AF112" t="str">
        <f>events!AI112</f>
        <v>Velodrome</v>
      </c>
      <c r="AG112" s="5">
        <f t="shared" si="51"/>
        <v>0</v>
      </c>
      <c r="AH112" s="5">
        <f t="shared" si="52"/>
        <v>0</v>
      </c>
      <c r="AI112" s="16">
        <f t="shared" si="38"/>
        <v>0</v>
      </c>
      <c r="AJ112">
        <f t="shared" si="53"/>
        <v>0</v>
      </c>
      <c r="AK112">
        <f t="shared" si="54"/>
        <v>0</v>
      </c>
      <c r="AL112">
        <f t="shared" si="55"/>
        <v>0</v>
      </c>
      <c r="AM112">
        <f t="shared" si="56"/>
        <v>0</v>
      </c>
      <c r="AN112">
        <f t="shared" si="31"/>
        <v>0</v>
      </c>
      <c r="AO112">
        <f t="shared" si="39"/>
        <v>0</v>
      </c>
      <c r="AP112">
        <f t="shared" si="40"/>
        <v>0</v>
      </c>
      <c r="AQ112">
        <f t="shared" si="41"/>
        <v>0</v>
      </c>
      <c r="AY112" s="5"/>
    </row>
    <row r="113" spans="1:51" x14ac:dyDescent="0.2">
      <c r="A113">
        <f t="shared" si="50"/>
        <v>112</v>
      </c>
      <c r="B113" s="8">
        <f t="shared" si="42"/>
        <v>3</v>
      </c>
      <c r="C113">
        <f t="shared" si="43"/>
        <v>0</v>
      </c>
      <c r="D113" s="5">
        <f t="shared" si="44"/>
        <v>0</v>
      </c>
      <c r="O113" s="6">
        <f t="shared" si="45"/>
        <v>31</v>
      </c>
      <c r="V113">
        <f t="shared" si="46"/>
        <v>0</v>
      </c>
      <c r="W113" s="8">
        <f>SUMIFS(events!AJ:AJ,events!Q:Q,"=DeadIce",events!AK:AK,"&lt;="&amp;shifts!AG113,events!AL:AL,"&gt;"&amp;shifts!AH113,events!E:E,"="&amp;shifts!B114)+SUMIFS(events!AJ:AJ,events!Q:Q,"=Timeout",events!AK:AK,"&lt;="&amp;shifts!AG113,events!AL:AL,"&gt;"&amp;shifts!AH113,events!E:E,"="&amp;shifts!B114)</f>
        <v>0</v>
      </c>
      <c r="X113" s="8" t="str">
        <f t="shared" si="47"/>
        <v/>
      </c>
      <c r="Z113" t="str">
        <f t="shared" si="48"/>
        <v/>
      </c>
      <c r="AB113" t="str">
        <f t="shared" si="49"/>
        <v/>
      </c>
      <c r="AD113">
        <f>events!AG113</f>
        <v>18981</v>
      </c>
      <c r="AE113" t="str">
        <f>events!AH113</f>
        <v>Nelson</v>
      </c>
      <c r="AF113" t="str">
        <f>events!AI113</f>
        <v>Velodrome</v>
      </c>
      <c r="AG113" s="5">
        <f t="shared" si="51"/>
        <v>0</v>
      </c>
      <c r="AH113" s="5">
        <f t="shared" si="52"/>
        <v>0</v>
      </c>
      <c r="AI113" s="16">
        <f t="shared" si="38"/>
        <v>0</v>
      </c>
      <c r="AJ113">
        <f t="shared" si="53"/>
        <v>0</v>
      </c>
      <c r="AK113">
        <f t="shared" si="54"/>
        <v>0</v>
      </c>
      <c r="AL113">
        <f t="shared" si="55"/>
        <v>0</v>
      </c>
      <c r="AM113">
        <f t="shared" si="56"/>
        <v>0</v>
      </c>
      <c r="AN113">
        <f t="shared" si="31"/>
        <v>0</v>
      </c>
      <c r="AO113">
        <f t="shared" si="39"/>
        <v>0</v>
      </c>
      <c r="AP113">
        <f t="shared" si="40"/>
        <v>0</v>
      </c>
      <c r="AQ113">
        <f t="shared" si="41"/>
        <v>0</v>
      </c>
      <c r="AY113" s="5"/>
    </row>
    <row r="114" spans="1:51" x14ac:dyDescent="0.2">
      <c r="A114">
        <f t="shared" si="50"/>
        <v>113</v>
      </c>
      <c r="B114" s="8">
        <f t="shared" si="42"/>
        <v>3</v>
      </c>
      <c r="C114">
        <f t="shared" si="43"/>
        <v>0</v>
      </c>
      <c r="D114" s="5">
        <f t="shared" si="44"/>
        <v>0</v>
      </c>
      <c r="O114" s="6">
        <f t="shared" si="45"/>
        <v>31</v>
      </c>
      <c r="V114">
        <f t="shared" si="46"/>
        <v>0</v>
      </c>
      <c r="W114" s="8">
        <f>SUMIFS(events!AJ:AJ,events!Q:Q,"=DeadIce",events!AK:AK,"&lt;="&amp;shifts!AG114,events!AL:AL,"&gt;"&amp;shifts!AH114,events!E:E,"="&amp;shifts!B115)+SUMIFS(events!AJ:AJ,events!Q:Q,"=Timeout",events!AK:AK,"&lt;="&amp;shifts!AG114,events!AL:AL,"&gt;"&amp;shifts!AH114,events!E:E,"="&amp;shifts!B115)</f>
        <v>0</v>
      </c>
      <c r="X114" s="8" t="str">
        <f t="shared" si="47"/>
        <v/>
      </c>
      <c r="Z114" t="str">
        <f t="shared" si="48"/>
        <v/>
      </c>
      <c r="AB114" t="str">
        <f t="shared" si="49"/>
        <v/>
      </c>
      <c r="AD114">
        <f>events!AG114</f>
        <v>18981</v>
      </c>
      <c r="AE114" t="str">
        <f>events!AH114</f>
        <v>Nelson</v>
      </c>
      <c r="AF114" t="str">
        <f>events!AI114</f>
        <v>Velodrome</v>
      </c>
      <c r="AG114" s="5">
        <f t="shared" si="51"/>
        <v>0</v>
      </c>
      <c r="AH114" s="5">
        <f t="shared" si="52"/>
        <v>0</v>
      </c>
      <c r="AI114" s="16">
        <f t="shared" si="38"/>
        <v>0</v>
      </c>
      <c r="AJ114">
        <f t="shared" si="53"/>
        <v>0</v>
      </c>
      <c r="AK114">
        <f t="shared" si="54"/>
        <v>0</v>
      </c>
      <c r="AL114">
        <f t="shared" si="55"/>
        <v>0</v>
      </c>
      <c r="AM114">
        <f t="shared" si="56"/>
        <v>0</v>
      </c>
      <c r="AN114">
        <f t="shared" si="31"/>
        <v>0</v>
      </c>
      <c r="AO114">
        <f t="shared" si="39"/>
        <v>0</v>
      </c>
      <c r="AP114">
        <f t="shared" si="40"/>
        <v>0</v>
      </c>
      <c r="AQ114">
        <f t="shared" si="41"/>
        <v>0</v>
      </c>
      <c r="AY114" s="5"/>
    </row>
    <row r="115" spans="1:51" x14ac:dyDescent="0.2">
      <c r="A115">
        <f t="shared" si="50"/>
        <v>114</v>
      </c>
      <c r="B115" s="8">
        <f t="shared" si="42"/>
        <v>3</v>
      </c>
      <c r="C115">
        <f t="shared" si="43"/>
        <v>0</v>
      </c>
      <c r="D115" s="5">
        <f t="shared" si="44"/>
        <v>0</v>
      </c>
      <c r="O115" s="6">
        <f t="shared" si="45"/>
        <v>31</v>
      </c>
      <c r="V115">
        <f t="shared" si="46"/>
        <v>0</v>
      </c>
      <c r="W115" s="8">
        <f>SUMIFS(events!AJ:AJ,events!Q:Q,"=DeadIce",events!AK:AK,"&lt;="&amp;shifts!AG115,events!AL:AL,"&gt;"&amp;shifts!AH115,events!E:E,"="&amp;shifts!B116)+SUMIFS(events!AJ:AJ,events!Q:Q,"=Timeout",events!AK:AK,"&lt;="&amp;shifts!AG115,events!AL:AL,"&gt;"&amp;shifts!AH115,events!E:E,"="&amp;shifts!B116)</f>
        <v>0</v>
      </c>
      <c r="X115" s="8" t="str">
        <f t="shared" si="47"/>
        <v/>
      </c>
      <c r="Z115" t="str">
        <f t="shared" si="48"/>
        <v/>
      </c>
      <c r="AB115" t="str">
        <f t="shared" si="49"/>
        <v/>
      </c>
      <c r="AD115">
        <f>events!AG115</f>
        <v>18981</v>
      </c>
      <c r="AE115" t="str">
        <f>events!AH115</f>
        <v>Nelson</v>
      </c>
      <c r="AF115" t="str">
        <f>events!AI115</f>
        <v>Velodrome</v>
      </c>
      <c r="AG115" s="5">
        <f t="shared" si="51"/>
        <v>0</v>
      </c>
      <c r="AH115" s="5">
        <f t="shared" si="52"/>
        <v>0</v>
      </c>
      <c r="AI115" s="16">
        <f t="shared" si="38"/>
        <v>0</v>
      </c>
      <c r="AJ115">
        <f t="shared" si="53"/>
        <v>0</v>
      </c>
      <c r="AK115">
        <f t="shared" si="54"/>
        <v>0</v>
      </c>
      <c r="AL115">
        <f t="shared" si="55"/>
        <v>0</v>
      </c>
      <c r="AM115">
        <f t="shared" si="56"/>
        <v>0</v>
      </c>
      <c r="AN115">
        <f t="shared" si="31"/>
        <v>0</v>
      </c>
      <c r="AO115">
        <f t="shared" si="39"/>
        <v>0</v>
      </c>
      <c r="AP115">
        <f t="shared" si="40"/>
        <v>0</v>
      </c>
      <c r="AQ115">
        <f t="shared" si="41"/>
        <v>0</v>
      </c>
      <c r="AY115" s="5"/>
    </row>
    <row r="116" spans="1:51" x14ac:dyDescent="0.2">
      <c r="A116">
        <f t="shared" si="50"/>
        <v>115</v>
      </c>
      <c r="B116" s="8">
        <f t="shared" si="42"/>
        <v>3</v>
      </c>
      <c r="C116">
        <f t="shared" si="43"/>
        <v>0</v>
      </c>
      <c r="D116" s="5">
        <f t="shared" si="44"/>
        <v>0</v>
      </c>
      <c r="O116" s="6">
        <f t="shared" si="45"/>
        <v>31</v>
      </c>
      <c r="V116">
        <f t="shared" si="46"/>
        <v>0</v>
      </c>
      <c r="W116" s="8">
        <f>SUMIFS(events!AJ:AJ,events!Q:Q,"=DeadIce",events!AK:AK,"&lt;="&amp;shifts!AG116,events!AL:AL,"&gt;"&amp;shifts!AH116,events!E:E,"="&amp;shifts!B117)+SUMIFS(events!AJ:AJ,events!Q:Q,"=Timeout",events!AK:AK,"&lt;="&amp;shifts!AG116,events!AL:AL,"&gt;"&amp;shifts!AH116,events!E:E,"="&amp;shifts!B117)</f>
        <v>0</v>
      </c>
      <c r="X116" s="8" t="str">
        <f t="shared" si="47"/>
        <v/>
      </c>
      <c r="Z116" t="str">
        <f t="shared" si="48"/>
        <v/>
      </c>
      <c r="AB116" t="str">
        <f t="shared" si="49"/>
        <v/>
      </c>
      <c r="AD116">
        <f>events!AG116</f>
        <v>18981</v>
      </c>
      <c r="AE116" t="str">
        <f>events!AH116</f>
        <v>Nelson</v>
      </c>
      <c r="AF116" t="str">
        <f>events!AI116</f>
        <v>Velodrome</v>
      </c>
      <c r="AG116" s="5">
        <f t="shared" si="51"/>
        <v>0</v>
      </c>
      <c r="AH116" s="5">
        <f t="shared" si="52"/>
        <v>0</v>
      </c>
      <c r="AI116" s="16">
        <f t="shared" si="38"/>
        <v>0</v>
      </c>
      <c r="AJ116">
        <f t="shared" si="53"/>
        <v>0</v>
      </c>
      <c r="AK116">
        <f t="shared" si="54"/>
        <v>0</v>
      </c>
      <c r="AL116">
        <f t="shared" si="55"/>
        <v>0</v>
      </c>
      <c r="AM116">
        <f t="shared" si="56"/>
        <v>0</v>
      </c>
      <c r="AN116">
        <f t="shared" si="31"/>
        <v>0</v>
      </c>
      <c r="AO116">
        <f t="shared" si="39"/>
        <v>0</v>
      </c>
      <c r="AP116">
        <f t="shared" si="40"/>
        <v>0</v>
      </c>
      <c r="AQ116">
        <f t="shared" si="41"/>
        <v>0</v>
      </c>
      <c r="AY116" s="5"/>
    </row>
    <row r="117" spans="1:51" x14ac:dyDescent="0.2">
      <c r="A117">
        <f t="shared" si="50"/>
        <v>116</v>
      </c>
      <c r="B117" s="8">
        <f t="shared" si="42"/>
        <v>3</v>
      </c>
      <c r="C117">
        <f t="shared" si="43"/>
        <v>0</v>
      </c>
      <c r="D117" s="5">
        <f t="shared" si="44"/>
        <v>0</v>
      </c>
      <c r="O117" s="6">
        <f t="shared" si="45"/>
        <v>31</v>
      </c>
      <c r="V117">
        <f t="shared" si="46"/>
        <v>0</v>
      </c>
      <c r="W117" s="8">
        <f>SUMIFS(events!AJ:AJ,events!Q:Q,"=DeadIce",events!AK:AK,"&lt;="&amp;shifts!AG117,events!AL:AL,"&gt;"&amp;shifts!AH117,events!E:E,"="&amp;shifts!B118)+SUMIFS(events!AJ:AJ,events!Q:Q,"=Timeout",events!AK:AK,"&lt;="&amp;shifts!AG117,events!AL:AL,"&gt;"&amp;shifts!AH117,events!E:E,"="&amp;shifts!B118)</f>
        <v>0</v>
      </c>
      <c r="X117" s="8" t="str">
        <f t="shared" si="47"/>
        <v/>
      </c>
      <c r="Z117" t="str">
        <f t="shared" si="48"/>
        <v/>
      </c>
      <c r="AB117" t="str">
        <f t="shared" si="49"/>
        <v/>
      </c>
      <c r="AD117">
        <f>events!AG117</f>
        <v>18981</v>
      </c>
      <c r="AE117" t="str">
        <f>events!AH117</f>
        <v>Nelson</v>
      </c>
      <c r="AF117" t="str">
        <f>events!AI117</f>
        <v>Velodrome</v>
      </c>
      <c r="AG117" s="5">
        <f t="shared" si="51"/>
        <v>0</v>
      </c>
      <c r="AH117" s="5">
        <f t="shared" si="52"/>
        <v>0</v>
      </c>
      <c r="AI117" s="16">
        <f t="shared" si="38"/>
        <v>0</v>
      </c>
      <c r="AJ117">
        <f t="shared" si="53"/>
        <v>0</v>
      </c>
      <c r="AK117">
        <f t="shared" si="54"/>
        <v>0</v>
      </c>
      <c r="AL117">
        <f t="shared" si="55"/>
        <v>0</v>
      </c>
      <c r="AM117">
        <f t="shared" si="56"/>
        <v>0</v>
      </c>
      <c r="AN117">
        <f t="shared" si="31"/>
        <v>0</v>
      </c>
      <c r="AO117">
        <f t="shared" si="39"/>
        <v>0</v>
      </c>
      <c r="AP117">
        <f t="shared" si="40"/>
        <v>0</v>
      </c>
      <c r="AQ117">
        <f t="shared" si="41"/>
        <v>0</v>
      </c>
      <c r="AY117" s="5"/>
    </row>
    <row r="118" spans="1:51" x14ac:dyDescent="0.2">
      <c r="A118">
        <f t="shared" si="50"/>
        <v>117</v>
      </c>
      <c r="B118" s="8">
        <f t="shared" si="42"/>
        <v>3</v>
      </c>
      <c r="C118">
        <f t="shared" si="43"/>
        <v>0</v>
      </c>
      <c r="D118" s="5">
        <f t="shared" si="44"/>
        <v>0</v>
      </c>
      <c r="O118" s="6">
        <f t="shared" si="45"/>
        <v>31</v>
      </c>
      <c r="V118">
        <f t="shared" si="46"/>
        <v>0</v>
      </c>
      <c r="W118" s="8">
        <f>SUMIFS(events!AJ:AJ,events!Q:Q,"=DeadIce",events!AK:AK,"&lt;="&amp;shifts!AG118,events!AL:AL,"&gt;"&amp;shifts!AH118,events!E:E,"="&amp;shifts!B119)+SUMIFS(events!AJ:AJ,events!Q:Q,"=Timeout",events!AK:AK,"&lt;="&amp;shifts!AG118,events!AL:AL,"&gt;"&amp;shifts!AH118,events!E:E,"="&amp;shifts!B119)</f>
        <v>0</v>
      </c>
      <c r="X118" s="8" t="str">
        <f t="shared" si="47"/>
        <v/>
      </c>
      <c r="Z118" t="str">
        <f t="shared" si="48"/>
        <v/>
      </c>
      <c r="AB118" t="str">
        <f t="shared" si="49"/>
        <v/>
      </c>
      <c r="AD118">
        <f>events!AG118</f>
        <v>18981</v>
      </c>
      <c r="AE118" t="str">
        <f>events!AH118</f>
        <v>Nelson</v>
      </c>
      <c r="AF118" t="str">
        <f>events!AI118</f>
        <v>Velodrome</v>
      </c>
      <c r="AG118" s="5">
        <f t="shared" si="51"/>
        <v>0</v>
      </c>
      <c r="AH118" s="5">
        <f t="shared" si="52"/>
        <v>0</v>
      </c>
      <c r="AI118" s="16">
        <f t="shared" si="38"/>
        <v>0</v>
      </c>
      <c r="AJ118">
        <f t="shared" si="53"/>
        <v>0</v>
      </c>
      <c r="AK118">
        <f t="shared" si="54"/>
        <v>0</v>
      </c>
      <c r="AL118">
        <f t="shared" si="55"/>
        <v>0</v>
      </c>
      <c r="AM118">
        <f t="shared" si="56"/>
        <v>0</v>
      </c>
      <c r="AN118">
        <f t="shared" si="31"/>
        <v>0</v>
      </c>
      <c r="AO118">
        <f t="shared" si="39"/>
        <v>0</v>
      </c>
      <c r="AP118">
        <f t="shared" si="40"/>
        <v>0</v>
      </c>
      <c r="AQ118">
        <f t="shared" si="41"/>
        <v>0</v>
      </c>
      <c r="AY118" s="5"/>
    </row>
    <row r="119" spans="1:51" x14ac:dyDescent="0.2">
      <c r="A119">
        <f t="shared" si="50"/>
        <v>118</v>
      </c>
      <c r="B119" s="8">
        <f t="shared" si="42"/>
        <v>3</v>
      </c>
      <c r="C119">
        <f t="shared" si="43"/>
        <v>0</v>
      </c>
      <c r="D119" s="5">
        <f t="shared" si="44"/>
        <v>0</v>
      </c>
      <c r="O119" s="6">
        <f t="shared" si="45"/>
        <v>31</v>
      </c>
      <c r="V119">
        <f t="shared" si="46"/>
        <v>0</v>
      </c>
      <c r="W119" s="8">
        <f>SUMIFS(events!AJ:AJ,events!Q:Q,"=DeadIce",events!AK:AK,"&lt;="&amp;shifts!AG119,events!AL:AL,"&gt;"&amp;shifts!AH119,events!E:E,"="&amp;shifts!B120)+SUMIFS(events!AJ:AJ,events!Q:Q,"=Timeout",events!AK:AK,"&lt;="&amp;shifts!AG119,events!AL:AL,"&gt;"&amp;shifts!AH119,events!E:E,"="&amp;shifts!B120)</f>
        <v>0</v>
      </c>
      <c r="X119" s="8" t="str">
        <f t="shared" si="47"/>
        <v/>
      </c>
      <c r="Z119" t="str">
        <f t="shared" si="48"/>
        <v/>
      </c>
      <c r="AB119" t="str">
        <f t="shared" si="49"/>
        <v/>
      </c>
      <c r="AD119">
        <f>events!AG119</f>
        <v>18981</v>
      </c>
      <c r="AE119" t="str">
        <f>events!AH119</f>
        <v>Nelson</v>
      </c>
      <c r="AF119" t="str">
        <f>events!AI119</f>
        <v>Velodrome</v>
      </c>
      <c r="AG119" s="5">
        <f t="shared" si="51"/>
        <v>0</v>
      </c>
      <c r="AH119" s="5">
        <f t="shared" si="52"/>
        <v>0</v>
      </c>
      <c r="AI119" s="16">
        <f t="shared" si="38"/>
        <v>0</v>
      </c>
      <c r="AJ119">
        <f t="shared" si="53"/>
        <v>0</v>
      </c>
      <c r="AK119">
        <f t="shared" si="54"/>
        <v>0</v>
      </c>
      <c r="AL119">
        <f t="shared" si="55"/>
        <v>0</v>
      </c>
      <c r="AM119">
        <f t="shared" si="56"/>
        <v>0</v>
      </c>
      <c r="AN119">
        <f t="shared" si="31"/>
        <v>0</v>
      </c>
      <c r="AO119">
        <f t="shared" si="39"/>
        <v>0</v>
      </c>
      <c r="AP119">
        <f t="shared" si="40"/>
        <v>0</v>
      </c>
      <c r="AQ119">
        <f t="shared" si="41"/>
        <v>0</v>
      </c>
      <c r="AY119" s="5"/>
    </row>
    <row r="120" spans="1:51" x14ac:dyDescent="0.2">
      <c r="A120">
        <f t="shared" si="50"/>
        <v>119</v>
      </c>
      <c r="B120" s="8">
        <f t="shared" si="42"/>
        <v>3</v>
      </c>
      <c r="C120">
        <f t="shared" si="43"/>
        <v>0</v>
      </c>
      <c r="D120" s="5">
        <f t="shared" si="44"/>
        <v>0</v>
      </c>
      <c r="O120" s="6">
        <f t="shared" si="45"/>
        <v>31</v>
      </c>
      <c r="V120">
        <f t="shared" si="46"/>
        <v>0</v>
      </c>
      <c r="W120" s="8">
        <f>SUMIFS(events!AJ:AJ,events!Q:Q,"=DeadIce",events!AK:AK,"&lt;="&amp;shifts!AG120,events!AL:AL,"&gt;"&amp;shifts!AH120,events!E:E,"="&amp;shifts!B121)+SUMIFS(events!AJ:AJ,events!Q:Q,"=Timeout",events!AK:AK,"&lt;="&amp;shifts!AG120,events!AL:AL,"&gt;"&amp;shifts!AH120,events!E:E,"="&amp;shifts!B121)</f>
        <v>0</v>
      </c>
      <c r="X120" s="8" t="str">
        <f t="shared" si="47"/>
        <v/>
      </c>
      <c r="Z120" t="str">
        <f t="shared" si="48"/>
        <v/>
      </c>
      <c r="AB120" t="str">
        <f t="shared" si="49"/>
        <v/>
      </c>
      <c r="AD120">
        <f>events!AG120</f>
        <v>18981</v>
      </c>
      <c r="AE120" t="str">
        <f>events!AH120</f>
        <v>Nelson</v>
      </c>
      <c r="AF120" t="str">
        <f>events!AI120</f>
        <v>Velodrome</v>
      </c>
      <c r="AG120" s="5">
        <f t="shared" si="51"/>
        <v>0</v>
      </c>
      <c r="AH120" s="5">
        <f t="shared" si="52"/>
        <v>0</v>
      </c>
      <c r="AI120" s="16">
        <f t="shared" si="38"/>
        <v>0</v>
      </c>
      <c r="AJ120">
        <f t="shared" si="53"/>
        <v>0</v>
      </c>
      <c r="AK120">
        <f t="shared" si="54"/>
        <v>0</v>
      </c>
      <c r="AL120">
        <f t="shared" si="55"/>
        <v>0</v>
      </c>
      <c r="AM120">
        <f t="shared" si="56"/>
        <v>0</v>
      </c>
      <c r="AN120">
        <f t="shared" si="31"/>
        <v>0</v>
      </c>
      <c r="AO120">
        <f t="shared" si="39"/>
        <v>0</v>
      </c>
      <c r="AP120">
        <f t="shared" si="40"/>
        <v>0</v>
      </c>
      <c r="AQ120">
        <f t="shared" si="41"/>
        <v>0</v>
      </c>
      <c r="AY120" s="5"/>
    </row>
    <row r="121" spans="1:51" x14ac:dyDescent="0.2">
      <c r="A121">
        <f t="shared" si="50"/>
        <v>120</v>
      </c>
      <c r="B121" s="8">
        <f t="shared" si="42"/>
        <v>3</v>
      </c>
      <c r="C121">
        <f t="shared" si="43"/>
        <v>0</v>
      </c>
      <c r="D121" s="5">
        <f t="shared" si="44"/>
        <v>0</v>
      </c>
      <c r="O121" s="6">
        <f t="shared" si="45"/>
        <v>31</v>
      </c>
      <c r="V121">
        <f t="shared" si="46"/>
        <v>0</v>
      </c>
      <c r="W121" s="8">
        <f>SUMIFS(events!AJ:AJ,events!Q:Q,"=DeadIce",events!AK:AK,"&lt;="&amp;shifts!AG121,events!AL:AL,"&gt;"&amp;shifts!AH121,events!E:E,"="&amp;shifts!B122)+SUMIFS(events!AJ:AJ,events!Q:Q,"=Timeout",events!AK:AK,"&lt;="&amp;shifts!AG121,events!AL:AL,"&gt;"&amp;shifts!AH121,events!E:E,"="&amp;shifts!B122)</f>
        <v>0</v>
      </c>
      <c r="X121" s="8" t="str">
        <f t="shared" si="47"/>
        <v/>
      </c>
      <c r="Z121" t="str">
        <f t="shared" si="48"/>
        <v/>
      </c>
      <c r="AB121" t="str">
        <f t="shared" si="49"/>
        <v/>
      </c>
      <c r="AD121">
        <f>events!AG121</f>
        <v>18981</v>
      </c>
      <c r="AE121" t="str">
        <f>events!AH121</f>
        <v>Nelson</v>
      </c>
      <c r="AF121" t="str">
        <f>events!AI121</f>
        <v>Velodrome</v>
      </c>
      <c r="AG121" s="5">
        <f t="shared" si="51"/>
        <v>0</v>
      </c>
      <c r="AH121" s="5">
        <f t="shared" si="52"/>
        <v>0</v>
      </c>
      <c r="AI121" s="16">
        <f t="shared" si="38"/>
        <v>0</v>
      </c>
      <c r="AJ121">
        <f t="shared" si="53"/>
        <v>0</v>
      </c>
      <c r="AK121">
        <f t="shared" si="54"/>
        <v>0</v>
      </c>
      <c r="AL121">
        <f t="shared" si="55"/>
        <v>0</v>
      </c>
      <c r="AM121">
        <f t="shared" si="56"/>
        <v>0</v>
      </c>
      <c r="AN121">
        <f t="shared" si="31"/>
        <v>0</v>
      </c>
      <c r="AO121">
        <f t="shared" si="39"/>
        <v>0</v>
      </c>
      <c r="AP121">
        <f t="shared" si="40"/>
        <v>0</v>
      </c>
      <c r="AQ121">
        <f t="shared" si="41"/>
        <v>0</v>
      </c>
      <c r="AY121" s="5"/>
    </row>
    <row r="122" spans="1:51" x14ac:dyDescent="0.2">
      <c r="A122">
        <f t="shared" si="50"/>
        <v>121</v>
      </c>
      <c r="B122" s="8">
        <f t="shared" si="42"/>
        <v>3</v>
      </c>
      <c r="C122">
        <f t="shared" si="43"/>
        <v>0</v>
      </c>
      <c r="D122" s="5">
        <f t="shared" si="44"/>
        <v>0</v>
      </c>
      <c r="O122" s="6">
        <f t="shared" si="45"/>
        <v>31</v>
      </c>
      <c r="V122">
        <f t="shared" si="46"/>
        <v>0</v>
      </c>
      <c r="W122" s="8">
        <f>SUMIFS(events!AJ:AJ,events!Q:Q,"=DeadIce",events!AK:AK,"&lt;="&amp;shifts!AG122,events!AL:AL,"&gt;"&amp;shifts!AH122,events!E:E,"="&amp;shifts!B123)+SUMIFS(events!AJ:AJ,events!Q:Q,"=Timeout",events!AK:AK,"&lt;="&amp;shifts!AG122,events!AL:AL,"&gt;"&amp;shifts!AH122,events!E:E,"="&amp;shifts!B123)</f>
        <v>0</v>
      </c>
      <c r="X122" s="8" t="str">
        <f t="shared" si="47"/>
        <v/>
      </c>
      <c r="Z122" t="str">
        <f t="shared" si="48"/>
        <v/>
      </c>
      <c r="AB122" t="str">
        <f t="shared" si="49"/>
        <v/>
      </c>
      <c r="AD122">
        <f>events!AG122</f>
        <v>18981</v>
      </c>
      <c r="AE122" t="str">
        <f>events!AH122</f>
        <v>Nelson</v>
      </c>
      <c r="AF122" t="str">
        <f>events!AI122</f>
        <v>Velodrome</v>
      </c>
      <c r="AG122" s="5">
        <f t="shared" si="51"/>
        <v>0</v>
      </c>
      <c r="AH122" s="5">
        <f t="shared" si="52"/>
        <v>0</v>
      </c>
      <c r="AI122" s="16">
        <f t="shared" si="38"/>
        <v>0</v>
      </c>
      <c r="AJ122">
        <f t="shared" si="53"/>
        <v>0</v>
      </c>
      <c r="AK122">
        <f t="shared" si="54"/>
        <v>0</v>
      </c>
      <c r="AL122">
        <f t="shared" si="55"/>
        <v>0</v>
      </c>
      <c r="AM122">
        <f t="shared" si="56"/>
        <v>0</v>
      </c>
      <c r="AN122">
        <f t="shared" si="31"/>
        <v>0</v>
      </c>
      <c r="AO122">
        <f t="shared" si="39"/>
        <v>0</v>
      </c>
      <c r="AP122">
        <f t="shared" si="40"/>
        <v>0</v>
      </c>
      <c r="AQ122">
        <f t="shared" si="41"/>
        <v>0</v>
      </c>
      <c r="AY122" s="5"/>
    </row>
    <row r="123" spans="1:51" x14ac:dyDescent="0.2">
      <c r="A123">
        <f t="shared" si="50"/>
        <v>122</v>
      </c>
      <c r="B123" s="8">
        <f t="shared" si="42"/>
        <v>3</v>
      </c>
      <c r="C123">
        <f t="shared" si="43"/>
        <v>0</v>
      </c>
      <c r="D123" s="5">
        <f t="shared" si="44"/>
        <v>0</v>
      </c>
      <c r="O123" s="6">
        <f t="shared" si="45"/>
        <v>31</v>
      </c>
      <c r="V123">
        <f t="shared" si="46"/>
        <v>0</v>
      </c>
      <c r="W123" s="8">
        <f>SUMIFS(events!AJ:AJ,events!Q:Q,"=DeadIce",events!AK:AK,"&lt;="&amp;shifts!AG123,events!AL:AL,"&gt;"&amp;shifts!AH123,events!E:E,"="&amp;shifts!B124)+SUMIFS(events!AJ:AJ,events!Q:Q,"=Timeout",events!AK:AK,"&lt;="&amp;shifts!AG123,events!AL:AL,"&gt;"&amp;shifts!AH123,events!E:E,"="&amp;shifts!B124)</f>
        <v>0</v>
      </c>
      <c r="X123" s="8" t="str">
        <f t="shared" si="47"/>
        <v/>
      </c>
      <c r="Z123" t="str">
        <f t="shared" si="48"/>
        <v/>
      </c>
      <c r="AB123" t="str">
        <f t="shared" si="49"/>
        <v/>
      </c>
      <c r="AD123">
        <f>events!AG123</f>
        <v>18981</v>
      </c>
      <c r="AE123" t="str">
        <f>events!AH123</f>
        <v>Nelson</v>
      </c>
      <c r="AF123" t="str">
        <f>events!AI123</f>
        <v>Velodrome</v>
      </c>
      <c r="AG123" s="5">
        <f t="shared" si="51"/>
        <v>0</v>
      </c>
      <c r="AH123" s="5">
        <f t="shared" si="52"/>
        <v>0</v>
      </c>
      <c r="AI123" s="16">
        <f t="shared" si="38"/>
        <v>0</v>
      </c>
      <c r="AJ123">
        <f t="shared" si="53"/>
        <v>0</v>
      </c>
      <c r="AK123">
        <f t="shared" si="54"/>
        <v>0</v>
      </c>
      <c r="AL123">
        <f t="shared" si="55"/>
        <v>0</v>
      </c>
      <c r="AM123">
        <f t="shared" si="56"/>
        <v>0</v>
      </c>
      <c r="AN123">
        <f t="shared" si="31"/>
        <v>0</v>
      </c>
      <c r="AO123">
        <f t="shared" si="39"/>
        <v>0</v>
      </c>
      <c r="AP123">
        <f t="shared" si="40"/>
        <v>0</v>
      </c>
      <c r="AQ123">
        <f t="shared" si="41"/>
        <v>0</v>
      </c>
      <c r="AY123" s="5"/>
    </row>
    <row r="124" spans="1:51" x14ac:dyDescent="0.2">
      <c r="A124">
        <f t="shared" si="50"/>
        <v>123</v>
      </c>
      <c r="B124" s="8">
        <f t="shared" si="42"/>
        <v>3</v>
      </c>
      <c r="C124">
        <f t="shared" si="43"/>
        <v>0</v>
      </c>
      <c r="D124" s="5">
        <f t="shared" si="44"/>
        <v>0</v>
      </c>
      <c r="O124" s="6">
        <f t="shared" si="45"/>
        <v>31</v>
      </c>
      <c r="V124">
        <f t="shared" si="46"/>
        <v>0</v>
      </c>
      <c r="W124" s="8">
        <f>SUMIFS(events!AJ:AJ,events!Q:Q,"=DeadIce",events!AK:AK,"&lt;="&amp;shifts!AG124,events!AL:AL,"&gt;"&amp;shifts!AH124,events!E:E,"="&amp;shifts!B125)+SUMIFS(events!AJ:AJ,events!Q:Q,"=Timeout",events!AK:AK,"&lt;="&amp;shifts!AG124,events!AL:AL,"&gt;"&amp;shifts!AH124,events!E:E,"="&amp;shifts!B125)</f>
        <v>0</v>
      </c>
      <c r="X124" s="8" t="str">
        <f t="shared" si="47"/>
        <v/>
      </c>
      <c r="Z124" t="str">
        <f t="shared" si="48"/>
        <v/>
      </c>
      <c r="AB124" t="str">
        <f t="shared" si="49"/>
        <v/>
      </c>
      <c r="AD124">
        <f>events!AG124</f>
        <v>18981</v>
      </c>
      <c r="AE124" t="str">
        <f>events!AH124</f>
        <v>Nelson</v>
      </c>
      <c r="AF124" t="str">
        <f>events!AI124</f>
        <v>Velodrome</v>
      </c>
      <c r="AG124" s="5">
        <f t="shared" si="51"/>
        <v>0</v>
      </c>
      <c r="AH124" s="5">
        <f t="shared" si="52"/>
        <v>0</v>
      </c>
      <c r="AI124" s="16">
        <f t="shared" si="38"/>
        <v>0</v>
      </c>
      <c r="AJ124">
        <f t="shared" si="53"/>
        <v>0</v>
      </c>
      <c r="AK124">
        <f t="shared" si="54"/>
        <v>0</v>
      </c>
      <c r="AL124">
        <f t="shared" si="55"/>
        <v>0</v>
      </c>
      <c r="AM124">
        <f t="shared" si="56"/>
        <v>0</v>
      </c>
      <c r="AN124">
        <f t="shared" si="31"/>
        <v>0</v>
      </c>
      <c r="AO124">
        <f t="shared" si="39"/>
        <v>0</v>
      </c>
      <c r="AP124">
        <f t="shared" si="40"/>
        <v>0</v>
      </c>
      <c r="AQ124">
        <f t="shared" si="41"/>
        <v>0</v>
      </c>
      <c r="AY124" s="5"/>
    </row>
    <row r="125" spans="1:51" x14ac:dyDescent="0.2">
      <c r="A125">
        <f t="shared" si="50"/>
        <v>124</v>
      </c>
      <c r="B125" s="8">
        <f t="shared" si="42"/>
        <v>3</v>
      </c>
      <c r="C125">
        <f t="shared" si="43"/>
        <v>0</v>
      </c>
      <c r="D125" s="5">
        <f t="shared" si="44"/>
        <v>0</v>
      </c>
      <c r="O125" s="6">
        <f t="shared" si="45"/>
        <v>31</v>
      </c>
      <c r="V125">
        <f t="shared" si="46"/>
        <v>0</v>
      </c>
      <c r="W125" s="8">
        <f>SUMIFS(events!AJ:AJ,events!Q:Q,"=DeadIce",events!AK:AK,"&lt;="&amp;shifts!AG125,events!AL:AL,"&gt;"&amp;shifts!AH125,events!E:E,"="&amp;shifts!B126)+SUMIFS(events!AJ:AJ,events!Q:Q,"=Timeout",events!AK:AK,"&lt;="&amp;shifts!AG125,events!AL:AL,"&gt;"&amp;shifts!AH125,events!E:E,"="&amp;shifts!B126)</f>
        <v>0</v>
      </c>
      <c r="X125" s="8" t="str">
        <f t="shared" si="47"/>
        <v/>
      </c>
      <c r="Z125" t="str">
        <f t="shared" si="48"/>
        <v/>
      </c>
      <c r="AB125" t="str">
        <f t="shared" si="49"/>
        <v/>
      </c>
      <c r="AD125">
        <f>events!AG125</f>
        <v>18981</v>
      </c>
      <c r="AE125" t="str">
        <f>events!AH125</f>
        <v>Nelson</v>
      </c>
      <c r="AF125" t="str">
        <f>events!AI125</f>
        <v>Velodrome</v>
      </c>
      <c r="AG125" s="5">
        <f t="shared" si="51"/>
        <v>0</v>
      </c>
      <c r="AH125" s="5">
        <f t="shared" si="52"/>
        <v>0</v>
      </c>
      <c r="AI125" s="16">
        <f t="shared" si="38"/>
        <v>0</v>
      </c>
      <c r="AJ125">
        <f t="shared" si="53"/>
        <v>0</v>
      </c>
      <c r="AK125">
        <f t="shared" si="54"/>
        <v>0</v>
      </c>
      <c r="AL125">
        <f t="shared" si="55"/>
        <v>0</v>
      </c>
      <c r="AM125">
        <f t="shared" si="56"/>
        <v>0</v>
      </c>
      <c r="AN125">
        <f t="shared" si="31"/>
        <v>0</v>
      </c>
      <c r="AO125">
        <f t="shared" si="39"/>
        <v>0</v>
      </c>
      <c r="AP125">
        <f t="shared" si="40"/>
        <v>0</v>
      </c>
      <c r="AQ125">
        <f t="shared" si="41"/>
        <v>0</v>
      </c>
      <c r="AY125" s="5"/>
    </row>
    <row r="126" spans="1:51" x14ac:dyDescent="0.2">
      <c r="A126">
        <f t="shared" si="50"/>
        <v>125</v>
      </c>
      <c r="B126" s="8">
        <f t="shared" si="42"/>
        <v>3</v>
      </c>
      <c r="C126">
        <f t="shared" si="43"/>
        <v>0</v>
      </c>
      <c r="D126" s="5">
        <f t="shared" si="44"/>
        <v>0</v>
      </c>
      <c r="O126" s="6">
        <f t="shared" si="45"/>
        <v>31</v>
      </c>
      <c r="V126">
        <f t="shared" si="46"/>
        <v>0</v>
      </c>
      <c r="W126" s="8">
        <f>SUMIFS(events!AJ:AJ,events!Q:Q,"=DeadIce",events!AK:AK,"&lt;="&amp;shifts!AG126,events!AL:AL,"&gt;"&amp;shifts!AH126,events!E:E,"="&amp;shifts!B127)+SUMIFS(events!AJ:AJ,events!Q:Q,"=Timeout",events!AK:AK,"&lt;="&amp;shifts!AG126,events!AL:AL,"&gt;"&amp;shifts!AH126,events!E:E,"="&amp;shifts!B127)</f>
        <v>0</v>
      </c>
      <c r="X126" s="8" t="str">
        <f t="shared" si="47"/>
        <v/>
      </c>
      <c r="Z126" t="str">
        <f t="shared" si="48"/>
        <v/>
      </c>
      <c r="AB126" t="str">
        <f t="shared" si="49"/>
        <v/>
      </c>
      <c r="AD126">
        <f>events!AG126</f>
        <v>18981</v>
      </c>
      <c r="AE126" t="str">
        <f>events!AH126</f>
        <v>Nelson</v>
      </c>
      <c r="AF126" t="str">
        <f>events!AI126</f>
        <v>Velodrome</v>
      </c>
      <c r="AG126" s="5">
        <f t="shared" si="51"/>
        <v>0</v>
      </c>
      <c r="AH126" s="5">
        <f t="shared" si="52"/>
        <v>0</v>
      </c>
      <c r="AI126" s="16">
        <f t="shared" si="38"/>
        <v>0</v>
      </c>
      <c r="AJ126">
        <f t="shared" si="53"/>
        <v>0</v>
      </c>
      <c r="AK126">
        <f t="shared" si="54"/>
        <v>0</v>
      </c>
      <c r="AL126">
        <f t="shared" si="55"/>
        <v>0</v>
      </c>
      <c r="AM126">
        <f t="shared" si="56"/>
        <v>0</v>
      </c>
      <c r="AN126">
        <f t="shared" si="31"/>
        <v>0</v>
      </c>
      <c r="AO126">
        <f t="shared" si="39"/>
        <v>0</v>
      </c>
      <c r="AP126">
        <f t="shared" si="40"/>
        <v>0</v>
      </c>
      <c r="AQ126">
        <f t="shared" si="41"/>
        <v>0</v>
      </c>
      <c r="AY126" s="5"/>
    </row>
    <row r="127" spans="1:51" x14ac:dyDescent="0.2">
      <c r="A127">
        <f t="shared" si="50"/>
        <v>126</v>
      </c>
      <c r="B127" s="8">
        <f t="shared" si="42"/>
        <v>3</v>
      </c>
      <c r="C127">
        <f t="shared" si="43"/>
        <v>0</v>
      </c>
      <c r="D127" s="5">
        <f t="shared" si="44"/>
        <v>0</v>
      </c>
      <c r="O127" s="6">
        <f t="shared" si="45"/>
        <v>31</v>
      </c>
      <c r="V127">
        <f t="shared" si="46"/>
        <v>0</v>
      </c>
      <c r="W127" s="8">
        <f>SUMIFS(events!AJ:AJ,events!Q:Q,"=DeadIce",events!AK:AK,"&lt;="&amp;shifts!AG127,events!AL:AL,"&gt;"&amp;shifts!AH127,events!E:E,"="&amp;shifts!B128)+SUMIFS(events!AJ:AJ,events!Q:Q,"=Timeout",events!AK:AK,"&lt;="&amp;shifts!AG127,events!AL:AL,"&gt;"&amp;shifts!AH127,events!E:E,"="&amp;shifts!B128)</f>
        <v>0</v>
      </c>
      <c r="X127" s="8" t="str">
        <f t="shared" si="47"/>
        <v/>
      </c>
      <c r="Z127" t="str">
        <f t="shared" si="48"/>
        <v/>
      </c>
      <c r="AB127" t="str">
        <f t="shared" si="49"/>
        <v/>
      </c>
      <c r="AD127">
        <f>events!AG127</f>
        <v>18981</v>
      </c>
      <c r="AE127" t="str">
        <f>events!AH127</f>
        <v>Nelson</v>
      </c>
      <c r="AF127" t="str">
        <f>events!AI127</f>
        <v>Velodrome</v>
      </c>
      <c r="AG127" s="5">
        <f t="shared" si="51"/>
        <v>0</v>
      </c>
      <c r="AH127" s="5">
        <f t="shared" si="52"/>
        <v>0</v>
      </c>
      <c r="AI127" s="16">
        <f t="shared" si="38"/>
        <v>0</v>
      </c>
      <c r="AJ127">
        <f t="shared" si="53"/>
        <v>0</v>
      </c>
      <c r="AK127">
        <f t="shared" si="54"/>
        <v>0</v>
      </c>
      <c r="AL127">
        <f t="shared" si="55"/>
        <v>0</v>
      </c>
      <c r="AM127">
        <f t="shared" si="56"/>
        <v>0</v>
      </c>
      <c r="AN127">
        <f t="shared" si="31"/>
        <v>0</v>
      </c>
      <c r="AO127">
        <f t="shared" si="39"/>
        <v>0</v>
      </c>
      <c r="AP127">
        <f t="shared" si="40"/>
        <v>0</v>
      </c>
      <c r="AQ127">
        <f t="shared" si="41"/>
        <v>0</v>
      </c>
      <c r="AY127" s="5"/>
    </row>
    <row r="128" spans="1:51" x14ac:dyDescent="0.2">
      <c r="A128">
        <f t="shared" si="50"/>
        <v>127</v>
      </c>
      <c r="B128" s="8">
        <f t="shared" si="42"/>
        <v>3</v>
      </c>
      <c r="C128">
        <f t="shared" si="43"/>
        <v>0</v>
      </c>
      <c r="D128" s="5">
        <f t="shared" si="44"/>
        <v>0</v>
      </c>
      <c r="O128" s="6">
        <f t="shared" si="45"/>
        <v>31</v>
      </c>
      <c r="V128">
        <f t="shared" si="46"/>
        <v>0</v>
      </c>
      <c r="W128" s="8">
        <f>SUMIFS(events!AJ:AJ,events!Q:Q,"=DeadIce",events!AK:AK,"&lt;="&amp;shifts!AG128,events!AL:AL,"&gt;"&amp;shifts!AH128,events!E:E,"="&amp;shifts!B129)+SUMIFS(events!AJ:AJ,events!Q:Q,"=Timeout",events!AK:AK,"&lt;="&amp;shifts!AG128,events!AL:AL,"&gt;"&amp;shifts!AH128,events!E:E,"="&amp;shifts!B129)</f>
        <v>0</v>
      </c>
      <c r="X128" s="8" t="str">
        <f t="shared" si="47"/>
        <v/>
      </c>
      <c r="Z128" t="str">
        <f t="shared" si="48"/>
        <v/>
      </c>
      <c r="AB128" t="str">
        <f t="shared" si="49"/>
        <v/>
      </c>
      <c r="AD128">
        <f>events!AG128</f>
        <v>18981</v>
      </c>
      <c r="AE128" t="str">
        <f>events!AH128</f>
        <v>Nelson</v>
      </c>
      <c r="AF128" t="str">
        <f>events!AI128</f>
        <v>Velodrome</v>
      </c>
      <c r="AG128" s="5">
        <f t="shared" si="51"/>
        <v>0</v>
      </c>
      <c r="AH128" s="5">
        <f t="shared" si="52"/>
        <v>0</v>
      </c>
      <c r="AI128" s="16">
        <f t="shared" si="38"/>
        <v>0</v>
      </c>
      <c r="AJ128">
        <f t="shared" si="53"/>
        <v>0</v>
      </c>
      <c r="AK128">
        <f t="shared" si="54"/>
        <v>0</v>
      </c>
      <c r="AL128">
        <f t="shared" si="55"/>
        <v>0</v>
      </c>
      <c r="AM128">
        <f t="shared" si="56"/>
        <v>0</v>
      </c>
      <c r="AN128">
        <f t="shared" si="31"/>
        <v>0</v>
      </c>
      <c r="AO128">
        <f t="shared" si="39"/>
        <v>0</v>
      </c>
      <c r="AP128">
        <f t="shared" si="40"/>
        <v>0</v>
      </c>
      <c r="AQ128">
        <f t="shared" si="41"/>
        <v>0</v>
      </c>
      <c r="AY128" s="5"/>
    </row>
    <row r="129" spans="1:51" x14ac:dyDescent="0.2">
      <c r="A129">
        <f t="shared" si="50"/>
        <v>128</v>
      </c>
      <c r="B129" s="8">
        <f t="shared" si="42"/>
        <v>3</v>
      </c>
      <c r="C129">
        <f t="shared" si="43"/>
        <v>0</v>
      </c>
      <c r="D129" s="5">
        <f t="shared" si="44"/>
        <v>0</v>
      </c>
      <c r="O129" s="6">
        <f t="shared" si="45"/>
        <v>31</v>
      </c>
      <c r="V129">
        <f t="shared" si="46"/>
        <v>0</v>
      </c>
      <c r="W129" s="8">
        <f>SUMIFS(events!AJ:AJ,events!Q:Q,"=DeadIce",events!AK:AK,"&lt;="&amp;shifts!AG129,events!AL:AL,"&gt;"&amp;shifts!AH129,events!E:E,"="&amp;shifts!B130)+SUMIFS(events!AJ:AJ,events!Q:Q,"=Timeout",events!AK:AK,"&lt;="&amp;shifts!AG129,events!AL:AL,"&gt;"&amp;shifts!AH129,events!E:E,"="&amp;shifts!B130)</f>
        <v>0</v>
      </c>
      <c r="X129" s="8" t="str">
        <f t="shared" si="47"/>
        <v/>
      </c>
      <c r="Z129" t="str">
        <f t="shared" si="48"/>
        <v/>
      </c>
      <c r="AB129" t="str">
        <f t="shared" si="49"/>
        <v/>
      </c>
      <c r="AD129">
        <f>events!AG129</f>
        <v>18981</v>
      </c>
      <c r="AE129" t="str">
        <f>events!AH129</f>
        <v>Nelson</v>
      </c>
      <c r="AF129" t="str">
        <f>events!AI129</f>
        <v>Velodrome</v>
      </c>
      <c r="AG129" s="5">
        <f t="shared" si="51"/>
        <v>0</v>
      </c>
      <c r="AH129" s="5">
        <f t="shared" si="52"/>
        <v>0</v>
      </c>
      <c r="AI129" s="16">
        <f t="shared" si="38"/>
        <v>0</v>
      </c>
      <c r="AJ129">
        <f t="shared" si="53"/>
        <v>0</v>
      </c>
      <c r="AK129">
        <f t="shared" si="54"/>
        <v>0</v>
      </c>
      <c r="AL129">
        <f t="shared" si="55"/>
        <v>0</v>
      </c>
      <c r="AM129">
        <f t="shared" si="56"/>
        <v>0</v>
      </c>
      <c r="AN129">
        <f t="shared" ref="AN129:AN192" si="57">IF(AND($AL129&lt;&gt;1,$AJ129&lt;$AK129,AM129&lt;&gt;1),1,)</f>
        <v>0</v>
      </c>
      <c r="AO129">
        <f t="shared" si="39"/>
        <v>0</v>
      </c>
      <c r="AP129">
        <f t="shared" si="40"/>
        <v>0</v>
      </c>
      <c r="AQ129">
        <f t="shared" si="41"/>
        <v>0</v>
      </c>
      <c r="AY129" s="5"/>
    </row>
    <row r="130" spans="1:51" x14ac:dyDescent="0.2">
      <c r="A130">
        <f t="shared" si="50"/>
        <v>129</v>
      </c>
      <c r="B130" s="8">
        <f t="shared" si="42"/>
        <v>3</v>
      </c>
      <c r="C130">
        <f t="shared" si="43"/>
        <v>0</v>
      </c>
      <c r="D130" s="5">
        <f t="shared" si="44"/>
        <v>0</v>
      </c>
      <c r="O130" s="6">
        <f t="shared" si="45"/>
        <v>31</v>
      </c>
      <c r="V130">
        <f t="shared" si="46"/>
        <v>0</v>
      </c>
      <c r="W130" s="8">
        <f>SUMIFS(events!AJ:AJ,events!Q:Q,"=DeadIce",events!AK:AK,"&lt;="&amp;shifts!AG130,events!AL:AL,"&gt;"&amp;shifts!AH130,events!E:E,"="&amp;shifts!B131)+SUMIFS(events!AJ:AJ,events!Q:Q,"=Timeout",events!AK:AK,"&lt;="&amp;shifts!AG130,events!AL:AL,"&gt;"&amp;shifts!AH130,events!E:E,"="&amp;shifts!B131)</f>
        <v>0</v>
      </c>
      <c r="X130" s="8" t="str">
        <f t="shared" si="47"/>
        <v/>
      </c>
      <c r="Z130" t="str">
        <f t="shared" si="48"/>
        <v/>
      </c>
      <c r="AB130" t="str">
        <f t="shared" si="49"/>
        <v/>
      </c>
      <c r="AD130">
        <f>events!AG130</f>
        <v>18981</v>
      </c>
      <c r="AE130" t="str">
        <f>events!AH130</f>
        <v>Nelson</v>
      </c>
      <c r="AF130" t="str">
        <f>events!AI130</f>
        <v>Velodrome</v>
      </c>
      <c r="AG130" s="5">
        <f t="shared" ref="AG130:AG161" si="58">((C130*60)+D130)</f>
        <v>0</v>
      </c>
      <c r="AH130" s="5">
        <f t="shared" ref="AH130:AH161" si="59">((E130*60)+F130)</f>
        <v>0</v>
      </c>
      <c r="AI130" s="16">
        <f t="shared" si="38"/>
        <v>0</v>
      </c>
      <c r="AJ130">
        <f t="shared" ref="AJ130:AJ161" si="60">COUNTIF(I130:N130,"&gt;0")</f>
        <v>0</v>
      </c>
      <c r="AK130">
        <f t="shared" ref="AK130:AK161" si="61">COUNTIF(P130:U130,"&gt;0")</f>
        <v>0</v>
      </c>
      <c r="AL130">
        <f t="shared" ref="AL130:AL161" si="62">IF(O130="",1,0)</f>
        <v>0</v>
      </c>
      <c r="AM130">
        <f t="shared" ref="AM130:AM161" si="63">IF(V130="",1,0)</f>
        <v>0</v>
      </c>
      <c r="AN130">
        <f t="shared" si="57"/>
        <v>0</v>
      </c>
      <c r="AO130">
        <f t="shared" si="39"/>
        <v>0</v>
      </c>
      <c r="AP130">
        <f t="shared" si="40"/>
        <v>0</v>
      </c>
      <c r="AQ130">
        <f t="shared" si="41"/>
        <v>0</v>
      </c>
      <c r="AY130" s="5"/>
    </row>
    <row r="131" spans="1:51" x14ac:dyDescent="0.2">
      <c r="A131">
        <f t="shared" si="50"/>
        <v>130</v>
      </c>
      <c r="B131" s="8">
        <f t="shared" si="42"/>
        <v>3</v>
      </c>
      <c r="C131">
        <f t="shared" si="43"/>
        <v>0</v>
      </c>
      <c r="D131" s="5">
        <f t="shared" si="44"/>
        <v>0</v>
      </c>
      <c r="O131" s="6">
        <f t="shared" si="45"/>
        <v>31</v>
      </c>
      <c r="V131">
        <f t="shared" si="46"/>
        <v>0</v>
      </c>
      <c r="W131" s="8">
        <f>SUMIFS(events!AJ:AJ,events!Q:Q,"=DeadIce",events!AK:AK,"&lt;="&amp;shifts!AG131,events!AL:AL,"&gt;"&amp;shifts!AH131,events!E:E,"="&amp;shifts!B132)+SUMIFS(events!AJ:AJ,events!Q:Q,"=Timeout",events!AK:AK,"&lt;="&amp;shifts!AG131,events!AL:AL,"&gt;"&amp;shifts!AH131,events!E:E,"="&amp;shifts!B132)</f>
        <v>0</v>
      </c>
      <c r="X131" s="8" t="str">
        <f t="shared" si="47"/>
        <v/>
      </c>
      <c r="Z131" t="str">
        <f t="shared" si="48"/>
        <v/>
      </c>
      <c r="AB131" t="str">
        <f t="shared" si="49"/>
        <v/>
      </c>
      <c r="AD131">
        <f>events!AG131</f>
        <v>18981</v>
      </c>
      <c r="AE131" t="str">
        <f>events!AH131</f>
        <v>Nelson</v>
      </c>
      <c r="AF131" t="str">
        <f>events!AI131</f>
        <v>Velodrome</v>
      </c>
      <c r="AG131" s="5">
        <f t="shared" si="58"/>
        <v>0</v>
      </c>
      <c r="AH131" s="5">
        <f t="shared" si="59"/>
        <v>0</v>
      </c>
      <c r="AI131" s="16">
        <f t="shared" ref="AI131:AI194" si="64">ROUND(AG131-AH131,0)</f>
        <v>0</v>
      </c>
      <c r="AJ131">
        <f t="shared" si="60"/>
        <v>0</v>
      </c>
      <c r="AK131">
        <f t="shared" si="61"/>
        <v>0</v>
      </c>
      <c r="AL131">
        <f t="shared" si="62"/>
        <v>0</v>
      </c>
      <c r="AM131">
        <f t="shared" si="63"/>
        <v>0</v>
      </c>
      <c r="AN131">
        <f t="shared" si="57"/>
        <v>0</v>
      </c>
      <c r="AO131">
        <f t="shared" ref="AO131:AO194" si="65">IF(AND($AL131&lt;&gt;1,$AJ131&gt;$AK131),1,)</f>
        <v>0</v>
      </c>
      <c r="AP131">
        <f t="shared" ref="AP131:AP194" si="66">IF(AN131=1,1,0)</f>
        <v>0</v>
      </c>
      <c r="AQ131">
        <f t="shared" ref="AQ131:AQ194" si="67">IF(AO131=1,1,0)</f>
        <v>0</v>
      </c>
      <c r="AY131" s="5"/>
    </row>
    <row r="132" spans="1:51" x14ac:dyDescent="0.2">
      <c r="A132">
        <f t="shared" si="50"/>
        <v>131</v>
      </c>
      <c r="B132" s="8">
        <f t="shared" ref="B132:B195" si="68">IF(G132="PeriodStart",B131+1,B131)</f>
        <v>3</v>
      </c>
      <c r="C132">
        <f t="shared" ref="C132:C195" si="69">IF(G132&lt;&gt;"PeriodStart",E131,18)</f>
        <v>0</v>
      </c>
      <c r="D132" s="5">
        <f t="shared" ref="D132:D195" si="70">F131</f>
        <v>0</v>
      </c>
      <c r="O132" s="6">
        <f t="shared" ref="O132:O195" si="71">O131</f>
        <v>31</v>
      </c>
      <c r="V132">
        <f t="shared" ref="V132:V195" si="72">V131</f>
        <v>0</v>
      </c>
      <c r="W132" s="8">
        <f>SUMIFS(events!AJ:AJ,events!Q:Q,"=DeadIce",events!AK:AK,"&lt;="&amp;shifts!AG132,events!AL:AL,"&gt;"&amp;shifts!AH132,events!E:E,"="&amp;shifts!B133)+SUMIFS(events!AJ:AJ,events!Q:Q,"=Timeout",events!AK:AK,"&lt;="&amp;shifts!AG132,events!AL:AL,"&gt;"&amp;shifts!AH132,events!E:E,"="&amp;shifts!B133)</f>
        <v>0</v>
      </c>
      <c r="X132" s="8" t="str">
        <f t="shared" ref="X132:X195" si="73">IF(OR($H131="Home Goal",$H131="Away Goal",$H131="Period End"),"",IF(Y131=1,1,""))</f>
        <v/>
      </c>
      <c r="Z132" t="str">
        <f t="shared" ref="Z132:Z195" si="74">IF(OR($H131="Home Goal",$H131="Away Goal",$H131="Period End"),"",IF(AA131=1,1,""))</f>
        <v/>
      </c>
      <c r="AB132" t="str">
        <f t="shared" ref="AB132:AB195" si="75">IF(OR($H131="Home Goal",$H131="Away Goal",$H131="Period End"),1,IF(AC131=1,1,""))</f>
        <v/>
      </c>
      <c r="AD132">
        <f>events!AG132</f>
        <v>18981</v>
      </c>
      <c r="AE132" t="str">
        <f>events!AH132</f>
        <v>Nelson</v>
      </c>
      <c r="AF132" t="str">
        <f>events!AI132</f>
        <v>Velodrome</v>
      </c>
      <c r="AG132" s="5">
        <f t="shared" si="58"/>
        <v>0</v>
      </c>
      <c r="AH132" s="5">
        <f t="shared" si="59"/>
        <v>0</v>
      </c>
      <c r="AI132" s="16">
        <f t="shared" si="64"/>
        <v>0</v>
      </c>
      <c r="AJ132">
        <f t="shared" si="60"/>
        <v>0</v>
      </c>
      <c r="AK132">
        <f t="shared" si="61"/>
        <v>0</v>
      </c>
      <c r="AL132">
        <f t="shared" si="62"/>
        <v>0</v>
      </c>
      <c r="AM132">
        <f t="shared" si="63"/>
        <v>0</v>
      </c>
      <c r="AN132">
        <f t="shared" si="57"/>
        <v>0</v>
      </c>
      <c r="AO132">
        <f t="shared" si="65"/>
        <v>0</v>
      </c>
      <c r="AP132">
        <f t="shared" si="66"/>
        <v>0</v>
      </c>
      <c r="AQ132">
        <f t="shared" si="67"/>
        <v>0</v>
      </c>
      <c r="AY132" s="5"/>
    </row>
    <row r="133" spans="1:51" x14ac:dyDescent="0.2">
      <c r="A133">
        <f t="shared" ref="A133:A196" si="76">A132+1</f>
        <v>132</v>
      </c>
      <c r="B133" s="8">
        <f t="shared" si="68"/>
        <v>3</v>
      </c>
      <c r="C133">
        <f t="shared" si="69"/>
        <v>0</v>
      </c>
      <c r="D133" s="5">
        <f t="shared" si="70"/>
        <v>0</v>
      </c>
      <c r="O133" s="6">
        <f t="shared" si="71"/>
        <v>31</v>
      </c>
      <c r="V133">
        <f t="shared" si="72"/>
        <v>0</v>
      </c>
      <c r="W133" s="8">
        <f>SUMIFS(events!AJ:AJ,events!Q:Q,"=DeadIce",events!AK:AK,"&lt;="&amp;shifts!AG133,events!AL:AL,"&gt;"&amp;shifts!AH133,events!E:E,"="&amp;shifts!B134)+SUMIFS(events!AJ:AJ,events!Q:Q,"=Timeout",events!AK:AK,"&lt;="&amp;shifts!AG133,events!AL:AL,"&gt;"&amp;shifts!AH133,events!E:E,"="&amp;shifts!B134)</f>
        <v>0</v>
      </c>
      <c r="X133" s="8" t="str">
        <f t="shared" si="73"/>
        <v/>
      </c>
      <c r="Z133" t="str">
        <f t="shared" si="74"/>
        <v/>
      </c>
      <c r="AB133" t="str">
        <f t="shared" si="75"/>
        <v/>
      </c>
      <c r="AD133">
        <f>events!AG133</f>
        <v>18981</v>
      </c>
      <c r="AE133" t="str">
        <f>events!AH133</f>
        <v>Nelson</v>
      </c>
      <c r="AF133" t="str">
        <f>events!AI133</f>
        <v>Velodrome</v>
      </c>
      <c r="AG133" s="5">
        <f t="shared" si="58"/>
        <v>0</v>
      </c>
      <c r="AH133" s="5">
        <f t="shared" si="59"/>
        <v>0</v>
      </c>
      <c r="AI133" s="16">
        <f t="shared" si="64"/>
        <v>0</v>
      </c>
      <c r="AJ133">
        <f t="shared" si="60"/>
        <v>0</v>
      </c>
      <c r="AK133">
        <f t="shared" si="61"/>
        <v>0</v>
      </c>
      <c r="AL133">
        <f t="shared" si="62"/>
        <v>0</v>
      </c>
      <c r="AM133">
        <f t="shared" si="63"/>
        <v>0</v>
      </c>
      <c r="AN133">
        <f t="shared" si="57"/>
        <v>0</v>
      </c>
      <c r="AO133">
        <f t="shared" si="65"/>
        <v>0</v>
      </c>
      <c r="AP133">
        <f t="shared" si="66"/>
        <v>0</v>
      </c>
      <c r="AQ133">
        <f t="shared" si="67"/>
        <v>0</v>
      </c>
      <c r="AY133" s="5"/>
    </row>
    <row r="134" spans="1:51" x14ac:dyDescent="0.2">
      <c r="A134">
        <f t="shared" si="76"/>
        <v>133</v>
      </c>
      <c r="B134" s="8">
        <f t="shared" si="68"/>
        <v>3</v>
      </c>
      <c r="C134">
        <f t="shared" si="69"/>
        <v>0</v>
      </c>
      <c r="D134" s="5">
        <f t="shared" si="70"/>
        <v>0</v>
      </c>
      <c r="O134" s="6">
        <f t="shared" si="71"/>
        <v>31</v>
      </c>
      <c r="V134">
        <f t="shared" si="72"/>
        <v>0</v>
      </c>
      <c r="W134" s="8">
        <f>SUMIFS(events!AJ:AJ,events!Q:Q,"=DeadIce",events!AK:AK,"&lt;="&amp;shifts!AG134,events!AL:AL,"&gt;"&amp;shifts!AH134,events!E:E,"="&amp;shifts!B135)+SUMIFS(events!AJ:AJ,events!Q:Q,"=Timeout",events!AK:AK,"&lt;="&amp;shifts!AG134,events!AL:AL,"&gt;"&amp;shifts!AH134,events!E:E,"="&amp;shifts!B135)</f>
        <v>0</v>
      </c>
      <c r="X134" s="8" t="str">
        <f t="shared" si="73"/>
        <v/>
      </c>
      <c r="Z134" t="str">
        <f t="shared" si="74"/>
        <v/>
      </c>
      <c r="AB134" t="str">
        <f t="shared" si="75"/>
        <v/>
      </c>
      <c r="AD134">
        <f>events!AG134</f>
        <v>18981</v>
      </c>
      <c r="AE134" t="str">
        <f>events!AH134</f>
        <v>Nelson</v>
      </c>
      <c r="AF134" t="str">
        <f>events!AI134</f>
        <v>Velodrome</v>
      </c>
      <c r="AG134" s="5">
        <f t="shared" si="58"/>
        <v>0</v>
      </c>
      <c r="AH134" s="5">
        <f t="shared" si="59"/>
        <v>0</v>
      </c>
      <c r="AI134" s="16">
        <f t="shared" si="64"/>
        <v>0</v>
      </c>
      <c r="AJ134">
        <f t="shared" si="60"/>
        <v>0</v>
      </c>
      <c r="AK134">
        <f t="shared" si="61"/>
        <v>0</v>
      </c>
      <c r="AL134">
        <f t="shared" si="62"/>
        <v>0</v>
      </c>
      <c r="AM134">
        <f t="shared" si="63"/>
        <v>0</v>
      </c>
      <c r="AN134">
        <f t="shared" si="57"/>
        <v>0</v>
      </c>
      <c r="AO134">
        <f t="shared" si="65"/>
        <v>0</v>
      </c>
      <c r="AP134">
        <f t="shared" si="66"/>
        <v>0</v>
      </c>
      <c r="AQ134">
        <f t="shared" si="67"/>
        <v>0</v>
      </c>
      <c r="AY134" s="5"/>
    </row>
    <row r="135" spans="1:51" x14ac:dyDescent="0.2">
      <c r="A135">
        <f t="shared" si="76"/>
        <v>134</v>
      </c>
      <c r="B135" s="8">
        <f t="shared" si="68"/>
        <v>3</v>
      </c>
      <c r="C135">
        <f t="shared" si="69"/>
        <v>0</v>
      </c>
      <c r="D135" s="5">
        <f t="shared" si="70"/>
        <v>0</v>
      </c>
      <c r="O135" s="6">
        <f t="shared" si="71"/>
        <v>31</v>
      </c>
      <c r="V135">
        <f t="shared" si="72"/>
        <v>0</v>
      </c>
      <c r="W135" s="8">
        <f>SUMIFS(events!AJ:AJ,events!Q:Q,"=DeadIce",events!AK:AK,"&lt;="&amp;shifts!AG135,events!AL:AL,"&gt;"&amp;shifts!AH135,events!E:E,"="&amp;shifts!B136)+SUMIFS(events!AJ:AJ,events!Q:Q,"=Timeout",events!AK:AK,"&lt;="&amp;shifts!AG135,events!AL:AL,"&gt;"&amp;shifts!AH135,events!E:E,"="&amp;shifts!B136)</f>
        <v>0</v>
      </c>
      <c r="X135" s="8" t="str">
        <f t="shared" si="73"/>
        <v/>
      </c>
      <c r="Z135" t="str">
        <f t="shared" si="74"/>
        <v/>
      </c>
      <c r="AB135" t="str">
        <f t="shared" si="75"/>
        <v/>
      </c>
      <c r="AD135">
        <f>events!AG135</f>
        <v>18981</v>
      </c>
      <c r="AE135" t="str">
        <f>events!AH135</f>
        <v>Nelson</v>
      </c>
      <c r="AF135" t="str">
        <f>events!AI135</f>
        <v>Velodrome</v>
      </c>
      <c r="AG135" s="5">
        <f t="shared" si="58"/>
        <v>0</v>
      </c>
      <c r="AH135" s="5">
        <f t="shared" si="59"/>
        <v>0</v>
      </c>
      <c r="AI135" s="16">
        <f t="shared" si="64"/>
        <v>0</v>
      </c>
      <c r="AJ135">
        <f t="shared" si="60"/>
        <v>0</v>
      </c>
      <c r="AK135">
        <f t="shared" si="61"/>
        <v>0</v>
      </c>
      <c r="AL135">
        <f t="shared" si="62"/>
        <v>0</v>
      </c>
      <c r="AM135">
        <f t="shared" si="63"/>
        <v>0</v>
      </c>
      <c r="AN135">
        <f t="shared" si="57"/>
        <v>0</v>
      </c>
      <c r="AO135">
        <f t="shared" si="65"/>
        <v>0</v>
      </c>
      <c r="AP135">
        <f t="shared" si="66"/>
        <v>0</v>
      </c>
      <c r="AQ135">
        <f t="shared" si="67"/>
        <v>0</v>
      </c>
      <c r="AY135" s="5"/>
    </row>
    <row r="136" spans="1:51" x14ac:dyDescent="0.2">
      <c r="A136">
        <f t="shared" si="76"/>
        <v>135</v>
      </c>
      <c r="B136" s="8">
        <f t="shared" si="68"/>
        <v>3</v>
      </c>
      <c r="C136">
        <f t="shared" si="69"/>
        <v>0</v>
      </c>
      <c r="D136" s="5">
        <f t="shared" si="70"/>
        <v>0</v>
      </c>
      <c r="O136" s="6">
        <f t="shared" si="71"/>
        <v>31</v>
      </c>
      <c r="V136">
        <f t="shared" si="72"/>
        <v>0</v>
      </c>
      <c r="W136" s="8">
        <f>SUMIFS(events!AJ:AJ,events!Q:Q,"=DeadIce",events!AK:AK,"&lt;="&amp;shifts!AG136,events!AL:AL,"&gt;"&amp;shifts!AH136,events!E:E,"="&amp;shifts!B137)+SUMIFS(events!AJ:AJ,events!Q:Q,"=Timeout",events!AK:AK,"&lt;="&amp;shifts!AG136,events!AL:AL,"&gt;"&amp;shifts!AH136,events!E:E,"="&amp;shifts!B137)</f>
        <v>0</v>
      </c>
      <c r="X136" s="8" t="str">
        <f t="shared" si="73"/>
        <v/>
      </c>
      <c r="Z136" t="str">
        <f t="shared" si="74"/>
        <v/>
      </c>
      <c r="AB136" t="str">
        <f t="shared" si="75"/>
        <v/>
      </c>
      <c r="AD136">
        <f>events!AG136</f>
        <v>18981</v>
      </c>
      <c r="AE136" t="str">
        <f>events!AH136</f>
        <v>Nelson</v>
      </c>
      <c r="AF136" t="str">
        <f>events!AI136</f>
        <v>Velodrome</v>
      </c>
      <c r="AG136" s="5">
        <f t="shared" si="58"/>
        <v>0</v>
      </c>
      <c r="AH136" s="5">
        <f t="shared" si="59"/>
        <v>0</v>
      </c>
      <c r="AI136" s="16">
        <f t="shared" si="64"/>
        <v>0</v>
      </c>
      <c r="AJ136">
        <f t="shared" si="60"/>
        <v>0</v>
      </c>
      <c r="AK136">
        <f t="shared" si="61"/>
        <v>0</v>
      </c>
      <c r="AL136">
        <f t="shared" si="62"/>
        <v>0</v>
      </c>
      <c r="AM136">
        <f t="shared" si="63"/>
        <v>0</v>
      </c>
      <c r="AN136">
        <f t="shared" si="57"/>
        <v>0</v>
      </c>
      <c r="AO136">
        <f t="shared" si="65"/>
        <v>0</v>
      </c>
      <c r="AP136">
        <f t="shared" si="66"/>
        <v>0</v>
      </c>
      <c r="AQ136">
        <f t="shared" si="67"/>
        <v>0</v>
      </c>
      <c r="AY136" s="5"/>
    </row>
    <row r="137" spans="1:51" x14ac:dyDescent="0.2">
      <c r="A137">
        <f t="shared" si="76"/>
        <v>136</v>
      </c>
      <c r="B137" s="8">
        <f t="shared" si="68"/>
        <v>3</v>
      </c>
      <c r="C137">
        <f t="shared" si="69"/>
        <v>0</v>
      </c>
      <c r="D137" s="5">
        <f t="shared" si="70"/>
        <v>0</v>
      </c>
      <c r="O137" s="6">
        <f t="shared" si="71"/>
        <v>31</v>
      </c>
      <c r="V137">
        <f t="shared" si="72"/>
        <v>0</v>
      </c>
      <c r="W137" s="8">
        <f>SUMIFS(events!AJ:AJ,events!Q:Q,"=DeadIce",events!AK:AK,"&lt;="&amp;shifts!AG137,events!AL:AL,"&gt;"&amp;shifts!AH137,events!E:E,"="&amp;shifts!B138)+SUMIFS(events!AJ:AJ,events!Q:Q,"=Timeout",events!AK:AK,"&lt;="&amp;shifts!AG137,events!AL:AL,"&gt;"&amp;shifts!AH137,events!E:E,"="&amp;shifts!B138)</f>
        <v>0</v>
      </c>
      <c r="X137" s="8" t="str">
        <f t="shared" si="73"/>
        <v/>
      </c>
      <c r="Z137" t="str">
        <f t="shared" si="74"/>
        <v/>
      </c>
      <c r="AB137" t="str">
        <f t="shared" si="75"/>
        <v/>
      </c>
      <c r="AD137">
        <f>events!AG137</f>
        <v>18981</v>
      </c>
      <c r="AE137" t="str">
        <f>events!AH137</f>
        <v>Nelson</v>
      </c>
      <c r="AF137" t="str">
        <f>events!AI137</f>
        <v>Velodrome</v>
      </c>
      <c r="AG137" s="5">
        <f t="shared" si="58"/>
        <v>0</v>
      </c>
      <c r="AH137" s="5">
        <f t="shared" si="59"/>
        <v>0</v>
      </c>
      <c r="AI137" s="16">
        <f t="shared" si="64"/>
        <v>0</v>
      </c>
      <c r="AJ137">
        <f t="shared" si="60"/>
        <v>0</v>
      </c>
      <c r="AK137">
        <f t="shared" si="61"/>
        <v>0</v>
      </c>
      <c r="AL137">
        <f t="shared" si="62"/>
        <v>0</v>
      </c>
      <c r="AM137">
        <f t="shared" si="63"/>
        <v>0</v>
      </c>
      <c r="AN137">
        <f t="shared" si="57"/>
        <v>0</v>
      </c>
      <c r="AO137">
        <f t="shared" si="65"/>
        <v>0</v>
      </c>
      <c r="AP137">
        <f t="shared" si="66"/>
        <v>0</v>
      </c>
      <c r="AQ137">
        <f t="shared" si="67"/>
        <v>0</v>
      </c>
      <c r="AY137" s="5"/>
    </row>
    <row r="138" spans="1:51" x14ac:dyDescent="0.2">
      <c r="A138">
        <f t="shared" si="76"/>
        <v>137</v>
      </c>
      <c r="B138" s="8">
        <f t="shared" si="68"/>
        <v>3</v>
      </c>
      <c r="C138">
        <f t="shared" si="69"/>
        <v>0</v>
      </c>
      <c r="D138" s="5">
        <f t="shared" si="70"/>
        <v>0</v>
      </c>
      <c r="O138" s="6">
        <f t="shared" si="71"/>
        <v>31</v>
      </c>
      <c r="V138">
        <f t="shared" si="72"/>
        <v>0</v>
      </c>
      <c r="W138" s="8">
        <f>SUMIFS(events!AJ:AJ,events!Q:Q,"=DeadIce",events!AK:AK,"&lt;="&amp;shifts!AG138,events!AL:AL,"&gt;"&amp;shifts!AH138,events!E:E,"="&amp;shifts!B139)+SUMIFS(events!AJ:AJ,events!Q:Q,"=Timeout",events!AK:AK,"&lt;="&amp;shifts!AG138,events!AL:AL,"&gt;"&amp;shifts!AH138,events!E:E,"="&amp;shifts!B139)</f>
        <v>0</v>
      </c>
      <c r="X138" s="8" t="str">
        <f t="shared" si="73"/>
        <v/>
      </c>
      <c r="Z138" t="str">
        <f t="shared" si="74"/>
        <v/>
      </c>
      <c r="AB138" t="str">
        <f t="shared" si="75"/>
        <v/>
      </c>
      <c r="AD138">
        <f>events!AG138</f>
        <v>18981</v>
      </c>
      <c r="AE138" t="str">
        <f>events!AH138</f>
        <v>Nelson</v>
      </c>
      <c r="AF138" t="str">
        <f>events!AI138</f>
        <v>Velodrome</v>
      </c>
      <c r="AG138" s="5">
        <f t="shared" si="58"/>
        <v>0</v>
      </c>
      <c r="AH138" s="5">
        <f t="shared" si="59"/>
        <v>0</v>
      </c>
      <c r="AI138" s="16">
        <f t="shared" si="64"/>
        <v>0</v>
      </c>
      <c r="AJ138">
        <f t="shared" si="60"/>
        <v>0</v>
      </c>
      <c r="AK138">
        <f t="shared" si="61"/>
        <v>0</v>
      </c>
      <c r="AL138">
        <f t="shared" si="62"/>
        <v>0</v>
      </c>
      <c r="AM138">
        <f t="shared" si="63"/>
        <v>0</v>
      </c>
      <c r="AN138">
        <f t="shared" si="57"/>
        <v>0</v>
      </c>
      <c r="AO138">
        <f t="shared" si="65"/>
        <v>0</v>
      </c>
      <c r="AP138">
        <f t="shared" si="66"/>
        <v>0</v>
      </c>
      <c r="AQ138">
        <f t="shared" si="67"/>
        <v>0</v>
      </c>
      <c r="AY138" s="5"/>
    </row>
    <row r="139" spans="1:51" x14ac:dyDescent="0.2">
      <c r="A139">
        <f t="shared" si="76"/>
        <v>138</v>
      </c>
      <c r="B139" s="8">
        <f t="shared" si="68"/>
        <v>3</v>
      </c>
      <c r="C139">
        <f t="shared" si="69"/>
        <v>0</v>
      </c>
      <c r="D139" s="5">
        <f t="shared" si="70"/>
        <v>0</v>
      </c>
      <c r="O139" s="6">
        <f t="shared" si="71"/>
        <v>31</v>
      </c>
      <c r="V139">
        <f t="shared" si="72"/>
        <v>0</v>
      </c>
      <c r="W139" s="8">
        <f>SUMIFS(events!AJ:AJ,events!Q:Q,"=DeadIce",events!AK:AK,"&lt;="&amp;shifts!AG139,events!AL:AL,"&gt;"&amp;shifts!AH139,events!E:E,"="&amp;shifts!B140)+SUMIFS(events!AJ:AJ,events!Q:Q,"=Timeout",events!AK:AK,"&lt;="&amp;shifts!AG139,events!AL:AL,"&gt;"&amp;shifts!AH139,events!E:E,"="&amp;shifts!B140)</f>
        <v>0</v>
      </c>
      <c r="X139" s="8" t="str">
        <f t="shared" si="73"/>
        <v/>
      </c>
      <c r="Z139" t="str">
        <f t="shared" si="74"/>
        <v/>
      </c>
      <c r="AB139" t="str">
        <f t="shared" si="75"/>
        <v/>
      </c>
      <c r="AD139">
        <f>events!AG139</f>
        <v>18981</v>
      </c>
      <c r="AE139" t="str">
        <f>events!AH139</f>
        <v>Nelson</v>
      </c>
      <c r="AF139" t="str">
        <f>events!AI139</f>
        <v>Velodrome</v>
      </c>
      <c r="AG139" s="5">
        <f t="shared" si="58"/>
        <v>0</v>
      </c>
      <c r="AH139" s="5">
        <f t="shared" si="59"/>
        <v>0</v>
      </c>
      <c r="AI139" s="16">
        <f t="shared" si="64"/>
        <v>0</v>
      </c>
      <c r="AJ139">
        <f t="shared" si="60"/>
        <v>0</v>
      </c>
      <c r="AK139">
        <f t="shared" si="61"/>
        <v>0</v>
      </c>
      <c r="AL139">
        <f t="shared" si="62"/>
        <v>0</v>
      </c>
      <c r="AM139">
        <f t="shared" si="63"/>
        <v>0</v>
      </c>
      <c r="AN139">
        <f t="shared" si="57"/>
        <v>0</v>
      </c>
      <c r="AO139">
        <f t="shared" si="65"/>
        <v>0</v>
      </c>
      <c r="AP139">
        <f t="shared" si="66"/>
        <v>0</v>
      </c>
      <c r="AQ139">
        <f t="shared" si="67"/>
        <v>0</v>
      </c>
      <c r="AY139" s="5"/>
    </row>
    <row r="140" spans="1:51" x14ac:dyDescent="0.2">
      <c r="A140">
        <f t="shared" si="76"/>
        <v>139</v>
      </c>
      <c r="B140" s="8">
        <f t="shared" si="68"/>
        <v>3</v>
      </c>
      <c r="C140">
        <f t="shared" si="69"/>
        <v>0</v>
      </c>
      <c r="D140" s="5">
        <f t="shared" si="70"/>
        <v>0</v>
      </c>
      <c r="O140" s="6">
        <f t="shared" si="71"/>
        <v>31</v>
      </c>
      <c r="V140">
        <f t="shared" si="72"/>
        <v>0</v>
      </c>
      <c r="W140" s="8">
        <f>SUMIFS(events!AJ:AJ,events!Q:Q,"=DeadIce",events!AK:AK,"&lt;="&amp;shifts!AG140,events!AL:AL,"&gt;"&amp;shifts!AH140,events!E:E,"="&amp;shifts!B141)+SUMIFS(events!AJ:AJ,events!Q:Q,"=Timeout",events!AK:AK,"&lt;="&amp;shifts!AG140,events!AL:AL,"&gt;"&amp;shifts!AH140,events!E:E,"="&amp;shifts!B141)</f>
        <v>0</v>
      </c>
      <c r="X140" s="8" t="str">
        <f t="shared" si="73"/>
        <v/>
      </c>
      <c r="Z140" t="str">
        <f t="shared" si="74"/>
        <v/>
      </c>
      <c r="AB140" t="str">
        <f t="shared" si="75"/>
        <v/>
      </c>
      <c r="AD140">
        <f>events!AG140</f>
        <v>18981</v>
      </c>
      <c r="AE140" t="str">
        <f>events!AH140</f>
        <v>Nelson</v>
      </c>
      <c r="AF140" t="str">
        <f>events!AI140</f>
        <v>Velodrome</v>
      </c>
      <c r="AG140" s="5">
        <f t="shared" si="58"/>
        <v>0</v>
      </c>
      <c r="AH140" s="5">
        <f t="shared" si="59"/>
        <v>0</v>
      </c>
      <c r="AI140" s="16">
        <f t="shared" si="64"/>
        <v>0</v>
      </c>
      <c r="AJ140">
        <f t="shared" si="60"/>
        <v>0</v>
      </c>
      <c r="AK140">
        <f t="shared" si="61"/>
        <v>0</v>
      </c>
      <c r="AL140">
        <f t="shared" si="62"/>
        <v>0</v>
      </c>
      <c r="AM140">
        <f t="shared" si="63"/>
        <v>0</v>
      </c>
      <c r="AN140">
        <f t="shared" si="57"/>
        <v>0</v>
      </c>
      <c r="AO140">
        <f t="shared" si="65"/>
        <v>0</v>
      </c>
      <c r="AP140">
        <f t="shared" si="66"/>
        <v>0</v>
      </c>
      <c r="AQ140">
        <f t="shared" si="67"/>
        <v>0</v>
      </c>
      <c r="AY140" s="5"/>
    </row>
    <row r="141" spans="1:51" x14ac:dyDescent="0.2">
      <c r="A141">
        <f t="shared" si="76"/>
        <v>140</v>
      </c>
      <c r="B141" s="8">
        <f t="shared" si="68"/>
        <v>3</v>
      </c>
      <c r="C141">
        <f t="shared" si="69"/>
        <v>0</v>
      </c>
      <c r="D141" s="5">
        <f t="shared" si="70"/>
        <v>0</v>
      </c>
      <c r="O141" s="6">
        <f t="shared" si="71"/>
        <v>31</v>
      </c>
      <c r="V141">
        <f t="shared" si="72"/>
        <v>0</v>
      </c>
      <c r="W141" s="8">
        <f>SUMIFS(events!AJ:AJ,events!Q:Q,"=DeadIce",events!AK:AK,"&lt;="&amp;shifts!AG141,events!AL:AL,"&gt;"&amp;shifts!AH141,events!E:E,"="&amp;shifts!B142)+SUMIFS(events!AJ:AJ,events!Q:Q,"=Timeout",events!AK:AK,"&lt;="&amp;shifts!AG141,events!AL:AL,"&gt;"&amp;shifts!AH141,events!E:E,"="&amp;shifts!B142)</f>
        <v>0</v>
      </c>
      <c r="X141" s="8" t="str">
        <f t="shared" si="73"/>
        <v/>
      </c>
      <c r="Z141" t="str">
        <f t="shared" si="74"/>
        <v/>
      </c>
      <c r="AB141" t="str">
        <f t="shared" si="75"/>
        <v/>
      </c>
      <c r="AD141">
        <f>events!AG141</f>
        <v>18981</v>
      </c>
      <c r="AE141" t="str">
        <f>events!AH141</f>
        <v>Nelson</v>
      </c>
      <c r="AF141" t="str">
        <f>events!AI141</f>
        <v>Velodrome</v>
      </c>
      <c r="AG141" s="5">
        <f t="shared" si="58"/>
        <v>0</v>
      </c>
      <c r="AH141" s="5">
        <f t="shared" si="59"/>
        <v>0</v>
      </c>
      <c r="AI141" s="16">
        <f t="shared" si="64"/>
        <v>0</v>
      </c>
      <c r="AJ141">
        <f t="shared" si="60"/>
        <v>0</v>
      </c>
      <c r="AK141">
        <f t="shared" si="61"/>
        <v>0</v>
      </c>
      <c r="AL141">
        <f t="shared" si="62"/>
        <v>0</v>
      </c>
      <c r="AM141">
        <f t="shared" si="63"/>
        <v>0</v>
      </c>
      <c r="AN141">
        <f t="shared" si="57"/>
        <v>0</v>
      </c>
      <c r="AO141">
        <f t="shared" si="65"/>
        <v>0</v>
      </c>
      <c r="AP141">
        <f t="shared" si="66"/>
        <v>0</v>
      </c>
      <c r="AQ141">
        <f t="shared" si="67"/>
        <v>0</v>
      </c>
      <c r="AY141" s="5"/>
    </row>
    <row r="142" spans="1:51" x14ac:dyDescent="0.2">
      <c r="A142">
        <f t="shared" si="76"/>
        <v>141</v>
      </c>
      <c r="B142" s="8">
        <f t="shared" si="68"/>
        <v>3</v>
      </c>
      <c r="C142">
        <f t="shared" si="69"/>
        <v>0</v>
      </c>
      <c r="D142" s="5">
        <f t="shared" si="70"/>
        <v>0</v>
      </c>
      <c r="O142" s="6">
        <f t="shared" si="71"/>
        <v>31</v>
      </c>
      <c r="V142">
        <f t="shared" si="72"/>
        <v>0</v>
      </c>
      <c r="W142" s="8">
        <f>SUMIFS(events!AJ:AJ,events!Q:Q,"=DeadIce",events!AK:AK,"&lt;="&amp;shifts!AG142,events!AL:AL,"&gt;"&amp;shifts!AH142,events!E:E,"="&amp;shifts!B143)+SUMIFS(events!AJ:AJ,events!Q:Q,"=Timeout",events!AK:AK,"&lt;="&amp;shifts!AG142,events!AL:AL,"&gt;"&amp;shifts!AH142,events!E:E,"="&amp;shifts!B143)</f>
        <v>0</v>
      </c>
      <c r="X142" s="8" t="str">
        <f t="shared" si="73"/>
        <v/>
      </c>
      <c r="Z142" t="str">
        <f t="shared" si="74"/>
        <v/>
      </c>
      <c r="AB142" t="str">
        <f t="shared" si="75"/>
        <v/>
      </c>
      <c r="AD142">
        <f>events!AG142</f>
        <v>18981</v>
      </c>
      <c r="AE142" t="str">
        <f>events!AH142</f>
        <v>Nelson</v>
      </c>
      <c r="AF142" t="str">
        <f>events!AI142</f>
        <v>Velodrome</v>
      </c>
      <c r="AG142" s="5">
        <f t="shared" si="58"/>
        <v>0</v>
      </c>
      <c r="AH142" s="5">
        <f t="shared" si="59"/>
        <v>0</v>
      </c>
      <c r="AI142" s="16">
        <f t="shared" si="64"/>
        <v>0</v>
      </c>
      <c r="AJ142">
        <f t="shared" si="60"/>
        <v>0</v>
      </c>
      <c r="AK142">
        <f t="shared" si="61"/>
        <v>0</v>
      </c>
      <c r="AL142">
        <f t="shared" si="62"/>
        <v>0</v>
      </c>
      <c r="AM142">
        <f t="shared" si="63"/>
        <v>0</v>
      </c>
      <c r="AN142">
        <f t="shared" si="57"/>
        <v>0</v>
      </c>
      <c r="AO142">
        <f t="shared" si="65"/>
        <v>0</v>
      </c>
      <c r="AP142">
        <f t="shared" si="66"/>
        <v>0</v>
      </c>
      <c r="AQ142">
        <f t="shared" si="67"/>
        <v>0</v>
      </c>
      <c r="AY142" s="5"/>
    </row>
    <row r="143" spans="1:51" x14ac:dyDescent="0.2">
      <c r="A143">
        <f t="shared" si="76"/>
        <v>142</v>
      </c>
      <c r="B143" s="8">
        <f t="shared" si="68"/>
        <v>3</v>
      </c>
      <c r="C143">
        <f t="shared" si="69"/>
        <v>0</v>
      </c>
      <c r="D143" s="5">
        <f t="shared" si="70"/>
        <v>0</v>
      </c>
      <c r="O143" s="6">
        <f t="shared" si="71"/>
        <v>31</v>
      </c>
      <c r="V143">
        <f t="shared" si="72"/>
        <v>0</v>
      </c>
      <c r="W143" s="8">
        <f>SUMIFS(events!AJ:AJ,events!Q:Q,"=DeadIce",events!AK:AK,"&lt;="&amp;shifts!AG143,events!AL:AL,"&gt;"&amp;shifts!AH143,events!E:E,"="&amp;shifts!B144)+SUMIFS(events!AJ:AJ,events!Q:Q,"=Timeout",events!AK:AK,"&lt;="&amp;shifts!AG143,events!AL:AL,"&gt;"&amp;shifts!AH143,events!E:E,"="&amp;shifts!B144)</f>
        <v>0</v>
      </c>
      <c r="X143" s="8" t="str">
        <f t="shared" si="73"/>
        <v/>
      </c>
      <c r="Z143" t="str">
        <f t="shared" si="74"/>
        <v/>
      </c>
      <c r="AB143" t="str">
        <f t="shared" si="75"/>
        <v/>
      </c>
      <c r="AD143">
        <f>events!AG143</f>
        <v>18981</v>
      </c>
      <c r="AE143" t="str">
        <f>events!AH143</f>
        <v>Nelson</v>
      </c>
      <c r="AF143" t="str">
        <f>events!AI143</f>
        <v>Velodrome</v>
      </c>
      <c r="AG143" s="5">
        <f t="shared" si="58"/>
        <v>0</v>
      </c>
      <c r="AH143" s="5">
        <f t="shared" si="59"/>
        <v>0</v>
      </c>
      <c r="AI143" s="16">
        <f t="shared" si="64"/>
        <v>0</v>
      </c>
      <c r="AJ143">
        <f t="shared" si="60"/>
        <v>0</v>
      </c>
      <c r="AK143">
        <f t="shared" si="61"/>
        <v>0</v>
      </c>
      <c r="AL143">
        <f t="shared" si="62"/>
        <v>0</v>
      </c>
      <c r="AM143">
        <f t="shared" si="63"/>
        <v>0</v>
      </c>
      <c r="AN143">
        <f t="shared" si="57"/>
        <v>0</v>
      </c>
      <c r="AO143">
        <f t="shared" si="65"/>
        <v>0</v>
      </c>
      <c r="AP143">
        <f t="shared" si="66"/>
        <v>0</v>
      </c>
      <c r="AQ143">
        <f t="shared" si="67"/>
        <v>0</v>
      </c>
      <c r="AY143" s="5"/>
    </row>
    <row r="144" spans="1:51" x14ac:dyDescent="0.2">
      <c r="A144">
        <f t="shared" si="76"/>
        <v>143</v>
      </c>
      <c r="B144" s="8">
        <f t="shared" si="68"/>
        <v>3</v>
      </c>
      <c r="C144">
        <f t="shared" si="69"/>
        <v>0</v>
      </c>
      <c r="D144" s="5">
        <f t="shared" si="70"/>
        <v>0</v>
      </c>
      <c r="O144" s="6">
        <f t="shared" si="71"/>
        <v>31</v>
      </c>
      <c r="V144">
        <f t="shared" si="72"/>
        <v>0</v>
      </c>
      <c r="W144" s="8">
        <f>SUMIFS(events!AJ:AJ,events!Q:Q,"=DeadIce",events!AK:AK,"&lt;="&amp;shifts!AG144,events!AL:AL,"&gt;"&amp;shifts!AH144,events!E:E,"="&amp;shifts!B145)+SUMIFS(events!AJ:AJ,events!Q:Q,"=Timeout",events!AK:AK,"&lt;="&amp;shifts!AG144,events!AL:AL,"&gt;"&amp;shifts!AH144,events!E:E,"="&amp;shifts!B145)</f>
        <v>0</v>
      </c>
      <c r="X144" s="8" t="str">
        <f t="shared" si="73"/>
        <v/>
      </c>
      <c r="Z144" t="str">
        <f t="shared" si="74"/>
        <v/>
      </c>
      <c r="AB144" t="str">
        <f t="shared" si="75"/>
        <v/>
      </c>
      <c r="AD144">
        <f>events!AG144</f>
        <v>18981</v>
      </c>
      <c r="AE144" t="str">
        <f>events!AH144</f>
        <v>Nelson</v>
      </c>
      <c r="AF144" t="str">
        <f>events!AI144</f>
        <v>Velodrome</v>
      </c>
      <c r="AG144" s="5">
        <f t="shared" si="58"/>
        <v>0</v>
      </c>
      <c r="AH144" s="5">
        <f t="shared" si="59"/>
        <v>0</v>
      </c>
      <c r="AI144" s="16">
        <f t="shared" si="64"/>
        <v>0</v>
      </c>
      <c r="AJ144">
        <f t="shared" si="60"/>
        <v>0</v>
      </c>
      <c r="AK144">
        <f t="shared" si="61"/>
        <v>0</v>
      </c>
      <c r="AL144">
        <f t="shared" si="62"/>
        <v>0</v>
      </c>
      <c r="AM144">
        <f t="shared" si="63"/>
        <v>0</v>
      </c>
      <c r="AN144">
        <f t="shared" si="57"/>
        <v>0</v>
      </c>
      <c r="AO144">
        <f t="shared" si="65"/>
        <v>0</v>
      </c>
      <c r="AP144">
        <f t="shared" si="66"/>
        <v>0</v>
      </c>
      <c r="AQ144">
        <f t="shared" si="67"/>
        <v>0</v>
      </c>
      <c r="AY144" s="5"/>
    </row>
    <row r="145" spans="1:51" x14ac:dyDescent="0.2">
      <c r="A145">
        <f t="shared" si="76"/>
        <v>144</v>
      </c>
      <c r="B145" s="8">
        <f t="shared" si="68"/>
        <v>3</v>
      </c>
      <c r="C145">
        <f t="shared" si="69"/>
        <v>0</v>
      </c>
      <c r="D145" s="5">
        <f t="shared" si="70"/>
        <v>0</v>
      </c>
      <c r="O145" s="6">
        <f t="shared" si="71"/>
        <v>31</v>
      </c>
      <c r="V145">
        <f t="shared" si="72"/>
        <v>0</v>
      </c>
      <c r="W145" s="8">
        <f>SUMIFS(events!AJ:AJ,events!Q:Q,"=DeadIce",events!AK:AK,"&lt;="&amp;shifts!AG145,events!AL:AL,"&gt;"&amp;shifts!AH145,events!E:E,"="&amp;shifts!B146)+SUMIFS(events!AJ:AJ,events!Q:Q,"=Timeout",events!AK:AK,"&lt;="&amp;shifts!AG145,events!AL:AL,"&gt;"&amp;shifts!AH145,events!E:E,"="&amp;shifts!B146)</f>
        <v>0</v>
      </c>
      <c r="X145" s="8" t="str">
        <f t="shared" si="73"/>
        <v/>
      </c>
      <c r="Z145" t="str">
        <f t="shared" si="74"/>
        <v/>
      </c>
      <c r="AB145" t="str">
        <f t="shared" si="75"/>
        <v/>
      </c>
      <c r="AD145">
        <f>events!AG145</f>
        <v>18981</v>
      </c>
      <c r="AE145" t="str">
        <f>events!AH145</f>
        <v>Nelson</v>
      </c>
      <c r="AF145" t="str">
        <f>events!AI145</f>
        <v>Velodrome</v>
      </c>
      <c r="AG145" s="5">
        <f t="shared" si="58"/>
        <v>0</v>
      </c>
      <c r="AH145" s="5">
        <f t="shared" si="59"/>
        <v>0</v>
      </c>
      <c r="AI145" s="16">
        <f t="shared" si="64"/>
        <v>0</v>
      </c>
      <c r="AJ145">
        <f t="shared" si="60"/>
        <v>0</v>
      </c>
      <c r="AK145">
        <f t="shared" si="61"/>
        <v>0</v>
      </c>
      <c r="AL145">
        <f t="shared" si="62"/>
        <v>0</v>
      </c>
      <c r="AM145">
        <f t="shared" si="63"/>
        <v>0</v>
      </c>
      <c r="AN145">
        <f t="shared" si="57"/>
        <v>0</v>
      </c>
      <c r="AO145">
        <f t="shared" si="65"/>
        <v>0</v>
      </c>
      <c r="AP145">
        <f t="shared" si="66"/>
        <v>0</v>
      </c>
      <c r="AQ145">
        <f t="shared" si="67"/>
        <v>0</v>
      </c>
      <c r="AY145" s="5"/>
    </row>
    <row r="146" spans="1:51" x14ac:dyDescent="0.2">
      <c r="A146">
        <f t="shared" si="76"/>
        <v>145</v>
      </c>
      <c r="B146" s="8">
        <f t="shared" si="68"/>
        <v>3</v>
      </c>
      <c r="C146">
        <f t="shared" si="69"/>
        <v>0</v>
      </c>
      <c r="D146" s="5">
        <f t="shared" si="70"/>
        <v>0</v>
      </c>
      <c r="O146" s="6">
        <f t="shared" si="71"/>
        <v>31</v>
      </c>
      <c r="V146">
        <f t="shared" si="72"/>
        <v>0</v>
      </c>
      <c r="W146" s="8">
        <f>SUMIFS(events!AJ:AJ,events!Q:Q,"=DeadIce",events!AK:AK,"&lt;="&amp;shifts!AG146,events!AL:AL,"&gt;"&amp;shifts!AH146,events!E:E,"="&amp;shifts!B147)+SUMIFS(events!AJ:AJ,events!Q:Q,"=Timeout",events!AK:AK,"&lt;="&amp;shifts!AG146,events!AL:AL,"&gt;"&amp;shifts!AH146,events!E:E,"="&amp;shifts!B147)</f>
        <v>0</v>
      </c>
      <c r="X146" s="8" t="str">
        <f t="shared" si="73"/>
        <v/>
      </c>
      <c r="Z146" t="str">
        <f t="shared" si="74"/>
        <v/>
      </c>
      <c r="AB146" t="str">
        <f t="shared" si="75"/>
        <v/>
      </c>
      <c r="AD146">
        <f>events!AG146</f>
        <v>18981</v>
      </c>
      <c r="AE146" t="str">
        <f>events!AH146</f>
        <v>Nelson</v>
      </c>
      <c r="AF146" t="str">
        <f>events!AI146</f>
        <v>Velodrome</v>
      </c>
      <c r="AG146" s="5">
        <f t="shared" si="58"/>
        <v>0</v>
      </c>
      <c r="AH146" s="5">
        <f t="shared" si="59"/>
        <v>0</v>
      </c>
      <c r="AI146" s="16">
        <f t="shared" si="64"/>
        <v>0</v>
      </c>
      <c r="AJ146">
        <f t="shared" si="60"/>
        <v>0</v>
      </c>
      <c r="AK146">
        <f t="shared" si="61"/>
        <v>0</v>
      </c>
      <c r="AL146">
        <f t="shared" si="62"/>
        <v>0</v>
      </c>
      <c r="AM146">
        <f t="shared" si="63"/>
        <v>0</v>
      </c>
      <c r="AN146">
        <f t="shared" si="57"/>
        <v>0</v>
      </c>
      <c r="AO146">
        <f t="shared" si="65"/>
        <v>0</v>
      </c>
      <c r="AP146">
        <f t="shared" si="66"/>
        <v>0</v>
      </c>
      <c r="AQ146">
        <f t="shared" si="67"/>
        <v>0</v>
      </c>
      <c r="AY146" s="5"/>
    </row>
    <row r="147" spans="1:51" x14ac:dyDescent="0.2">
      <c r="A147">
        <f t="shared" si="76"/>
        <v>146</v>
      </c>
      <c r="B147" s="8">
        <f t="shared" si="68"/>
        <v>3</v>
      </c>
      <c r="C147">
        <f t="shared" si="69"/>
        <v>0</v>
      </c>
      <c r="D147" s="5">
        <f t="shared" si="70"/>
        <v>0</v>
      </c>
      <c r="O147" s="6">
        <f t="shared" si="71"/>
        <v>31</v>
      </c>
      <c r="V147">
        <f t="shared" si="72"/>
        <v>0</v>
      </c>
      <c r="W147" s="8">
        <f>SUMIFS(events!AJ:AJ,events!Q:Q,"=DeadIce",events!AK:AK,"&lt;="&amp;shifts!AG147,events!AL:AL,"&gt;"&amp;shifts!AH147,events!E:E,"="&amp;shifts!B148)+SUMIFS(events!AJ:AJ,events!Q:Q,"=Timeout",events!AK:AK,"&lt;="&amp;shifts!AG147,events!AL:AL,"&gt;"&amp;shifts!AH147,events!E:E,"="&amp;shifts!B148)</f>
        <v>0</v>
      </c>
      <c r="X147" s="8" t="str">
        <f t="shared" si="73"/>
        <v/>
      </c>
      <c r="Z147" t="str">
        <f t="shared" si="74"/>
        <v/>
      </c>
      <c r="AB147" t="str">
        <f t="shared" si="75"/>
        <v/>
      </c>
      <c r="AD147">
        <f>events!AG147</f>
        <v>18981</v>
      </c>
      <c r="AE147" t="str">
        <f>events!AH147</f>
        <v>Nelson</v>
      </c>
      <c r="AF147" t="str">
        <f>events!AI147</f>
        <v>Velodrome</v>
      </c>
      <c r="AG147" s="5">
        <f t="shared" si="58"/>
        <v>0</v>
      </c>
      <c r="AH147" s="5">
        <f t="shared" si="59"/>
        <v>0</v>
      </c>
      <c r="AI147" s="16">
        <f t="shared" si="64"/>
        <v>0</v>
      </c>
      <c r="AJ147">
        <f t="shared" si="60"/>
        <v>0</v>
      </c>
      <c r="AK147">
        <f t="shared" si="61"/>
        <v>0</v>
      </c>
      <c r="AL147">
        <f t="shared" si="62"/>
        <v>0</v>
      </c>
      <c r="AM147">
        <f t="shared" si="63"/>
        <v>0</v>
      </c>
      <c r="AN147">
        <f t="shared" si="57"/>
        <v>0</v>
      </c>
      <c r="AO147">
        <f t="shared" si="65"/>
        <v>0</v>
      </c>
      <c r="AP147">
        <f t="shared" si="66"/>
        <v>0</v>
      </c>
      <c r="AQ147">
        <f t="shared" si="67"/>
        <v>0</v>
      </c>
      <c r="AY147" s="5"/>
    </row>
    <row r="148" spans="1:51" x14ac:dyDescent="0.2">
      <c r="A148">
        <f t="shared" si="76"/>
        <v>147</v>
      </c>
      <c r="B148" s="8">
        <f t="shared" si="68"/>
        <v>3</v>
      </c>
      <c r="C148">
        <f t="shared" si="69"/>
        <v>0</v>
      </c>
      <c r="D148" s="5">
        <f t="shared" si="70"/>
        <v>0</v>
      </c>
      <c r="O148" s="6">
        <f t="shared" si="71"/>
        <v>31</v>
      </c>
      <c r="V148">
        <f t="shared" si="72"/>
        <v>0</v>
      </c>
      <c r="W148" s="8">
        <f>SUMIFS(events!AJ:AJ,events!Q:Q,"=DeadIce",events!AK:AK,"&lt;="&amp;shifts!AG148,events!AL:AL,"&gt;"&amp;shifts!AH148,events!E:E,"="&amp;shifts!B149)+SUMIFS(events!AJ:AJ,events!Q:Q,"=Timeout",events!AK:AK,"&lt;="&amp;shifts!AG148,events!AL:AL,"&gt;"&amp;shifts!AH148,events!E:E,"="&amp;shifts!B149)</f>
        <v>0</v>
      </c>
      <c r="X148" s="8" t="str">
        <f t="shared" si="73"/>
        <v/>
      </c>
      <c r="Z148" t="str">
        <f t="shared" si="74"/>
        <v/>
      </c>
      <c r="AB148" t="str">
        <f t="shared" si="75"/>
        <v/>
      </c>
      <c r="AD148">
        <f>events!AG148</f>
        <v>18981</v>
      </c>
      <c r="AE148" t="str">
        <f>events!AH148</f>
        <v>Nelson</v>
      </c>
      <c r="AF148" t="str">
        <f>events!AI148</f>
        <v>Velodrome</v>
      </c>
      <c r="AG148" s="5">
        <f t="shared" si="58"/>
        <v>0</v>
      </c>
      <c r="AH148" s="5">
        <f t="shared" si="59"/>
        <v>0</v>
      </c>
      <c r="AI148" s="16">
        <f t="shared" si="64"/>
        <v>0</v>
      </c>
      <c r="AJ148">
        <f t="shared" si="60"/>
        <v>0</v>
      </c>
      <c r="AK148">
        <f t="shared" si="61"/>
        <v>0</v>
      </c>
      <c r="AL148">
        <f t="shared" si="62"/>
        <v>0</v>
      </c>
      <c r="AM148">
        <f t="shared" si="63"/>
        <v>0</v>
      </c>
      <c r="AN148">
        <f t="shared" si="57"/>
        <v>0</v>
      </c>
      <c r="AO148">
        <f t="shared" si="65"/>
        <v>0</v>
      </c>
      <c r="AP148">
        <f t="shared" si="66"/>
        <v>0</v>
      </c>
      <c r="AQ148">
        <f t="shared" si="67"/>
        <v>0</v>
      </c>
      <c r="AY148" s="5"/>
    </row>
    <row r="149" spans="1:51" x14ac:dyDescent="0.2">
      <c r="A149">
        <f t="shared" si="76"/>
        <v>148</v>
      </c>
      <c r="B149" s="8">
        <f t="shared" si="68"/>
        <v>3</v>
      </c>
      <c r="C149">
        <f t="shared" si="69"/>
        <v>0</v>
      </c>
      <c r="D149" s="5">
        <f t="shared" si="70"/>
        <v>0</v>
      </c>
      <c r="O149" s="6">
        <f t="shared" si="71"/>
        <v>31</v>
      </c>
      <c r="V149">
        <f t="shared" si="72"/>
        <v>0</v>
      </c>
      <c r="W149" s="8">
        <f>SUMIFS(events!AJ:AJ,events!Q:Q,"=DeadIce",events!AK:AK,"&lt;="&amp;shifts!AG149,events!AL:AL,"&gt;"&amp;shifts!AH149,events!E:E,"="&amp;shifts!B150)+SUMIFS(events!AJ:AJ,events!Q:Q,"=Timeout",events!AK:AK,"&lt;="&amp;shifts!AG149,events!AL:AL,"&gt;"&amp;shifts!AH149,events!E:E,"="&amp;shifts!B150)</f>
        <v>0</v>
      </c>
      <c r="X149" s="8" t="str">
        <f t="shared" si="73"/>
        <v/>
      </c>
      <c r="Z149" t="str">
        <f t="shared" si="74"/>
        <v/>
      </c>
      <c r="AB149" t="str">
        <f t="shared" si="75"/>
        <v/>
      </c>
      <c r="AD149">
        <f>events!AG149</f>
        <v>18981</v>
      </c>
      <c r="AE149" t="str">
        <f>events!AH149</f>
        <v>Nelson</v>
      </c>
      <c r="AF149" t="str">
        <f>events!AI149</f>
        <v>Velodrome</v>
      </c>
      <c r="AG149" s="5">
        <f t="shared" si="58"/>
        <v>0</v>
      </c>
      <c r="AH149" s="5">
        <f t="shared" si="59"/>
        <v>0</v>
      </c>
      <c r="AI149" s="16">
        <f t="shared" si="64"/>
        <v>0</v>
      </c>
      <c r="AJ149">
        <f t="shared" si="60"/>
        <v>0</v>
      </c>
      <c r="AK149">
        <f t="shared" si="61"/>
        <v>0</v>
      </c>
      <c r="AL149">
        <f t="shared" si="62"/>
        <v>0</v>
      </c>
      <c r="AM149">
        <f t="shared" si="63"/>
        <v>0</v>
      </c>
      <c r="AN149">
        <f t="shared" si="57"/>
        <v>0</v>
      </c>
      <c r="AO149">
        <f t="shared" si="65"/>
        <v>0</v>
      </c>
      <c r="AP149">
        <f t="shared" si="66"/>
        <v>0</v>
      </c>
      <c r="AQ149">
        <f t="shared" si="67"/>
        <v>0</v>
      </c>
      <c r="AY149" s="5"/>
    </row>
    <row r="150" spans="1:51" x14ac:dyDescent="0.2">
      <c r="A150">
        <f t="shared" si="76"/>
        <v>149</v>
      </c>
      <c r="B150" s="8">
        <f t="shared" si="68"/>
        <v>3</v>
      </c>
      <c r="C150">
        <f t="shared" si="69"/>
        <v>0</v>
      </c>
      <c r="D150" s="5">
        <f t="shared" si="70"/>
        <v>0</v>
      </c>
      <c r="O150" s="6">
        <f t="shared" si="71"/>
        <v>31</v>
      </c>
      <c r="V150">
        <f t="shared" si="72"/>
        <v>0</v>
      </c>
      <c r="W150" s="8">
        <f>SUMIFS(events!AJ:AJ,events!Q:Q,"=DeadIce",events!AK:AK,"&lt;="&amp;shifts!AG150,events!AL:AL,"&gt;"&amp;shifts!AH150,events!E:E,"="&amp;shifts!B151)+SUMIFS(events!AJ:AJ,events!Q:Q,"=Timeout",events!AK:AK,"&lt;="&amp;shifts!AG150,events!AL:AL,"&gt;"&amp;shifts!AH150,events!E:E,"="&amp;shifts!B151)</f>
        <v>0</v>
      </c>
      <c r="X150" s="8" t="str">
        <f t="shared" si="73"/>
        <v/>
      </c>
      <c r="Z150" t="str">
        <f t="shared" si="74"/>
        <v/>
      </c>
      <c r="AB150" t="str">
        <f t="shared" si="75"/>
        <v/>
      </c>
      <c r="AD150">
        <f>events!AG150</f>
        <v>18981</v>
      </c>
      <c r="AE150" t="str">
        <f>events!AH150</f>
        <v>Nelson</v>
      </c>
      <c r="AF150" t="str">
        <f>events!AI150</f>
        <v>Velodrome</v>
      </c>
      <c r="AG150" s="5">
        <f t="shared" si="58"/>
        <v>0</v>
      </c>
      <c r="AH150" s="5">
        <f t="shared" si="59"/>
        <v>0</v>
      </c>
      <c r="AI150" s="16">
        <f t="shared" si="64"/>
        <v>0</v>
      </c>
      <c r="AJ150">
        <f t="shared" si="60"/>
        <v>0</v>
      </c>
      <c r="AK150">
        <f t="shared" si="61"/>
        <v>0</v>
      </c>
      <c r="AL150">
        <f t="shared" si="62"/>
        <v>0</v>
      </c>
      <c r="AM150">
        <f t="shared" si="63"/>
        <v>0</v>
      </c>
      <c r="AN150">
        <f t="shared" si="57"/>
        <v>0</v>
      </c>
      <c r="AO150">
        <f t="shared" si="65"/>
        <v>0</v>
      </c>
      <c r="AP150">
        <f t="shared" si="66"/>
        <v>0</v>
      </c>
      <c r="AQ150">
        <f t="shared" si="67"/>
        <v>0</v>
      </c>
      <c r="AY150" s="5"/>
    </row>
    <row r="151" spans="1:51" x14ac:dyDescent="0.2">
      <c r="A151">
        <f t="shared" si="76"/>
        <v>150</v>
      </c>
      <c r="B151" s="8">
        <f t="shared" si="68"/>
        <v>3</v>
      </c>
      <c r="C151">
        <f t="shared" si="69"/>
        <v>0</v>
      </c>
      <c r="D151" s="5">
        <f t="shared" si="70"/>
        <v>0</v>
      </c>
      <c r="O151" s="6">
        <f t="shared" si="71"/>
        <v>31</v>
      </c>
      <c r="V151">
        <f t="shared" si="72"/>
        <v>0</v>
      </c>
      <c r="W151" s="8">
        <f>SUMIFS(events!AJ:AJ,events!Q:Q,"=DeadIce",events!AK:AK,"&lt;="&amp;shifts!AG151,events!AL:AL,"&gt;"&amp;shifts!AH151,events!E:E,"="&amp;shifts!B152)+SUMIFS(events!AJ:AJ,events!Q:Q,"=Timeout",events!AK:AK,"&lt;="&amp;shifts!AG151,events!AL:AL,"&gt;"&amp;shifts!AH151,events!E:E,"="&amp;shifts!B152)</f>
        <v>0</v>
      </c>
      <c r="X151" s="8" t="str">
        <f t="shared" si="73"/>
        <v/>
      </c>
      <c r="Z151" t="str">
        <f t="shared" si="74"/>
        <v/>
      </c>
      <c r="AB151" t="str">
        <f t="shared" si="75"/>
        <v/>
      </c>
      <c r="AD151">
        <f>events!AG151</f>
        <v>18981</v>
      </c>
      <c r="AE151" t="str">
        <f>events!AH151</f>
        <v>Nelson</v>
      </c>
      <c r="AF151" t="str">
        <f>events!AI151</f>
        <v>Velodrome</v>
      </c>
      <c r="AG151" s="5">
        <f t="shared" si="58"/>
        <v>0</v>
      </c>
      <c r="AH151" s="5">
        <f t="shared" si="59"/>
        <v>0</v>
      </c>
      <c r="AI151" s="16">
        <f t="shared" si="64"/>
        <v>0</v>
      </c>
      <c r="AJ151">
        <f t="shared" si="60"/>
        <v>0</v>
      </c>
      <c r="AK151">
        <f t="shared" si="61"/>
        <v>0</v>
      </c>
      <c r="AL151">
        <f t="shared" si="62"/>
        <v>0</v>
      </c>
      <c r="AM151">
        <f t="shared" si="63"/>
        <v>0</v>
      </c>
      <c r="AN151">
        <f t="shared" si="57"/>
        <v>0</v>
      </c>
      <c r="AO151">
        <f t="shared" si="65"/>
        <v>0</v>
      </c>
      <c r="AP151">
        <f t="shared" si="66"/>
        <v>0</v>
      </c>
      <c r="AQ151">
        <f t="shared" si="67"/>
        <v>0</v>
      </c>
      <c r="AY151" s="5"/>
    </row>
    <row r="152" spans="1:51" x14ac:dyDescent="0.2">
      <c r="A152">
        <f t="shared" si="76"/>
        <v>151</v>
      </c>
      <c r="B152" s="8">
        <f t="shared" si="68"/>
        <v>3</v>
      </c>
      <c r="C152">
        <f t="shared" si="69"/>
        <v>0</v>
      </c>
      <c r="D152" s="5">
        <f t="shared" si="70"/>
        <v>0</v>
      </c>
      <c r="O152" s="6">
        <f t="shared" si="71"/>
        <v>31</v>
      </c>
      <c r="V152">
        <f t="shared" si="72"/>
        <v>0</v>
      </c>
      <c r="W152" s="8">
        <f>SUMIFS(events!AJ:AJ,events!Q:Q,"=DeadIce",events!AK:AK,"&lt;="&amp;shifts!AG152,events!AL:AL,"&gt;"&amp;shifts!AH152,events!E:E,"="&amp;shifts!B153)+SUMIFS(events!AJ:AJ,events!Q:Q,"=Timeout",events!AK:AK,"&lt;="&amp;shifts!AG152,events!AL:AL,"&gt;"&amp;shifts!AH152,events!E:E,"="&amp;shifts!B153)</f>
        <v>0</v>
      </c>
      <c r="X152" s="8" t="str">
        <f t="shared" si="73"/>
        <v/>
      </c>
      <c r="Z152" t="str">
        <f t="shared" si="74"/>
        <v/>
      </c>
      <c r="AB152" t="str">
        <f t="shared" si="75"/>
        <v/>
      </c>
      <c r="AD152">
        <f>events!AG152</f>
        <v>18981</v>
      </c>
      <c r="AE152" t="str">
        <f>events!AH152</f>
        <v>Nelson</v>
      </c>
      <c r="AF152" t="str">
        <f>events!AI152</f>
        <v>Velodrome</v>
      </c>
      <c r="AG152" s="5">
        <f t="shared" si="58"/>
        <v>0</v>
      </c>
      <c r="AH152" s="5">
        <f t="shared" si="59"/>
        <v>0</v>
      </c>
      <c r="AI152" s="16">
        <f t="shared" si="64"/>
        <v>0</v>
      </c>
      <c r="AJ152">
        <f t="shared" si="60"/>
        <v>0</v>
      </c>
      <c r="AK152">
        <f t="shared" si="61"/>
        <v>0</v>
      </c>
      <c r="AL152">
        <f t="shared" si="62"/>
        <v>0</v>
      </c>
      <c r="AM152">
        <f t="shared" si="63"/>
        <v>0</v>
      </c>
      <c r="AN152">
        <f t="shared" si="57"/>
        <v>0</v>
      </c>
      <c r="AO152">
        <f t="shared" si="65"/>
        <v>0</v>
      </c>
      <c r="AP152">
        <f t="shared" si="66"/>
        <v>0</v>
      </c>
      <c r="AQ152">
        <f t="shared" si="67"/>
        <v>0</v>
      </c>
      <c r="AY152" s="5"/>
    </row>
    <row r="153" spans="1:51" x14ac:dyDescent="0.2">
      <c r="A153">
        <f t="shared" si="76"/>
        <v>152</v>
      </c>
      <c r="B153" s="8">
        <f t="shared" si="68"/>
        <v>3</v>
      </c>
      <c r="C153">
        <f t="shared" si="69"/>
        <v>0</v>
      </c>
      <c r="D153" s="5">
        <f t="shared" si="70"/>
        <v>0</v>
      </c>
      <c r="O153" s="6">
        <f t="shared" si="71"/>
        <v>31</v>
      </c>
      <c r="V153">
        <f t="shared" si="72"/>
        <v>0</v>
      </c>
      <c r="W153" s="8">
        <f>SUMIFS(events!AJ:AJ,events!Q:Q,"=DeadIce",events!AK:AK,"&lt;="&amp;shifts!AG153,events!AL:AL,"&gt;"&amp;shifts!AH153,events!E:E,"="&amp;shifts!B154)+SUMIFS(events!AJ:AJ,events!Q:Q,"=Timeout",events!AK:AK,"&lt;="&amp;shifts!AG153,events!AL:AL,"&gt;"&amp;shifts!AH153,events!E:E,"="&amp;shifts!B154)</f>
        <v>0</v>
      </c>
      <c r="X153" s="8" t="str">
        <f t="shared" si="73"/>
        <v/>
      </c>
      <c r="Z153" t="str">
        <f t="shared" si="74"/>
        <v/>
      </c>
      <c r="AB153" t="str">
        <f t="shared" si="75"/>
        <v/>
      </c>
      <c r="AD153">
        <f>events!AG153</f>
        <v>18981</v>
      </c>
      <c r="AE153" t="str">
        <f>events!AH153</f>
        <v>Nelson</v>
      </c>
      <c r="AF153" t="str">
        <f>events!AI153</f>
        <v>Velodrome</v>
      </c>
      <c r="AG153" s="5">
        <f t="shared" si="58"/>
        <v>0</v>
      </c>
      <c r="AH153" s="5">
        <f t="shared" si="59"/>
        <v>0</v>
      </c>
      <c r="AI153" s="16">
        <f t="shared" si="64"/>
        <v>0</v>
      </c>
      <c r="AJ153">
        <f t="shared" si="60"/>
        <v>0</v>
      </c>
      <c r="AK153">
        <f t="shared" si="61"/>
        <v>0</v>
      </c>
      <c r="AL153">
        <f t="shared" si="62"/>
        <v>0</v>
      </c>
      <c r="AM153">
        <f t="shared" si="63"/>
        <v>0</v>
      </c>
      <c r="AN153">
        <f t="shared" si="57"/>
        <v>0</v>
      </c>
      <c r="AO153">
        <f t="shared" si="65"/>
        <v>0</v>
      </c>
      <c r="AP153">
        <f t="shared" si="66"/>
        <v>0</v>
      </c>
      <c r="AQ153">
        <f t="shared" si="67"/>
        <v>0</v>
      </c>
      <c r="AU153">
        <f t="shared" ref="AU153:AU193" si="77">IF($H152="Away Goal",AU152+1,AU152)</f>
        <v>0</v>
      </c>
      <c r="AV153">
        <f>IFERROR(VLOOKUP(B153,events!E:AQ,24,FALSE),AV152)</f>
        <v>0</v>
      </c>
      <c r="AY153" s="5"/>
    </row>
    <row r="154" spans="1:51" x14ac:dyDescent="0.2">
      <c r="A154">
        <f t="shared" si="76"/>
        <v>153</v>
      </c>
      <c r="B154" s="8">
        <f t="shared" si="68"/>
        <v>3</v>
      </c>
      <c r="C154">
        <f t="shared" si="69"/>
        <v>0</v>
      </c>
      <c r="D154" s="5">
        <f t="shared" si="70"/>
        <v>0</v>
      </c>
      <c r="O154" s="6">
        <f t="shared" si="71"/>
        <v>31</v>
      </c>
      <c r="V154">
        <f t="shared" si="72"/>
        <v>0</v>
      </c>
      <c r="W154" s="8">
        <f>SUMIFS(events!AJ:AJ,events!Q:Q,"=DeadIce",events!AK:AK,"&lt;="&amp;shifts!AG154,events!AL:AL,"&gt;"&amp;shifts!AH154,events!E:E,"="&amp;shifts!B155)+SUMIFS(events!AJ:AJ,events!Q:Q,"=Timeout",events!AK:AK,"&lt;="&amp;shifts!AG154,events!AL:AL,"&gt;"&amp;shifts!AH154,events!E:E,"="&amp;shifts!B155)</f>
        <v>0</v>
      </c>
      <c r="X154" s="8" t="str">
        <f t="shared" si="73"/>
        <v/>
      </c>
      <c r="Z154" t="str">
        <f t="shared" si="74"/>
        <v/>
      </c>
      <c r="AB154" t="str">
        <f t="shared" si="75"/>
        <v/>
      </c>
      <c r="AD154">
        <f>events!AG154</f>
        <v>18981</v>
      </c>
      <c r="AE154" t="str">
        <f>events!AH154</f>
        <v>Nelson</v>
      </c>
      <c r="AF154" t="str">
        <f>events!AI154</f>
        <v>Velodrome</v>
      </c>
      <c r="AG154" s="5">
        <f t="shared" si="58"/>
        <v>0</v>
      </c>
      <c r="AH154" s="5">
        <f t="shared" si="59"/>
        <v>0</v>
      </c>
      <c r="AI154" s="16">
        <f t="shared" si="64"/>
        <v>0</v>
      </c>
      <c r="AJ154">
        <f t="shared" si="60"/>
        <v>0</v>
      </c>
      <c r="AK154">
        <f t="shared" si="61"/>
        <v>0</v>
      </c>
      <c r="AL154">
        <f t="shared" si="62"/>
        <v>0</v>
      </c>
      <c r="AM154">
        <f t="shared" si="63"/>
        <v>0</v>
      </c>
      <c r="AN154">
        <f t="shared" si="57"/>
        <v>0</v>
      </c>
      <c r="AO154">
        <f t="shared" si="65"/>
        <v>0</v>
      </c>
      <c r="AP154">
        <f t="shared" si="66"/>
        <v>0</v>
      </c>
      <c r="AQ154">
        <f t="shared" si="67"/>
        <v>0</v>
      </c>
      <c r="AU154">
        <f t="shared" si="77"/>
        <v>0</v>
      </c>
      <c r="AV154">
        <f>IFERROR(VLOOKUP(B154,events!E:AQ,24,FALSE),AV153)</f>
        <v>0</v>
      </c>
      <c r="AY154" s="5"/>
    </row>
    <row r="155" spans="1:51" x14ac:dyDescent="0.2">
      <c r="A155">
        <f t="shared" si="76"/>
        <v>154</v>
      </c>
      <c r="B155" s="8">
        <f t="shared" si="68"/>
        <v>3</v>
      </c>
      <c r="C155">
        <f t="shared" si="69"/>
        <v>0</v>
      </c>
      <c r="D155" s="5">
        <f t="shared" si="70"/>
        <v>0</v>
      </c>
      <c r="O155" s="6">
        <f t="shared" si="71"/>
        <v>31</v>
      </c>
      <c r="V155">
        <f t="shared" si="72"/>
        <v>0</v>
      </c>
      <c r="W155" s="8">
        <f>SUMIFS(events!AJ:AJ,events!Q:Q,"=DeadIce",events!AK:AK,"&lt;="&amp;shifts!AG155,events!AL:AL,"&gt;"&amp;shifts!AH155,events!E:E,"="&amp;shifts!B156)+SUMIFS(events!AJ:AJ,events!Q:Q,"=Timeout",events!AK:AK,"&lt;="&amp;shifts!AG155,events!AL:AL,"&gt;"&amp;shifts!AH155,events!E:E,"="&amp;shifts!B156)</f>
        <v>0</v>
      </c>
      <c r="X155" s="8" t="str">
        <f t="shared" si="73"/>
        <v/>
      </c>
      <c r="Z155" t="str">
        <f t="shared" si="74"/>
        <v/>
      </c>
      <c r="AB155" t="str">
        <f t="shared" si="75"/>
        <v/>
      </c>
      <c r="AD155">
        <f>events!AG155</f>
        <v>18981</v>
      </c>
      <c r="AE155" t="str">
        <f>events!AH155</f>
        <v>Nelson</v>
      </c>
      <c r="AF155" t="str">
        <f>events!AI155</f>
        <v>Velodrome</v>
      </c>
      <c r="AG155" s="5">
        <f t="shared" si="58"/>
        <v>0</v>
      </c>
      <c r="AH155" s="5">
        <f t="shared" si="59"/>
        <v>0</v>
      </c>
      <c r="AI155" s="16">
        <f t="shared" si="64"/>
        <v>0</v>
      </c>
      <c r="AJ155">
        <f t="shared" si="60"/>
        <v>0</v>
      </c>
      <c r="AK155">
        <f t="shared" si="61"/>
        <v>0</v>
      </c>
      <c r="AL155">
        <f t="shared" si="62"/>
        <v>0</v>
      </c>
      <c r="AM155">
        <f t="shared" si="63"/>
        <v>0</v>
      </c>
      <c r="AN155">
        <f t="shared" si="57"/>
        <v>0</v>
      </c>
      <c r="AO155">
        <f t="shared" si="65"/>
        <v>0</v>
      </c>
      <c r="AP155">
        <f t="shared" si="66"/>
        <v>0</v>
      </c>
      <c r="AQ155">
        <f t="shared" si="67"/>
        <v>0</v>
      </c>
      <c r="AU155">
        <f t="shared" si="77"/>
        <v>0</v>
      </c>
      <c r="AV155">
        <f>IFERROR(VLOOKUP(B155,events!E:AQ,24,FALSE),AV154)</f>
        <v>0</v>
      </c>
      <c r="AY155" s="5"/>
    </row>
    <row r="156" spans="1:51" x14ac:dyDescent="0.2">
      <c r="A156">
        <f t="shared" si="76"/>
        <v>155</v>
      </c>
      <c r="B156" s="8">
        <f t="shared" si="68"/>
        <v>3</v>
      </c>
      <c r="C156">
        <f t="shared" si="69"/>
        <v>0</v>
      </c>
      <c r="D156" s="5">
        <f t="shared" si="70"/>
        <v>0</v>
      </c>
      <c r="O156" s="6">
        <f t="shared" si="71"/>
        <v>31</v>
      </c>
      <c r="V156">
        <f t="shared" si="72"/>
        <v>0</v>
      </c>
      <c r="W156" s="8">
        <f>SUMIFS(events!AJ:AJ,events!Q:Q,"=DeadIce",events!AK:AK,"&lt;="&amp;shifts!AG156,events!AL:AL,"&gt;"&amp;shifts!AH156,events!E:E,"="&amp;shifts!B157)+SUMIFS(events!AJ:AJ,events!Q:Q,"=Timeout",events!AK:AK,"&lt;="&amp;shifts!AG156,events!AL:AL,"&gt;"&amp;shifts!AH156,events!E:E,"="&amp;shifts!B157)</f>
        <v>0</v>
      </c>
      <c r="X156" s="8" t="str">
        <f t="shared" si="73"/>
        <v/>
      </c>
      <c r="Z156" t="str">
        <f t="shared" si="74"/>
        <v/>
      </c>
      <c r="AB156" t="str">
        <f t="shared" si="75"/>
        <v/>
      </c>
      <c r="AD156">
        <f>events!AG156</f>
        <v>18981</v>
      </c>
      <c r="AE156" t="str">
        <f>events!AH156</f>
        <v>Nelson</v>
      </c>
      <c r="AF156" t="str">
        <f>events!AI156</f>
        <v>Velodrome</v>
      </c>
      <c r="AG156" s="5">
        <f t="shared" si="58"/>
        <v>0</v>
      </c>
      <c r="AH156" s="5">
        <f t="shared" si="59"/>
        <v>0</v>
      </c>
      <c r="AI156" s="16">
        <f t="shared" si="64"/>
        <v>0</v>
      </c>
      <c r="AJ156">
        <f t="shared" si="60"/>
        <v>0</v>
      </c>
      <c r="AK156">
        <f t="shared" si="61"/>
        <v>0</v>
      </c>
      <c r="AL156">
        <f t="shared" si="62"/>
        <v>0</v>
      </c>
      <c r="AM156">
        <f t="shared" si="63"/>
        <v>0</v>
      </c>
      <c r="AN156">
        <f t="shared" si="57"/>
        <v>0</v>
      </c>
      <c r="AO156">
        <f t="shared" si="65"/>
        <v>0</v>
      </c>
      <c r="AP156">
        <f t="shared" si="66"/>
        <v>0</v>
      </c>
      <c r="AQ156">
        <f t="shared" si="67"/>
        <v>0</v>
      </c>
      <c r="AU156">
        <f t="shared" si="77"/>
        <v>0</v>
      </c>
      <c r="AV156">
        <f>IFERROR(VLOOKUP(B156,events!E:AQ,24,FALSE),AV155)</f>
        <v>0</v>
      </c>
      <c r="AY156" s="5"/>
    </row>
    <row r="157" spans="1:51" x14ac:dyDescent="0.2">
      <c r="A157">
        <f t="shared" si="76"/>
        <v>156</v>
      </c>
      <c r="B157" s="8">
        <f t="shared" si="68"/>
        <v>3</v>
      </c>
      <c r="C157">
        <f t="shared" si="69"/>
        <v>0</v>
      </c>
      <c r="D157" s="5">
        <f t="shared" si="70"/>
        <v>0</v>
      </c>
      <c r="O157" s="6">
        <f t="shared" si="71"/>
        <v>31</v>
      </c>
      <c r="V157">
        <f t="shared" si="72"/>
        <v>0</v>
      </c>
      <c r="W157" s="8">
        <f>SUMIFS(events!AJ:AJ,events!Q:Q,"=DeadIce",events!AK:AK,"&lt;="&amp;shifts!AG157,events!AL:AL,"&gt;"&amp;shifts!AH157,events!E:E,"="&amp;shifts!B158)+SUMIFS(events!AJ:AJ,events!Q:Q,"=Timeout",events!AK:AK,"&lt;="&amp;shifts!AG157,events!AL:AL,"&gt;"&amp;shifts!AH157,events!E:E,"="&amp;shifts!B158)</f>
        <v>0</v>
      </c>
      <c r="X157" s="8" t="str">
        <f t="shared" si="73"/>
        <v/>
      </c>
      <c r="Z157" t="str">
        <f t="shared" si="74"/>
        <v/>
      </c>
      <c r="AB157" t="str">
        <f t="shared" si="75"/>
        <v/>
      </c>
      <c r="AD157">
        <f>events!AG157</f>
        <v>18981</v>
      </c>
      <c r="AE157" t="str">
        <f>events!AH157</f>
        <v>Nelson</v>
      </c>
      <c r="AF157" t="str">
        <f>events!AI157</f>
        <v>Velodrome</v>
      </c>
      <c r="AG157" s="5">
        <f t="shared" si="58"/>
        <v>0</v>
      </c>
      <c r="AH157" s="5">
        <f t="shared" si="59"/>
        <v>0</v>
      </c>
      <c r="AI157" s="16">
        <f t="shared" si="64"/>
        <v>0</v>
      </c>
      <c r="AJ157">
        <f t="shared" si="60"/>
        <v>0</v>
      </c>
      <c r="AK157">
        <f t="shared" si="61"/>
        <v>0</v>
      </c>
      <c r="AL157">
        <f t="shared" si="62"/>
        <v>0</v>
      </c>
      <c r="AM157">
        <f t="shared" si="63"/>
        <v>0</v>
      </c>
      <c r="AN157">
        <f t="shared" si="57"/>
        <v>0</v>
      </c>
      <c r="AO157">
        <f t="shared" si="65"/>
        <v>0</v>
      </c>
      <c r="AP157">
        <f t="shared" si="66"/>
        <v>0</v>
      </c>
      <c r="AQ157">
        <f t="shared" si="67"/>
        <v>0</v>
      </c>
      <c r="AU157">
        <f t="shared" si="77"/>
        <v>0</v>
      </c>
      <c r="AV157">
        <f>IFERROR(VLOOKUP(B157,events!E:AQ,24,FALSE),AV156)</f>
        <v>0</v>
      </c>
      <c r="AY157" s="5"/>
    </row>
    <row r="158" spans="1:51" x14ac:dyDescent="0.2">
      <c r="A158">
        <f t="shared" si="76"/>
        <v>157</v>
      </c>
      <c r="B158" s="8">
        <f t="shared" si="68"/>
        <v>3</v>
      </c>
      <c r="C158">
        <f t="shared" si="69"/>
        <v>0</v>
      </c>
      <c r="D158" s="5">
        <f t="shared" si="70"/>
        <v>0</v>
      </c>
      <c r="O158" s="6">
        <f t="shared" si="71"/>
        <v>31</v>
      </c>
      <c r="V158">
        <f t="shared" si="72"/>
        <v>0</v>
      </c>
      <c r="W158" s="8">
        <f>SUMIFS(events!AJ:AJ,events!Q:Q,"=DeadIce",events!AK:AK,"&lt;="&amp;shifts!AG158,events!AL:AL,"&gt;"&amp;shifts!AH158,events!E:E,"="&amp;shifts!B159)+SUMIFS(events!AJ:AJ,events!Q:Q,"=Timeout",events!AK:AK,"&lt;="&amp;shifts!AG158,events!AL:AL,"&gt;"&amp;shifts!AH158,events!E:E,"="&amp;shifts!B159)</f>
        <v>0</v>
      </c>
      <c r="X158" s="8" t="str">
        <f t="shared" si="73"/>
        <v/>
      </c>
      <c r="Z158" t="str">
        <f t="shared" si="74"/>
        <v/>
      </c>
      <c r="AB158" t="str">
        <f t="shared" si="75"/>
        <v/>
      </c>
      <c r="AD158">
        <f>events!AG158</f>
        <v>18981</v>
      </c>
      <c r="AE158" t="str">
        <f>events!AH158</f>
        <v>Nelson</v>
      </c>
      <c r="AF158" t="str">
        <f>events!AI158</f>
        <v>Velodrome</v>
      </c>
      <c r="AG158" s="5">
        <f t="shared" si="58"/>
        <v>0</v>
      </c>
      <c r="AH158" s="5">
        <f t="shared" si="59"/>
        <v>0</v>
      </c>
      <c r="AI158" s="16">
        <f t="shared" si="64"/>
        <v>0</v>
      </c>
      <c r="AJ158">
        <f t="shared" si="60"/>
        <v>0</v>
      </c>
      <c r="AK158">
        <f t="shared" si="61"/>
        <v>0</v>
      </c>
      <c r="AL158">
        <f t="shared" si="62"/>
        <v>0</v>
      </c>
      <c r="AM158">
        <f t="shared" si="63"/>
        <v>0</v>
      </c>
      <c r="AN158">
        <f t="shared" si="57"/>
        <v>0</v>
      </c>
      <c r="AO158">
        <f t="shared" si="65"/>
        <v>0</v>
      </c>
      <c r="AP158">
        <f t="shared" si="66"/>
        <v>0</v>
      </c>
      <c r="AQ158">
        <f t="shared" si="67"/>
        <v>0</v>
      </c>
      <c r="AU158">
        <f t="shared" si="77"/>
        <v>0</v>
      </c>
      <c r="AV158">
        <f>IFERROR(VLOOKUP(B158,events!E:AQ,24,FALSE),AV157)</f>
        <v>0</v>
      </c>
      <c r="AY158" s="5"/>
    </row>
    <row r="159" spans="1:51" x14ac:dyDescent="0.2">
      <c r="A159">
        <f t="shared" si="76"/>
        <v>158</v>
      </c>
      <c r="B159" s="8">
        <f t="shared" si="68"/>
        <v>3</v>
      </c>
      <c r="C159">
        <f t="shared" si="69"/>
        <v>0</v>
      </c>
      <c r="D159" s="5">
        <f t="shared" si="70"/>
        <v>0</v>
      </c>
      <c r="O159" s="6">
        <f t="shared" si="71"/>
        <v>31</v>
      </c>
      <c r="V159">
        <f t="shared" si="72"/>
        <v>0</v>
      </c>
      <c r="W159" s="8">
        <f>SUMIFS(events!AJ:AJ,events!Q:Q,"=DeadIce",events!AK:AK,"&lt;="&amp;shifts!AG159,events!AL:AL,"&gt;"&amp;shifts!AH159,events!E:E,"="&amp;shifts!B160)+SUMIFS(events!AJ:AJ,events!Q:Q,"=Timeout",events!AK:AK,"&lt;="&amp;shifts!AG159,events!AL:AL,"&gt;"&amp;shifts!AH159,events!E:E,"="&amp;shifts!B160)</f>
        <v>0</v>
      </c>
      <c r="X159" s="8" t="str">
        <f t="shared" si="73"/>
        <v/>
      </c>
      <c r="Z159" t="str">
        <f t="shared" si="74"/>
        <v/>
      </c>
      <c r="AB159" t="str">
        <f t="shared" si="75"/>
        <v/>
      </c>
      <c r="AD159">
        <f>events!AG159</f>
        <v>18981</v>
      </c>
      <c r="AE159" t="str">
        <f>events!AH159</f>
        <v>Nelson</v>
      </c>
      <c r="AF159" t="str">
        <f>events!AI159</f>
        <v>Velodrome</v>
      </c>
      <c r="AG159" s="5">
        <f t="shared" si="58"/>
        <v>0</v>
      </c>
      <c r="AH159" s="5">
        <f t="shared" si="59"/>
        <v>0</v>
      </c>
      <c r="AI159" s="16">
        <f t="shared" si="64"/>
        <v>0</v>
      </c>
      <c r="AJ159">
        <f t="shared" si="60"/>
        <v>0</v>
      </c>
      <c r="AK159">
        <f t="shared" si="61"/>
        <v>0</v>
      </c>
      <c r="AL159">
        <f t="shared" si="62"/>
        <v>0</v>
      </c>
      <c r="AM159">
        <f t="shared" si="63"/>
        <v>0</v>
      </c>
      <c r="AN159">
        <f t="shared" si="57"/>
        <v>0</v>
      </c>
      <c r="AO159">
        <f t="shared" si="65"/>
        <v>0</v>
      </c>
      <c r="AP159">
        <f t="shared" si="66"/>
        <v>0</v>
      </c>
      <c r="AQ159">
        <f t="shared" si="67"/>
        <v>0</v>
      </c>
      <c r="AU159">
        <f t="shared" si="77"/>
        <v>0</v>
      </c>
      <c r="AV159">
        <f>IFERROR(VLOOKUP(B159,events!E:AQ,24,FALSE),AV158)</f>
        <v>0</v>
      </c>
      <c r="AY159" s="5"/>
    </row>
    <row r="160" spans="1:51" x14ac:dyDescent="0.2">
      <c r="A160">
        <f t="shared" si="76"/>
        <v>159</v>
      </c>
      <c r="B160" s="8">
        <f t="shared" si="68"/>
        <v>3</v>
      </c>
      <c r="C160">
        <f t="shared" si="69"/>
        <v>0</v>
      </c>
      <c r="D160" s="5">
        <f t="shared" si="70"/>
        <v>0</v>
      </c>
      <c r="O160" s="6">
        <f t="shared" si="71"/>
        <v>31</v>
      </c>
      <c r="V160">
        <f t="shared" si="72"/>
        <v>0</v>
      </c>
      <c r="W160" s="8">
        <f>SUMIFS(events!AJ:AJ,events!Q:Q,"=DeadIce",events!AK:AK,"&lt;="&amp;shifts!AG160,events!AL:AL,"&gt;"&amp;shifts!AH160,events!E:E,"="&amp;shifts!B161)+SUMIFS(events!AJ:AJ,events!Q:Q,"=Timeout",events!AK:AK,"&lt;="&amp;shifts!AG160,events!AL:AL,"&gt;"&amp;shifts!AH160,events!E:E,"="&amp;shifts!B161)</f>
        <v>0</v>
      </c>
      <c r="X160" s="8" t="str">
        <f t="shared" si="73"/>
        <v/>
      </c>
      <c r="Z160" t="str">
        <f t="shared" si="74"/>
        <v/>
      </c>
      <c r="AB160" t="str">
        <f t="shared" si="75"/>
        <v/>
      </c>
      <c r="AD160">
        <f>events!AG160</f>
        <v>18981</v>
      </c>
      <c r="AE160" t="str">
        <f>events!AH160</f>
        <v>Nelson</v>
      </c>
      <c r="AF160" t="str">
        <f>events!AI160</f>
        <v>Velodrome</v>
      </c>
      <c r="AG160" s="5">
        <f t="shared" si="58"/>
        <v>0</v>
      </c>
      <c r="AH160" s="5">
        <f t="shared" si="59"/>
        <v>0</v>
      </c>
      <c r="AI160" s="16">
        <f t="shared" si="64"/>
        <v>0</v>
      </c>
      <c r="AJ160">
        <f t="shared" si="60"/>
        <v>0</v>
      </c>
      <c r="AK160">
        <f t="shared" si="61"/>
        <v>0</v>
      </c>
      <c r="AL160">
        <f t="shared" si="62"/>
        <v>0</v>
      </c>
      <c r="AM160">
        <f t="shared" si="63"/>
        <v>0</v>
      </c>
      <c r="AN160">
        <f t="shared" si="57"/>
        <v>0</v>
      </c>
      <c r="AO160">
        <f t="shared" si="65"/>
        <v>0</v>
      </c>
      <c r="AP160">
        <f t="shared" si="66"/>
        <v>0</v>
      </c>
      <c r="AQ160">
        <f t="shared" si="67"/>
        <v>0</v>
      </c>
      <c r="AU160">
        <f t="shared" si="77"/>
        <v>0</v>
      </c>
      <c r="AV160">
        <f>IFERROR(VLOOKUP(B160,events!E:AQ,24,FALSE),AV159)</f>
        <v>0</v>
      </c>
      <c r="AY160" s="5"/>
    </row>
    <row r="161" spans="1:51" x14ac:dyDescent="0.2">
      <c r="A161">
        <f t="shared" si="76"/>
        <v>160</v>
      </c>
      <c r="B161" s="8">
        <f t="shared" si="68"/>
        <v>3</v>
      </c>
      <c r="C161">
        <f t="shared" si="69"/>
        <v>0</v>
      </c>
      <c r="D161" s="5">
        <f t="shared" si="70"/>
        <v>0</v>
      </c>
      <c r="O161" s="6">
        <f t="shared" si="71"/>
        <v>31</v>
      </c>
      <c r="V161">
        <f t="shared" si="72"/>
        <v>0</v>
      </c>
      <c r="W161" s="8">
        <f>SUMIFS(events!AJ:AJ,events!Q:Q,"=DeadIce",events!AK:AK,"&lt;="&amp;shifts!AG161,events!AL:AL,"&gt;"&amp;shifts!AH161,events!E:E,"="&amp;shifts!B162)+SUMIFS(events!AJ:AJ,events!Q:Q,"=Timeout",events!AK:AK,"&lt;="&amp;shifts!AG161,events!AL:AL,"&gt;"&amp;shifts!AH161,events!E:E,"="&amp;shifts!B162)</f>
        <v>0</v>
      </c>
      <c r="X161" s="8" t="str">
        <f t="shared" si="73"/>
        <v/>
      </c>
      <c r="Z161" t="str">
        <f t="shared" si="74"/>
        <v/>
      </c>
      <c r="AB161" t="str">
        <f t="shared" si="75"/>
        <v/>
      </c>
      <c r="AD161">
        <f>events!AG161</f>
        <v>18981</v>
      </c>
      <c r="AE161" t="str">
        <f>events!AH161</f>
        <v>Nelson</v>
      </c>
      <c r="AF161" t="str">
        <f>events!AI161</f>
        <v>Velodrome</v>
      </c>
      <c r="AG161" s="5">
        <f t="shared" si="58"/>
        <v>0</v>
      </c>
      <c r="AH161" s="5">
        <f t="shared" si="59"/>
        <v>0</v>
      </c>
      <c r="AI161" s="16">
        <f t="shared" si="64"/>
        <v>0</v>
      </c>
      <c r="AJ161">
        <f t="shared" si="60"/>
        <v>0</v>
      </c>
      <c r="AK161">
        <f t="shared" si="61"/>
        <v>0</v>
      </c>
      <c r="AL161">
        <f t="shared" si="62"/>
        <v>0</v>
      </c>
      <c r="AM161">
        <f t="shared" si="63"/>
        <v>0</v>
      </c>
      <c r="AN161">
        <f t="shared" si="57"/>
        <v>0</v>
      </c>
      <c r="AO161">
        <f t="shared" si="65"/>
        <v>0</v>
      </c>
      <c r="AP161">
        <f t="shared" si="66"/>
        <v>0</v>
      </c>
      <c r="AQ161">
        <f t="shared" si="67"/>
        <v>0</v>
      </c>
      <c r="AU161">
        <f t="shared" si="77"/>
        <v>0</v>
      </c>
      <c r="AV161">
        <f>IFERROR(VLOOKUP(B161,events!E:AQ,24,FALSE),AV160)</f>
        <v>0</v>
      </c>
      <c r="AY161" s="5"/>
    </row>
    <row r="162" spans="1:51" x14ac:dyDescent="0.2">
      <c r="A162">
        <f t="shared" si="76"/>
        <v>161</v>
      </c>
      <c r="B162" s="8">
        <f t="shared" si="68"/>
        <v>3</v>
      </c>
      <c r="C162">
        <f t="shared" si="69"/>
        <v>0</v>
      </c>
      <c r="D162" s="5">
        <f t="shared" si="70"/>
        <v>0</v>
      </c>
      <c r="O162" s="6">
        <f t="shared" si="71"/>
        <v>31</v>
      </c>
      <c r="V162">
        <f t="shared" si="72"/>
        <v>0</v>
      </c>
      <c r="W162" s="8">
        <f>SUMIFS(events!AJ:AJ,events!Q:Q,"=DeadIce",events!AK:AK,"&lt;="&amp;shifts!AG162,events!AL:AL,"&gt;"&amp;shifts!AH162,events!E:E,"="&amp;shifts!B163)+SUMIFS(events!AJ:AJ,events!Q:Q,"=Timeout",events!AK:AK,"&lt;="&amp;shifts!AG162,events!AL:AL,"&gt;"&amp;shifts!AH162,events!E:E,"="&amp;shifts!B163)</f>
        <v>0</v>
      </c>
      <c r="X162" s="8" t="str">
        <f t="shared" si="73"/>
        <v/>
      </c>
      <c r="Z162" t="str">
        <f t="shared" si="74"/>
        <v/>
      </c>
      <c r="AB162" t="str">
        <f t="shared" si="75"/>
        <v/>
      </c>
      <c r="AD162">
        <f>events!AG162</f>
        <v>18981</v>
      </c>
      <c r="AE162" t="str">
        <f>events!AH162</f>
        <v>Nelson</v>
      </c>
      <c r="AF162" t="str">
        <f>events!AI162</f>
        <v>Velodrome</v>
      </c>
      <c r="AG162" s="5">
        <f t="shared" ref="AG162:AG193" si="78">((C162*60)+D162)</f>
        <v>0</v>
      </c>
      <c r="AH162" s="5">
        <f t="shared" ref="AH162:AH193" si="79">((E162*60)+F162)</f>
        <v>0</v>
      </c>
      <c r="AI162" s="16">
        <f t="shared" si="64"/>
        <v>0</v>
      </c>
      <c r="AJ162">
        <f t="shared" ref="AJ162:AJ193" si="80">COUNTIF(I162:N162,"&gt;0")</f>
        <v>0</v>
      </c>
      <c r="AK162">
        <f t="shared" ref="AK162:AK193" si="81">COUNTIF(P162:U162,"&gt;0")</f>
        <v>0</v>
      </c>
      <c r="AL162">
        <f t="shared" ref="AL162:AL193" si="82">IF(O162="",1,0)</f>
        <v>0</v>
      </c>
      <c r="AM162">
        <f t="shared" ref="AM162:AM193" si="83">IF(V162="",1,0)</f>
        <v>0</v>
      </c>
      <c r="AN162">
        <f t="shared" si="57"/>
        <v>0</v>
      </c>
      <c r="AO162">
        <f t="shared" si="65"/>
        <v>0</v>
      </c>
      <c r="AP162">
        <f t="shared" si="66"/>
        <v>0</v>
      </c>
      <c r="AQ162">
        <f t="shared" si="67"/>
        <v>0</v>
      </c>
      <c r="AU162">
        <f t="shared" si="77"/>
        <v>0</v>
      </c>
      <c r="AV162">
        <f>IFERROR(VLOOKUP(B162,events!E:AQ,24,FALSE),AV161)</f>
        <v>0</v>
      </c>
      <c r="AY162" s="5"/>
    </row>
    <row r="163" spans="1:51" x14ac:dyDescent="0.2">
      <c r="A163">
        <f t="shared" si="76"/>
        <v>162</v>
      </c>
      <c r="B163" s="8">
        <f t="shared" si="68"/>
        <v>3</v>
      </c>
      <c r="C163">
        <f t="shared" si="69"/>
        <v>0</v>
      </c>
      <c r="D163" s="5">
        <f t="shared" si="70"/>
        <v>0</v>
      </c>
      <c r="O163" s="6">
        <f t="shared" si="71"/>
        <v>31</v>
      </c>
      <c r="V163">
        <f t="shared" si="72"/>
        <v>0</v>
      </c>
      <c r="W163" s="8">
        <f>SUMIFS(events!AJ:AJ,events!Q:Q,"=DeadIce",events!AK:AK,"&lt;="&amp;shifts!AG163,events!AL:AL,"&gt;"&amp;shifts!AH163,events!E:E,"="&amp;shifts!B164)+SUMIFS(events!AJ:AJ,events!Q:Q,"=Timeout",events!AK:AK,"&lt;="&amp;shifts!AG163,events!AL:AL,"&gt;"&amp;shifts!AH163,events!E:E,"="&amp;shifts!B164)</f>
        <v>0</v>
      </c>
      <c r="X163" s="8" t="str">
        <f t="shared" si="73"/>
        <v/>
      </c>
      <c r="Z163" t="str">
        <f t="shared" si="74"/>
        <v/>
      </c>
      <c r="AB163" t="str">
        <f t="shared" si="75"/>
        <v/>
      </c>
      <c r="AD163">
        <f>events!AG163</f>
        <v>18981</v>
      </c>
      <c r="AE163" t="str">
        <f>events!AH163</f>
        <v>Nelson</v>
      </c>
      <c r="AF163" t="str">
        <f>events!AI163</f>
        <v>Velodrome</v>
      </c>
      <c r="AG163" s="5">
        <f t="shared" si="78"/>
        <v>0</v>
      </c>
      <c r="AH163" s="5">
        <f t="shared" si="79"/>
        <v>0</v>
      </c>
      <c r="AI163" s="16">
        <f t="shared" si="64"/>
        <v>0</v>
      </c>
      <c r="AJ163">
        <f t="shared" si="80"/>
        <v>0</v>
      </c>
      <c r="AK163">
        <f t="shared" si="81"/>
        <v>0</v>
      </c>
      <c r="AL163">
        <f t="shared" si="82"/>
        <v>0</v>
      </c>
      <c r="AM163">
        <f t="shared" si="83"/>
        <v>0</v>
      </c>
      <c r="AN163">
        <f t="shared" si="57"/>
        <v>0</v>
      </c>
      <c r="AO163">
        <f t="shared" si="65"/>
        <v>0</v>
      </c>
      <c r="AP163">
        <f t="shared" si="66"/>
        <v>0</v>
      </c>
      <c r="AQ163">
        <f t="shared" si="67"/>
        <v>0</v>
      </c>
      <c r="AU163">
        <f t="shared" si="77"/>
        <v>0</v>
      </c>
      <c r="AV163">
        <f>IFERROR(VLOOKUP(B163,events!E:AQ,24,FALSE),AV162)</f>
        <v>0</v>
      </c>
      <c r="AY163" s="5"/>
    </row>
    <row r="164" spans="1:51" x14ac:dyDescent="0.2">
      <c r="A164">
        <f t="shared" si="76"/>
        <v>163</v>
      </c>
      <c r="B164" s="8">
        <f t="shared" si="68"/>
        <v>3</v>
      </c>
      <c r="C164">
        <f t="shared" si="69"/>
        <v>0</v>
      </c>
      <c r="D164" s="5">
        <f t="shared" si="70"/>
        <v>0</v>
      </c>
      <c r="O164" s="6">
        <f t="shared" si="71"/>
        <v>31</v>
      </c>
      <c r="V164">
        <f t="shared" si="72"/>
        <v>0</v>
      </c>
      <c r="W164" s="8">
        <f>SUMIFS(events!AJ:AJ,events!Q:Q,"=DeadIce",events!AK:AK,"&lt;="&amp;shifts!AG164,events!AL:AL,"&gt;"&amp;shifts!AH164,events!E:E,"="&amp;shifts!B165)+SUMIFS(events!AJ:AJ,events!Q:Q,"=Timeout",events!AK:AK,"&lt;="&amp;shifts!AG164,events!AL:AL,"&gt;"&amp;shifts!AH164,events!E:E,"="&amp;shifts!B165)</f>
        <v>0</v>
      </c>
      <c r="X164" s="8" t="str">
        <f t="shared" si="73"/>
        <v/>
      </c>
      <c r="Z164" t="str">
        <f t="shared" si="74"/>
        <v/>
      </c>
      <c r="AB164" t="str">
        <f t="shared" si="75"/>
        <v/>
      </c>
      <c r="AD164">
        <f>events!AG164</f>
        <v>18981</v>
      </c>
      <c r="AE164" t="str">
        <f>events!AH164</f>
        <v>Nelson</v>
      </c>
      <c r="AF164" t="str">
        <f>events!AI164</f>
        <v>Velodrome</v>
      </c>
      <c r="AG164" s="5">
        <f t="shared" si="78"/>
        <v>0</v>
      </c>
      <c r="AH164" s="5">
        <f t="shared" si="79"/>
        <v>0</v>
      </c>
      <c r="AI164" s="16">
        <f t="shared" si="64"/>
        <v>0</v>
      </c>
      <c r="AJ164">
        <f t="shared" si="80"/>
        <v>0</v>
      </c>
      <c r="AK164">
        <f t="shared" si="81"/>
        <v>0</v>
      </c>
      <c r="AL164">
        <f t="shared" si="82"/>
        <v>0</v>
      </c>
      <c r="AM164">
        <f t="shared" si="83"/>
        <v>0</v>
      </c>
      <c r="AN164">
        <f t="shared" si="57"/>
        <v>0</v>
      </c>
      <c r="AO164">
        <f t="shared" si="65"/>
        <v>0</v>
      </c>
      <c r="AP164">
        <f t="shared" si="66"/>
        <v>0</v>
      </c>
      <c r="AQ164">
        <f t="shared" si="67"/>
        <v>0</v>
      </c>
      <c r="AU164">
        <f t="shared" si="77"/>
        <v>0</v>
      </c>
      <c r="AV164">
        <f>IFERROR(VLOOKUP(B164,events!E:AQ,24,FALSE),AV163)</f>
        <v>0</v>
      </c>
      <c r="AY164" s="5"/>
    </row>
    <row r="165" spans="1:51" x14ac:dyDescent="0.2">
      <c r="A165">
        <f t="shared" si="76"/>
        <v>164</v>
      </c>
      <c r="B165" s="8">
        <f t="shared" si="68"/>
        <v>3</v>
      </c>
      <c r="C165">
        <f t="shared" si="69"/>
        <v>0</v>
      </c>
      <c r="D165" s="5">
        <f t="shared" si="70"/>
        <v>0</v>
      </c>
      <c r="O165" s="6">
        <f t="shared" si="71"/>
        <v>31</v>
      </c>
      <c r="V165">
        <f t="shared" si="72"/>
        <v>0</v>
      </c>
      <c r="W165" s="8">
        <f>SUMIFS(events!AJ:AJ,events!Q:Q,"=DeadIce",events!AK:AK,"&lt;="&amp;shifts!AG165,events!AL:AL,"&gt;"&amp;shifts!AH165,events!E:E,"="&amp;shifts!B166)+SUMIFS(events!AJ:AJ,events!Q:Q,"=Timeout",events!AK:AK,"&lt;="&amp;shifts!AG165,events!AL:AL,"&gt;"&amp;shifts!AH165,events!E:E,"="&amp;shifts!B166)</f>
        <v>0</v>
      </c>
      <c r="X165" s="8" t="str">
        <f t="shared" si="73"/>
        <v/>
      </c>
      <c r="Z165" t="str">
        <f t="shared" si="74"/>
        <v/>
      </c>
      <c r="AB165" t="str">
        <f t="shared" si="75"/>
        <v/>
      </c>
      <c r="AD165">
        <f>events!AG165</f>
        <v>18981</v>
      </c>
      <c r="AE165" t="str">
        <f>events!AH165</f>
        <v>Nelson</v>
      </c>
      <c r="AF165" t="str">
        <f>events!AI165</f>
        <v>Velodrome</v>
      </c>
      <c r="AG165" s="5">
        <f t="shared" si="78"/>
        <v>0</v>
      </c>
      <c r="AH165" s="5">
        <f t="shared" si="79"/>
        <v>0</v>
      </c>
      <c r="AI165" s="16">
        <f t="shared" si="64"/>
        <v>0</v>
      </c>
      <c r="AJ165">
        <f t="shared" si="80"/>
        <v>0</v>
      </c>
      <c r="AK165">
        <f t="shared" si="81"/>
        <v>0</v>
      </c>
      <c r="AL165">
        <f t="shared" si="82"/>
        <v>0</v>
      </c>
      <c r="AM165">
        <f t="shared" si="83"/>
        <v>0</v>
      </c>
      <c r="AN165">
        <f t="shared" si="57"/>
        <v>0</v>
      </c>
      <c r="AO165">
        <f t="shared" si="65"/>
        <v>0</v>
      </c>
      <c r="AP165">
        <f t="shared" si="66"/>
        <v>0</v>
      </c>
      <c r="AQ165">
        <f t="shared" si="67"/>
        <v>0</v>
      </c>
      <c r="AU165">
        <f t="shared" si="77"/>
        <v>0</v>
      </c>
      <c r="AV165">
        <f>IFERROR(VLOOKUP(B165,events!E:AQ,24,FALSE),AV164)</f>
        <v>0</v>
      </c>
      <c r="AY165" s="5"/>
    </row>
    <row r="166" spans="1:51" x14ac:dyDescent="0.2">
      <c r="A166">
        <f t="shared" si="76"/>
        <v>165</v>
      </c>
      <c r="B166" s="8">
        <f t="shared" si="68"/>
        <v>3</v>
      </c>
      <c r="C166">
        <f t="shared" si="69"/>
        <v>0</v>
      </c>
      <c r="D166" s="5">
        <f t="shared" si="70"/>
        <v>0</v>
      </c>
      <c r="O166" s="6">
        <f t="shared" si="71"/>
        <v>31</v>
      </c>
      <c r="V166">
        <f t="shared" si="72"/>
        <v>0</v>
      </c>
      <c r="W166" s="8">
        <f>SUMIFS(events!AJ:AJ,events!Q:Q,"=DeadIce",events!AK:AK,"&lt;="&amp;shifts!AG166,events!AL:AL,"&gt;"&amp;shifts!AH166,events!E:E,"="&amp;shifts!B167)+SUMIFS(events!AJ:AJ,events!Q:Q,"=Timeout",events!AK:AK,"&lt;="&amp;shifts!AG166,events!AL:AL,"&gt;"&amp;shifts!AH166,events!E:E,"="&amp;shifts!B167)</f>
        <v>0</v>
      </c>
      <c r="X166" s="8" t="str">
        <f t="shared" si="73"/>
        <v/>
      </c>
      <c r="Z166" t="str">
        <f t="shared" si="74"/>
        <v/>
      </c>
      <c r="AB166" t="str">
        <f t="shared" si="75"/>
        <v/>
      </c>
      <c r="AD166">
        <f>events!AG166</f>
        <v>18981</v>
      </c>
      <c r="AE166" t="str">
        <f>events!AH166</f>
        <v>Nelson</v>
      </c>
      <c r="AF166" t="str">
        <f>events!AI166</f>
        <v>Velodrome</v>
      </c>
      <c r="AG166" s="5">
        <f t="shared" si="78"/>
        <v>0</v>
      </c>
      <c r="AH166" s="5">
        <f t="shared" si="79"/>
        <v>0</v>
      </c>
      <c r="AI166" s="16">
        <f t="shared" si="64"/>
        <v>0</v>
      </c>
      <c r="AJ166">
        <f t="shared" si="80"/>
        <v>0</v>
      </c>
      <c r="AK166">
        <f t="shared" si="81"/>
        <v>0</v>
      </c>
      <c r="AL166">
        <f t="shared" si="82"/>
        <v>0</v>
      </c>
      <c r="AM166">
        <f t="shared" si="83"/>
        <v>0</v>
      </c>
      <c r="AN166">
        <f t="shared" si="57"/>
        <v>0</v>
      </c>
      <c r="AO166">
        <f t="shared" si="65"/>
        <v>0</v>
      </c>
      <c r="AP166">
        <f t="shared" si="66"/>
        <v>0</v>
      </c>
      <c r="AQ166">
        <f t="shared" si="67"/>
        <v>0</v>
      </c>
      <c r="AU166">
        <f t="shared" si="77"/>
        <v>0</v>
      </c>
      <c r="AV166">
        <f>IFERROR(VLOOKUP(B166,events!E:AQ,24,FALSE),AV165)</f>
        <v>0</v>
      </c>
      <c r="AY166" s="5"/>
    </row>
    <row r="167" spans="1:51" x14ac:dyDescent="0.2">
      <c r="A167">
        <f t="shared" si="76"/>
        <v>166</v>
      </c>
      <c r="B167" s="8">
        <f t="shared" si="68"/>
        <v>3</v>
      </c>
      <c r="C167">
        <f t="shared" si="69"/>
        <v>0</v>
      </c>
      <c r="D167" s="5">
        <f t="shared" si="70"/>
        <v>0</v>
      </c>
      <c r="O167" s="6">
        <f t="shared" si="71"/>
        <v>31</v>
      </c>
      <c r="V167">
        <f t="shared" si="72"/>
        <v>0</v>
      </c>
      <c r="W167" s="8">
        <f>SUMIFS(events!AJ:AJ,events!Q:Q,"=DeadIce",events!AK:AK,"&lt;="&amp;shifts!AG167,events!AL:AL,"&gt;"&amp;shifts!AH167,events!E:E,"="&amp;shifts!B168)+SUMIFS(events!AJ:AJ,events!Q:Q,"=Timeout",events!AK:AK,"&lt;="&amp;shifts!AG167,events!AL:AL,"&gt;"&amp;shifts!AH167,events!E:E,"="&amp;shifts!B168)</f>
        <v>0</v>
      </c>
      <c r="X167" s="8" t="str">
        <f t="shared" si="73"/>
        <v/>
      </c>
      <c r="Z167" t="str">
        <f t="shared" si="74"/>
        <v/>
      </c>
      <c r="AB167" t="str">
        <f t="shared" si="75"/>
        <v/>
      </c>
      <c r="AD167">
        <f>events!AG167</f>
        <v>18981</v>
      </c>
      <c r="AE167" t="str">
        <f>events!AH167</f>
        <v>Nelson</v>
      </c>
      <c r="AF167" t="str">
        <f>events!AI167</f>
        <v>Velodrome</v>
      </c>
      <c r="AG167" s="5">
        <f t="shared" si="78"/>
        <v>0</v>
      </c>
      <c r="AH167" s="5">
        <f t="shared" si="79"/>
        <v>0</v>
      </c>
      <c r="AI167" s="16">
        <f t="shared" si="64"/>
        <v>0</v>
      </c>
      <c r="AJ167">
        <f t="shared" si="80"/>
        <v>0</v>
      </c>
      <c r="AK167">
        <f t="shared" si="81"/>
        <v>0</v>
      </c>
      <c r="AL167">
        <f t="shared" si="82"/>
        <v>0</v>
      </c>
      <c r="AM167">
        <f t="shared" si="83"/>
        <v>0</v>
      </c>
      <c r="AN167">
        <f t="shared" si="57"/>
        <v>0</v>
      </c>
      <c r="AO167">
        <f t="shared" si="65"/>
        <v>0</v>
      </c>
      <c r="AP167">
        <f t="shared" si="66"/>
        <v>0</v>
      </c>
      <c r="AQ167">
        <f t="shared" si="67"/>
        <v>0</v>
      </c>
      <c r="AU167">
        <f t="shared" si="77"/>
        <v>0</v>
      </c>
      <c r="AV167">
        <f>IFERROR(VLOOKUP(B167,events!E:AQ,24,FALSE),AV166)</f>
        <v>0</v>
      </c>
      <c r="AY167" s="5"/>
    </row>
    <row r="168" spans="1:51" x14ac:dyDescent="0.2">
      <c r="A168">
        <f t="shared" si="76"/>
        <v>167</v>
      </c>
      <c r="B168" s="8">
        <f t="shared" si="68"/>
        <v>3</v>
      </c>
      <c r="C168">
        <f t="shared" si="69"/>
        <v>0</v>
      </c>
      <c r="D168" s="5">
        <f t="shared" si="70"/>
        <v>0</v>
      </c>
      <c r="O168" s="6">
        <f t="shared" si="71"/>
        <v>31</v>
      </c>
      <c r="V168">
        <f t="shared" si="72"/>
        <v>0</v>
      </c>
      <c r="W168" s="8">
        <f>SUMIFS(events!AJ:AJ,events!Q:Q,"=DeadIce",events!AK:AK,"&lt;="&amp;shifts!AG168,events!AL:AL,"&gt;"&amp;shifts!AH168,events!E:E,"="&amp;shifts!B169)+SUMIFS(events!AJ:AJ,events!Q:Q,"=Timeout",events!AK:AK,"&lt;="&amp;shifts!AG168,events!AL:AL,"&gt;"&amp;shifts!AH168,events!E:E,"="&amp;shifts!B169)</f>
        <v>0</v>
      </c>
      <c r="X168" s="8" t="str">
        <f t="shared" si="73"/>
        <v/>
      </c>
      <c r="Z168" t="str">
        <f t="shared" si="74"/>
        <v/>
      </c>
      <c r="AB168" t="str">
        <f t="shared" si="75"/>
        <v/>
      </c>
      <c r="AD168">
        <f>events!AG168</f>
        <v>18981</v>
      </c>
      <c r="AE168" t="str">
        <f>events!AH168</f>
        <v>Nelson</v>
      </c>
      <c r="AF168" t="str">
        <f>events!AI168</f>
        <v>Velodrome</v>
      </c>
      <c r="AG168" s="5">
        <f t="shared" si="78"/>
        <v>0</v>
      </c>
      <c r="AH168" s="5">
        <f t="shared" si="79"/>
        <v>0</v>
      </c>
      <c r="AI168" s="16">
        <f t="shared" si="64"/>
        <v>0</v>
      </c>
      <c r="AJ168">
        <f t="shared" si="80"/>
        <v>0</v>
      </c>
      <c r="AK168">
        <f t="shared" si="81"/>
        <v>0</v>
      </c>
      <c r="AL168">
        <f t="shared" si="82"/>
        <v>0</v>
      </c>
      <c r="AM168">
        <f t="shared" si="83"/>
        <v>0</v>
      </c>
      <c r="AN168">
        <f t="shared" si="57"/>
        <v>0</v>
      </c>
      <c r="AO168">
        <f t="shared" si="65"/>
        <v>0</v>
      </c>
      <c r="AP168">
        <f t="shared" si="66"/>
        <v>0</v>
      </c>
      <c r="AQ168">
        <f t="shared" si="67"/>
        <v>0</v>
      </c>
      <c r="AU168">
        <f t="shared" si="77"/>
        <v>0</v>
      </c>
      <c r="AV168">
        <f>IFERROR(VLOOKUP(B168,events!E:AQ,24,FALSE),AV167)</f>
        <v>0</v>
      </c>
      <c r="AY168" s="5"/>
    </row>
    <row r="169" spans="1:51" x14ac:dyDescent="0.2">
      <c r="A169">
        <f t="shared" si="76"/>
        <v>168</v>
      </c>
      <c r="B169" s="8">
        <f t="shared" si="68"/>
        <v>3</v>
      </c>
      <c r="C169">
        <f t="shared" si="69"/>
        <v>0</v>
      </c>
      <c r="D169" s="5">
        <f t="shared" si="70"/>
        <v>0</v>
      </c>
      <c r="O169" s="6">
        <f t="shared" si="71"/>
        <v>31</v>
      </c>
      <c r="V169">
        <f t="shared" si="72"/>
        <v>0</v>
      </c>
      <c r="W169" s="8">
        <f>SUMIFS(events!AJ:AJ,events!Q:Q,"=DeadIce",events!AK:AK,"&lt;="&amp;shifts!AG169,events!AL:AL,"&gt;"&amp;shifts!AH169,events!E:E,"="&amp;shifts!B170)+SUMIFS(events!AJ:AJ,events!Q:Q,"=Timeout",events!AK:AK,"&lt;="&amp;shifts!AG169,events!AL:AL,"&gt;"&amp;shifts!AH169,events!E:E,"="&amp;shifts!B170)</f>
        <v>0</v>
      </c>
      <c r="X169" s="8" t="str">
        <f t="shared" si="73"/>
        <v/>
      </c>
      <c r="Z169" t="str">
        <f t="shared" si="74"/>
        <v/>
      </c>
      <c r="AB169" t="str">
        <f t="shared" si="75"/>
        <v/>
      </c>
      <c r="AD169">
        <f>events!AG169</f>
        <v>18981</v>
      </c>
      <c r="AE169" t="str">
        <f>events!AH169</f>
        <v>Nelson</v>
      </c>
      <c r="AF169" t="str">
        <f>events!AI169</f>
        <v>Velodrome</v>
      </c>
      <c r="AG169" s="5">
        <f t="shared" si="78"/>
        <v>0</v>
      </c>
      <c r="AH169" s="5">
        <f t="shared" si="79"/>
        <v>0</v>
      </c>
      <c r="AI169" s="16">
        <f t="shared" si="64"/>
        <v>0</v>
      </c>
      <c r="AJ169">
        <f t="shared" si="80"/>
        <v>0</v>
      </c>
      <c r="AK169">
        <f t="shared" si="81"/>
        <v>0</v>
      </c>
      <c r="AL169">
        <f t="shared" si="82"/>
        <v>0</v>
      </c>
      <c r="AM169">
        <f t="shared" si="83"/>
        <v>0</v>
      </c>
      <c r="AN169">
        <f t="shared" si="57"/>
        <v>0</v>
      </c>
      <c r="AO169">
        <f t="shared" si="65"/>
        <v>0</v>
      </c>
      <c r="AP169">
        <f t="shared" si="66"/>
        <v>0</v>
      </c>
      <c r="AQ169">
        <f t="shared" si="67"/>
        <v>0</v>
      </c>
      <c r="AU169">
        <f t="shared" si="77"/>
        <v>0</v>
      </c>
      <c r="AV169">
        <f>IFERROR(VLOOKUP(B169,events!E:AQ,24,FALSE),AV168)</f>
        <v>0</v>
      </c>
      <c r="AY169" s="5"/>
    </row>
    <row r="170" spans="1:51" x14ac:dyDescent="0.2">
      <c r="A170">
        <f t="shared" si="76"/>
        <v>169</v>
      </c>
      <c r="B170" s="8">
        <f t="shared" si="68"/>
        <v>3</v>
      </c>
      <c r="C170">
        <f t="shared" si="69"/>
        <v>0</v>
      </c>
      <c r="D170" s="5">
        <f t="shared" si="70"/>
        <v>0</v>
      </c>
      <c r="O170" s="6">
        <f t="shared" si="71"/>
        <v>31</v>
      </c>
      <c r="V170">
        <f t="shared" si="72"/>
        <v>0</v>
      </c>
      <c r="W170" s="8">
        <f>SUMIFS(events!AJ:AJ,events!Q:Q,"=DeadIce",events!AK:AK,"&lt;="&amp;shifts!AG170,events!AL:AL,"&gt;"&amp;shifts!AH170,events!E:E,"="&amp;shifts!B171)+SUMIFS(events!AJ:AJ,events!Q:Q,"=Timeout",events!AK:AK,"&lt;="&amp;shifts!AG170,events!AL:AL,"&gt;"&amp;shifts!AH170,events!E:E,"="&amp;shifts!B171)</f>
        <v>0</v>
      </c>
      <c r="X170" s="8" t="str">
        <f t="shared" si="73"/>
        <v/>
      </c>
      <c r="Z170" t="str">
        <f t="shared" si="74"/>
        <v/>
      </c>
      <c r="AB170" t="str">
        <f t="shared" si="75"/>
        <v/>
      </c>
      <c r="AD170">
        <f>events!AG170</f>
        <v>18981</v>
      </c>
      <c r="AE170" t="str">
        <f>events!AH170</f>
        <v>Nelson</v>
      </c>
      <c r="AF170" t="str">
        <f>events!AI170</f>
        <v>Velodrome</v>
      </c>
      <c r="AG170" s="5">
        <f t="shared" si="78"/>
        <v>0</v>
      </c>
      <c r="AH170" s="5">
        <f t="shared" si="79"/>
        <v>0</v>
      </c>
      <c r="AI170" s="16">
        <f t="shared" si="64"/>
        <v>0</v>
      </c>
      <c r="AJ170">
        <f t="shared" si="80"/>
        <v>0</v>
      </c>
      <c r="AK170">
        <f t="shared" si="81"/>
        <v>0</v>
      </c>
      <c r="AL170">
        <f t="shared" si="82"/>
        <v>0</v>
      </c>
      <c r="AM170">
        <f t="shared" si="83"/>
        <v>0</v>
      </c>
      <c r="AN170">
        <f t="shared" si="57"/>
        <v>0</v>
      </c>
      <c r="AO170">
        <f t="shared" si="65"/>
        <v>0</v>
      </c>
      <c r="AP170">
        <f t="shared" si="66"/>
        <v>0</v>
      </c>
      <c r="AQ170">
        <f t="shared" si="67"/>
        <v>0</v>
      </c>
      <c r="AU170">
        <f t="shared" si="77"/>
        <v>0</v>
      </c>
      <c r="AV170">
        <f>IFERROR(VLOOKUP(B170,events!E:AQ,24,FALSE),AV169)</f>
        <v>0</v>
      </c>
      <c r="AY170" s="5"/>
    </row>
    <row r="171" spans="1:51" x14ac:dyDescent="0.2">
      <c r="A171">
        <f t="shared" si="76"/>
        <v>170</v>
      </c>
      <c r="B171" s="8">
        <f t="shared" si="68"/>
        <v>3</v>
      </c>
      <c r="C171">
        <f t="shared" si="69"/>
        <v>0</v>
      </c>
      <c r="D171" s="5">
        <f t="shared" si="70"/>
        <v>0</v>
      </c>
      <c r="O171" s="6">
        <f t="shared" si="71"/>
        <v>31</v>
      </c>
      <c r="V171">
        <f t="shared" si="72"/>
        <v>0</v>
      </c>
      <c r="W171" s="8">
        <f>SUMIFS(events!AJ:AJ,events!Q:Q,"=DeadIce",events!AK:AK,"&lt;="&amp;shifts!AG171,events!AL:AL,"&gt;"&amp;shifts!AH171,events!E:E,"="&amp;shifts!B172)+SUMIFS(events!AJ:AJ,events!Q:Q,"=Timeout",events!AK:AK,"&lt;="&amp;shifts!AG171,events!AL:AL,"&gt;"&amp;shifts!AH171,events!E:E,"="&amp;shifts!B172)</f>
        <v>0</v>
      </c>
      <c r="X171" s="8" t="str">
        <f t="shared" si="73"/>
        <v/>
      </c>
      <c r="Z171" t="str">
        <f t="shared" si="74"/>
        <v/>
      </c>
      <c r="AB171" t="str">
        <f t="shared" si="75"/>
        <v/>
      </c>
      <c r="AD171">
        <f>events!AG171</f>
        <v>18981</v>
      </c>
      <c r="AE171" t="str">
        <f>events!AH171</f>
        <v>Nelson</v>
      </c>
      <c r="AF171" t="str">
        <f>events!AI171</f>
        <v>Velodrome</v>
      </c>
      <c r="AG171" s="5">
        <f t="shared" si="78"/>
        <v>0</v>
      </c>
      <c r="AH171" s="5">
        <f t="shared" si="79"/>
        <v>0</v>
      </c>
      <c r="AI171" s="16">
        <f t="shared" si="64"/>
        <v>0</v>
      </c>
      <c r="AJ171">
        <f t="shared" si="80"/>
        <v>0</v>
      </c>
      <c r="AK171">
        <f t="shared" si="81"/>
        <v>0</v>
      </c>
      <c r="AL171">
        <f t="shared" si="82"/>
        <v>0</v>
      </c>
      <c r="AM171">
        <f t="shared" si="83"/>
        <v>0</v>
      </c>
      <c r="AN171">
        <f t="shared" si="57"/>
        <v>0</v>
      </c>
      <c r="AO171">
        <f t="shared" si="65"/>
        <v>0</v>
      </c>
      <c r="AP171">
        <f t="shared" si="66"/>
        <v>0</v>
      </c>
      <c r="AQ171">
        <f t="shared" si="67"/>
        <v>0</v>
      </c>
      <c r="AU171">
        <f t="shared" si="77"/>
        <v>0</v>
      </c>
      <c r="AV171">
        <f>IFERROR(VLOOKUP(B171,events!E:AQ,24,FALSE),AV170)</f>
        <v>0</v>
      </c>
      <c r="AY171" s="5"/>
    </row>
    <row r="172" spans="1:51" x14ac:dyDescent="0.2">
      <c r="A172">
        <f t="shared" si="76"/>
        <v>171</v>
      </c>
      <c r="B172" s="8">
        <f t="shared" si="68"/>
        <v>3</v>
      </c>
      <c r="C172">
        <f t="shared" si="69"/>
        <v>0</v>
      </c>
      <c r="D172" s="5">
        <f t="shared" si="70"/>
        <v>0</v>
      </c>
      <c r="O172" s="6">
        <f t="shared" si="71"/>
        <v>31</v>
      </c>
      <c r="V172">
        <f t="shared" si="72"/>
        <v>0</v>
      </c>
      <c r="W172" s="8">
        <f>SUMIFS(events!AJ:AJ,events!Q:Q,"=DeadIce",events!AK:AK,"&lt;="&amp;shifts!AG172,events!AL:AL,"&gt;"&amp;shifts!AH172,events!E:E,"="&amp;shifts!B173)+SUMIFS(events!AJ:AJ,events!Q:Q,"=Timeout",events!AK:AK,"&lt;="&amp;shifts!AG172,events!AL:AL,"&gt;"&amp;shifts!AH172,events!E:E,"="&amp;shifts!B173)</f>
        <v>0</v>
      </c>
      <c r="X172" s="8" t="str">
        <f t="shared" si="73"/>
        <v/>
      </c>
      <c r="Z172" t="str">
        <f t="shared" si="74"/>
        <v/>
      </c>
      <c r="AB172" t="str">
        <f t="shared" si="75"/>
        <v/>
      </c>
      <c r="AD172">
        <f>events!AG172</f>
        <v>18981</v>
      </c>
      <c r="AE172" t="str">
        <f>events!AH172</f>
        <v>Nelson</v>
      </c>
      <c r="AF172" t="str">
        <f>events!AI172</f>
        <v>Velodrome</v>
      </c>
      <c r="AG172" s="5">
        <f t="shared" si="78"/>
        <v>0</v>
      </c>
      <c r="AH172" s="5">
        <f t="shared" si="79"/>
        <v>0</v>
      </c>
      <c r="AI172" s="16">
        <f t="shared" si="64"/>
        <v>0</v>
      </c>
      <c r="AJ172">
        <f t="shared" si="80"/>
        <v>0</v>
      </c>
      <c r="AK172">
        <f t="shared" si="81"/>
        <v>0</v>
      </c>
      <c r="AL172">
        <f t="shared" si="82"/>
        <v>0</v>
      </c>
      <c r="AM172">
        <f t="shared" si="83"/>
        <v>0</v>
      </c>
      <c r="AN172">
        <f t="shared" si="57"/>
        <v>0</v>
      </c>
      <c r="AO172">
        <f t="shared" si="65"/>
        <v>0</v>
      </c>
      <c r="AP172">
        <f t="shared" si="66"/>
        <v>0</v>
      </c>
      <c r="AQ172">
        <f t="shared" si="67"/>
        <v>0</v>
      </c>
      <c r="AU172">
        <f t="shared" si="77"/>
        <v>0</v>
      </c>
      <c r="AV172">
        <f>IFERROR(VLOOKUP(B172,events!E:AQ,24,FALSE),AV171)</f>
        <v>0</v>
      </c>
      <c r="AY172" s="5"/>
    </row>
    <row r="173" spans="1:51" x14ac:dyDescent="0.2">
      <c r="A173">
        <f t="shared" si="76"/>
        <v>172</v>
      </c>
      <c r="B173" s="8">
        <f t="shared" si="68"/>
        <v>3</v>
      </c>
      <c r="C173">
        <f t="shared" si="69"/>
        <v>0</v>
      </c>
      <c r="D173" s="5">
        <f t="shared" si="70"/>
        <v>0</v>
      </c>
      <c r="O173" s="6">
        <f t="shared" si="71"/>
        <v>31</v>
      </c>
      <c r="V173">
        <f t="shared" si="72"/>
        <v>0</v>
      </c>
      <c r="W173" s="8">
        <f>SUMIFS(events!AJ:AJ,events!Q:Q,"=DeadIce",events!AK:AK,"&lt;="&amp;shifts!AG173,events!AL:AL,"&gt;"&amp;shifts!AH173,events!E:E,"="&amp;shifts!B174)+SUMIFS(events!AJ:AJ,events!Q:Q,"=Timeout",events!AK:AK,"&lt;="&amp;shifts!AG173,events!AL:AL,"&gt;"&amp;shifts!AH173,events!E:E,"="&amp;shifts!B174)</f>
        <v>0</v>
      </c>
      <c r="X173" s="8" t="str">
        <f t="shared" si="73"/>
        <v/>
      </c>
      <c r="Z173" t="str">
        <f t="shared" si="74"/>
        <v/>
      </c>
      <c r="AB173" t="str">
        <f t="shared" si="75"/>
        <v/>
      </c>
      <c r="AD173">
        <f>events!AG173</f>
        <v>18981</v>
      </c>
      <c r="AE173" t="str">
        <f>events!AH173</f>
        <v>Nelson</v>
      </c>
      <c r="AF173" t="str">
        <f>events!AI173</f>
        <v>Velodrome</v>
      </c>
      <c r="AG173" s="5">
        <f t="shared" si="78"/>
        <v>0</v>
      </c>
      <c r="AH173" s="5">
        <f t="shared" si="79"/>
        <v>0</v>
      </c>
      <c r="AI173" s="16">
        <f t="shared" si="64"/>
        <v>0</v>
      </c>
      <c r="AJ173">
        <f t="shared" si="80"/>
        <v>0</v>
      </c>
      <c r="AK173">
        <f t="shared" si="81"/>
        <v>0</v>
      </c>
      <c r="AL173">
        <f t="shared" si="82"/>
        <v>0</v>
      </c>
      <c r="AM173">
        <f t="shared" si="83"/>
        <v>0</v>
      </c>
      <c r="AN173">
        <f t="shared" si="57"/>
        <v>0</v>
      </c>
      <c r="AO173">
        <f t="shared" si="65"/>
        <v>0</v>
      </c>
      <c r="AP173">
        <f t="shared" si="66"/>
        <v>0</v>
      </c>
      <c r="AQ173">
        <f t="shared" si="67"/>
        <v>0</v>
      </c>
      <c r="AU173">
        <f t="shared" si="77"/>
        <v>0</v>
      </c>
      <c r="AV173">
        <f>IFERROR(VLOOKUP(B173,events!E:AQ,24,FALSE),AV172)</f>
        <v>0</v>
      </c>
      <c r="AY173" s="5"/>
    </row>
    <row r="174" spans="1:51" x14ac:dyDescent="0.2">
      <c r="A174">
        <f t="shared" si="76"/>
        <v>173</v>
      </c>
      <c r="B174" s="8">
        <f t="shared" si="68"/>
        <v>3</v>
      </c>
      <c r="C174">
        <f t="shared" si="69"/>
        <v>0</v>
      </c>
      <c r="D174" s="5">
        <f t="shared" si="70"/>
        <v>0</v>
      </c>
      <c r="O174" s="6">
        <f t="shared" si="71"/>
        <v>31</v>
      </c>
      <c r="V174">
        <f t="shared" si="72"/>
        <v>0</v>
      </c>
      <c r="W174" s="8">
        <f>SUMIFS(events!AJ:AJ,events!Q:Q,"=DeadIce",events!AK:AK,"&lt;="&amp;shifts!AG174,events!AL:AL,"&gt;"&amp;shifts!AH174,events!E:E,"="&amp;shifts!B175)+SUMIFS(events!AJ:AJ,events!Q:Q,"=Timeout",events!AK:AK,"&lt;="&amp;shifts!AG174,events!AL:AL,"&gt;"&amp;shifts!AH174,events!E:E,"="&amp;shifts!B175)</f>
        <v>0</v>
      </c>
      <c r="X174" s="8" t="str">
        <f t="shared" si="73"/>
        <v/>
      </c>
      <c r="Z174" t="str">
        <f t="shared" si="74"/>
        <v/>
      </c>
      <c r="AB174" t="str">
        <f t="shared" si="75"/>
        <v/>
      </c>
      <c r="AD174">
        <f>events!AG174</f>
        <v>18981</v>
      </c>
      <c r="AE174" t="str">
        <f>events!AH174</f>
        <v>Nelson</v>
      </c>
      <c r="AF174" t="str">
        <f>events!AI174</f>
        <v>Velodrome</v>
      </c>
      <c r="AG174" s="5">
        <f t="shared" si="78"/>
        <v>0</v>
      </c>
      <c r="AH174" s="5">
        <f t="shared" si="79"/>
        <v>0</v>
      </c>
      <c r="AI174" s="16">
        <f t="shared" si="64"/>
        <v>0</v>
      </c>
      <c r="AJ174">
        <f t="shared" si="80"/>
        <v>0</v>
      </c>
      <c r="AK174">
        <f t="shared" si="81"/>
        <v>0</v>
      </c>
      <c r="AL174">
        <f t="shared" si="82"/>
        <v>0</v>
      </c>
      <c r="AM174">
        <f t="shared" si="83"/>
        <v>0</v>
      </c>
      <c r="AN174">
        <f t="shared" si="57"/>
        <v>0</v>
      </c>
      <c r="AO174">
        <f t="shared" si="65"/>
        <v>0</v>
      </c>
      <c r="AP174">
        <f t="shared" si="66"/>
        <v>0</v>
      </c>
      <c r="AQ174">
        <f t="shared" si="67"/>
        <v>0</v>
      </c>
      <c r="AU174">
        <f t="shared" si="77"/>
        <v>0</v>
      </c>
      <c r="AV174">
        <f>IFERROR(VLOOKUP(B174,events!E:AQ,24,FALSE),AV173)</f>
        <v>0</v>
      </c>
      <c r="AY174" s="5"/>
    </row>
    <row r="175" spans="1:51" x14ac:dyDescent="0.2">
      <c r="A175">
        <f t="shared" si="76"/>
        <v>174</v>
      </c>
      <c r="B175" s="8">
        <f t="shared" si="68"/>
        <v>3</v>
      </c>
      <c r="C175">
        <f t="shared" si="69"/>
        <v>0</v>
      </c>
      <c r="D175" s="5">
        <f t="shared" si="70"/>
        <v>0</v>
      </c>
      <c r="O175" s="6">
        <f t="shared" si="71"/>
        <v>31</v>
      </c>
      <c r="V175">
        <f t="shared" si="72"/>
        <v>0</v>
      </c>
      <c r="W175" s="8">
        <f>SUMIFS(events!AJ:AJ,events!Q:Q,"=DeadIce",events!AK:AK,"&lt;="&amp;shifts!AG175,events!AL:AL,"&gt;"&amp;shifts!AH175,events!E:E,"="&amp;shifts!B176)+SUMIFS(events!AJ:AJ,events!Q:Q,"=Timeout",events!AK:AK,"&lt;="&amp;shifts!AG175,events!AL:AL,"&gt;"&amp;shifts!AH175,events!E:E,"="&amp;shifts!B176)</f>
        <v>0</v>
      </c>
      <c r="X175" s="8" t="str">
        <f t="shared" si="73"/>
        <v/>
      </c>
      <c r="Z175" t="str">
        <f t="shared" si="74"/>
        <v/>
      </c>
      <c r="AB175" t="str">
        <f t="shared" si="75"/>
        <v/>
      </c>
      <c r="AD175">
        <f>events!AG175</f>
        <v>18981</v>
      </c>
      <c r="AE175" t="str">
        <f>events!AH175</f>
        <v>Nelson</v>
      </c>
      <c r="AF175" t="str">
        <f>events!AI175</f>
        <v>Velodrome</v>
      </c>
      <c r="AG175" s="5">
        <f t="shared" si="78"/>
        <v>0</v>
      </c>
      <c r="AH175" s="5">
        <f t="shared" si="79"/>
        <v>0</v>
      </c>
      <c r="AI175" s="16">
        <f t="shared" si="64"/>
        <v>0</v>
      </c>
      <c r="AJ175">
        <f t="shared" si="80"/>
        <v>0</v>
      </c>
      <c r="AK175">
        <f t="shared" si="81"/>
        <v>0</v>
      </c>
      <c r="AL175">
        <f t="shared" si="82"/>
        <v>0</v>
      </c>
      <c r="AM175">
        <f t="shared" si="83"/>
        <v>0</v>
      </c>
      <c r="AN175">
        <f t="shared" si="57"/>
        <v>0</v>
      </c>
      <c r="AO175">
        <f t="shared" si="65"/>
        <v>0</v>
      </c>
      <c r="AP175">
        <f t="shared" si="66"/>
        <v>0</v>
      </c>
      <c r="AQ175">
        <f t="shared" si="67"/>
        <v>0</v>
      </c>
      <c r="AU175">
        <f t="shared" si="77"/>
        <v>0</v>
      </c>
      <c r="AV175">
        <f>IFERROR(VLOOKUP(B175,events!E:AQ,24,FALSE),AV174)</f>
        <v>0</v>
      </c>
      <c r="AY175" s="5"/>
    </row>
    <row r="176" spans="1:51" x14ac:dyDescent="0.2">
      <c r="A176">
        <f t="shared" si="76"/>
        <v>175</v>
      </c>
      <c r="B176" s="8">
        <f t="shared" si="68"/>
        <v>3</v>
      </c>
      <c r="C176">
        <f t="shared" si="69"/>
        <v>0</v>
      </c>
      <c r="D176" s="5">
        <f t="shared" si="70"/>
        <v>0</v>
      </c>
      <c r="O176" s="6">
        <f t="shared" si="71"/>
        <v>31</v>
      </c>
      <c r="V176">
        <f t="shared" si="72"/>
        <v>0</v>
      </c>
      <c r="W176" s="8">
        <f>SUMIFS(events!AJ:AJ,events!Q:Q,"=DeadIce",events!AK:AK,"&lt;="&amp;shifts!AG176,events!AL:AL,"&gt;"&amp;shifts!AH176,events!E:E,"="&amp;shifts!B177)+SUMIFS(events!AJ:AJ,events!Q:Q,"=Timeout",events!AK:AK,"&lt;="&amp;shifts!AG176,events!AL:AL,"&gt;"&amp;shifts!AH176,events!E:E,"="&amp;shifts!B177)</f>
        <v>0</v>
      </c>
      <c r="X176" s="8" t="str">
        <f t="shared" si="73"/>
        <v/>
      </c>
      <c r="Z176" t="str">
        <f t="shared" si="74"/>
        <v/>
      </c>
      <c r="AB176" t="str">
        <f t="shared" si="75"/>
        <v/>
      </c>
      <c r="AD176">
        <f>events!AG176</f>
        <v>18981</v>
      </c>
      <c r="AE176" t="str">
        <f>events!AH176</f>
        <v>Nelson</v>
      </c>
      <c r="AF176" t="str">
        <f>events!AI176</f>
        <v>Velodrome</v>
      </c>
      <c r="AG176" s="5">
        <f t="shared" si="78"/>
        <v>0</v>
      </c>
      <c r="AH176" s="5">
        <f t="shared" si="79"/>
        <v>0</v>
      </c>
      <c r="AI176" s="16">
        <f t="shared" si="64"/>
        <v>0</v>
      </c>
      <c r="AJ176">
        <f t="shared" si="80"/>
        <v>0</v>
      </c>
      <c r="AK176">
        <f t="shared" si="81"/>
        <v>0</v>
      </c>
      <c r="AL176">
        <f t="shared" si="82"/>
        <v>0</v>
      </c>
      <c r="AM176">
        <f t="shared" si="83"/>
        <v>0</v>
      </c>
      <c r="AN176">
        <f t="shared" si="57"/>
        <v>0</v>
      </c>
      <c r="AO176">
        <f t="shared" si="65"/>
        <v>0</v>
      </c>
      <c r="AP176">
        <f t="shared" si="66"/>
        <v>0</v>
      </c>
      <c r="AQ176">
        <f t="shared" si="67"/>
        <v>0</v>
      </c>
      <c r="AU176">
        <f t="shared" si="77"/>
        <v>0</v>
      </c>
      <c r="AV176">
        <f>IFERROR(VLOOKUP(B176,events!E:AQ,24,FALSE),AV175)</f>
        <v>0</v>
      </c>
      <c r="AY176" s="5"/>
    </row>
    <row r="177" spans="1:51" x14ac:dyDescent="0.2">
      <c r="A177">
        <f t="shared" si="76"/>
        <v>176</v>
      </c>
      <c r="B177" s="8">
        <f t="shared" si="68"/>
        <v>3</v>
      </c>
      <c r="C177">
        <f t="shared" si="69"/>
        <v>0</v>
      </c>
      <c r="D177" s="5">
        <f t="shared" si="70"/>
        <v>0</v>
      </c>
      <c r="O177" s="6">
        <f t="shared" si="71"/>
        <v>31</v>
      </c>
      <c r="V177">
        <f t="shared" si="72"/>
        <v>0</v>
      </c>
      <c r="W177" s="8">
        <f>SUMIFS(events!AJ:AJ,events!Q:Q,"=DeadIce",events!AK:AK,"&lt;="&amp;shifts!AG177,events!AL:AL,"&gt;"&amp;shifts!AH177,events!E:E,"="&amp;shifts!B178)+SUMIFS(events!AJ:AJ,events!Q:Q,"=Timeout",events!AK:AK,"&lt;="&amp;shifts!AG177,events!AL:AL,"&gt;"&amp;shifts!AH177,events!E:E,"="&amp;shifts!B178)</f>
        <v>0</v>
      </c>
      <c r="X177" s="8" t="str">
        <f t="shared" si="73"/>
        <v/>
      </c>
      <c r="Z177" t="str">
        <f t="shared" si="74"/>
        <v/>
      </c>
      <c r="AB177" t="str">
        <f t="shared" si="75"/>
        <v/>
      </c>
      <c r="AD177">
        <f>events!AG177</f>
        <v>18981</v>
      </c>
      <c r="AE177" t="str">
        <f>events!AH177</f>
        <v>Nelson</v>
      </c>
      <c r="AF177" t="str">
        <f>events!AI177</f>
        <v>Velodrome</v>
      </c>
      <c r="AG177" s="5">
        <f t="shared" si="78"/>
        <v>0</v>
      </c>
      <c r="AH177" s="5">
        <f t="shared" si="79"/>
        <v>0</v>
      </c>
      <c r="AI177" s="16">
        <f t="shared" si="64"/>
        <v>0</v>
      </c>
      <c r="AJ177">
        <f t="shared" si="80"/>
        <v>0</v>
      </c>
      <c r="AK177">
        <f t="shared" si="81"/>
        <v>0</v>
      </c>
      <c r="AL177">
        <f t="shared" si="82"/>
        <v>0</v>
      </c>
      <c r="AM177">
        <f t="shared" si="83"/>
        <v>0</v>
      </c>
      <c r="AN177">
        <f t="shared" si="57"/>
        <v>0</v>
      </c>
      <c r="AO177">
        <f t="shared" si="65"/>
        <v>0</v>
      </c>
      <c r="AP177">
        <f t="shared" si="66"/>
        <v>0</v>
      </c>
      <c r="AQ177">
        <f t="shared" si="67"/>
        <v>0</v>
      </c>
      <c r="AU177">
        <f t="shared" si="77"/>
        <v>0</v>
      </c>
      <c r="AV177">
        <f>IFERROR(VLOOKUP(B177,events!E:AQ,24,FALSE),AV176)</f>
        <v>0</v>
      </c>
      <c r="AY177" s="5"/>
    </row>
    <row r="178" spans="1:51" x14ac:dyDescent="0.2">
      <c r="A178">
        <f t="shared" si="76"/>
        <v>177</v>
      </c>
      <c r="B178" s="8">
        <f t="shared" si="68"/>
        <v>3</v>
      </c>
      <c r="C178">
        <f t="shared" si="69"/>
        <v>0</v>
      </c>
      <c r="D178" s="5">
        <f t="shared" si="70"/>
        <v>0</v>
      </c>
      <c r="O178" s="6">
        <f t="shared" si="71"/>
        <v>31</v>
      </c>
      <c r="V178">
        <f t="shared" si="72"/>
        <v>0</v>
      </c>
      <c r="W178" s="8">
        <f>SUMIFS(events!AJ:AJ,events!Q:Q,"=DeadIce",events!AK:AK,"&lt;="&amp;shifts!AG178,events!AL:AL,"&gt;"&amp;shifts!AH178,events!E:E,"="&amp;shifts!B179)+SUMIFS(events!AJ:AJ,events!Q:Q,"=Timeout",events!AK:AK,"&lt;="&amp;shifts!AG178,events!AL:AL,"&gt;"&amp;shifts!AH178,events!E:E,"="&amp;shifts!B179)</f>
        <v>0</v>
      </c>
      <c r="X178" s="8" t="str">
        <f t="shared" si="73"/>
        <v/>
      </c>
      <c r="Z178" t="str">
        <f t="shared" si="74"/>
        <v/>
      </c>
      <c r="AB178" t="str">
        <f t="shared" si="75"/>
        <v/>
      </c>
      <c r="AD178">
        <f>events!AG178</f>
        <v>18981</v>
      </c>
      <c r="AE178" t="str">
        <f>events!AH178</f>
        <v>Nelson</v>
      </c>
      <c r="AF178" t="str">
        <f>events!AI178</f>
        <v>Velodrome</v>
      </c>
      <c r="AG178" s="5">
        <f t="shared" si="78"/>
        <v>0</v>
      </c>
      <c r="AH178" s="5">
        <f t="shared" si="79"/>
        <v>0</v>
      </c>
      <c r="AI178" s="16">
        <f t="shared" si="64"/>
        <v>0</v>
      </c>
      <c r="AJ178">
        <f t="shared" si="80"/>
        <v>0</v>
      </c>
      <c r="AK178">
        <f t="shared" si="81"/>
        <v>0</v>
      </c>
      <c r="AL178">
        <f t="shared" si="82"/>
        <v>0</v>
      </c>
      <c r="AM178">
        <f t="shared" si="83"/>
        <v>0</v>
      </c>
      <c r="AN178">
        <f t="shared" si="57"/>
        <v>0</v>
      </c>
      <c r="AO178">
        <f t="shared" si="65"/>
        <v>0</v>
      </c>
      <c r="AP178">
        <f t="shared" si="66"/>
        <v>0</v>
      </c>
      <c r="AQ178">
        <f t="shared" si="67"/>
        <v>0</v>
      </c>
      <c r="AU178">
        <f t="shared" si="77"/>
        <v>0</v>
      </c>
      <c r="AV178">
        <f>IFERROR(VLOOKUP(B178,events!E:AQ,24,FALSE),AV177)</f>
        <v>0</v>
      </c>
      <c r="AY178" s="5"/>
    </row>
    <row r="179" spans="1:51" x14ac:dyDescent="0.2">
      <c r="A179">
        <f t="shared" si="76"/>
        <v>178</v>
      </c>
      <c r="B179" s="8">
        <f t="shared" si="68"/>
        <v>3</v>
      </c>
      <c r="C179">
        <f t="shared" si="69"/>
        <v>0</v>
      </c>
      <c r="D179" s="5">
        <f t="shared" si="70"/>
        <v>0</v>
      </c>
      <c r="O179" s="6">
        <f t="shared" si="71"/>
        <v>31</v>
      </c>
      <c r="V179">
        <f t="shared" si="72"/>
        <v>0</v>
      </c>
      <c r="W179" s="8">
        <f>SUMIFS(events!AJ:AJ,events!Q:Q,"=DeadIce",events!AK:AK,"&lt;="&amp;shifts!AG179,events!AL:AL,"&gt;"&amp;shifts!AH179,events!E:E,"="&amp;shifts!B180)+SUMIFS(events!AJ:AJ,events!Q:Q,"=Timeout",events!AK:AK,"&lt;="&amp;shifts!AG179,events!AL:AL,"&gt;"&amp;shifts!AH179,events!E:E,"="&amp;shifts!B180)</f>
        <v>0</v>
      </c>
      <c r="X179" s="8" t="str">
        <f t="shared" si="73"/>
        <v/>
      </c>
      <c r="Z179" t="str">
        <f t="shared" si="74"/>
        <v/>
      </c>
      <c r="AB179" t="str">
        <f t="shared" si="75"/>
        <v/>
      </c>
      <c r="AD179">
        <f>events!AG179</f>
        <v>18981</v>
      </c>
      <c r="AE179" t="str">
        <f>events!AH179</f>
        <v>Nelson</v>
      </c>
      <c r="AF179" t="str">
        <f>events!AI179</f>
        <v>Velodrome</v>
      </c>
      <c r="AG179" s="5">
        <f t="shared" si="78"/>
        <v>0</v>
      </c>
      <c r="AH179" s="5">
        <f t="shared" si="79"/>
        <v>0</v>
      </c>
      <c r="AI179" s="16">
        <f t="shared" si="64"/>
        <v>0</v>
      </c>
      <c r="AJ179">
        <f t="shared" si="80"/>
        <v>0</v>
      </c>
      <c r="AK179">
        <f t="shared" si="81"/>
        <v>0</v>
      </c>
      <c r="AL179">
        <f t="shared" si="82"/>
        <v>0</v>
      </c>
      <c r="AM179">
        <f t="shared" si="83"/>
        <v>0</v>
      </c>
      <c r="AN179">
        <f t="shared" si="57"/>
        <v>0</v>
      </c>
      <c r="AO179">
        <f t="shared" si="65"/>
        <v>0</v>
      </c>
      <c r="AP179">
        <f t="shared" si="66"/>
        <v>0</v>
      </c>
      <c r="AQ179">
        <f t="shared" si="67"/>
        <v>0</v>
      </c>
      <c r="AU179">
        <f t="shared" si="77"/>
        <v>0</v>
      </c>
      <c r="AV179">
        <f>IFERROR(VLOOKUP(B179,events!E:AQ,24,FALSE),AV178)</f>
        <v>0</v>
      </c>
      <c r="AY179" s="5"/>
    </row>
    <row r="180" spans="1:51" x14ac:dyDescent="0.2">
      <c r="A180">
        <f t="shared" si="76"/>
        <v>179</v>
      </c>
      <c r="B180" s="8">
        <f t="shared" si="68"/>
        <v>3</v>
      </c>
      <c r="C180">
        <f t="shared" si="69"/>
        <v>0</v>
      </c>
      <c r="D180" s="5">
        <f t="shared" si="70"/>
        <v>0</v>
      </c>
      <c r="O180" s="6">
        <f t="shared" si="71"/>
        <v>31</v>
      </c>
      <c r="V180">
        <f t="shared" si="72"/>
        <v>0</v>
      </c>
      <c r="W180" s="8">
        <f>SUMIFS(events!AJ:AJ,events!Q:Q,"=DeadIce",events!AK:AK,"&lt;="&amp;shifts!AG180,events!AL:AL,"&gt;"&amp;shifts!AH180,events!E:E,"="&amp;shifts!B181)+SUMIFS(events!AJ:AJ,events!Q:Q,"=Timeout",events!AK:AK,"&lt;="&amp;shifts!AG180,events!AL:AL,"&gt;"&amp;shifts!AH180,events!E:E,"="&amp;shifts!B181)</f>
        <v>0</v>
      </c>
      <c r="X180" s="8" t="str">
        <f t="shared" si="73"/>
        <v/>
      </c>
      <c r="Z180" t="str">
        <f t="shared" si="74"/>
        <v/>
      </c>
      <c r="AB180" t="str">
        <f t="shared" si="75"/>
        <v/>
      </c>
      <c r="AD180">
        <f>events!AG180</f>
        <v>18981</v>
      </c>
      <c r="AE180" t="str">
        <f>events!AH180</f>
        <v>Nelson</v>
      </c>
      <c r="AF180" t="str">
        <f>events!AI180</f>
        <v>Velodrome</v>
      </c>
      <c r="AG180" s="5">
        <f t="shared" si="78"/>
        <v>0</v>
      </c>
      <c r="AH180" s="5">
        <f t="shared" si="79"/>
        <v>0</v>
      </c>
      <c r="AI180" s="16">
        <f t="shared" si="64"/>
        <v>0</v>
      </c>
      <c r="AJ180">
        <f t="shared" si="80"/>
        <v>0</v>
      </c>
      <c r="AK180">
        <f t="shared" si="81"/>
        <v>0</v>
      </c>
      <c r="AL180">
        <f t="shared" si="82"/>
        <v>0</v>
      </c>
      <c r="AM180">
        <f t="shared" si="83"/>
        <v>0</v>
      </c>
      <c r="AN180">
        <f t="shared" si="57"/>
        <v>0</v>
      </c>
      <c r="AO180">
        <f t="shared" si="65"/>
        <v>0</v>
      </c>
      <c r="AP180">
        <f t="shared" si="66"/>
        <v>0</v>
      </c>
      <c r="AQ180">
        <f t="shared" si="67"/>
        <v>0</v>
      </c>
      <c r="AU180">
        <f t="shared" si="77"/>
        <v>0</v>
      </c>
      <c r="AV180">
        <f>IFERROR(VLOOKUP(B180,events!E:AQ,24,FALSE),AV179)</f>
        <v>0</v>
      </c>
      <c r="AY180" s="5"/>
    </row>
    <row r="181" spans="1:51" x14ac:dyDescent="0.2">
      <c r="A181">
        <f t="shared" si="76"/>
        <v>180</v>
      </c>
      <c r="B181" s="8">
        <f t="shared" si="68"/>
        <v>3</v>
      </c>
      <c r="C181">
        <f t="shared" si="69"/>
        <v>0</v>
      </c>
      <c r="D181" s="5">
        <f t="shared" si="70"/>
        <v>0</v>
      </c>
      <c r="O181" s="6">
        <f t="shared" si="71"/>
        <v>31</v>
      </c>
      <c r="V181">
        <f t="shared" si="72"/>
        <v>0</v>
      </c>
      <c r="W181" s="8">
        <f>SUMIFS(events!AJ:AJ,events!Q:Q,"=DeadIce",events!AK:AK,"&lt;="&amp;shifts!AG181,events!AL:AL,"&gt;"&amp;shifts!AH181,events!E:E,"="&amp;shifts!B182)+SUMIFS(events!AJ:AJ,events!Q:Q,"=Timeout",events!AK:AK,"&lt;="&amp;shifts!AG181,events!AL:AL,"&gt;"&amp;shifts!AH181,events!E:E,"="&amp;shifts!B182)</f>
        <v>0</v>
      </c>
      <c r="X181" s="8" t="str">
        <f t="shared" si="73"/>
        <v/>
      </c>
      <c r="Z181" t="str">
        <f t="shared" si="74"/>
        <v/>
      </c>
      <c r="AB181" t="str">
        <f t="shared" si="75"/>
        <v/>
      </c>
      <c r="AD181">
        <f>events!AG181</f>
        <v>18981</v>
      </c>
      <c r="AE181" t="str">
        <f>events!AH181</f>
        <v>Nelson</v>
      </c>
      <c r="AF181" t="str">
        <f>events!AI181</f>
        <v>Velodrome</v>
      </c>
      <c r="AG181" s="5">
        <f t="shared" si="78"/>
        <v>0</v>
      </c>
      <c r="AH181" s="5">
        <f t="shared" si="79"/>
        <v>0</v>
      </c>
      <c r="AI181" s="16">
        <f t="shared" si="64"/>
        <v>0</v>
      </c>
      <c r="AJ181">
        <f t="shared" si="80"/>
        <v>0</v>
      </c>
      <c r="AK181">
        <f t="shared" si="81"/>
        <v>0</v>
      </c>
      <c r="AL181">
        <f t="shared" si="82"/>
        <v>0</v>
      </c>
      <c r="AM181">
        <f t="shared" si="83"/>
        <v>0</v>
      </c>
      <c r="AN181">
        <f t="shared" si="57"/>
        <v>0</v>
      </c>
      <c r="AO181">
        <f t="shared" si="65"/>
        <v>0</v>
      </c>
      <c r="AP181">
        <f t="shared" si="66"/>
        <v>0</v>
      </c>
      <c r="AQ181">
        <f t="shared" si="67"/>
        <v>0</v>
      </c>
      <c r="AU181">
        <f t="shared" si="77"/>
        <v>0</v>
      </c>
      <c r="AV181">
        <f>IFERROR(VLOOKUP(B181,events!E:AQ,24,FALSE),AV180)</f>
        <v>0</v>
      </c>
      <c r="AY181" s="5"/>
    </row>
    <row r="182" spans="1:51" x14ac:dyDescent="0.2">
      <c r="A182">
        <f t="shared" si="76"/>
        <v>181</v>
      </c>
      <c r="B182" s="8">
        <f t="shared" si="68"/>
        <v>3</v>
      </c>
      <c r="C182">
        <f t="shared" si="69"/>
        <v>0</v>
      </c>
      <c r="D182" s="5">
        <f t="shared" si="70"/>
        <v>0</v>
      </c>
      <c r="O182" s="6">
        <f t="shared" si="71"/>
        <v>31</v>
      </c>
      <c r="V182">
        <f t="shared" si="72"/>
        <v>0</v>
      </c>
      <c r="W182" s="8">
        <f>SUMIFS(events!AJ:AJ,events!Q:Q,"=DeadIce",events!AK:AK,"&lt;="&amp;shifts!AG182,events!AL:AL,"&gt;"&amp;shifts!AH182,events!E:E,"="&amp;shifts!B183)+SUMIFS(events!AJ:AJ,events!Q:Q,"=Timeout",events!AK:AK,"&lt;="&amp;shifts!AG182,events!AL:AL,"&gt;"&amp;shifts!AH182,events!E:E,"="&amp;shifts!B183)</f>
        <v>0</v>
      </c>
      <c r="X182" s="8" t="str">
        <f t="shared" si="73"/>
        <v/>
      </c>
      <c r="Z182" t="str">
        <f t="shared" si="74"/>
        <v/>
      </c>
      <c r="AB182" t="str">
        <f t="shared" si="75"/>
        <v/>
      </c>
      <c r="AD182">
        <f>events!AG182</f>
        <v>18981</v>
      </c>
      <c r="AE182" t="str">
        <f>events!AH182</f>
        <v>Nelson</v>
      </c>
      <c r="AF182" t="str">
        <f>events!AI182</f>
        <v>Velodrome</v>
      </c>
      <c r="AG182" s="5">
        <f t="shared" si="78"/>
        <v>0</v>
      </c>
      <c r="AH182" s="5">
        <f t="shared" si="79"/>
        <v>0</v>
      </c>
      <c r="AI182" s="16">
        <f t="shared" si="64"/>
        <v>0</v>
      </c>
      <c r="AJ182">
        <f t="shared" si="80"/>
        <v>0</v>
      </c>
      <c r="AK182">
        <f t="shared" si="81"/>
        <v>0</v>
      </c>
      <c r="AL182">
        <f t="shared" si="82"/>
        <v>0</v>
      </c>
      <c r="AM182">
        <f t="shared" si="83"/>
        <v>0</v>
      </c>
      <c r="AN182">
        <f t="shared" si="57"/>
        <v>0</v>
      </c>
      <c r="AO182">
        <f t="shared" si="65"/>
        <v>0</v>
      </c>
      <c r="AP182">
        <f t="shared" si="66"/>
        <v>0</v>
      </c>
      <c r="AQ182">
        <f t="shared" si="67"/>
        <v>0</v>
      </c>
      <c r="AU182">
        <f t="shared" si="77"/>
        <v>0</v>
      </c>
      <c r="AV182">
        <f>IFERROR(VLOOKUP(B182,events!E:AQ,24,FALSE),AV181)</f>
        <v>0</v>
      </c>
      <c r="AY182" s="5"/>
    </row>
    <row r="183" spans="1:51" x14ac:dyDescent="0.2">
      <c r="A183">
        <f t="shared" si="76"/>
        <v>182</v>
      </c>
      <c r="B183" s="8">
        <f t="shared" si="68"/>
        <v>3</v>
      </c>
      <c r="C183">
        <f t="shared" si="69"/>
        <v>0</v>
      </c>
      <c r="D183" s="5">
        <f t="shared" si="70"/>
        <v>0</v>
      </c>
      <c r="O183" s="6">
        <f t="shared" si="71"/>
        <v>31</v>
      </c>
      <c r="V183">
        <f t="shared" si="72"/>
        <v>0</v>
      </c>
      <c r="W183" s="8">
        <f>SUMIFS(events!AJ:AJ,events!Q:Q,"=DeadIce",events!AK:AK,"&lt;="&amp;shifts!AG183,events!AL:AL,"&gt;"&amp;shifts!AH183,events!E:E,"="&amp;shifts!B184)+SUMIFS(events!AJ:AJ,events!Q:Q,"=Timeout",events!AK:AK,"&lt;="&amp;shifts!AG183,events!AL:AL,"&gt;"&amp;shifts!AH183,events!E:E,"="&amp;shifts!B184)</f>
        <v>0</v>
      </c>
      <c r="X183" s="8" t="str">
        <f t="shared" si="73"/>
        <v/>
      </c>
      <c r="Z183" t="str">
        <f t="shared" si="74"/>
        <v/>
      </c>
      <c r="AB183" t="str">
        <f t="shared" si="75"/>
        <v/>
      </c>
      <c r="AD183">
        <f>events!AG183</f>
        <v>18981</v>
      </c>
      <c r="AE183" t="str">
        <f>events!AH183</f>
        <v>Nelson</v>
      </c>
      <c r="AF183" t="str">
        <f>events!AI183</f>
        <v>Velodrome</v>
      </c>
      <c r="AG183" s="5">
        <f t="shared" si="78"/>
        <v>0</v>
      </c>
      <c r="AH183" s="5">
        <f t="shared" si="79"/>
        <v>0</v>
      </c>
      <c r="AI183" s="16">
        <f t="shared" si="64"/>
        <v>0</v>
      </c>
      <c r="AJ183">
        <f t="shared" si="80"/>
        <v>0</v>
      </c>
      <c r="AK183">
        <f t="shared" si="81"/>
        <v>0</v>
      </c>
      <c r="AL183">
        <f t="shared" si="82"/>
        <v>0</v>
      </c>
      <c r="AM183">
        <f t="shared" si="83"/>
        <v>0</v>
      </c>
      <c r="AN183">
        <f t="shared" si="57"/>
        <v>0</v>
      </c>
      <c r="AO183">
        <f t="shared" si="65"/>
        <v>0</v>
      </c>
      <c r="AP183">
        <f t="shared" si="66"/>
        <v>0</v>
      </c>
      <c r="AQ183">
        <f t="shared" si="67"/>
        <v>0</v>
      </c>
      <c r="AU183">
        <f t="shared" si="77"/>
        <v>0</v>
      </c>
      <c r="AV183">
        <f>IFERROR(VLOOKUP(B183,events!E:AQ,24,FALSE),AV182)</f>
        <v>0</v>
      </c>
      <c r="AY183" s="5"/>
    </row>
    <row r="184" spans="1:51" x14ac:dyDescent="0.2">
      <c r="A184">
        <f t="shared" si="76"/>
        <v>183</v>
      </c>
      <c r="B184" s="8">
        <f t="shared" si="68"/>
        <v>3</v>
      </c>
      <c r="C184">
        <f t="shared" si="69"/>
        <v>0</v>
      </c>
      <c r="D184" s="5">
        <f t="shared" si="70"/>
        <v>0</v>
      </c>
      <c r="O184" s="6">
        <f t="shared" si="71"/>
        <v>31</v>
      </c>
      <c r="V184">
        <f t="shared" si="72"/>
        <v>0</v>
      </c>
      <c r="W184" s="8">
        <f>SUMIFS(events!AJ:AJ,events!Q:Q,"=DeadIce",events!AK:AK,"&lt;="&amp;shifts!AG184,events!AL:AL,"&gt;"&amp;shifts!AH184,events!E:E,"="&amp;shifts!B185)+SUMIFS(events!AJ:AJ,events!Q:Q,"=Timeout",events!AK:AK,"&lt;="&amp;shifts!AG184,events!AL:AL,"&gt;"&amp;shifts!AH184,events!E:E,"="&amp;shifts!B185)</f>
        <v>0</v>
      </c>
      <c r="X184" s="8" t="str">
        <f t="shared" si="73"/>
        <v/>
      </c>
      <c r="Z184" t="str">
        <f t="shared" si="74"/>
        <v/>
      </c>
      <c r="AB184" t="str">
        <f t="shared" si="75"/>
        <v/>
      </c>
      <c r="AD184">
        <f>events!AG184</f>
        <v>18981</v>
      </c>
      <c r="AE184" t="str">
        <f>events!AH184</f>
        <v>Nelson</v>
      </c>
      <c r="AF184" t="str">
        <f>events!AI184</f>
        <v>Velodrome</v>
      </c>
      <c r="AG184" s="5">
        <f t="shared" si="78"/>
        <v>0</v>
      </c>
      <c r="AH184" s="5">
        <f t="shared" si="79"/>
        <v>0</v>
      </c>
      <c r="AI184" s="16">
        <f t="shared" si="64"/>
        <v>0</v>
      </c>
      <c r="AJ184">
        <f t="shared" si="80"/>
        <v>0</v>
      </c>
      <c r="AK184">
        <f t="shared" si="81"/>
        <v>0</v>
      </c>
      <c r="AL184">
        <f t="shared" si="82"/>
        <v>0</v>
      </c>
      <c r="AM184">
        <f t="shared" si="83"/>
        <v>0</v>
      </c>
      <c r="AN184">
        <f t="shared" si="57"/>
        <v>0</v>
      </c>
      <c r="AO184">
        <f t="shared" si="65"/>
        <v>0</v>
      </c>
      <c r="AP184">
        <f t="shared" si="66"/>
        <v>0</v>
      </c>
      <c r="AQ184">
        <f t="shared" si="67"/>
        <v>0</v>
      </c>
      <c r="AU184">
        <f t="shared" si="77"/>
        <v>0</v>
      </c>
      <c r="AV184">
        <f>IFERROR(VLOOKUP(B184,events!E:AQ,24,FALSE),AV183)</f>
        <v>0</v>
      </c>
      <c r="AY184" s="5"/>
    </row>
    <row r="185" spans="1:51" x14ac:dyDescent="0.2">
      <c r="A185">
        <f t="shared" si="76"/>
        <v>184</v>
      </c>
      <c r="B185" s="8">
        <f t="shared" si="68"/>
        <v>3</v>
      </c>
      <c r="C185">
        <f t="shared" si="69"/>
        <v>0</v>
      </c>
      <c r="D185" s="5">
        <f t="shared" si="70"/>
        <v>0</v>
      </c>
      <c r="O185" s="6">
        <f t="shared" si="71"/>
        <v>31</v>
      </c>
      <c r="V185">
        <f t="shared" si="72"/>
        <v>0</v>
      </c>
      <c r="W185" s="8">
        <f>SUMIFS(events!AJ:AJ,events!Q:Q,"=DeadIce",events!AK:AK,"&lt;="&amp;shifts!AG185,events!AL:AL,"&gt;"&amp;shifts!AH185,events!E:E,"="&amp;shifts!B186)+SUMIFS(events!AJ:AJ,events!Q:Q,"=Timeout",events!AK:AK,"&lt;="&amp;shifts!AG185,events!AL:AL,"&gt;"&amp;shifts!AH185,events!E:E,"="&amp;shifts!B186)</f>
        <v>0</v>
      </c>
      <c r="X185" s="8" t="str">
        <f t="shared" si="73"/>
        <v/>
      </c>
      <c r="Z185" t="str">
        <f t="shared" si="74"/>
        <v/>
      </c>
      <c r="AB185" t="str">
        <f t="shared" si="75"/>
        <v/>
      </c>
      <c r="AD185">
        <f>events!AG185</f>
        <v>18981</v>
      </c>
      <c r="AE185" t="str">
        <f>events!AH185</f>
        <v>Nelson</v>
      </c>
      <c r="AF185" t="str">
        <f>events!AI185</f>
        <v>Velodrome</v>
      </c>
      <c r="AG185" s="5">
        <f t="shared" si="78"/>
        <v>0</v>
      </c>
      <c r="AH185" s="5">
        <f t="shared" si="79"/>
        <v>0</v>
      </c>
      <c r="AI185" s="16">
        <f t="shared" si="64"/>
        <v>0</v>
      </c>
      <c r="AJ185">
        <f t="shared" si="80"/>
        <v>0</v>
      </c>
      <c r="AK185">
        <f t="shared" si="81"/>
        <v>0</v>
      </c>
      <c r="AL185">
        <f t="shared" si="82"/>
        <v>0</v>
      </c>
      <c r="AM185">
        <f t="shared" si="83"/>
        <v>0</v>
      </c>
      <c r="AN185">
        <f t="shared" si="57"/>
        <v>0</v>
      </c>
      <c r="AO185">
        <f t="shared" si="65"/>
        <v>0</v>
      </c>
      <c r="AP185">
        <f t="shared" si="66"/>
        <v>0</v>
      </c>
      <c r="AQ185">
        <f t="shared" si="67"/>
        <v>0</v>
      </c>
      <c r="AU185">
        <f t="shared" si="77"/>
        <v>0</v>
      </c>
      <c r="AV185">
        <f>IFERROR(VLOOKUP(B185,events!E:AQ,24,FALSE),AV184)</f>
        <v>0</v>
      </c>
      <c r="AY185" s="5"/>
    </row>
    <row r="186" spans="1:51" x14ac:dyDescent="0.2">
      <c r="A186">
        <f t="shared" si="76"/>
        <v>185</v>
      </c>
      <c r="B186" s="8">
        <f t="shared" si="68"/>
        <v>3</v>
      </c>
      <c r="C186">
        <f t="shared" si="69"/>
        <v>0</v>
      </c>
      <c r="D186" s="5">
        <f t="shared" si="70"/>
        <v>0</v>
      </c>
      <c r="O186" s="6">
        <f t="shared" si="71"/>
        <v>31</v>
      </c>
      <c r="V186">
        <f t="shared" si="72"/>
        <v>0</v>
      </c>
      <c r="W186" s="8">
        <f>SUMIFS(events!AJ:AJ,events!Q:Q,"=DeadIce",events!AK:AK,"&lt;="&amp;shifts!AG186,events!AL:AL,"&gt;"&amp;shifts!AH186,events!E:E,"="&amp;shifts!B187)+SUMIFS(events!AJ:AJ,events!Q:Q,"=Timeout",events!AK:AK,"&lt;="&amp;shifts!AG186,events!AL:AL,"&gt;"&amp;shifts!AH186,events!E:E,"="&amp;shifts!B187)</f>
        <v>0</v>
      </c>
      <c r="X186" s="8" t="str">
        <f t="shared" si="73"/>
        <v/>
      </c>
      <c r="Z186" t="str">
        <f t="shared" si="74"/>
        <v/>
      </c>
      <c r="AB186" t="str">
        <f t="shared" si="75"/>
        <v/>
      </c>
      <c r="AD186">
        <f>events!AG186</f>
        <v>18981</v>
      </c>
      <c r="AE186" t="str">
        <f>events!AH186</f>
        <v>Nelson</v>
      </c>
      <c r="AF186" t="str">
        <f>events!AI186</f>
        <v>Velodrome</v>
      </c>
      <c r="AG186" s="5">
        <f t="shared" si="78"/>
        <v>0</v>
      </c>
      <c r="AH186" s="5">
        <f t="shared" si="79"/>
        <v>0</v>
      </c>
      <c r="AI186" s="16">
        <f t="shared" si="64"/>
        <v>0</v>
      </c>
      <c r="AJ186">
        <f t="shared" si="80"/>
        <v>0</v>
      </c>
      <c r="AK186">
        <f t="shared" si="81"/>
        <v>0</v>
      </c>
      <c r="AL186">
        <f t="shared" si="82"/>
        <v>0</v>
      </c>
      <c r="AM186">
        <f t="shared" si="83"/>
        <v>0</v>
      </c>
      <c r="AN186">
        <f t="shared" si="57"/>
        <v>0</v>
      </c>
      <c r="AO186">
        <f t="shared" si="65"/>
        <v>0</v>
      </c>
      <c r="AP186">
        <f t="shared" si="66"/>
        <v>0</v>
      </c>
      <c r="AQ186">
        <f t="shared" si="67"/>
        <v>0</v>
      </c>
      <c r="AU186">
        <f t="shared" si="77"/>
        <v>0</v>
      </c>
      <c r="AV186">
        <f>IFERROR(VLOOKUP(B186,events!E:AQ,24,FALSE),AV185)</f>
        <v>0</v>
      </c>
      <c r="AY186" s="5"/>
    </row>
    <row r="187" spans="1:51" x14ac:dyDescent="0.2">
      <c r="A187">
        <f t="shared" si="76"/>
        <v>186</v>
      </c>
      <c r="B187" s="8">
        <f t="shared" si="68"/>
        <v>3</v>
      </c>
      <c r="C187">
        <f t="shared" si="69"/>
        <v>0</v>
      </c>
      <c r="D187" s="5">
        <f t="shared" si="70"/>
        <v>0</v>
      </c>
      <c r="O187" s="6">
        <f t="shared" si="71"/>
        <v>31</v>
      </c>
      <c r="V187">
        <f t="shared" si="72"/>
        <v>0</v>
      </c>
      <c r="W187" s="8">
        <f>SUMIFS(events!AJ:AJ,events!Q:Q,"=DeadIce",events!AK:AK,"&lt;="&amp;shifts!AG187,events!AL:AL,"&gt;"&amp;shifts!AH187,events!E:E,"="&amp;shifts!B188)+SUMIFS(events!AJ:AJ,events!Q:Q,"=Timeout",events!AK:AK,"&lt;="&amp;shifts!AG187,events!AL:AL,"&gt;"&amp;shifts!AH187,events!E:E,"="&amp;shifts!B188)</f>
        <v>0</v>
      </c>
      <c r="X187" s="8" t="str">
        <f t="shared" si="73"/>
        <v/>
      </c>
      <c r="Z187" t="str">
        <f t="shared" si="74"/>
        <v/>
      </c>
      <c r="AB187" t="str">
        <f t="shared" si="75"/>
        <v/>
      </c>
      <c r="AD187">
        <f>events!AG187</f>
        <v>18981</v>
      </c>
      <c r="AE187" t="str">
        <f>events!AH187</f>
        <v>Nelson</v>
      </c>
      <c r="AF187" t="str">
        <f>events!AI187</f>
        <v>Velodrome</v>
      </c>
      <c r="AG187" s="5">
        <f t="shared" si="78"/>
        <v>0</v>
      </c>
      <c r="AH187" s="5">
        <f t="shared" si="79"/>
        <v>0</v>
      </c>
      <c r="AI187" s="16">
        <f t="shared" si="64"/>
        <v>0</v>
      </c>
      <c r="AJ187">
        <f t="shared" si="80"/>
        <v>0</v>
      </c>
      <c r="AK187">
        <f t="shared" si="81"/>
        <v>0</v>
      </c>
      <c r="AL187">
        <f t="shared" si="82"/>
        <v>0</v>
      </c>
      <c r="AM187">
        <f t="shared" si="83"/>
        <v>0</v>
      </c>
      <c r="AN187">
        <f t="shared" si="57"/>
        <v>0</v>
      </c>
      <c r="AO187">
        <f t="shared" si="65"/>
        <v>0</v>
      </c>
      <c r="AP187">
        <f t="shared" si="66"/>
        <v>0</v>
      </c>
      <c r="AQ187">
        <f t="shared" si="67"/>
        <v>0</v>
      </c>
      <c r="AU187">
        <f t="shared" si="77"/>
        <v>0</v>
      </c>
      <c r="AV187">
        <f>IFERROR(VLOOKUP(B187,events!E:AQ,24,FALSE),AV186)</f>
        <v>0</v>
      </c>
      <c r="AY187" s="5"/>
    </row>
    <row r="188" spans="1:51" x14ac:dyDescent="0.2">
      <c r="A188">
        <f t="shared" si="76"/>
        <v>187</v>
      </c>
      <c r="B188" s="8">
        <f t="shared" si="68"/>
        <v>3</v>
      </c>
      <c r="C188">
        <f t="shared" si="69"/>
        <v>0</v>
      </c>
      <c r="D188" s="5">
        <f t="shared" si="70"/>
        <v>0</v>
      </c>
      <c r="O188" s="6">
        <f t="shared" si="71"/>
        <v>31</v>
      </c>
      <c r="V188">
        <f t="shared" si="72"/>
        <v>0</v>
      </c>
      <c r="W188" s="8">
        <f>SUMIFS(events!AJ:AJ,events!Q:Q,"=DeadIce",events!AK:AK,"&lt;="&amp;shifts!AG188,events!AL:AL,"&gt;"&amp;shifts!AH188,events!E:E,"="&amp;shifts!B189)+SUMIFS(events!AJ:AJ,events!Q:Q,"=Timeout",events!AK:AK,"&lt;="&amp;shifts!AG188,events!AL:AL,"&gt;"&amp;shifts!AH188,events!E:E,"="&amp;shifts!B189)</f>
        <v>0</v>
      </c>
      <c r="X188" s="8" t="str">
        <f t="shared" si="73"/>
        <v/>
      </c>
      <c r="Z188" t="str">
        <f t="shared" si="74"/>
        <v/>
      </c>
      <c r="AB188" t="str">
        <f t="shared" si="75"/>
        <v/>
      </c>
      <c r="AD188">
        <f>events!AG188</f>
        <v>18981</v>
      </c>
      <c r="AE188" t="str">
        <f>events!AH188</f>
        <v>Nelson</v>
      </c>
      <c r="AF188" t="str">
        <f>events!AI188</f>
        <v>Velodrome</v>
      </c>
      <c r="AG188" s="5">
        <f t="shared" si="78"/>
        <v>0</v>
      </c>
      <c r="AH188" s="5">
        <f t="shared" si="79"/>
        <v>0</v>
      </c>
      <c r="AI188" s="16">
        <f t="shared" si="64"/>
        <v>0</v>
      </c>
      <c r="AJ188">
        <f t="shared" si="80"/>
        <v>0</v>
      </c>
      <c r="AK188">
        <f t="shared" si="81"/>
        <v>0</v>
      </c>
      <c r="AL188">
        <f t="shared" si="82"/>
        <v>0</v>
      </c>
      <c r="AM188">
        <f t="shared" si="83"/>
        <v>0</v>
      </c>
      <c r="AN188">
        <f t="shared" si="57"/>
        <v>0</v>
      </c>
      <c r="AO188">
        <f t="shared" si="65"/>
        <v>0</v>
      </c>
      <c r="AP188">
        <f t="shared" si="66"/>
        <v>0</v>
      </c>
      <c r="AQ188">
        <f t="shared" si="67"/>
        <v>0</v>
      </c>
      <c r="AU188">
        <f t="shared" si="77"/>
        <v>0</v>
      </c>
      <c r="AV188">
        <f>IFERROR(VLOOKUP(B188,events!E:AQ,24,FALSE),AV187)</f>
        <v>0</v>
      </c>
      <c r="AY188" s="5"/>
    </row>
    <row r="189" spans="1:51" x14ac:dyDescent="0.2">
      <c r="A189">
        <f t="shared" si="76"/>
        <v>188</v>
      </c>
      <c r="B189" s="8">
        <f t="shared" si="68"/>
        <v>3</v>
      </c>
      <c r="C189">
        <f t="shared" si="69"/>
        <v>0</v>
      </c>
      <c r="D189" s="5">
        <f t="shared" si="70"/>
        <v>0</v>
      </c>
      <c r="O189" s="6">
        <f t="shared" si="71"/>
        <v>31</v>
      </c>
      <c r="V189">
        <f t="shared" si="72"/>
        <v>0</v>
      </c>
      <c r="W189" s="8">
        <f>SUMIFS(events!AJ:AJ,events!Q:Q,"=DeadIce",events!AK:AK,"&lt;="&amp;shifts!AG189,events!AL:AL,"&gt;"&amp;shifts!AH189,events!E:E,"="&amp;shifts!B190)+SUMIFS(events!AJ:AJ,events!Q:Q,"=Timeout",events!AK:AK,"&lt;="&amp;shifts!AG189,events!AL:AL,"&gt;"&amp;shifts!AH189,events!E:E,"="&amp;shifts!B190)</f>
        <v>0</v>
      </c>
      <c r="X189" s="8" t="str">
        <f t="shared" si="73"/>
        <v/>
      </c>
      <c r="Z189" t="str">
        <f t="shared" si="74"/>
        <v/>
      </c>
      <c r="AB189" t="str">
        <f t="shared" si="75"/>
        <v/>
      </c>
      <c r="AD189">
        <f>events!AG189</f>
        <v>18981</v>
      </c>
      <c r="AE189" t="str">
        <f>events!AH189</f>
        <v>Nelson</v>
      </c>
      <c r="AF189" t="str">
        <f>events!AI189</f>
        <v>Velodrome</v>
      </c>
      <c r="AG189" s="5">
        <f t="shared" si="78"/>
        <v>0</v>
      </c>
      <c r="AH189" s="5">
        <f t="shared" si="79"/>
        <v>0</v>
      </c>
      <c r="AI189" s="16">
        <f t="shared" si="64"/>
        <v>0</v>
      </c>
      <c r="AJ189">
        <f t="shared" si="80"/>
        <v>0</v>
      </c>
      <c r="AK189">
        <f t="shared" si="81"/>
        <v>0</v>
      </c>
      <c r="AL189">
        <f t="shared" si="82"/>
        <v>0</v>
      </c>
      <c r="AM189">
        <f t="shared" si="83"/>
        <v>0</v>
      </c>
      <c r="AN189">
        <f t="shared" si="57"/>
        <v>0</v>
      </c>
      <c r="AO189">
        <f t="shared" si="65"/>
        <v>0</v>
      </c>
      <c r="AP189">
        <f t="shared" si="66"/>
        <v>0</v>
      </c>
      <c r="AQ189">
        <f t="shared" si="67"/>
        <v>0</v>
      </c>
      <c r="AU189">
        <f t="shared" si="77"/>
        <v>0</v>
      </c>
      <c r="AV189">
        <f>IFERROR(VLOOKUP(B189,events!E:AQ,24,FALSE),AV188)</f>
        <v>0</v>
      </c>
      <c r="AY189" s="5"/>
    </row>
    <row r="190" spans="1:51" x14ac:dyDescent="0.2">
      <c r="A190">
        <f t="shared" si="76"/>
        <v>189</v>
      </c>
      <c r="B190" s="8">
        <f t="shared" si="68"/>
        <v>3</v>
      </c>
      <c r="C190">
        <f t="shared" si="69"/>
        <v>0</v>
      </c>
      <c r="D190" s="5">
        <f t="shared" si="70"/>
        <v>0</v>
      </c>
      <c r="O190" s="6">
        <f t="shared" si="71"/>
        <v>31</v>
      </c>
      <c r="V190">
        <f t="shared" si="72"/>
        <v>0</v>
      </c>
      <c r="W190" s="8">
        <f>SUMIFS(events!AJ:AJ,events!Q:Q,"=DeadIce",events!AK:AK,"&lt;="&amp;shifts!AG190,events!AL:AL,"&gt;"&amp;shifts!AH190,events!E:E,"="&amp;shifts!B191)+SUMIFS(events!AJ:AJ,events!Q:Q,"=Timeout",events!AK:AK,"&lt;="&amp;shifts!AG190,events!AL:AL,"&gt;"&amp;shifts!AH190,events!E:E,"="&amp;shifts!B191)</f>
        <v>0</v>
      </c>
      <c r="X190" s="8" t="str">
        <f t="shared" si="73"/>
        <v/>
      </c>
      <c r="Z190" t="str">
        <f t="shared" si="74"/>
        <v/>
      </c>
      <c r="AB190" t="str">
        <f t="shared" si="75"/>
        <v/>
      </c>
      <c r="AD190">
        <f>events!AG190</f>
        <v>18981</v>
      </c>
      <c r="AE190" t="str">
        <f>events!AH190</f>
        <v>Nelson</v>
      </c>
      <c r="AF190" t="str">
        <f>events!AI190</f>
        <v>Velodrome</v>
      </c>
      <c r="AG190" s="5">
        <f t="shared" si="78"/>
        <v>0</v>
      </c>
      <c r="AH190" s="5">
        <f t="shared" si="79"/>
        <v>0</v>
      </c>
      <c r="AI190" s="16">
        <f t="shared" si="64"/>
        <v>0</v>
      </c>
      <c r="AJ190">
        <f t="shared" si="80"/>
        <v>0</v>
      </c>
      <c r="AK190">
        <f t="shared" si="81"/>
        <v>0</v>
      </c>
      <c r="AL190">
        <f t="shared" si="82"/>
        <v>0</v>
      </c>
      <c r="AM190">
        <f t="shared" si="83"/>
        <v>0</v>
      </c>
      <c r="AN190">
        <f t="shared" si="57"/>
        <v>0</v>
      </c>
      <c r="AO190">
        <f t="shared" si="65"/>
        <v>0</v>
      </c>
      <c r="AP190">
        <f t="shared" si="66"/>
        <v>0</v>
      </c>
      <c r="AQ190">
        <f t="shared" si="67"/>
        <v>0</v>
      </c>
      <c r="AU190">
        <f t="shared" si="77"/>
        <v>0</v>
      </c>
      <c r="AV190">
        <f>IFERROR(VLOOKUP(B190,events!E:AQ,24,FALSE),AV189)</f>
        <v>0</v>
      </c>
      <c r="AY190" s="5"/>
    </row>
    <row r="191" spans="1:51" x14ac:dyDescent="0.2">
      <c r="A191">
        <f t="shared" si="76"/>
        <v>190</v>
      </c>
      <c r="B191" s="8">
        <f t="shared" si="68"/>
        <v>3</v>
      </c>
      <c r="C191">
        <f t="shared" si="69"/>
        <v>0</v>
      </c>
      <c r="D191" s="5">
        <f t="shared" si="70"/>
        <v>0</v>
      </c>
      <c r="O191" s="6">
        <f t="shared" si="71"/>
        <v>31</v>
      </c>
      <c r="V191">
        <f t="shared" si="72"/>
        <v>0</v>
      </c>
      <c r="W191" s="8">
        <f>SUMIFS(events!AJ:AJ,events!Q:Q,"=DeadIce",events!AK:AK,"&lt;="&amp;shifts!AG191,events!AL:AL,"&gt;"&amp;shifts!AH191,events!E:E,"="&amp;shifts!B192)+SUMIFS(events!AJ:AJ,events!Q:Q,"=Timeout",events!AK:AK,"&lt;="&amp;shifts!AG191,events!AL:AL,"&gt;"&amp;shifts!AH191,events!E:E,"="&amp;shifts!B192)</f>
        <v>0</v>
      </c>
      <c r="X191" s="8" t="str">
        <f t="shared" si="73"/>
        <v/>
      </c>
      <c r="Z191" t="str">
        <f t="shared" si="74"/>
        <v/>
      </c>
      <c r="AB191" t="str">
        <f t="shared" si="75"/>
        <v/>
      </c>
      <c r="AD191">
        <f>events!AG191</f>
        <v>18981</v>
      </c>
      <c r="AE191" t="str">
        <f>events!AH191</f>
        <v>Nelson</v>
      </c>
      <c r="AF191" t="str">
        <f>events!AI191</f>
        <v>Velodrome</v>
      </c>
      <c r="AG191" s="5">
        <f t="shared" si="78"/>
        <v>0</v>
      </c>
      <c r="AH191" s="5">
        <f t="shared" si="79"/>
        <v>0</v>
      </c>
      <c r="AI191" s="16">
        <f t="shared" si="64"/>
        <v>0</v>
      </c>
      <c r="AJ191">
        <f t="shared" si="80"/>
        <v>0</v>
      </c>
      <c r="AK191">
        <f t="shared" si="81"/>
        <v>0</v>
      </c>
      <c r="AL191">
        <f t="shared" si="82"/>
        <v>0</v>
      </c>
      <c r="AM191">
        <f t="shared" si="83"/>
        <v>0</v>
      </c>
      <c r="AN191">
        <f t="shared" si="57"/>
        <v>0</v>
      </c>
      <c r="AO191">
        <f t="shared" si="65"/>
        <v>0</v>
      </c>
      <c r="AP191">
        <f t="shared" si="66"/>
        <v>0</v>
      </c>
      <c r="AQ191">
        <f t="shared" si="67"/>
        <v>0</v>
      </c>
      <c r="AU191">
        <f t="shared" si="77"/>
        <v>0</v>
      </c>
      <c r="AV191">
        <f>IFERROR(VLOOKUP(B191,events!E:AQ,24,FALSE),AV190)</f>
        <v>0</v>
      </c>
      <c r="AY191" s="5"/>
    </row>
    <row r="192" spans="1:51" x14ac:dyDescent="0.2">
      <c r="A192">
        <f t="shared" si="76"/>
        <v>191</v>
      </c>
      <c r="B192" s="8">
        <f t="shared" si="68"/>
        <v>3</v>
      </c>
      <c r="C192">
        <f t="shared" si="69"/>
        <v>0</v>
      </c>
      <c r="D192" s="5">
        <f t="shared" si="70"/>
        <v>0</v>
      </c>
      <c r="O192" s="6">
        <f t="shared" si="71"/>
        <v>31</v>
      </c>
      <c r="V192">
        <f t="shared" si="72"/>
        <v>0</v>
      </c>
      <c r="W192" s="8">
        <f>SUMIFS(events!AJ:AJ,events!Q:Q,"=DeadIce",events!AK:AK,"&lt;="&amp;shifts!AG192,events!AL:AL,"&gt;"&amp;shifts!AH192,events!E:E,"="&amp;shifts!B193)+SUMIFS(events!AJ:AJ,events!Q:Q,"=Timeout",events!AK:AK,"&lt;="&amp;shifts!AG192,events!AL:AL,"&gt;"&amp;shifts!AH192,events!E:E,"="&amp;shifts!B193)</f>
        <v>0</v>
      </c>
      <c r="X192" s="8" t="str">
        <f t="shared" si="73"/>
        <v/>
      </c>
      <c r="Z192" t="str">
        <f t="shared" si="74"/>
        <v/>
      </c>
      <c r="AB192" t="str">
        <f t="shared" si="75"/>
        <v/>
      </c>
      <c r="AD192">
        <f>events!AG192</f>
        <v>18981</v>
      </c>
      <c r="AE192" t="str">
        <f>events!AH192</f>
        <v>Nelson</v>
      </c>
      <c r="AF192" t="str">
        <f>events!AI192</f>
        <v>Velodrome</v>
      </c>
      <c r="AG192" s="5">
        <f t="shared" si="78"/>
        <v>0</v>
      </c>
      <c r="AH192" s="5">
        <f t="shared" si="79"/>
        <v>0</v>
      </c>
      <c r="AI192" s="16">
        <f t="shared" si="64"/>
        <v>0</v>
      </c>
      <c r="AJ192">
        <f t="shared" si="80"/>
        <v>0</v>
      </c>
      <c r="AK192">
        <f t="shared" si="81"/>
        <v>0</v>
      </c>
      <c r="AL192">
        <f t="shared" si="82"/>
        <v>0</v>
      </c>
      <c r="AM192">
        <f t="shared" si="83"/>
        <v>0</v>
      </c>
      <c r="AN192">
        <f t="shared" si="57"/>
        <v>0</v>
      </c>
      <c r="AO192">
        <f t="shared" si="65"/>
        <v>0</v>
      </c>
      <c r="AP192">
        <f t="shared" si="66"/>
        <v>0</v>
      </c>
      <c r="AQ192">
        <f t="shared" si="67"/>
        <v>0</v>
      </c>
      <c r="AU192">
        <f t="shared" si="77"/>
        <v>0</v>
      </c>
      <c r="AV192">
        <f>IFERROR(VLOOKUP(B192,events!E:AQ,24,FALSE),AV191)</f>
        <v>0</v>
      </c>
      <c r="AY192" s="5"/>
    </row>
    <row r="193" spans="1:51" x14ac:dyDescent="0.2">
      <c r="A193">
        <f t="shared" si="76"/>
        <v>192</v>
      </c>
      <c r="B193" s="8">
        <f t="shared" si="68"/>
        <v>3</v>
      </c>
      <c r="C193">
        <f t="shared" si="69"/>
        <v>0</v>
      </c>
      <c r="D193" s="5">
        <f t="shared" si="70"/>
        <v>0</v>
      </c>
      <c r="O193" s="6">
        <f t="shared" si="71"/>
        <v>31</v>
      </c>
      <c r="V193">
        <f t="shared" si="72"/>
        <v>0</v>
      </c>
      <c r="W193" s="8">
        <f>SUMIFS(events!AJ:AJ,events!Q:Q,"=DeadIce",events!AK:AK,"&lt;="&amp;shifts!AG193,events!AL:AL,"&gt;"&amp;shifts!AH193,events!E:E,"="&amp;shifts!B194)+SUMIFS(events!AJ:AJ,events!Q:Q,"=Timeout",events!AK:AK,"&lt;="&amp;shifts!AG193,events!AL:AL,"&gt;"&amp;shifts!AH193,events!E:E,"="&amp;shifts!B194)</f>
        <v>0</v>
      </c>
      <c r="X193" s="8" t="str">
        <f t="shared" si="73"/>
        <v/>
      </c>
      <c r="Z193" t="str">
        <f t="shared" si="74"/>
        <v/>
      </c>
      <c r="AB193" t="str">
        <f t="shared" si="75"/>
        <v/>
      </c>
      <c r="AD193">
        <f>events!AG193</f>
        <v>18981</v>
      </c>
      <c r="AE193" t="str">
        <f>events!AH193</f>
        <v>Nelson</v>
      </c>
      <c r="AF193" t="str">
        <f>events!AI193</f>
        <v>Velodrome</v>
      </c>
      <c r="AG193" s="5">
        <f t="shared" si="78"/>
        <v>0</v>
      </c>
      <c r="AH193" s="5">
        <f t="shared" si="79"/>
        <v>0</v>
      </c>
      <c r="AI193" s="16">
        <f t="shared" si="64"/>
        <v>0</v>
      </c>
      <c r="AJ193">
        <f t="shared" si="80"/>
        <v>0</v>
      </c>
      <c r="AK193">
        <f t="shared" si="81"/>
        <v>0</v>
      </c>
      <c r="AL193">
        <f t="shared" si="82"/>
        <v>0</v>
      </c>
      <c r="AM193">
        <f t="shared" si="83"/>
        <v>0</v>
      </c>
      <c r="AN193">
        <f t="shared" ref="AN193:AN199" si="84">IF(AND($AL193&lt;&gt;1,$AJ193&lt;$AK193,AM193&lt;&gt;1),1,)</f>
        <v>0</v>
      </c>
      <c r="AO193">
        <f t="shared" si="65"/>
        <v>0</v>
      </c>
      <c r="AP193">
        <f t="shared" si="66"/>
        <v>0</v>
      </c>
      <c r="AQ193">
        <f t="shared" si="67"/>
        <v>0</v>
      </c>
      <c r="AU193">
        <f t="shared" si="77"/>
        <v>0</v>
      </c>
      <c r="AV193">
        <f>IFERROR(VLOOKUP(B193,events!E:AQ,24,FALSE),AV192)</f>
        <v>0</v>
      </c>
      <c r="AY193" s="5"/>
    </row>
    <row r="194" spans="1:51" x14ac:dyDescent="0.2">
      <c r="A194">
        <f t="shared" si="76"/>
        <v>193</v>
      </c>
      <c r="B194" s="8">
        <f t="shared" si="68"/>
        <v>3</v>
      </c>
      <c r="C194">
        <f t="shared" si="69"/>
        <v>0</v>
      </c>
      <c r="D194" s="5">
        <f t="shared" si="70"/>
        <v>0</v>
      </c>
      <c r="O194" s="6">
        <f t="shared" si="71"/>
        <v>31</v>
      </c>
      <c r="V194">
        <f t="shared" si="72"/>
        <v>0</v>
      </c>
      <c r="W194" s="8">
        <f>SUMIFS(events!AJ:AJ,events!Q:Q,"=DeadIce",events!AK:AK,"&lt;="&amp;shifts!AG194,events!AL:AL,"&gt;"&amp;shifts!AH194,events!E:E,"="&amp;shifts!B195)+SUMIFS(events!AJ:AJ,events!Q:Q,"=Timeout",events!AK:AK,"&lt;="&amp;shifts!AG194,events!AL:AL,"&gt;"&amp;shifts!AH194,events!E:E,"="&amp;shifts!B195)</f>
        <v>0</v>
      </c>
      <c r="X194" s="8" t="str">
        <f t="shared" si="73"/>
        <v/>
      </c>
      <c r="Z194" t="str">
        <f t="shared" si="74"/>
        <v/>
      </c>
      <c r="AB194" t="str">
        <f t="shared" si="75"/>
        <v/>
      </c>
      <c r="AD194">
        <f>events!AG194</f>
        <v>18981</v>
      </c>
      <c r="AE194" t="str">
        <f>events!AH194</f>
        <v>Nelson</v>
      </c>
      <c r="AF194" t="str">
        <f>events!AI194</f>
        <v>Velodrome</v>
      </c>
      <c r="AG194" s="5">
        <f t="shared" ref="AG194:AG199" si="85">((C194*60)+D194)</f>
        <v>0</v>
      </c>
      <c r="AH194" s="5">
        <f t="shared" ref="AH194:AH199" si="86">((E194*60)+F194)</f>
        <v>0</v>
      </c>
      <c r="AI194" s="16">
        <f t="shared" si="64"/>
        <v>0</v>
      </c>
      <c r="AJ194">
        <f t="shared" ref="AJ194:AJ199" si="87">COUNTIF(I194:N194,"&gt;0")</f>
        <v>0</v>
      </c>
      <c r="AK194">
        <f t="shared" ref="AK194:AK199" si="88">COUNTIF(P194:U194,"&gt;0")</f>
        <v>0</v>
      </c>
      <c r="AL194">
        <f t="shared" ref="AL194:AL199" si="89">IF(O194="",1,0)</f>
        <v>0</v>
      </c>
      <c r="AM194">
        <f t="shared" ref="AM194:AM199" si="90">IF(V194="",1,0)</f>
        <v>0</v>
      </c>
      <c r="AN194">
        <f t="shared" si="84"/>
        <v>0</v>
      </c>
      <c r="AO194">
        <f t="shared" si="65"/>
        <v>0</v>
      </c>
      <c r="AP194">
        <f t="shared" si="66"/>
        <v>0</v>
      </c>
      <c r="AQ194">
        <f t="shared" si="67"/>
        <v>0</v>
      </c>
      <c r="AU194">
        <f t="shared" ref="AU194:AU199" si="91">IF($H193="Away Goal",AU193+1,AU193)</f>
        <v>0</v>
      </c>
      <c r="AV194">
        <f>IFERROR(VLOOKUP(B194,events!E:AQ,24,FALSE),AV193)</f>
        <v>0</v>
      </c>
      <c r="AY194" s="5"/>
    </row>
    <row r="195" spans="1:51" x14ac:dyDescent="0.2">
      <c r="A195">
        <f t="shared" si="76"/>
        <v>194</v>
      </c>
      <c r="B195" s="8">
        <f t="shared" si="68"/>
        <v>3</v>
      </c>
      <c r="C195">
        <f t="shared" si="69"/>
        <v>0</v>
      </c>
      <c r="D195" s="5">
        <f t="shared" si="70"/>
        <v>0</v>
      </c>
      <c r="O195" s="6">
        <f t="shared" si="71"/>
        <v>31</v>
      </c>
      <c r="V195">
        <f t="shared" si="72"/>
        <v>0</v>
      </c>
      <c r="W195" s="8">
        <f>SUMIFS(events!AJ:AJ,events!Q:Q,"=DeadIce",events!AK:AK,"&lt;="&amp;shifts!AG195,events!AL:AL,"&gt;"&amp;shifts!AH195,events!E:E,"="&amp;shifts!B196)+SUMIFS(events!AJ:AJ,events!Q:Q,"=Timeout",events!AK:AK,"&lt;="&amp;shifts!AG195,events!AL:AL,"&gt;"&amp;shifts!AH195,events!E:E,"="&amp;shifts!B196)</f>
        <v>0</v>
      </c>
      <c r="X195" s="8" t="str">
        <f t="shared" si="73"/>
        <v/>
      </c>
      <c r="Z195" t="str">
        <f t="shared" si="74"/>
        <v/>
      </c>
      <c r="AB195" t="str">
        <f t="shared" si="75"/>
        <v/>
      </c>
      <c r="AD195">
        <f>events!AG195</f>
        <v>18981</v>
      </c>
      <c r="AE195" t="str">
        <f>events!AH195</f>
        <v>Nelson</v>
      </c>
      <c r="AF195" t="str">
        <f>events!AI195</f>
        <v>Velodrome</v>
      </c>
      <c r="AG195" s="5">
        <f t="shared" si="85"/>
        <v>0</v>
      </c>
      <c r="AH195" s="5">
        <f t="shared" si="86"/>
        <v>0</v>
      </c>
      <c r="AI195" s="16">
        <f t="shared" ref="AI195:AI199" si="92">ROUND(AG195-AH195,0)</f>
        <v>0</v>
      </c>
      <c r="AJ195">
        <f t="shared" si="87"/>
        <v>0</v>
      </c>
      <c r="AK195">
        <f t="shared" si="88"/>
        <v>0</v>
      </c>
      <c r="AL195">
        <f t="shared" si="89"/>
        <v>0</v>
      </c>
      <c r="AM195">
        <f t="shared" si="90"/>
        <v>0</v>
      </c>
      <c r="AN195">
        <f t="shared" si="84"/>
        <v>0</v>
      </c>
      <c r="AO195">
        <f t="shared" ref="AO195:AO199" si="93">IF(AND($AL195&lt;&gt;1,$AJ195&gt;$AK195),1,)</f>
        <v>0</v>
      </c>
      <c r="AP195">
        <f t="shared" ref="AP195:AP199" si="94">IF(AN195=1,1,0)</f>
        <v>0</v>
      </c>
      <c r="AQ195">
        <f t="shared" ref="AQ195:AQ199" si="95">IF(AO195=1,1,0)</f>
        <v>0</v>
      </c>
      <c r="AU195">
        <f t="shared" si="91"/>
        <v>0</v>
      </c>
      <c r="AV195">
        <f>IFERROR(VLOOKUP(B195,events!E:AQ,24,FALSE),AV194)</f>
        <v>0</v>
      </c>
      <c r="AY195" s="5"/>
    </row>
    <row r="196" spans="1:51" x14ac:dyDescent="0.2">
      <c r="A196">
        <f t="shared" si="76"/>
        <v>195</v>
      </c>
      <c r="B196" s="8">
        <f t="shared" ref="B196:B199" si="96">IF(G196="PeriodStart",B195+1,B195)</f>
        <v>3</v>
      </c>
      <c r="C196">
        <f t="shared" ref="C196:C199" si="97">IF(G196&lt;&gt;"PeriodStart",E195,18)</f>
        <v>0</v>
      </c>
      <c r="D196" s="5">
        <f t="shared" ref="D196:D199" si="98">F195</f>
        <v>0</v>
      </c>
      <c r="O196" s="6">
        <f t="shared" ref="O196:O199" si="99">O195</f>
        <v>31</v>
      </c>
      <c r="V196">
        <f t="shared" ref="V196:V199" si="100">V195</f>
        <v>0</v>
      </c>
      <c r="W196" s="8">
        <f>SUMIFS(events!AJ:AJ,events!Q:Q,"=DeadIce",events!AK:AK,"&lt;="&amp;shifts!AG196,events!AL:AL,"&gt;"&amp;shifts!AH196,events!E:E,"="&amp;shifts!B197)+SUMIFS(events!AJ:AJ,events!Q:Q,"=Timeout",events!AK:AK,"&lt;="&amp;shifts!AG196,events!AL:AL,"&gt;"&amp;shifts!AH196,events!E:E,"="&amp;shifts!B197)</f>
        <v>0</v>
      </c>
      <c r="X196" s="8" t="str">
        <f t="shared" ref="X196:X202" si="101">IF(OR($H195="Home Goal",$H195="Away Goal",$H195="Period End"),"",IF(Y195=1,1,""))</f>
        <v/>
      </c>
      <c r="Z196" t="str">
        <f t="shared" ref="Z196:Z202" si="102">IF(OR($H195="Home Goal",$H195="Away Goal",$H195="Period End"),"",IF(AA195=1,1,""))</f>
        <v/>
      </c>
      <c r="AB196" t="str">
        <f t="shared" ref="AB196:AB202" si="103">IF(OR($H195="Home Goal",$H195="Away Goal",$H195="Period End"),1,IF(AC195=1,1,""))</f>
        <v/>
      </c>
      <c r="AD196">
        <f>events!AG196</f>
        <v>18981</v>
      </c>
      <c r="AE196" t="str">
        <f>events!AH196</f>
        <v>Nelson</v>
      </c>
      <c r="AF196" t="str">
        <f>events!AI196</f>
        <v>Velodrome</v>
      </c>
      <c r="AG196" s="5">
        <f t="shared" si="85"/>
        <v>0</v>
      </c>
      <c r="AH196" s="5">
        <f t="shared" si="86"/>
        <v>0</v>
      </c>
      <c r="AI196" s="16">
        <f t="shared" si="92"/>
        <v>0</v>
      </c>
      <c r="AJ196">
        <f t="shared" si="87"/>
        <v>0</v>
      </c>
      <c r="AK196">
        <f t="shared" si="88"/>
        <v>0</v>
      </c>
      <c r="AL196">
        <f t="shared" si="89"/>
        <v>0</v>
      </c>
      <c r="AM196">
        <f t="shared" si="90"/>
        <v>0</v>
      </c>
      <c r="AN196">
        <f t="shared" si="84"/>
        <v>0</v>
      </c>
      <c r="AO196">
        <f t="shared" si="93"/>
        <v>0</v>
      </c>
      <c r="AP196">
        <f t="shared" si="94"/>
        <v>0</v>
      </c>
      <c r="AQ196">
        <f t="shared" si="95"/>
        <v>0</v>
      </c>
      <c r="AU196">
        <f t="shared" si="91"/>
        <v>0</v>
      </c>
      <c r="AV196">
        <f>IFERROR(VLOOKUP(B196,events!E:AQ,24,FALSE),AV195)</f>
        <v>0</v>
      </c>
      <c r="AY196" s="5"/>
    </row>
    <row r="197" spans="1:51" x14ac:dyDescent="0.2">
      <c r="A197">
        <f t="shared" ref="A197:A199" si="104">A196+1</f>
        <v>196</v>
      </c>
      <c r="B197" s="8">
        <f t="shared" si="96"/>
        <v>3</v>
      </c>
      <c r="C197">
        <f t="shared" si="97"/>
        <v>0</v>
      </c>
      <c r="D197" s="5">
        <f t="shared" si="98"/>
        <v>0</v>
      </c>
      <c r="O197" s="6">
        <f t="shared" si="99"/>
        <v>31</v>
      </c>
      <c r="V197">
        <f t="shared" si="100"/>
        <v>0</v>
      </c>
      <c r="W197" s="8">
        <f>SUMIFS(events!AJ:AJ,events!Q:Q,"=DeadIce",events!AK:AK,"&lt;="&amp;shifts!AG197,events!AL:AL,"&gt;"&amp;shifts!AH197,events!E:E,"="&amp;shifts!B198)+SUMIFS(events!AJ:AJ,events!Q:Q,"=Timeout",events!AK:AK,"&lt;="&amp;shifts!AG197,events!AL:AL,"&gt;"&amp;shifts!AH197,events!E:E,"="&amp;shifts!B198)</f>
        <v>0</v>
      </c>
      <c r="X197" s="8" t="str">
        <f t="shared" si="101"/>
        <v/>
      </c>
      <c r="Z197" t="str">
        <f t="shared" si="102"/>
        <v/>
      </c>
      <c r="AB197" t="str">
        <f t="shared" si="103"/>
        <v/>
      </c>
      <c r="AD197">
        <f>events!AG197</f>
        <v>18981</v>
      </c>
      <c r="AE197" t="str">
        <f>events!AH197</f>
        <v>Nelson</v>
      </c>
      <c r="AF197" t="str">
        <f>events!AI197</f>
        <v>Velodrome</v>
      </c>
      <c r="AG197" s="5">
        <f t="shared" si="85"/>
        <v>0</v>
      </c>
      <c r="AH197" s="5">
        <f t="shared" si="86"/>
        <v>0</v>
      </c>
      <c r="AI197" s="16">
        <f t="shared" si="92"/>
        <v>0</v>
      </c>
      <c r="AJ197">
        <f t="shared" si="87"/>
        <v>0</v>
      </c>
      <c r="AK197">
        <f t="shared" si="88"/>
        <v>0</v>
      </c>
      <c r="AL197">
        <f t="shared" si="89"/>
        <v>0</v>
      </c>
      <c r="AM197">
        <f t="shared" si="90"/>
        <v>0</v>
      </c>
      <c r="AN197">
        <f t="shared" si="84"/>
        <v>0</v>
      </c>
      <c r="AO197">
        <f t="shared" si="93"/>
        <v>0</v>
      </c>
      <c r="AP197">
        <f t="shared" si="94"/>
        <v>0</v>
      </c>
      <c r="AQ197">
        <f t="shared" si="95"/>
        <v>0</v>
      </c>
      <c r="AU197">
        <f t="shared" si="91"/>
        <v>0</v>
      </c>
      <c r="AV197">
        <f>IFERROR(VLOOKUP(B197,events!E:AQ,24,FALSE),AV196)</f>
        <v>0</v>
      </c>
      <c r="AY197" s="5"/>
    </row>
    <row r="198" spans="1:51" x14ac:dyDescent="0.2">
      <c r="A198">
        <f t="shared" si="104"/>
        <v>197</v>
      </c>
      <c r="B198" s="8">
        <f t="shared" si="96"/>
        <v>3</v>
      </c>
      <c r="C198">
        <f t="shared" si="97"/>
        <v>0</v>
      </c>
      <c r="D198" s="5">
        <f t="shared" si="98"/>
        <v>0</v>
      </c>
      <c r="O198" s="6">
        <f t="shared" si="99"/>
        <v>31</v>
      </c>
      <c r="V198">
        <f t="shared" si="100"/>
        <v>0</v>
      </c>
      <c r="W198" s="8">
        <f>SUMIFS(events!AJ:AJ,events!Q:Q,"=DeadIce",events!AK:AK,"&lt;="&amp;shifts!AG198,events!AL:AL,"&gt;"&amp;shifts!AH198,events!E:E,"="&amp;shifts!B199)+SUMIFS(events!AJ:AJ,events!Q:Q,"=Timeout",events!AK:AK,"&lt;="&amp;shifts!AG198,events!AL:AL,"&gt;"&amp;shifts!AH198,events!E:E,"="&amp;shifts!B199)</f>
        <v>0</v>
      </c>
      <c r="X198" s="8" t="str">
        <f t="shared" si="101"/>
        <v/>
      </c>
      <c r="Z198" t="str">
        <f t="shared" si="102"/>
        <v/>
      </c>
      <c r="AB198" t="str">
        <f t="shared" si="103"/>
        <v/>
      </c>
      <c r="AD198">
        <f>events!AG198</f>
        <v>18981</v>
      </c>
      <c r="AE198" t="str">
        <f>events!AH198</f>
        <v>Nelson</v>
      </c>
      <c r="AF198" t="str">
        <f>events!AI198</f>
        <v>Velodrome</v>
      </c>
      <c r="AG198" s="5">
        <f t="shared" si="85"/>
        <v>0</v>
      </c>
      <c r="AH198" s="5">
        <f t="shared" si="86"/>
        <v>0</v>
      </c>
      <c r="AI198" s="16">
        <f t="shared" si="92"/>
        <v>0</v>
      </c>
      <c r="AJ198">
        <f t="shared" si="87"/>
        <v>0</v>
      </c>
      <c r="AK198">
        <f t="shared" si="88"/>
        <v>0</v>
      </c>
      <c r="AL198">
        <f t="shared" si="89"/>
        <v>0</v>
      </c>
      <c r="AM198">
        <f t="shared" si="90"/>
        <v>0</v>
      </c>
      <c r="AN198">
        <f t="shared" si="84"/>
        <v>0</v>
      </c>
      <c r="AO198">
        <f t="shared" si="93"/>
        <v>0</v>
      </c>
      <c r="AP198">
        <f t="shared" si="94"/>
        <v>0</v>
      </c>
      <c r="AQ198">
        <f t="shared" si="95"/>
        <v>0</v>
      </c>
      <c r="AU198">
        <f t="shared" si="91"/>
        <v>0</v>
      </c>
      <c r="AV198">
        <f>IFERROR(VLOOKUP(B198,events!E:AQ,24,FALSE),AV197)</f>
        <v>0</v>
      </c>
      <c r="AY198" s="5"/>
    </row>
    <row r="199" spans="1:51" x14ac:dyDescent="0.2">
      <c r="A199">
        <f t="shared" si="104"/>
        <v>198</v>
      </c>
      <c r="B199" s="8">
        <f t="shared" si="96"/>
        <v>3</v>
      </c>
      <c r="C199">
        <f t="shared" si="97"/>
        <v>0</v>
      </c>
      <c r="D199" s="5">
        <f t="shared" si="98"/>
        <v>0</v>
      </c>
      <c r="O199" s="6">
        <f t="shared" si="99"/>
        <v>31</v>
      </c>
      <c r="V199">
        <f t="shared" si="100"/>
        <v>0</v>
      </c>
      <c r="W199" s="8">
        <f>SUMIFS(events!AJ:AJ,events!Q:Q,"=DeadIce",events!AK:AK,"&lt;="&amp;shifts!AG199,events!AL:AL,"&gt;"&amp;shifts!AH199,events!E:E,"="&amp;shifts!B200)+SUMIFS(events!AJ:AJ,events!Q:Q,"=Timeout",events!AK:AK,"&lt;="&amp;shifts!AG199,events!AL:AL,"&gt;"&amp;shifts!AH199,events!E:E,"="&amp;shifts!B200)</f>
        <v>0</v>
      </c>
      <c r="X199" s="8" t="str">
        <f t="shared" si="101"/>
        <v/>
      </c>
      <c r="Z199" t="str">
        <f t="shared" si="102"/>
        <v/>
      </c>
      <c r="AB199" t="str">
        <f t="shared" si="103"/>
        <v/>
      </c>
      <c r="AD199">
        <f>events!AG199</f>
        <v>18981</v>
      </c>
      <c r="AE199" t="str">
        <f>events!AH199</f>
        <v>Nelson</v>
      </c>
      <c r="AF199" t="str">
        <f>events!AI199</f>
        <v>Velodrome</v>
      </c>
      <c r="AG199" s="5">
        <f t="shared" si="85"/>
        <v>0</v>
      </c>
      <c r="AH199" s="5">
        <f t="shared" si="86"/>
        <v>0</v>
      </c>
      <c r="AI199" s="16">
        <f t="shared" si="92"/>
        <v>0</v>
      </c>
      <c r="AJ199">
        <f t="shared" si="87"/>
        <v>0</v>
      </c>
      <c r="AK199">
        <f t="shared" si="88"/>
        <v>0</v>
      </c>
      <c r="AL199">
        <f t="shared" si="89"/>
        <v>0</v>
      </c>
      <c r="AM199">
        <f t="shared" si="90"/>
        <v>0</v>
      </c>
      <c r="AN199">
        <f t="shared" si="84"/>
        <v>0</v>
      </c>
      <c r="AO199">
        <f t="shared" si="93"/>
        <v>0</v>
      </c>
      <c r="AP199">
        <f t="shared" si="94"/>
        <v>0</v>
      </c>
      <c r="AQ199">
        <f t="shared" si="95"/>
        <v>0</v>
      </c>
      <c r="AU199">
        <f t="shared" si="91"/>
        <v>0</v>
      </c>
      <c r="AV199">
        <f>IFERROR(VLOOKUP(B199,events!E:AQ,24,FALSE),AV198)</f>
        <v>0</v>
      </c>
      <c r="AY199" s="5"/>
    </row>
    <row r="200" spans="1:51" x14ac:dyDescent="0.2">
      <c r="X200" s="8" t="str">
        <f t="shared" si="101"/>
        <v/>
      </c>
      <c r="Z200" t="str">
        <f t="shared" si="102"/>
        <v/>
      </c>
      <c r="AB200" t="str">
        <f t="shared" si="103"/>
        <v/>
      </c>
      <c r="AD200">
        <f>events!AG200</f>
        <v>18981</v>
      </c>
      <c r="AE200" t="str">
        <f>events!AH200</f>
        <v>Nelson</v>
      </c>
      <c r="AF200" t="str">
        <f>events!AI200</f>
        <v>Velodrome</v>
      </c>
      <c r="AG200" s="5"/>
      <c r="AH200" s="5"/>
      <c r="AI200" s="16"/>
    </row>
    <row r="201" spans="1:51" x14ac:dyDescent="0.2">
      <c r="X201" s="8" t="str">
        <f t="shared" si="101"/>
        <v/>
      </c>
      <c r="Z201" t="str">
        <f t="shared" si="102"/>
        <v/>
      </c>
      <c r="AB201" t="str">
        <f t="shared" si="103"/>
        <v/>
      </c>
      <c r="AD201">
        <f>events!AG201</f>
        <v>18981</v>
      </c>
      <c r="AE201" t="str">
        <f>events!AH201</f>
        <v>Nelson</v>
      </c>
      <c r="AF201" t="str">
        <f>events!AI201</f>
        <v>Velodrome</v>
      </c>
      <c r="AG201" s="5"/>
      <c r="AH201" s="5"/>
      <c r="AI201" s="16"/>
    </row>
    <row r="202" spans="1:51" x14ac:dyDescent="0.2">
      <c r="X202" s="8" t="str">
        <f t="shared" si="101"/>
        <v/>
      </c>
      <c r="Z202" t="str">
        <f t="shared" si="102"/>
        <v/>
      </c>
      <c r="AB202" t="str">
        <f t="shared" si="103"/>
        <v/>
      </c>
      <c r="AD202">
        <f>events!AG202</f>
        <v>18981</v>
      </c>
      <c r="AE202" t="str">
        <f>events!AH202</f>
        <v>Nelson</v>
      </c>
      <c r="AF202" t="str">
        <f>events!AI202</f>
        <v>Velodrome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Lists!$CA:$CA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Lists!$CC:$CC</xm:f>
          </x14:formula1>
          <xm:sqref>H2:H201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56</vt:i4>
      </vt:variant>
    </vt:vector>
  </HeadingPairs>
  <TitlesOfParts>
    <vt:vector size="60" baseType="lpstr">
      <vt:lpstr>Rules</vt:lpstr>
      <vt:lpstr>Lists</vt:lpstr>
      <vt:lpstr>events</vt:lpstr>
      <vt:lpstr>shifts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Zone_Exit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2025-12-19T23:50:24Z</dcterms:modified>
</cp:coreProperties>
</file>